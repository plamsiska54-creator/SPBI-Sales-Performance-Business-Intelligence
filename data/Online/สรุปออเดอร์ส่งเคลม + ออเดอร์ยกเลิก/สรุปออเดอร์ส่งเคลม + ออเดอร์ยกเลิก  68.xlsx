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สรุปออเดอร์ส่งเคลม + ออเดอร์ยกเลิก\"/>
    </mc:Choice>
  </mc:AlternateContent>
  <xr:revisionPtr revIDLastSave="0" documentId="13_ncr:1_{33E02335-06A1-4AD7-ADCD-886BB3E294E3}" xr6:coauthVersionLast="47" xr6:coauthVersionMax="47" xr10:uidLastSave="{00000000-0000-0000-0000-000000000000}"/>
  <bookViews>
    <workbookView xWindow="-108" yWindow="-108" windowWidth="23256" windowHeight="13896" tabRatio="952" activeTab="2" xr2:uid="{2988CCC6-704A-4BB2-B7E7-89590EA27D04}"/>
  </bookViews>
  <sheets>
    <sheet name="สรุป 68" sheetId="5" r:id="rId1"/>
    <sheet name="สรุปสาเหตุเคลม" sheetId="20" r:id="rId2"/>
    <sheet name="ธ.ค. เคลม" sheetId="38" r:id="rId3"/>
    <sheet name="ธ.ค. ยกเลิก" sheetId="39" r:id="rId4"/>
    <sheet name="พ.ย. เคลม" sheetId="35" r:id="rId5"/>
    <sheet name="พ.ย. ยกเลิก" sheetId="36" r:id="rId6"/>
    <sheet name="ต.ค. เคลม" sheetId="32" r:id="rId7"/>
    <sheet name="ต.ค. ยกเลิก" sheetId="33" r:id="rId8"/>
    <sheet name="ก.ย. เคลม" sheetId="29" r:id="rId9"/>
    <sheet name="ก.ย. ยกเลิก" sheetId="30" r:id="rId10"/>
    <sheet name="ส.ค. เคลม" sheetId="26" r:id="rId11"/>
    <sheet name="ส.ค. ยกเลิก" sheetId="27" r:id="rId12"/>
    <sheet name="ก.ค. เคลม" sheetId="22" r:id="rId13"/>
    <sheet name="ก.ค. ยกเลิก" sheetId="23" r:id="rId14"/>
    <sheet name="มิ.ย. เคลม" sheetId="12" r:id="rId15"/>
    <sheet name="มิ.ย. ยกเลิก" sheetId="13" r:id="rId16"/>
    <sheet name="พ.ค. เคลม" sheetId="10" r:id="rId17"/>
    <sheet name="พ.ค. ยกเลิก" sheetId="11" r:id="rId18"/>
    <sheet name="เม.ย. เคลม" sheetId="8" r:id="rId19"/>
    <sheet name="เม.ย. ยกเลิก" sheetId="9" r:id="rId20"/>
    <sheet name="มี.ค. เคลม" sheetId="6" r:id="rId21"/>
    <sheet name="มี.ค. ยกเลิก" sheetId="7" r:id="rId22"/>
    <sheet name="ก.พ. เคลม" sheetId="3" r:id="rId23"/>
    <sheet name="ก.พ. ยกเลิก" sheetId="4" r:id="rId24"/>
    <sheet name="ม.ค. เคลม" sheetId="1" r:id="rId25"/>
    <sheet name="ม.ค. ยกเลิก" sheetId="2" r:id="rId26"/>
    <sheet name="เรียกค่าขนส่ง" sheetId="16" r:id="rId27"/>
    <sheet name="รายการส่งของ พ.ย." sheetId="37" r:id="rId28"/>
    <sheet name="รายการส่งของ ม.ค." sheetId="40" r:id="rId29"/>
    <sheet name="รายการส่งของ ก.พ." sheetId="41" r:id="rId30"/>
    <sheet name="แบบฟอร์ม" sheetId="21" r:id="rId31"/>
  </sheets>
  <definedNames>
    <definedName name="_xlnm._FilterDatabase" localSheetId="12" hidden="1">'ก.ค. เคลม'!$A$2:$O$123</definedName>
    <definedName name="_xlnm._FilterDatabase" localSheetId="13" hidden="1">'ก.ค. ยกเลิก'!$B$2:$J$22</definedName>
    <definedName name="_xlnm._FilterDatabase" localSheetId="22" hidden="1">'ก.พ. เคลม'!$A$2:$L$33</definedName>
    <definedName name="_xlnm._FilterDatabase" localSheetId="23" hidden="1">'ก.พ. ยกเลิก'!$B$2:$J$38</definedName>
    <definedName name="_xlnm._FilterDatabase" localSheetId="8" hidden="1">'ก.ย. เคลม'!$A$2:$O$122</definedName>
    <definedName name="_xlnm._FilterDatabase" localSheetId="9" hidden="1">'ก.ย. ยกเลิก'!$B$2:$J$22</definedName>
    <definedName name="_xlnm._FilterDatabase" localSheetId="6" hidden="1">'ต.ค. เคลม'!$A$2:$O$185</definedName>
    <definedName name="_xlnm._FilterDatabase" localSheetId="7" hidden="1">'ต.ค. ยกเลิก'!$B$2:$J$22</definedName>
    <definedName name="_xlnm._FilterDatabase" localSheetId="2" hidden="1">'ธ.ค. เคลม'!$A$2:$O$55</definedName>
    <definedName name="_xlnm._FilterDatabase" localSheetId="3" hidden="1">'ธ.ค. ยกเลิก'!$B$2:$J$22</definedName>
    <definedName name="_xlnm._FilterDatabase" localSheetId="16" hidden="1">'พ.ค. เคลม'!$A$2:$N$269</definedName>
    <definedName name="_xlnm._FilterDatabase" localSheetId="17" hidden="1">'พ.ค. ยกเลิก'!$B$2:$J$22</definedName>
    <definedName name="_xlnm._FilterDatabase" localSheetId="4" hidden="1">'พ.ย. เคลม'!$A$2:$O$134</definedName>
    <definedName name="_xlnm._FilterDatabase" localSheetId="5" hidden="1">'พ.ย. ยกเลิก'!$B$2:$J$22</definedName>
    <definedName name="_xlnm._FilterDatabase" localSheetId="24" hidden="1">'ม.ค. เคลม'!$A$2:$N$99</definedName>
    <definedName name="_xlnm._FilterDatabase" localSheetId="25" hidden="1">'ม.ค. ยกเลิก'!$B$2:$K$38</definedName>
    <definedName name="_xlnm._FilterDatabase" localSheetId="14" hidden="1">'มิ.ย. เคลม'!$A$2:$N$220</definedName>
    <definedName name="_xlnm._FilterDatabase" localSheetId="15" hidden="1">'มิ.ย. ยกเลิก'!$B$2:$J$26</definedName>
    <definedName name="_xlnm._FilterDatabase" localSheetId="20" hidden="1">'มี.ค. เคลม'!$A$2:$N$77</definedName>
    <definedName name="_xlnm._FilterDatabase" localSheetId="21" hidden="1">'มี.ค. ยกเลิก'!$B$2:$J$22</definedName>
    <definedName name="_xlnm._FilterDatabase" localSheetId="18" hidden="1">'เม.ย. เคลม'!$A$2:$N$121</definedName>
    <definedName name="_xlnm._FilterDatabase" localSheetId="19" hidden="1">'เม.ย. ยกเลิก'!$B$2:$J$22</definedName>
    <definedName name="_xlnm._FilterDatabase" localSheetId="29" hidden="1">'รายการส่งของ ก.พ.'!$A$1:$AQ$2004</definedName>
    <definedName name="_xlnm._FilterDatabase" localSheetId="27" hidden="1">'รายการส่งของ พ.ย.'!$A$1:$AP$1772</definedName>
    <definedName name="_xlnm._FilterDatabase" localSheetId="28" hidden="1">'รายการส่งของ ม.ค.'!$A$1:$AA$1</definedName>
    <definedName name="_xlnm._FilterDatabase" localSheetId="26" hidden="1">เรียกค่าขนส่ง!$A$2:$B$207</definedName>
    <definedName name="_xlnm._FilterDatabase" localSheetId="10" hidden="1">'ส.ค. เคลม'!$A$2:$O$125</definedName>
    <definedName name="_xlnm._FilterDatabase" localSheetId="11" hidden="1">'ส.ค. ยกเลิก'!$B$2:$J$22</definedName>
    <definedName name="_xlnm._FilterDatabase" localSheetId="1" hidden="1">สรุปสาเหตุเคลม!$A$2:$O$57</definedName>
    <definedName name="_xlnm.Print_Titles" localSheetId="30">แบบฟอร์ม!$1:$1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7" i="32" l="1"/>
  <c r="J1" i="22"/>
  <c r="H8" i="23"/>
  <c r="H20" i="13" l="1"/>
  <c r="J1" i="12"/>
  <c r="N57" i="12"/>
  <c r="H8" i="11"/>
  <c r="J1" i="10"/>
  <c r="C8" i="5" s="1"/>
  <c r="H18" i="9" l="1"/>
  <c r="J1" i="8" l="1"/>
  <c r="J3" i="3" l="1"/>
  <c r="J4" i="3"/>
  <c r="J5" i="3"/>
  <c r="J6" i="3"/>
  <c r="J7" i="3"/>
  <c r="J8" i="3"/>
  <c r="J9" i="3"/>
  <c r="J10" i="3"/>
  <c r="J11" i="3"/>
  <c r="J12" i="3"/>
  <c r="J13" i="3"/>
  <c r="J1" i="6"/>
  <c r="T2004" i="41"/>
  <c r="S2004" i="41"/>
  <c r="R2004" i="41"/>
  <c r="Q2004" i="41"/>
  <c r="P2004" i="41"/>
  <c r="N2004" i="41"/>
  <c r="J1" i="3" l="1"/>
  <c r="H25" i="4"/>
  <c r="N57" i="1" l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3" i="1"/>
  <c r="J1" i="1" l="1"/>
  <c r="H76" i="2"/>
  <c r="E4" i="5" s="1"/>
  <c r="O57" i="38"/>
  <c r="O57" i="35"/>
  <c r="O57" i="29"/>
  <c r="O57" i="26"/>
  <c r="O57" i="22"/>
  <c r="J1" i="38"/>
  <c r="C15" i="5" s="1"/>
  <c r="J1" i="35"/>
  <c r="C14" i="5" s="1"/>
  <c r="J1" i="32"/>
  <c r="C13" i="5" s="1"/>
  <c r="J1" i="29"/>
  <c r="C12" i="5" s="1"/>
  <c r="J1" i="26"/>
  <c r="C11" i="5" s="1"/>
  <c r="C10" i="5"/>
  <c r="N57" i="3"/>
  <c r="N57" i="6"/>
  <c r="N57" i="8"/>
  <c r="N57" i="10"/>
  <c r="C9" i="5"/>
  <c r="C7" i="5"/>
  <c r="C5" i="5"/>
  <c r="C4" i="5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3" i="20"/>
  <c r="E15" i="5"/>
  <c r="H51" i="36"/>
  <c r="N4" i="20" l="1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3" i="20" l="1"/>
  <c r="T1773" i="37"/>
  <c r="S1773" i="37"/>
  <c r="R1773" i="37"/>
  <c r="Q1773" i="37"/>
  <c r="P1773" i="37"/>
  <c r="O1773" i="37"/>
  <c r="N1773" i="37"/>
  <c r="E14" i="5" l="1"/>
  <c r="C6" i="5" l="1"/>
  <c r="H58" i="33"/>
  <c r="B4" i="16" l="1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3" i="16"/>
  <c r="H8" i="27"/>
  <c r="M4" i="20" l="1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3" i="20"/>
  <c r="E13" i="5" l="1"/>
  <c r="L4" i="20" l="1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3" i="20"/>
  <c r="E12" i="5" l="1"/>
  <c r="K4" i="20" l="1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3" i="20"/>
  <c r="E11" i="5"/>
  <c r="J4" i="20" l="1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3" i="20"/>
  <c r="E10" i="5"/>
  <c r="B56" i="21"/>
  <c r="J57" i="20" l="1"/>
  <c r="F4" i="20" l="1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3" i="20"/>
  <c r="K57" i="20"/>
  <c r="L57" i="20"/>
  <c r="M57" i="20"/>
  <c r="N57" i="20"/>
  <c r="O57" i="20"/>
  <c r="C3" i="20" l="1"/>
  <c r="F57" i="20"/>
  <c r="C40" i="20"/>
  <c r="C55" i="20"/>
  <c r="C47" i="20"/>
  <c r="C39" i="20"/>
  <c r="C31" i="20"/>
  <c r="C23" i="20"/>
  <c r="C15" i="20"/>
  <c r="C7" i="20"/>
  <c r="C54" i="20"/>
  <c r="C46" i="20"/>
  <c r="C38" i="20"/>
  <c r="C30" i="20"/>
  <c r="C22" i="20"/>
  <c r="C14" i="20"/>
  <c r="C6" i="20"/>
  <c r="C53" i="20"/>
  <c r="C45" i="20"/>
  <c r="C37" i="20"/>
  <c r="C29" i="20"/>
  <c r="C21" i="20"/>
  <c r="C13" i="20"/>
  <c r="C5" i="20"/>
  <c r="C52" i="20"/>
  <c r="C44" i="20"/>
  <c r="C36" i="20"/>
  <c r="C28" i="20"/>
  <c r="C20" i="20"/>
  <c r="C12" i="20"/>
  <c r="C4" i="20"/>
  <c r="C51" i="20"/>
  <c r="C35" i="20"/>
  <c r="C11" i="20"/>
  <c r="C50" i="20"/>
  <c r="C42" i="20"/>
  <c r="C34" i="20"/>
  <c r="C26" i="20"/>
  <c r="C18" i="20"/>
  <c r="C10" i="20"/>
  <c r="C43" i="20"/>
  <c r="C19" i="20"/>
  <c r="C49" i="20"/>
  <c r="C41" i="20"/>
  <c r="C33" i="20"/>
  <c r="C25" i="20"/>
  <c r="C17" i="20"/>
  <c r="C9" i="20"/>
  <c r="C27" i="20"/>
  <c r="C56" i="20"/>
  <c r="C48" i="20"/>
  <c r="C32" i="20"/>
  <c r="C24" i="20"/>
  <c r="C16" i="20"/>
  <c r="C8" i="20"/>
  <c r="D57" i="20"/>
  <c r="E57" i="20"/>
  <c r="I57" i="20"/>
  <c r="G57" i="20"/>
  <c r="H57" i="20"/>
  <c r="C57" i="20" l="1"/>
  <c r="E9" i="5"/>
  <c r="H108" i="7" l="1"/>
  <c r="E6" i="5" s="1"/>
  <c r="E8" i="5" l="1"/>
  <c r="E7" i="5"/>
  <c r="E5" i="5"/>
  <c r="E16" i="5" l="1"/>
  <c r="C16" i="5" l="1"/>
  <c r="D16" i="5"/>
  <c r="B16" i="5"/>
</calcChain>
</file>

<file path=xl/sharedStrings.xml><?xml version="1.0" encoding="utf-8"?>
<sst xmlns="http://schemas.openxmlformats.org/spreadsheetml/2006/main" count="17203" uniqueCount="6373">
  <si>
    <t>เลขที่ออเดอร์</t>
  </si>
  <si>
    <t>ชื่อ</t>
  </si>
  <si>
    <t>ช่องทางติดต่อ</t>
  </si>
  <si>
    <t>ชื่อตามช่องทางติดต่อ</t>
  </si>
  <si>
    <t>ขนส่ง</t>
  </si>
  <si>
    <t>วันที่สร้าง</t>
  </si>
  <si>
    <t>ยอดขาย</t>
  </si>
  <si>
    <t>หมายเหตุ</t>
  </si>
  <si>
    <t/>
  </si>
  <si>
    <t>ณัฐพร จิตสุวรรณทยา</t>
  </si>
  <si>
    <t>ของเคลม LAZADA เนื่องจากลูกค้าได้รับสินค้าไม่ครบ</t>
  </si>
  <si>
    <t>ของเคลม LAZADA เนื่องจากลูกค้าไม่ได้รับสินค้า</t>
  </si>
  <si>
    <t>ของเคลม Shopee เนื่องจากลูกค้าได้รับสินค้าไม่ครบ</t>
  </si>
  <si>
    <t>ของเคลม LAZADA เนื่องจากลูกค้าได้รับสินค้าผิดไม่ตรงตามที่สั่ง</t>
  </si>
  <si>
    <t>ของเคลม LAZADA เนื่องจากสินค้าเน่าเสียก่อนวันหมดอายุที่แจ้งข้างกล่อง</t>
  </si>
  <si>
    <t>ของเคลม Shopee เนื่องจากลูกค้าได้รับสินค้าผิดไม่ตรงตามที่สั่ง</t>
  </si>
  <si>
    <t>ของเคลม Shopee เนื่องจากสินค้าเสียหายจากการขนส่ง</t>
  </si>
  <si>
    <t>ของเคลม LAZADA เนื่องจากสินค้าเสียหายจากการขนส่ง</t>
  </si>
  <si>
    <t>ลำดับ</t>
  </si>
  <si>
    <t>รายการ</t>
  </si>
  <si>
    <t>ของเคลม Line OA เนื่องจากลูกค้าได้รับสินค้าไม่ครบ</t>
  </si>
  <si>
    <t>จำนวนออเดอร์</t>
  </si>
  <si>
    <t>ของเคลม Line OA เนื่องจากลูกค้าไม่ได้รับสินค้า</t>
  </si>
  <si>
    <t>สรุปรายการส่งของเคลมสินค้า เดือนกุมภาพันธ์ 2567</t>
  </si>
  <si>
    <t>ของเคลม ไปรษณีย์ เนื่องจากลูกค้าได้รับสินค้าไม่ครบ</t>
  </si>
  <si>
    <t>ไม่ทราบสาเหตุ</t>
  </si>
  <si>
    <t>เดือน</t>
  </si>
  <si>
    <t>เคลม</t>
  </si>
  <si>
    <t>ยอดรวม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</si>
  <si>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</si>
  <si>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</si>
  <si>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</si>
  <si>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</si>
  <si>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</si>
  <si>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</si>
  <si>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</si>
  <si>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</si>
  <si>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</si>
  <si>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</si>
  <si>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</si>
  <si>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</si>
  <si>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สรุปรายการส่งของเคลมสินค้า เดือนมีนาคม 2567</t>
  </si>
  <si>
    <t>เลขพัสดุ</t>
  </si>
  <si>
    <t>ค่าขนส่ง</t>
  </si>
  <si>
    <t>ค่าใช้จ่ายส่งของ</t>
  </si>
  <si>
    <t>ของเคลม เนื่องจากสินค้ามีรสชาติไม่ปกติ (ขม)</t>
  </si>
  <si>
    <t>รวมยอดเสียหายค่าขนส่งเพิ่มเติม</t>
  </si>
  <si>
    <t>บาท</t>
  </si>
  <si>
    <t>จำนวน</t>
  </si>
  <si>
    <t>ของเคลม LAZADA ไม่ทราบเหตุผล</t>
  </si>
  <si>
    <t>-</t>
  </si>
  <si>
    <t>ของเคลม LAZADA เนื่องจากสินค้าไม่มี</t>
  </si>
  <si>
    <t>เคลมสินค้าเนื่องจากกล่องชำรุด เสียหาย</t>
  </si>
  <si>
    <t>ของเคลม Shopee เนื่องจากสินค้าไม่มี</t>
  </si>
  <si>
    <t>น้ำฝน</t>
  </si>
  <si>
    <t>ยกเลิก ( CF เล่น)</t>
  </si>
  <si>
    <t>ยอดเงิน</t>
  </si>
  <si>
    <t xml:space="preserve"> เนื่องจากของขาดไม่ครบ</t>
  </si>
  <si>
    <t xml:space="preserve"> นื่องจากขนส่งซัพนอกไม่ได้ลงของให้ลูกค้า</t>
  </si>
  <si>
    <t>ของเคลม LAZADA เนื่องจากสินค้ามีรสชาติขม รสชาติ สีของขนม ผิดปกติ</t>
  </si>
  <si>
    <t>ของเคลม Shopee เนื่องจากลูกค้าไม่ได้รับสินค้า</t>
  </si>
  <si>
    <t>ของเคลม Shopee เนื่องจากสินค้าเน่าเสียก่อนวันหมดอายุที่แจ้งข้างกล่อง</t>
  </si>
  <si>
    <t>ของเคลม Shopee เนื่องจากสินค้ามีรสชาติขม รสชาติ สีของขนม ผิดปกติ</t>
  </si>
  <si>
    <t>ของเคลม Shopee ไม่ทราบเหตุผล</t>
  </si>
  <si>
    <t>ของเคลม Line OA เนื่องจากลูกค้าได้รับสินค้าผิดไม่ตรงตามที่สั่ง</t>
  </si>
  <si>
    <t>ของเคลม Line OA เนื่องจากสินค้าเสียหายจากการขนส่ง</t>
  </si>
  <si>
    <t>ของเคลม Line OA เนื่องจากสินค้าเน่าเสียก่อนวันหมดอายุที่แจ้งข้างกล่อง</t>
  </si>
  <si>
    <t>ของเคลม Line OA เนื่องจากสินค้ามีรสชาติขม รสชาติ สีของขนม ผิดปกติ</t>
  </si>
  <si>
    <t>ของเคลม Line OA เนื่องจากสินค้าไม่มี</t>
  </si>
  <si>
    <t>ของเคลม Line OA ไม่ทราบเหตุผล</t>
  </si>
  <si>
    <t>ของเคลม Facebook , Facebook Live เนื่องจากลูกค้าได้รับสินค้าไม่ครบ</t>
  </si>
  <si>
    <t>ของเคลม Facebook , Facebook Live เนื่องจากลูกค้าได้รับสินค้าผิดไม่ตรงตามที่สั่ง</t>
  </si>
  <si>
    <t>ของเคลม Facebook , Facebook Live เนื่องจากลูกค้าไม่ได้รับสินค้า</t>
  </si>
  <si>
    <t>ของเคลม Facebook , Facebook Live เนื่องจากสินค้าเสียหายจากการขนส่ง</t>
  </si>
  <si>
    <t>ของเคลม Facebook , Facebook Live เนื่องจากสินค้าเน่าเสียก่อนวันหมดอายุที่แจ้งข้างกล่อง</t>
  </si>
  <si>
    <t>ของเคลม Facebook , Facebook Live เนื่องจากสินค้ามีรสชาติขม รสชาติ สีของขนม ผิดปกติ</t>
  </si>
  <si>
    <t>ของเคลม Facebook , Facebook Live เนื่องจากสินค้าไม่มี</t>
  </si>
  <si>
    <t>ของเคลม Facebook , Facebook Live ไม่ทราบเหตุผล</t>
  </si>
  <si>
    <t>ของเคลม Tiktok เนื่องจากลูกค้าได้รับสินค้าไม่ครบ</t>
  </si>
  <si>
    <t>ของเคลม Tiktok เนื่องจากลูกค้าได้รับสินค้าผิดไม่ตรงตามที่สั่ง</t>
  </si>
  <si>
    <t>ของเคลม Tiktok เนื่องจากลูกค้าไม่ได้รับสินค้า</t>
  </si>
  <si>
    <t>ของเคลม TikTok เนื่องจากสินค้าเสียหายจากการขนส่ง</t>
  </si>
  <si>
    <t>ของเคลม TikTok เนื่องจากสินค้าเน่าเสียก่อนวันหมดอายุที่แจ้งข้างกล่อง</t>
  </si>
  <si>
    <t>ของเคลม Tiktok เนื่องจากสินค้ามีรสชาติขม รสชาติ สีของขนม ผิดปกติ</t>
  </si>
  <si>
    <t>ของเคลม Tiktok เนื่องจากสินค้าไม่มี</t>
  </si>
  <si>
    <t>ของเคลม Tiktok ไม่ทราบเหตุผล</t>
  </si>
  <si>
    <t>ของเคลม ไปรษณีย์ เนื่องจากลูกค้าได้รับสินค้าผิดไม่ตรงตามที่สั่ง</t>
  </si>
  <si>
    <t>ของเคลม ไปรษณีย์ เนื่องจากลูกค้าไม่ได้รับสินค้า</t>
  </si>
  <si>
    <t>ของเคลม ไปรษณีย์ เนื่องจากสินค้าเสียหายจากการขนส่ง</t>
  </si>
  <si>
    <t>ของเคลม ไปรษณีย์ เนื่องจากสินค้าเน่าเสียก่อนวันหมดอายุที่แจ้งข้างกล่อง</t>
  </si>
  <si>
    <t>ของเคลม ไปรษณีย์ เนื่องจากสินค้าไม่มี</t>
  </si>
  <si>
    <t xml:space="preserve">ของเคลม ตัวแทนเส้น </t>
  </si>
  <si>
    <t xml:space="preserve">เคลมลูกค้านัดรับ เส้น </t>
  </si>
  <si>
    <t>ของเคลม ไปรษณีย์ ไม่ทราบเหตุผล</t>
  </si>
  <si>
    <t>ของเคลม ไปรษณีย์ เนื่องจากสินค้ามีรสชาติขม รสชาติ สีของขนม ผิดปกติ</t>
  </si>
  <si>
    <t>เคลมเนื่องจากส่งสินค้าผิด</t>
  </si>
  <si>
    <t>วันที่ส่ง</t>
  </si>
  <si>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</si>
  <si>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</si>
  <si>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</si>
  <si>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</si>
  <si>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</si>
  <si>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</si>
  <si>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</si>
  <si>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</si>
  <si>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</si>
  <si>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Item type</t>
  </si>
  <si>
    <t>Weight（kg)</t>
  </si>
  <si>
    <t>Demensions</t>
  </si>
  <si>
    <t>COD Amount</t>
  </si>
  <si>
    <t>Total COD Fee</t>
  </si>
  <si>
    <t>COD VAT 7%</t>
  </si>
  <si>
    <t>Freight</t>
  </si>
  <si>
    <t>Total Charge</t>
  </si>
  <si>
    <t>suckjakkure@hotmail.com</t>
  </si>
  <si>
    <t>0642427575</t>
  </si>
  <si>
    <t>วรรณวนัชเบเกอรี่</t>
  </si>
  <si>
    <t>FACEBOOK</t>
  </si>
  <si>
    <t>Others</t>
  </si>
  <si>
    <t>เอกชน</t>
  </si>
  <si>
    <t>ปราณี ศิริสิน</t>
  </si>
  <si>
    <t>0851113598</t>
  </si>
  <si>
    <t xml:space="preserve"> 318/2ซ.เจริญสุขถ.พระราม4 คลองเตย คลองเตย กรุงเทพ 10110</t>
  </si>
  <si>
    <t>คุณอัจฉรา บุตรสาร</t>
  </si>
  <si>
    <t>0949599796</t>
  </si>
  <si>
    <t>บริษัท เพชรประเสริฐ จำกัด</t>
  </si>
  <si>
    <t>034613074</t>
  </si>
  <si>
    <t>พิชัย</t>
  </si>
  <si>
    <t>0897413516</t>
  </si>
  <si>
    <t>อังคณา</t>
  </si>
  <si>
    <t>0632718866</t>
  </si>
  <si>
    <t>0865002868</t>
  </si>
  <si>
    <t>0851360738</t>
  </si>
  <si>
    <t>2</t>
  </si>
  <si>
    <t>021465959</t>
  </si>
  <si>
    <t>056711315</t>
  </si>
  <si>
    <t>0944831646</t>
  </si>
  <si>
    <t>0836525845</t>
  </si>
  <si>
    <t>0838918833</t>
  </si>
  <si>
    <t>บมจ.Attn คุณปัทมา</t>
  </si>
  <si>
    <t>0877831697</t>
  </si>
  <si>
    <t>0822262497</t>
  </si>
  <si>
    <t>0933752341</t>
  </si>
  <si>
    <t>0899282042</t>
  </si>
  <si>
    <t>สาเหตุส่งเคลม</t>
  </si>
  <si>
    <t>วานณี</t>
  </si>
  <si>
    <t>0816864644</t>
  </si>
  <si>
    <t>359/157 ซ.8/2 หมู่บ้านโกลเด้นนีโอ2 บางแค ถ.กาญจนาภิเษก5/1 หลักสอง บางแค กรุงเทพ 10160</t>
  </si>
  <si>
    <t>Total</t>
  </si>
  <si>
    <t>ไปรษณีย์ไทย</t>
  </si>
  <si>
    <t>พรทิพย์ อิฐรัตน์</t>
  </si>
  <si>
    <t>ผู้รับผิดชอบดูแล</t>
  </si>
  <si>
    <t>Packing</t>
  </si>
  <si>
    <t>Packing / Online</t>
  </si>
  <si>
    <t>ฝ่ายผลิต</t>
  </si>
  <si>
    <t>Online</t>
  </si>
  <si>
    <t>0892177272</t>
  </si>
  <si>
    <t>พิชัยรัตน์ไล่กสิกรรม</t>
  </si>
  <si>
    <t>หบพฤกษาวิวล์..27/255 ถ.สามวา เฃตมีนบุรี มีนบุรี มีนบุรี กรุงเทพ 10510</t>
  </si>
  <si>
    <t>บริษัท ฉะเชิงเทราผลิตภัณฑ์คอนกรีตอัดแรง จำกัด</t>
  </si>
  <si>
    <t>คุณคณิตตา โตสงคราม</t>
  </si>
  <si>
    <t>0922964912</t>
  </si>
  <si>
    <t>40/3 หมู่ 1 พนมรอก ท่าตะโก นครสวรรค์ 60160</t>
  </si>
  <si>
    <t>ศิราณี สมบูรณ์ผล</t>
  </si>
  <si>
    <t>0897985725</t>
  </si>
  <si>
    <t>46/49 ซ.บางปลา 30 ม.9 บางปลา บางพลี สมุทรปราการ 10540</t>
  </si>
  <si>
    <t xml:space="preserve">อรุณสินี บุญยะวาร </t>
  </si>
  <si>
    <t>0945716244</t>
  </si>
  <si>
    <t>คอนโดวังเกษม ตึก 1 เลขที่ 219/18 ร้านต้นหอม ซอยเพชรเกษม65 หลักสอง บางแค กรุงเทพ 10160</t>
  </si>
  <si>
    <t>บุญฤทธิ์</t>
  </si>
  <si>
    <t>205/1 ถนนกำแพงเพชร6 ชุมชนสตีเหล็ก ดอนเมือง ดอนเมือง กรุงเทพ 10210</t>
  </si>
  <si>
    <t>เนตรทราย ชุมภูทอง</t>
  </si>
  <si>
    <t>0617704951</t>
  </si>
  <si>
    <t>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t>
  </si>
  <si>
    <t>0624323924</t>
  </si>
  <si>
    <t>0851896918</t>
  </si>
  <si>
    <t>ยุวดี ชัยรัตน์</t>
  </si>
  <si>
    <t>0902911583</t>
  </si>
  <si>
    <t>299ม.10 สมอทอง ท่าชนะ สุราษฎร์ธานี 84170</t>
  </si>
  <si>
    <t>0630318656</t>
  </si>
  <si>
    <t>0898950681</t>
  </si>
  <si>
    <t>วิลัยพร.ภิระรรณ</t>
  </si>
  <si>
    <t>0894157437</t>
  </si>
  <si>
    <t>218/35หมู่3 อ้อมน้อย กระทุ่มแบน สมุทรสาคร 74130</t>
  </si>
  <si>
    <t>0814369724</t>
  </si>
  <si>
    <t>0872823563</t>
  </si>
  <si>
    <t>52/7 ม.4 ครน สวี ชุมพร 86130</t>
  </si>
  <si>
    <t>0930601534</t>
  </si>
  <si>
    <t>145/5ม.4ต. วังตะกอ หลังสวน ชุมพร 86110</t>
  </si>
  <si>
    <t>0841636799</t>
  </si>
  <si>
    <t>คุณวิสา หัดกล้า</t>
  </si>
  <si>
    <t>0627418942</t>
  </si>
  <si>
    <t>45/7 หมู่ 9 ซอย ประชาอุทิศ 14 ราษฎร์บูรณะ ราษฎร์บูรณะ กรุงเทพ 10140</t>
  </si>
  <si>
    <t>0938533137</t>
  </si>
  <si>
    <t>0940531739</t>
  </si>
  <si>
    <t>อรวรรณ กลิ่นสุคนธ์</t>
  </si>
  <si>
    <t>0624723931</t>
  </si>
  <si>
    <t>111/140 ซอย5 หมู่บ้านภัทรไพรเวท1 สามโคก สามโคก ปทุมธานี 12160</t>
  </si>
  <si>
    <t>คุณอสมาภรณ์ ฤาชัย</t>
  </si>
  <si>
    <t>0870928879</t>
  </si>
  <si>
    <t>18/143ม2หมู่บ้านแสงระวี บางแก้ว บางพลี สมุทรปราการ 10540</t>
  </si>
  <si>
    <t>จารีย์ ไร่ใหญ่</t>
  </si>
  <si>
    <t>0936699342</t>
  </si>
  <si>
    <t>900801206010597</t>
  </si>
  <si>
    <t>906815728009721</t>
  </si>
  <si>
    <t>579242639958051041</t>
  </si>
  <si>
    <t>579242905526438911</t>
  </si>
  <si>
    <t>579243224466492155</t>
  </si>
  <si>
    <t>579243224846732027</t>
  </si>
  <si>
    <t>579243248210118704</t>
  </si>
  <si>
    <t>901053020741847</t>
  </si>
  <si>
    <t>901056403841847</t>
  </si>
  <si>
    <t>579244585222638440</t>
  </si>
  <si>
    <t>2408258PXV00HR</t>
  </si>
  <si>
    <t>915654159752305</t>
  </si>
  <si>
    <t>915772949752620</t>
  </si>
  <si>
    <t>909818280052305</t>
  </si>
  <si>
    <t>909927229068620</t>
  </si>
  <si>
    <t>910173202152305</t>
  </si>
  <si>
    <t>910217849932292</t>
  </si>
  <si>
    <t>910256024179950</t>
  </si>
  <si>
    <t>916392963176220</t>
  </si>
  <si>
    <t>916405363764070</t>
  </si>
  <si>
    <t>910240096528038</t>
  </si>
  <si>
    <t>910256493016244</t>
  </si>
  <si>
    <t>916449520284239</t>
  </si>
  <si>
    <t xml:space="preserve">นงนุช ตันติวรสิทธิ์ </t>
  </si>
  <si>
    <t>ภรภัทร ภัคมัน</t>
  </si>
  <si>
    <t>0832384869</t>
  </si>
  <si>
    <t xml:space="preserve"> 198/80 ม.บึงสีไฟ เลควิลล์ เมืองเก่า เมืองพิจิตร พิจิตร 66000</t>
  </si>
  <si>
    <t>กวิน พฤกษา</t>
  </si>
  <si>
    <t>0909892682</t>
  </si>
  <si>
    <t>ไพเราะ รัตนเกตุ</t>
  </si>
  <si>
    <t>0901244240</t>
  </si>
  <si>
    <t>2/1 ถ. ทางไผ่ 2 ซอย 3 เชิงเนิน เมืองระยอง ระยอง 21000</t>
  </si>
  <si>
    <t>0935294563</t>
  </si>
  <si>
    <t>ครูกุ้งใหญ่</t>
  </si>
  <si>
    <t>0634682808</t>
  </si>
  <si>
    <t>ร.ร.นครนนท์วิทยา3วัดนครอินทร์ 164/1 ม.6 สวนใหญ่ เมืองนนทบุรี นนทบุรี 11000</t>
  </si>
  <si>
    <t>น.ส.ชมัยพร สอาด</t>
  </si>
  <si>
    <t>67/2 หมู่4 ชากบก บ้านค่าย ระยอง 21120</t>
  </si>
  <si>
    <t>ยอดอ้อย จันทร์แดง</t>
  </si>
  <si>
    <t>0943137260</t>
  </si>
  <si>
    <t>244/393 หมู่บ้านเธียรสวน ซอยรามอินทรา 5 3-13 ถนนรามอินทราซอยย่อยที่ 2 ซ้ายมือ เป็นทาวน์เฮาวน์ ประตูสีอิฐ อนุสาวรีย์ บางเขน กรุงเทพ 10220</t>
  </si>
  <si>
    <t>คุณสุมลลักษณ์ ซ.เพชรเจริญ</t>
  </si>
  <si>
    <t>0917287549</t>
  </si>
  <si>
    <t>เดชพงศานุวัตร ร้านพรนิภาการปัก 42 ในเมือง เมืองเพชรบูรณ์ เพชรบูรณ์ 67000</t>
  </si>
  <si>
    <t>รจนาบุญทา</t>
  </si>
  <si>
    <t>0800606527</t>
  </si>
  <si>
    <t>55หมู่2บ้านนาทราย นาสิงห์ ศรีวิไล บึงกาฬ 38210</t>
  </si>
  <si>
    <t>0866978704</t>
  </si>
  <si>
    <t>วสิฐี คุณเขต</t>
  </si>
  <si>
    <t>0818707912</t>
  </si>
  <si>
    <t>252/36 ซอย1/1 ศุภาลัยทัสคานี วัลเลย์ ถนนโชตนา แม่สา แม่ริม เชียงใหม่ 50180</t>
  </si>
  <si>
    <t xml:space="preserve">วศินี วันสบสินธุ์ </t>
  </si>
  <si>
    <t>ส่ง333ม.5บ้านมะค่าสี่ซอง หนองพลับ หัวหิน ประจวบคึรีขันธุ์ หนองพลับ หัวหิน ประจวบคีรีขันธ์ 77110</t>
  </si>
  <si>
    <t>จริยา นิหมาน</t>
  </si>
  <si>
    <t>211/23 ถ.หล้งศูนย์ราชการ ในเมือง เมืองขอนแก่น ขอนแก่น 40000</t>
  </si>
  <si>
    <t>แผนกการเงิน/บัญชี หจก.ควิค เซ็ทอัพ เซอร์วิส</t>
  </si>
  <si>
    <t>021570289</t>
  </si>
  <si>
    <t xml:space="preserve"> 45/219 หมู่ &amp; หมู่บ้าน สิริกานต์ เดอะ แกรนด์ ไพรเวท 21140 โทร. ใบหัก เสาธงหิน บางใหญ่ นนทบุรี 11140</t>
  </si>
  <si>
    <t>0863404426</t>
  </si>
  <si>
    <t>020224922</t>
  </si>
  <si>
    <t>027652999</t>
  </si>
  <si>
    <t>0806847970</t>
  </si>
  <si>
    <t>0885307472</t>
  </si>
  <si>
    <t>สุภาพร จุติชัย</t>
  </si>
  <si>
    <t>0811998458</t>
  </si>
  <si>
    <t>10หมู่6ถนนสายตรี ซอย11 ดีลัง พัฒนานิคม ลพบุรี 15220</t>
  </si>
  <si>
    <t>สัมฤทธิ์เรือสมัย</t>
  </si>
  <si>
    <t>0997362387</t>
  </si>
  <si>
    <t>302 หมู่ 9 วังกระแจะ เมืองตราด ตราด 23000</t>
  </si>
  <si>
    <t>กัลยรัตน์ ดิลกชาติ</t>
  </si>
  <si>
    <t>0899261002</t>
  </si>
  <si>
    <t>69 หมู่ 2 ป่าตาล เมืองลพบุรี ลพบุรี 15000</t>
  </si>
  <si>
    <t>ชุลีย์ เจริญ</t>
  </si>
  <si>
    <t>0853061825</t>
  </si>
  <si>
    <t>JB088837555TH</t>
  </si>
  <si>
    <t>JB088837564TH</t>
  </si>
  <si>
    <t>LEXPU0405163443</t>
  </si>
  <si>
    <t>LEXPU0405215321</t>
  </si>
  <si>
    <t>LEXDO0115601688</t>
  </si>
  <si>
    <t>JB088985510TH</t>
  </si>
  <si>
    <t>LEXPU0406037110</t>
  </si>
  <si>
    <t>LEXPU0405957380</t>
  </si>
  <si>
    <t>TH660668HERD0A</t>
  </si>
  <si>
    <t>JB088985695TH</t>
  </si>
  <si>
    <t>JB088985775TH</t>
  </si>
  <si>
    <t>LBX024766762537572</t>
  </si>
  <si>
    <t>LEXPU0406036438</t>
  </si>
  <si>
    <t>JB089109531TH</t>
  </si>
  <si>
    <t>22774663882</t>
  </si>
  <si>
    <t>LBX024766763945512</t>
  </si>
  <si>
    <t>LEXPU0406707836</t>
  </si>
  <si>
    <t>LEXPU0406705101</t>
  </si>
  <si>
    <t>LEXPU0406705419</t>
  </si>
  <si>
    <t>TH140568TFQC4F</t>
  </si>
  <si>
    <t>JB089209336TH</t>
  </si>
  <si>
    <t>JB089209415TH</t>
  </si>
  <si>
    <t>JB089209424TH</t>
  </si>
  <si>
    <t>JB089283725TH</t>
  </si>
  <si>
    <t>JB089283760TH</t>
  </si>
  <si>
    <t>0916981461</t>
  </si>
  <si>
    <t>นางเกษร นาคคุ้ม</t>
  </si>
  <si>
    <t>0955098320</t>
  </si>
  <si>
    <t>107/1 ม.6 สระแก้ว เมืองสุพรรณบุรี สุพรรณบุรี 72230</t>
  </si>
  <si>
    <t>คุณพรพิมล มะภู่ทอง</t>
  </si>
  <si>
    <t xml:space="preserve">กรภัทร อรรถคีรี </t>
  </si>
  <si>
    <t>สุวรรณา ดาราไกร</t>
  </si>
  <si>
    <t>JB117850551TH</t>
  </si>
  <si>
    <t>JB117850565TH</t>
  </si>
  <si>
    <t>JB118037803TH</t>
  </si>
  <si>
    <t>JB118209962TH</t>
  </si>
  <si>
    <t>กฤษชนพลฐ์ ตั้งตระกูล</t>
  </si>
  <si>
    <t>0803647022</t>
  </si>
  <si>
    <t xml:space="preserve"> วัดบ่อทับใต้ หมู่ 5 หนองสรวง หนองฉาง อุทัยธานี 61110</t>
  </si>
  <si>
    <t>ศรัณรัฎ คำถนอม</t>
  </si>
  <si>
    <t>0819142624</t>
  </si>
  <si>
    <t xml:space="preserve"> 19/26หมู่11 ซอยปีกไม้3 บ้านใหม่ บางใหญ่ นนทบุรี 11140</t>
  </si>
  <si>
    <t>พชรณัฐ ชำนาญกิจ</t>
  </si>
  <si>
    <t>0949899696</t>
  </si>
  <si>
    <t>42/1 หมู่10 แก้วแสน นาบอน นครศรีธรรมราช 80220</t>
  </si>
  <si>
    <t>JB117464195TH</t>
  </si>
  <si>
    <t>ผกานันท์</t>
  </si>
  <si>
    <t>188/5 ซอยอิสรภาพ 36 ถนน อิสรภาพ วัดอรุณ บางกอกใหญ่ กรุงเทพ 10600</t>
  </si>
  <si>
    <t>JB117464181TH</t>
  </si>
  <si>
    <t>899/203 ม.9 สินนครวิลล์ ถนน ประชาอุทิศ ในคลองบางปลากด พระสมุทรเจดีย์ สมุทรปราการ 10290</t>
  </si>
  <si>
    <t>JB117464178TH</t>
  </si>
  <si>
    <t>109/1 ถนนพัทลุง บ่อยาง เมืองสงขลา สงขลา บ่อยาง เมืองสงขลา สงขลา 90000</t>
  </si>
  <si>
    <t>JB117464164TH</t>
  </si>
  <si>
    <t>ยงยุทธ บุญแจ้ง</t>
  </si>
  <si>
    <t>0848268200</t>
  </si>
  <si>
    <t>ด่านตรวจสัตว์ป่ามุกดาหาร บางทรายใหญ่ มุกดาหาร เมือง บางทรายใหญ่ เมืองมุกดาหาร มุกดาหาร 49000</t>
  </si>
  <si>
    <t>JB117464155TH</t>
  </si>
  <si>
    <t>อาณัติ</t>
  </si>
  <si>
    <t>0812047312</t>
  </si>
  <si>
    <t>หมู 37 หมู่ 1 ซอย รร.บ้านทอนเสียด ซอยหวยปราง บางพระเหนือ ละอุ่น ระนอง บางพระเหนือ ละอุ่น ระนอง 85130</t>
  </si>
  <si>
    <t>JB117464147TH</t>
  </si>
  <si>
    <t>คูรสมพงษ์</t>
  </si>
  <si>
    <t>0847789786</t>
  </si>
  <si>
    <t>34/22 หมู่บ้านนาวีเฮาส์ ซอยสุขุมวิท 10 สัตหีบ สัตหีบ ชลบุรี สัตหีบ สัตหีบ ชลบุรี 20180</t>
  </si>
  <si>
    <t>JB117464133TH</t>
  </si>
  <si>
    <t>57/73 ม.1 หมู่บ้าน โมดิวิลล่า ปิ่นเกล้า วงแหวน ศาลากลาง บางกรวย นนทบุรี ศาลากลาง บางกรวย นนทบุรี 11130</t>
  </si>
  <si>
    <t>JA088637130TH</t>
  </si>
  <si>
    <t>สุเทพ ธรรมจันทร์</t>
  </si>
  <si>
    <t>42/60 ม.9 หมู่บ้านอีโคเฮ้าส์ ถนนวงแหวนลำลูกกา บึงคำพร้อย ลำลูกกา ปทุมธานี บึงคำพร้อย ลำลูกกา ปทุมธานี 12150</t>
  </si>
  <si>
    <t>JA088637126TH</t>
  </si>
  <si>
    <t>คุณจุ๋ม</t>
  </si>
  <si>
    <t>0983585993</t>
  </si>
  <si>
    <t>238/1 ม.1 ถ.พนังชลประทาน หาดคำ เมืองหนองคาย หนองคาย หาดคำ เมืองหนองคาย หนองคาย 43000</t>
  </si>
  <si>
    <t>JA088637112TH</t>
  </si>
  <si>
    <t>3 หมู่ 8 อ่าวนาง เมืองกระบี่ กระบี่ 81210</t>
  </si>
  <si>
    <t>JA088637109TH</t>
  </si>
  <si>
    <t>วีรยา ทรงดาวเรือง</t>
  </si>
  <si>
    <t>0646319924</t>
  </si>
  <si>
    <t>15 เพชรเกษม88 บ้านหลังสีชมพูมีตู้น้ำดื่มหยอดเหรียญสีเขียวหน้าบ้าน บางแค บางแค กรุงเทพ 10160</t>
  </si>
  <si>
    <t>JA088637090TH</t>
  </si>
  <si>
    <t>รุ่งทิพย์ ภูบุตตะ</t>
  </si>
  <si>
    <t>29/21 ม.4 ซอยประเสริฐ ถ.เลียบคลองบางไทร บางคูลัด บางบัวทอง นนทบุรี บางคูรัด บางบัวทอง นนทบุรี 11110</t>
  </si>
  <si>
    <t>JA088637086TH</t>
  </si>
  <si>
    <t>อนุ นุ่มอุปถัมภ์</t>
  </si>
  <si>
    <t>0871360451</t>
  </si>
  <si>
    <t>10 ซอยประชาราม โคกสำโรง โคกสำโรง ลพบุรี โคกสำโรง โคกสำโรง ลพบุรี 15120</t>
  </si>
  <si>
    <t>JA088637072TH</t>
  </si>
  <si>
    <t>พรหมไหม</t>
  </si>
  <si>
    <t>225 ม.5 บางปูใหม่ เมืองสมุทรปราการ สมุทรปราการ 10280</t>
  </si>
  <si>
    <t>JA088637069TH</t>
  </si>
  <si>
    <t>สมพร อุดม</t>
  </si>
  <si>
    <t>0926260654</t>
  </si>
  <si>
    <t>48/4 ม.6 ป่ายุบใน วังจันทร์ ระยอง ป่ายุบใน วังจันทร์ ระยอง 21210</t>
  </si>
  <si>
    <t>JA088637055TH</t>
  </si>
  <si>
    <t>โสภา อึ๊งเจริญสุรศักดิ์</t>
  </si>
  <si>
    <t>0946452598</t>
  </si>
  <si>
    <t>หมู่บ้านบูรพาแลนด์อัสสัมชัญศรีราชา 188/44 ม.2 สุรศักดิ์ ศรีราชา ชลบุรี 20110</t>
  </si>
  <si>
    <t>JA088637041TH</t>
  </si>
  <si>
    <t>120/811 ม.2 อุ่นอารี ท้ายบ้านใหม่ ท้ายบ้านใหม่ เมืองสมุทรปราการ สมุทรปราการ 10280</t>
  </si>
  <si>
    <t>JB117474294TH</t>
  </si>
  <si>
    <t xml:space="preserve">บริษัท เวอร์เต้ ลาโบลาทัวร์ จำกัด </t>
  </si>
  <si>
    <t>75/57 ซอยสุขุมวิท 19 วัฒนา ถนนสุขุมวิท ยานนาวา สาทร กรุงเทพ 10120</t>
  </si>
  <si>
    <t>JB117474303TH</t>
  </si>
  <si>
    <t xml:space="preserve"> 66/3 ม.4 สิบเอ็ดศอก บ้านโพธิ์ ฉะเชิงเทรา สิบเอ็ดศอก บ้านโพธิ์ ฉะเชิงเทรา 24140</t>
  </si>
  <si>
    <t>JB117474317TH</t>
  </si>
  <si>
    <t>K.ภาณุพงศ์ ทองสิงห์</t>
  </si>
  <si>
    <t>230/1 ถ.บรมไตรโลกนารถ 2 ในเมือง เมืองพิษณุโลก ในเมือง เมืองพิษณุโลก พิษณุโลก 65000</t>
  </si>
  <si>
    <t>JB117533222TH</t>
  </si>
  <si>
    <t>JB117533559TH</t>
  </si>
  <si>
    <t>นางสาวดวงฤทัย พรหมสุข</t>
  </si>
  <si>
    <t>0904764866</t>
  </si>
  <si>
    <t>162/49 ซิลค์ สุขสวัสดิ์โฮมออฟฟิส ถนนสุขสวัสดิ์ ราษฎร์บูรณะ ราษฎร์บูรณะ ราษฎร์บูรณะ กรุงเทพ 10140</t>
  </si>
  <si>
    <t>JA092754804TH</t>
  </si>
  <si>
    <t>JA092754781TH</t>
  </si>
  <si>
    <t xml:space="preserve">สุพัตรา แก้วถึง </t>
  </si>
  <si>
    <t>0616831788</t>
  </si>
  <si>
    <t>13 เกษมสันต์ 1 อ่อนนุช 17 แยก 11 สวนหลวง สวนหลวง กรุงเทพ 10250</t>
  </si>
  <si>
    <t>JA092754778TH</t>
  </si>
  <si>
    <t>สมบูรณ์ศิริพยัคฆ์</t>
  </si>
  <si>
    <t>0848860279</t>
  </si>
  <si>
    <t>15/3 หมู่ 1 ทัพทัน ทัพทัน อุทัยธานี 61120</t>
  </si>
  <si>
    <t>JA092754755TH</t>
  </si>
  <si>
    <t>สมหมาย อิ่มสะอาด</t>
  </si>
  <si>
    <t>0853150564</t>
  </si>
  <si>
    <t>63 ม.5บ.หนองเรือ ต.บ้านแปรง อ.ด่านขุนทด จ.นครารชสีมา บ้านแปรง ด่านขุนทด นครราชสีมา 36220</t>
  </si>
  <si>
    <t>JA092754733TH</t>
  </si>
  <si>
    <t>JA092754693TH</t>
  </si>
  <si>
    <t>JA092754680TH</t>
  </si>
  <si>
    <t>สุนิษา วังเย็น</t>
  </si>
  <si>
    <t>0814524887</t>
  </si>
  <si>
    <t>515หมู่2 เขาคันทรง ศรีราชา ชลบุรี 20110</t>
  </si>
  <si>
    <t>JA092754659TH</t>
  </si>
  <si>
    <t>JA092754645TH</t>
  </si>
  <si>
    <t>นุจนารถ ศรีสำราญ</t>
  </si>
  <si>
    <t>0812825066</t>
  </si>
  <si>
    <t>194/1 ม.1 ถ.มาลาอุทิศ วาริชภูมิ วาริชภูมิ สกลนคร 47150</t>
  </si>
  <si>
    <t>JA092754631TH</t>
  </si>
  <si>
    <t>JA092754628TH</t>
  </si>
  <si>
    <t>พี่ปุ๊ก</t>
  </si>
  <si>
    <t>0826529609</t>
  </si>
  <si>
    <t>25/6 สุขสวัสดิ์26 บางมด จอมทอง กรุงเทพ 10150</t>
  </si>
  <si>
    <t>JA092754614TH</t>
  </si>
  <si>
    <t>สมศักดิ์ จับช้ิน</t>
  </si>
  <si>
    <t>0984743011</t>
  </si>
  <si>
    <t>16/3หมุ่13 บางปลา บางพลี สมุทรปราการ 10540</t>
  </si>
  <si>
    <t>JA092754605TH</t>
  </si>
  <si>
    <t>ตู่ หวลจันทึก</t>
  </si>
  <si>
    <t>0899669791</t>
  </si>
  <si>
    <t xml:space="preserve"> 19ม.18 วังหมี วังน้ำเขียว นครราชสีมา 30370</t>
  </si>
  <si>
    <t>JA092754591TH</t>
  </si>
  <si>
    <t>กรภัทร อรรถคีรี</t>
  </si>
  <si>
    <t>0619292220</t>
  </si>
  <si>
    <t xml:space="preserve"> น้ำปลาร้ามังกรทอง 870 ม.9 ช่องสามหมอ แก้งคร้อ ชัยภูมิ 36150</t>
  </si>
  <si>
    <t>JB117592150TH</t>
  </si>
  <si>
    <t>จิตติมา ประพัศรานนท์</t>
  </si>
  <si>
    <t>0867094847</t>
  </si>
  <si>
    <t xml:space="preserve"> 444 บ.เอนไกไทย ซ.6 ม.17 บางเสาธง บางเสาธง สมุทรปราการ 10570</t>
  </si>
  <si>
    <t>JB117592146TH</t>
  </si>
  <si>
    <t>ศรีประภา หริ่งรอด</t>
  </si>
  <si>
    <t>0899262717</t>
  </si>
  <si>
    <t>117 หมู่ 2 หาดท่าเสา เมืองชัยนาท ชัยนาท 17000</t>
  </si>
  <si>
    <t>JB117592132TH</t>
  </si>
  <si>
    <t>JB117592129TH</t>
  </si>
  <si>
    <t>Zhang Sung Sung</t>
  </si>
  <si>
    <t>0819072806</t>
  </si>
  <si>
    <t>ร้าน KZY Coffee ติดกับร้าน Mixue หิมะแดง 111/5 ถ.พหลโยธิน อนุสาวรีย์ บางเขน กรุงเทพ 10220</t>
  </si>
  <si>
    <t>JB117592115TH</t>
  </si>
  <si>
    <t>หลวงพี่โทนี่ โก้</t>
  </si>
  <si>
    <t>0834967898</t>
  </si>
  <si>
    <t>วัดบ้านหนองแหน นาโพธิ์ กุดรัง มหาสารคาม 44130</t>
  </si>
  <si>
    <t>JA093104677TH</t>
  </si>
  <si>
    <t>ณรงค์ศักดิ์ ฉบับตรง</t>
  </si>
  <si>
    <t>0922042888</t>
  </si>
  <si>
    <t>89/4 หมู่4 ซอยโรงเรียนวัดหนองเสือ เกาะขนุน พนมสารคาม ฉะเชิงเทรา 24120</t>
  </si>
  <si>
    <t>JA093104663TH</t>
  </si>
  <si>
    <t>JA093104650TH</t>
  </si>
  <si>
    <t>JA093104646TH</t>
  </si>
  <si>
    <t>JA093104632TH</t>
  </si>
  <si>
    <t xml:space="preserve">สมนึก/จัตุรัส/ </t>
  </si>
  <si>
    <t>0633146816</t>
  </si>
  <si>
    <t>10/8หมุ่11/ กองดิน แกลง ระยอง 22160</t>
  </si>
  <si>
    <t>JA093104629TH</t>
  </si>
  <si>
    <t>จีระพร เบ็ญจมาศ</t>
  </si>
  <si>
    <t xml:space="preserve"> 48 หมู่ 3 บ.ห้วยผักหละ แม่กุ แม่สอด จ. ตาก แม่กุ แม่สอด ตาก 63110</t>
  </si>
  <si>
    <t>JA093104615TH</t>
  </si>
  <si>
    <t>JA093104601TH</t>
  </si>
  <si>
    <t>JA093104592TH</t>
  </si>
  <si>
    <t>ปราณี พลับพลาทอง</t>
  </si>
  <si>
    <t>264*32ซ สุขสวัสแขวงบางประกอกเขตราษบรุนะ บางปะกอก ราษฎร์บูรณะ กรุงเทพ 10140</t>
  </si>
  <si>
    <t>JA093104589TH</t>
  </si>
  <si>
    <t>JA093104575TH</t>
  </si>
  <si>
    <t>JA093104561TH</t>
  </si>
  <si>
    <t>JB117721469TH</t>
  </si>
  <si>
    <t>JB117721455TH</t>
  </si>
  <si>
    <t>ชนะศึก จุลกะ</t>
  </si>
  <si>
    <t>0948712574</t>
  </si>
  <si>
    <t>49/109 หมู่บ้านแก้วถาวรซอย3 เสาธงหิน บางใหญ่ นนทบุรี 11140</t>
  </si>
  <si>
    <t>JB117721441TH</t>
  </si>
  <si>
    <t>Gft</t>
  </si>
  <si>
    <t>0924142455</t>
  </si>
  <si>
    <t>288/21 The Best กิ่งแก้ว-สุวรรณภูมิ กิ่งแก้วซอย19 ถนนกิ่งแก้ว ราชาเทวะ บางพลี สมุทรปราการ 10540</t>
  </si>
  <si>
    <t>JB117721438TH</t>
  </si>
  <si>
    <t>คุณพัณณิตา วงศ์จันทร์</t>
  </si>
  <si>
    <t>0957540998</t>
  </si>
  <si>
    <t>417 ม.1 ทุ่งควายกิน แกลง ระยอง 21110</t>
  </si>
  <si>
    <t>JB117721424TH</t>
  </si>
  <si>
    <t>คุณเทวราช ทองดอนเหมือน</t>
  </si>
  <si>
    <t>0928289049</t>
  </si>
  <si>
    <t>228/1 ม.6 ทุ่งน้าว สอง แพร่ 54120</t>
  </si>
  <si>
    <t>JB117721415TH</t>
  </si>
  <si>
    <t>JB117721407TH</t>
  </si>
  <si>
    <t>ต้อก</t>
  </si>
  <si>
    <t>0898166829</t>
  </si>
  <si>
    <t>89/บ้านผักตบ.หมุ7ต.ปลาโหล.อ.วาริชภูมิ.จ.สกลนคร. ปลาโหล วาริชภูมิ สกลนคร 47150</t>
  </si>
  <si>
    <t>JB117721398TH</t>
  </si>
  <si>
    <t>สำนักงานธุรกิจบ.กิฟฟารีน เลขที่ 157/28 ถนนศรีสุริยวงค์ หน้าเมือง เมืองราชบุรี ราชบุรี 70000</t>
  </si>
  <si>
    <t>JB117721384TH</t>
  </si>
  <si>
    <t>อำไพ ตันสุวรรณ esc thai</t>
  </si>
  <si>
    <t>0953857936</t>
  </si>
  <si>
    <t>wake บ่อเวค ตรงเค้าเตอร์อาหาร 26/29 ม.16 คลองหนึ่ง คลองหลวง ปทุมธานี 12120</t>
  </si>
  <si>
    <t>JB117721375TH</t>
  </si>
  <si>
    <t xml:space="preserve">เสาวรส จัดพล  </t>
  </si>
  <si>
    <t>0868990477</t>
  </si>
  <si>
    <t>เลขที่187 ม.1 ดงกระทงยาม ศรีมหาโพธิ ปราจีนบุรี 25140</t>
  </si>
  <si>
    <t>JB117736931TH</t>
  </si>
  <si>
    <t>JB117736928TH</t>
  </si>
  <si>
    <t>บริษัท ศูนย์ห้องปฏิบัติการและวิจัยทางการ</t>
  </si>
  <si>
    <t>แแพทย์และการเกษตรแห่งเอเชีย จำกัด มหาชน 361 ซ.ลาดพร้าว 122 ถ.ลาดพร้าวโทร. ใบหัก พลับพลา วังทองหลาง กรุงเทพ 10310</t>
  </si>
  <si>
    <t>JB117736914TH</t>
  </si>
  <si>
    <t>แผนกการเงิน/บัญชี บมจ.ดี.ที.ซี.เอ็นเตอร์ไพรส</t>
  </si>
  <si>
    <t xml:space="preserve"> 63 ซ.สุขุมวิท 68 ถ.สุขมวิทโทร. ใบหัก บางนาเหนือ บางนา กรุงเทพ 10260</t>
  </si>
  <si>
    <t>JB117736905TH</t>
  </si>
  <si>
    <t>แผนกการเงิน/บัญชี ใบหัก ณ ที่จ่าย บจก.อินเตอร์เทค</t>
  </si>
  <si>
    <t xml:space="preserve"> เทสติ้ง เชอร์วิสเชส ประเทศไทย 1285/5 ๐ วงศ์สว่าง บางซื่อ กรุงเทพ 10800</t>
  </si>
  <si>
    <t>JB117736891TH</t>
  </si>
  <si>
    <t>คุณจีราวรรณ์ สายโชติ</t>
  </si>
  <si>
    <t>0972023500</t>
  </si>
  <si>
    <t>10 กาญจนาภิเษก 25 แยก 1-4 สะพานสูง สะพานสูง กรุงเทพ 10250</t>
  </si>
  <si>
    <t>JB117736888TH</t>
  </si>
  <si>
    <t xml:space="preserve">บริษัท คลาสซี่ สโตร์ จำกัด </t>
  </si>
  <si>
    <t>บ้านกอก 98/3 หมู่ 7 บ้านเป็ด เมืองขอนแก่น ขอนแก่น 40000</t>
  </si>
  <si>
    <t>JB117736874TH</t>
  </si>
  <si>
    <t xml:space="preserve">บริษัท นินจา เพอร์เฟคชั่น จำกัด </t>
  </si>
  <si>
    <t>อาคารเคพีเอ็น ทาวเวอร์ ห้องเลขที่ ยูนิต D ชั้น 18 719 ถนนพระราม 9 ยานนาวา ยานนาวา สาทร กรุงเทพ 10120</t>
  </si>
  <si>
    <t>JB117736865TH</t>
  </si>
  <si>
    <t xml:space="preserve">บริษัท เวอริเต ลาโบลาทัวร์ จำกัด </t>
  </si>
  <si>
    <t>75/57 ซอยสุขมวิท 19 วัฒนา ถนนสุขมวิท ยานยาวา ยานนาวา สาทร กรุงเทพ 10120</t>
  </si>
  <si>
    <t>JB117736857TH</t>
  </si>
  <si>
    <t>บริษัทวันเดย์ อาฟเตอร์นูน จำกัด</t>
  </si>
  <si>
    <t xml:space="preserve"> 220/6 ม.4 ในคลองบางปลากด พระสมุทรเจดีย์ สมุทรปราการ 10290</t>
  </si>
  <si>
    <t>JB117736843TH</t>
  </si>
  <si>
    <t xml:space="preserve">บริษัท คาร์มาร์ท จำกัด มหาชน </t>
  </si>
  <si>
    <t>81-81/1 ซอย เพชรเกษม 54 แยก 3 บางด้วน ภาษีเจริญ กรุงเทพ 10160</t>
  </si>
  <si>
    <t>JB117798825TH</t>
  </si>
  <si>
    <t>148/521 ซอย รามคำแหง 190 มีนบุรี มีนบุรี มีนบุรี มีนบุรี กรุงเทพ 10510</t>
  </si>
  <si>
    <t>JA093437238TH</t>
  </si>
  <si>
    <t>สายสุนีย์ปันป้อ</t>
  </si>
  <si>
    <t>0959583166</t>
  </si>
  <si>
    <t xml:space="preserve"> 329หมู่5 สันสลี เวียงป่าเป้า เชียงราย 57170</t>
  </si>
  <si>
    <t>JA093437215TH</t>
  </si>
  <si>
    <t xml:space="preserve">พรรณงาม ธนาตระกูลชัย </t>
  </si>
  <si>
    <t>0824676479</t>
  </si>
  <si>
    <t>68/1 หมู่ 6 บ้านน้อย สีคิ้ว สีคิ้ว นครราชสีมา 30140</t>
  </si>
  <si>
    <t>JA093437198TH</t>
  </si>
  <si>
    <t>0808138576</t>
  </si>
  <si>
    <t>113/7 หมู่ 8 หนองจอก หนองจอก กรุงเทพ 10530</t>
  </si>
  <si>
    <t>JA093437167TH</t>
  </si>
  <si>
    <t>พรกมล ศรีบุญปวน</t>
  </si>
  <si>
    <t>0946286257</t>
  </si>
  <si>
    <t>วิทยาลัยเทคนิคลำพูน ต.ในเมือง อ.เมือง จ.ลำพูน 51000 ในเมือง เมืองลำพูน ลำพูน 51000</t>
  </si>
  <si>
    <t>JA093437153TH</t>
  </si>
  <si>
    <t>JA093437136TH</t>
  </si>
  <si>
    <t>นายกิตติพงษ์ จันอยู่</t>
  </si>
  <si>
    <t>0648129526</t>
  </si>
  <si>
    <t>2606/3 ถนนเจริญกรุง ตรงข้ามการไฟฟ้านครหลวง บางคอแหลม บางคอแหลม กรุงเทพ 10120</t>
  </si>
  <si>
    <t>JA093437119TH</t>
  </si>
  <si>
    <t>ยุพาพันธ์</t>
  </si>
  <si>
    <t>0815971276</t>
  </si>
  <si>
    <t>222/13 ม.10 นาทุ่ง เมืองชุมพร ชุมพร 86000</t>
  </si>
  <si>
    <t>JA093437096TH</t>
  </si>
  <si>
    <t>บุญศรี วัชรขจร</t>
  </si>
  <si>
    <t>0872091798</t>
  </si>
  <si>
    <t>68 ม.5 บึงสามัคคี บึงสามัคคี กำแพงเพชร 62210</t>
  </si>
  <si>
    <t>JA093437082TH</t>
  </si>
  <si>
    <t xml:space="preserve">พัชรี เรืองอยู่ </t>
  </si>
  <si>
    <t>JA093437034TH</t>
  </si>
  <si>
    <t xml:space="preserve">Kanok Mangam กนก มางาม </t>
  </si>
  <si>
    <t>0819987473</t>
  </si>
  <si>
    <t>105ม2ตแม่สา อแม่ริม ชม แม่สา แม่ริม เชียงใหม่ 50180</t>
  </si>
  <si>
    <t>JB117850582TH</t>
  </si>
  <si>
    <t>ปิยะ พุทธวงค์ พัช</t>
  </si>
  <si>
    <t>0613563357</t>
  </si>
  <si>
    <t>174/1 ม.11 สถาน เชียงของ เชียงราย 57140</t>
  </si>
  <si>
    <t>JB117850579TH</t>
  </si>
  <si>
    <t>น้ำปลาร้ามังกรทอง 870 ม.9 ช่องสามหมอ แก้งคร้อ ชัยภูมิ 36150</t>
  </si>
  <si>
    <t>0835545813</t>
  </si>
  <si>
    <t xml:space="preserve"> บ้านเลขที่ 59/2 หมู่ 7 ถนนผดุงพันธ์ หนองจอก หนองจอก กรุงเทพ 10530</t>
  </si>
  <si>
    <t>JB117850548TH</t>
  </si>
  <si>
    <t xml:space="preserve">ณัชกรรัตน์ อิศรางกูรณ </t>
  </si>
  <si>
    <t>199/121หมู่บ้านคาซ่าวอเตอร์ไซด์ ถ.นครอินทร์ บางขนุน บางกรวย นนทบุรี 11130</t>
  </si>
  <si>
    <t>JB117850534TH</t>
  </si>
  <si>
    <t>จันทร์เก้า</t>
  </si>
  <si>
    <t>0851821823</t>
  </si>
  <si>
    <t>707/151ม.ศรีทองถ.พิชัยต.ปากเพรียวอ.เมืองสระบุรี ปากเพรียว เมืองสระบุรี สระบุรี 18000</t>
  </si>
  <si>
    <t>JB117850525TH</t>
  </si>
  <si>
    <t xml:space="preserve">สมหวัง ก้านเรือ </t>
  </si>
  <si>
    <t>3 บ้านกระต่ำ หมู่4 แต้ อุทุมพรพิสัย ศรีสะเกษ 33120</t>
  </si>
  <si>
    <t>JB117850517TH</t>
  </si>
  <si>
    <t>กัมธร กลับ แก้ว</t>
  </si>
  <si>
    <t>0635809606</t>
  </si>
  <si>
    <t>ห้างหุ้นส่วนจํากัด สุธิศักษ์ เพ้นท์ติ้ง 10/8ม.5 คอกกระบือ เมืองสมุทรสาคร สมุทรสาคร 74000</t>
  </si>
  <si>
    <t>JB117920337TH</t>
  </si>
  <si>
    <t>บริษัท เพชรประเสริฐ จำกัด 31/10 ถ.ศึกษาเจริญ ในเมือง เมืองเพชรบูรณ์ เพชรบูรณ์ 67000</t>
  </si>
  <si>
    <t>JA093942769TH</t>
  </si>
  <si>
    <t xml:space="preserve">คุณปณิตา กาญถึง </t>
  </si>
  <si>
    <t>0899714595</t>
  </si>
  <si>
    <t>51/2 หมู่9 ถนนหัวไทร-ปากพนัง เกาะเพชร หัวไทร นครศรีธรรมราช 80170</t>
  </si>
  <si>
    <t>JA093942755TH</t>
  </si>
  <si>
    <t>น.ส กัญญาพัชร สุขคุ้ม</t>
  </si>
  <si>
    <t>0920371612</t>
  </si>
  <si>
    <t xml:space="preserve"> เลขที่ 48 หมู่ที่ 5 บ้านวังแช่กลอย วังศาล วังโป่ง เพชรบูรณ์ 67240</t>
  </si>
  <si>
    <t>JA093942724TH</t>
  </si>
  <si>
    <t xml:space="preserve">K.ดาว </t>
  </si>
  <si>
    <t>0809695001</t>
  </si>
  <si>
    <t>รร.อนุบาลแคนดง อ.แคนดง จ.บุรีรัมย์ 31150 แคนดง แคนดง บุรีรัมย์ 31150</t>
  </si>
  <si>
    <t>JA093942707TH</t>
  </si>
  <si>
    <t>พรทิพย์ สินธุแปง</t>
  </si>
  <si>
    <t>0816346748</t>
  </si>
  <si>
    <t xml:space="preserve"> 1/136ซ.นวลจันทร์16 ถ.นวลจันทร์ นวลจันทร์ บึงกุ่ม กรุงเทพ 10230</t>
  </si>
  <si>
    <t>JA093942684TH</t>
  </si>
  <si>
    <t xml:space="preserve">ส่งฮูยลั้ง  </t>
  </si>
  <si>
    <t>64,ม1,ต,บ้านพร้าว,บ้านนา ,นครนายก บ้านพร้าว บ้านนา นครนายก 26110</t>
  </si>
  <si>
    <t>JA093942667TH</t>
  </si>
  <si>
    <t>สุกัญญา อำพันทอง</t>
  </si>
  <si>
    <t>0929148037</t>
  </si>
  <si>
    <t>223หมู่3 กุดชมภู พิบูลมังสาหาร อุบลราชธานี 34110</t>
  </si>
  <si>
    <t>JA093942640TH</t>
  </si>
  <si>
    <t>วรนิษฐา ยายอ</t>
  </si>
  <si>
    <t>0901796074</t>
  </si>
  <si>
    <t>127/3 ม.4 สุคิริน สุคิริน นราธิวาส 96190</t>
  </si>
  <si>
    <t>JA093942636TH</t>
  </si>
  <si>
    <t>อัปสรศรี พูลเรือง</t>
  </si>
  <si>
    <t>0972677687</t>
  </si>
  <si>
    <t>11 ArayanSweet ซอยอินทามระ 34 ห้อง 752 ถ.ประชาสุข รัชดาภิเษก ดินแดง กรุงเทพ 10400</t>
  </si>
  <si>
    <t>JA093942622TH</t>
  </si>
  <si>
    <t>222/175 หมู่6 นาวีเฮ้าส์10 พลูตาหลวง สัตหีบ ชลบุรี พลูตาหลวง สัตหีบ ชลบุรี 20180</t>
  </si>
  <si>
    <t>JA093942619TH</t>
  </si>
  <si>
    <t>Nuan Tintin</t>
  </si>
  <si>
    <t>0843856885</t>
  </si>
  <si>
    <t>ร้านบ้านบุษบา ถนนรัศมีดาว ม.5 สมเด็จ สมเด็จ กาฬสินธุ์ 46150</t>
  </si>
  <si>
    <t>JA093942605TH</t>
  </si>
  <si>
    <t xml:space="preserve">อุไร เพียรศิริกุล </t>
  </si>
  <si>
    <t>0890360702</t>
  </si>
  <si>
    <t>47/80ม.9ซ.บางเลน11 บางเลน บางใหญ่ นนทบุรี 11140</t>
  </si>
  <si>
    <t>JA093942596TH</t>
  </si>
  <si>
    <t>น้องอลิ</t>
  </si>
  <si>
    <t>78 หมู่ 4 ซอยเทพารักษ์ 4 เทพารักษ์ เมืองสมุทรปราการ สมุทรปราการ 10270</t>
  </si>
  <si>
    <t>JA093942582TH</t>
  </si>
  <si>
    <t xml:space="preserve">จันทนา.ศิริเขตต </t>
  </si>
  <si>
    <t>0917394169</t>
  </si>
  <si>
    <t>247/13ซ.กท.นนทบุรี23แขวงบางซื่อเขตบางซื่อ,กทม. 10800 บางซื่อ บางซื่อ กรุงเทพ 10800</t>
  </si>
  <si>
    <t>JA093942579TH</t>
  </si>
  <si>
    <t>น.30 บ้านพักหลังรพ.อาภากรเกียรติวงศ์ สัตหีบ สัตหีบ ชลบุรี 20180</t>
  </si>
  <si>
    <t>JA093942565TH</t>
  </si>
  <si>
    <t xml:space="preserve">กัลยา สุขสวัสดิ์ </t>
  </si>
  <si>
    <t>86/1ม.2ซ.วัดราษฎร์บำรุงหงอนไก่ คลองมะเดื่อ กระทุ่มแบน สมุทรสาคร 74110</t>
  </si>
  <si>
    <t>JA093942551TH</t>
  </si>
  <si>
    <t>JA093942548TH</t>
  </si>
  <si>
    <t>พระโชติ_มังคละคีรี</t>
  </si>
  <si>
    <t>0967173616</t>
  </si>
  <si>
    <t>_ วัดสระพังลาน_หมู่6_ สระพังลาน อู่ทอง สุพรรณบุรี 72220</t>
  </si>
  <si>
    <t>JA093942525TH</t>
  </si>
  <si>
    <t>มะลิ บานชื่น</t>
  </si>
  <si>
    <t>0956320140</t>
  </si>
  <si>
    <t xml:space="preserve"> 10หมู่6 ต้นตาล สองพี่น้อง สุพรรณบุรี 72110</t>
  </si>
  <si>
    <t>JA093942503TH</t>
  </si>
  <si>
    <t>สุกัญญา มะฮูเซ็น</t>
  </si>
  <si>
    <t>0890380461</t>
  </si>
  <si>
    <t xml:space="preserve"> 39/3 ม.4 แขวงกระทุ่มราย เขตหนองจอก ถนน สังฆสันติสุข ซอยสังฆสันติสุข 15 กระทุ่มราย หนองจอก กรุงเทพ 10530</t>
  </si>
  <si>
    <t>JA093942494TH</t>
  </si>
  <si>
    <t>นางบุญนา.พุ่มพวง</t>
  </si>
  <si>
    <t>0642326124</t>
  </si>
  <si>
    <t>62/18ซอย116บ้านใหม่ซอย2 หนองแก หัวหิน ประจวบคีรีขันธ์ 77110</t>
  </si>
  <si>
    <t>JA093942485TH</t>
  </si>
  <si>
    <t>มยุรฉัตร ภูคัง</t>
  </si>
  <si>
    <t>0986453419</t>
  </si>
  <si>
    <t xml:space="preserve"> /42/2 ม.3 ซ.เจริญโรจน์ ถ. พระราม 2 นาดี เมืองสมุทรสาคร สมุทรสาคร 74000</t>
  </si>
  <si>
    <t>JA093942477TH</t>
  </si>
  <si>
    <t xml:space="preserve">วราภรณ์ มูลมาก </t>
  </si>
  <si>
    <t>35/2ถนนฤดีเปรมซอย1 ท่าอิฐ เมืองอุตรดิตถ์ อุตรดิตถ์ 53000</t>
  </si>
  <si>
    <t>JA093942463TH</t>
  </si>
  <si>
    <t>ชิดชนก ชั้นบุญใส</t>
  </si>
  <si>
    <t>0855266154</t>
  </si>
  <si>
    <t>43/26 กัลปพฤกษ์ซิตี้พลัส คอนโดมิเนียม ถนนโพศรี หมากแข้ง เมืองอุดรธานี อุดรธานี 41000</t>
  </si>
  <si>
    <t>JB118037817TH</t>
  </si>
  <si>
    <t>คุณจิตนา</t>
  </si>
  <si>
    <t>0827523815</t>
  </si>
  <si>
    <t>บริษัท เซอร์เทดคาริย่า 65 หมู่9 ธนู อุทัย พระนครศรีอยุธยา 13210</t>
  </si>
  <si>
    <t>JB118037794TH</t>
  </si>
  <si>
    <t>อุทัย หอมหวล</t>
  </si>
  <si>
    <t>0652549045</t>
  </si>
  <si>
    <t>737 ม.17 รับร่อ ท่าแซะ ชุมพร 86140</t>
  </si>
  <si>
    <t>JB118037785TH</t>
  </si>
  <si>
    <t xml:space="preserve">นายเวือง สมเย็น </t>
  </si>
  <si>
    <t>0972274106</t>
  </si>
  <si>
    <t>บ้านตะครองใต้ บ้านเลขที่ 4 หมู่ 3 สูงเนิน กระสัง บุรีรัมย์ 31160</t>
  </si>
  <si>
    <t>JB118037777TH</t>
  </si>
  <si>
    <t>วัชรีวรรณ</t>
  </si>
  <si>
    <t>0903995891</t>
  </si>
  <si>
    <t>32 ถนนประชาอุทิศ 30 บางมด ทุ่งครุ กรุงเทพ 10140</t>
  </si>
  <si>
    <t>JB118037763TH</t>
  </si>
  <si>
    <t>JB118037750TH</t>
  </si>
  <si>
    <t>JB118037746TH</t>
  </si>
  <si>
    <t>วันเพ็ญ วราโชติเดชากร</t>
  </si>
  <si>
    <t>0612597224</t>
  </si>
  <si>
    <t xml:space="preserve"> 1/1 ม.3 ป่าอ้อดอนชัย เมืองเชียงราย เชียงราย 57000</t>
  </si>
  <si>
    <t>JB118037732TH</t>
  </si>
  <si>
    <t>เมตตา สมเรือง</t>
  </si>
  <si>
    <t>0810889492</t>
  </si>
  <si>
    <t xml:space="preserve"> 3/5 ม.8 ตะโก ทุ่งตะโก ชุมพร 86220</t>
  </si>
  <si>
    <t>JB118037729TH</t>
  </si>
  <si>
    <t>สุพัชชา รัตนประเสริฐ</t>
  </si>
  <si>
    <t>0897127818</t>
  </si>
  <si>
    <t>125 ม.4 บ้านผือ บ้านผือ อุดรธานี 41160</t>
  </si>
  <si>
    <t>JB118037715TH</t>
  </si>
  <si>
    <t>JB118037701TH</t>
  </si>
  <si>
    <t>วรารัตณ์</t>
  </si>
  <si>
    <t>0861934161</t>
  </si>
  <si>
    <t>6แกนดร์วิลล่า 2ซ2 เบตง เบตง ยะลา 95110</t>
  </si>
  <si>
    <t>JB118037692TH</t>
  </si>
  <si>
    <t>JB118037689TH</t>
  </si>
  <si>
    <t>Punnaphorn Charnpinyo</t>
  </si>
  <si>
    <t>0892038751</t>
  </si>
  <si>
    <t>401 ซอย28 บ้านเพอร์เฟคเพลส ถนนเคหะร่มเกล้า64 คลองสองต้นนุ่น ลาดกระบัง กรุงเทพ 10520</t>
  </si>
  <si>
    <t>JB118037675TH</t>
  </si>
  <si>
    <t>ฐิตินันท์ ศรีสุวรรณ 1</t>
  </si>
  <si>
    <t>0817484899</t>
  </si>
  <si>
    <t>165/19 หมู่2 พะวง เมืองสงขลา สงขลา 90100</t>
  </si>
  <si>
    <t>JB118037661TH</t>
  </si>
  <si>
    <t>ฐิตินันท์ ศรีสุวรรณ 2</t>
  </si>
  <si>
    <t>JB118037658TH</t>
  </si>
  <si>
    <t>คุณนุ้ย แผนกบัญชี เอกสารวางบิล</t>
  </si>
  <si>
    <t xml:space="preserve"> บริษัท ศรีฟ้าโฟรเซนฟูดส์ จำกัด เลขที่ 208-209 หมู่ 3 วังขนาย ท่าม่วง กาญจนบุรี 71110</t>
  </si>
  <si>
    <t>JA094375384TH</t>
  </si>
  <si>
    <t xml:space="preserve">ประถม พลชื่อ </t>
  </si>
  <si>
    <t>0821966372</t>
  </si>
  <si>
    <t>บ้านเลขที่59/1 หมู่ 5 บ้านใหม่ สามพราน นครปฐม 73110</t>
  </si>
  <si>
    <t>JA094375375TH</t>
  </si>
  <si>
    <t>JA094375353TH</t>
  </si>
  <si>
    <t>สุนิสา วรารักษ์</t>
  </si>
  <si>
    <t>0997457773</t>
  </si>
  <si>
    <t>#ร้านฟาตีมะนูรีน 2/3 ถ.ตะลุบัน ตะลุบัน สายบุรี ปัตตานี 94110</t>
  </si>
  <si>
    <t>JA094375336TH</t>
  </si>
  <si>
    <t>JA094375319TH</t>
  </si>
  <si>
    <t>ธนวิน บุนนาค</t>
  </si>
  <si>
    <t>0853436571</t>
  </si>
  <si>
    <t>40/501มบ.เค.ซี.รามอินทรา8ซ27ถ.ไทยรามัญ สามวาตะวันตก คลองสามวา กรุงเทพ 10510</t>
  </si>
  <si>
    <t>JA094375305TH</t>
  </si>
  <si>
    <t>นางสาวนิตติญา ทองประสาน</t>
  </si>
  <si>
    <t>0988359650</t>
  </si>
  <si>
    <t>49/24 หมู่6 หมู่บ้านทวีทอง5ซอย2 บางเมือง เมืองสมุทรปราการ สมุทรปราการ 10270</t>
  </si>
  <si>
    <t>JA094375282TH</t>
  </si>
  <si>
    <t>พนิดา จันทนาลา</t>
  </si>
  <si>
    <t>0800967893</t>
  </si>
  <si>
    <t>104 หมู่10 หมู่บ้านท่าเลียง ศรีเทพ ศรีเทพ เพชรบูรณ์ 67170</t>
  </si>
  <si>
    <t>JA094375251TH</t>
  </si>
  <si>
    <t>บรรเทิง</t>
  </si>
  <si>
    <t>0970876440</t>
  </si>
  <si>
    <t>หมู่ที่2 ต.ท่าแยก อ.เมือง จ.สระแก้ว วัดเนินสะอาด 27000 ท่าแยก เมืองสระแก้ว สระแก้ว 27000</t>
  </si>
  <si>
    <t>JA094375248TH</t>
  </si>
  <si>
    <t>นางนาตยา พรหมจันทร์</t>
  </si>
  <si>
    <t>0956683639</t>
  </si>
  <si>
    <t>118ม.15 ห้วยเม็ก ห้วยเม็ก กาฬสินธุ์ 46170</t>
  </si>
  <si>
    <t>JA094375203TH</t>
  </si>
  <si>
    <t>JA094375185TH</t>
  </si>
  <si>
    <t>อรุณี บัวเทศ</t>
  </si>
  <si>
    <t>0979207063</t>
  </si>
  <si>
    <t xml:space="preserve"> 109/2 หมู่ 2 ถนนพะเยาป่าแดด ท่าวังทอง เมืองพะเยา พะเยา 56000</t>
  </si>
  <si>
    <t>JB118210104TH</t>
  </si>
  <si>
    <t>JB118210095TH</t>
  </si>
  <si>
    <t xml:space="preserve">ลันดา พลยางนอก </t>
  </si>
  <si>
    <t>0872044817</t>
  </si>
  <si>
    <t>3ม.10 บางลาย บึงนาราง พิจิตร 66130</t>
  </si>
  <si>
    <t>JB118210081TH</t>
  </si>
  <si>
    <t>ฐานิต ยศยะ</t>
  </si>
  <si>
    <t>0821774958</t>
  </si>
  <si>
    <t>28/4หมู่6 หนองกรด เมืองนครสวรรค์ นครสวรรค์ 60240</t>
  </si>
  <si>
    <t>JB118210078TH</t>
  </si>
  <si>
    <t>เย็นจิตต์ นำทองมงคล</t>
  </si>
  <si>
    <t xml:space="preserve"> 99/93 ซ.10 ม.22 หมู่บ้านปริญญาดา บางพลีใหญ่ บางพลี สมุทรปราการ 10540</t>
  </si>
  <si>
    <t>JB118210064TH</t>
  </si>
  <si>
    <t>JB118210055TH</t>
  </si>
  <si>
    <t>คุณอ้อ</t>
  </si>
  <si>
    <t>0636215962</t>
  </si>
  <si>
    <t>นักพัฒนาชุมชน องค์การบริหารส่วนตำบลศรีณรงค์ เลขที่ 23 หมู่ 1 บ้านสำโรง ศรีณรงค์ ชุมพลบุรี สุรินทร์ 32190</t>
  </si>
  <si>
    <t>JB118209993TH</t>
  </si>
  <si>
    <t xml:space="preserve">นางสาวธัญญลักษณ์ ประสพบัว </t>
  </si>
  <si>
    <t>0610634324</t>
  </si>
  <si>
    <t>บิ๊กซีมินิดีโป้ประทาย 123 ม.16 ประทาย ประทาย นครราชสีมา 30180</t>
  </si>
  <si>
    <t>JB118209980TH</t>
  </si>
  <si>
    <t>คุณทิพวัลย์ ศรีวิลัย</t>
  </si>
  <si>
    <t>0892391821</t>
  </si>
  <si>
    <t>ศูนย์วิจัยและพัฒนาการสัตวแพทย์ภาคตะวันตก 126 ม.10 เขาชะงุ้ม โพธาราม ราชบุรี 70120</t>
  </si>
  <si>
    <t>JB118209976TH</t>
  </si>
  <si>
    <t xml:space="preserve">นางกถิน ไชยมะโน </t>
  </si>
  <si>
    <t>0811928066</t>
  </si>
  <si>
    <t>119หมู่6 บ้านหัวดอย ศิลาแลง ปัว น่าน 55120</t>
  </si>
  <si>
    <t>0926709450</t>
  </si>
  <si>
    <t>ในมินิมาร์ท 158 ม.5 ถ.สายเอเชีย ท่าช้าง บางกล่ำ สงขลา 90110</t>
  </si>
  <si>
    <t>JA094399451TH</t>
  </si>
  <si>
    <t>สิทธาณี บริบูรณ์ 1</t>
  </si>
  <si>
    <t>0812084553</t>
  </si>
  <si>
    <t>44/27ม.1ซ.สุทธิ ทุ่งสองห้อง หลักสี่ ทุ่งสองห้อง หลักสี่ กรุงเทพ 10210</t>
  </si>
  <si>
    <t>JA094399465TH</t>
  </si>
  <si>
    <t>สิทธาณี บริบูรณ์ 2</t>
  </si>
  <si>
    <t>JB118245718TH</t>
  </si>
  <si>
    <t xml:space="preserve">ลัดดาวัลย์ ศิริพรวิรัตน์ </t>
  </si>
  <si>
    <t>0874993340</t>
  </si>
  <si>
    <t>ร้านค้าเลขที่ 68/231ปากซอยบ่อน้ำยั่งยืน1 หมู่ที่ 3 ซอยอุดมเดช บางเมืองใหม่ เมืองสมุทรปราการ สมุทรปราการ 10270</t>
  </si>
  <si>
    <t>JB118245721TH</t>
  </si>
  <si>
    <t>ลัดดาวัลย์ ศิริพรวิรัตน์</t>
  </si>
  <si>
    <t xml:space="preserve"> ร้านค้าเลขที่ 68/231ปากซอยบ่อน้ำยั่งยืน1 หมู่ที่ 3 ซอยอุดมเดช บางเมืองใหม่ เมืองสมุทรปราการ สมุทรปราการ 10270</t>
  </si>
  <si>
    <t>JB118284495TH</t>
  </si>
  <si>
    <t>JB118291536TH</t>
  </si>
  <si>
    <t>คุณวรัทยา เครือแตง ชั้น6</t>
  </si>
  <si>
    <t>0840570290</t>
  </si>
  <si>
    <t xml:space="preserve"> ntertek Industry and Certification Services Thailand L 1285/5 ถนนประชาชื่น วงศ์สว่าง บางซื่อ กรุงเทพ 10800</t>
  </si>
  <si>
    <t>TH03036C4KA31D</t>
  </si>
  <si>
    <t>บริษัท ไอแฮฟ จำกัด</t>
  </si>
  <si>
    <t>0612878560</t>
  </si>
  <si>
    <t>73/193 ม.5 บางใหญ่ เสาธงหิน นนทบุรี Thailand</t>
  </si>
  <si>
    <t>38×️22×️26</t>
  </si>
  <si>
    <t>JA095095814TH</t>
  </si>
  <si>
    <t xml:space="preserve">กมลรัตน์ นิลเนตรานนท์ </t>
  </si>
  <si>
    <t>0959647776</t>
  </si>
  <si>
    <t>48 ซ.บางนา-ตราด6สุดซอยประตูรั้วสีเขียว บางนาใต้ บางนา กรุงเทพ 10260</t>
  </si>
  <si>
    <t>JA095095805TH</t>
  </si>
  <si>
    <t xml:space="preserve">คุณวันชัย เรืองเดช </t>
  </si>
  <si>
    <t>0914143191</t>
  </si>
  <si>
    <t>33 หมู่ 8 บ้านแวงใหม่ หนองสูงใต้ หนองสูง มุกดาหาร 49160</t>
  </si>
  <si>
    <t>JA095095791TH</t>
  </si>
  <si>
    <t xml:space="preserve">สุรีรัตน์ ส้มดี </t>
  </si>
  <si>
    <t>0617356170</t>
  </si>
  <si>
    <t>บริษัทสหพัฒน์นววิศวะอินดัสทรี้จำกัด 150 / 71 หมู่ 3 บางพลีใหญ่ บางพลี สมุทรปราการ 10540</t>
  </si>
  <si>
    <t>JA095095108TH</t>
  </si>
  <si>
    <t>ธนิดา โกลาวัลย์</t>
  </si>
  <si>
    <t>0813384995</t>
  </si>
  <si>
    <t xml:space="preserve"> 9 หมู่ 1 หนองปรง เขาย้อย เพชรบุรี 76140</t>
  </si>
  <si>
    <t>JA095095085TH</t>
  </si>
  <si>
    <t>วา วา</t>
  </si>
  <si>
    <t>0894143012</t>
  </si>
  <si>
    <t>898/220 หมู่บ้านชีวาโฮม ซ.ประชาอุทิศ 90 บ้านคลองสวน พระสมุทรเจดีย์ สมุทรปราการ บ้านคลองสวน พระสมุทรเจดีย์ สมุทรปราการ 10290</t>
  </si>
  <si>
    <t>JA095095068TH</t>
  </si>
  <si>
    <t>สายไหม</t>
  </si>
  <si>
    <t>0822933306</t>
  </si>
  <si>
    <t>ก่อมขุนทด 259/1หมู่2 บ้านหนองประดง ท่าหลวง ท่าหลวง ลพบุรี 15230</t>
  </si>
  <si>
    <t>JA095095045TH</t>
  </si>
  <si>
    <t>สายสมร เขียวคำ</t>
  </si>
  <si>
    <t>0885444348</t>
  </si>
  <si>
    <t>21/9 หมู่ 2 เจ็ดริ้ว บ้านแพ้ว สมุทรสาคร 74120</t>
  </si>
  <si>
    <t>JA095095023TH</t>
  </si>
  <si>
    <t xml:space="preserve">คุณวาสนา สิงห์ทองดา </t>
  </si>
  <si>
    <t>0879718466</t>
  </si>
  <si>
    <t>36 ม.4 วังตะเคียน กบินทร์บุรี ปราจีนบุรี 25110</t>
  </si>
  <si>
    <t>JA095095010TH</t>
  </si>
  <si>
    <t>ชาลิกา มณีวงศ์</t>
  </si>
  <si>
    <t>0983472999</t>
  </si>
  <si>
    <t>283/8 หมุ่3 ท่าประจะ ชะอวด นครศรีธรรมราช 80180</t>
  </si>
  <si>
    <t>JB118475336TH</t>
  </si>
  <si>
    <t xml:space="preserve">เสาวรส จัดพล </t>
  </si>
  <si>
    <t>JB118475319TH</t>
  </si>
  <si>
    <t xml:space="preserve">คุณยุพิน บุญมั่นแสนสุข </t>
  </si>
  <si>
    <t>0897811749</t>
  </si>
  <si>
    <t>15/534หมู่ที่10ต.สําโรงเหนือ สำโรงเหนือ เมืองสมุทรปราการ สมุทรปราการ 10270</t>
  </si>
  <si>
    <t>JB118475305TH</t>
  </si>
  <si>
    <t>JB118475282TH</t>
  </si>
  <si>
    <t>JB118476481TH</t>
  </si>
  <si>
    <t xml:space="preserve">บริษัท เจเอที โซลูชั่น จำกัด </t>
  </si>
  <si>
    <t>0823723613</t>
  </si>
  <si>
    <t>30 ซอยนวมินทร์ 74 แยก 3-5 ถนนนวมินทร์ คันนายาว คันนายาว กรุงเทพ 10230</t>
  </si>
  <si>
    <t>949445234794894</t>
  </si>
  <si>
    <t>579761121031981675</t>
  </si>
  <si>
    <t>579761453882968867</t>
  </si>
  <si>
    <t>950045632510422</t>
  </si>
  <si>
    <t>579761867468146737</t>
  </si>
  <si>
    <t>579762010646481072</t>
  </si>
  <si>
    <t>241214SDTPK12R</t>
  </si>
  <si>
    <t>579763446067136880</t>
  </si>
  <si>
    <t>956892714996174</t>
  </si>
  <si>
    <t>241215T05XRKSE</t>
  </si>
  <si>
    <t>956871784485869</t>
  </si>
  <si>
    <t>958115746233162</t>
  </si>
  <si>
    <t>958421317656104</t>
  </si>
  <si>
    <t>2412186KX20TFJ</t>
  </si>
  <si>
    <t>2412186M6X5KAE</t>
  </si>
  <si>
    <t>2412186N2WPAET</t>
  </si>
  <si>
    <t>579778636276206250</t>
  </si>
  <si>
    <t>959258318404286</t>
  </si>
  <si>
    <t>959229196104286</t>
  </si>
  <si>
    <t>579787387976321755</t>
  </si>
  <si>
    <t>579787635516279144</t>
  </si>
  <si>
    <t>241221DVVMAH6T</t>
  </si>
  <si>
    <t>241221E0DUDD6C</t>
  </si>
  <si>
    <t>579788244851329596</t>
  </si>
  <si>
    <t>959631122732247</t>
  </si>
  <si>
    <t>241221E5PJ423A</t>
  </si>
  <si>
    <t>241221E60WY5MJ</t>
  </si>
  <si>
    <t>959668960768008</t>
  </si>
  <si>
    <t>579789159424297004</t>
  </si>
  <si>
    <t>579789230014368182</t>
  </si>
  <si>
    <t>579790739252349926</t>
  </si>
  <si>
    <t>579790851556740090</t>
  </si>
  <si>
    <t>579791095287220493</t>
  </si>
  <si>
    <t>241222G67TTMNN</t>
  </si>
  <si>
    <t>241222G7QPCMWU</t>
  </si>
  <si>
    <t>241222GFGCTF3T</t>
  </si>
  <si>
    <t>579791791012809442</t>
  </si>
  <si>
    <t>959979310596790</t>
  </si>
  <si>
    <t>953280602132247</t>
  </si>
  <si>
    <t>960008549604286</t>
  </si>
  <si>
    <t>241223GXX0G0R1</t>
  </si>
  <si>
    <t>241223H19UMH7S</t>
  </si>
  <si>
    <t>953345666032247</t>
  </si>
  <si>
    <t>960057982932247</t>
  </si>
  <si>
    <t>960066374628944</t>
  </si>
  <si>
    <t>953410821340040</t>
  </si>
  <si>
    <t>579794046270802128</t>
  </si>
  <si>
    <t>579794195845187614</t>
  </si>
  <si>
    <t>241223JAXK0NST</t>
  </si>
  <si>
    <t>241223JCSJ9PR8</t>
  </si>
  <si>
    <t>579794406367857492</t>
  </si>
  <si>
    <t>579794554184960050</t>
  </si>
  <si>
    <t>241223JHQJQC5K</t>
  </si>
  <si>
    <t>953551095909516</t>
  </si>
  <si>
    <t>579795002986761063</t>
  </si>
  <si>
    <t>241223K0PQVCNJ</t>
  </si>
  <si>
    <t>241223K7UEA5J6</t>
  </si>
  <si>
    <t>960414370004286</t>
  </si>
  <si>
    <t>241223KB3S6WHW</t>
  </si>
  <si>
    <t>954188631479052</t>
  </si>
  <si>
    <t>954287833440808</t>
  </si>
  <si>
    <t>961004178533025</t>
  </si>
  <si>
    <t>241226SWBDGA0H</t>
  </si>
  <si>
    <t>สรุปสาเหตุการส่งเคลมจากแพลตฟอร์ม ปี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</si>
  <si>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เดือนมกราคม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</si>
  <si>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เดือนมีนาคม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</si>
  <si>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 เดือนกุมภาพันธ์ 2568</t>
  </si>
  <si>
    <t>สรุปรายการส่งของเคลมสินค้า เดือนมกราคม 2568</t>
  </si>
  <si>
    <t>สรุปรายการส่งของเคลมสินค้า เดือนเมษายน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</si>
  <si>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เดือนเมษายน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</si>
  <si>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เดือนพฤษภาคม 2568</t>
  </si>
  <si>
    <t>สรุปรายการส่งของเคลมสินค้า เดือนพฤษภาคม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</si>
  <si>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เดือนมิถุนายน 2568</t>
  </si>
  <si>
    <t>สรุปรายการส่งของเคลมสินค้า เดือนมิถุนายน 2568</t>
  </si>
  <si>
    <t>สรุปรายการส่งของเคลมสินค้า เดือนกรกฎาคม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</si>
  <si>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เดือนกรกฎาคม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</si>
  <si>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เดือนสิงหาคม 2568</t>
  </si>
  <si>
    <t>สรุปรายการส่งของเคลมสินค้า เดือนสิงหาคม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</si>
  <si>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เดือนกันยายน 2568</t>
  </si>
  <si>
    <t>สรุปรายการส่งของเคลมสินค้า เดือนกันยายน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</si>
  <si>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เดือนตุลาคม 2568</t>
  </si>
  <si>
    <t>สรุปรายการส่งของเคลมสินค้า เดือนตุลาคม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</si>
  <si>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เดือนพฤศจิกายน 2568</t>
  </si>
  <si>
    <t>สรุปรายการส่งของเคลมสินค้า เดือนพฤศจิกายน 2568</t>
  </si>
  <si>
    <t>สรุปรายการยกเลิกออเดอร์ ที่ออกเลขที่ออเดอร์แล้ว (เนื่องจากลูกค้าเอฟในไลฟ์สดแล้วไม่ยืนยันออเดอร์) เดือนธันวาคม 2568</t>
  </si>
  <si>
    <t>สรุปรายการส่งของเคลมสินค้า เดือนธันวาคม 2568</t>
  </si>
  <si>
    <t>EPN82</t>
  </si>
  <si>
    <t xml:space="preserve">ศิริชัย </t>
  </si>
  <si>
    <t>facebook</t>
  </si>
  <si>
    <t>EMS</t>
  </si>
  <si>
    <t>02/01/2025 12:25</t>
  </si>
  <si>
    <t>JB130378805TH</t>
  </si>
  <si>
    <t>EPN84</t>
  </si>
  <si>
    <t>อุไรรัตน์ วงษ์สนิท</t>
  </si>
  <si>
    <t>02/01/2025 12:26</t>
  </si>
  <si>
    <t>JB130378828TH</t>
  </si>
  <si>
    <t>EPN83</t>
  </si>
  <si>
    <t>ชื่อ.โยษิตา พรหมบวช</t>
  </si>
  <si>
    <t>JB130378814TH</t>
  </si>
  <si>
    <t>EPN86</t>
  </si>
  <si>
    <t>นางสาว ปภัสรา หนูแก้ว</t>
  </si>
  <si>
    <t>02/01/2025 12:29</t>
  </si>
  <si>
    <t>JB130378831TH</t>
  </si>
  <si>
    <t>EPO58</t>
  </si>
  <si>
    <t>ชื่อผู้รับ ศศิณา</t>
  </si>
  <si>
    <t>02/01/2025 14:56</t>
  </si>
  <si>
    <t>JB130378845TH</t>
  </si>
  <si>
    <t>EPP23</t>
  </si>
  <si>
    <t>ร้านเอกะเจี๊ยบมือถือ</t>
  </si>
  <si>
    <t>02/01/2025 17:02</t>
  </si>
  <si>
    <t>JB130378876TH</t>
  </si>
  <si>
    <t>EPV97</t>
  </si>
  <si>
    <t>ธนาวุฒิ ไขแสง</t>
  </si>
  <si>
    <t>03/01/2025 12:23</t>
  </si>
  <si>
    <t>JB130507522TH</t>
  </si>
  <si>
    <t>EPV95</t>
  </si>
  <si>
    <t>ปรียาภรณ์ สุริยา</t>
  </si>
  <si>
    <t>JB130507536TH</t>
  </si>
  <si>
    <t>EPX91</t>
  </si>
  <si>
    <t>นางงา วุฒิยา</t>
  </si>
  <si>
    <t>03/01/2025 16:49</t>
  </si>
  <si>
    <t>JB130507482TH</t>
  </si>
  <si>
    <t>EQF26</t>
  </si>
  <si>
    <t>อ้น</t>
  </si>
  <si>
    <t>05/01/2025 09:14</t>
  </si>
  <si>
    <t>JB130728400TH</t>
  </si>
  <si>
    <t>EQF28</t>
  </si>
  <si>
    <t>น.ส.สิริพร วันจำลา</t>
  </si>
  <si>
    <t>05/01/2025 09:15</t>
  </si>
  <si>
    <t>JB130728413TH</t>
  </si>
  <si>
    <t>EQE11</t>
  </si>
  <si>
    <t>fxngkhadichdaphkh</t>
  </si>
  <si>
    <t>Lazada</t>
  </si>
  <si>
    <t>Kerry_dropoff</t>
  </si>
  <si>
    <t>04/01/2025 20:57</t>
  </si>
  <si>
    <t>สรุปออเดอร์แล้ว ลูกค้ายกเลิก</t>
  </si>
  <si>
    <t>EQE12</t>
  </si>
  <si>
    <t>04/01/2025 20:58</t>
  </si>
  <si>
    <t>EQE13</t>
  </si>
  <si>
    <t>04/01/2025 20:59</t>
  </si>
  <si>
    <t>EQI41</t>
  </si>
  <si>
    <t>ร******ว</t>
  </si>
  <si>
    <t>Shopee</t>
  </si>
  <si>
    <t>gadeze</t>
  </si>
  <si>
    <t>05/01/2025 20:01</t>
  </si>
  <si>
    <t>EQI48</t>
  </si>
  <si>
    <t>น***ารีย์ ห***ทศ</t>
  </si>
  <si>
    <t>Tiktok</t>
  </si>
  <si>
    <t>7495484916569115197</t>
  </si>
  <si>
    <t>J&amp;T Express</t>
  </si>
  <si>
    <t>05/01/2025 20:09</t>
  </si>
  <si>
    <t>EQM19</t>
  </si>
  <si>
    <t xml:space="preserve">วีระ  ศรีราชยา </t>
  </si>
  <si>
    <t>06/01/2025 13:45</t>
  </si>
  <si>
    <t>JB130889194TH</t>
  </si>
  <si>
    <t>EQM22</t>
  </si>
  <si>
    <t>กรรณิการ์ ไหมแก้ว</t>
  </si>
  <si>
    <t>06/01/2025 13:49</t>
  </si>
  <si>
    <t>JB130889203TH</t>
  </si>
  <si>
    <t>EQR12</t>
  </si>
  <si>
    <t>ญมาพรรณ วันไว</t>
  </si>
  <si>
    <t>07/01/2025 12:33</t>
  </si>
  <si>
    <t>JB131034850TH</t>
  </si>
  <si>
    <t>EQR13</t>
  </si>
  <si>
    <t>รัตนา หลีอรัญ​</t>
  </si>
  <si>
    <t>07/01/2025 12:35</t>
  </si>
  <si>
    <t>JB131034863TH</t>
  </si>
  <si>
    <t>ERF49</t>
  </si>
  <si>
    <t>จ.ส.ท.นิติ เพ็งตะโก</t>
  </si>
  <si>
    <t>12/01/2025 08:28</t>
  </si>
  <si>
    <t>JB131616651TH</t>
  </si>
  <si>
    <t>ERG39</t>
  </si>
  <si>
    <t>ร***า</t>
  </si>
  <si>
    <t>7494029631995151389</t>
  </si>
  <si>
    <t>12/01/2025 10:50</t>
  </si>
  <si>
    <t>ERH19</t>
  </si>
  <si>
    <t>ค******น</t>
  </si>
  <si>
    <t>d73hbz4i4x</t>
  </si>
  <si>
    <t>12/01/2025 12:46</t>
  </si>
  <si>
    <t>ERH68</t>
  </si>
  <si>
    <t>อ******ข</t>
  </si>
  <si>
    <t>ubonean01</t>
  </si>
  <si>
    <t>12/01/2025 15:07</t>
  </si>
  <si>
    <t>ERH94</t>
  </si>
  <si>
    <t>เกรียงศักดิ์ อินทสิริ</t>
  </si>
  <si>
    <t>12/01/2025 16:08</t>
  </si>
  <si>
    <t>ERJ24</t>
  </si>
  <si>
    <t>อธิติมา​ เมี้ยนชัยภูมิ</t>
  </si>
  <si>
    <t>13/01/2025 09:10</t>
  </si>
  <si>
    <t>JB131632305TH</t>
  </si>
  <si>
    <t>ERN61</t>
  </si>
  <si>
    <t>14/01/2025 17:15</t>
  </si>
  <si>
    <t>ERN90</t>
  </si>
  <si>
    <t>สิริกาญจน์ ชาติชุติกำจร</t>
  </si>
  <si>
    <t>Sirikarn Chartchutikumjorn</t>
  </si>
  <si>
    <t>14/01/2025 19:37</t>
  </si>
  <si>
    <t>ERS11</t>
  </si>
  <si>
    <t>วราลี อรุณรุ่ง</t>
  </si>
  <si>
    <t>15/01/2025 16:37</t>
  </si>
  <si>
    <t>JB131937262TH</t>
  </si>
  <si>
    <t>JB131937259TH</t>
  </si>
  <si>
    <t>JB171332216TH</t>
  </si>
  <si>
    <t>ERI83</t>
  </si>
  <si>
    <t>ประสาท ดิษฐกระจัน</t>
  </si>
  <si>
    <t>13/01/2025 00:49</t>
  </si>
  <si>
    <t>ERJ89</t>
  </si>
  <si>
    <t>น***มศรี เ***งตรี</t>
  </si>
  <si>
    <t>7494367731260426856</t>
  </si>
  <si>
    <t>13/01/2025 10:53</t>
  </si>
  <si>
    <t>ERL62</t>
  </si>
  <si>
    <t>ก***ัตน์ เ***ญสุข</t>
  </si>
  <si>
    <t>7494851885728762441</t>
  </si>
  <si>
    <t>13/01/2025 22:33</t>
  </si>
  <si>
    <t>ERL68</t>
  </si>
  <si>
    <t>ด***าว   บ***รือง</t>
  </si>
  <si>
    <t>7494991326157506884</t>
  </si>
  <si>
    <t>13/01/2025 23:14</t>
  </si>
  <si>
    <t>ERR0</t>
  </si>
  <si>
    <t>ศํกดิ์สิทธิ์ ศรีพิสุทธิ์</t>
  </si>
  <si>
    <t>15/01/2025 14:27</t>
  </si>
  <si>
    <t>ERS40</t>
  </si>
  <si>
    <t>วรรณิภา ไพรวัลย์</t>
  </si>
  <si>
    <t>15/01/2025 17:13</t>
  </si>
  <si>
    <t>ERT5</t>
  </si>
  <si>
    <t>นิรชร แสงรังสี</t>
  </si>
  <si>
    <t>15/01/2025 19:32</t>
  </si>
  <si>
    <t>ERW28</t>
  </si>
  <si>
    <t>16/01/2025 16:06</t>
  </si>
  <si>
    <t>ERW31</t>
  </si>
  <si>
    <t>ณ***านต์ เ***นดาว</t>
  </si>
  <si>
    <t>7493990737399809407</t>
  </si>
  <si>
    <t>16/01/2025 16:22</t>
  </si>
  <si>
    <t>ERW59</t>
  </si>
  <si>
    <t>วันทนา  แก้วเบี่ยง</t>
  </si>
  <si>
    <t>16/01/2025 18:26</t>
  </si>
  <si>
    <t>ERW68</t>
  </si>
  <si>
    <t>น***รัตน์ ผ***สูงเนิน</t>
  </si>
  <si>
    <t>7494637802483518051</t>
  </si>
  <si>
    <t>J&amp;T COD</t>
  </si>
  <si>
    <t>16/01/2025 18:54</t>
  </si>
  <si>
    <t>ERW83</t>
  </si>
  <si>
    <t xml:space="preserve">สุภาภรณ์ สมบุญจร </t>
  </si>
  <si>
    <t>Sharkpoo Kani</t>
  </si>
  <si>
    <t>EMS COD</t>
  </si>
  <si>
    <t>16/01/2025 20:41</t>
  </si>
  <si>
    <t>ERX1</t>
  </si>
  <si>
    <t>สุชาดา พิณเขียว</t>
  </si>
  <si>
    <t>16/01/2025 22:27</t>
  </si>
  <si>
    <t>ESC16</t>
  </si>
  <si>
    <t>สำรวย สัตยภิรมณ์</t>
  </si>
  <si>
    <t>line_oa</t>
  </si>
  <si>
    <t>ST30 คุณสำรวย</t>
  </si>
  <si>
    <t>18/01/2025 17:03</t>
  </si>
  <si>
    <t>ERX60</t>
  </si>
  <si>
    <t>สายชลแจ่มแจ้ง</t>
  </si>
  <si>
    <t>17/01/2025 08:38</t>
  </si>
  <si>
    <t>ESB26</t>
  </si>
  <si>
    <t>ค******ง</t>
  </si>
  <si>
    <t>kaewsasitron</t>
  </si>
  <si>
    <t>18/01/2025 10:37</t>
  </si>
  <si>
    <t>ESZ15</t>
  </si>
  <si>
    <t>ก***ิศ</t>
  </si>
  <si>
    <t>7495559666643536018</t>
  </si>
  <si>
    <t>22/01/2025 14:30</t>
  </si>
  <si>
    <t>ESZ51</t>
  </si>
  <si>
    <t>ว***ิภา อ***วงษ์</t>
  </si>
  <si>
    <t>7493990743222683538</t>
  </si>
  <si>
    <t>22/01/2025 15:57</t>
  </si>
  <si>
    <t>ESZ54</t>
  </si>
  <si>
    <t>อ***กร แ***อน</t>
  </si>
  <si>
    <t>7493994345227715756</t>
  </si>
  <si>
    <t>22/01/2025 16:02</t>
  </si>
  <si>
    <t>ESZ73</t>
  </si>
  <si>
    <t>W*****a</t>
  </si>
  <si>
    <t>wallaphap</t>
  </si>
  <si>
    <t>22/01/2025 16:57</t>
  </si>
  <si>
    <t>ETA32</t>
  </si>
  <si>
    <t>R******s</t>
  </si>
  <si>
    <t>kikzy000</t>
  </si>
  <si>
    <t>22/01/2025 19:07</t>
  </si>
  <si>
    <t>ETA68</t>
  </si>
  <si>
    <t>น******น</t>
  </si>
  <si>
    <t>bf__9dm562</t>
  </si>
  <si>
    <t>22/01/2025 21:14</t>
  </si>
  <si>
    <t>JB171719654TH</t>
  </si>
  <si>
    <t>ETC32</t>
  </si>
  <si>
    <t>วิ ใจทิพย์</t>
  </si>
  <si>
    <t>23/01/2025 12:28</t>
  </si>
  <si>
    <t>JB172332645TH</t>
  </si>
  <si>
    <t>ETD17</t>
  </si>
  <si>
    <t>ชนัญชิดา จุลอ่อน</t>
  </si>
  <si>
    <t>23/01/2025 15:55</t>
  </si>
  <si>
    <t>JB172332671TH</t>
  </si>
  <si>
    <t>ETD49</t>
  </si>
  <si>
    <t xml:space="preserve">อีฟ </t>
  </si>
  <si>
    <t>23/01/2025 17:32</t>
  </si>
  <si>
    <t>JB172332742TH</t>
  </si>
  <si>
    <t>ETG65</t>
  </si>
  <si>
    <t>พัชรี ปากท้าง</t>
  </si>
  <si>
    <t>24/01/2025 17:49</t>
  </si>
  <si>
    <t>JB172458822TH</t>
  </si>
  <si>
    <t>ETH11</t>
  </si>
  <si>
    <t>คุณสุธรรม</t>
  </si>
  <si>
    <t xml:space="preserve"> Suthump Lekhaphanrat  </t>
  </si>
  <si>
    <t>25/01/2025 10:32</t>
  </si>
  <si>
    <t>TH45016RX85A8A</t>
  </si>
  <si>
    <t>ETH32</t>
  </si>
  <si>
    <t>โอภาส เที่ยงกระโทก</t>
  </si>
  <si>
    <t>26/01/2025 09:34</t>
  </si>
  <si>
    <t>JB172586384TH</t>
  </si>
  <si>
    <t>ETH33</t>
  </si>
  <si>
    <t xml:space="preserve">ตุ๊กตา  หมูบ้านเบททาง </t>
  </si>
  <si>
    <t>26/01/2025 09:35</t>
  </si>
  <si>
    <t>JB172586398TH</t>
  </si>
  <si>
    <t>ETH34</t>
  </si>
  <si>
    <t>นริศรา กุลแก้ว</t>
  </si>
  <si>
    <t>26/01/2025 09:36</t>
  </si>
  <si>
    <t>JB172586407TH</t>
  </si>
  <si>
    <t>ETH35</t>
  </si>
  <si>
    <t>26/01/2025 09:37</t>
  </si>
  <si>
    <t>JB172586415TH</t>
  </si>
  <si>
    <t>ETH36</t>
  </si>
  <si>
    <t>26/01/2025 09:38</t>
  </si>
  <si>
    <t>JB172586424TH</t>
  </si>
  <si>
    <t>ETH37</t>
  </si>
  <si>
    <t>26/01/2025 09:40</t>
  </si>
  <si>
    <t>JB172586438TH</t>
  </si>
  <si>
    <t>ETH38</t>
  </si>
  <si>
    <t xml:space="preserve">คุณ ฟ้าลดา </t>
  </si>
  <si>
    <t>26/01/2025 09:42</t>
  </si>
  <si>
    <t>JB172590287TH</t>
  </si>
  <si>
    <t>ETH42</t>
  </si>
  <si>
    <t xml:space="preserve">เฉลิมโชค </t>
  </si>
  <si>
    <t>26/01/2025 11:06</t>
  </si>
  <si>
    <t>JB172586441TH</t>
  </si>
  <si>
    <t>ETH48</t>
  </si>
  <si>
    <t>กนกพร นันทะโย</t>
  </si>
  <si>
    <t>26/01/2025 11:47</t>
  </si>
  <si>
    <t>JB172586455TH</t>
  </si>
  <si>
    <t>ETH45</t>
  </si>
  <si>
    <t>แ***หมียว</t>
  </si>
  <si>
    <t>7494296472590518698</t>
  </si>
  <si>
    <t>26/01/2025 11:32</t>
  </si>
  <si>
    <t>ETH67</t>
  </si>
  <si>
    <t>วัชรากร ผาสุข</t>
  </si>
  <si>
    <t xml:space="preserve">Giutar </t>
  </si>
  <si>
    <t>27/01/2025 11:25</t>
  </si>
  <si>
    <t>ETH69</t>
  </si>
  <si>
    <t>จันทร์จิรา ผังดี</t>
  </si>
  <si>
    <t>27/01/2025 11:30</t>
  </si>
  <si>
    <t>ETH68</t>
  </si>
  <si>
    <t xml:space="preserve">ศิริรัตน์ </t>
  </si>
  <si>
    <t>other</t>
  </si>
  <si>
    <t>tanpracha1985</t>
  </si>
  <si>
    <t>ETH71</t>
  </si>
  <si>
    <t>ชมพู่</t>
  </si>
  <si>
    <t>27/01/2025 11:33</t>
  </si>
  <si>
    <t>ETH70</t>
  </si>
  <si>
    <t>จริยา &amp;nbsp;หนูขวัญ</t>
  </si>
  <si>
    <t>🌺. is..is. 🌾</t>
  </si>
  <si>
    <t>ETH72</t>
  </si>
  <si>
    <t>สุวพร &amp;nbsp;ศรีสุระ</t>
  </si>
  <si>
    <t>สุวพร</t>
  </si>
  <si>
    <t>27/01/2025 11:40</t>
  </si>
  <si>
    <t>JB172741058TH</t>
  </si>
  <si>
    <t>JB172741000TH</t>
  </si>
  <si>
    <t>JB172741061TH</t>
  </si>
  <si>
    <t>JB172741027TH</t>
  </si>
  <si>
    <t>JB172741013TH</t>
  </si>
  <si>
    <t>JB172741035TH</t>
  </si>
  <si>
    <t>ETH94</t>
  </si>
  <si>
    <t xml:space="preserve">วนิศรา ลาภินี </t>
  </si>
  <si>
    <t>wanis_pui</t>
  </si>
  <si>
    <t>28/01/2025 14:11</t>
  </si>
  <si>
    <t>JB172856594TH</t>
  </si>
  <si>
    <t>TH66066MX2UK0B</t>
  </si>
  <si>
    <t>นิตยา ธนะจินดา</t>
  </si>
  <si>
    <t>0809606323</t>
  </si>
  <si>
    <t>92ม.8 คุระบุรี บางวัน พังงา Thailand</t>
  </si>
  <si>
    <t>26×️24×️26</t>
  </si>
  <si>
    <t>TH05096MX2UQ2F</t>
  </si>
  <si>
    <t>Suwannee Srisamai</t>
  </si>
  <si>
    <t>0851545145</t>
  </si>
  <si>
    <t>4/4 หมู่7 ภาชี ไผ่ล้อม พระนครศรีอยุธยา Thailand</t>
  </si>
  <si>
    <t>49×️40×️29</t>
  </si>
  <si>
    <t>TH49036MX2VR7F</t>
  </si>
  <si>
    <t>น.ส.สิริยากร บุญเกิด</t>
  </si>
  <si>
    <t>0932950508</t>
  </si>
  <si>
    <t>73 หมู่2 เกาะคา เกาะคา ลำปาง Thailand</t>
  </si>
  <si>
    <t>49×️25×️27</t>
  </si>
  <si>
    <t>TH31196MYNTM3E</t>
  </si>
  <si>
    <t>บุญหลาย บุญดิเรก</t>
  </si>
  <si>
    <t>0629813937</t>
  </si>
  <si>
    <t>250ม.1 สิรินธร ฝางคำ อุบลราชธานี Thailand</t>
  </si>
  <si>
    <t>TH15036MYNTQ2F</t>
  </si>
  <si>
    <t>กรองแก้ว พุ่มปรีชา</t>
  </si>
  <si>
    <t>0841271015</t>
  </si>
  <si>
    <t>14/1 ม.3 นครชัยศรี ท่ากระชับ นครปฐม Thailand</t>
  </si>
  <si>
    <t>TH04026MX2V86A3</t>
  </si>
  <si>
    <t>สุวัฒนา รัตนกาล</t>
  </si>
  <si>
    <t>0811235331</t>
  </si>
  <si>
    <t>69/57 พร-รพี10 ม.15 คลองหลวง คลองหนึ่ง ปทุมธานี Thailand</t>
  </si>
  <si>
    <t>49×️25×️28</t>
  </si>
  <si>
    <t>TH40016MYNTK5I</t>
  </si>
  <si>
    <t>คุณวะดี โกษาเกศ</t>
  </si>
  <si>
    <t>0909763577</t>
  </si>
  <si>
    <t>บ้านเลขที่ 98 หมู่ 9 บ.โพนสา ท่าบ่อ โพนสา หนองคาย Thailand</t>
  </si>
  <si>
    <t>TH04016MX2V20G</t>
  </si>
  <si>
    <t>จารุวรรณ เกตกราย</t>
  </si>
  <si>
    <t>0896685503</t>
  </si>
  <si>
    <t>บ้านติดคลังโฟร์โมส 47/5 ม.1 เมืองปทุมธานี บางคูวัด ปทุมธานี Thailand</t>
  </si>
  <si>
    <t>50×️26×️30</t>
  </si>
  <si>
    <t>TH60096MX2VQ6A</t>
  </si>
  <si>
    <t>พรรณราย น้อยเจริญ</t>
  </si>
  <si>
    <t>0653713058</t>
  </si>
  <si>
    <t>2/4หมุ่9 ทุ่งเสลี่ยม บ้านใหม่ไชยมงคล สุโขทัย Thailand</t>
  </si>
  <si>
    <t>TH54076MX2VQ7B</t>
  </si>
  <si>
    <t>สุมิตรา รัตน์เรืองเดช</t>
  </si>
  <si>
    <t>0899504271</t>
  </si>
  <si>
    <t>58 ม.4 แม่จัน จันจว้า เชียงราย Thailand</t>
  </si>
  <si>
    <t>TH56106MX2U74B</t>
  </si>
  <si>
    <t>นางประจิณ นุชนุ่ม</t>
  </si>
  <si>
    <t>0849403625</t>
  </si>
  <si>
    <t> 86/5 ม.5 พยุหะคีรี เนินมะกอก นครสวรรค์ Thailand</t>
  </si>
  <si>
    <t>TH03066MX2UE7B1</t>
  </si>
  <si>
    <t>นางสวงค์ วังเขาแก้ว</t>
  </si>
  <si>
    <t>0970356229</t>
  </si>
  <si>
    <t>14 ม.4 ปากเกร็ด บางตลาด นนทบุรี Thailand</t>
  </si>
  <si>
    <t>50×️26×️29</t>
  </si>
  <si>
    <t>TH49016MX2VR0E</t>
  </si>
  <si>
    <t>ปาริชาติ จันทร์นุ่ม</t>
  </si>
  <si>
    <t>0879163181</t>
  </si>
  <si>
    <t>255/1 สุขสวัสดิ์ 1 ซอย 11 เมืองลำปาง พระบาท ลำปาง Thailand</t>
  </si>
  <si>
    <t>TH13086MX2VG3D</t>
  </si>
  <si>
    <t>สุพัตรา นรดี</t>
  </si>
  <si>
    <t>0818474129</t>
  </si>
  <si>
    <t>บ้านเลขที่ 2/88 หมู่ 5 หมู่บ้านพฤกษากาญจน์ 3 เมืองกาญจนบุรี ท่ามะขาม กาญจนบุรี Thailand</t>
  </si>
  <si>
    <t>25×️24×️26</t>
  </si>
  <si>
    <t>TH03066MX2VH1I</t>
  </si>
  <si>
    <t>อมรรัตน์ เม้าอินทร์</t>
  </si>
  <si>
    <t>0648298364</t>
  </si>
  <si>
    <t>18/6หมู่1 ปากเกร็ด อ้อมเกร็ด นนทบุรี Thailand</t>
  </si>
  <si>
    <t>TH01076MX2UT4A1</t>
  </si>
  <si>
    <t>Patcharee Hommai</t>
  </si>
  <si>
    <t>0890799582</t>
  </si>
  <si>
    <t>21 ซอยประชาอุทิศ 5 แยก 3-4 ดอนเมือง ดอนเมือง กรุงเทพ Thailand</t>
  </si>
  <si>
    <t>33×️17×️9</t>
  </si>
  <si>
    <t>TH01036MX2UW9C1</t>
  </si>
  <si>
    <t>ณยดา จรูญชนม์</t>
  </si>
  <si>
    <t>0853919615</t>
  </si>
  <si>
    <t>‪ บ้านเลขที่ 53/61 ซอย พระยาสุเรนทร์2 ถนน รามอินทรา109 คลองสามวา บางชัน กรุงเทพ Thailand</t>
  </si>
  <si>
    <t>TH68046MX2UX4D</t>
  </si>
  <si>
    <t>สุนีรัตน์ สุขสร้อย</t>
  </si>
  <si>
    <t>0632322635</t>
  </si>
  <si>
    <t>คามาลายา 102/9 ม.3 เกาะสมุย หน้าเมือง สุราษฎร์ธานี Thailand</t>
  </si>
  <si>
    <t>TH04056MX2VG6E</t>
  </si>
  <si>
    <t>นางเตือนใจ เอี่ยมเพ็ชร์</t>
  </si>
  <si>
    <t>0892240131</t>
  </si>
  <si>
    <t>26/2หมู่4 ลาดหลุมแก้ว คลองพระอุดม ปทุมธานี Thailand</t>
  </si>
  <si>
    <t>TH38086MX2UT7A</t>
  </si>
  <si>
    <t>วัชราภรณ์ สิทธิสอน</t>
  </si>
  <si>
    <t>0896629594</t>
  </si>
  <si>
    <t>209 หมู่ 1 ร้านไชยวานเภสัช ไชยวาน ไชยวาน อุดรธานี Thailand</t>
  </si>
  <si>
    <t>TH12106MYNTR4A</t>
  </si>
  <si>
    <t>สายใจ ป่านรอด</t>
  </si>
  <si>
    <t>0952063391</t>
  </si>
  <si>
    <t>9 ม.3 จอมบึง จอมบึง ราชบุรี Thailand</t>
  </si>
  <si>
    <t>TH04036MX2VC0A1</t>
  </si>
  <si>
    <t>ภัณฑิรา</t>
  </si>
  <si>
    <t>0817128054</t>
  </si>
  <si>
    <t>คาเฟ่ชาพะยอม ฟิวเจอรพาร์รังสิต ถ.พหลโยธิน ธัญบุรี ประชาธิปัตย์ ปทุมธานี Thailand</t>
  </si>
  <si>
    <t>TH13036MX2VK8A</t>
  </si>
  <si>
    <t>ธิดา บู่สามสาย</t>
  </si>
  <si>
    <t>0860318680</t>
  </si>
  <si>
    <t>18 หมู่ 2 ท่าม่วง เขาน้อย กาญจนบุรี Thailand</t>
  </si>
  <si>
    <t>TH20076MX2UV6D1</t>
  </si>
  <si>
    <t>จุฑาทิพย์ ปั้นปัญญา</t>
  </si>
  <si>
    <t>0839821022</t>
  </si>
  <si>
    <t>บ้านเลขที่ 168/56 หมู่ 4 ศรีราชา บึง ชลบุรี Thailand</t>
  </si>
  <si>
    <t>25×️24×️15</t>
  </si>
  <si>
    <t>TH13096MYNTH2A</t>
  </si>
  <si>
    <t>นางบุญมี เปียสง่า</t>
  </si>
  <si>
    <t>0806556371</t>
  </si>
  <si>
    <t>112 ม.2 บ้านหนองอำเภอจีน เลาขวัญ ทุ่งกระบ่ำ กาญจนบุรี Thailand</t>
  </si>
  <si>
    <t>25×️24×️16</t>
  </si>
  <si>
    <t>TH50076MX2U75F</t>
  </si>
  <si>
    <t>ลลิตา ส่งบุญธรรม</t>
  </si>
  <si>
    <t>0822258170</t>
  </si>
  <si>
    <t>125/3 พิชัย บ้านหม้อ อุตรดิตถ์ Thailand</t>
  </si>
  <si>
    <t>25×️25×️26</t>
  </si>
  <si>
    <t>TH03056MX2VX1C</t>
  </si>
  <si>
    <t>สุชญา เจียรนัยโสพิน</t>
  </si>
  <si>
    <t>0932629953</t>
  </si>
  <si>
    <t>มบ. ทิพพิมาน 71/28 ซ 9 ม. 2 ถ. บางไผ่_หนองเพรางาย ไทรน้อย หนองเพรางาย นนทบุรี Thailand</t>
  </si>
  <si>
    <t>TH43136MYNTS4A</t>
  </si>
  <si>
    <t>สุธีรา ศิริกุล</t>
  </si>
  <si>
    <t>0898634452</t>
  </si>
  <si>
    <t>263/1ม.2ถ.สันติราษฎร์ สมเด็จ สมเด็จ กาฬสินธุ์ Thailand</t>
  </si>
  <si>
    <t>TH15036MX2V09M</t>
  </si>
  <si>
    <t>สุทัสสี สังข์ทอง</t>
  </si>
  <si>
    <t>0871587942</t>
  </si>
  <si>
    <t>รพ.สต.แหลมบัว นครชัยศรี แหลมบัว นครปฐม Thailand</t>
  </si>
  <si>
    <t>TH54016MX2VR2G</t>
  </si>
  <si>
    <t>พรทิพา คงคลัง</t>
  </si>
  <si>
    <t>0835645300</t>
  </si>
  <si>
    <t>524/2หมู่11 บ้านป่ากล้วยเหนือ เมืองเชียงราย สันทราย เชียงราย Thailand</t>
  </si>
  <si>
    <t>TH03016MX2V45I</t>
  </si>
  <si>
    <t>เอ๋</t>
  </si>
  <si>
    <t>0899846487</t>
  </si>
  <si>
    <t>99/27 หมู่ 4 หมู่บ้านสิรภัทร 4 เมืองนนทบุรี ไทรม้า นนทบุรี Thailand</t>
  </si>
  <si>
    <t>26×️25×️28</t>
  </si>
  <si>
    <t>TH54096MYNTT0A</t>
  </si>
  <si>
    <t>Jinda Wannaleard</t>
  </si>
  <si>
    <t>0869129779</t>
  </si>
  <si>
    <t>บ้านเลขที่51/4 หมู่ที่10 ถนนเหมืองแดง แม่สาย แม่สาย เชียงราย Thailand</t>
  </si>
  <si>
    <t>TH20016MX2VF8P</t>
  </si>
  <si>
    <t>ภูวิช</t>
  </si>
  <si>
    <t>0854384150</t>
  </si>
  <si>
    <t>46 หมู่1 เมืองชลบุรี เสม็ด ชลบุรี Thailand</t>
  </si>
  <si>
    <t>50×️26×️28</t>
  </si>
  <si>
    <t>TH03046MX2UE3H1</t>
  </si>
  <si>
    <t>พรนภัสร์</t>
  </si>
  <si>
    <t>0616545478</t>
  </si>
  <si>
    <t>107/164 ม.4 หมู่บ้านเอกลดาซอย4 บางบัวทอง บางรักพัฒนา นนทบุรี Thailand</t>
  </si>
  <si>
    <t>TH14016MX2UQ1C</t>
  </si>
  <si>
    <t>สมพร ขำบุญกลิ่น</t>
  </si>
  <si>
    <t>0983121389</t>
  </si>
  <si>
    <t>83ม.3 เมืองสุพรรณบุรี ทับตีเหล็ก สุพรรณบุรี Thailand</t>
  </si>
  <si>
    <t>26×️24×️16</t>
  </si>
  <si>
    <t>TH01026MYNTJ1B</t>
  </si>
  <si>
    <t>คุณศิรพงศ์ กฤติการุจน์</t>
  </si>
  <si>
    <t>0655949189</t>
  </si>
  <si>
    <t>140 ซอยท่าน้ำ ท่าดินแดง18 คลองสาน คลองสาน กรุงเทพ Thailand</t>
  </si>
  <si>
    <t>TH01016MZVPR9C</t>
  </si>
  <si>
    <t>คุณปัทมา</t>
  </si>
  <si>
    <t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คลองเตย พระโขนง กรุงเทพ Thailand</t>
  </si>
  <si>
    <t>1×️1×️1</t>
  </si>
  <si>
    <t>TH15056MX2UZ5L</t>
  </si>
  <si>
    <t>นายประสิทธิ์ ภิรมย์ชุ่ม</t>
  </si>
  <si>
    <t>0868046462</t>
  </si>
  <si>
    <t>50/1ม.7 บางเลน คลองนกกระทุง นครปฐม Thailand</t>
  </si>
  <si>
    <t>TH20016MX2VM5G0</t>
  </si>
  <si>
    <t>ชัยรัตน์ แก้วโกย</t>
  </si>
  <si>
    <t>0622197379</t>
  </si>
  <si>
    <t>แฟมิลี่ ซิตี้ อพาร์ตเมนต์ ตึก2 ห้อง 108 96 หมู่12 เมืองชลบุรี นาป่า ชลบุรี Thailand</t>
  </si>
  <si>
    <t>TH14016MX2VM3S</t>
  </si>
  <si>
    <t>อูษณีย์ สนธิเณร</t>
  </si>
  <si>
    <t>0615420992</t>
  </si>
  <si>
    <t>349/17 ม.3 เมืองสุพรรณบุรี โพธิ์พระยา สุพรรณบุรี Thailand</t>
  </si>
  <si>
    <t>TH63116MX2VV0G</t>
  </si>
  <si>
    <t>Malee Vorachatkheeree</t>
  </si>
  <si>
    <t>0813846184</t>
  </si>
  <si>
    <t>18 ม.3 เขาค้อ เข็กน้อย เพชรบูรณ์ Thailand</t>
  </si>
  <si>
    <t>TH71156MX2UQ8I</t>
  </si>
  <si>
    <t>ประนอม บุญทิพย์</t>
  </si>
  <si>
    <t>0967095154</t>
  </si>
  <si>
    <t>129/2-ม7 สิงหนคร หัวเขา สงขลา Thailand</t>
  </si>
  <si>
    <t>TH71046MX2V43H</t>
  </si>
  <si>
    <t>ขนิษฐา พรหมจันทร์</t>
  </si>
  <si>
    <t>0654763567</t>
  </si>
  <si>
    <t>45ม.3 นาทวี ทับช้าง สงขลา Thailand</t>
  </si>
  <si>
    <t>TH14016MX2UT0P</t>
  </si>
  <si>
    <t>พิมพ์ภัทรา ศักดิ์ศิธนากุล</t>
  </si>
  <si>
    <t>0946669242</t>
  </si>
  <si>
    <t>66ม.2 เมืองสุพรรณบุรี ศาลาขาว สุพรรณบุรี Thailand</t>
  </si>
  <si>
    <t>24×️25×️6</t>
  </si>
  <si>
    <t>TH77026MX35H1C</t>
  </si>
  <si>
    <t>ปาณิสรา ซุ่นบก</t>
  </si>
  <si>
    <t>0892934898</t>
  </si>
  <si>
    <t>69 ม.3 ตากใบ พร่อน นราธิวาส Thailand</t>
  </si>
  <si>
    <t>48×️43×️30</t>
  </si>
  <si>
    <t>TH52146MX2U76E</t>
  </si>
  <si>
    <t>ชุมพล ผัดผล</t>
  </si>
  <si>
    <t>0890771452</t>
  </si>
  <si>
    <t>187 ม.9 ภูเพียง เมืองจัง น่าน Thailand</t>
  </si>
  <si>
    <t>49×️40×️30</t>
  </si>
  <si>
    <t>TH64126MX2VR5J</t>
  </si>
  <si>
    <t>นายณัฐนนท์ พรหมแก้ว</t>
  </si>
  <si>
    <t>0612241288</t>
  </si>
  <si>
    <t>184/2 ม.4 ปากพนัง ปากพนังฝั่งตะวันตก นครศรีธรรมราช Thailand</t>
  </si>
  <si>
    <t>TH13086MYNTG7H</t>
  </si>
  <si>
    <t>คุณธงชัย สุขไพรสัณฑ์</t>
  </si>
  <si>
    <t>0860626396</t>
  </si>
  <si>
    <t>204/254 ม.3 เมืองกาญจนบุรี ปากแพรก กาญจนบุรี Thailand</t>
  </si>
  <si>
    <t>TH01406MYNTP9B2</t>
  </si>
  <si>
    <t>ประกายดาว พันธุ์รักษ์</t>
  </si>
  <si>
    <t>0917927663</t>
  </si>
  <si>
    <t>รพ.เปาโลโชคชัย 4 เลขที่ 1 ถนน โชคชัย 4 ซอย โชคชัย 4 ลาดพร้าว ลาดพร้าว กรุงเทพ Thailand</t>
  </si>
  <si>
    <t>50×️29×️29</t>
  </si>
  <si>
    <t>TH64066MX2UK3J</t>
  </si>
  <si>
    <t>สมเกียร บุญน้อย</t>
  </si>
  <si>
    <t>0856522625</t>
  </si>
  <si>
    <t>49 ม.10 เชียรใหญ่ แม่เจ้าอยู่หัว นครศรีธรรมราช Thailand</t>
  </si>
  <si>
    <t>TH51066MX2U98B</t>
  </si>
  <si>
    <t>พรรษมนต์ ศิริเฉลิมทิพากุล</t>
  </si>
  <si>
    <t>0935595425</t>
  </si>
  <si>
    <t>63/2 ม.7 สอง บ้านกลาง แพร่ Thailand</t>
  </si>
  <si>
    <t>TH54126MYNTM9C</t>
  </si>
  <si>
    <t>แม่ บัวใหล ไกลถึ่น</t>
  </si>
  <si>
    <t>0843747097</t>
  </si>
  <si>
    <t>93 ม 12 บ้านห้วยก้าง พญาเม็งราย ไม้ยา เชียงราย Thailand</t>
  </si>
  <si>
    <t>55×️51×️37</t>
  </si>
  <si>
    <t>TH15056N0YCN4O</t>
  </si>
  <si>
    <t>น.ส.นาตยา มั่งชูพันธุ์</t>
  </si>
  <si>
    <t>0824915176</t>
  </si>
  <si>
    <t>บ้านเลขที่ 5 หมู่ 1 บางเลน ไผ่หูช้าง นครปฐม Thailand</t>
  </si>
  <si>
    <t>50×️40×️31</t>
  </si>
  <si>
    <t>TH05066MYNTN4P</t>
  </si>
  <si>
    <t>Gus Ja</t>
  </si>
  <si>
    <t>0861294397</t>
  </si>
  <si>
    <t>เอื้ออาทรเฟส4 ซอย 7/1 เลขที่ 109/439 บางปะอิน บ้านสร้าง พระนครศรีอยุธยา Thailand</t>
  </si>
  <si>
    <t>49×️41×️31</t>
  </si>
  <si>
    <t>TH30046MYNTP4I</t>
  </si>
  <si>
    <t>จุไรรัตน์</t>
  </si>
  <si>
    <t>0818022001</t>
  </si>
  <si>
    <t>513/109 ถ.คูเมือง ขุขันธ์ ห้วยเหนือ ศรีสะเกษ Thailand</t>
  </si>
  <si>
    <t>50×️41×️31</t>
  </si>
  <si>
    <t>TH64016N0YCD1C</t>
  </si>
  <si>
    <t>สาม นนทิยา</t>
  </si>
  <si>
    <t>0935823428</t>
  </si>
  <si>
    <t>กศน.อำเภอเมืองนครศรีธรรมราช ตำบลคลัง อำเภอเมืองนครศรีธรรมราช จังหวัดนครศรีธรรมราช คลัง นครศรีธรรมราช Thailand 80000 เมืองนครศรีธรรมราช คลัง นครศรีธรรมราช Thailand</t>
  </si>
  <si>
    <t>TH30046MYNTP0I</t>
  </si>
  <si>
    <t>53×️52×️37</t>
  </si>
  <si>
    <t>TH24056N0YCG9A</t>
  </si>
  <si>
    <t>สำรวย สัตยภิรมณ์ 1</t>
  </si>
  <si>
    <t>0894425738</t>
  </si>
  <si>
    <t>127/10 หมู่1 บ้านโพธิ์ บ้านโพธิ์ ฉะเชิงเทรา Thailand</t>
  </si>
  <si>
    <t>56×️55×️37</t>
  </si>
  <si>
    <t>TH24056N0YCG8A</t>
  </si>
  <si>
    <t>สำรวย สัตยภิรมณ์ 2</t>
  </si>
  <si>
    <t>53×️53×️38</t>
  </si>
  <si>
    <t>TH24056N0YCG5A</t>
  </si>
  <si>
    <t>สำรวย สัตยภิรมณ์ 3</t>
  </si>
  <si>
    <t>52×️52×️37</t>
  </si>
  <si>
    <t>TH01346N3CT80A1</t>
  </si>
  <si>
    <t>148/521 ซอยรามคำแหง 190 มีนบุรี มีนบุรี มีนบุรี มีนบุรี กรุงเทพ Thailand</t>
  </si>
  <si>
    <t>TH61016N0YCE6A</t>
  </si>
  <si>
    <t>หยาดนภา นนทับพา</t>
  </si>
  <si>
    <t>0938203199</t>
  </si>
  <si>
    <t>299/97 ถ.มาลาเบี่ยง ในเมือง เมือง, พิษณุโลก เมืองพิษณุโลก ในเมือง พิษณุโลก Thailand</t>
  </si>
  <si>
    <t>TH05056N0YCJ9A</t>
  </si>
  <si>
    <t>ศิริพร ศิลตระกูล</t>
  </si>
  <si>
    <t>0854243390</t>
  </si>
  <si>
    <t>27/1หมู่5 บางบาล บางบาล พระนครศรีอยุธยา Thailand</t>
  </si>
  <si>
    <t>50×️25×️29</t>
  </si>
  <si>
    <t>TH05056MYNTJ5N</t>
  </si>
  <si>
    <t>อ้อยสุขี</t>
  </si>
  <si>
    <t>0892315182</t>
  </si>
  <si>
    <t>49หมู่7 บางบาล บางหัก พระนครศรีอยุธยา Thailand</t>
  </si>
  <si>
    <t>TH63106MYNTM7B</t>
  </si>
  <si>
    <t>ปาหนัน ตะโกนา</t>
  </si>
  <si>
    <t>0870758820</t>
  </si>
  <si>
    <t>79/1 ม.3 วังโป่ง ท้ายดง เพชรบูรณ์ Thailand</t>
  </si>
  <si>
    <t>50×️25×️28</t>
  </si>
  <si>
    <t>TH71116N0YCB5A1</t>
  </si>
  <si>
    <t>มณี จันงาม</t>
  </si>
  <si>
    <t>0950819794</t>
  </si>
  <si>
    <t>92 ถ โชคสมาน 5 ซ 4 หาดใหญ่ หาดใหญ่ สงขลา Thailand</t>
  </si>
  <si>
    <t>TH19066N0YCH2E</t>
  </si>
  <si>
    <t>สุกัลยา</t>
  </si>
  <si>
    <t>0958879190</t>
  </si>
  <si>
    <t>464 ม.4 ปราณบุรี วังก์พง ประจวบคีรีขันธ์ Thailand</t>
  </si>
  <si>
    <t>TH01106N0YCF5F</t>
  </si>
  <si>
    <t>กาญจนาพร ทิมประเสริฐ</t>
  </si>
  <si>
    <t>0800773096</t>
  </si>
  <si>
    <t>17/11 ม.มหาดไทย2 ซ.บางระมาด11 ตลิ่งชัน บางระมาด กรุงเทพ Thailand</t>
  </si>
  <si>
    <t>TH10096N0YCA5D</t>
  </si>
  <si>
    <t>อุดมลักษณ์ เหรียญนิยม</t>
  </si>
  <si>
    <t>0982728920</t>
  </si>
  <si>
    <t>หมู่บ้านโฮมนายาว เลขที่ 105/107 พระพุทธบาท นายาว สระบุรี Thailand</t>
  </si>
  <si>
    <t>51×️26×️29</t>
  </si>
  <si>
    <t>TH13086N2PRD7I</t>
  </si>
  <si>
    <t>น.ส สุนีย์ อินตรา</t>
  </si>
  <si>
    <t>0833105982</t>
  </si>
  <si>
    <t>โรงน้ำแข็งเจือทิพย์ 126/7หมู่4 เมืองกาญจนบุรี ลาดหญ้า กาญจนบุรี Thailand</t>
  </si>
  <si>
    <t>TH24056N0YCG3A</t>
  </si>
  <si>
    <t>สำรวย สัตยภิรมณ์ 4</t>
  </si>
  <si>
    <t>TH13056N0YCJ5F</t>
  </si>
  <si>
    <t>น.ส.ชไมพร สว่างแผ้ว</t>
  </si>
  <si>
    <t>0808523796</t>
  </si>
  <si>
    <t>43/2 หมู่ 2 ไทรโยค ศรีมงคล กาญจนบุรี Thailand</t>
  </si>
  <si>
    <t>TH38146N0YCN5C</t>
  </si>
  <si>
    <t>น้องสปาย</t>
  </si>
  <si>
    <t>0631839211</t>
  </si>
  <si>
    <t>47 ม.12 บ้านนาพู่ เพ็ญ นาพู่ อุดรธานี Thailand</t>
  </si>
  <si>
    <t>TH14046N0YCE9N</t>
  </si>
  <si>
    <t>คณิน มณีอินทร์</t>
  </si>
  <si>
    <t>0626097274</t>
  </si>
  <si>
    <t>64หมุ่5ต.วัดดาว บางปลาม้า วัดดาว สุพรรณบุรี Thailand</t>
  </si>
  <si>
    <t>TH58046N0YCE8C</t>
  </si>
  <si>
    <t>Nok Waranith</t>
  </si>
  <si>
    <t>0638966164</t>
  </si>
  <si>
    <t>105/1 ม.3 แสนตอ ขาณุวรลักษบุรี กำแพงเพชร Thailand ขาณุวรลักษบุรี แสนตอ กำแพงเพชร Thailand</t>
  </si>
  <si>
    <t>TH27136N0YCA2D</t>
  </si>
  <si>
    <t>ณัฐมณฑน์ จาง</t>
  </si>
  <si>
    <t>0837842325</t>
  </si>
  <si>
    <t>41หมู่5 ประทาย ตลาดไทร นครราชสีมา Thailand</t>
  </si>
  <si>
    <t>TH02056MYNTT7B</t>
  </si>
  <si>
    <t>จันทิมา</t>
  </si>
  <si>
    <t>0875541403</t>
  </si>
  <si>
    <t>333/11 ม.2 มบ.วิเศษสุขนคร 16 ซ.ประชาอุทิศ 90 พระสมุทรเจดีย์ บ้านคลองสวน สมุทรปราการ Thailand</t>
  </si>
  <si>
    <t>TH01486N0YCE3B1</t>
  </si>
  <si>
    <t>ชุลีกร เพียรพล</t>
  </si>
  <si>
    <t>0898165175</t>
  </si>
  <si>
    <t>54/192 ม.2 หมู่บ้านหรรษามาเจริญ 3 ซอยสนอง หนองแขม หนองค้างพลู กรุงเทพ Thailand</t>
  </si>
  <si>
    <t>26×️25×️27</t>
  </si>
  <si>
    <t>TH01206N2PRD3D</t>
  </si>
  <si>
    <t>ณัฐ</t>
  </si>
  <si>
    <t>0982511989</t>
  </si>
  <si>
    <t>10/781ม.สุขสันต์5ซ.18 แขวงหลักสอง ก.ท.ม บางแค หลักสอง กรุงเทพ Thailand</t>
  </si>
  <si>
    <t>26×️26×️24</t>
  </si>
  <si>
    <t>TH25066N2PRE5F</t>
  </si>
  <si>
    <t>แสวง จัดพล</t>
  </si>
  <si>
    <t>0814559134</t>
  </si>
  <si>
    <t>เลขที่187 ม.1 ศรีมหาโพธิ ดงกระทงยาม ปราจีนบุรี Thailand</t>
  </si>
  <si>
    <t>25×️25×️27</t>
  </si>
  <si>
    <t>TH47016N2PRB0G</t>
  </si>
  <si>
    <t>นายสุชาติ ตั้งกิตติศัพท์</t>
  </si>
  <si>
    <t>0895088587</t>
  </si>
  <si>
    <t>114/34 หมู่บ้านซันฟอร์เรส วิลล์ หมู่4 เมืองเชียงใหม่ ป่าแดด เชียงใหม่ Thailand</t>
  </si>
  <si>
    <t>TH13096N0YCF9B</t>
  </si>
  <si>
    <t>ศิริพร พันสี</t>
  </si>
  <si>
    <t>0659863764</t>
  </si>
  <si>
    <t>รพ.เลาขวัญ 1/1 ม.6 เลาขวัญ เลาขวัญ กาญจนบุรี Thailand</t>
  </si>
  <si>
    <t>TH15066N2PRC2J</t>
  </si>
  <si>
    <t>ปิยะรัตน์ พรหมปฏิมา</t>
  </si>
  <si>
    <t>0958675957</t>
  </si>
  <si>
    <t>199/54 ซอย 8 หมู่ที่ 9 ถนน พุทธมณฑลสายสี่ สามพราน กระทุ่มล้ม นครปฐม Thailand</t>
  </si>
  <si>
    <t>27×️24×️27</t>
  </si>
  <si>
    <t>TH04036N0YCD3D</t>
  </si>
  <si>
    <t>สุภัศณี ศรีแก่นจันทร์</t>
  </si>
  <si>
    <t>0922739281</t>
  </si>
  <si>
    <t>23/429หมู่3 หมู่บ้านตะวันนาวิลล์ ซ.23 ถ.รังสิตนครนายก ธัญบุรี ลำผักกูด ปทุมธานี Thailand</t>
  </si>
  <si>
    <t>26×️24×️27</t>
  </si>
  <si>
    <t>TH01126N2PRC1B1</t>
  </si>
  <si>
    <t>วลีรัตน์ จันท์โศภิน</t>
  </si>
  <si>
    <t>0891752099</t>
  </si>
  <si>
    <t>80/237ซอยพุทธบูชา44 ถนนพุทธบูชา ทุ่งครุ บางมด กรุงเทพ Thailand</t>
  </si>
  <si>
    <t>TH41036N0YCH9B</t>
  </si>
  <si>
    <t>อรทัยฟาร์มปลา</t>
  </si>
  <si>
    <t>0872227211</t>
  </si>
  <si>
    <t>240หมู่2 โกสุมพิสัย ยางน้อย มหาสารคาม Thailand</t>
  </si>
  <si>
    <t>TH56086N0YCD7E</t>
  </si>
  <si>
    <t>ประพิมพร หอมสุวรรณ์</t>
  </si>
  <si>
    <t>0612806168</t>
  </si>
  <si>
    <t>3/12 หมู่ 5 ต.วังมหากร ท่าตะโก วังมหากร นครสวรรค์ Thailand</t>
  </si>
  <si>
    <t>TH02026N0YCN2D</t>
  </si>
  <si>
    <t>วันทนา ขำเมือง</t>
  </si>
  <si>
    <t>0959318982</t>
  </si>
  <si>
    <t>241/109 หมู่บ้านเทพารักษ์ บางบ่อ บางเพรียง สมุทรปราการ Thailand</t>
  </si>
  <si>
    <t>TH01476N0YCK5B1</t>
  </si>
  <si>
    <t>สมพภ. อินทะปัน</t>
  </si>
  <si>
    <t>0656769474</t>
  </si>
  <si>
    <t>593/7พหลโยธิน58ซอยแอนแน๊กแยก57เขตสายไหมแขวงสายไหมก.ท.ม สายไหม สายไหม กรุงเทพ Thailand</t>
  </si>
  <si>
    <t>TH64016N2PRC4D</t>
  </si>
  <si>
    <t>จารี พรหมทอง</t>
  </si>
  <si>
    <t>0656878946</t>
  </si>
  <si>
    <t>31 หมู่ 3 เมืองนครศรีธรรมราช ท่าไร่ นครศรีธรรมราช Thailand</t>
  </si>
  <si>
    <t>TH49126N2PRD9D</t>
  </si>
  <si>
    <t>นางสุพรรณ์ อินถา ธนกฤช</t>
  </si>
  <si>
    <t>0943214927</t>
  </si>
  <si>
    <t>264 หมู่ 6 ห้างฉัตร ปงยางคก ลำปาง Thailand</t>
  </si>
  <si>
    <t>TH65066N2PRE1A</t>
  </si>
  <si>
    <t>คุณจุฑาทิพย์ คงทอง</t>
  </si>
  <si>
    <t>0809156623</t>
  </si>
  <si>
    <t>73 ม.1 ปลายพระยา ปลายพระยา กระบี่ Thailand</t>
  </si>
  <si>
    <t>27×️25×️27</t>
  </si>
  <si>
    <t>TH04026N2PRD6F</t>
  </si>
  <si>
    <t>ศักดิ์สิทธิ์ สิงห์ทอง</t>
  </si>
  <si>
    <t>0898003618</t>
  </si>
  <si>
    <t>บ้านเลขที่ 43/3 หมู่9 คลองหลวง คลองหก ปทุมธานี Thailand</t>
  </si>
  <si>
    <t>TH33016N0YCC0E</t>
  </si>
  <si>
    <t>รัชภร ธนาโชคกุลธร</t>
  </si>
  <si>
    <t>0985188991</t>
  </si>
  <si>
    <t>315หมู่11บ้านท่าหว้า บ้านค่าย ชัยภูมิ Thailand เมืองชัยภูมิ บ้านค่าย ชัยภูมิ Thailand</t>
  </si>
  <si>
    <t>TH16036N0YCB0J</t>
  </si>
  <si>
    <t>มนต์นภา อยู่นาน</t>
  </si>
  <si>
    <t>0991021524</t>
  </si>
  <si>
    <t>36/2 หมู่ 6 บ้านแพ้ว อำแพง สมุทรสาคร Thailand</t>
  </si>
  <si>
    <t>TH19076N2PRB7A1</t>
  </si>
  <si>
    <t>ไพฑูรย์ อ.สุวรรณ</t>
  </si>
  <si>
    <t>0615620417</t>
  </si>
  <si>
    <t>บ่อฝ้าย 100/105 มบ.ธนแลนด์ หัวหิน หัวหิน ประจวบคีรีขันธ์ Thailand</t>
  </si>
  <si>
    <t>TH68046N0YCE1G</t>
  </si>
  <si>
    <t>วอดก้า</t>
  </si>
  <si>
    <t>0872884028</t>
  </si>
  <si>
    <t>232/21 หมู่ 1 ซอย 6 บ้านหลังสีฟ้า เกาะสมุย แม่น้ำ สุราษฎร์ธานี Thailand</t>
  </si>
  <si>
    <t>27×️26×️25</t>
  </si>
  <si>
    <t>TH56126N2PRB3C</t>
  </si>
  <si>
    <t>ยุทธนา ทองรัก</t>
  </si>
  <si>
    <t>0918073958</t>
  </si>
  <si>
    <t>122 ม.5 ตากฟ้า สุขสำราญ นครสวรรค์ Thailand</t>
  </si>
  <si>
    <t>26×️25×️16</t>
  </si>
  <si>
    <t>TH37126N2PRE6I</t>
  </si>
  <si>
    <t>บัวบล ชัยวงศ์</t>
  </si>
  <si>
    <t>0624597030</t>
  </si>
  <si>
    <t>322 หมู่3 ต.ลอมคอม อ.พล - ซอยซอยสระน้ำ บ้านอยู่ซ้ายมือเยื้องๆกับสระน้ำหมู่บ้าน ก่อนถึงร้านขายอาหารทะเล พล ลอมคอม ขอนแก่น Thailand</t>
  </si>
  <si>
    <t>27×️24×️17</t>
  </si>
  <si>
    <t>TH58046N2PRF0H</t>
  </si>
  <si>
    <t>สุริชา ตั้งโต</t>
  </si>
  <si>
    <t>0979428752</t>
  </si>
  <si>
    <t>ร้านข้าวสาร ตรงข้าม ธนาคาร ธกส 8หมู่1 ขาณุวรลักษบุรี โค้งไผ่ กำแพงเพชร Thailand</t>
  </si>
  <si>
    <t>TH15026N2PRA8B</t>
  </si>
  <si>
    <t>ชมพูนุท ล้อถิรธร</t>
  </si>
  <si>
    <t>0874151822</t>
  </si>
  <si>
    <t>31 หมู่ 7 กำแพงแสน กระตีบ นครปฐม Thailand</t>
  </si>
  <si>
    <t>26×️24×️17</t>
  </si>
  <si>
    <t>TH18016MX2UJ4O</t>
  </si>
  <si>
    <t>อำพัน จิรวิวัฒน์ภัทร</t>
  </si>
  <si>
    <t>0891785354</t>
  </si>
  <si>
    <t>43 หมู่ 5 เมืองเพชรบุรี สำมะโรง เพชรบุรี Thailand</t>
  </si>
  <si>
    <t>TH63016MX2UF2J</t>
  </si>
  <si>
    <t>ธิดา ปัญญาศุภโช</t>
  </si>
  <si>
    <t>0956311142</t>
  </si>
  <si>
    <t>155 ม.7 เมืองเพชรบูรณ์ ชอนไพร เพชรบูรณ์ Thailand</t>
  </si>
  <si>
    <t>TH41096MX2UH6B</t>
  </si>
  <si>
    <t>กุสุวิจิตร์ ปักเคระกา</t>
  </si>
  <si>
    <t>0801725239</t>
  </si>
  <si>
    <t>27 หมู่ 13 บ. หนองง่อง วาปีปทุม ขามป้อม มหาสารคาม Thailand</t>
  </si>
  <si>
    <t>26×️25×️17</t>
  </si>
  <si>
    <t>TH31136MYNTU4P</t>
  </si>
  <si>
    <t>ฉันทนา วัชรวิวรรณ</t>
  </si>
  <si>
    <t>0823701409</t>
  </si>
  <si>
    <t>123 ม. 6 บ.คำกลางใหม่ วารินชำราบ บุ่งไหม อุบลราชธานี Thailand</t>
  </si>
  <si>
    <t>TH64206N0YCM9C</t>
  </si>
  <si>
    <t>คุณอ้อย</t>
  </si>
  <si>
    <t>0845092591</t>
  </si>
  <si>
    <t>69 ม.8 พระพรหม ท้ายสำเภา นครศรีธรรมราช Thailand</t>
  </si>
  <si>
    <t>TH15066N2PRC7K</t>
  </si>
  <si>
    <t>วินัย อินทรพร</t>
  </si>
  <si>
    <t>0619384226</t>
  </si>
  <si>
    <t>124/2 คลองใหม่ อ.สามพราน จ. นครปฐม 73110 สามพราน คลองใหม่ นครปฐม Thailand</t>
  </si>
  <si>
    <t>TH37106N2PRE3A</t>
  </si>
  <si>
    <t>ณิฎา คำไอ่</t>
  </si>
  <si>
    <t>0846364695</t>
  </si>
  <si>
    <t>99 ม.1 บ.หนองผือ ม.1 บ้านไผ่ บ้านไผ่ ขอนแก่น Thailand</t>
  </si>
  <si>
    <t>TH64206N2PRE4C</t>
  </si>
  <si>
    <t>นวัตมน เทพนิมิตร</t>
  </si>
  <si>
    <t>0807188312</t>
  </si>
  <si>
    <t>159 ม.1- หมายเหตุ เคลม ลาซาด้า เลขคำสั่งซื้อ 953388826250363เคลมชิฟฟ่อนยอดฮิต 1 พระพรหม ท้ายสำเภา นครศรีธรรมราช Thailand</t>
  </si>
  <si>
    <t>TH37016MX2UP9N</t>
  </si>
  <si>
    <t>ถนอมจิตร มหาพุทธินันท์</t>
  </si>
  <si>
    <t>0947592303</t>
  </si>
  <si>
    <t>1 บ้านดงพอง เมืองขอนแก่น ศิลา ขอนแก่น Thailand</t>
  </si>
  <si>
    <t>TH41096MX2UE5F</t>
  </si>
  <si>
    <t>สุชานาถ แสนอุด</t>
  </si>
  <si>
    <t>0616494962</t>
  </si>
  <si>
    <t>58 หมู่4 วาปีปทุม หัวเรือ มหาสารคาม Thailand</t>
  </si>
  <si>
    <t>TH74046N0YCC2B</t>
  </si>
  <si>
    <t>สุดาวรรณ์ เหล่าทอง</t>
  </si>
  <si>
    <t>231 หมู่ 9 เทศบาลตะโหมด ตะโหมด ตะโหมด พัทลุง Thailand</t>
  </si>
  <si>
    <t>TH64166MX2V61D</t>
  </si>
  <si>
    <t>จินดารัตน์ เนตรสน</t>
  </si>
  <si>
    <t>0660250519</t>
  </si>
  <si>
    <t>228/1 หมู่ 9 หัวไทร แหลม นครศรีธรรมราช Thailand</t>
  </si>
  <si>
    <t>TH66036N2PRE2B</t>
  </si>
  <si>
    <t>สุมาลี พินทอง</t>
  </si>
  <si>
    <t>0895944898</t>
  </si>
  <si>
    <t>25 หมู่2 กะปง ท่านา พังงา Thailand</t>
  </si>
  <si>
    <t>TH73026N2PRE8A</t>
  </si>
  <si>
    <t>เสาวนีย์ กะดิรัตน์</t>
  </si>
  <si>
    <t>0948919636</t>
  </si>
  <si>
    <t>102 ถ.รัษฎา กันตัง กันตัง ตรัง Thailand</t>
  </si>
  <si>
    <t>TH64176MX2UP0C</t>
  </si>
  <si>
    <t>จารุวรรณ อินทร์จันทร์</t>
  </si>
  <si>
    <t>0909614590</t>
  </si>
  <si>
    <t>112 ม.1 บางขัน วังหิน นครศรีธรรมราช Thailand</t>
  </si>
  <si>
    <t>TH01116MX2UB1A</t>
  </si>
  <si>
    <t>จอมทัพ</t>
  </si>
  <si>
    <t>0804791953</t>
  </si>
  <si>
    <t>98 หมู่8 หมู่บ้านร่วมเกื้อ ทวีวัฒนา25 แยก28-7 ทวีวัฒนา ทวีวัฒนา กรุงเทพ Thailand</t>
  </si>
  <si>
    <t>TH01386MX2V03B</t>
  </si>
  <si>
    <t>45/7 หมู่ 9 ซอย ประชาอุทิศ 14 ราษฎร์บูรณะ ราษฎร์บูรณะ กรุงเทพ Thailand</t>
  </si>
  <si>
    <t>TH04026MX2VF3C0</t>
  </si>
  <si>
    <t>วารี จิตต์ลำจวน</t>
  </si>
  <si>
    <t>0898106430</t>
  </si>
  <si>
    <t>31/90 ม.2 หมู่บ้านพฤกษา 12 ซ.1/6 ถ.เลียบคลองสาม คลองหลวง คลองสาม ปทุมธานี Thailand</t>
  </si>
  <si>
    <t>TH01206N0YCM3D</t>
  </si>
  <si>
    <t>359/157 ซ.8/2 หมู่บ้านโกลเด้นนีโอ2 บางแค ถ.กาญจนาภิเษก5/1 บางแค หลักสอง กรุงเทพ Thailand</t>
  </si>
  <si>
    <t>TH27036N0YCK7D</t>
  </si>
  <si>
    <t>ภัณฑิลา ยวงกระโทก</t>
  </si>
  <si>
    <t>0999714051</t>
  </si>
  <si>
    <t>163 หมู่ 1 บ้านกุดโบสถ์ เสิงสาง กุดโบสถ์ นครราชสีมา Thailand</t>
  </si>
  <si>
    <t>TH46016MX2U71D</t>
  </si>
  <si>
    <t>ตั๊ก วรกมล</t>
  </si>
  <si>
    <t>0934963687</t>
  </si>
  <si>
    <t>208 หมู่ 2 ร้านข้าวเปียกแม่เล เมืองมุกดาหาร บางทรายใหญ่ มุกดาหาร Thailand</t>
  </si>
  <si>
    <t>TH05066MX2UB6F</t>
  </si>
  <si>
    <t>อชิรญา บุญเส็ง</t>
  </si>
  <si>
    <t>0832391221</t>
  </si>
  <si>
    <t>5/1 หมู่ 2ร้านชาอชิซัง หน้าซอยข้างบ้านกำนัน บางปะอิน คลองจิก พระนครศรีอยุธยา Thailand</t>
  </si>
  <si>
    <t>27×️24×️16</t>
  </si>
  <si>
    <t>TH03056MX2U62B</t>
  </si>
  <si>
    <t>มิ้น</t>
  </si>
  <si>
    <t>0960155591</t>
  </si>
  <si>
    <t>97/5หมู่6 ซอยร้านดินกันชา ไทรน้อย ราษฎร์นิยม นนทบุรี Thailand</t>
  </si>
  <si>
    <t>TH39056N0YCJ2G</t>
  </si>
  <si>
    <t>ชบา เชื้อบุญมี</t>
  </si>
  <si>
    <t>0982147874</t>
  </si>
  <si>
    <t>169 ม.2 ด่านซ้าย กกสะทอน เลย Thailand</t>
  </si>
  <si>
    <t>TH05106N0YCF7B</t>
  </si>
  <si>
    <t>พิศมัย วิเรขรัตน์</t>
  </si>
  <si>
    <t>0824955914</t>
  </si>
  <si>
    <t>19/39 หมู่ 1 ลาดบัวหลวง หลักชัย พระนครศรีอยุธยา Thailand</t>
  </si>
  <si>
    <t>TH01076N0YC98A1</t>
  </si>
  <si>
    <t>205/1 ถนนกำแพงเพชร6 ชุมชนสตีเหล็ก ดอนเมือง ดอนเมือง กรุงเทพ Thailand</t>
  </si>
  <si>
    <t>TH64236N0YCC4D</t>
  </si>
  <si>
    <t>ทวี โสชัยยัง</t>
  </si>
  <si>
    <t>0855790573</t>
  </si>
  <si>
    <t>429/1 หมู่ 2 เฉลิมพระเกียรติ ทางพูน นครศรีธรรมราช Thailand</t>
  </si>
  <si>
    <t>TH62056MX2V52C</t>
  </si>
  <si>
    <t>ปลัดเพลินจันทร์ เลิศวิทยากร</t>
  </si>
  <si>
    <t>0859341974</t>
  </si>
  <si>
    <t>81/1 ม. 1 บางมูลนาก หอไกร พิจิตร Thailand</t>
  </si>
  <si>
    <t>JA151507165TH</t>
  </si>
  <si>
    <t>ศรินญา ซาวคำเขต</t>
  </si>
  <si>
    <t>0861914131</t>
  </si>
  <si>
    <t xml:space="preserve"> 105/2ม.7ต. ห้วยไคร้ แม่สาย เชียงราย 57220</t>
  </si>
  <si>
    <t>JA151506686TH</t>
  </si>
  <si>
    <t>สายชล พุกทอง</t>
  </si>
  <si>
    <t>0869223919</t>
  </si>
  <si>
    <t>220 หมู่ 2 พิชัย เมืองลำปาง ลำปาง 52000</t>
  </si>
  <si>
    <t>JA151314575TH</t>
  </si>
  <si>
    <t>คลอใจ</t>
  </si>
  <si>
    <t>0862487129</t>
  </si>
  <si>
    <t>241 ม 12 โชคชัย โชคชัย นครราชสีมา 30190</t>
  </si>
  <si>
    <t>JA151314567TH</t>
  </si>
  <si>
    <t>JA151314553TH</t>
  </si>
  <si>
    <t>กาญจนา ฐินขาว</t>
  </si>
  <si>
    <t>0846191561</t>
  </si>
  <si>
    <t xml:space="preserve"> 116/3ถ.โกสีย์ ปากน้ำโพ เมืองนครสวรรค์ นครสวรรค์ 60000</t>
  </si>
  <si>
    <t>JA151314540TH</t>
  </si>
  <si>
    <t>นายเอกชัย พงษ์วิเศษ 1</t>
  </si>
  <si>
    <t>0807964438</t>
  </si>
  <si>
    <t xml:space="preserve"> ร้านปรางค์พันธุ์ไม้ หมู่ 1 พิมาย ปรางค์กู่ ศรีสะเกษ 33170</t>
  </si>
  <si>
    <t>JB130257820TH</t>
  </si>
  <si>
    <t>JA151314522TH</t>
  </si>
  <si>
    <t>บุญตา สกุลเย็น</t>
  </si>
  <si>
    <t>0906384989</t>
  </si>
  <si>
    <t>9/94เวียงทอง3ซอย8 เชียงรากน้อย บางปะอิน อยุธยา เชียงรากน้อย บางปะอิน พระนครศรีอยุธยา 13180</t>
  </si>
  <si>
    <t>JA151314519TH</t>
  </si>
  <si>
    <t>น.ส ศิริวรรณ จวรรณะ</t>
  </si>
  <si>
    <t>0931943376</t>
  </si>
  <si>
    <t>27/1 ม.3 โป่งแดง เมืองตาก ตาก 63000</t>
  </si>
  <si>
    <t>JB130257780TH</t>
  </si>
  <si>
    <t>สมฤทัย อินทร์โน</t>
  </si>
  <si>
    <t>0892398526</t>
  </si>
  <si>
    <t xml:space="preserve"> ที่ทำการผู้ใหญ่บ้าน ม.1 219 ม.1ต.หนองโดน อ.ลำปลายมาศ จ.บุรีรัมย์ หนองโดน ลำปลายมาศ บุรีรัมย์ 31130</t>
  </si>
  <si>
    <t>JA151314505TH</t>
  </si>
  <si>
    <t>มาณี-เย็นภูเขา</t>
  </si>
  <si>
    <t>0989322423</t>
  </si>
  <si>
    <t xml:space="preserve"> 124/2=หมู่6-ตนาเกลือ-อบางละมุง-จชลบุรี- นาเกลือ บางละมุง ชลบุรี 20150</t>
  </si>
  <si>
    <t>JB130257762TH</t>
  </si>
  <si>
    <t>จันทร์ฉาย อิ่มประภากมล</t>
  </si>
  <si>
    <t>0814214391</t>
  </si>
  <si>
    <t xml:space="preserve"> 9/49เงินสุขแมนชั่น518Aซอยชักพระ24 ถนนชักพระ ตลิ่งชัน ตลิ่งชัน กรุงเทพ 10170</t>
  </si>
  <si>
    <t>JA151314496TH</t>
  </si>
  <si>
    <t>ทวีศักดิ์ กู้เกียรติรัตน์</t>
  </si>
  <si>
    <t>0943285338</t>
  </si>
  <si>
    <t>69หมู่5 ม.วงเดือน ซ.บ่อนไก่31 สัตหีบ สัตหีบ, ชลบุรี สัตหีบ สัตหีบ ชลบุรี 20180</t>
  </si>
  <si>
    <t>JA151314482TH</t>
  </si>
  <si>
    <t>นิตยา ฮวดโสภา</t>
  </si>
  <si>
    <t>0984091907</t>
  </si>
  <si>
    <t>413 หมู่ 6 ตรงข้ามร้านเสริมสวยโอปอ ประตูตรงข้ามร้านค้า ดอนกรวย ดำเนินสะดวก ราชบุรี 70130</t>
  </si>
  <si>
    <t>JA151314479TH</t>
  </si>
  <si>
    <t>นันทวัน แซ่ลิ้ม</t>
  </si>
  <si>
    <t>0806855911</t>
  </si>
  <si>
    <t>71 ม 12 ห้วยม่วง กำแพงแสน นครปฐม 73180</t>
  </si>
  <si>
    <t>JB130257759TH</t>
  </si>
  <si>
    <t>จันทิมา กลับบ้านเกาะ</t>
  </si>
  <si>
    <t>0810125229</t>
  </si>
  <si>
    <t>4/9 ม.7 บ้านเกาะ เมืองสมุทรสาคร สมุทรสาคร 74000</t>
  </si>
  <si>
    <t>JB130257745TH</t>
  </si>
  <si>
    <t>พัต</t>
  </si>
  <si>
    <t>0610268088</t>
  </si>
  <si>
    <t>ร้านกาแฟนายูง ท่าอากาศยานร้อยเอ็ด เลขที่ 135 หมู่ที่ 2 มะอึ ธวัชบุรี ร้อยเอ็ด 45170</t>
  </si>
  <si>
    <t>JB130257728TH</t>
  </si>
  <si>
    <t>เฉลิมพล รัตนจันทร์</t>
  </si>
  <si>
    <t>0614794127</t>
  </si>
  <si>
    <t>5/1 หมู่ 13 โก่งธนู เมืองลพบุรี ลพบุรี 13240</t>
  </si>
  <si>
    <t>JA151314448TH</t>
  </si>
  <si>
    <t>เอื้อมพร จันทร์หอม</t>
  </si>
  <si>
    <t>0808498551</t>
  </si>
  <si>
    <t>88/11ม.9หมู่บ้านชัยเจริญวิลล์ ถ.สันคู-วังไผ่ นครสวรรค์ตก เมืองนครสวรรค์ นครสวรรค์ 60000</t>
  </si>
  <si>
    <t>JB130257714TH</t>
  </si>
  <si>
    <t>โอม</t>
  </si>
  <si>
    <t>0813674109</t>
  </si>
  <si>
    <t>ร้านวรกานต์พาณิชย์โอม สามแยกควนสว่าง 48/1 ม.3 ไทรขึง พระแสง สุราษฎร์ธานี 84210</t>
  </si>
  <si>
    <t>JB130257705TH</t>
  </si>
  <si>
    <t>ละอองดาว ชิตกะโทก</t>
  </si>
  <si>
    <t>0951640025</t>
  </si>
  <si>
    <t xml:space="preserve"> 15/2 บ้านหินตั้ง หมู่4 บ้านชวน บำเหน็จณรงค์ ชัยภูมิ 36160</t>
  </si>
  <si>
    <t>JB130257688TH</t>
  </si>
  <si>
    <t>19/39 หมู่ 1 หลักชัย ลาดบัวหลวง พระนครศรีอยุธยา 13230</t>
  </si>
  <si>
    <t>JB130259065TH</t>
  </si>
  <si>
    <t>แม่เช้า เกตุหนู</t>
  </si>
  <si>
    <t>0991465592</t>
  </si>
  <si>
    <t>253ม.11 หานโพธิ์ เขาชัยสน พัทลุง 93130</t>
  </si>
  <si>
    <t>JB130301157TH</t>
  </si>
  <si>
    <t>อธิติมา เมี้ยนชัยภูมิ</t>
  </si>
  <si>
    <t>0876999361</t>
  </si>
  <si>
    <t xml:space="preserve"> 128 หมู่3 ไทยสามัคคี หนองหงส์ บุรีรัมย์ 31240</t>
  </si>
  <si>
    <t>JA151314536TH</t>
  </si>
  <si>
    <t>นายเอกชัย พงษ์วิเศษ 2</t>
  </si>
  <si>
    <t>JA151314451TH</t>
  </si>
  <si>
    <t>มาลี</t>
  </si>
  <si>
    <t>0818361374</t>
  </si>
  <si>
    <t>เลขที่16/3หมู่4 บางประมุง โกรกพระ นครสวรรค์ 60170</t>
  </si>
  <si>
    <t>JB130257691TH</t>
  </si>
  <si>
    <t xml:space="preserve">จินตนา สุขปลื้ม </t>
  </si>
  <si>
    <t>0879773710</t>
  </si>
  <si>
    <t>22 หมู่ 9 บ้านทรัพย์ทรายทอง วังสมบูรณ์ วังสมบูรณ์ สระแก้ว 27250</t>
  </si>
  <si>
    <t>JB130337908TH</t>
  </si>
  <si>
    <t xml:space="preserve">ธนาคารทิสโก้ จำกัด มหาชน สำนักงานใหญ่ </t>
  </si>
  <si>
    <t>020806000</t>
  </si>
  <si>
    <t>อาคารทิสโก้ทาวเวอร์ 48/2 ถ.สาทรเหนือ สีลม บางรัก กรุงเทพ 10500</t>
  </si>
  <si>
    <t>JB130337911TH</t>
  </si>
  <si>
    <t>ธนาคารพัฒนาวิสาหกิจ</t>
  </si>
  <si>
    <t>022653000</t>
  </si>
  <si>
    <t>ขนาดกลางและขนาดย่อมแห่งประเทศไทย 310 อาคาร SME Bank Towre ถนนพหลโยธิน สามเสนใน สามเสนใน พญาไท กรุงเทพ 10400</t>
  </si>
  <si>
    <t>JB130337925TH</t>
  </si>
  <si>
    <t xml:space="preserve">129 อาคารเจแอลเค ทาวเวอร์ </t>
  </si>
  <si>
    <t>020300999</t>
  </si>
  <si>
    <t>ชั้น 20 ถนนสุขุมวิท คลองเตยเหนือ วัฒนา กรุงเทพ 10110</t>
  </si>
  <si>
    <t xml:space="preserve">ร้านเอกะเจี๊ยบมือถือ </t>
  </si>
  <si>
    <t>0928412738</t>
  </si>
  <si>
    <t>ห้างตะวันออกคอมเพล็กซ์ 55/1ม.4ต. บางตีนเป็ด เมืองฉะเชิงเทรา ฉะเชิงเทรา 24000</t>
  </si>
  <si>
    <t>JB130378862TH</t>
  </si>
  <si>
    <t>250ม.1 ฝางคำ สิรินธร อุบลราชธานี 34350</t>
  </si>
  <si>
    <t>JB130378859TH</t>
  </si>
  <si>
    <t>เสาวณี ศรีไตรภพ</t>
  </si>
  <si>
    <t>0971372965</t>
  </si>
  <si>
    <t>149/78 ถ.รามอินทรา คู้บอน27แยก52 ท่าแร้ง บางเขน กรุงเทพ 10220</t>
  </si>
  <si>
    <t>JA151684125TH</t>
  </si>
  <si>
    <t>Tida Siri /ธิรดา ศิริสาการต์</t>
  </si>
  <si>
    <t>0974293693</t>
  </si>
  <si>
    <t xml:space="preserve"> 469/13 ม.5 เด่นชัยเฟส 1 แพรกษาใหม่ เมืองสมุทรปราการ สมุทรปราการ 10280</t>
  </si>
  <si>
    <t>ศศิณา</t>
  </si>
  <si>
    <t>0819324326</t>
  </si>
  <si>
    <t>1293/108 หมู่บ้านศรัณจิต 4 ซอยวชิรธรรมสาธิต 57 แยก 33 บางจาก พระโขนง กรุงเทพ 10260</t>
  </si>
  <si>
    <t>JA151684117TH</t>
  </si>
  <si>
    <t>เรวัฒน์ เตปันวงศ์</t>
  </si>
  <si>
    <t>0926970989</t>
  </si>
  <si>
    <t xml:space="preserve"> 333 ม.3 แม่ปุ แม่พริก ลำปาง 52180</t>
  </si>
  <si>
    <t>JA151684103TH</t>
  </si>
  <si>
    <t>กมลวรรณ ทองแถว</t>
  </si>
  <si>
    <t>0619458184</t>
  </si>
  <si>
    <t xml:space="preserve"> 30หมู่10 บ้านข่อย เมืองลพบุรี ลพบุรี 15000</t>
  </si>
  <si>
    <t>JA151684094TH</t>
  </si>
  <si>
    <t xml:space="preserve">ศิวพร ตลับเพ็ชร </t>
  </si>
  <si>
    <t>0659124389</t>
  </si>
  <si>
    <t>88 3เคแมนชั่น ปรีดีพนมยงค์46 ถ.สุขุมวิท71 คลองตันเหนือ วัฒนา กรุงเทพ 10110</t>
  </si>
  <si>
    <t>นางสาวปภัสรา หนูแก้ว</t>
  </si>
  <si>
    <t>0934083122</t>
  </si>
  <si>
    <t>ร้านอาหารครัวนายสนเส้นบ่อนไก่ 141/250 ม.6 บ่อผุด เกาะสมุย สุราษฎร์ธานี 84320</t>
  </si>
  <si>
    <t>0823492884</t>
  </si>
  <si>
    <t>8.ม.1 ต.หนองราชวัตร หนองราชวัตร หนองหญ้าไซ สุพรรณบุรี 72240</t>
  </si>
  <si>
    <t xml:space="preserve">โยษิตา พรหมบวช </t>
  </si>
  <si>
    <t>0925317826</t>
  </si>
  <si>
    <t>บ้านเลขที่ 38/1 หมู่ 1 บุ่งคล้า หล่มสัก เพชรบูรณ์ 67110</t>
  </si>
  <si>
    <t>ศิริชัย</t>
  </si>
  <si>
    <t>0882076370</t>
  </si>
  <si>
    <t>หอพักพรีเมียร์อพาร์ทเม้นท์ ห้อง109, เลขที่52 ซ. รามคำแหง 22 หัวหมาก บางกะปิ กรุงเทพ 10240</t>
  </si>
  <si>
    <t>JA151684085TH</t>
  </si>
  <si>
    <t>69/57 พร-รพี10 ม.15 คลองหนึ่ง คลองหลวง ปทุมธานี 12120</t>
  </si>
  <si>
    <t>JA151684077TH</t>
  </si>
  <si>
    <t>ประพมพรรณ อ่วมปัญญา</t>
  </si>
  <si>
    <t>0810372083</t>
  </si>
  <si>
    <t xml:space="preserve"> 11/3 หมู่2 นครชุม เมืองกำแพงเพชร กำแพงเพชร 62000</t>
  </si>
  <si>
    <t>JA151684063TH</t>
  </si>
  <si>
    <t>พรทิพย์ คงเพชรศักดิ์</t>
  </si>
  <si>
    <t>0806855676</t>
  </si>
  <si>
    <t>15/6ม.1 พนมรอก ท่าตะโก นครสวรรค์ 60160</t>
  </si>
  <si>
    <t>JA151684050TH</t>
  </si>
  <si>
    <t>วิชาญ เสือคำ</t>
  </si>
  <si>
    <t>0815854932</t>
  </si>
  <si>
    <t>83/3หมู่3 วังเย็น แปลงยาว ฉะเชิงเทรา วังเย็น แปลงยาว ฉะเชิงเทรา 24190</t>
  </si>
  <si>
    <t>JA151684046TH</t>
  </si>
  <si>
    <t>Natthanit Ramanee</t>
  </si>
  <si>
    <t>0611142443</t>
  </si>
  <si>
    <t>25/2 หมู่8 บ้านโสกแต้ ป่าหวายนั่ง บ้านฝาง ขอนแก่น ป่าหวายนั่ง บ้านฝาง ขอนแก่น 40270</t>
  </si>
  <si>
    <t>JA151684032TH</t>
  </si>
  <si>
    <t>ภิรสา ศรีนาค</t>
  </si>
  <si>
    <t>0614639965</t>
  </si>
  <si>
    <t>เทศบาลเสาทงหิน ต.เสาทงหิน อ.บางใหญ่ จ.นนทบุรี 11140 เสาธงหิน บางใหญ่ นนทบุรี 11140</t>
  </si>
  <si>
    <t>JB130378791TH</t>
  </si>
  <si>
    <t>รัตนา ขามฤทธิ์</t>
  </si>
  <si>
    <t>0930893599</t>
  </si>
  <si>
    <t>อาคาร 21 มหาวิทยาลัยราชภัฏเลย 234 ถ.เลย-เชียงคาน เมือง เมืองเลย เลย 42000</t>
  </si>
  <si>
    <t>JA151684029TH</t>
  </si>
  <si>
    <t>รัตนา สุขาวห</t>
  </si>
  <si>
    <t>0847489957</t>
  </si>
  <si>
    <t xml:space="preserve"> 919/5 หมู่ 3 หมู่บ้านเลอปาร์ค อรัญญิก เมืองพิษณุโลก พิษณุโลก 65000</t>
  </si>
  <si>
    <t>JB130378788TH</t>
  </si>
  <si>
    <t>ณัฎฐิรา ประสาทแก้ว</t>
  </si>
  <si>
    <t>0918436263</t>
  </si>
  <si>
    <t>121/2 ติดกับบริษัทเงินด่วนเมืองไทยลิชซิ่ง ม.2 โพนางดำตก สรรพยา ชัยนาท 17150</t>
  </si>
  <si>
    <t>JB130378774TH</t>
  </si>
  <si>
    <t>ศิลปะ ธรรมชาติ</t>
  </si>
  <si>
    <t>244/393 หมู่บ้านเธียรสวน ซอยรามอินทรา 5 แยก3-13 ถนนรามอินทราซอยย่อยที่ 2 ซ้ายมือ เป็นทาวน์เฮาวน์ ประตูสีอิฐ อนุสาวรีย์ บางเขน กรุงเทพ 10220</t>
  </si>
  <si>
    <t>JA151684001TH</t>
  </si>
  <si>
    <t>สุภาพร ขวัญเมือง</t>
  </si>
  <si>
    <t>0981524653</t>
  </si>
  <si>
    <t>บ้านเลขที่125/1 ม.12 ท่ายาง อำเภอทุ่งใหญ่ นครศรีธรรมราช ท่ายาง ทุ่งใหญ่ นครศรีธรรมราช 80240</t>
  </si>
  <si>
    <t>JA151683995TH</t>
  </si>
  <si>
    <t>เรณู วิมลพันธ์</t>
  </si>
  <si>
    <t>0878420298</t>
  </si>
  <si>
    <t xml:space="preserve"> บ้านเอื้ออาทรลาดหลุมแก้ว2 อาคาร51ห้อง110/8 คูบางหลวง ลาดหลุมแก้ว ปทุมธานี 12140</t>
  </si>
  <si>
    <t>JB130450981TH</t>
  </si>
  <si>
    <t>148/521 ซอยรามคำเเหง 190 มีนบุรี มีนบุรี กรุงเทพ 10510</t>
  </si>
  <si>
    <t>JB130450995TH</t>
  </si>
  <si>
    <t xml:space="preserve"> บริษัท ศรีฟ้าโฟรเซนฟูดส์ จำกัด เลขที่ 208 - 209 หมู่ 3 วังขนาย ท่าม่วง กาญจนบุรี 71110</t>
  </si>
  <si>
    <t>JB130451001TH</t>
  </si>
  <si>
    <t>นภสร สถากุลเจริญ</t>
  </si>
  <si>
    <t>0659655920</t>
  </si>
  <si>
    <t xml:space="preserve"> ส่วนปฏิบัติการร้านคาเฟ้อเมซอนส่วนกลาง บค.บอธ. บริษัท ปตท.น้ำมันและการค้ำปลีก ก จำกัด มหาชน สำนักงานใหญ่ เลขที่ ร55/2 ศูนย์เอนเนอร์ขี่คอมเพล็กซ์ อาคารบี ชั้น 18 ถนนวิภาวคีรังสิต จตุจักร จตุจักร กรุงเทพ 10900</t>
  </si>
  <si>
    <t>JB130451015TH</t>
  </si>
  <si>
    <t>0819784225</t>
  </si>
  <si>
    <t>41 หมู่ 2 บ้านนาดี หนองระฆัง สนม สุรินทร์ 32160</t>
  </si>
  <si>
    <t>JB130507496TH</t>
  </si>
  <si>
    <t>ทัศนัย-บุณยศิริ</t>
  </si>
  <si>
    <t>0898801718</t>
  </si>
  <si>
    <t xml:space="preserve"> 431/29หมู่บ้าน431ถนนประชาราษฎร์บำเพ็ญอำเภอห้วยขวางเขตห้วยขวางระหัส ห้วยขวาง ห้วยขวาง กรุงเทพ 10310</t>
  </si>
  <si>
    <t>JB130507505TH</t>
  </si>
  <si>
    <t>ตฤทบง กวาง ปิ่นทองคำ</t>
  </si>
  <si>
    <t>0619194114</t>
  </si>
  <si>
    <t>73/21 หมู่ที่ 5 มบ. พฤกษาวิลเลจซีนเนอรี่ เสาธงหิน บางใหญ่ นนทบุรี 11140</t>
  </si>
  <si>
    <t>JB130507519TH</t>
  </si>
  <si>
    <t>พัชรี หมั่นหา</t>
  </si>
  <si>
    <t>0644032756</t>
  </si>
  <si>
    <t xml:space="preserve"> ขนมน้องข้าวหอม 99 หมู่.1 ปากน้ำกระแส แกลง ระยอง 21170</t>
  </si>
  <si>
    <t>JA152032871TH</t>
  </si>
  <si>
    <t>นัยนา หวังดี</t>
  </si>
  <si>
    <t>0925862069</t>
  </si>
  <si>
    <t>48/1 ม.4 ศาลาแดง เมืองอ่างทอง อ่างทอง 14000</t>
  </si>
  <si>
    <t>JA152032885TH</t>
  </si>
  <si>
    <t xml:space="preserve">สุพรรณนี หาสุข </t>
  </si>
  <si>
    <t>0819291079</t>
  </si>
  <si>
    <t>104/53ม.5 หมู่บ้านทรัพย์เจริญ ในคลองบางปลากด พระสมุทรเจดีย์ สมุทรปราการ 10290</t>
  </si>
  <si>
    <t>0642534368</t>
  </si>
  <si>
    <t>222/329, ห้อง B238, The Indeed Condo Grand Canal, หมู่ที่ 7 บ้านเก่า พานทอง ชลบุรี 20160</t>
  </si>
  <si>
    <t>0887176367</t>
  </si>
  <si>
    <t>266 หมู่12 บ้านหนองคอนไทย กุดตุ้ม เมืองชัยภูมิ ชัยภูมิ 36000</t>
  </si>
  <si>
    <t>JB130507540TH</t>
  </si>
  <si>
    <t> แน็ตตี้ ญาน์ฐิตา กรุดหรุ่น</t>
  </si>
  <si>
    <t>0864693229</t>
  </si>
  <si>
    <t>ฝากถึง LekBoonyarat 999/159 หมู่บ้าน สิริเพลสบางนา-เทพารักษ์ ซอย.10 บางพลีใหญ่ บางพลี สมุทรปราการ 10540</t>
  </si>
  <si>
    <t>JA152037193TH</t>
  </si>
  <si>
    <t>โม ร้านทำเล็บห้องเช่าสีชมพู</t>
  </si>
  <si>
    <t>0625363623</t>
  </si>
  <si>
    <t xml:space="preserve"> 80 /6 ม.1 วังกระโจม เมืองนครนายก นครนายก 26000</t>
  </si>
  <si>
    <t>JA152386928TH</t>
  </si>
  <si>
    <t>Boontawee Sriprach</t>
  </si>
  <si>
    <t>0821852627</t>
  </si>
  <si>
    <t>79/5 ถนนพัฒนาปลายคลอง ร้านเสื้อผ้ากระจกตรงกันข้าม อารียา อพาร์ทเม้นท์  วังกระแจะ เมืองตราด ตราด 23000</t>
  </si>
  <si>
    <t>JA152386914TH</t>
  </si>
  <si>
    <t>Puy Chanikan</t>
  </si>
  <si>
    <t>0873933237</t>
  </si>
  <si>
    <t>บริษัท ศรีสวัสดิ์ เพาเวอร์ 2014 จำกัด สาขาเยื้องตลาดสุขจันทร์ ชนิกานต์ ทิศเมือง 20/8 ม.1  ท่าบอน ระโนด สงขลา 90140</t>
  </si>
  <si>
    <t>JA152386905TH</t>
  </si>
  <si>
    <t>สุรีย์ ยาชูรมย์</t>
  </si>
  <si>
    <t>0839997596</t>
  </si>
  <si>
    <t>44 เจริญกรุง99  วัดพระยาไกร บางคอแหลม กรุงเทพ 10120</t>
  </si>
  <si>
    <t>JB130632216TH</t>
  </si>
  <si>
    <t>แสงเดือน คำใส</t>
  </si>
  <si>
    <t>0654899086</t>
  </si>
  <si>
    <t>187 ม.8 บ้านหนองเตา ล้อมแรด เถิน ลำปาง 52160</t>
  </si>
  <si>
    <t>JB130632193TH</t>
  </si>
  <si>
    <t xml:space="preserve">นายทองสุข ศาลางาม </t>
  </si>
  <si>
    <t>0967300136</t>
  </si>
  <si>
    <t>บ้านเลขที่ 68 บ.เสม็ด ม.5 ร่อนทอง สตึก บุรีรัมย์ 31150</t>
  </si>
  <si>
    <t>JB130632180TH</t>
  </si>
  <si>
    <t>เพชรีพร เสนาบุตร</t>
  </si>
  <si>
    <t>0624508259</t>
  </si>
  <si>
    <t xml:space="preserve"> โรงเรียนเทศบาลแสงวณิชอุปถัมภ์ แม่กลอง เมืองสมุทรสงคราม สมุทรสงคราม 75000</t>
  </si>
  <si>
    <t>JB130632176TH</t>
  </si>
  <si>
    <t>คุณลำพอง ชองรัมย์</t>
  </si>
  <si>
    <t>0990476088</t>
  </si>
  <si>
    <t>21 หมู่ 13 มบ.กลันทา กลันทา เมืองบุรีรัมย์ บุรีรัมย์ 31000</t>
  </si>
  <si>
    <t>JB130632233TH</t>
  </si>
  <si>
    <t>จุฬาลักษณ์ ปัญญาดี</t>
  </si>
  <si>
    <t>0816026680</t>
  </si>
  <si>
    <t>407 เกาะคาการปิโตรเลียม ศาลา เกาะคา ลำปาง 52130</t>
  </si>
  <si>
    <t>JB130632220TH</t>
  </si>
  <si>
    <t>JB130632202TH</t>
  </si>
  <si>
    <t>คุณจรี ชูกิจการรุ่ง</t>
  </si>
  <si>
    <t>0822984360</t>
  </si>
  <si>
    <t xml:space="preserve"> 121/2หมู่.9.ซ. เกษตร6 หนองลู สังขละบุรี กาญจนบุรี 71240</t>
  </si>
  <si>
    <t>JB130728550TH</t>
  </si>
  <si>
    <t>นายฐากร ถนัดเอื้อ</t>
  </si>
  <si>
    <t>0812630465</t>
  </si>
  <si>
    <t xml:space="preserve"> 20 ซอยร่วมสันติ ถนนประชาภิรมย์ บางนาค เมืองนราธิวาส นราธิวาส 96000</t>
  </si>
  <si>
    <t>JB130728546TH</t>
  </si>
  <si>
    <t xml:space="preserve">ทิชา สมเงิน </t>
  </si>
  <si>
    <t>0843272876</t>
  </si>
  <si>
    <t>39 ม. 6 จอมพระ ท่าวังผา น่าน 55140</t>
  </si>
  <si>
    <t>JB130728532TH</t>
  </si>
  <si>
    <t>JA152659811TH</t>
  </si>
  <si>
    <t>วันวิสาข์ มานะวิบูลย์</t>
  </si>
  <si>
    <t>0840151728</t>
  </si>
  <si>
    <t xml:space="preserve"> 31/861ม.16 คลองหนึ่ง คลองหลวง ปทุมธานี 12120</t>
  </si>
  <si>
    <t>JB130728515TH</t>
  </si>
  <si>
    <t>ปราณี จรูญเสาวภากิจ</t>
  </si>
  <si>
    <t>0897765083</t>
  </si>
  <si>
    <t xml:space="preserve"> 14 ซอยนักกีฬาแหลมทอง 5 แยก 4-15 ซอยสะพานสูง สะพานสูง สะพานสูง สะพานสูง กรุงเทพ 10240</t>
  </si>
  <si>
    <t>JB130728501TH</t>
  </si>
  <si>
    <t>รำไพร เงางาม</t>
  </si>
  <si>
    <t>0810087510</t>
  </si>
  <si>
    <t xml:space="preserve"> 387 ม.3 ซอย ท่ากระดาน สนามชัยเขต ฉะเชิงเทรา 24160</t>
  </si>
  <si>
    <t>JB130728492TH</t>
  </si>
  <si>
    <t xml:space="preserve">อมรรัตน์ แสนพันธ์ </t>
  </si>
  <si>
    <t>0863732621</t>
  </si>
  <si>
    <t>โรงเรียนบ้านสี่เหลี่ยม หมู่ที่ 6 ดอนใหญ่ คง นครราชสีมา 30260</t>
  </si>
  <si>
    <t>JB130728489TH</t>
  </si>
  <si>
    <t>ธีระพล รุ่งชัยไพบูลย์สุข</t>
  </si>
  <si>
    <t>0819829032</t>
  </si>
  <si>
    <t xml:space="preserve"> 236/34 ซ.พรพรหม ถ.ริมคลองประปาฝั่งขวา บางซื่อ บางซื่อ กรุงเทพ 10800</t>
  </si>
  <si>
    <t>JB130728475TH</t>
  </si>
  <si>
    <t>คิว</t>
  </si>
  <si>
    <t>0874373335</t>
  </si>
  <si>
    <t>ร้าน คาเฟอิน ท่าอากาศยาน สกลนคร ถนน นิตโย ธาตุนาเวง เมืองสกลนคร สกลนคร 47000</t>
  </si>
  <si>
    <t>JB130728461TH</t>
  </si>
  <si>
    <t>JA152659799TH</t>
  </si>
  <si>
    <t xml:space="preserve">สุพัตรา นรดี </t>
  </si>
  <si>
    <t>บ้านเลขที่ 2/88 หมู่ 5 หมู่บ้านพฤกษากาญจน์ 3 ท่ามะขาม เมืองกาญจนบุรี กาญจนบุรี 71000</t>
  </si>
  <si>
    <t>JB130728458TH</t>
  </si>
  <si>
    <t xml:space="preserve">จันทร์ฉาย อิ่มประภากมล </t>
  </si>
  <si>
    <t>9/49เงินสุขแมนชั่น518Aซอยชักพระ24 ถนนชักพระ ตลิ่งชัน ตลิ่งชัน กรุงเทพ 10170</t>
  </si>
  <si>
    <t>JA152659785TH</t>
  </si>
  <si>
    <t>JA152659771TH</t>
  </si>
  <si>
    <t>พลับพลึงถิ่นวงษ์โพธิ์</t>
  </si>
  <si>
    <t>0630570865</t>
  </si>
  <si>
    <t xml:space="preserve"> 796/11ม2ตเหนือคลองอเหนือคลองจกระบี่ เหนือคลอง เหนือคลอง กระบี่ 81130</t>
  </si>
  <si>
    <t>JB130728444TH</t>
  </si>
  <si>
    <t xml:space="preserve">พรเพ็ญ หอมกอ </t>
  </si>
  <si>
    <t>0935754049</t>
  </si>
  <si>
    <t>บจก.นวบุญประดิษฐ์ทรัพย์ 663 ถนนกะโรม โพธิ์เสด็จ เมืองนครศรีธรรมราช นครศรีธรรมราช 80000</t>
  </si>
  <si>
    <t>JB130728435TH</t>
  </si>
  <si>
    <t>Lovely Pum 1</t>
  </si>
  <si>
    <t>0852165544</t>
  </si>
  <si>
    <t>111/68 ม 1 วังไผ่ เมือง, ชุมพร วังไผ่ เมืองชุมพร ชุมพร 86000</t>
  </si>
  <si>
    <t>0645466509</t>
  </si>
  <si>
    <t>58 ประชาอุทิศ 69 แยก 5 ทุ่งครุ ทุ่งครุ กรุงเทพ 10140</t>
  </si>
  <si>
    <t>0863109712</t>
  </si>
  <si>
    <t>13 หมู่2 นาแก้ว เกาะคา ลำปาง 52130</t>
  </si>
  <si>
    <t>JB130821020TH</t>
  </si>
  <si>
    <t>Attn คุณเจนนี Hp</t>
  </si>
  <si>
    <t>0926728038</t>
  </si>
  <si>
    <t>บริษัท ซี.เจ. เอ็กซ์เพรส กรุ๊ป จำกัด 393 อาคาร 393 สีลม ชั้น 2, 4 และ 5 ถนนสีลม สีลม บางรัก กรุงเทพ 10500</t>
  </si>
  <si>
    <t>JB130821055TH</t>
  </si>
  <si>
    <t>Attn คุณเปรี้ยว</t>
  </si>
  <si>
    <t>020678452</t>
  </si>
  <si>
    <t>บริษัท ซีพี เอ็กซ์ตร้า จำกัด มหาชน 1468 ถนนพัฒนาการ พัฒนาการ สวนหลวง กรุงเทพ 10250</t>
  </si>
  <si>
    <t>JB130827892TH</t>
  </si>
  <si>
    <t xml:space="preserve">คุณตุ๊กตา เจ็กน้อย </t>
  </si>
  <si>
    <t>0624023963</t>
  </si>
  <si>
    <t>บริษัท เจ อาร์ เอส เซอร์เวย์ คอนสตรัคชั่น จำกัด 226 หมู่ที่ 6 น้ำร้อน วิเชียรบุรี เพชรบูรณ์ 67130</t>
  </si>
  <si>
    <t>JB130827901TH</t>
  </si>
  <si>
    <t>บริษัท บาราบี บิวตี้ จำกัด</t>
  </si>
  <si>
    <t>0632678699</t>
  </si>
  <si>
    <t xml:space="preserve"> เลขที่ 19/1 ช.ประชาราษฎร์ 1 ตลาดขวัญ เมืองนนทบุรี นนทบุรี 11000</t>
  </si>
  <si>
    <t>JB130827915TH</t>
  </si>
  <si>
    <t>คุณสวรรยา เซ่งรัตน์</t>
  </si>
  <si>
    <t>0950158349</t>
  </si>
  <si>
    <t>88/15 ถ.คลองแห-คูเต่า หมู่บ้านปาล์มสปริงไลฟ์ คลองแห หาดใหญ่ สงขลา 90110</t>
  </si>
  <si>
    <t>JB130966903TH</t>
  </si>
  <si>
    <t>บริษัท ฟาร์อีสท์ เฟมไลน์ ดีดีปี จำกัด มหาชน</t>
  </si>
  <si>
    <t>023543333</t>
  </si>
  <si>
    <t xml:space="preserve"> สำนักงกงานใหญ่ คุณจิ๊บ 465/1-467 ถนนศรีอยุธยา66 ทุ่งพญาไท ราชเทวี กรุงเทพ 10400</t>
  </si>
  <si>
    <t>JB130966917TH</t>
  </si>
  <si>
    <t>คุณวิมลรัตน์ สาระคำ</t>
  </si>
  <si>
    <t>0633596532</t>
  </si>
  <si>
    <t>เลขที่ 88 หมู่ที่ 6 บางม่วง บางใหญ่ นนทบุรี 11140</t>
  </si>
  <si>
    <t>JB130968609TH</t>
  </si>
  <si>
    <t>คุณภนิดา</t>
  </si>
  <si>
    <t>บมจ.บิ๊กซีซูเปอร์เซ็นเตอร์ สำนักงานใหญ่ ฝ่ายบัญชี อาคารเบอร์ลี่ยุคเกอร์ A ชั้น 6 88/9 ซอยสมานฉันท์-บาร์โบส พระโขนง คลองเตย กรุงเทพ 10110</t>
  </si>
  <si>
    <t>JB130968612TH</t>
  </si>
  <si>
    <t>JB130728563TH</t>
  </si>
  <si>
    <t>ประทุมวรรณ มีสุข</t>
  </si>
  <si>
    <t>0817373581</t>
  </si>
  <si>
    <t xml:space="preserve"> 22/4ม.3 เขาขาว ทุ่งสง นครศรีธรรมราช 80110</t>
  </si>
  <si>
    <t>JB130728529TH</t>
  </si>
  <si>
    <t>ณิชานันท์ พงอิ่ม</t>
  </si>
  <si>
    <t>0988366289</t>
  </si>
  <si>
    <t>25/2หมู่16 หนองตากยา ท่าม่วง กาญจนบุรี 71110</t>
  </si>
  <si>
    <t>JA152659808TH</t>
  </si>
  <si>
    <t>นาตยาพร ทานะกาญจน์</t>
  </si>
  <si>
    <t>0625503884</t>
  </si>
  <si>
    <t xml:space="preserve"> 335 ม1 ร้านค้าลุงกร วังก์พง ปราณบุรี ประจวบคีรีขันธ์ 77120</t>
  </si>
  <si>
    <t>JB130889353TH</t>
  </si>
  <si>
    <t>ศิริมา แซ่หงอ</t>
  </si>
  <si>
    <t>0910349160</t>
  </si>
  <si>
    <t>27 ตลาดเก่า ร้านพังงากระจก อลูมิเนียม ต. ท้ายช้าง อ.เมือง จ พังงา 82000 ท้ายช้าง เมืองพังงา พังงา 82000</t>
  </si>
  <si>
    <t>JA153117468TH</t>
  </si>
  <si>
    <t xml:space="preserve"> ร้านข้าวสาร ตรงข้าม ธนาคาร ธกส 8หมู่1 โค้งไผ่ ขาณุวรลักษบุรี กำแพงเพชร 62140</t>
  </si>
  <si>
    <t>JB130889336TH</t>
  </si>
  <si>
    <t>ติดต่อคุณสิ</t>
  </si>
  <si>
    <t>0959561279</t>
  </si>
  <si>
    <t>บริษัท เดอะ บางกอก เรซิเดนซ์ 88 จำกัด The Bangkok Residence 88 Company Limited อาคารเลครัชดา ชั้น 12A คลองเตย คลองเตย กรุงเทพ 10110</t>
  </si>
  <si>
    <t>JB130889322TH</t>
  </si>
  <si>
    <t>มัตติกา พรหมทิพย์ 1</t>
  </si>
  <si>
    <t>0899801088</t>
  </si>
  <si>
    <t>117 ม.7 นนทรี กบินทร์บุรี ปราจีนบุรี 25110</t>
  </si>
  <si>
    <t>JB130889319TH</t>
  </si>
  <si>
    <t>มัตติกา พรหมทิพย์ 2</t>
  </si>
  <si>
    <t>JB130889296TH</t>
  </si>
  <si>
    <t>คุณบุญเกิด เอื้อนกิ่ง</t>
  </si>
  <si>
    <t>0902395508</t>
  </si>
  <si>
    <t>155 บ้านใหม่เชียงสา ม.10 สะแกราช ปักธงชัย นครราชสีมา 30150</t>
  </si>
  <si>
    <t>JB130889282TH</t>
  </si>
  <si>
    <t xml:space="preserve">วันวิสาข์ คำพา </t>
  </si>
  <si>
    <t>0917944139</t>
  </si>
  <si>
    <t>229/2 ม.2 ซ.คิงคอง บางเสาธง บางเสาธง สมุทรปราการ 10570</t>
  </si>
  <si>
    <t>JB130889279TH</t>
  </si>
  <si>
    <t>นายอรรถพล เอี่ยมมงคล 1</t>
  </si>
  <si>
    <t>0646839151</t>
  </si>
  <si>
    <t>106/1 ซ. ริมคลองสามเสน สามเสนใน พญาไท กรุงเทพ 10400</t>
  </si>
  <si>
    <t>JB130889265TH</t>
  </si>
  <si>
    <t>นายอรรถพล เอี่ยมมงคล 2</t>
  </si>
  <si>
    <t>JB130889251TH</t>
  </si>
  <si>
    <t>รัตติการณ์ เกียรตินิยม</t>
  </si>
  <si>
    <t>0867722522</t>
  </si>
  <si>
    <t>98/271 หมู่ 11 หมู่บ้านพลีโน่ บางนา-อ่อนนุช ซอยกิ่งแก้ว 37 ราชาเทวะ บางพลี สมุทรปราการ 10540</t>
  </si>
  <si>
    <t>JA153117454TH</t>
  </si>
  <si>
    <t>ขนิษฐา ทองขาว</t>
  </si>
  <si>
    <t>0823655867</t>
  </si>
  <si>
    <t>4/1 ม.2 เขาดิน เดิมบางนางบวช สุพรรณบุรี 72120</t>
  </si>
  <si>
    <t>JB130889248TH</t>
  </si>
  <si>
    <t>น.ส.เจียมจิต คุณสิริกุลวณิชย์</t>
  </si>
  <si>
    <t>0892033433</t>
  </si>
  <si>
    <t xml:space="preserve"> 342ฃอยพิบูลอุปถัมภ์ ถนนลาดพร้าว ฃอย 48แยก 22 สามเสนนอก ห้วยขวาง กรุงเทพ 10310</t>
  </si>
  <si>
    <t>JA153117445TH</t>
  </si>
  <si>
    <t>Tanida Intrirach</t>
  </si>
  <si>
    <t>0966322894</t>
  </si>
  <si>
    <t>98พระราม3 เรสชิเด้นชั้น2 ห้อง0241 ถนนพระราม3 บางคอแหลม บางคอแหลม กรุงเทพ 10120</t>
  </si>
  <si>
    <t>JA153117437TH</t>
  </si>
  <si>
    <t xml:space="preserve">น.สสาลินีย์ กิ้วภาวัน </t>
  </si>
  <si>
    <t>0621836819</t>
  </si>
  <si>
    <t>178/18 บ้านโนนนาคำ คำบ่อ วาริชภูมิ สกลนคร 47150</t>
  </si>
  <si>
    <t>JB130889234TH</t>
  </si>
  <si>
    <t xml:space="preserve">สำรวย สัตยภิรมณ์ </t>
  </si>
  <si>
    <t>127/10 หมู่1 บ้านโพธิ์ บ้านโพธิ์ ฉะเชิงเทรา 24140</t>
  </si>
  <si>
    <t>JB130889225TH</t>
  </si>
  <si>
    <t>วรรณผกา โพธิสรรค์</t>
  </si>
  <si>
    <t>0943254114</t>
  </si>
  <si>
    <t>54/1 ซ.วัดโสมนัส2 ถ.กรุงเกษม วัดโสมนัส ป้อมปราบศัตรูพ่าย กรุงเทพ 10100</t>
  </si>
  <si>
    <t>JB130889217TH</t>
  </si>
  <si>
    <t>น.ส.นิภาพร. พลชำนิ</t>
  </si>
  <si>
    <t>0951988804</t>
  </si>
  <si>
    <t>67. ม.23 เขวา เมืองมหาสารคาม มหาสารคาม 44000</t>
  </si>
  <si>
    <t>0869484822</t>
  </si>
  <si>
    <t>81 ม.4 ทุ่งปรัง สิชล นครศรีธรรมราช 80120</t>
  </si>
  <si>
    <t>วีระ ศรีราชยา</t>
  </si>
  <si>
    <t>0884437053</t>
  </si>
  <si>
    <t>508/1 ม.4 ถ.สนามบิน-บ้านกลาง หาดใหญ่ หาดใหญ่ สงขลา 90110</t>
  </si>
  <si>
    <t>JA153117423TH</t>
  </si>
  <si>
    <t>240หมู่2 ยางน้อย โกสุมพิสัย มหาสารคาม 44140</t>
  </si>
  <si>
    <t>JA153117410TH</t>
  </si>
  <si>
    <t>วนัชภรณ์ สิทธิปัญญา</t>
  </si>
  <si>
    <t>0650620374</t>
  </si>
  <si>
    <t xml:space="preserve"> โรงเรียนธรรมราชานุสรณ์ 68/1 หมู่ 5 ตากออก บ้านตาก ตาก ตากออก บ้านตาก ตาก 63120</t>
  </si>
  <si>
    <t>JB130889185TH</t>
  </si>
  <si>
    <t>จันทร์ตนา ทองสมัคร์</t>
  </si>
  <si>
    <t>0917426185</t>
  </si>
  <si>
    <t>888/205 หมู่บ้านทรัพย์ทวี วิลเลจ นาเกลือ พระสมุทรเจดีย์ สมุทรปราการ 10290</t>
  </si>
  <si>
    <t>JA153117406TH</t>
  </si>
  <si>
    <t>ชาตรี.ทรัพย์ประเสริฐ</t>
  </si>
  <si>
    <t>0852973500</t>
  </si>
  <si>
    <t>56หมู่5ต.วังก์พง วังก์พง ปราณบุรี ประจวบคีรีขันธ์ 77120</t>
  </si>
  <si>
    <t>JB131034917TH</t>
  </si>
  <si>
    <t>จิรวรรณ หงส์วิริยกุล</t>
  </si>
  <si>
    <t>0956235645</t>
  </si>
  <si>
    <t xml:space="preserve"> 999/39 ม.10 บ้านท้าวสุระ ม.บ รุ่งนิรันดร์เอ็กคลูซีฟ3 สุรนารี เมืองนครราชสีมา นครราชสีมา 30000</t>
  </si>
  <si>
    <t>JA153500315TH</t>
  </si>
  <si>
    <t>มัณฑณา กลิ่นเจริญเป้</t>
  </si>
  <si>
    <t>0882723471</t>
  </si>
  <si>
    <t>ร้านโรงเตี้ยมสุดขอบฟ้า 266 ม.7 แคมป์สน เขาค้อ เพชรบูรณ์ 67280</t>
  </si>
  <si>
    <t>JB131034903TH</t>
  </si>
  <si>
    <t>นายประเชิญโชค เงียบกระโทก</t>
  </si>
  <si>
    <t>0931507398</t>
  </si>
  <si>
    <t xml:space="preserve"> 48หมู่8 ท่าเยี่ยม โชคชัย นครราชสีมา 30190</t>
  </si>
  <si>
    <t>JA153500301TH</t>
  </si>
  <si>
    <t>คนึงนิตย์ สุกตุม</t>
  </si>
  <si>
    <t>0812392893</t>
  </si>
  <si>
    <t xml:space="preserve"> 86/5 ม. มัณฑนา 2 บางนา กม.7 ซ. รร ราชวินิตบางแก้ว บางแก้ว บางพลี สมุทรปราการ 10540</t>
  </si>
  <si>
    <t>JB131034894TH</t>
  </si>
  <si>
    <t xml:space="preserve"> 127/10 หมู่ 1 บ้านโพธิ์ บ้านโพธิ์ ฉะเชิงเทรา 24140</t>
  </si>
  <si>
    <t>JA153500292TH</t>
  </si>
  <si>
    <t xml:space="preserve">ปิยะนุช พรหมปฏิมา </t>
  </si>
  <si>
    <t>0838385916</t>
  </si>
  <si>
    <t>หจก.ชัยยนต์ มอเตอร์ 1999 ร้านยายพาย ข้างธนาคารออมสินสาขาบ้านหมอ  146-146/1 หมู่ที่5 บ้านหมอ บ้านหมอ สระบุรี 18130</t>
  </si>
  <si>
    <t>JA153500289TH</t>
  </si>
  <si>
    <t>กุลชญา จันทร์เงิน</t>
  </si>
  <si>
    <t>0885020795</t>
  </si>
  <si>
    <t>240บ้านดอนไชยม.10 เชียงแรง ภูซาง พะเยา 56110</t>
  </si>
  <si>
    <t>JA153500275TH</t>
  </si>
  <si>
    <t>ศานติพจน์ นิสงค์</t>
  </si>
  <si>
    <t>0812738782</t>
  </si>
  <si>
    <t>149/8 หมู่7 ต.พลายวาส อ.กาญจนดิษฐ์ จ.สุราษฎร์ธานี ร้านส้มตำซอยจอมทอง พลายวาส กาญจนดิษฐ์ สุราษฎร์ธานี 84160</t>
  </si>
  <si>
    <t>JA153500261TH</t>
  </si>
  <si>
    <t>ระพีพร ยาคง</t>
  </si>
  <si>
    <t>0650963985</t>
  </si>
  <si>
    <t>63/7บ้านหนองเม็กร้านชัชวาลย์พานิช หนองเม็ก หนองหาน อุดรธานี 41130</t>
  </si>
  <si>
    <t>JB131034885TH</t>
  </si>
  <si>
    <t xml:space="preserve">กฤษณา อัมไพชา </t>
  </si>
  <si>
    <t>0890294362</t>
  </si>
  <si>
    <t>36 ม.3 นิคมพัฒนา โนนสัง หนองบัวลำภู 39140</t>
  </si>
  <si>
    <t>JA153500258TH</t>
  </si>
  <si>
    <t>สิมาพันธ์ หวังประดิษฐ</t>
  </si>
  <si>
    <t>0990854111</t>
  </si>
  <si>
    <t>96 หมู่ 4 บางรักน้อย เมืองนนทบุรี นนทบุรี 11000</t>
  </si>
  <si>
    <t>JA153500244TH</t>
  </si>
  <si>
    <t>จันทรา แก้วสนธิ</t>
  </si>
  <si>
    <t>0944826763</t>
  </si>
  <si>
    <t>76หมุ่5ต บางเพรียง บางบ่อ สมุทรปราการ 10560</t>
  </si>
  <si>
    <t>JA153500235TH</t>
  </si>
  <si>
    <t>เกษร ฉลองภาค</t>
  </si>
  <si>
    <t>0989166367</t>
  </si>
  <si>
    <t>359หมู่16บ้านไทยเจริญ หนองสองห้อง หนองสองห้อง ขอนแก่น 40190</t>
  </si>
  <si>
    <t>JB131034877TH</t>
  </si>
  <si>
    <t>บุหงา ภูสุวรรณ</t>
  </si>
  <si>
    <t>0826076206</t>
  </si>
  <si>
    <t>69 ม. 5 ร้านนิ้งหน่องเนื้อย่าง ตลาด เมืองนครราชสีมา นครราชสีมา 30310</t>
  </si>
  <si>
    <t>JA153500227TH</t>
  </si>
  <si>
    <t xml:space="preserve">กานต์รวี สถาพร </t>
  </si>
  <si>
    <t>0985366489</t>
  </si>
  <si>
    <t>1769/1-2 ยูนิฟเพลส ร้านชากันเอง ซอยพัฒนาการ37 ถนนพัฒนาการ, สวนหลวง สวนหลวง พัฒนาการ สวนหลวง กรุงเทพ 10250</t>
  </si>
  <si>
    <t>รัตนา หลีอรัญ</t>
  </si>
  <si>
    <t>0819690158</t>
  </si>
  <si>
    <t>477/6 หมู่2 คลองขุด เมืองสตูล สตูล 91000</t>
  </si>
  <si>
    <t>0857239246</t>
  </si>
  <si>
    <t>61ม.7ต.บ้านขอ บ้านขอ เมืองปาน ลำปาง 52240</t>
  </si>
  <si>
    <t>JA153880627TH</t>
  </si>
  <si>
    <t>อัญชลี</t>
  </si>
  <si>
    <t>0923815356</t>
  </si>
  <si>
    <t>543/3-4 นวมินทร์ซ.10 คลองจั่น บางกะปิ กรุงเทพ 10240</t>
  </si>
  <si>
    <t>JB131171440TH</t>
  </si>
  <si>
    <t>สุคนธิ์ทิพย์ ไชยโยธา</t>
  </si>
  <si>
    <t>0813635773</t>
  </si>
  <si>
    <t>160 หมู่ 1 โรงเรียนสวนกุหลาบวิทยาลัยจิรประวัตินครสวรรค์ นครสวรรค์ออก เมืองนครสวรรค์ นครสวรรค์ 60000</t>
  </si>
  <si>
    <t>JA153880635TH</t>
  </si>
  <si>
    <t>คุฯจันทร์ทิพย์ วิธีจงเจริญ</t>
  </si>
  <si>
    <t>0814329083</t>
  </si>
  <si>
    <t>77/380 หมู่บ้านแฟรนชิฟ ซ.ประเสริฐมนูกิจ ลาดพร้าว ลาดพร้าว กรุงเทพ 10230</t>
  </si>
  <si>
    <t>JB131171453TH</t>
  </si>
  <si>
    <t>นาย สมดี จำพันธุ์</t>
  </si>
  <si>
    <t>0889303189</t>
  </si>
  <si>
    <t>337 ม.13 บ้านเล่านะคะ พอดีบ้านกำลังสร้าง อาจจะไม่มีคนออกมา บ้านเล่า เมืองชัยภูมิ ชัยภูมิ 36000</t>
  </si>
  <si>
    <t>JB131171467TH</t>
  </si>
  <si>
    <t>กฤษณี</t>
  </si>
  <si>
    <t>0819824771</t>
  </si>
  <si>
    <t>19/26 ร้านแก๊ส ม.1 แหลมงอบ แหลมงอบ ตราด 23120</t>
  </si>
  <si>
    <t>JB131189423TH</t>
  </si>
  <si>
    <t>คุณเจนนี Hp</t>
  </si>
  <si>
    <t>บริษัท ซี.เจ เอ็กซ์เพรส กรุ๊ป จำกัด 393อาคาร 393 สีลม ชั้น 2,4 และ 5 ถนนสีลม สีลม บางรัก กรุงเทพ 10500</t>
  </si>
  <si>
    <t>JB131240817TH</t>
  </si>
  <si>
    <t>นางศิริรัตน์ สิงห์ทอง 1</t>
  </si>
  <si>
    <t>0897116173</t>
  </si>
  <si>
    <t>โรงเรียนธวัชบุรีวิทยาคม นิเวศน์ ธวัชบุรี ร้อยเอ็ด 45170</t>
  </si>
  <si>
    <t>JB131240825TH</t>
  </si>
  <si>
    <t>นางศิริรัตน์ สิงห์ทอง 2</t>
  </si>
  <si>
    <t>JB131240834TH</t>
  </si>
  <si>
    <t xml:space="preserve">มลรัตน์ จันทโชติ </t>
  </si>
  <si>
    <t>0836693955</t>
  </si>
  <si>
    <t>19/11 ม.9 ซ.เกาะตะเคียน 12 เกาะขวาง เมืองจันทบุรี จันทบุรี 22000</t>
  </si>
  <si>
    <t>JB131240848TH</t>
  </si>
  <si>
    <t>จุไรรัตน์ 1</t>
  </si>
  <si>
    <t>513/109 ถ.คูเมือง2 ห้วยเหนือ ขุขันธ์ ศรีสะเกษ 33140</t>
  </si>
  <si>
    <t>JB131256321TH</t>
  </si>
  <si>
    <t>คุณธิดารัตน์ บัญชี</t>
  </si>
  <si>
    <t>บริษัท ทวี เอ็นจิเนียริ่ง พาวเวอร์ จำกัด  88/536 หมู่บ้านมณฑาทิพย์ 6 หมู่ที่ 7 บางแขม เมืองนครปฐม นครปฐม 73000</t>
  </si>
  <si>
    <t>JB131256335TH</t>
  </si>
  <si>
    <t xml:space="preserve"> คุณกบ  บริษัท สยามเทคนิคคลอนกรี่ต จำกัด มหาชน</t>
  </si>
  <si>
    <t>038056311</t>
  </si>
  <si>
    <t>999 ม.5 หนองไผ่แก้ว บ้านบึง ชลบุรี 20220</t>
  </si>
  <si>
    <t>JA154315500TH</t>
  </si>
  <si>
    <t xml:space="preserve">กนกวรรณ สุขสำราญ </t>
  </si>
  <si>
    <t>0849107090</t>
  </si>
  <si>
    <t>เลขที่9 หมู่11 บ้านคา บ้านคา ราชบุรี 70180</t>
  </si>
  <si>
    <t>JA154315513TH</t>
  </si>
  <si>
    <t>ชายมาลัย</t>
  </si>
  <si>
    <t>0840919850</t>
  </si>
  <si>
    <t>77/164 ซอย 30 ม.เดอะทรัสต์กาญจนาภิเษก หทัยราษฎร์ บึงคำพร้อย ลำลูกกา ปทุมธานี 12150</t>
  </si>
  <si>
    <t>JA154315535TH</t>
  </si>
  <si>
    <t>64 หมู่5 ต.วัดดาว วัดดาว บางปลาม้า สุพรรณบุรี 72150</t>
  </si>
  <si>
    <t>JA154315558TH</t>
  </si>
  <si>
    <t>สุภาพร</t>
  </si>
  <si>
    <t>0801765873</t>
  </si>
  <si>
    <t>102หมู่5 บางเดื่อ เมืองปทุมธานี ปทุมธานี 12000</t>
  </si>
  <si>
    <t>JB131313616TH</t>
  </si>
  <si>
    <t>คุณแมว</t>
  </si>
  <si>
    <t>0642597894</t>
  </si>
  <si>
    <t>122/41หมู่3 ถ.แจ้งวัฒนะปากเกร็ดซอย4 ปากเกร็ด ปากเกร็ด นนทบุรี 11120</t>
  </si>
  <si>
    <t>JB131313620TH</t>
  </si>
  <si>
    <t>0818918298</t>
  </si>
  <si>
    <t>68/192 หมู่บ้ามณีคราม ถนนขวาง หมู่ 1 ซอย 15/1 ฉลอง เมืองภูเก็ต ภูเก็ต 83130</t>
  </si>
  <si>
    <t>JB131313633TH</t>
  </si>
  <si>
    <t>คุณพัณฐิญา รักษาพล</t>
  </si>
  <si>
    <t>0878453625</t>
  </si>
  <si>
    <t>111/1 ม.5 บางมะฝ่อ โกรกพระ นครสวรรค์ 60170</t>
  </si>
  <si>
    <t>JB131373711TH</t>
  </si>
  <si>
    <t xml:space="preserve">เตชิตา เพิ่มพรสกุล </t>
  </si>
  <si>
    <t>0813159842</t>
  </si>
  <si>
    <t>15/99แฟลตคลองจั่น คลองจั่น บางกะปิ กรุงเทพ 10240</t>
  </si>
  <si>
    <t>JB131373725TH</t>
  </si>
  <si>
    <t>ชุติมา รัฐรัตน์</t>
  </si>
  <si>
    <t>0637969223</t>
  </si>
  <si>
    <t xml:space="preserve"> สนง. สรรพากรพื้นที่ชลบุรี 1 ถ.ตำหนักน้ำ บางปลาสร้อย เมืองชลบุรี ชลบุรี 20000</t>
  </si>
  <si>
    <t>JB131373739TH</t>
  </si>
  <si>
    <t>สโรชา</t>
  </si>
  <si>
    <t>0633516009</t>
  </si>
  <si>
    <t>40 บ้านแจ้งข่า หมู่3 ม่วงลาด จังหาร ร้อยเอ็ด 45000</t>
  </si>
  <si>
    <t>JB131373742TH</t>
  </si>
  <si>
    <t xml:space="preserve">เบญจมาศ อัมไพชา </t>
  </si>
  <si>
    <t>0800065605</t>
  </si>
  <si>
    <t>132/210 ม.2 ซ.คิงคอง มบ.เทพารักษ์ กม.25 ถ.เทพารักษ์ บางเสาธง บางเสาธง สมุทรปราการ 10570</t>
  </si>
  <si>
    <t>JB131373756TH</t>
  </si>
  <si>
    <t>สำอางค์ พูนเพชรพันธุ์</t>
  </si>
  <si>
    <t>0818472221</t>
  </si>
  <si>
    <t>184 หมู่ 2 ศรีนาวา เมืองนครนายก นครนายก 26000</t>
  </si>
  <si>
    <t>JB131388234TH</t>
  </si>
  <si>
    <t>ทิวัตถ์กวิน ไชยชุมศักดิ์</t>
  </si>
  <si>
    <t>0929963891</t>
  </si>
  <si>
    <t>บ้านเลขที่288/53 ซอย3/2 หมู่บ้านเดอะแกรนด์บางนา-วงแหวน ถนน กาญจนาภิเษก ดอกไม้ ประเวศ กรุงเทพ 10250</t>
  </si>
  <si>
    <t>JB131388248TH</t>
  </si>
  <si>
    <t>คุณวิววี่</t>
  </si>
  <si>
    <t>0640836078</t>
  </si>
  <si>
    <t>132/6 ม.1 ปราณบุรี ปราณบุรี ประจวบคีรีขันธ์ 77120</t>
  </si>
  <si>
    <t>JB131388251TH</t>
  </si>
  <si>
    <t>คุณอารีรัตน์ แฮมภูเขียว</t>
  </si>
  <si>
    <t>0996704565</t>
  </si>
  <si>
    <t xml:space="preserve"> เงินเทอร์โบ สาขาท่าพูด(โบว์) เลขที่ 71/13 ม.13 ไร่ขิง สามพราน นครปฐม 73210</t>
  </si>
  <si>
    <t>JB131388265TH</t>
  </si>
  <si>
    <t xml:space="preserve">คุณพีรดนย์ วิลาศวรยศ </t>
  </si>
  <si>
    <t>0895505701</t>
  </si>
  <si>
    <t>บ้านวิลาศวรยศ 119/4 ซอย11 หมู่5 นครปฐม เมืองนครปฐม นครปฐม 73000</t>
  </si>
  <si>
    <t>JA154452562TH</t>
  </si>
  <si>
    <t>สุธามาส สวัสดิ์นพรัตน์</t>
  </si>
  <si>
    <t>0655524411</t>
  </si>
  <si>
    <t>12/730 หมู่บ้านวนารมย์ แยก6 ถ.ฉลองกรุง ทับยาว ลาดกระบัง กรุงเทพ 10520</t>
  </si>
  <si>
    <t>JB131373760TH</t>
  </si>
  <si>
    <t>วรรณภา กันตะคุ</t>
  </si>
  <si>
    <t>0632526591</t>
  </si>
  <si>
    <t>999/55 หมู่บ้านลากูน่าวิลล์ เฟส1 ตลาด เมืองนครราชสีมา นครราชสีมา 30310</t>
  </si>
  <si>
    <t>JB131373773TH</t>
  </si>
  <si>
    <t>หนูถิร ทองพูน</t>
  </si>
  <si>
    <t>0806652608</t>
  </si>
  <si>
    <t xml:space="preserve"> 9 หมู่ 1 เมืองคง ราษีไศล ศรีสะเกษ 33160</t>
  </si>
  <si>
    <t>JB131541803TH</t>
  </si>
  <si>
    <t>นางสีตาล กาจินา</t>
  </si>
  <si>
    <t>0819418739</t>
  </si>
  <si>
    <t>73 หมู่6 บ้านโนสว่าง หนองคัน ภูหลวง เลย 42230</t>
  </si>
  <si>
    <t>JB131541817TH</t>
  </si>
  <si>
    <t>สนิตา ฤทธิ์กำลัง</t>
  </si>
  <si>
    <t>0874565475</t>
  </si>
  <si>
    <t>210ม.9 บ้านค่าย เมืองชัยภูมิ ชัยภูมิ 36240</t>
  </si>
  <si>
    <t>JB131553130TH</t>
  </si>
  <si>
    <t xml:space="preserve"> คุณปัทมา</t>
  </si>
  <si>
    <t>บมจ.บื๊กซีซูเปอร์เซ็นเตอร์ สำนักงานใหญ่ ฝ่ายบัญชี อาคารเบอร์ลี่ยุคเกอร์B ชั้น 6 88/9 ซอยสมานฉันท์-บาร์โบส พระโขนง คลองเตย กรุงเทพ 10110</t>
  </si>
  <si>
    <t>JB131616625TH</t>
  </si>
  <si>
    <t>ศักดิ์ชัย อ้นวิจิตร</t>
  </si>
  <si>
    <t>0626195351</t>
  </si>
  <si>
    <t>29/60 ม.4 หมู่บ้านสิริศา14 หนองปลาไหล บางละมุง ชลบุรี 20150</t>
  </si>
  <si>
    <t>JB131616634TH</t>
  </si>
  <si>
    <t>ธราเทพ</t>
  </si>
  <si>
    <t>0635960081</t>
  </si>
  <si>
    <t>อาร์มวิทยาลัยเทคโนโลยีและอุตสาหกรรมการต่อเรือนครศรีธรรมราช 147 ม.4 ถ.ท่าเทียบเรือ ปากพนังฝั่งตะวันตก ปากพนัง นครศรีธรรมราช 80370</t>
  </si>
  <si>
    <t>JA155085003TH</t>
  </si>
  <si>
    <t>JB131616648TH</t>
  </si>
  <si>
    <t>0806208319</t>
  </si>
  <si>
    <t>1769/57 ซอยสาธุประดิษฐ์57 แยก13 บางโพงพาง ยานนาวา กรุงเทพ 10120</t>
  </si>
  <si>
    <t>0927769033</t>
  </si>
  <si>
    <t>110 ม.2 กองร้อยทหารม้าที่ 2 กองพันทหารม้าที่ 31 ค่ายลพบุรีราเมศวร์ เกาะสะบ้า เทพา สงขลา 90150</t>
  </si>
  <si>
    <t>อธิติมา เมี้ยนชัยภูมิ 1</t>
  </si>
  <si>
    <t>128 หมู่3 ไทยสามัคคี หนองหงส์ บุรีรัมย์ 31240</t>
  </si>
  <si>
    <t>JB131632314TH</t>
  </si>
  <si>
    <t>อธิติมา เมี้ยนชัยภูมิ 2</t>
  </si>
  <si>
    <t>JB131634540TH</t>
  </si>
  <si>
    <t>บริษัท เทพอำนวย นครปฐม จำกัด</t>
  </si>
  <si>
    <t>0819284750</t>
  </si>
  <si>
    <t>แผนกการเงิน/บัญชี  91/14โทร. ใบหัก หนองปากโลง เมืองนครปฐม นครปฐม 73000</t>
  </si>
  <si>
    <t>JB131634553TH</t>
  </si>
  <si>
    <t>บริษัท ทิงค์เน็ต จำกัด</t>
  </si>
  <si>
    <t>024809990</t>
  </si>
  <si>
    <t>แผนกการเงิน/บัญชี  323 อาคารยูไนเต็ดเซ็นเตอร์ ชั้น 6 ห้อง 601 ถนนสีถม โทร. ใบหัก สีลม บางรัก กรุงเทพ 10500</t>
  </si>
  <si>
    <t>JB131634567TH</t>
  </si>
  <si>
    <t>คุณกันตชาติ ผานาค</t>
  </si>
  <si>
    <t>0932401571</t>
  </si>
  <si>
    <t>172/1 ม.7โทร. ใบหัก ทุ่งกระพังโหม กำแพงแสน นครปฐม 73140</t>
  </si>
  <si>
    <t>JB131634575TH</t>
  </si>
  <si>
    <t>คุณสกล ทองเชื้อ</t>
  </si>
  <si>
    <t>0879993735</t>
  </si>
  <si>
    <t>26 หมู่ที่ 6โทร. ใบหัก บางเลน สองพี่น้อง สุพรรณบุรี 72110</t>
  </si>
  <si>
    <t>JB131666689TH</t>
  </si>
  <si>
    <t>คุณปานทิพย์ เชียงทอง</t>
  </si>
  <si>
    <t>0936299799</t>
  </si>
  <si>
    <t>98/93 หมู่ที่ 3 พิมพา บางปะกง ฉะเชิงเทรา 24180</t>
  </si>
  <si>
    <t>JB131666692TH</t>
  </si>
  <si>
    <t>คุณเนย</t>
  </si>
  <si>
    <t>0611453315</t>
  </si>
  <si>
    <t>บริษัท ทีเอ็นที การก่อสร้าง 99 จำกัด101/28 หมู่ที่ 3 ศาลายา พุทธมณฑล นครปฐม 73170</t>
  </si>
  <si>
    <t>JB131798075TH</t>
  </si>
  <si>
    <t xml:space="preserve">  184 หมู่ 2 ศรีนาวา เมืองนครนายก นครนายก 26000</t>
  </si>
  <si>
    <t>JB131798061TH</t>
  </si>
  <si>
    <t>คุณวิภา แป้นจันทร์ ฝาก รปภ.ได้เลยค่ะ</t>
  </si>
  <si>
    <t>0940150790</t>
  </si>
  <si>
    <t>กรมพัฒนาฝีมือแรงงาน ตึก 10 ชั้น สำนักงานเลขานุการกรม กระทรวงแรงงาน ถนนมิตรไมตรี ดินแดง ดินแดง กรุงเทพ 10400</t>
  </si>
  <si>
    <t>JA155524994TH</t>
  </si>
  <si>
    <t>ประไพพร</t>
  </si>
  <si>
    <t>0640379325</t>
  </si>
  <si>
    <t>บจก.บลูแอนด์ไวท์โลจิสติกชาลชลาที่7 133 ม.1 บางเตย สามพราน นครปฐม 73210</t>
  </si>
  <si>
    <t>JB131798058TH</t>
  </si>
  <si>
    <t>อัจฉรา สามสี</t>
  </si>
  <si>
    <t>0952120685</t>
  </si>
  <si>
    <t>97 ถ.ศรีนวดิตถ์ ท่าใหม่ ท่าใหม่ จันทบุรี 22120</t>
  </si>
  <si>
    <t>JA155524985TH</t>
  </si>
  <si>
    <t>199 / 54 ซอย 8 หมู่ ที่ 9 ถนน พุทธมณฑล สาย 4 กระทุ่มล้ม สามพราน นครปฐม 73220</t>
  </si>
  <si>
    <t>JB131798044TH</t>
  </si>
  <si>
    <t>เสาวณีย์ นาคพินิจ</t>
  </si>
  <si>
    <t>0618959895</t>
  </si>
  <si>
    <t>93 ม.13 ซับน้อย วิเชียรบุรี ซับน้อย วิเชียรบุรี เพชรบูรณ์ 67180</t>
  </si>
  <si>
    <t>JB131798035TH</t>
  </si>
  <si>
    <t>127/10 หมู่ 1 บ้านโพธิ์ บ้านโพธิ์ ฉะเชิงเทรา 24140</t>
  </si>
  <si>
    <t>JB131798027TH</t>
  </si>
  <si>
    <t>JB131798013TH</t>
  </si>
  <si>
    <t>นพพรพรรณ เกตุศิริ</t>
  </si>
  <si>
    <t>0882041064</t>
  </si>
  <si>
    <t xml:space="preserve"> 15/13 ถ.ศรีจันทร์ 21 ในเมือง เมืองขอนแก่น ขอนแก่น 40000</t>
  </si>
  <si>
    <t>JB131798000TH</t>
  </si>
  <si>
    <t>นางมณี เนขุนทด</t>
  </si>
  <si>
    <t>0843292124</t>
  </si>
  <si>
    <t>750/49 หมู่ 9 ซอยแบริ่ง 33/9 ถนนสุขุมวิท 107 สำโรงเหนือ เมืองสมุทรปราการ สมุทรปราการ 10270</t>
  </si>
  <si>
    <t>JB131797993TH</t>
  </si>
  <si>
    <t>นายพลกฤษณ์ นิตยสนนท์</t>
  </si>
  <si>
    <t xml:space="preserve"> 25/13 หมากแข้ง เมืองอุดรธานี อุดรธานี 41000</t>
  </si>
  <si>
    <t>JA155524977TH</t>
  </si>
  <si>
    <t>สุรศักดิ์ วงษ์ใหญ่ สมศักดิ์การช่า</t>
  </si>
  <si>
    <t>0898806849</t>
  </si>
  <si>
    <t>ง 68.ม.4.ต.สร่างโศก อ.บ้านหมอ.จ.สระบุรี. สร่างโศกบ้านหมอสระบุรี สร่างโศก บ้านหมอ สระบุรี 18130</t>
  </si>
  <si>
    <t>JB131797980TH</t>
  </si>
  <si>
    <t xml:space="preserve">คุณยุพดี ชัยกิมานนท์ </t>
  </si>
  <si>
    <t>0868299094</t>
  </si>
  <si>
    <t>20 ซอย 6 ถนนบางคล้าแปลงยาว บางคล้า บางคล้า ฉะเชิงเทรา 24110</t>
  </si>
  <si>
    <t>JB131813047TH</t>
  </si>
  <si>
    <t>นภสร สถากุลเจริญ ปาล์ม</t>
  </si>
  <si>
    <t>ส่วนปฏิบัติการร้านคาเฟ่อเมซอนส่วนกลาง บค.บอธ. บริษัท ปตท.น้ำมันและการค้าปลีก จำกัด มหาชน สำนักงานใหญ่ 555/2 ศูนย์เอนเนอร์ยี่คอมเพล็กซ์ อาคารบี ชั้น 18 จตุจักร จตุจักร กรุงเทพ 10900</t>
  </si>
  <si>
    <t>JB131813033TH</t>
  </si>
  <si>
    <t xml:space="preserve"> ส่วนปฏิบัติการร้านคาเฟ่อเมซอนส่วนกลาง บค.บอธ. บริษัท ปตท.น้ำมันและการค้าปลีก จำกัด มหาชน สำนักงานใหญ่ 555/2 ศูนย์เอนเนอร์ยี่คอมเพล็กซ์ อาคารบี ชั้น 18 จตุจักร จตุจักร กรุงเทพ 10900</t>
  </si>
  <si>
    <t>JB131878445TH</t>
  </si>
  <si>
    <t>บริษัท มงคลกิจคอนกรีต จำกัด</t>
  </si>
  <si>
    <t xml:space="preserve"> 67/37-38 ถนนเพชรเกษม วัดท่าพระ วัดท่าพระ บางกอกใหญ่ กรุงเทพ 10600</t>
  </si>
  <si>
    <t>JB131878462TH</t>
  </si>
  <si>
    <t xml:space="preserve">บริษัทฟาร์อีสท์ เฟมไลน์ ดีดีบี จำกัด มหาชน </t>
  </si>
  <si>
    <t>คุณจิ๊บ 465/1-467 ถนนศรีอยุธยา ทุ่งพญาไท ราชเทวี ทุ่งพญาไท ราชเทวี กรุงเทพ 10400</t>
  </si>
  <si>
    <t>JB131881872TH</t>
  </si>
  <si>
    <t xml:space="preserve">คุณอัจฉรา บุถตรสาร </t>
  </si>
  <si>
    <t>148/521 ซฮยรามคำแหง 190 มีนบุรี มันบุรี มีนบุรี มีนบุรี กรุงเทพ 10510</t>
  </si>
  <si>
    <t>JB131937245TH</t>
  </si>
  <si>
    <t>ศรัญญา เกตุแก้ว</t>
  </si>
  <si>
    <t>0838227573</t>
  </si>
  <si>
    <t>49/7 หมู่ 9 เกาะพลับพลา เมืองราชบุรี ราชบุรี 70000</t>
  </si>
  <si>
    <t>JB131937276TH</t>
  </si>
  <si>
    <t>นายวิโรจน์ ศิริครรชิตถาวร</t>
  </si>
  <si>
    <t>0891950886</t>
  </si>
  <si>
    <t>24 ถ.สุนทรโกษา คลองเตย คลองเตย กรุงเทพ 10110</t>
  </si>
  <si>
    <t>JA155892945TH</t>
  </si>
  <si>
    <t xml:space="preserve">อรทัย สุโพธิ์คำ </t>
  </si>
  <si>
    <t>JA155892968TH</t>
  </si>
  <si>
    <t>รัตน์ศักดิ์ #ข้างร้านต้นเรชซิ่ง</t>
  </si>
  <si>
    <t>0808070342</t>
  </si>
  <si>
    <t xml:space="preserve"> 220/3 ม.1 เมืองเพีย กุดจับ อุดรธานี 41250</t>
  </si>
  <si>
    <t>JB131937293TH</t>
  </si>
  <si>
    <t>พรพิมล ดวงดี</t>
  </si>
  <si>
    <t>0661402297</t>
  </si>
  <si>
    <t>865/1 หมู่ 4ซอย.คลองขุด 32 คลองขุด เมืองสตูล สตูล 91000</t>
  </si>
  <si>
    <t>JA155892985TH</t>
  </si>
  <si>
    <t>น.ส สาลินีย์ กิ้วภาวัน</t>
  </si>
  <si>
    <t xml:space="preserve"> 178/18 บ้านโนนนาคำ คำบ่อ วาริชภูมิ สกลนคร 47150</t>
  </si>
  <si>
    <t>JA155893019TH</t>
  </si>
  <si>
    <t>Phannipa Dee</t>
  </si>
  <si>
    <t>0975566224</t>
  </si>
  <si>
    <t>รร.ผดุงนารี 143 ถนนผดุงวิถี ตลาด เมือง มหาสารคาม ตลาด เมืองมหาสารคาม มหาสารคาม 44000</t>
  </si>
  <si>
    <t>JB131975994TH</t>
  </si>
  <si>
    <t>คมกริช ศรีสุวรรณ</t>
  </si>
  <si>
    <t>0821482033</t>
  </si>
  <si>
    <t>ถนน รังษีเกษม ในเวียง เมืองน่าน น่าน 55000</t>
  </si>
  <si>
    <t>JB132016027TH</t>
  </si>
  <si>
    <t xml:space="preserve">บริษัท 12 โก ไทยแลนด์ จำกัด </t>
  </si>
  <si>
    <t>1818 อาคารรสา ทู ชั้นที่ 12 ห้องเลขที่ 1205-1206 ถนนเพชรบุรี มักกะสัน ราชเทวี มักกะสัน ราชเทวี กรุงเทพ 10400</t>
  </si>
  <si>
    <t>JB132016035TH</t>
  </si>
  <si>
    <t>บริษัท สปริงมี จำกัด</t>
  </si>
  <si>
    <t xml:space="preserve"> 41/1 ซอย พหลโยธิน ถนนพหลโยธิน พญาไท พญาไท กรุงเทพ 10400</t>
  </si>
  <si>
    <t>JB132016044TH</t>
  </si>
  <si>
    <t>บริษัท แฮค แล็บ จำกัด</t>
  </si>
  <si>
    <t xml:space="preserve"> 1044/21 ซอยสุขุมวิท 101 บางจาก พระโขนง กรุงเทพ 10260</t>
  </si>
  <si>
    <t>JB132016058TH</t>
  </si>
  <si>
    <t xml:space="preserve">บริษัท สยาม จี เอ็น ซี จำกัด </t>
  </si>
  <si>
    <t>99/202 หมู่ 7 บางแม่นางบางใหญ่ นนทบุรี บางแม่นาง บางใหญ่ นนทบุรี 11140</t>
  </si>
  <si>
    <t>JB132016061TH</t>
  </si>
  <si>
    <t>บริษํท บีท ยัวร์ เลเวล จำกัด</t>
  </si>
  <si>
    <t>21/18-21 ซอยศูนย์วิจัย ถนนพระราม 9 บางกะปิ ห้วยขวาง กรุงเทพ 10310</t>
  </si>
  <si>
    <t>JB132016089TH</t>
  </si>
  <si>
    <t>บจ.ใจบันดาลแรง มีเดีย จำกัด</t>
  </si>
  <si>
    <t xml:space="preserve"> 80/144 ม.3 คลองหนึ่ง คลองหลวง ปทุมธานี 12120</t>
  </si>
  <si>
    <t>JB171332318TH</t>
  </si>
  <si>
    <t>คุณวลัยพร คณาภิบาล</t>
  </si>
  <si>
    <t>0936705220</t>
  </si>
  <si>
    <t>44/31 ซ.สองพี่น้อง ลำลูกกาคลอง 7 ปทุมธานี ลำลูกกา ลำลูกกา ปทุมธานี 12150</t>
  </si>
  <si>
    <t>JB171332304TH</t>
  </si>
  <si>
    <t>Kนนทิยา เข็มขาว 1</t>
  </si>
  <si>
    <t>0924156641</t>
  </si>
  <si>
    <t xml:space="preserve"> 50/8 หมู่6 เขาบายศรี ท่าใหม่ จันทบุรี 22120</t>
  </si>
  <si>
    <t>JB171332281TH</t>
  </si>
  <si>
    <t>Kนนทิยา เข็มขาว 2</t>
  </si>
  <si>
    <t>JA156249896TH</t>
  </si>
  <si>
    <t>วาสนา ลบแย้ม</t>
  </si>
  <si>
    <t>0819820326</t>
  </si>
  <si>
    <t>186/25 นาจอมเทียน สัตหีบ ชลบุรี 20250</t>
  </si>
  <si>
    <t>JB171332278TH</t>
  </si>
  <si>
    <t>ทิพย์สุดา อุบลรัตน์</t>
  </si>
  <si>
    <t>0897230502</t>
  </si>
  <si>
    <t>44/21-23 ซอยไสน้ำเย็น หมู่ที่ 6 ถ.เจ้าฟ้าตะวันตก ฉลอง เมืองภูเก็ต ภูเก็ต 83130</t>
  </si>
  <si>
    <t>JB171332264TH</t>
  </si>
  <si>
    <t>JA156249865TH</t>
  </si>
  <si>
    <t>JA156249851TH</t>
  </si>
  <si>
    <t>Vanida Shasha</t>
  </si>
  <si>
    <t>055442436</t>
  </si>
  <si>
    <t>ร้านเซ่งหลี 1ถ.ชื่นฤดี ท่าอิฐ เมืองอุตรดิตถ์ อุตรดิตถ์ 53000</t>
  </si>
  <si>
    <t>JB171332255TH</t>
  </si>
  <si>
    <t>จินตนา อุดมศิลป</t>
  </si>
  <si>
    <t>0844385348</t>
  </si>
  <si>
    <t>77/3 หมู่ 4 หัวรอ พระนครศรีอยุธยา พระนครศรีอยุธยา 13000</t>
  </si>
  <si>
    <t>JA156249834TH</t>
  </si>
  <si>
    <t>มีนาศิณี เจริญ</t>
  </si>
  <si>
    <t>0819884980</t>
  </si>
  <si>
    <t>122/64 ซอยรามอินทรา60 หมู่บ้านชื่นกมลนิเวศน์5 รามอินทรา รามอินทรา คันนายาว กรุงเทพ 10230</t>
  </si>
  <si>
    <t>JB171332247TH</t>
  </si>
  <si>
    <t>ณัฐณิชา</t>
  </si>
  <si>
    <t>0621126529</t>
  </si>
  <si>
    <t>59หมู่2 บ.ตาดดงเค็ง นิคม สหัสขันธ์ กาฬสินธุ์ 46140</t>
  </si>
  <si>
    <t>JB171332233TH</t>
  </si>
  <si>
    <t>เจตต์ปรียา สิทธิบริพัฒน์</t>
  </si>
  <si>
    <t>0816190560</t>
  </si>
  <si>
    <t xml:space="preserve"> 46/5 ตลาดกลางบางกระดี่ ถนนบางกระดี่ แสมดำ บางขุนเทียน แสมดำ บางขุนเทียน กรุงเทพ 10150</t>
  </si>
  <si>
    <t>JB171332220TH</t>
  </si>
  <si>
    <t>วัลภา วิมลทรง</t>
  </si>
  <si>
    <t>0898711367</t>
  </si>
  <si>
    <t>77/1 ม.7ซอยช้างซ้าย43 ช้างซ้าย พระพรหม นครศรีธรรมราช 80000</t>
  </si>
  <si>
    <t>JA156249825TH</t>
  </si>
  <si>
    <t>คุณพรวลัย เอนกนันท์</t>
  </si>
  <si>
    <t>0972038911</t>
  </si>
  <si>
    <t>477/135/ช.14 หมุ่บ้านวิเศษสุข16 บ้านคลองสวน พระสมุทรเจดีย์ สมุทรปราการ 10290</t>
  </si>
  <si>
    <t>0637969639</t>
  </si>
  <si>
    <t>116 หมู่ 6 ร้านกาแฟสด ถนนเลี่ยงเมืองนนท์ · ตลาดขวัญ เมืองนนทบุรี นนทบุรี 11000</t>
  </si>
  <si>
    <t>JA156249817TH</t>
  </si>
  <si>
    <t>นายสมชาย ทนงศักดิ์</t>
  </si>
  <si>
    <t>0866262461</t>
  </si>
  <si>
    <t>9/129 บ้านกลางเมือง ราชพฤกษ์-พระราม5 บางไผ่ เมืองนนทบุรี นนทบุรี 11000</t>
  </si>
  <si>
    <t>JB171332202TH</t>
  </si>
  <si>
    <t>นางสาวทิพวรรณ เฮงจินดา ไอ</t>
  </si>
  <si>
    <t>0979625994</t>
  </si>
  <si>
    <t>124 ม.8โรงพยาบาลบางแพ ห้องไข้เลือดออด วังเย็น บางแพ ราชบุรี 70160</t>
  </si>
  <si>
    <t>JB171332193TH</t>
  </si>
  <si>
    <t>คุณรัชฎา ทองแดง</t>
  </si>
  <si>
    <t>0819480653</t>
  </si>
  <si>
    <t>ร้านตรีชฎาโรตีกรอบ ปั้มน้ำมันบางจากแยกปทุม-เสนา เลขที่ 88 หมู่ที่ 5 บางนมโค เสนา พระนครศรีอยุธยา 13110</t>
  </si>
  <si>
    <t>JB171332180TH</t>
  </si>
  <si>
    <t>การันต์ จั่นบำรุง</t>
  </si>
  <si>
    <t>0622595195</t>
  </si>
  <si>
    <t xml:space="preserve"> 39/83 บ.ซื่อตรง28ซ.นวมินทร์ 143ถ.นวมินทร์ นวลจันทร์ บึงกุ่ม กรุงเทพ 10230</t>
  </si>
  <si>
    <t>JA156249803TH</t>
  </si>
  <si>
    <t>รพ.เปาโลโชคชัย 4 เลขที่ 1 ถนน โชคชัย 4 ซอย โชคชัย 4 ลาดพร้าว ลาดพร้าว กรุงเทพ 10230</t>
  </si>
  <si>
    <t>JA156257654TH</t>
  </si>
  <si>
    <t>มยุรี สักทอง</t>
  </si>
  <si>
    <t>0818718967</t>
  </si>
  <si>
    <t>422 หมู่ 5 เมือง เมืองเลย เลย 42000</t>
  </si>
  <si>
    <t>JB171334282TH</t>
  </si>
  <si>
    <t>K'เฟิร์น คุณฮง</t>
  </si>
  <si>
    <t>0922727388</t>
  </si>
  <si>
    <t>38/20 หมู่บ้าน indy บางนา รามคำแหง 2 ถ.รามคำแหง 2 ดอกไม้ ประเวศ กรุงเทพ 10250</t>
  </si>
  <si>
    <t>JB171334296TH</t>
  </si>
  <si>
    <t>( นางสาวติณณา ศรีเกือกลิ่น )</t>
  </si>
  <si>
    <t>0956364666</t>
  </si>
  <si>
    <t>บริษัท ทาเลนท์ ออดิเตอร์ส จำกัด นางสาวติณณา ศรีเกือกลิ่น 89/44114 ซอยประเสร็ฐมนูกิจ19แยก4 ถนบประเสริฐมนูกิจ แขวงจรเข้บัว จรเข้บัว ลาดพร้าว กรุงเทพ 10230</t>
  </si>
  <si>
    <t>JB171407869TH</t>
  </si>
  <si>
    <t xml:space="preserve">หจก.ที 168 คอนเทนเนอร์ </t>
  </si>
  <si>
    <t>0996244539</t>
  </si>
  <si>
    <t>แผนกการเงิน/บัญชี ใบหัก ณ ที่จ่าย 109/39 หมู่ที่ 9 บางแก้ว บางพลี สมุทรปราการ 10540</t>
  </si>
  <si>
    <t>JB171407855TH</t>
  </si>
  <si>
    <t>บจก.อินเตอร์เทค เทสติ้ง เซอร์วิลเซส ประเทศไทย</t>
  </si>
  <si>
    <t>แผนกการเงิน/บัญชี ใบหัก ณ ที่จ่าย  128515 ถ. ประชาชื่น วงศ์สว่าง วงศ์สว่าง บางซื่อ กรุงเทพ 10800</t>
  </si>
  <si>
    <t>JB171407841TH</t>
  </si>
  <si>
    <t>บริษัท เทสท์ เทค จำกัด</t>
  </si>
  <si>
    <t>028934211</t>
  </si>
  <si>
    <t>แผนกการเงิน/บัญชี  สนญ 30,32 ซอยพระรามที่ 2 ชอย 63 ถ.พระราม2 1เขวงแสมดำโทร.-17 ใบหัก แสมดำ บางขุนเทียน กรุงเทพ 10150</t>
  </si>
  <si>
    <t>JB171407838TH</t>
  </si>
  <si>
    <t xml:space="preserve">บริษัท พรีเมี่ยม อินเตอร์เนชั่นแนล โปรดักส์ จำกัด </t>
  </si>
  <si>
    <t>0839391103</t>
  </si>
  <si>
    <t>แผนกการเงิน/บัญชี 18/59 เทียนทะเล19 ถ.บางขุนเทียน-ชายทะเล ท่าข้าม บางขุนเทียน กรุงเทพ 10150</t>
  </si>
  <si>
    <t>JB171407824TH</t>
  </si>
  <si>
    <t xml:space="preserve">บริษัท เคซีเอฟ แอสเสท จำกัด </t>
  </si>
  <si>
    <t>034301531</t>
  </si>
  <si>
    <t>แผนกการเงิน/บัญชี ใบหัก ณ ที่จ่าย 169 ม.8โทร.-5 บางเลน บางเลน นครปฐม 73130</t>
  </si>
  <si>
    <t>JB171407815TH</t>
  </si>
  <si>
    <t xml:space="preserve">บจก.สมาร์ทเทคแคลิเบรชั่นแอนด์เซอร์วิสเชส </t>
  </si>
  <si>
    <t>0867777502</t>
  </si>
  <si>
    <t>แผนกการเงิน/บัญชี 14/506 ม.3โทร. ใบหัก ลำผักกูด ธัญบุรี ปทุมธานี 12110</t>
  </si>
  <si>
    <t>JB171407807TH</t>
  </si>
  <si>
    <t>มินตรา ชาวนาตรี</t>
  </si>
  <si>
    <t>0897854004</t>
  </si>
  <si>
    <t xml:space="preserve"> 338/420 ม.8 บ่อพลับ เมืองนครปฐม นครปฐม 73000</t>
  </si>
  <si>
    <t>JB171407798TH</t>
  </si>
  <si>
    <t xml:space="preserve">ห้างหุ้นส่วนจำกัด คุณลำไยการบัญชี </t>
  </si>
  <si>
    <t>0652357478</t>
  </si>
  <si>
    <t>แผนกการเงิน/บัญชี ใบหัก ณ ที่จ่าย 64 ม.7 ต.กำแพงแสน อ.กำแพงแพงแสน จ.นครปฐม โทร. กำแพงแสน กำแพงแสน นครปฐม 73140</t>
  </si>
  <si>
    <t>JB171407784TH</t>
  </si>
  <si>
    <t xml:space="preserve">บจก.รักษาความปลอดภัย เอส.เอ.เซ็นเตอร์การ์ด </t>
  </si>
  <si>
    <t>0818566357</t>
  </si>
  <si>
    <t>แผนกการเงิน/บัญชี 445 ม.1โทร.ใบหัก ทุ่งกระพังโหม กำแพงแสน นครปฐม 73140</t>
  </si>
  <si>
    <t>JB171407775TH</t>
  </si>
  <si>
    <t>148/521 ซอยรามคำแหง 190 มีนบุรี มีนบุรี กรุงเทพ 10510</t>
  </si>
  <si>
    <t>JA156596887TH</t>
  </si>
  <si>
    <t>ลดาวัลย์ รุ่งเรืองผล</t>
  </si>
  <si>
    <t>0878253708</t>
  </si>
  <si>
    <t>71ซ.ราชปรารภ12 ถนนราชปรารถ มักกะสัน ราชเทวี กรุงเทพ 10400</t>
  </si>
  <si>
    <t>JB171480886TH</t>
  </si>
  <si>
    <t>ร้านวรกานต์พาณิชย์ สามแยกควนสว่าง 48/1 ม.3 ไทรขึง พระแสง สุราษฎร์ธานี 84210</t>
  </si>
  <si>
    <t>JB171480872TH</t>
  </si>
  <si>
    <t>สถาพร เทียมพูล</t>
  </si>
  <si>
    <t>0814282258</t>
  </si>
  <si>
    <t xml:space="preserve"> 456 ม.6 เขาฉกรรจ์ เขาฉกรรจ์ สระแก้ว 27000</t>
  </si>
  <si>
    <t>JB171480869TH</t>
  </si>
  <si>
    <t>ทัศนีย์</t>
  </si>
  <si>
    <t>0816201909</t>
  </si>
  <si>
    <t>870 ถนนพระรามหก ซอยที่ 23 เขตราชเทวี แขวงถนนเพชรบุรี ถนนเพชรบุรี ราชเทวี กรุงเทพ 10400</t>
  </si>
  <si>
    <t>JA156596873TH</t>
  </si>
  <si>
    <t>คุณอนงค์ วิริยกุล</t>
  </si>
  <si>
    <t>0860235279</t>
  </si>
  <si>
    <t xml:space="preserve"> 134/92 หมู่ 1 ต.วัดชลอ หมู่บ้านสินธรา ซอย 3 วัดชลอ บางกรวย นนทบุรี 11130</t>
  </si>
  <si>
    <t>JB171480855TH</t>
  </si>
  <si>
    <t>กัญญา ฉัตรเงิน</t>
  </si>
  <si>
    <t>0624477438</t>
  </si>
  <si>
    <t>109/2 ม6 เขาใบไม้สวนโตโต้ ตาคลี ตาคลี นครสวรรค์ 60140</t>
  </si>
  <si>
    <t>JA156596860TH</t>
  </si>
  <si>
    <t>น้ำค้าง</t>
  </si>
  <si>
    <t>0654172009</t>
  </si>
  <si>
    <t>135 ม.5 นาโบสถ์ วังเจ้า ตาก 63180</t>
  </si>
  <si>
    <t>JA156596856TH</t>
  </si>
  <si>
    <t xml:space="preserve">จันจิรา ถิ่นคีรี </t>
  </si>
  <si>
    <t>0967088095</t>
  </si>
  <si>
    <t>176 โลตัสชุมพร วังไผ่ เมือง ชุมพร Thailand วังไผ่ เมืองชุมพร ชุมพร 86000</t>
  </si>
  <si>
    <t>JB171480841TH</t>
  </si>
  <si>
    <t>สำรวย ด้วงเฟื่อง</t>
  </si>
  <si>
    <t>0860720122</t>
  </si>
  <si>
    <t>12/1 ม.5 ท่ามะเฟือง พิชัย อุตรดิตถ์ 53120</t>
  </si>
  <si>
    <t>JA156596842TH</t>
  </si>
  <si>
    <t xml:space="preserve">ชื่อเล่นชื่อโบว์  </t>
  </si>
  <si>
    <t>0842271877</t>
  </si>
  <si>
    <t>จอมพระจอมพระจังหวัดสุรินทร์ร้านเนื้อย่างจันทราบ้านเลขที่ 568 หมู่ 4 จอมพระ จอมพระ สุรินทร์ 32180</t>
  </si>
  <si>
    <t>JB171480838TH</t>
  </si>
  <si>
    <t>สำลี สว่างแสง</t>
  </si>
  <si>
    <t>0813632801</t>
  </si>
  <si>
    <t>598/38หน้าสำนักงานเขตคลองเตย คลองเตย คลองเตย กรุงเทพ 10110</t>
  </si>
  <si>
    <t>JA156596839TH</t>
  </si>
  <si>
    <t>นิรันดร บุตรคุณ</t>
  </si>
  <si>
    <t>0897134017</t>
  </si>
  <si>
    <t>259ม.4ต. พันดอน กุมภวาปี อุดรธานี 41370</t>
  </si>
  <si>
    <t>JB171480824TH</t>
  </si>
  <si>
    <t>ณัฐณิชา ยังชู</t>
  </si>
  <si>
    <t>0835139217</t>
  </si>
  <si>
    <t>98/1 ถ.คึกฤทธิ์ หมู่1 คลอแห หาดใญ่, สงขลา คลองแห หาดใหญ่ สงขลา 90110</t>
  </si>
  <si>
    <t>JB171480815TH</t>
  </si>
  <si>
    <t>ปวรรัตน์. ทรัพย์สอน</t>
  </si>
  <si>
    <t>0945690425</t>
  </si>
  <si>
    <t>24/3 ม5 ท่าข้าม บางปะกง ฉะเชิงเทรา 24130</t>
  </si>
  <si>
    <t>JB171480807TH</t>
  </si>
  <si>
    <t xml:space="preserve">อำไพ แสนคำ  </t>
  </si>
  <si>
    <t>0819180466</t>
  </si>
  <si>
    <t>117ซ.เพชรเกษม92/3 บางแค บางแค กรุงเทพ 10160</t>
  </si>
  <si>
    <t>JB171480798TH</t>
  </si>
  <si>
    <t>JB171480784TH</t>
  </si>
  <si>
    <t>ดวงจันทร์ ภิญโญ แขก</t>
  </si>
  <si>
    <t>0830717342</t>
  </si>
  <si>
    <t>95/5 ม.9 ทุ่งควายกิน แกลง ระยอง 21110</t>
  </si>
  <si>
    <t>JB171480775TH</t>
  </si>
  <si>
    <t>บริษัท ฮันนัน99 จำกัด</t>
  </si>
  <si>
    <t>0808216671</t>
  </si>
  <si>
    <t xml:space="preserve"> KC.7 เลขที่39/1648-49 ถ.ไทยรามัญ สามวาตะวันตก คลองสามวา กรุงเทพ 10510</t>
  </si>
  <si>
    <t>JA156596808TH</t>
  </si>
  <si>
    <t>รัชนี กุลจีน</t>
  </si>
  <si>
    <t>0899051949</t>
  </si>
  <si>
    <t>94/46 หมู่บ้านริมชล 2 ถ.เทศบาล 4 ปากเพรียว เมืองสระบุรี สระบุรี 18000</t>
  </si>
  <si>
    <t>JB171480767TH</t>
  </si>
  <si>
    <t>คุณสุวิมล วิคแมน</t>
  </si>
  <si>
    <t>0848275315</t>
  </si>
  <si>
    <t xml:space="preserve"> สถานธนานุบาลเทศบาลเมืองพิบูลมังสาหาร 69 / 13 ถนนพิบูล พิบูล พิบูลมังสาหาร อุบลราชธานี 34110</t>
  </si>
  <si>
    <t>JB171480753TH</t>
  </si>
  <si>
    <t>สุวรรณี โพธิศรี</t>
  </si>
  <si>
    <t>0891921119</t>
  </si>
  <si>
    <t>266/61 หมู่ 15 บ้านสันติสุขซอย 2/1 พิชัย เมืองลำปาง ลำปาง 52000</t>
  </si>
  <si>
    <t>JB171480740TH</t>
  </si>
  <si>
    <t>คุณสุระชัย เทาใหม่</t>
  </si>
  <si>
    <t>0929914519</t>
  </si>
  <si>
    <t xml:space="preserve"> สถานธนานุบาลเทศบาลนครนครราชสีมาแห่งที่ 1 40-44 ถนนสุรนารี ในเมือง เมืองนครราชสีมา นครราชสีมา 30000</t>
  </si>
  <si>
    <t>JA156596799TH</t>
  </si>
  <si>
    <t>0844051638</t>
  </si>
  <si>
    <t>196 ม. 13. โพธิ์เงิน ค่ายบกหวาน เมืองหนองคาย หนองคาย 43100</t>
  </si>
  <si>
    <t>JA156596785TH</t>
  </si>
  <si>
    <t>255/1 สุขสวัสดิ์ 1 ซอย 11 พระบาท เมืองลำปาง ลำปาง 52000</t>
  </si>
  <si>
    <t>JB171480736TH</t>
  </si>
  <si>
    <t>เดชณพงษ์ ชนะเอม</t>
  </si>
  <si>
    <t>0822249311</t>
  </si>
  <si>
    <t>689/1533 ศุภาลัย เวอรันด้า รัชวิภา-ประชาชื่น บางซื่อ บางซื่อ กรุงเทพ 10800</t>
  </si>
  <si>
    <t>JA156596771TH</t>
  </si>
  <si>
    <t>ไพบูล</t>
  </si>
  <si>
    <t>0650715017</t>
  </si>
  <si>
    <t>195 ม.7 บ.ดงเจริญ โคกสะอาด เมืองอุดรธานี อุดรธานี 41000</t>
  </si>
  <si>
    <t>JB171480722TH</t>
  </si>
  <si>
    <t>พรพิมล กุศลบุญญานันท์</t>
  </si>
  <si>
    <t>0873703056</t>
  </si>
  <si>
    <t>69/186 หมู่ 2 บ้านกรด บางปะอิน พระนครศรีอยุธยา 13160</t>
  </si>
  <si>
    <t>JB171480719TH</t>
  </si>
  <si>
    <t>วนิดา ชื่นสวัสดิ์</t>
  </si>
  <si>
    <t>0818516154</t>
  </si>
  <si>
    <t>12 ซอย 4 ถนนพิชัยฯ ปากเพรียว เมืองสระบุรี สระบุรี 18000</t>
  </si>
  <si>
    <t>JB171480705TH</t>
  </si>
  <si>
    <t>JA156640585TH</t>
  </si>
  <si>
    <t>น.ส ระเบียบ เรียนไธสง</t>
  </si>
  <si>
    <t>0923385918</t>
  </si>
  <si>
    <t>67หมู่ที่14 บ.แกใต้ หนองแวง บ้านใหม่ไชยพจน์ บุรีรัมย์ 31120</t>
  </si>
  <si>
    <t>JA156596754TH</t>
  </si>
  <si>
    <t xml:space="preserve">น.ส.สุพัตรา มากจันทร์ </t>
  </si>
  <si>
    <t>0980507745</t>
  </si>
  <si>
    <t>222/4 ม.3 บางวัน คุระบุรี พังงา 82150</t>
  </si>
  <si>
    <t>JA156678334TH</t>
  </si>
  <si>
    <t>อรอุมา สุขชนะ</t>
  </si>
  <si>
    <t>0989022072</t>
  </si>
  <si>
    <t xml:space="preserve"> 261 ม.9 สินปุน เขาพนม กระบี่ 80240</t>
  </si>
  <si>
    <t>JB171514602TH</t>
  </si>
  <si>
    <t xml:space="preserve">นางสาวเกตุวดี มูลเอ้ย </t>
  </si>
  <si>
    <t>0972634599</t>
  </si>
  <si>
    <t>บ้านบ่อทอง 227 ม.5 ท่าสุด เมืองเชียงราย เชียงราย 57100</t>
  </si>
  <si>
    <t>JA156726159TH</t>
  </si>
  <si>
    <t>นิภาวรรณ ถาวรกูล 2</t>
  </si>
  <si>
    <t>0638649326</t>
  </si>
  <si>
    <t xml:space="preserve"> 113 ม.5 ซับน้อย วิเชียรบุรี เพชรบูรณ์ 67180</t>
  </si>
  <si>
    <t>JA156728146TH</t>
  </si>
  <si>
    <t>นิภาวรรณ ถาวรกูล 3</t>
  </si>
  <si>
    <t>JA156728835TH</t>
  </si>
  <si>
    <t>นิภาวรรณ ถาวรกูล 1</t>
  </si>
  <si>
    <t>JB171539771TH</t>
  </si>
  <si>
    <t>บริษัท ทาเลนท์ ออดิเตอร์ส จำกัด คุณตาว</t>
  </si>
  <si>
    <t xml:space="preserve"> 89/44114 ขอยประเสริฐมนูกิจ 19 แยก 4 ถนนประเสริฐมนูกิจ แขวงจรเข้บัว จรเข้บัว ลาดพร้าว กรุงเทพ 10230</t>
  </si>
  <si>
    <t>JB171544003TH</t>
  </si>
  <si>
    <t>Attn คุณเจนนี่</t>
  </si>
  <si>
    <t>บริษัท ซี.เจ. เอ็กซ์เพรส กรุ๊ป จำกัด 393 อาคาร 393 สีลม ชัน 2, 4 และ 5 ถนนสีลม สีลม บางรัก กรุงเทพ 10500</t>
  </si>
  <si>
    <t>JB171557735TH</t>
  </si>
  <si>
    <t>คุณปุณยาพร วงค์โห้</t>
  </si>
  <si>
    <t>0843678498</t>
  </si>
  <si>
    <t>ชั้น11 ห้อง 62/414 ถ.สุขุมวิท บางด้วน เมืองสมุทรปราการ สมุทรปราการ 10270</t>
  </si>
  <si>
    <t>JB171557744TH</t>
  </si>
  <si>
    <t>จุฑามาศ โคตรภูธร</t>
  </si>
  <si>
    <t>0614411242</t>
  </si>
  <si>
    <t>หอพัก ซอยหมู่บ้านโฮมทาวน์บางประอิน 1699/206 หมู่ที่ 2พระมพระมศรธยา คลองจิก บางปะอิน พระนครศรีอยุธยา 13160</t>
  </si>
  <si>
    <t>JB171557758TH</t>
  </si>
  <si>
    <t xml:space="preserve">คุณวิววี่ </t>
  </si>
  <si>
    <t>JA156930906TH</t>
  </si>
  <si>
    <t xml:space="preserve">มณฑา ตู้แก้ว </t>
  </si>
  <si>
    <t>0897451724</t>
  </si>
  <si>
    <t>35/3 ม.13 ซ.มรกต หนองสามวัง หนองเสือ ปทุมธานี 12170</t>
  </si>
  <si>
    <t>JA156930897TH</t>
  </si>
  <si>
    <t xml:space="preserve">วิทวัส พรหมพันธ์ใจ </t>
  </si>
  <si>
    <t>0936496361</t>
  </si>
  <si>
    <t>38 ถ.เบญจรงค์ ซ.4 ในเมือง เมืองนครราชสีมา นครราชสีมา 30000</t>
  </si>
  <si>
    <t>JA156930883TH</t>
  </si>
  <si>
    <t>Mawnaja Arunyapal</t>
  </si>
  <si>
    <t>0852191729</t>
  </si>
  <si>
    <t>26ปรีดีฯ22 แขวงพระโขนงเหนือ พระโขนงเหนือ กรุงเทพมหานคร Thailand พระโขนงเหนือ วัฒนา กรุงเทพ 10110</t>
  </si>
  <si>
    <t>JA156930870TH</t>
  </si>
  <si>
    <t>จันทร์ทิวา สูงทรง</t>
  </si>
  <si>
    <t>0827954962</t>
  </si>
  <si>
    <t>1/54 ซอยพหลโยธิน 66 แยก 1 สายไหม สายไหม กรุงเทพ 10220</t>
  </si>
  <si>
    <t>JA156930866TH</t>
  </si>
  <si>
    <t xml:space="preserve">มงคลชัย ธนมงคลทรัพย์ </t>
  </si>
  <si>
    <t>0929394719</t>
  </si>
  <si>
    <t>16/13 ม.5 ร้านครัวอีสานแซ่บหลาย อ่างทอง เกาะสมุย สุราษฎร์ธานี Thailand อ่างทอง เกาะสมุย สุราษฎร์ธานี 84140</t>
  </si>
  <si>
    <t>JA156930852TH</t>
  </si>
  <si>
    <t>เชาว์ คำแก้ว</t>
  </si>
  <si>
    <t>0819333671</t>
  </si>
  <si>
    <t>1004ถริมทางรถไฟเก่า คลองเตย คลองเตย กรุงเทพ 10110</t>
  </si>
  <si>
    <t>JA156930849TH</t>
  </si>
  <si>
    <t>นิตยา สุวรรณรัตน์</t>
  </si>
  <si>
    <t>0974252125</t>
  </si>
  <si>
    <t>86 หมู่11เสม็ดงามซอย8 หนองบัว เมืองจันทบุรี จันทบุรี 22000</t>
  </si>
  <si>
    <t>JB171600181TH</t>
  </si>
  <si>
    <t>Anchalee Sangsomboon</t>
  </si>
  <si>
    <t>0818834075</t>
  </si>
  <si>
    <t>99/140 ม.5 สันทรายน้อย สันทราย เชียงใหม่ 50210</t>
  </si>
  <si>
    <t>JB171600178TH</t>
  </si>
  <si>
    <t>คุณณัฐภรณ์ ยอดรัก</t>
  </si>
  <si>
    <t>0644924642</t>
  </si>
  <si>
    <t xml:space="preserve"> บิ๊กซี ซูเปอร์เซ็นเตอร์ นครศรีธรรมราช ตำบลปากพูน อำเภอเมืองนครศรีธรรมราช จังหวัดนครศรีธรรมราช 80000 ปากพูน เมืองนครศรีธรรมราช นครศรีธรรมราช 80000</t>
  </si>
  <si>
    <t>JA156930835TH</t>
  </si>
  <si>
    <t xml:space="preserve">นิสารัตน์ ชัยมงคลสวัสดิ์ </t>
  </si>
  <si>
    <t>0956614461</t>
  </si>
  <si>
    <t>กองทุนบริหารฟลอร่าวิลล์ สปอร์ตคลับ 94 ถนนสุวินทวงศ์ซอย 38 ลำผักชี หนองจอก, กรุงเทพมหานคร ลำผักชี หนองจอก กรุงเทพ 10530</t>
  </si>
  <si>
    <t>JA156930821TH</t>
  </si>
  <si>
    <t>สุภาภรณ์ สมบุญจร</t>
  </si>
  <si>
    <t>0628188633</t>
  </si>
  <si>
    <t>บ.สหไทย ประตูที่1 เลขที่36 ม.7 ม.รัตนธานี9 บางแก้ว บางพลี สมุทรปราการ 10540</t>
  </si>
  <si>
    <t>JA157269985TH</t>
  </si>
  <si>
    <t>JA157269999TH</t>
  </si>
  <si>
    <t>สริญา</t>
  </si>
  <si>
    <t>0970166502</t>
  </si>
  <si>
    <t>บ้านเลขที่79 หมู่5  บ้านนา บ้านนาเดิม สุราษฎร์ธานี 84240</t>
  </si>
  <si>
    <t>JA157270008TH</t>
  </si>
  <si>
    <t>สุภาภรณ์</t>
  </si>
  <si>
    <t>0894632453</t>
  </si>
  <si>
    <t>ตลาสดเบตงชั้นลอย เบตง เบตง ยะลา 95110</t>
  </si>
  <si>
    <t>JB171719645TH</t>
  </si>
  <si>
    <t>คุณธีรวรรณ กุลสันตติ</t>
  </si>
  <si>
    <t>0824222589</t>
  </si>
  <si>
    <t>198/4 ถ.เอเชีย 18 สุไหงโก-ลก สุไหงโก-ลก นราธิวาส 96120</t>
  </si>
  <si>
    <t>JB171719668TH</t>
  </si>
  <si>
    <t>ชาญณรงค์ เติมประทีป</t>
  </si>
  <si>
    <t>0860045003</t>
  </si>
  <si>
    <t>297 ถนน มิตรภาพ หนองสาหร่าย ปากช่อง นครราชสีมา 30130</t>
  </si>
  <si>
    <t>JB171719671TH</t>
  </si>
  <si>
    <t>ชนิตานันท์ เกตุแก้ว</t>
  </si>
  <si>
    <t>0898669733</t>
  </si>
  <si>
    <t>99 ซ.มณีทอง ถ.ราชปาทานุสรณ์ ป่าตอง กะทู้ ภูเก็ต 83150</t>
  </si>
  <si>
    <t>JB171719685TH</t>
  </si>
  <si>
    <t>จิดาภา โล่ห์สถาพรพิพิธ</t>
  </si>
  <si>
    <t>0863986440</t>
  </si>
  <si>
    <t xml:space="preserve"> 48ซ.รามคำแหง52ถ.รามคำแหง หัวหมาก บางกะปิ กรุงเทพ 10240</t>
  </si>
  <si>
    <t>JB171722812TH</t>
  </si>
  <si>
    <t xml:space="preserve">นันทนา จันทร์จวง </t>
  </si>
  <si>
    <t>0639037007</t>
  </si>
  <si>
    <t>ที่ว่าการอำเภอวารินชำราบ ถนนทหาร วารินชำราบ วารินชำราบ อุบลราชธานี 34190</t>
  </si>
  <si>
    <t>JB171722826TH</t>
  </si>
  <si>
    <t>นันทนา จันทร์จวง</t>
  </si>
  <si>
    <t xml:space="preserve"> ที่ว่าการอำเภอวารินชำราบ ถนนทหาร วารินชำราบ วารินชำราบ อุบลราชธานี 34190</t>
  </si>
  <si>
    <t>JB171722830TH</t>
  </si>
  <si>
    <t>JB171722843TH</t>
  </si>
  <si>
    <t>JB171722857TH</t>
  </si>
  <si>
    <t>คุณภรทิพย์ เทือกเถาว์</t>
  </si>
  <si>
    <t>0842593318</t>
  </si>
  <si>
    <t>50/3 หมู่9 บ้านพระ เมืองปราจีนบุรี ปราจีนบุรี 25230</t>
  </si>
  <si>
    <t>JA157353674TH</t>
  </si>
  <si>
    <t xml:space="preserve">ปัจจาอิงขนร </t>
  </si>
  <si>
    <t>0955326493</t>
  </si>
  <si>
    <t>310ม.6 ห้วยแร้ง เมืองตราด ตราด 23000</t>
  </si>
  <si>
    <t>JA157353688TH</t>
  </si>
  <si>
    <t xml:space="preserve">สาลินีย์ กิ้วภาวัน </t>
  </si>
  <si>
    <t>JB171747536TH</t>
  </si>
  <si>
    <t>คุณเปา</t>
  </si>
  <si>
    <t>0636359955</t>
  </si>
  <si>
    <t>88/93 ม.2 หมู่บ้านเดอะกรีนเนอร์รี่8 บางกระทึก สามพราน นครปฐม 73210</t>
  </si>
  <si>
    <t>JB171747540TH</t>
  </si>
  <si>
    <t>ตุ้ม</t>
  </si>
  <si>
    <t>0941426451</t>
  </si>
  <si>
    <t>บ้านไผ่สมบูรณ์ 35หมู่9 ห้วยหิน หนองหงส์ บุรีรัมย์ 31240</t>
  </si>
  <si>
    <t>JB171747553TH</t>
  </si>
  <si>
    <t>นางสาวศิริกัญญา วิริยะเศรษฐ์กุล</t>
  </si>
  <si>
    <t>0621244458</t>
  </si>
  <si>
    <t xml:space="preserve"> บ้านวิริยะเศรษฐ์กุล 436 หมู่ 13 ซ.วิทยุ บ้านแพง บ้านแพง นครพนม 48140</t>
  </si>
  <si>
    <t>JB171789010TH</t>
  </si>
  <si>
    <t>สิทธิพร ทองศิริ</t>
  </si>
  <si>
    <t>0925355524</t>
  </si>
  <si>
    <t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t>
  </si>
  <si>
    <t>JA157465790TH</t>
  </si>
  <si>
    <t xml:space="preserve">แน่งน้อย ราชปรีชา </t>
  </si>
  <si>
    <t>0896448055</t>
  </si>
  <si>
    <t>โรงเรียนวัดดงหมี เนินกุ่ม บางกระทุ่ม พิษณุโลก 65210</t>
  </si>
  <si>
    <t>JB171789023TH</t>
  </si>
  <si>
    <t>อู่ช่างอี๊ด</t>
  </si>
  <si>
    <t>0896608501</t>
  </si>
  <si>
    <t>418 ม6 บ.หนองญาติ ต.หนองญาติ อ.เมือง จ.นครพนม 48000 หนองญาติ เมืองนครพนม นครพนม 48000</t>
  </si>
  <si>
    <t>JA157465809TH</t>
  </si>
  <si>
    <t>พิริยะ นาราช</t>
  </si>
  <si>
    <t>0956054796</t>
  </si>
  <si>
    <t>232 ม 2 ตาเป๊ก เฉลิมพระเกียรติ บุรีรัมย์ 31110</t>
  </si>
  <si>
    <t>JB171789006TH</t>
  </si>
  <si>
    <t>คุณภรณ์ทิพย์ เทือกเถาว์</t>
  </si>
  <si>
    <t>50/3 หมู่ 9 บ้านพระ เมือง ปราจีนบุรี บ้านพระ เมืองปราจีนบุรี ปราจีนบุรี 25230</t>
  </si>
  <si>
    <t>JB171878721TH</t>
  </si>
  <si>
    <t>บริษัท บิ๊กซี ฟู๊ด เซอร์วิส จำกัด คุณจ๋า</t>
  </si>
  <si>
    <t xml:space="preserve"> ฝ่ายบัญชี อาคารเบอร์ลียุคเกอร์ A ชั้น 6 88/9 ซอยสมานฉันท์-บาร์โบส พระโขนง คลองเตย กรุงเทพ 10110</t>
  </si>
  <si>
    <t>JB171878749TH</t>
  </si>
  <si>
    <t>Attn คุณปัทมา</t>
  </si>
  <si>
    <t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t>
  </si>
  <si>
    <t>JB171878766TH</t>
  </si>
  <si>
    <t>คุณณัฐณิชา หาญโสต</t>
  </si>
  <si>
    <t>0984801763</t>
  </si>
  <si>
    <t>220 ถ.ประชาอุทิศ ดอนเมือง ดอนเมือง กรุงเทพ 10210</t>
  </si>
  <si>
    <t>JB171880186TH</t>
  </si>
  <si>
    <t xml:space="preserve">คุณปาย์รพิชชา ยามากุชิ </t>
  </si>
  <si>
    <t>0825154696</t>
  </si>
  <si>
    <t>395/121 มิลาโน หมู่ 3 สุรศักดิ์ ศรีราชา ชลบุรี 20110</t>
  </si>
  <si>
    <t>JB171878125TH</t>
  </si>
  <si>
    <t>ภัทชา ทิพย์แก้ว</t>
  </si>
  <si>
    <t>0887545440</t>
  </si>
  <si>
    <t>168/70 เสาวลักษณ์1 ซ.5 บางกุ้ง เมืองสุราษฎร์ธานี สุราษฎร์ธานี 84000</t>
  </si>
  <si>
    <t>JB171878134TH</t>
  </si>
  <si>
    <t>นภา</t>
  </si>
  <si>
    <t>0867503070</t>
  </si>
  <si>
    <t>481/440 ถ.จรัญสนิทวงศ์ ซ.37 บางขุนศรี บางกอกน้อย กรุงเทพ 10700</t>
  </si>
  <si>
    <t>JB171878148TH</t>
  </si>
  <si>
    <t>คุณศิรนันท์  เอี่ยมสกุล</t>
  </si>
  <si>
    <t>0982675985</t>
  </si>
  <si>
    <t>80/1 หมู่ 6 หมู่บ้านท้องฝาย แม่สา แม่ริม เชียงใหม่ 50180</t>
  </si>
  <si>
    <t>JB171949811TH</t>
  </si>
  <si>
    <t xml:space="preserve">ร้านช่างดำ นิรา </t>
  </si>
  <si>
    <t>0615714986</t>
  </si>
  <si>
    <t>269/9 ม.3 เขาแก้ว ลานสกา นครศรีธรรมราช 80230</t>
  </si>
  <si>
    <t>JA157918141TH</t>
  </si>
  <si>
    <t>JA157918138TH</t>
  </si>
  <si>
    <t>อัจฉราภรณ์ มณีพันธ์</t>
  </si>
  <si>
    <t>0636316520</t>
  </si>
  <si>
    <t>91 บ.ดู่ ม.1 ดู่ กันทรารมย์ ศรีสะเกษ 33130</t>
  </si>
  <si>
    <t>JA157918124TH</t>
  </si>
  <si>
    <t xml:space="preserve">วีรพันธ์ สุขกิจ </t>
  </si>
  <si>
    <t>0812979749</t>
  </si>
  <si>
    <t>บ.พีแอนด์แอลแมนูแฟตเตอร์ริง75/12หมู่7 ไร่ขิง สามพราน นครปฐม Thailand ไร่ขิง สามพราน นครปฐม 73110</t>
  </si>
  <si>
    <t>JA157918115TH</t>
  </si>
  <si>
    <t>คุณพจนีย์ สินสมุทร</t>
  </si>
  <si>
    <t>0854763417</t>
  </si>
  <si>
    <t xml:space="preserve"> ซอยลุ่มหงส์ บ.97 ม.22 ประสงค์ ท่าชนะ สุราษฎร์ธานี 84170</t>
  </si>
  <si>
    <t>JA157918107TH</t>
  </si>
  <si>
    <t>สุจิตรา</t>
  </si>
  <si>
    <t>0915023512</t>
  </si>
  <si>
    <t>449/244 ซ.7 การเคหะฯ สุวินทวงศ์11 ขว.แสนแสบ ข.มีนบุรี แสนแสบ มีนบุรี กรุงเทพ 10510</t>
  </si>
  <si>
    <t>JA157918098TH</t>
  </si>
  <si>
    <t>ประกายทิพย์ เรืองระยับ บมจ.ยูนิคแก๊ส</t>
  </si>
  <si>
    <t>0804399078</t>
  </si>
  <si>
    <t>10 หมู่ 11- หมายเหตุ ลูกค้ามัดจําครึ่งหนึ่ง พระแท่น ท่ามะกา กาญจนบุรี 71130</t>
  </si>
  <si>
    <t>JA157918084TH</t>
  </si>
  <si>
    <t>สุนันท์</t>
  </si>
  <si>
    <t>0923792723</t>
  </si>
  <si>
    <t>48/17 ม.3 เกาะขนุน พนมสารคาม ฉะเชิงเทรา 24120</t>
  </si>
  <si>
    <t>JA157918075TH</t>
  </si>
  <si>
    <t xml:space="preserve">แหม่มสีถาวร </t>
  </si>
  <si>
    <t>0962673952</t>
  </si>
  <si>
    <t>หมู่บ้านแคลิฟอร์เนีย 299/27 ซอย 1/1 คลองตำหรุ เมืองชลบุรี ชลบุรี 20000</t>
  </si>
  <si>
    <t>JA157918067TH</t>
  </si>
  <si>
    <t>นันทิภรณ์ ปานุราช</t>
  </si>
  <si>
    <t>0843099147</t>
  </si>
  <si>
    <t xml:space="preserve"> 194 ม.2 ห้วยปริก ฉวาง นครศรีธรรมราช 80260</t>
  </si>
  <si>
    <t>JA157918053TH</t>
  </si>
  <si>
    <t>รุจสิรา ผูกวัฒนะ</t>
  </si>
  <si>
    <t>0971391511</t>
  </si>
  <si>
    <t>6/14 ม.6 นาเกลือ บางละมุง ชลบุรี Thailand นาเกลือ บางละมุง ชลบุรี 20150</t>
  </si>
  <si>
    <t>JA157918040TH</t>
  </si>
  <si>
    <t>นฤมล สังข์บัว</t>
  </si>
  <si>
    <t>0979181274</t>
  </si>
  <si>
    <t>105 ม.7 ปังหวาน พะโต๊ะ ชุมพร 86180</t>
  </si>
  <si>
    <t>JA157918036TH</t>
  </si>
  <si>
    <t>อภิลภัส แก้วทอง</t>
  </si>
  <si>
    <t>0617378168</t>
  </si>
  <si>
    <t>135/4108 ม.5 เกาะหลัก เมืองประจวบคีรีขันธ์ ประจวบคีรีขันธ์ 77000</t>
  </si>
  <si>
    <t>JB171949785TH</t>
  </si>
  <si>
    <t>สุนิษา วงษ์สาง</t>
  </si>
  <si>
    <t>0614581732</t>
  </si>
  <si>
    <t>42 ห้อง 3 หมู่ 5 โป่ง บางละมุง ชลบุรี 20150</t>
  </si>
  <si>
    <t>JA157918022TH</t>
  </si>
  <si>
    <t>JB171949771TH</t>
  </si>
  <si>
    <t>นางจันสอน บุดดา</t>
  </si>
  <si>
    <t>0650511948</t>
  </si>
  <si>
    <t xml:space="preserve"> 95หมุ่3บ.ท่าสี แสงสว่าง หนองแสง อุดรธานี 41340</t>
  </si>
  <si>
    <t>JB172022065TH</t>
  </si>
  <si>
    <t>JB171949808TH</t>
  </si>
  <si>
    <t>สุกัญญา</t>
  </si>
  <si>
    <t>0894489595</t>
  </si>
  <si>
    <t>625/51 หมู่บ้านชิชา ถนน พระรามสอง บางมด จอมทอง กรุงเทพ 10150</t>
  </si>
  <si>
    <t>JA158311199TH</t>
  </si>
  <si>
    <t>ฐาณิการ์ กลั่นน้ำเค็ม</t>
  </si>
  <si>
    <t>0996197199</t>
  </si>
  <si>
    <t>405หมู่6 ท่าชัย เมืองชัยนาท ชัยนาท 17000</t>
  </si>
  <si>
    <t>JB172080669TH</t>
  </si>
  <si>
    <t xml:space="preserve">ณัชชามณฑ์ เสรีกุล </t>
  </si>
  <si>
    <t>0954968285</t>
  </si>
  <si>
    <t>69/194 ซอย 5 หมู่บ้านเดอะสกาย ดอนเมือง ดอนเมือง กรุงเทพ 10210</t>
  </si>
  <si>
    <t>JA158311185TH</t>
  </si>
  <si>
    <t>คุณนารีรัตน์</t>
  </si>
  <si>
    <t>0841344680</t>
  </si>
  <si>
    <t>บ้านห้วยใหญ่ เลขที่ 159 ม.11 นาสัก สวี ชุมพร 86130</t>
  </si>
  <si>
    <t>JA158311171TH</t>
  </si>
  <si>
    <t>นคร วงศ์จินตนาพร</t>
  </si>
  <si>
    <t>0896253565</t>
  </si>
  <si>
    <t>270/191 หมู่.8 น้ำคำ เมืองศรีสะเกษ ศรีสะเกษ 33000</t>
  </si>
  <si>
    <t>JB172080655TH</t>
  </si>
  <si>
    <t>น้องนาง นวละะออง</t>
  </si>
  <si>
    <t>0811341359</t>
  </si>
  <si>
    <t>214/27 หมู่ 1 โพรงมะเดื่อ เมืองนครปฐม นครปฐม 73000</t>
  </si>
  <si>
    <t>JA158311168TH</t>
  </si>
  <si>
    <t>ญาธิป</t>
  </si>
  <si>
    <t>0613939654</t>
  </si>
  <si>
    <t>228/15หมู่บ้านวิรัณยากิ่งแก้ว-สุวรรณภูมิ ซอยกิ่งแก้ว29 ถ.กิ่งแก้ว ราชาเทวะ บางพลี สมุทรปราการ 10540</t>
  </si>
  <si>
    <t>JB172080641TH</t>
  </si>
  <si>
    <t>วลัยพร</t>
  </si>
  <si>
    <t>0894899989</t>
  </si>
  <si>
    <t>299/18 ซอย5 หมู่บ้านแกรนด์ บางกอกบูเลอวาร์ด ราชพฤกษ์ พระรามห้า ถ.นครอินทร์ บางขุนกอง บางกรวย นนทบุรี 11130</t>
  </si>
  <si>
    <t>JA158311154TH</t>
  </si>
  <si>
    <t xml:space="preserve">สุดารัตน์ ตึ๋งโต </t>
  </si>
  <si>
    <t>0891181487</t>
  </si>
  <si>
    <t>125/271ม.5 ปากเกร็ด ปากเกร็ด นนทบุรี 11120</t>
  </si>
  <si>
    <t>JB172080638TH</t>
  </si>
  <si>
    <t>JB172080624TH</t>
  </si>
  <si>
    <t>JB172080615TH</t>
  </si>
  <si>
    <t>อัจจิมา มีธรรม</t>
  </si>
  <si>
    <t>0956635153</t>
  </si>
  <si>
    <t>145 ม.3 สระแก้ว พนมไพร ร้อยเอ็ด 45140</t>
  </si>
  <si>
    <t>JA158311137TH</t>
  </si>
  <si>
    <t>มณีรัตน์ ศรีนาคงาม</t>
  </si>
  <si>
    <t>0918357271</t>
  </si>
  <si>
    <t>214 หมู่ 14 ต.บ้านเขว้า อ.บ้านเขว้า จ.ชัยภูมิ บ้านเขว้า บ้านเขว้า ชัยภูมิ 36170</t>
  </si>
  <si>
    <t>JB172080607TH</t>
  </si>
  <si>
    <t>Nirawan Kotchaluk</t>
  </si>
  <si>
    <t>0910250605</t>
  </si>
  <si>
    <t>ร้านทองดีการเกษตร 19/3 หมู่5 ยางซ้าย เมืองสุโขทัย สุโขทัย 64000</t>
  </si>
  <si>
    <t>JB172080598TH</t>
  </si>
  <si>
    <t xml:space="preserve">สุชาดา มโนรถประดิษฐ </t>
  </si>
  <si>
    <t>0993154994</t>
  </si>
  <si>
    <t>115/141 ซ.ประสานมิตร8 ม.8 เขารูปช้าง เมืองสงขลา สงขลา 90000</t>
  </si>
  <si>
    <t>JB172080584TH</t>
  </si>
  <si>
    <t>อรุณรัตน์ ทองเสนา</t>
  </si>
  <si>
    <t>0952948702</t>
  </si>
  <si>
    <t>10/12 ซอยลาดปลาเค้า78 อนุสาวรีย์ บางเขน กรุงเทพ 10220</t>
  </si>
  <si>
    <t>JA158311097TH</t>
  </si>
  <si>
    <t>กุลนิฐมหาราช</t>
  </si>
  <si>
    <t>0896136179</t>
  </si>
  <si>
    <t xml:space="preserve"> 20/2เทศบาล1ซ3ปากเพียวเมืองสระบุรี ปากเพรียว เมืองสระบุรี สระบุรี 18000</t>
  </si>
  <si>
    <t>JB172080575TH</t>
  </si>
  <si>
    <t xml:space="preserve">สุดา กตาธิกรณ์ </t>
  </si>
  <si>
    <t>0623987276</t>
  </si>
  <si>
    <t>37/23 ซ.เย็นจิต6 เข้าซอยเจอสี่แยกเลี้ยวขวา บ้านหลังที่4ขวามือ ถ.จันทร์ ทุ่งวัดดอน สาทร กรุงเทพ 10120</t>
  </si>
  <si>
    <t>JA158311083TH</t>
  </si>
  <si>
    <t>ปาริสา ลิ้มศิลา</t>
  </si>
  <si>
    <t>0968953642</t>
  </si>
  <si>
    <t>61/2หมู่8 ปากน้ำ เมืองชุมพร ชุมพร 86120</t>
  </si>
  <si>
    <t>JB172080567TH</t>
  </si>
  <si>
    <t xml:space="preserve">เกวลิน ใจอารีย์ </t>
  </si>
  <si>
    <t>0985021586</t>
  </si>
  <si>
    <t>20/4 ม.3 พระแท่น ท่ามะกา กาญจนบุรี 71130</t>
  </si>
  <si>
    <t>JA158311070TH</t>
  </si>
  <si>
    <t>คุณรุ่งกาญจน์ จันทรกิตติกุล</t>
  </si>
  <si>
    <t>0861818700</t>
  </si>
  <si>
    <t>80 หมู่2 เวียง เชียงของ เชียงราย 57140</t>
  </si>
  <si>
    <t>JA158311066TH</t>
  </si>
  <si>
    <t>ชิตภณนันทยศกาน</t>
  </si>
  <si>
    <t>0819376965</t>
  </si>
  <si>
    <t>259หมู่อยู่เจริญซอยอินทามระ41ถนนสุทธิสาร ดินแดง ดินแดง กรุงเทพ 10400</t>
  </si>
  <si>
    <t>JB172080553TH</t>
  </si>
  <si>
    <t>JA158311052TH</t>
  </si>
  <si>
    <t>หนูเผือก กาทอง</t>
  </si>
  <si>
    <t>0944824280</t>
  </si>
  <si>
    <t>โรงบาลสินแพทย์เทพารักษ์ เทพารักษ์ เมืองสมุทรปราการ สมุทรปราการ 10270</t>
  </si>
  <si>
    <t>JB172080540TH</t>
  </si>
  <si>
    <t>นิพาพร ทุมโนน้อย</t>
  </si>
  <si>
    <t>0620073641</t>
  </si>
  <si>
    <t>71/7สุรัตพัฒการทอ จ สมุทสาคร, ท่าไม้ กระทุ่มแบน, สมทสาคร ท่าไม้ กระทุ่มแบน สมุทรสาคร 74110</t>
  </si>
  <si>
    <t>JB172080536TH</t>
  </si>
  <si>
    <t xml:space="preserve">นางเต็มสิน บริกุล </t>
  </si>
  <si>
    <t>0806838701</t>
  </si>
  <si>
    <t>21 ม.10 ดอนตาล ดอนตาล มุกดาหาร 49120</t>
  </si>
  <si>
    <t>JA158311049TH</t>
  </si>
  <si>
    <t>พระสมปอง ภิรมย์สุภาพ</t>
  </si>
  <si>
    <t>0639985540</t>
  </si>
  <si>
    <t xml:space="preserve"> วัดเสาธงนอก 21 ม. 6 บางเสาธง บางเสาธง สมุทรปราการ 10570</t>
  </si>
  <si>
    <t>JA158311035TH</t>
  </si>
  <si>
    <t>ฉันทนา กุศลทัต</t>
  </si>
  <si>
    <t>0834229222</t>
  </si>
  <si>
    <t>104/61 ซ 5 หมู่บ้านไอ-ดีไซน์ ถนนเลียบคลองสอง บางชัน คลองสามวา กรุงเทพ 10510</t>
  </si>
  <si>
    <t>JB172080522TH</t>
  </si>
  <si>
    <t xml:space="preserve">วงสถิตย์ นุกูลสุขศิริ </t>
  </si>
  <si>
    <t>0922593657</t>
  </si>
  <si>
    <t>20/1 ซอยประวิทย์และเพื่อน ถนนประชาชื่น ลาดยาว จตุจักร กรุงเทพ 10900</t>
  </si>
  <si>
    <t>JA158311021TH</t>
  </si>
  <si>
    <t>สมศรี สุขสมกิจ</t>
  </si>
  <si>
    <t>0859932176</t>
  </si>
  <si>
    <t xml:space="preserve"> 858/4 ม.2 ซ.สำโรงเหนือ14 สำโรงเหนือ เมืองสมุทรปราการ สมุทรปราการ 10270</t>
  </si>
  <si>
    <t>JA158311018TH</t>
  </si>
  <si>
    <t>JA158311004TH</t>
  </si>
  <si>
    <t>กิ่งกาญจน์ ชูสกุลพัฒนา</t>
  </si>
  <si>
    <t>0850329843</t>
  </si>
  <si>
    <t xml:space="preserve"> หจกใกอสะเลียมคอนกรีต 24ม.8 บวกค้าง สันกำแพง เชียงใหม่ 50130</t>
  </si>
  <si>
    <t>JB172080519TH</t>
  </si>
  <si>
    <t>พี่เอ้ สุดารัตน์ โพธิ์มา ชูแก้ว</t>
  </si>
  <si>
    <t>0899887931</t>
  </si>
  <si>
    <t>127 ประชาอุทิศ 76 ทุ่งครุ ทุ่งครุ กรุงเทพ 10140</t>
  </si>
  <si>
    <t>JA158310998TH</t>
  </si>
  <si>
    <t>ฝน</t>
  </si>
  <si>
    <t>0948036189</t>
  </si>
  <si>
    <t>68 ซ.3 ถ.ราษฎร์ยินดี หาดใหญ่ หาดใหญ่ สงขลา 90110</t>
  </si>
  <si>
    <t>JB172080505TH</t>
  </si>
  <si>
    <t>งวน.ยองใย</t>
  </si>
  <si>
    <t>0892339990</t>
  </si>
  <si>
    <t>99/873ม.พาร์คเวย์โฮมซ.ในหมู่ม.C1ถ. ราษฎร์พัฒนาซ. ราษฎร์พัฒนา 22 สะพานสูง สะพานสูง กรุงเทพ 10240</t>
  </si>
  <si>
    <t>JA158310984TH</t>
  </si>
  <si>
    <t>Onnida wuttiputtranon</t>
  </si>
  <si>
    <t>0802960691</t>
  </si>
  <si>
    <t>6/391. หมู่บ้านราชพฤกษ์ 1 หมู่ 6 คลองหลวง คลอง3 จ.ปทุมธานี คลองสาม คลองหลวง ปทุมธานี 12120</t>
  </si>
  <si>
    <t>JA158310975TH</t>
  </si>
  <si>
    <t>จารุณี เรืองชาญ</t>
  </si>
  <si>
    <t>0858036172</t>
  </si>
  <si>
    <t>5/30ถ.วงค์คำพา มุกดาหาร เมืองมุกดาหาร มุกดาหาร 49000</t>
  </si>
  <si>
    <t>JB172080496TH</t>
  </si>
  <si>
    <t>วัชรี กวีปกรณ์</t>
  </si>
  <si>
    <t>0816987010</t>
  </si>
  <si>
    <t xml:space="preserve"> สถานธนานุบาลเทศบาลตำบลขุนหาญ 98 ม.6 สิ ขุนหาญ ศรีสะเกษ 33150</t>
  </si>
  <si>
    <t>JB172080482TH</t>
  </si>
  <si>
    <t>อ้อยใจ ยืนยง</t>
  </si>
  <si>
    <t>0837248527</t>
  </si>
  <si>
    <t>สถานธนานุบาลเทศบาลเมืองสีคิ้ว 888 หมู่ 16 สีคิ้ว สีคิ้ว นครราชสีมา 30140</t>
  </si>
  <si>
    <t>JB172080479TH</t>
  </si>
  <si>
    <t>คุณหยกนภา อุดมเดช</t>
  </si>
  <si>
    <t>0935398528</t>
  </si>
  <si>
    <t xml:space="preserve"> สถานธนานุบาลเทศบาลเมืองอำนาจเจริญ 949 หมู่ 1 ถนนอรุณประเสริฐ บุ่ง เมืองอำนาจเจริญ อำนาจเจริญ 37000</t>
  </si>
  <si>
    <t>JA158310922TH</t>
  </si>
  <si>
    <t>เกตุ</t>
  </si>
  <si>
    <t>0800021204</t>
  </si>
  <si>
    <t>188ม.5 คำโตนด ประจันตคาม ปราจีนบุรี 25130</t>
  </si>
  <si>
    <t>JA158310905TH</t>
  </si>
  <si>
    <t>ยุพเยาว์เมืองภักดี</t>
  </si>
  <si>
    <t>0623741824</t>
  </si>
  <si>
    <t>ร้านอาหารครัวเม็ดทราย 27/14ถนนคลองเธียร-ตชะอำ-อชะอำ-จเพชรบุรียุพเยาว์เมืองภักดี ชะอำ ชะอำ เพชรบุรี 76120</t>
  </si>
  <si>
    <t>JA158310882TH</t>
  </si>
  <si>
    <t>โชค วัฒนานนท์</t>
  </si>
  <si>
    <t>0948317227</t>
  </si>
  <si>
    <t>124/6-7 หมู่ที่ 2 ด่านขุนทด ด่านขุนทด นครราชสีมา 30210</t>
  </si>
  <si>
    <t>JB172080465TH</t>
  </si>
  <si>
    <t>จำเริญ จิตมั่น</t>
  </si>
  <si>
    <t>0898081934</t>
  </si>
  <si>
    <t>29/10 ม.8 บ้านธนาธร บึง ศรีราชา ชลบุรี บึง ศรีราชา ชลบุรี 20230</t>
  </si>
  <si>
    <t>JA158310851TH</t>
  </si>
  <si>
    <t>น้อย</t>
  </si>
  <si>
    <t>0929176943</t>
  </si>
  <si>
    <t>169/2 ม.11 ห้วยขวาง กำแพงแสน นครปฐม 73140</t>
  </si>
  <si>
    <t>JA158682552TH</t>
  </si>
  <si>
    <t>ถิรนันท์ จันทราภิรมย์</t>
  </si>
  <si>
    <t>0655310342</t>
  </si>
  <si>
    <t xml:space="preserve"> 90/1ม.5 ไผ่จำศีล วิเศษชัยชาญ อ่างทอง 14110</t>
  </si>
  <si>
    <t>JB172209082TH</t>
  </si>
  <si>
    <t>พรนรินทร์ จุติพงษ์รักษา</t>
  </si>
  <si>
    <t>0817272384</t>
  </si>
  <si>
    <t>80/1 ม.5 ป่าพุทรา ขาณุวรลักษบุรี กำแพงเพชร 62130</t>
  </si>
  <si>
    <t>JA158682549TH</t>
  </si>
  <si>
    <t>ฉัตรชบา กางอินทร์เดช</t>
  </si>
  <si>
    <t>0972263799</t>
  </si>
  <si>
    <t>49 ม.22 ศรีสุข กันทรวิชัย มหาสารคาม 44150</t>
  </si>
  <si>
    <t>JA158682535TH</t>
  </si>
  <si>
    <t>จันทร์เพ็ญ</t>
  </si>
  <si>
    <t>0845343278</t>
  </si>
  <si>
    <t>9/122_กล่อมพิรุณ_แพรกษาใหม่_เมือง_สุมทร์ปราการ แพรกษาใหม่ เมืองสมุทรปราการ สมุทรปราการ 10280</t>
  </si>
  <si>
    <t>JB172209051TH</t>
  </si>
  <si>
    <t>นายธนากร ทองหล่อ</t>
  </si>
  <si>
    <t>0850459415</t>
  </si>
  <si>
    <t>หมู่ที2โรงแรม บ้านหาดงาม บ่อผุด เกาะสมุย สุราษฎร์ธานี 84320</t>
  </si>
  <si>
    <t>JB172209048TH</t>
  </si>
  <si>
    <t xml:space="preserve">อภินันท์ เตชะเสน </t>
  </si>
  <si>
    <t>0869998083</t>
  </si>
  <si>
    <t>1871 ศูนย์บริการโลหิต แห่งชาติ สภากาชาดไทย ถนนอังรีดูนังต์ ปทุมวัน ปทุมวัน กรุงเทพ 10330</t>
  </si>
  <si>
    <t>JA158682521TH</t>
  </si>
  <si>
    <t>สุภาพร แววดี</t>
  </si>
  <si>
    <t>0866177310</t>
  </si>
  <si>
    <t>86/177หมู่2 ซ.เพิ่มสุข บางคูเวียง บางกรวย นนทบุรี 11130</t>
  </si>
  <si>
    <t>JB172209025TH</t>
  </si>
  <si>
    <t>ณัฐธิดา</t>
  </si>
  <si>
    <t>0898952544</t>
  </si>
  <si>
    <t>50 ซอยรามคำแหง 118 แยก 35 ถนนสุขาภิบาล 3 สะพานสูง สะพานสูง กรุงเทพ 10240</t>
  </si>
  <si>
    <t>JA158682518TH</t>
  </si>
  <si>
    <t>นภษร</t>
  </si>
  <si>
    <t>0869089402</t>
  </si>
  <si>
    <t>20 หมู่6 ต.โรงช้าง โรงช้าง ป่าโมก อ่างทอง 14130</t>
  </si>
  <si>
    <t>JB172209003TH</t>
  </si>
  <si>
    <t>อรทัย สวนสุขา</t>
  </si>
  <si>
    <t>0898853671</t>
  </si>
  <si>
    <t xml:space="preserve"> 9 ม 6ขอบคุณนะคะที่ทำขนมอร่อยๆมาให้ลูกค้าได้รับประทาน ซับสมอทอด บึงสามพัน เพชรบูรณ์ 67160</t>
  </si>
  <si>
    <t>JB172208997TH</t>
  </si>
  <si>
    <t>นทหญิง พัชรินทร์ พัวรักษา</t>
  </si>
  <si>
    <t>0898819657</t>
  </si>
  <si>
    <t>27หมู่7 บางช้าง สามพราน นครปฐม 73110</t>
  </si>
  <si>
    <t>JA158682504TH</t>
  </si>
  <si>
    <t>นิติกาญจน์ รัตน์ธรรมพัฒนา</t>
  </si>
  <si>
    <t>0863346078</t>
  </si>
  <si>
    <t>สถานที่ สินค้า 906/68138  หรือ 134 หมู่บ้านมหาสินซอย 2 ซอยวชิรธรรมสาธิต  26 ถนนสุขุมวิท 101/1 บางนา บางนา กรุงเทพ 10260</t>
  </si>
  <si>
    <t>JA158682495TH</t>
  </si>
  <si>
    <t>บ้านป้ารักษ</t>
  </si>
  <si>
    <t>0892916732</t>
  </si>
  <si>
    <t xml:space="preserve"> 127/79หมู่1 ปากน้ำ เมืองระนอง ระนอง 85000</t>
  </si>
  <si>
    <t>JA158682481TH</t>
  </si>
  <si>
    <t xml:space="preserve">สินีนาฎ </t>
  </si>
  <si>
    <t>0847531430</t>
  </si>
  <si>
    <t>385 หมู่7 วังก์พง ปราณบุรี ประจวบคีรีขันธ์ 77120</t>
  </si>
  <si>
    <t>JB172208970TH</t>
  </si>
  <si>
    <t>ฐิตารัตน์ อุดมไชยพิทักษ์</t>
  </si>
  <si>
    <t>0612463885</t>
  </si>
  <si>
    <t>14/4 ม.3ร้านเตียงค้าถังตรงข้ามทางออกห้างโลตัส วังไผ่ เมืองชุมพร ชุมพร 86000</t>
  </si>
  <si>
    <t>JA158682478TH</t>
  </si>
  <si>
    <t xml:space="preserve">นู๋ น้องเล็ก เซวฟี่ </t>
  </si>
  <si>
    <t>0926803979</t>
  </si>
  <si>
    <t>145145 พระยาสุเรนทร์ 21 บางชัน คลองสามวา กรุงเทพ 10510</t>
  </si>
  <si>
    <t>JB172208966TH</t>
  </si>
  <si>
    <t>ขนิษฐา ไชวิเศษ</t>
  </si>
  <si>
    <t>0815491845</t>
  </si>
  <si>
    <t>25 ซ.สะแกงาม 21 แสมดำ บางขุนเทียน กรุงเทพ 10150</t>
  </si>
  <si>
    <t>JA158682455TH</t>
  </si>
  <si>
    <t>นาถลัดดา พิกุลศรี</t>
  </si>
  <si>
    <t>0623985696</t>
  </si>
  <si>
    <t>47/137 Theplant พหลโยธิน-รังสิตหมู่16 คลองหนึ่ง คลองหลวง ปทุมธานี 12120</t>
  </si>
  <si>
    <t>JA158682447TH</t>
  </si>
  <si>
    <t>สมิทธิ เรืองสวัสดิ์</t>
  </si>
  <si>
    <t>0927867463</t>
  </si>
  <si>
    <t>156 หมู่ 4 บ้านตะแบก สลักได เมืองสุรินทร์ สุรินทร์ 32000</t>
  </si>
  <si>
    <t>JB172208952TH</t>
  </si>
  <si>
    <t>สาวณีย์ นาคพินิจ</t>
  </si>
  <si>
    <t>JB172208949TH</t>
  </si>
  <si>
    <t>ณัชชา จันทร์นิ่ม</t>
  </si>
  <si>
    <t>0813700166</t>
  </si>
  <si>
    <t>9/3 ม 1 ทรายขาว หัวไทร นครศรีธรรมราช 80170</t>
  </si>
  <si>
    <t>JA158682433TH</t>
  </si>
  <si>
    <t>ดวงใจ มังครัตน์</t>
  </si>
  <si>
    <t>0956917192</t>
  </si>
  <si>
    <t>217สุขสวัสดิ์11 แมนชั่นA306 ซ.สุขสวัสดิ์11 ถ.สุขสวัสดิ์ บางปะกอก ราษฎร์บูรณะ กรุงเทพ 10140</t>
  </si>
  <si>
    <t>JA158682420TH</t>
  </si>
  <si>
    <t>ภารดี ชิณพรม</t>
  </si>
  <si>
    <t>0812513496</t>
  </si>
  <si>
    <t xml:space="preserve"> 97ม.3ต.วังน้ำเขียว อ.กำแพงแสน จ.นครปฐม วังน้ำเขียว กำแพงแสน นครปฐม 73140</t>
  </si>
  <si>
    <t>JA158682416TH</t>
  </si>
  <si>
    <t xml:space="preserve">นสเกษวรี วิสุทธิสิงห์ </t>
  </si>
  <si>
    <t>0909705874</t>
  </si>
  <si>
    <t>150/461 หมู่บ้านหรรษา ซอย 5เพชรเกษม 93 อ้อมน้อย กระทุ่มแบน สมุทรสาคร 74130</t>
  </si>
  <si>
    <t>JB172208935TH</t>
  </si>
  <si>
    <t>คุณเจริญ สุขวัฒน์</t>
  </si>
  <si>
    <t>0819270968</t>
  </si>
  <si>
    <t>11/187 มบ.เกศรินวิลเลจซ5 ซอยเอกชัย 119 ถนนเอกชัย บางบอนใต้ บางบอน กรุงเทพ 10150</t>
  </si>
  <si>
    <t>JA158682402TH</t>
  </si>
  <si>
    <t>บุศรา พรหมนุรักษ์</t>
  </si>
  <si>
    <t>0827924836</t>
  </si>
  <si>
    <t>13/1 อินทามระ39 แยก3 รัชดาภิเษก ดินแดง กรุงเทพ 10400</t>
  </si>
  <si>
    <t>JB172208921TH</t>
  </si>
  <si>
    <t xml:space="preserve"> 349/17 ม.3 โพธิ์พระยา เมืองฯ, สุพรรณบุรี โพธิ์พระยา เมืองสุพรรณบุรี สุพรรณบุรี 72000</t>
  </si>
  <si>
    <t>JA158682380TH</t>
  </si>
  <si>
    <t xml:space="preserve">คุณทยา สุนทราชัย  </t>
  </si>
  <si>
    <t>0814884138</t>
  </si>
  <si>
    <t>24 ลาดปลาเค้า 50 แขวงจรเข้บัว เขตลาดพร้าว กทม 38 จรเข้บัว ลาดพร้าว กรุงเทพ 10230</t>
  </si>
  <si>
    <t>JA158695335TH</t>
  </si>
  <si>
    <t>Nok Nongnuch</t>
  </si>
  <si>
    <t>0927761571</t>
  </si>
  <si>
    <t>1/2 ม.5 บางตาหงาย บรรพตพิสัย นครสวรรค์ 60180</t>
  </si>
  <si>
    <t>0818717454</t>
  </si>
  <si>
    <t>ร้านถนอมรุ่งเรืองค้าข้าว 16/2 ถ.ทัศนปทุม เมืองนครพนม ในเมือง นครพนม Thailand</t>
  </si>
  <si>
    <t>อีฟ</t>
  </si>
  <si>
    <t>0948913728</t>
  </si>
  <si>
    <t>ร้านน้ำสีชมพู หน้าโรงเรียนหุบกะพง 71/1 หมู่8 เขาใหญ่ ชะอำ เพชรบุรี 76120</t>
  </si>
  <si>
    <t>JB172332725TH</t>
  </si>
  <si>
    <t>พิชชานันท์</t>
  </si>
  <si>
    <t>0648512692</t>
  </si>
  <si>
    <t>ศูนย์ปฏิบัติธรรมแก่งตะวันแก้ว บ้านนาแกน้อย เลขที่56หมู่10 ป่งขาม หว้านใหญ่ มุกดาหาร 49150</t>
  </si>
  <si>
    <t>JB172332711TH</t>
  </si>
  <si>
    <t>สุจินตนา จันทร์แก้ว</t>
  </si>
  <si>
    <t>0936466322</t>
  </si>
  <si>
    <t xml:space="preserve"> 3 หมู่ 6 ถ.ซุ่นหลีอุทิศ หินตก ร่อนพิบูลย์ นครศรีธรรมราช 80350</t>
  </si>
  <si>
    <t>JB172332708TH</t>
  </si>
  <si>
    <t xml:space="preserve">สุวรรณา จี้อุ่น  </t>
  </si>
  <si>
    <t>0988988162</t>
  </si>
  <si>
    <t>78/3 ม.5 เขาชะงุ้ม โพธาราม ราชบุรี 70120</t>
  </si>
  <si>
    <t>JB172332699TH</t>
  </si>
  <si>
    <t>มลิวัลย์ มาศรีนวล</t>
  </si>
  <si>
    <t>0818345769</t>
  </si>
  <si>
    <t>158แยก118/6 ซอยเสนา42 ถนนเสนานิคม ลาดพร้าว ลาดพร้าว กรุงเทพ 10230</t>
  </si>
  <si>
    <t>JB172332685TH</t>
  </si>
  <si>
    <t>นางอมรรัตร์ เถื่อนเมือง</t>
  </si>
  <si>
    <t>0657598474</t>
  </si>
  <si>
    <t>886/312 ซอย4 หมู่บ้านพาทิโอ ถนนหลวงแพ่ง ทับยาว ลาดกระบัง กรุงเทพ 10520</t>
  </si>
  <si>
    <t>0986169256</t>
  </si>
  <si>
    <t>82 ม.6 บึงบา หนองเสือ ปทุมธานี 12170</t>
  </si>
  <si>
    <t>JB172332668TH</t>
  </si>
  <si>
    <t>เกวลิน ใจอารีย์</t>
  </si>
  <si>
    <t>JB172332654TH</t>
  </si>
  <si>
    <t>สุพินดา</t>
  </si>
  <si>
    <t>0624580592</t>
  </si>
  <si>
    <t>197 ม.1 นิคมคำสร้อย นิคมคำสร้อย มุกดาหาร 49130</t>
  </si>
  <si>
    <t>JA159041921TH</t>
  </si>
  <si>
    <t>0988016592</t>
  </si>
  <si>
    <t xml:space="preserve"> คอนโดฌ็องเซลิเซ่, ติวานนท์ ศรีสมาน, เลขที่ 307/726, อาคาร D ชั้น 7 ปากเกร็ด ปากเกร็ด นนทบุรี 11120</t>
  </si>
  <si>
    <t>JB172332637TH</t>
  </si>
  <si>
    <t xml:space="preserve">อัครินทร์ ภัทรภาสินพรชัย  </t>
  </si>
  <si>
    <t>0815517068</t>
  </si>
  <si>
    <t xml:space="preserve"> บริษัท เมืองทองซอสเซจ จำกัด 16ซอยราษฎร์บูรณะ4 กนน ราษฎร์บูรณะ บางปะกอก ราษฎร์บูรณะ กรุงเทพ 10140</t>
  </si>
  <si>
    <t>JB172406913TH</t>
  </si>
  <si>
    <t>คุณจรรยาพร ผู้จัดการแผนก ตรวจรับสินค้า</t>
  </si>
  <si>
    <t>0810062365</t>
  </si>
  <si>
    <t xml:space="preserve"> บริษัท เซ็นทรัล ฟู้ด รีเทล จำกัด สาขาเอฟดีรี. เลขที่ 8/5,8/6,8/7 หมู่ที่ 3740000 โทร.  แผนกGR บางกระเจ้า เมืองสมุทรสาคร สมุทรสาคร 74000</t>
  </si>
  <si>
    <t>JB172332739TH</t>
  </si>
  <si>
    <t>ศิรินาถ สาสาย</t>
  </si>
  <si>
    <t>0955399822</t>
  </si>
  <si>
    <t>บริษัท DP Success กระจกฟิล์มสีดำ 66/38 หมู่บ้านพฤกษา30 ซอย6 หมู่5 ถนนบ้านกล้วย-ไทรน้อย พิมลราช บางบัวทอง นนทบุรี 11110</t>
  </si>
  <si>
    <t>JA159041983TH</t>
  </si>
  <si>
    <t>หทัยกานต์</t>
  </si>
  <si>
    <t>0970194152</t>
  </si>
  <si>
    <t>4/34 ซอยอิสรภาพ39 ถนนอิสรภาพ บ้านช่างหล่อ บางกอกน้อย กรุงเทพ 10700</t>
  </si>
  <si>
    <t>0990524584</t>
  </si>
  <si>
    <t>27/6 หมู่7 สำโรงใต้ พระประแดง สมุทรปราการ 10130</t>
  </si>
  <si>
    <t>JB172458840TH</t>
  </si>
  <si>
    <t>Amp Pispengณัฐกฤตา พิศเพ็ง 1</t>
  </si>
  <si>
    <t>0624687962</t>
  </si>
  <si>
    <t xml:space="preserve"> 135/4123กองบิน5 เกาะหลัก เมือง ประจวบคีรีขันธ์ Thailand เกาะหลัก เมืองประจวบคีรีขันธ์ ประจวบคีรีขันธ์ 77000</t>
  </si>
  <si>
    <t>JB172458867TH</t>
  </si>
  <si>
    <t>Amp Pispengณัฐกฤตา พิศเพ็ง 2</t>
  </si>
  <si>
    <t>135/4123กองบิน5 เกาะหลัก เมือง ประจวบคีรีขันธ์ Thailand เกาะหลัก เมืองประจวบคีรีขันธ์ ประจวบคีรีขันธ์ 77000</t>
  </si>
  <si>
    <t>JA159399872TH</t>
  </si>
  <si>
    <t>เพ็ญนภา</t>
  </si>
  <si>
    <t>0982525668</t>
  </si>
  <si>
    <t>26/1ซอยเจริญพัฒนา9 บางชัน คลองสามวา กรุงเทพ 10510</t>
  </si>
  <si>
    <t>JB172458884TH</t>
  </si>
  <si>
    <t>ศศิธร เชียงอินทร์</t>
  </si>
  <si>
    <t>0892260735</t>
  </si>
  <si>
    <t>28/9 หมู่ 6 ซ.น้ำพุ2 สี่ร้อย วิเศษชัยชาญ อ่างทอง 14110</t>
  </si>
  <si>
    <t>JA159399886TH</t>
  </si>
  <si>
    <t>ธัญวลัย บุญปลอด</t>
  </si>
  <si>
    <t>0958546155</t>
  </si>
  <si>
    <t>72/1 ม.8 บางคูวัด เมืองปทุมธานี ปทุมธานี 12000</t>
  </si>
  <si>
    <t>JB172458907TH</t>
  </si>
  <si>
    <t xml:space="preserve">อำไพ แสนคำ </t>
  </si>
  <si>
    <t>JB172507996TH</t>
  </si>
  <si>
    <t>คุณคมกริช ศรีสุวรรณ</t>
  </si>
  <si>
    <t>28 ถนน รังษีเกษม ในเวียง เมืองน่าน น่าน 55000</t>
  </si>
  <si>
    <t xml:space="preserve">โอภาส เที่ยงกระโทก </t>
  </si>
  <si>
    <t>0844770667</t>
  </si>
  <si>
    <t>101 ม.8 ท่าจะหลุง โชคชัย นครราชสีมา 30190</t>
  </si>
  <si>
    <t xml:space="preserve">ตุ๊กตา หมูบ้านเบททาง </t>
  </si>
  <si>
    <t>0888816551</t>
  </si>
  <si>
    <t>168/145. กรุงเทพปทุม ม.1ถ ปทุมสายใน บางขะแยง เมืองปทุมธานี ปทุมธานี 12000</t>
  </si>
  <si>
    <t>0806308464</t>
  </si>
  <si>
    <t>51/176ม.3 รั้วใหญ่ เมืองสุพรรณบุรี สุพรรณบุรี 72000</t>
  </si>
  <si>
    <t>เฉลิมโชค</t>
  </si>
  <si>
    <t>0818602390</t>
  </si>
  <si>
    <t xml:space="preserve"> 299/28 ซ.เคหะร่มเกล้า 33 คลองสองต้นนุ่น ลาดกระบัง กรุงเทพ 10520</t>
  </si>
  <si>
    <t>0830177108</t>
  </si>
  <si>
    <t>79 ม.6 บ้านไร่งาม หมากหญ้า หนองวัวซอ อุดรธานี 41360</t>
  </si>
  <si>
    <t>คุณฟ้าลดา</t>
  </si>
  <si>
    <t>0887853546</t>
  </si>
  <si>
    <t>6/2 หมู่ 5 บ้านมาบประชัน โป่ง บางละมุง ชลบุรี 20150</t>
  </si>
  <si>
    <t>JB172716963TH</t>
  </si>
  <si>
    <t xml:space="preserve">บริษัท บาราบี บิวตี้ จำกัด </t>
  </si>
  <si>
    <t>19/1 ซ.ประชาราษฎ์1 ตลาดขวัญ เมืองนนทบุรี นนทบุรี 11000</t>
  </si>
  <si>
    <t>JB172716985TH</t>
  </si>
  <si>
    <t>หมู่บ้านศิวาลัยเวลโกร 98/93 หมู่ที่3 พิมพา บางปะกง ฉะเชิงเทรา 24180</t>
  </si>
  <si>
    <t>JB172717005TH</t>
  </si>
  <si>
    <t xml:space="preserve">บมจ.สยาม เทคนิคคอนกรีต </t>
  </si>
  <si>
    <t>JB172717028TH</t>
  </si>
  <si>
    <t>บริษัท 12โก(ไทยแลนด์)จำกัด</t>
  </si>
  <si>
    <t>1818 อาคารรสาทู ชั้นที่12 ห้องเลขที่ 1205-1206 ถนนเพชรบุรี มักกะสัน ราชเทวี กรุงเทพ 10400</t>
  </si>
  <si>
    <t>0847724007</t>
  </si>
  <si>
    <t>51 หมู่ 11 บ้านกุดพันเขียว หัวเมือง มหาชนะชัย ยโสธร 35130</t>
  </si>
  <si>
    <t>จริยา หนูขวัญ</t>
  </si>
  <si>
    <t>0883819068</t>
  </si>
  <si>
    <t>61/1 ม.4 ทรัพย์อนันต์ ท่าแซะ ชุมพร 86140</t>
  </si>
  <si>
    <t>0962246963</t>
  </si>
  <si>
    <t>2790/121 thru thonglor ถนนเพชรบุรีตัดใหม่ บางกะปิ ห้วยขวาง กรุงเทพ 10310</t>
  </si>
  <si>
    <t>สุวพร ศรีสุระ</t>
  </si>
  <si>
    <t>0819297930</t>
  </si>
  <si>
    <t>99/301 ม.ธารารมณ์ ซ.C16/24 ถ.รามคำแหง 150 ราษฎร์พัฒนา สะพานสูง กรุงเทพ 10240</t>
  </si>
  <si>
    <t>JB172741044TH</t>
  </si>
  <si>
    <t>คุณสุกัญญา แก้วไชย</t>
  </si>
  <si>
    <t>0878340811</t>
  </si>
  <si>
    <t>91 หมู่ 1 น้ำพ่น หนองวัวซอ อุดรธานี 41360</t>
  </si>
  <si>
    <t>0846840711</t>
  </si>
  <si>
    <t xml:space="preserve"> 99/8 หมู่23 บ้านคำไฮ บ้านเป็ด เมืองขอนแก่น ขอนแก่น 40000</t>
  </si>
  <si>
    <t>ศิริรัตน์</t>
  </si>
  <si>
    <t>0949525296</t>
  </si>
  <si>
    <t>บ้านเลขที่59 ม.2 ธาตุทอง บ่อทอง ชลบุรี 20270</t>
  </si>
  <si>
    <t>JB172847147TH</t>
  </si>
  <si>
    <t>นางพิศมัย สุวรรณจุณีย์</t>
  </si>
  <si>
    <t>0813685439</t>
  </si>
  <si>
    <t>8 ซ.อิงกมล 10 หมู่บ้านอิงกมลสนามบินถนน หาดใหญ่-สนามบิน ควนลัง หาดใหญ่ สงขลา 90110</t>
  </si>
  <si>
    <t>วนิศรา ลาภินี</t>
  </si>
  <si>
    <t>0910523293</t>
  </si>
  <si>
    <t>420 ม.3 รอบเมือง เมืองร้อยเอ็ด ร้อยเอ็ด 45000</t>
  </si>
  <si>
    <t>JB172928543TH</t>
  </si>
  <si>
    <t>148/521 ซอยรามคำแหง 190 มีนบุรี มีนบุรี มีนบุรี มีนบุรี กรุงเทพ 10510</t>
  </si>
  <si>
    <t>ETI39</t>
  </si>
  <si>
    <t>ปวีณา ควรแย้ม</t>
  </si>
  <si>
    <t>ร้านมะพร้าวมั๊ย</t>
  </si>
  <si>
    <t>02/02/2025 13:48</t>
  </si>
  <si>
    <t>JB173480597TH</t>
  </si>
  <si>
    <t>ETJ18</t>
  </si>
  <si>
    <t>03/02/2025 13:01</t>
  </si>
  <si>
    <t>JB173643012TH</t>
  </si>
  <si>
    <t>ETJ44</t>
  </si>
  <si>
    <t>ภัทรพร จันทรสิทธิผล</t>
  </si>
  <si>
    <t>03/02/2025 16:18</t>
  </si>
  <si>
    <t>JB173643074TH</t>
  </si>
  <si>
    <t>ETJ76</t>
  </si>
  <si>
    <t>บุษบา</t>
  </si>
  <si>
    <t>04/02/2025 13:47</t>
  </si>
  <si>
    <t>JB173800835TH</t>
  </si>
  <si>
    <t>ETK47</t>
  </si>
  <si>
    <t>นางสาวศิริกัญญา  วิริยะเศรษฐ์กุล</t>
  </si>
  <si>
    <t>KruBum Bim</t>
  </si>
  <si>
    <t>05/02/2025 14:27</t>
  </si>
  <si>
    <t>JB173937820TH</t>
  </si>
  <si>
    <t>ETL54</t>
  </si>
  <si>
    <t>กิตติมา ฮวดวิเศษ</t>
  </si>
  <si>
    <t>06/02/2025 17:54</t>
  </si>
  <si>
    <t>JB174080216TH</t>
  </si>
  <si>
    <t>JB173385035TH</t>
  </si>
  <si>
    <t xml:space="preserve">บริษัท ดับเบิ้ลยู เค ออล จำกัด </t>
  </si>
  <si>
    <t>14/116 อาคาร อี้ซี่ เน็ต ไทยแลนด์ ชั้นที่ 3 โขน A ม.7 ถ.เลี่ยงเมืองปากเกร็ด 40 ต.บางตลาด อ.ปากเกร็ด จ.นนทบุรี 11120 บางตลาด ปากเกร็ด นนทบุรี 11120</t>
  </si>
  <si>
    <t>JB173385049TH</t>
  </si>
  <si>
    <t>Attn คุณเจนนี่ Hp</t>
  </si>
  <si>
    <t>JB173385052TH</t>
  </si>
  <si>
    <t>บริษัท พี โอ พี เทิร์น จำกัด</t>
  </si>
  <si>
    <t>0972480488</t>
  </si>
  <si>
    <t xml:space="preserve"> เลขที่ 8 ซอยประชาราษฎร์5 แยก 1/4 ตลาดขวัญ เมืองนนทบุรี นนทบุรี 11000</t>
  </si>
  <si>
    <t>JB173385066TH</t>
  </si>
  <si>
    <t>กู้ดติง</t>
  </si>
  <si>
    <t>0990572535</t>
  </si>
  <si>
    <t>98/251 อิลีเมนท์คอนโด ตึก2 ซอยสุภาพงษ์3 แยก4 หนองบอน ประเวศ กรุงเทพ 10250</t>
  </si>
  <si>
    <t>JB173425352TH</t>
  </si>
  <si>
    <t>JB173480606TH</t>
  </si>
  <si>
    <t>ผ่องศรี</t>
  </si>
  <si>
    <t>0630592167</t>
  </si>
  <si>
    <t>188/162 หมู่ 4 พลา บ้านฉาง ระยอง 21130</t>
  </si>
  <si>
    <t>JB173480583TH</t>
  </si>
  <si>
    <t>ปัญญา ยศวิไล</t>
  </si>
  <si>
    <t>0810810059</t>
  </si>
  <si>
    <t>86/72 เฉลิมสุขนิเวศน์6 รามอินทรา 13 แยก 8 อนุสาวรีย์ บางเขน กรุงเทพ 10220</t>
  </si>
  <si>
    <t>JB173480570TH</t>
  </si>
  <si>
    <t>คุณแม่สะอาด ธิรินทอง</t>
  </si>
  <si>
    <t>0802826019</t>
  </si>
  <si>
    <t>5 หมู่ 17 ซอย 1 แม่ข้าวต้ม เมืองเชียงราย เชียงราย 57100</t>
  </si>
  <si>
    <t>JA163677246TH</t>
  </si>
  <si>
    <t>ปฏิญญา ตั้งอยู่เจริญ</t>
  </si>
  <si>
    <t>0972566906</t>
  </si>
  <si>
    <t>386/6 หมู่ 10 เทศบาลซอย 7 อาเคเดีย 1 ทับสะแก ทับสะแก ประจวบคีรีขันธ์ 77130</t>
  </si>
  <si>
    <t>JB173480518TH</t>
  </si>
  <si>
    <t>กนกวรรณ เจ๊กสืบแก้ว</t>
  </si>
  <si>
    <t>0828800257</t>
  </si>
  <si>
    <t>155ม.3ต,ประดาง อ.วังเจ้า จ.ตาก ประดาง วังเจ้า ตาก 63180</t>
  </si>
  <si>
    <t>JB173480481TH</t>
  </si>
  <si>
    <t>พิเชษฐ์ ภุชงค์ประเวศ</t>
  </si>
  <si>
    <t>0898057966</t>
  </si>
  <si>
    <t xml:space="preserve"> 150 ม.9 บ้านซำแฮด บรบือ บรบือ มหาสารคาม 44130</t>
  </si>
  <si>
    <t>JB173480464TH</t>
  </si>
  <si>
    <t>น.ส.สายทิพย์ แตงเอี่ยม</t>
  </si>
  <si>
    <t>0982732356</t>
  </si>
  <si>
    <t>12 ถ.จรัญสนิทวงศ์75แยก6/1 บางอ้อ บางพลัด กรุงเทพ 10700</t>
  </si>
  <si>
    <t>JA163677232TH</t>
  </si>
  <si>
    <t xml:space="preserve">นิสา ลาจันทะ </t>
  </si>
  <si>
    <t>0622234627</t>
  </si>
  <si>
    <t>139 หมู่11 บ้านเนินขาม ทัพราช ตาพระยา สระแก้ว 27180</t>
  </si>
  <si>
    <t>JB173480455TH</t>
  </si>
  <si>
    <t>เมษา สมถะ</t>
  </si>
  <si>
    <t>0894904139</t>
  </si>
  <si>
    <t>151ม.2 ซ.ข้างรพ.สต.บ้านขามเหนือ พลับพลาไชย อู่ทอง สุพรรณบุรี 72160</t>
  </si>
  <si>
    <t>JA163677229TH</t>
  </si>
  <si>
    <t>คุณพิมล รวมไมตรี</t>
  </si>
  <si>
    <t>0812835137</t>
  </si>
  <si>
    <t xml:space="preserve"> หมู่บ้านการุณรังษี 340/95 ถนนสวรรค์วิถี ปากน้ำโพ เมืองนครสวรรค์ นครสวรรค์ 60000</t>
  </si>
  <si>
    <t>JA163682127TH</t>
  </si>
  <si>
    <t xml:space="preserve">กิ่งกาญจน์ ชูสกุลพัฒนา </t>
  </si>
  <si>
    <t>หจกใกอสะเลียมคอนกรีต 24ม.8 บวกค้าง สันกำแพง เชียงใหม่ 50130</t>
  </si>
  <si>
    <t>JA163682135TH</t>
  </si>
  <si>
    <t xml:space="preserve"> 263/1ม.2ถ.สันติราษฎร์ สมเด็จ สมเด็จ กาฬสินธุ์ 46150</t>
  </si>
  <si>
    <t>JA163682144TH</t>
  </si>
  <si>
    <t>พรเพ็ญ หอมกอ</t>
  </si>
  <si>
    <t xml:space="preserve"> บจก.นวบุญประดิษฐ์ทรัพย์ 663 ถนนกะโรม โพธิ์เสด็จ เมืองนครศรีธรรมราช นครศรีธรรมราช 80000</t>
  </si>
  <si>
    <t>JA163682158TH</t>
  </si>
  <si>
    <t>วีรพันธ์สุขกิจบ</t>
  </si>
  <si>
    <t xml:space="preserve"> พีแอนด์แอลแมนูแฟตเตอร์ริง75/12หมู่7ตไร่ขิงอสามพรานจนครปฐม ไร่ขิง สามพราน นครปฐม 73210</t>
  </si>
  <si>
    <t>JB173481694TH</t>
  </si>
  <si>
    <t>คุณเตย</t>
  </si>
  <si>
    <t>0812783530</t>
  </si>
  <si>
    <t>16 ซ. จันทน์32 แยก4. ทุ่งวัดดอน ทุ่งวัดดอน สาทร กรุงเทพ 10120</t>
  </si>
  <si>
    <t>JB173506201TH</t>
  </si>
  <si>
    <t>JA163677294TH</t>
  </si>
  <si>
    <t>น.สสาลินีย์ กิ้วภาวัน</t>
  </si>
  <si>
    <t>0623397923</t>
  </si>
  <si>
    <t>116 ม.3 หนองสาหร่าย ปากช่อง นครราชสีมา 30130</t>
  </si>
  <si>
    <t>JB173480549TH</t>
  </si>
  <si>
    <t>JB173480535TH</t>
  </si>
  <si>
    <t>คุณอรวรรณ สุนทรา</t>
  </si>
  <si>
    <t>0811039472</t>
  </si>
  <si>
    <t>844/113 คอนโดจรัญฯ57 ถนนจรัญสนิทวงค์57 เเขวบางบำรุ บางบำหรุ บางพลัด กรุงเทพ 10700</t>
  </si>
  <si>
    <t>JB173643114TH</t>
  </si>
  <si>
    <t xml:space="preserve">สุภาพรรณ แซ่อึ้ง </t>
  </si>
  <si>
    <t>0829182621</t>
  </si>
  <si>
    <t>37 กาญจนาภิเษก 008 แยก6 บางแค บางแค กรุงเทพ 10160</t>
  </si>
  <si>
    <t>JB173643105TH</t>
  </si>
  <si>
    <t>JB173643091TH</t>
  </si>
  <si>
    <t>คุณอุไรวรรณ โสมทัศน์</t>
  </si>
  <si>
    <t>0813781504</t>
  </si>
  <si>
    <t>199/531 หมู่5 ซอย3 หมู่บ้านณัฏยา คลองมะเดื่อ กระทุ่มแบน สมุทรสาคร 74110</t>
  </si>
  <si>
    <t>JB173643088TH</t>
  </si>
  <si>
    <t>อำไพ สิรินิตย์</t>
  </si>
  <si>
    <t>0866111393</t>
  </si>
  <si>
    <t>111/240 หมู่บ้านแฮ๊ปปี้แลนด์วิลล์ ลาซาล 32 บางนาใต้ บางนา กรุงเทพ 10260</t>
  </si>
  <si>
    <t>ภัทรพร จันทรสิทธิผล \</t>
  </si>
  <si>
    <t>0990851985</t>
  </si>
  <si>
    <t>88/81 ซ.14  มบ.ชวนชื่นวัชรพล ท่าแร้ง บางเขน กรุงเทพ 10230</t>
  </si>
  <si>
    <t>JB173643065TH</t>
  </si>
  <si>
    <t>JB173643057TH</t>
  </si>
  <si>
    <t xml:space="preserve">Atchareeya Supanavacheewin </t>
  </si>
  <si>
    <t>0870147661</t>
  </si>
  <si>
    <t>333 ม.4 เขาพระ รัตภูมิ, สงขลา เขาพระ รัตภูมิ สงขลา 90180</t>
  </si>
  <si>
    <t>JB173643043TH</t>
  </si>
  <si>
    <t>JA164131749TH</t>
  </si>
  <si>
    <t>บุญทรัพย์ กันตรง</t>
  </si>
  <si>
    <t>0934423518</t>
  </si>
  <si>
    <t>เอ๊าะสมานกาแฟร้านไก่เขย่าเลขที่40 หมู่14 บ้านห้วยพระ ท่าจำปา ท่าอุเทน นครพนม 48120</t>
  </si>
  <si>
    <t>JB173643030TH</t>
  </si>
  <si>
    <t>พนิดา เรืองพุ่ม</t>
  </si>
  <si>
    <t>0859838720</t>
  </si>
  <si>
    <t>10/1 หมู่ 5 ร่อนพิบูลย์ ร่อนพิบูลย์ นครศรีธรรมราช 80130</t>
  </si>
  <si>
    <t>JB173643026TH</t>
  </si>
  <si>
    <t>วิภา</t>
  </si>
  <si>
    <t>0813844344</t>
  </si>
  <si>
    <t>104 พันตําลึง ซอย3 หมู่ที่6 ดอนกำยาน เมืองสุพรรณบุรี สุพรรณบุรี 72000</t>
  </si>
  <si>
    <t>JA164131735TH</t>
  </si>
  <si>
    <t>รัตตาภัค ครรชิตสิริกุล</t>
  </si>
  <si>
    <t>0882714689</t>
  </si>
  <si>
    <t xml:space="preserve"> 215 หมู่ 4 ซอย 7 ป่าบงบ้านถ่ำ ป่าตึง แม่จัน เชียงราย 57110</t>
  </si>
  <si>
    <t>JA164131721TH</t>
  </si>
  <si>
    <t xml:space="preserve"> บ้านเลขที่ 2/88 หมู่ 5 หมู่บ้านพฤกษากาญจน์ 3 ท่ามะขาม เมืองกาญจนบุรี กาญจนบุรี 71000</t>
  </si>
  <si>
    <t xml:space="preserve">รัตนา หลีอรัญ </t>
  </si>
  <si>
    <t>บ้าน DXN 477/6 หมู่ 2 คลองขุด เมืองสตูล สตูล 91000</t>
  </si>
  <si>
    <t>JA164137344TH</t>
  </si>
  <si>
    <t>อมรรัตน์ บุญรักษ์</t>
  </si>
  <si>
    <t>0878275498</t>
  </si>
  <si>
    <t>2/6 หมู่1ร้านนพรัตน์ซีฟู๊ดตรงข้ามวัดกะไหล กะไหล ตะกั่วทุ่ง พังงา 82130</t>
  </si>
  <si>
    <t>JB173658357TH</t>
  </si>
  <si>
    <t>บริษํท เพชรประเสริฐ</t>
  </si>
  <si>
    <t>จำกัด 31/10 ถ.ศึกษาเจริญ ในเมือง เมืองเพชรบูรณ์ เพชรบูรณ์ 67000</t>
  </si>
  <si>
    <t>JB173751516TH</t>
  </si>
  <si>
    <t>JB173801376TH</t>
  </si>
  <si>
    <t>จันทรา ตุตาโน</t>
  </si>
  <si>
    <t>0945750428</t>
  </si>
  <si>
    <t>131/9 คลองบางไผ่ ซอย 8 ม.4 ต.สำนักท้อน อ.บ้านฉาง จ.ระยอง สำนักท้อน บ้านฉาง ระยอง 21130</t>
  </si>
  <si>
    <t>JB173801362TH</t>
  </si>
  <si>
    <t xml:space="preserve">พรจิตต์.กราสันเทียะ </t>
  </si>
  <si>
    <t>0610470379</t>
  </si>
  <si>
    <t xml:space="preserve"> 152/240 พรรฎษาวิล67 อ้อมน้อย กระทุ่มแบน สมุทรสาคร 74130</t>
  </si>
  <si>
    <t>JB173801359TH</t>
  </si>
  <si>
    <t>ทิชากร_ห่อทอง</t>
  </si>
  <si>
    <t>0928704696</t>
  </si>
  <si>
    <t>ร้านข้าวป้าหนิง17หมู่11 คูบางหลวง ลาดหลุมแก้ว ปทุมธานี 12140</t>
  </si>
  <si>
    <t>JA164500744TH</t>
  </si>
  <si>
    <t>เกศชฎา ศรีติ๊บ</t>
  </si>
  <si>
    <t>0857104168</t>
  </si>
  <si>
    <t>194/1 ม.2 บ้านหลวง จอมทอง เชียงใหม่ 50160</t>
  </si>
  <si>
    <t>JA164500735TH</t>
  </si>
  <si>
    <t>วราภรณ์ ไพรเกษตร</t>
  </si>
  <si>
    <t>0624606129</t>
  </si>
  <si>
    <t xml:space="preserve"> 91/2 หมู่1บ้านเจริญทรัพย์ หนองกร่าง บ่อพลอย กาญจนบุรี 71220</t>
  </si>
  <si>
    <t>JA164500700TH</t>
  </si>
  <si>
    <t>JA164500695TH</t>
  </si>
  <si>
    <t>กมลทิพย์ วิเชียรวิญญู</t>
  </si>
  <si>
    <t>0839259482</t>
  </si>
  <si>
    <t>183 หมู่ที่2 สระกระโจม ดอนเจดีย์ สุพรรณบุรี 72250</t>
  </si>
  <si>
    <t>JA164500687TH</t>
  </si>
  <si>
    <t>อิสราโยธาจักร</t>
  </si>
  <si>
    <t>0967156829</t>
  </si>
  <si>
    <t>158/4ม.2ต.ท่าศาลาอ.ท่าศาลาจ.นครศรีธรรมราช ท่าศาลา ท่าศาลา นครศรีธรรมราช 80160</t>
  </si>
  <si>
    <t>JB173800883TH</t>
  </si>
  <si>
    <t>คุณจักรวุฒิ บุญช่วยคุ้ม 1</t>
  </si>
  <si>
    <t>0656549481</t>
  </si>
  <si>
    <t>66 ถ.ไมตรีจิตต์ ป้อมปราบ ป้อมปราบศัตรูพ่าย กรุงเทพ 10100</t>
  </si>
  <si>
    <t>JB173800870TH</t>
  </si>
  <si>
    <t>คุณจักรวุฒิ บุญช่วยคุ้ม 2</t>
  </si>
  <si>
    <t>JB173800866TH</t>
  </si>
  <si>
    <t>คุณละมัย เกตใหม่</t>
  </si>
  <si>
    <t>0917951669</t>
  </si>
  <si>
    <t xml:space="preserve"> 259 หมู่ที่ 3 ถ. เลียบคลอง บ้านสวยพัฒนา ในเมือง พิมาย นครราชสีมา 30110</t>
  </si>
  <si>
    <t>JB173800852TH</t>
  </si>
  <si>
    <t>คุณชูเกียรติ ชื่นแพ</t>
  </si>
  <si>
    <t>0852650002</t>
  </si>
  <si>
    <t>71ม.7 เขาเพิ่ม บ้านนา นครนายก 26110</t>
  </si>
  <si>
    <t>JB173800849TH</t>
  </si>
  <si>
    <t>คุณวินัย บุญวัฒนโสภณ</t>
  </si>
  <si>
    <t>0894444811</t>
  </si>
  <si>
    <t>เอี่ยมหินกอง 33/1 หมู่ 1 ห้วยทราย หนองแค สระบุรี 18230</t>
  </si>
  <si>
    <t>0896197118</t>
  </si>
  <si>
    <t>72/1 ม.16 บ้านเม็ง หนองเรือ ขอนแก่น 40210</t>
  </si>
  <si>
    <t>JB173800821TH</t>
  </si>
  <si>
    <t xml:space="preserve">นายเฉลิมเดช ศิริบุญ </t>
  </si>
  <si>
    <t>0987395945</t>
  </si>
  <si>
    <t>28/31 ม.2 ทับมา เมืองระยอง ระยอง 21000</t>
  </si>
  <si>
    <t>JB173803244TH</t>
  </si>
  <si>
    <t>บริษัท สยามทรคนิคคอนกรีต จำกัด มหาชน</t>
  </si>
  <si>
    <t>038486089</t>
  </si>
  <si>
    <t xml:space="preserve"> 999 ม.5 หนองไผ่แก้ว บ้านบึง ชลบุรี หนองไผ่แก้ว บ้านบึง ชลบุรี 20220</t>
  </si>
  <si>
    <t>JB173806815TH</t>
  </si>
  <si>
    <t>คุณจักรวุฒิ บุญช่วยคุ้ม 3</t>
  </si>
  <si>
    <t>JB173813670TH</t>
  </si>
  <si>
    <t xml:space="preserve">นภสร สถากุลเจริญ </t>
  </si>
  <si>
    <t>0955939901</t>
  </si>
  <si>
    <t>ส่วนปฏิบัติการร้านคาเฟ้อเมซอนส่วนกลาง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ถนนวิกาวดีรังสิต จตุจักร จตุจักร กรุงเทพ 10900</t>
  </si>
  <si>
    <t>JB173813683TH</t>
  </si>
  <si>
    <t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ถนนวิกาวดีรังสิต จตุจักร จตุจักร กรุงเทพ 10900</t>
  </si>
  <si>
    <t>JB173937878TH</t>
  </si>
  <si>
    <t>วันทนีย์ ปาละสิงห์</t>
  </si>
  <si>
    <t>0949140150</t>
  </si>
  <si>
    <t>61/2 ซ.จรัญสนิทวงศ์7/1 ถ.จรัญฯ วัดท่าพระ บางกอกใหญ่ กรุงเทพ 10600</t>
  </si>
  <si>
    <t>JB173937864TH</t>
  </si>
  <si>
    <t>หทัยกาญจน์ คล่องแคล่ว</t>
  </si>
  <si>
    <t>0916287901</t>
  </si>
  <si>
    <t>14 ม.11 บ้านมาง เชียงม่วน พะเยา 56160</t>
  </si>
  <si>
    <t>JA164885611TH</t>
  </si>
  <si>
    <t>ชานนท์ ละดาวัลย์</t>
  </si>
  <si>
    <t>0936517738</t>
  </si>
  <si>
    <t>7.ม.5.วัดคุ้มดงเมืองจอก บ้านดงเมืองจอก.ต.บ้านดู่ อ.อาจสามารถ.จ.ร้อยเอ็ด บ้านดู่ อาจสามารถ ร้อยเอ็ด 45160</t>
  </si>
  <si>
    <t>JA164885608TH</t>
  </si>
  <si>
    <t>JA164885599TH</t>
  </si>
  <si>
    <t>ร.อ.หญิง อรอนงค์ เจริญผ่อง</t>
  </si>
  <si>
    <t>0918812369</t>
  </si>
  <si>
    <t xml:space="preserve"> แฟลต บก.ทหารสูงสุด ทุ่งสีกัน 1 550/13208 ถนนสรงประภา สีกัน ดอนเมือง กรุงเทพ 10210</t>
  </si>
  <si>
    <t>JB173937855TH</t>
  </si>
  <si>
    <t>JB173937847TH</t>
  </si>
  <si>
    <t xml:space="preserve">มนัชยา สิงห์คง </t>
  </si>
  <si>
    <t>0817133519</t>
  </si>
  <si>
    <t>สถานีรถไฟฟ้าใต้ดินหัวลำโพงMRT ถนนพระราม4 รองเมือง ปทุมวัน กรุงเทพ 10330</t>
  </si>
  <si>
    <t>JA164885554TH</t>
  </si>
  <si>
    <t>JB173937833TH</t>
  </si>
  <si>
    <t>บ้านวิริยะเศรษฐ์กุล 436 หมู่ 13 ซ.วิทยุ ต.บ้านแพง อ.บ้านแพง จ.นครพนม บ้านแพง บ้านแพง นครพนม 48140</t>
  </si>
  <si>
    <t>JB173937881TH</t>
  </si>
  <si>
    <t>JB173937802TH</t>
  </si>
  <si>
    <t>จิรภัทร ใจจร 1</t>
  </si>
  <si>
    <t>0625919241</t>
  </si>
  <si>
    <t xml:space="preserve"> 31 ม.3 เวียงทอง สูงเม่น แพร่ 54000</t>
  </si>
  <si>
    <t>JB173937776TH</t>
  </si>
  <si>
    <t>จิรภัทร ใจจร 2</t>
  </si>
  <si>
    <t>JB173937762TH</t>
  </si>
  <si>
    <t>JB173937759TH</t>
  </si>
  <si>
    <t>ประไพ ศรีประเสริฐศักดิ์</t>
  </si>
  <si>
    <t>0991692131</t>
  </si>
  <si>
    <t>85 มฺ2บ้านหินกลิ้ง หล่มเก่า หล่มเก่า เพชรบูรณ์ 67120</t>
  </si>
  <si>
    <t>JA164885449TH</t>
  </si>
  <si>
    <t>อารีย์ บุญเกิด</t>
  </si>
  <si>
    <t>0843535860</t>
  </si>
  <si>
    <t>203/2ม.1 สามง่าม ดอนตูม นครปฐม 73150</t>
  </si>
  <si>
    <t>JA164885418TH</t>
  </si>
  <si>
    <t xml:space="preserve">นัยนา จันทราวดี </t>
  </si>
  <si>
    <t>0808846690</t>
  </si>
  <si>
    <t>บ้านเลขที่ 179 หมู่ 8 บ้านแก้วเพชรพลอย ตาพระยา ตาพระยา สระแก้ว 27180</t>
  </si>
  <si>
    <t>JB173954672TH</t>
  </si>
  <si>
    <t>ETR96</t>
  </si>
  <si>
    <t xml:space="preserve"> นางสาวจิรปรียา ทองสา</t>
  </si>
  <si>
    <t>10/02/2025 19:36</t>
  </si>
  <si>
    <t>JB174576291TH</t>
  </si>
  <si>
    <t>JB174080423TH</t>
  </si>
  <si>
    <t>Mon Pornjana</t>
  </si>
  <si>
    <t>0815963689</t>
  </si>
  <si>
    <t xml:space="preserve"> 310/6 หมู่1 ทัพทัน ทัพทัน อุทัยธานี 61120</t>
  </si>
  <si>
    <t>JA165244115TH</t>
  </si>
  <si>
    <t xml:space="preserve"> 169 ม.2 กกสะทอน ด่านซ้าย เลย 42120</t>
  </si>
  <si>
    <t>JB174080410TH</t>
  </si>
  <si>
    <t>ชมพูนุช แตงไทย</t>
  </si>
  <si>
    <t>0845667514</t>
  </si>
  <si>
    <t>125/144 หมู่1 ซ.15 ต.บ้านฉาง อ.บ้านฉาง จ.ระยอง บ้านฉาง บ้านฉาง ระยอง 21130</t>
  </si>
  <si>
    <t>JA165244101TH</t>
  </si>
  <si>
    <t>สุมาลี ชาญวิชัย</t>
  </si>
  <si>
    <t>0842720553</t>
  </si>
  <si>
    <t>4/121ม.4 เพิ่มสิน20แยก19 แขวงคลองถนน เขตสายไหม กรุวเทพ คลองถนน สายไหม กรุงเทพ 10220</t>
  </si>
  <si>
    <t>JB174080406TH</t>
  </si>
  <si>
    <t>สุริยา อินทร์อักษร</t>
  </si>
  <si>
    <t>0897931984</t>
  </si>
  <si>
    <t>41 หมู่ 2 บ้านพร้าว ป่าพะยอม พัทลุง 93210</t>
  </si>
  <si>
    <t>JA165244092TH</t>
  </si>
  <si>
    <t>หิรัณญ์ชกรณ์ สุขสอาด</t>
  </si>
  <si>
    <t>0830626153</t>
  </si>
  <si>
    <t xml:space="preserve"> สำนักสงฆ์หนองหอยเก่า หมู่4บ้านหนองหอย วังตะเคียน กบินทร์บุรี ปราจีนบุรี 25110</t>
  </si>
  <si>
    <t>JB174080383TH</t>
  </si>
  <si>
    <t xml:space="preserve">สุนีย์ พานิชโกศล </t>
  </si>
  <si>
    <t>0898995164</t>
  </si>
  <si>
    <t>บมจ.อีซึ่น แอนด์ โค 7/1-2 หมู่ 1 พานทอง พานทอง ชลบุรี 20160</t>
  </si>
  <si>
    <t>JA165244075TH</t>
  </si>
  <si>
    <t xml:space="preserve">วารี ฉายเทพประสิทธิ์ </t>
  </si>
  <si>
    <t>0957018377</t>
  </si>
  <si>
    <t>136หมู่6 บ้านใต้ เกาะพะงัน สุราษฎร์ธานี 84280</t>
  </si>
  <si>
    <t>JB174080366TH</t>
  </si>
  <si>
    <t>สุปราณี</t>
  </si>
  <si>
    <t>0819126487</t>
  </si>
  <si>
    <t>139/30หมู่บ้านนันทนาการ์เด้นรังสิตซอย 8 ถ.รังสิต-ปทุมธานี บ้านกลาง เมืองปทุมธานี ปทุมธานี 12000</t>
  </si>
  <si>
    <t>JA165244044TH</t>
  </si>
  <si>
    <t>สมชาย ฤกษ์เสือ</t>
  </si>
  <si>
    <t>0923126239</t>
  </si>
  <si>
    <t>224 หมู่15ร้านก๋วยเตี๋ยวหมูตุ๋นบ้านคายนอก แม่นาวาง แม่อาย เชียงใหม่ 50280</t>
  </si>
  <si>
    <t>JB174080349TH</t>
  </si>
  <si>
    <t>JB174080335TH</t>
  </si>
  <si>
    <t>นางเบญญาภา เหมือนแพร</t>
  </si>
  <si>
    <t>0817703195</t>
  </si>
  <si>
    <t>14/63 หมู่2 หมู่บ้านบัวทองธานี พาร์ควิลล์1 ซอยเทศบาล2 ถนน บางกรวย-ไทรน้อย พิมลราช บางบัวทอง นนทบุรี 11110</t>
  </si>
  <si>
    <t>JA165244035TH</t>
  </si>
  <si>
    <t>JA165244027TH</t>
  </si>
  <si>
    <t xml:space="preserve">ภารดี  </t>
  </si>
  <si>
    <t>0933751691</t>
  </si>
  <si>
    <t>.38/253 หมู่บ้านเค.ซี.5 รามอินทรา ถ.พระยาสุเรนทร์40 สามวาตะวันตก คลองสามวา กรุงเทพ 10510</t>
  </si>
  <si>
    <t>JA165244013TH</t>
  </si>
  <si>
    <t xml:space="preserve">ธิดารัตน์ พุทธศาสน์บำรุง </t>
  </si>
  <si>
    <t>0914024103</t>
  </si>
  <si>
    <t>109/500 หมู่บ้านคลองหลวงโฮมเพรส คลองสอง คลองหลวง ปทุมธานี 12120</t>
  </si>
  <si>
    <t>JA165244000TH</t>
  </si>
  <si>
    <t>อาช่าพล</t>
  </si>
  <si>
    <t>0814065522</t>
  </si>
  <si>
    <t>204/36 ซอยร่มโพธิ์ ถนนสรรพาวุธ บางนา บางนา กรุงเทพ 10260</t>
  </si>
  <si>
    <t>JB174080318TH</t>
  </si>
  <si>
    <t>น.ส.นุชจรี อัครประเสริฐกิจ</t>
  </si>
  <si>
    <t>0910614786</t>
  </si>
  <si>
    <t xml:space="preserve"> ร้านยานุชจรีเภสัช ปุ๋ย 54/32 ถ.วัฒนานุวงศ์ หมากแข้ง เมืองอุดรธานี อุดรธานี 41000</t>
  </si>
  <si>
    <t>JB174080304TH</t>
  </si>
  <si>
    <t>วาสนา</t>
  </si>
  <si>
    <t>0895422045</t>
  </si>
  <si>
    <t>110/183 ม.พฤกษาวิลล์15 หมู่3 บางรักพัฒนา บางบัวทอง นนทบุรี 11110</t>
  </si>
  <si>
    <t>JA165243980TH</t>
  </si>
  <si>
    <t>สุธินดา ประกอบทอง</t>
  </si>
  <si>
    <t>0835240423</t>
  </si>
  <si>
    <t>143 ซ.ลาดพร้าว80 จันทิมา แยก22 ถ.ลาดพร้าว วังทองหลาง วังทองหลาง กรุงเทพ 10310</t>
  </si>
  <si>
    <t>JB174080295TH</t>
  </si>
  <si>
    <t>JB174080281TH</t>
  </si>
  <si>
    <t xml:space="preserve">นายพลกฤษณ์ นิตยสนนท์ </t>
  </si>
  <si>
    <t>25/13 หมากแข้ง เมืองอุดรธานี อุดรธานี 41000</t>
  </si>
  <si>
    <t>JB174080278TH</t>
  </si>
  <si>
    <t>12 ม.6 เมืองการุ้ง บ้านไร่ อุทัยธานี 61180</t>
  </si>
  <si>
    <t>JA165243959TH</t>
  </si>
  <si>
    <t>พูลวัชร์ หงสกุล</t>
  </si>
  <si>
    <t>0816215661</t>
  </si>
  <si>
    <t xml:space="preserve"> 31 ม.2 ปะนาเระ ปะนาเระ ปัตตานี 94130</t>
  </si>
  <si>
    <t>JB174080264TH</t>
  </si>
  <si>
    <t>หนูน้อย พาหนวด</t>
  </si>
  <si>
    <t>0817301227</t>
  </si>
  <si>
    <t>90หมู่9 บัวมาศ บรบือ มหาสารคาม 44130</t>
  </si>
  <si>
    <t>JB174080255TH</t>
  </si>
  <si>
    <t xml:space="preserve">[เติ้ล </t>
  </si>
  <si>
    <t>0938814996</t>
  </si>
  <si>
    <t>138/66ซอยกำแพงเพชร6ซอย7แยก3-4ละออทิพย์ ทุ่งสองห้อง หลักสี่ กรุงเทพ 10210</t>
  </si>
  <si>
    <t>JB174080247TH</t>
  </si>
  <si>
    <t xml:space="preserve">สำอางค์ พูนเพชรพันธุ์ </t>
  </si>
  <si>
    <t> 184 หมู่ 2 ศรีนาวา เมืองนครนายก นครนายก 26000</t>
  </si>
  <si>
    <t>JA165243945TH</t>
  </si>
  <si>
    <t>นางพิมพ์นภา สุวรรณพันธ์ศรี</t>
  </si>
  <si>
    <t>0822820822</t>
  </si>
  <si>
    <t>1  ชุด เก็บปลายทางค่ะ 37/2  ถนนร่วมอุทิศ บางนาค เมืองนราธิวาส นราธิวาส 96000</t>
  </si>
  <si>
    <t>JB174080233TH</t>
  </si>
  <si>
    <t>ทิพย์</t>
  </si>
  <si>
    <t>0819152721</t>
  </si>
  <si>
    <t>128 ซ.17 ม.รัตนโกสินทร์ ถ.รังสิต ปทุมธานี14 ประชาธิปัตย์ ธัญบุรี ปทุมธานี 12130</t>
  </si>
  <si>
    <t>JB174080220TH</t>
  </si>
  <si>
    <t>บุญพอ</t>
  </si>
  <si>
    <t>0850731634</t>
  </si>
  <si>
    <t>9/54มบชัชฎาวิวล่าซอย4 ถนนบางแวก บางไผ่ บางแค กรุงเทพ 10160</t>
  </si>
  <si>
    <t>JA165243931TH</t>
  </si>
  <si>
    <t>สุขุม สุทธินิยม</t>
  </si>
  <si>
    <t>0957319259</t>
  </si>
  <si>
    <t xml:space="preserve"> 300/1 ม.5 พังลา สะเดา สงขลา 90170</t>
  </si>
  <si>
    <t>JA165243928TH</t>
  </si>
  <si>
    <t>กชพร อธิวาส .</t>
  </si>
  <si>
    <t>0860226327</t>
  </si>
  <si>
    <t>1611.ม.1.ต.พนมสารคาม.อ.พนมสารคาม.จ.ฉะเชิงเทรา พนมสารคาม พนมสารคาม ฉะเชิงเทรา 24120</t>
  </si>
  <si>
    <t>0959900809</t>
  </si>
  <si>
    <t>1/4 ม.1 ท่าบุญมี เกาะจันทร์ ชลบุรี 20240</t>
  </si>
  <si>
    <t>JB174080202TH</t>
  </si>
  <si>
    <t>คุณทัตตะ พริ้งศุลกะ เลขที่</t>
  </si>
  <si>
    <t>0641989989</t>
  </si>
  <si>
    <t>64/123 หมู่บ้านกลางเมือง ถ.โชคชัย4 ซอย50 ลาดพร้าว ลาดพร้าว กรุงเทพ 10230</t>
  </si>
  <si>
    <t>JB174080193TH</t>
  </si>
  <si>
    <t>สุวรพร แซ่ลิ้ม</t>
  </si>
  <si>
    <t>0827922409</t>
  </si>
  <si>
    <t>184/49 หมู่ 2 ลำไทร ลำลูกกา ปทุมธานี 12150</t>
  </si>
  <si>
    <t>JA165243914TH</t>
  </si>
  <si>
    <t>นางสาวอุปสรา รักบำรุง 1</t>
  </si>
  <si>
    <t>0829124307</t>
  </si>
  <si>
    <t>สำนักงานสาธารณสุขอำเภอพนม หมู่ 1 พนม พนม สุราษฎร์ธานี 84250</t>
  </si>
  <si>
    <t>JA165243905TH</t>
  </si>
  <si>
    <t>นางสาวอุปสรา รักบำรุง 2</t>
  </si>
  <si>
    <t>JA165243891TH</t>
  </si>
  <si>
    <t>81/1 ม. 1 หอไกร บางมูลนาก พิจิตร 66120</t>
  </si>
  <si>
    <t>JA165243888TH</t>
  </si>
  <si>
    <t>บรรจงกิจ ศรีประเทือง</t>
  </si>
  <si>
    <t>0620083325</t>
  </si>
  <si>
    <t>9809.หมู่.4.ร้านค้าส้มริมคลอง หนองนาก หนองแค สระบุรี 18230</t>
  </si>
  <si>
    <t>JA165243874TH</t>
  </si>
  <si>
    <t>46 หมู่1 เสม็ด เมืองชลบุรี ชลบุรี 20000</t>
  </si>
  <si>
    <t>JA165243865TH</t>
  </si>
  <si>
    <t>หิรัญวดี งามสุขศรี</t>
  </si>
  <si>
    <t>0934592998</t>
  </si>
  <si>
    <t>_ 197 หมู่3_ต.กังแอน_อ.ปราสาท_จ.สุรินทร์__ กังแอน ปราสาท สุรินทร์ 32140</t>
  </si>
  <si>
    <t>JB174080180TH</t>
  </si>
  <si>
    <t>นุชนารถ ยศไกร</t>
  </si>
  <si>
    <t>0659419165</t>
  </si>
  <si>
    <t>203/1 ถนนมหาชัย ซอย 5 ในเมือง เมืองนครราชสีมา นครราชสีมา 30000</t>
  </si>
  <si>
    <t>JB174080176TH</t>
  </si>
  <si>
    <t>จินตนา ศรีมาลา</t>
  </si>
  <si>
    <t>0657386388</t>
  </si>
  <si>
    <t>24 ซอยราษฎร์อุทิศ 39 แสนแสบ มีนบุรี กรุงเทพ 10510</t>
  </si>
  <si>
    <t>JB174080162TH</t>
  </si>
  <si>
    <t>เอนกพงศ์ วินทะไชย</t>
  </si>
  <si>
    <t>0613083322</t>
  </si>
  <si>
    <t>99 ม.2 หัวช้าง จตุรพักตรพิมาน ร้อยเอ็ด 45180</t>
  </si>
  <si>
    <t>JB174080159TH</t>
  </si>
  <si>
    <t>สุภาพร ชูแก้ว</t>
  </si>
  <si>
    <t>0819170058</t>
  </si>
  <si>
    <t>71/6 ซ.คู้บอน 27 แยก 10 ท่าแร้ง บางเขน กรุงเทพ 10220</t>
  </si>
  <si>
    <t>JB174080145TH</t>
  </si>
  <si>
    <t xml:space="preserve">สุนิตย์ พวกสันเทียะ </t>
  </si>
  <si>
    <t>0999873412</t>
  </si>
  <si>
    <t>หมู่บ้านวิสทาวน์ 888/203 ซ.2 ม.10 หนองปรือ บางละมุง ชลบุรี 20150</t>
  </si>
  <si>
    <t>JB174080131TH</t>
  </si>
  <si>
    <t xml:space="preserve">พัชริดา อมรปีติสุข </t>
  </si>
  <si>
    <t>0655496658</t>
  </si>
  <si>
    <t>บจก.นวบุตร เลขที่ 1 อาคารคิวเฮ้าส์ลุมพินีชั้น2 ห้อง219-220บี โซนไลฟ์เซ็นเตอร์ ทุ่งมหาเมฆ สาทร กรุงเทพ 10120</t>
  </si>
  <si>
    <t>JB174080128TH</t>
  </si>
  <si>
    <t>คุณวราฉัตร มณีวงศ์</t>
  </si>
  <si>
    <t>0616946696</t>
  </si>
  <si>
    <t>229/81 ชุมชนมิตรสัมพันธ์1 หมู่6 ถ.ประชาสโมสร54 ในเมือง เมืองขอนแก่น ขอนแก่น 40000</t>
  </si>
  <si>
    <t>JA165243857TH</t>
  </si>
  <si>
    <t>คุณพวงเพ็ญ  เฉลิมสุข</t>
  </si>
  <si>
    <t>0896461479</t>
  </si>
  <si>
    <t>19/208  หมู่บ้านภูเก็ตวิลล่าถลาง ถ.เมพกระษัตรี ศรีสุนทร ถลาง ภูเก็ต 83110</t>
  </si>
  <si>
    <t>JB174080114TH</t>
  </si>
  <si>
    <t>ประภาพร</t>
  </si>
  <si>
    <t>0905729191</t>
  </si>
  <si>
    <t>103หมู่10 บ้านโคกสว่าง โนนกลาง สำโรง อุบลราชธานี 34360</t>
  </si>
  <si>
    <t>JA165243843TH</t>
  </si>
  <si>
    <t>สุวรรณี ป้องศรี</t>
  </si>
  <si>
    <t>0846850740</t>
  </si>
  <si>
    <t>43 ม.8 บ้านงิ้ว เขือน้ำ บ้านผือ อุดรธานี 41160</t>
  </si>
  <si>
    <t>JB174080105TH</t>
  </si>
  <si>
    <t>สุวรรณา</t>
  </si>
  <si>
    <t>JB174080091TH</t>
  </si>
  <si>
    <t>ทัดดาว สมบุญรอด</t>
  </si>
  <si>
    <t>0926845190</t>
  </si>
  <si>
    <t>86/64 หมู่ 5 ไทรม้า เมืองนนทบุรี นนทบุรี 11000</t>
  </si>
  <si>
    <t>JB174080088TH</t>
  </si>
  <si>
    <t>ร้านบิ๊กโฟโต้เอกเพรส คุณสุขวภา</t>
  </si>
  <si>
    <t>0838268563</t>
  </si>
  <si>
    <t>วงษ์ประสิทธิ์  201/741 ซอยวิภาวดี64 ถนนวิภาวดีรังสิต ตลาดบางเขน หลักสี่ กรุงเทพ 10210</t>
  </si>
  <si>
    <t>JB174080074TH</t>
  </si>
  <si>
    <t>สิทินันท์</t>
  </si>
  <si>
    <t>0854187601</t>
  </si>
  <si>
    <t>465/5-6 ม.2บ.จอก คอนสวรรค์ คอนสวรรค์ ชัยภูมิ คอนสวรรค์ คอนสวรรค์ ชัยภูมิ 36140</t>
  </si>
  <si>
    <t>JA165243830TH</t>
  </si>
  <si>
    <t>สุพรรณนี หาสุข</t>
  </si>
  <si>
    <t xml:space="preserve"> 104/53ม.5 หมู่บ้านทรัพย์เจริญ ในคลองบางปลากด พระสมุทรเจดีย์ สมุทรปราการ 10290</t>
  </si>
  <si>
    <t>JB174080065TH</t>
  </si>
  <si>
    <t>อุไรวรรณ เปล่งขำ</t>
  </si>
  <si>
    <t>0918834893</t>
  </si>
  <si>
    <t>99/779 หมู่บ้านชลดา-สุวรรณภูมิ ถนน.อ่อนนุช-ลาดกระบัง ศีรษะจรเข้น้อย บางเสาธง สมุทรปราการ 10570</t>
  </si>
  <si>
    <t>JA165243826TH</t>
  </si>
  <si>
    <t>ฐิติรัตน์</t>
  </si>
  <si>
    <t>0806218689</t>
  </si>
  <si>
    <t>จุลินทร 71/226 ซ.12 หมู่ 4 หมู่บ้านฟ้าปิยรมย์เคียงสวน ถ.ลำลูกกาคลอง 6 บึงคำพร้อย ลำลูกกา ปทุมธานี 12150</t>
  </si>
  <si>
    <t>JB174080057TH</t>
  </si>
  <si>
    <t>JB174080043TH</t>
  </si>
  <si>
    <t xml:space="preserve">วรนุช กระแสร์ทิพย์ </t>
  </si>
  <si>
    <t>0972139199</t>
  </si>
  <si>
    <t>260 ม.4 บ้านทิพย์ธรณี ผักไห่ ผักไห่ พระนครศรีอยุธยา 13120</t>
  </si>
  <si>
    <t>JB174080030TH</t>
  </si>
  <si>
    <t>วิชุดา สงเคราะห์ธรรม</t>
  </si>
  <si>
    <t>0889315540</t>
  </si>
  <si>
    <t>57/1เพชรเกษม19แยก4 ปากคลองภาษีเจริญ ภาษีเจริญ กรุงเทพ 10160</t>
  </si>
  <si>
    <t>JB174080026TH</t>
  </si>
  <si>
    <t>49 ม.10 แม่เจ้าอยู่หัว เชียรใหญ่ นครศรีธรรมราช 80190</t>
  </si>
  <si>
    <t>JA165243812TH</t>
  </si>
  <si>
    <t>ไพ</t>
  </si>
  <si>
    <t>0897885405</t>
  </si>
  <si>
    <t>88/268หมู่8 นาเกลือ พระสมุทรเจดีย์ สมุทรปราการ 10290</t>
  </si>
  <si>
    <t>JB174156507TH</t>
  </si>
  <si>
    <t>คุณเจนนี่</t>
  </si>
  <si>
    <t>บริษัทซี.เจ เอ็กซ์เพลส กรุ๊ป จำกัด 393 อาคาร 393 สีลม ชั้น 2,4 และ 5 ถนนสีลม สีลม บางรัก กรุงเทพ 10500</t>
  </si>
  <si>
    <t>TH02046UD75K4G</t>
  </si>
  <si>
    <t>คุณจริวัฒน์ กุลเจริญ</t>
  </si>
  <si>
    <t>0959642989</t>
  </si>
  <si>
    <t>ส่งที่ร้านกาแฟ Puzzle Cafe เลขที่4/8 หมู่2 ซอยสดเจริญ ถนนผูกมิตร พระประแดง สำโรงใต้ สมุทรปราการ Thailand</t>
  </si>
  <si>
    <t>25×️25×️30</t>
  </si>
  <si>
    <t>JB174080321TH</t>
  </si>
  <si>
    <t>JA165243993TH</t>
  </si>
  <si>
    <t>น.ส.สุพัตรา มากจันทร์</t>
  </si>
  <si>
    <t xml:space="preserve"> 222/4 ม.3 บางวัน คุระบุรี พังงา 82150</t>
  </si>
  <si>
    <t>JB174170662TH</t>
  </si>
  <si>
    <t>กิม</t>
  </si>
  <si>
    <t>0651076737</t>
  </si>
  <si>
    <t>905ม1ต.หนองนาคำ หนองนาคำ เมืองอุดรธานี อุดรธานี 41000</t>
  </si>
  <si>
    <t>JB174170659TH</t>
  </si>
  <si>
    <t>จิราภา</t>
  </si>
  <si>
    <t>0625386253</t>
  </si>
  <si>
    <t>42ซ.โยธาเทพ ทะเลชุบศร เมืองลพบุรี ลพบุรี 15000</t>
  </si>
  <si>
    <t>JB174170645TH</t>
  </si>
  <si>
    <t>เป็ง โป่งเครือ</t>
  </si>
  <si>
    <t>0800154644</t>
  </si>
  <si>
    <t>142 ม.3 เวียงมอก เถิน ลำปาง 52160</t>
  </si>
  <si>
    <t>JA165467130TH</t>
  </si>
  <si>
    <t>กัญญาดา สุขุมธรรมสถิต</t>
  </si>
  <si>
    <t>0896547602</t>
  </si>
  <si>
    <t>226/6ถ.ศุภสารรังสรรค หาดใหญ่ หาดใหญ่ สงขลา 90110</t>
  </si>
  <si>
    <t>JA165467126TH</t>
  </si>
  <si>
    <t>ต้อย</t>
  </si>
  <si>
    <t>0922798035</t>
  </si>
  <si>
    <t>7/19 แฟลต ก 1 ชั้น 2 ซอยปลูกจิตต์ ถนนพระราม 4 ลุมพินี ปทุมวัน กรุงเทพ 10330</t>
  </si>
  <si>
    <t>JB174170631TH</t>
  </si>
  <si>
    <t>สายชล</t>
  </si>
  <si>
    <t>0615368198</t>
  </si>
  <si>
    <t>45หมู่5เกาะกูดรีสอร์ทต.เกาะกูดอ.เกาะกูดจ.ตราด เกาะกูด เกาะกูด ตราด 23000</t>
  </si>
  <si>
    <t>JB174170628TH</t>
  </si>
  <si>
    <t>ดีเจ.เสิด จอมชัชพงศ์</t>
  </si>
  <si>
    <t>0823285252</t>
  </si>
  <si>
    <t>อโนราช สนง.สารพันบันเทิง สตูดิโอ / ศูนย์สุขภาพดีมีสุข 17/191 เอื้ออาทรรังสิต-คลองสองข้างวัดกล้าชอุ่ม ม.4โทร. / ️สะดวกรับของ / รับโทรศัพท์ 13.00-19.00 น. คลองสอง คลองหลวง ปทุมธานี 12120</t>
  </si>
  <si>
    <t>JB174170614TH</t>
  </si>
  <si>
    <t xml:space="preserve">วิชุดา ปาละนันท์ </t>
  </si>
  <si>
    <t>0985638490</t>
  </si>
  <si>
    <t> บ้านเลขที่ 9/41 หมู่บ้านการเด้นวิลล่า เดอะวอเตอร์ฟร้อน. หมู่10 ถ้าไม่มี ฝากรปภ.หมู่บ้านเซ็นรับแทนค่ะ ลาดสวาย ลำลูกกา ปทุมธานี 12150</t>
  </si>
  <si>
    <t>JA165467112TH</t>
  </si>
  <si>
    <t>สันทนา สองรุ่งชัยฤทธิ์</t>
  </si>
  <si>
    <t>0971235151</t>
  </si>
  <si>
    <t>435/1 สามเสนนอก ห้วยขวาง กรุงเทพ 10310</t>
  </si>
  <si>
    <t>JA165467109TH</t>
  </si>
  <si>
    <t>สุรีย์พันธุ์ สุขสาธุ</t>
  </si>
  <si>
    <t>0869745685</t>
  </si>
  <si>
    <t xml:space="preserve"> 100/38หมู่1 ซอย บางศรีเมือง เมืองนนทบุรี นนทบุรี 11000</t>
  </si>
  <si>
    <t>JA165467090TH</t>
  </si>
  <si>
    <t>เถลิงศักดิ์ ดีล้อม</t>
  </si>
  <si>
    <t>0613873789</t>
  </si>
  <si>
    <t>452/235 ลุมพินีพาร์คนวมินทร์ศรีบูรพาอาคาร A2 คลองกุ่ม บึงกุ่ม กรุงเทพ 10240</t>
  </si>
  <si>
    <t>JA165467086TH</t>
  </si>
  <si>
    <t>JB174170605TH</t>
  </si>
  <si>
    <t>สิริกร ปอสุวรรณ</t>
  </si>
  <si>
    <t>0819352719</t>
  </si>
  <si>
    <t xml:space="preserve"> เลขที่ 66 ซอยอ่อนนุช 61 ประเวศ ประเวศ กรุงเทพ 10250</t>
  </si>
  <si>
    <t>JA165467072TH</t>
  </si>
  <si>
    <t>ศันสนีย์ กรวิจิตรศิริ</t>
  </si>
  <si>
    <t>0830945298</t>
  </si>
  <si>
    <t>กรวิจิตรศิริ เลขที่451 เจริญสุข2 ม.12มหาสารคาม44000 ร้านถมทวี เกิ้ง เมืองมหาสารคาม มหาสารคาม 44000</t>
  </si>
  <si>
    <t>JB174170588TH</t>
  </si>
  <si>
    <t xml:space="preserve"> 109/1 ถนนพัทลุง บ่อยาง เมืองสงขลา สงขลา 90000</t>
  </si>
  <si>
    <t>JB174170574TH</t>
  </si>
  <si>
    <t>ณัฐฐาวีรยา</t>
  </si>
  <si>
    <t>0618500241</t>
  </si>
  <si>
    <t>31/617 หมู่ 1 ซอย 56 หมู่บ้านสินธานีแกรนด์วิลล์, รังสิต ธัญญะบุรี, ปทุมธานี รังสิต ธัญบุรี ปทุมธานี 12110</t>
  </si>
  <si>
    <t>JB174170565TH</t>
  </si>
  <si>
    <t>สำราญ แพทย์จันลา</t>
  </si>
  <si>
    <t>0986120866</t>
  </si>
  <si>
    <t>87 หมู่ 9 บ.ดงนาม่วง บ้านขาว เมืองอุดรธานี อุดรธานี 41000</t>
  </si>
  <si>
    <t>JA165467069TH</t>
  </si>
  <si>
    <t>ณัฐนันท์ ไพรสัณฑ์</t>
  </si>
  <si>
    <t>0822143697</t>
  </si>
  <si>
    <t>148/2 ม.2 หลักแก้ว วิเศษชัยชาญ อ่างทอง 14110</t>
  </si>
  <si>
    <t>JB174170557TH</t>
  </si>
  <si>
    <t>ประภาพร รวมเมฆ</t>
  </si>
  <si>
    <t>0852921406</t>
  </si>
  <si>
    <t>83หมู่6 อู่ทอง อู่ทอง สุพรรณบุรี 72160</t>
  </si>
  <si>
    <t>JA165467055TH</t>
  </si>
  <si>
    <t>ศิริวรรณ จะวรรณะตุม</t>
  </si>
  <si>
    <t>0637951094</t>
  </si>
  <si>
    <t xml:space="preserve"> 177 หอพักวัฒนา รังสิต-นครนายก ซ.6 สะพานฟ้า ประชาธิปัตย์ ธัญบุรี ปทุมธานี 12130</t>
  </si>
  <si>
    <t>JB174170543TH</t>
  </si>
  <si>
    <t>ทรรศนีย์ สุพลัง</t>
  </si>
  <si>
    <t>0897675788</t>
  </si>
  <si>
    <t xml:space="preserve"> 37/3 ม.7 ลาดชิด ผักไห่ พระนครศรีอยุธยา 13120</t>
  </si>
  <si>
    <t>JB174170530TH</t>
  </si>
  <si>
    <t xml:space="preserve">คุณจงรักษ์ สุขเสาร์ </t>
  </si>
  <si>
    <t>0917257964</t>
  </si>
  <si>
    <t>เลขที่ 1/6 ม.12 บ้านสันต้นบง สันกำแพง สันกำแพง เชียงใหม่ 50130</t>
  </si>
  <si>
    <t>JB174170526TH</t>
  </si>
  <si>
    <t>คุณแม่เฉลา ศศิณัฐญา</t>
  </si>
  <si>
    <t>0615026236</t>
  </si>
  <si>
    <t>47 หมู่ 5 ถ.วัดศรีเฉลิมเขต ดอนมะนาว สองพี่น้อง สุพรรณบุรี 72110</t>
  </si>
  <si>
    <t>JB174170512TH</t>
  </si>
  <si>
    <t>คุณวชิราภรณ์ หวานดี</t>
  </si>
  <si>
    <t>0821859197</t>
  </si>
  <si>
    <t>73 หมู่ 7 บ้านป่าเหมี้ยง แจ้ซ้อน เมืองปาน ลำปาง 52240</t>
  </si>
  <si>
    <t>JB174170509TH</t>
  </si>
  <si>
    <t>คุณลุงเปี๊ยก ณฐคุณ</t>
  </si>
  <si>
    <t>0932615991</t>
  </si>
  <si>
    <t>124/1 หมู่5 บ้านประตูสีน้ำเงินหน้าโรงเรียนห้วยกะทะทอง ศรีมงคล ไทรโยค กาญจนบุรี 71150</t>
  </si>
  <si>
    <t>JA165467041TH</t>
  </si>
  <si>
    <t>JB174170490TH</t>
  </si>
  <si>
    <t>JB174170486TH</t>
  </si>
  <si>
    <t>อนพัทย์ ศิริพงษ์ไพบูลย์</t>
  </si>
  <si>
    <t>0899215933</t>
  </si>
  <si>
    <t xml:space="preserve"> บ้านเลขที่ 31/625 หมู่1  ซอย 56  คลอง5 รังสิต ธัญบุรี ปทุมธานี 12110</t>
  </si>
  <si>
    <t>JB174170472TH</t>
  </si>
  <si>
    <t>ผญ.สมบูรณ์ นันวิเศษ</t>
  </si>
  <si>
    <t>0866517557</t>
  </si>
  <si>
    <t>65 หมู่ 4 สุขเกษม ปักธงชัย นครราชสีมา 30150</t>
  </si>
  <si>
    <t>JA165467038TH</t>
  </si>
  <si>
    <t>JA165467024TH</t>
  </si>
  <si>
    <t>กนกนาถ ฉัตรวรฤทธิ์</t>
  </si>
  <si>
    <t>0944626699</t>
  </si>
  <si>
    <t>70/936ม.7ซ.สามัคคี58/2 ถ.สามัคคี ท่าทราย นนทบุรี Thailand ท่าทราย เมืองนนทบุรี นนทบุรี 11000</t>
  </si>
  <si>
    <t>JA165467015TH</t>
  </si>
  <si>
    <t>สุภาวดี เศษวงค์</t>
  </si>
  <si>
    <t>0810722631</t>
  </si>
  <si>
    <t xml:space="preserve"> .93.ม.15 เสาเดียว หนองหงส์ บุรีรัมย์ 31240</t>
  </si>
  <si>
    <t>JA165467007TH</t>
  </si>
  <si>
    <t>ณัฏฐา_ชุมทอง</t>
  </si>
  <si>
    <t>0843979728</t>
  </si>
  <si>
    <t>100/3ม.3 ท่าบอน ระโนด สงขลา 90140</t>
  </si>
  <si>
    <t>JB174170469TH</t>
  </si>
  <si>
    <t>ชัญญา</t>
  </si>
  <si>
    <t>0892228852</t>
  </si>
  <si>
    <t>576/3 ม.5 ซ.โพธิสาร นาเกลือ บางละมุง ชลบุรี 20150</t>
  </si>
  <si>
    <t>JA165466995TH</t>
  </si>
  <si>
    <t>บุษกร ปัทมโสภณ</t>
  </si>
  <si>
    <t>0917131147</t>
  </si>
  <si>
    <t>66/1ถนนพุทธมณฑลสาย2 บางแคเหนือ บางแค กรุงเทพ 10160</t>
  </si>
  <si>
    <t>JB174170455TH</t>
  </si>
  <si>
    <t>ดวงรัตน์ แก่นบุดดี</t>
  </si>
  <si>
    <t>0983192974</t>
  </si>
  <si>
    <t xml:space="preserve"> 232 ม 16 บ หนองตาไก้1 ชุมแพ ชุมแพ ขอนแก่น 40130</t>
  </si>
  <si>
    <t>JB174170441TH</t>
  </si>
  <si>
    <t>รักชนก กรีดจินดา</t>
  </si>
  <si>
    <t>0611903596</t>
  </si>
  <si>
    <t>45/2 ม.1 ดอนลาน ผักไห่ พระนครศรีอยุธยา 13280</t>
  </si>
  <si>
    <t>JA165466987TH</t>
  </si>
  <si>
    <t xml:space="preserve">-นิด  </t>
  </si>
  <si>
    <t>0872608582</t>
  </si>
  <si>
    <t>257/5..ม.19 นอกเมือง เมืองสุรินทร์ สุรินทร์ 32000</t>
  </si>
  <si>
    <t>JA165466973TH</t>
  </si>
  <si>
    <t>จุฑามาศ นาคีสุวรรณ</t>
  </si>
  <si>
    <t>0818745561</t>
  </si>
  <si>
    <t>56 ซอยเทอดไทย9 ถนนเทอดไท บางยี่เรือ ธนบุรี กรุงเทพ 10600</t>
  </si>
  <si>
    <t>JA165466960TH</t>
  </si>
  <si>
    <t>นงนุช ตันติวรสิทธิ์</t>
  </si>
  <si>
    <t xml:space="preserve"> 222/175 หมู่6 นาวีเฮ้าส์10 พลูตาหลวง สัตหีบ ชลบุรี พลูตาหลวง สัตหีบ ชลบุรี 20180</t>
  </si>
  <si>
    <t>JA165466956TH</t>
  </si>
  <si>
    <t>ทวัช มูลฝุ่น</t>
  </si>
  <si>
    <t>0922968536</t>
  </si>
  <si>
    <t xml:space="preserve"> 438/3 ม.4 ซ.วังพงศ์ 12 วังก์พง ปราณบุรี ประจวบคีรีขันธ์ 77120</t>
  </si>
  <si>
    <t>JA165466942TH</t>
  </si>
  <si>
    <t>JA165466939TH</t>
  </si>
  <si>
    <t>บังอร พินทำ</t>
  </si>
  <si>
    <t>0902511138</t>
  </si>
  <si>
    <t>101 ม.6 บ้านกุดเป่ง ซ. จันทร์วีระศักดิ์ ถ.จันทร์ยิ่งยศ วารินชำราบ วารินชำราบ อุบลราชธานี 34190</t>
  </si>
  <si>
    <t>JA165466911TH</t>
  </si>
  <si>
    <t>กบ เสริมสวย</t>
  </si>
  <si>
    <t>0962175965</t>
  </si>
  <si>
    <t xml:space="preserve"> 6ม1ร้านกบสริมสวย บางหลวง บางเลน นครปฐม 73190</t>
  </si>
  <si>
    <t>JA165466908TH</t>
  </si>
  <si>
    <t>สมประสงค์ กันหาเรียง</t>
  </si>
  <si>
    <t>0991071487</t>
  </si>
  <si>
    <t>11/40 หมู่บ้านเดอะทัสคาน่า ถนนพระยาสุเรนทร์ สามวาตะวันตก คลองสามวา กรุงเทพ 10510</t>
  </si>
  <si>
    <t>JA165466899TH</t>
  </si>
  <si>
    <t>วรางคณา เอี่ยมสอาด</t>
  </si>
  <si>
    <t>0819768995</t>
  </si>
  <si>
    <t>224/2 หมู่ 13 โชคชัย โชคชัย นครราชสีมา 30190</t>
  </si>
  <si>
    <t>JA165466885TH</t>
  </si>
  <si>
    <t xml:space="preserve">นิภาพร ณเมืองแพร่ </t>
  </si>
  <si>
    <t>0882015422</t>
  </si>
  <si>
    <t>194/136เคหะออเงิน อาคาร14ชั้น4ซ.66ถ.สุขาภิบาล5 ออเงิน สายไหม กรุงเทพ 10220</t>
  </si>
  <si>
    <t>JB174171190TH</t>
  </si>
  <si>
    <t>อำไพ เปล่งขำ</t>
  </si>
  <si>
    <t>0861065735</t>
  </si>
  <si>
    <t>11 ซอยสรงประภา 1 แยก 4 ตรงข้ามที.เค.อพาร์ทเม้นท์ ถนนสรงประภา ดอนเมือง ดอนเมือง กรุงเทพ 10210</t>
  </si>
  <si>
    <t>JB174171362TH</t>
  </si>
  <si>
    <t>เจษฏาภรณ์ แก้วสิงห์</t>
  </si>
  <si>
    <t>0981970447</t>
  </si>
  <si>
    <t>P5 Mansion เลขที่ 149 ตึก 7 บางกระทึก สามพราน นครปฐม 73210</t>
  </si>
  <si>
    <t>JB174171402TH</t>
  </si>
  <si>
    <t>วิไลรัตน์ โหมขุนทด</t>
  </si>
  <si>
    <t>0968871546</t>
  </si>
  <si>
    <t xml:space="preserve"> คอนโดพานทอง ตึก PP2ห้อง 112เลขที่109/30ม.1 บ้านเก่า พานทอง ชลบุรี 20160</t>
  </si>
  <si>
    <t>JA165587628TH</t>
  </si>
  <si>
    <t xml:space="preserve">พลับพลึงถิ่นวงษ์โพธิ์ </t>
  </si>
  <si>
    <t>796/11ม2ตเหนือคลองอเหนือคลองจกระบี่ เหนือคลอง เหนือคลอง กระบี่ 81130</t>
  </si>
  <si>
    <t>JA165587605TH</t>
  </si>
  <si>
    <t xml:space="preserve">ศิริพัดชา คำไฮ </t>
  </si>
  <si>
    <t>0896935914</t>
  </si>
  <si>
    <t>.112.ม.7ต.หัวถนน.อ.พนัสนิคม.จ.ชลบุรี หัวถนน พนัสนิคม ชลบุรี 20140</t>
  </si>
  <si>
    <t>JA165587588TH</t>
  </si>
  <si>
    <t>คุณกล้วย</t>
  </si>
  <si>
    <t>0898478615</t>
  </si>
  <si>
    <t>69/3 หมู่7 ขุนพิทักษ์ ดำเนินสะดวก ราชบุรี 70130</t>
  </si>
  <si>
    <t>JA165587565TH</t>
  </si>
  <si>
    <t>JA165587543TH</t>
  </si>
  <si>
    <t>พรสุข หอมประเสริฐ</t>
  </si>
  <si>
    <t>0813030392</t>
  </si>
  <si>
    <t xml:space="preserve"> 106ม.2 บางกระเบา นครชัยศรี นครปฐม 73120</t>
  </si>
  <si>
    <t>JB174208884TH</t>
  </si>
  <si>
    <t>JB174208875TH</t>
  </si>
  <si>
    <t>116 ถ.เลี่ยงเมืองนนทบุรี ตลาดขวัญ เมืองนนทบุรี นนทบุรี 11000</t>
  </si>
  <si>
    <t>JB174208867TH</t>
  </si>
  <si>
    <t xml:space="preserve">วนิดา มุนินทรกร </t>
  </si>
  <si>
    <t>0836945917</t>
  </si>
  <si>
    <t>129 หมู่5 บ้านฝั่งท่า วังก์พง ปราณบุรี ประจวบคีรีขันธ์ 77120</t>
  </si>
  <si>
    <t>JB174208853TH</t>
  </si>
  <si>
    <t xml:space="preserve">บุญทวี ตรงงาม </t>
  </si>
  <si>
    <t>0863317274</t>
  </si>
  <si>
    <t>15 หมู่ 8 ซอยสุขสวัสดิ์ 39 บางพึ่ง พระประแดง สมุทรปราการ 10130</t>
  </si>
  <si>
    <t>JB174208840TH</t>
  </si>
  <si>
    <t>รัตน์...ธิรินทอง</t>
  </si>
  <si>
    <t>0809372679</t>
  </si>
  <si>
    <t>201/5.หมู่..3..หมู่บ้านแหลมฆ้อ เนินทราย เมืองตราด ตราด 23000</t>
  </si>
  <si>
    <t>JA165928432TH</t>
  </si>
  <si>
    <t>สุวรรณา มังคลา</t>
  </si>
  <si>
    <t>0848642925</t>
  </si>
  <si>
    <t xml:space="preserve"> 38 ม.6 วังโตนด นายายอาม จันทบุรี 22170</t>
  </si>
  <si>
    <t>JA165928446TH</t>
  </si>
  <si>
    <t>เนื้อทิพย์ อุปวงศ์</t>
  </si>
  <si>
    <t>0810284814</t>
  </si>
  <si>
    <t>2080/493สุขุมวิท107แบริ่ง40 สำโรงเหนือ เมืองสมุทรปราการ สมุทรปราการ 10270</t>
  </si>
  <si>
    <t>JA165928450TH</t>
  </si>
  <si>
    <t xml:space="preserve">วราภรณ์ ไพรเกษตร </t>
  </si>
  <si>
    <t>91/2 หมู่1บ้านเจริญทรัพย์ หนองกร่าง บ่อพลอย กาญจนบุรี 71220</t>
  </si>
  <si>
    <t>JA165928477TH</t>
  </si>
  <si>
    <t>แม่โง่น มั่นคง</t>
  </si>
  <si>
    <t>0922686862</t>
  </si>
  <si>
    <t>54หมู่่6 บ้านหนองศาลา นามะเฟือง เมืองหนองบัวลำภู หนองบัวลำภู 39000</t>
  </si>
  <si>
    <t>JA165928463TH</t>
  </si>
  <si>
    <t xml:space="preserve">ลักษณ์ พึ่งเทียร </t>
  </si>
  <si>
    <t>0852663304</t>
  </si>
  <si>
    <t>346ม.9 ซ.บ้านหนองสามพราน13 วังด้ง เมืองกาญจนบุรี กาญจนบุรี 71190</t>
  </si>
  <si>
    <t>JB174336781TH</t>
  </si>
  <si>
    <t xml:space="preserve">คุณวิมล วงษ์ธัญการ </t>
  </si>
  <si>
    <t>0862156262</t>
  </si>
  <si>
    <t>143/4 หมู่2 พลวงสองนาง สว่างอารมณ์ อุทัยธานี 61150</t>
  </si>
  <si>
    <t>JB174336778TH</t>
  </si>
  <si>
    <t xml:space="preserve">อ.เพ็ญศรี พงษ์สวัสดิ์ </t>
  </si>
  <si>
    <t>0846376442</t>
  </si>
  <si>
    <t>โรงเรียนทุ่งขนานวิทยา ทุ่งขนาน สอยดาว จันทบุรี 22180</t>
  </si>
  <si>
    <t>JB174336764TH</t>
  </si>
  <si>
    <t>ขวัญใจ เพียรชนะ</t>
  </si>
  <si>
    <t>0984938773</t>
  </si>
  <si>
    <t>81 หมู่ที่ 16 บ้านรัตนวารี พนมไพร พนมไพร ร้อยเอ็ด 45140</t>
  </si>
  <si>
    <t>JB174336755TH</t>
  </si>
  <si>
    <t>วรรณเพ็ญ สนั่นเอื้อ</t>
  </si>
  <si>
    <t>0957267198</t>
  </si>
  <si>
    <t>299 หมู่8 บ้านหนองนาว แจ้ห่ม แจ้ห่ม ลำปาง 52120</t>
  </si>
  <si>
    <t>JB174336747TH</t>
  </si>
  <si>
    <t xml:space="preserve">คุณปรีชา วงศ์ประไพ </t>
  </si>
  <si>
    <t>0936474013</t>
  </si>
  <si>
    <t>154 หมู่4 เขาต่อ ปลายพระยา กระบี่ 81160</t>
  </si>
  <si>
    <t>JB174336733TH</t>
  </si>
  <si>
    <t>รสริน ศิริสันต์</t>
  </si>
  <si>
    <t>0841050336</t>
  </si>
  <si>
    <t>811อ่อนนุช46 สวนหลวง สวนหลวง กรุงเทพ 10250</t>
  </si>
  <si>
    <t>JB174336720TH</t>
  </si>
  <si>
    <t>สุภาพรรณ แซ่อึ้ง</t>
  </si>
  <si>
    <t xml:space="preserve"> 37 กาญจนาภิเษก 008 แยก 6 บางแค บางแค กรุงเทพ 10160</t>
  </si>
  <si>
    <t>JB174336716TH</t>
  </si>
  <si>
    <t>ช้อย อบอิน</t>
  </si>
  <si>
    <t>0992499239</t>
  </si>
  <si>
    <t>110/1 หมู่5 มะตูม พรหมพิราม พิษณุโลก 65150</t>
  </si>
  <si>
    <t>JB174405558TH</t>
  </si>
  <si>
    <t>นายทองเผื่อ เชื้อศรี</t>
  </si>
  <si>
    <t>0865166067</t>
  </si>
  <si>
    <t>17หมู่3 วังยาง ศรีประจันต์ สุพรรณบุรี 72140</t>
  </si>
  <si>
    <t>JB174405544TH</t>
  </si>
  <si>
    <t xml:space="preserve">ม่า มี้ </t>
  </si>
  <si>
    <t>0927148554</t>
  </si>
  <si>
    <t>150/327 ถ.พระราม2 ซ.อนามัยงามเจริญ19 ท่าข้าม บางขุนเทียน กรุงเทพ 10150</t>
  </si>
  <si>
    <t>JA166111177TH</t>
  </si>
  <si>
    <t>เสาวลักษณ์_สังขจันทรานนท์</t>
  </si>
  <si>
    <t>0624404498</t>
  </si>
  <si>
    <t>469ม.1 ไชยมงคล เมืองนครราชสีมา นครราชสีมา 30000</t>
  </si>
  <si>
    <t>JA166111163TH</t>
  </si>
  <si>
    <t>สังวาลย์ บุญชู</t>
  </si>
  <si>
    <t>0623319782</t>
  </si>
  <si>
    <t>92หมู่6 ชัยนารายณ์ ชัยบาดาล ลพบุรี 15130</t>
  </si>
  <si>
    <t>JA166111150TH</t>
  </si>
  <si>
    <t xml:space="preserve">ปุญญิสา มัชฉานุ </t>
  </si>
  <si>
    <t>0983014463</t>
  </si>
  <si>
    <t>18/5 ม.1 ปั๊มบางจากร้านกาแฟ ท่ามะกา ท่ามะกา กาญจนบุรี 71120</t>
  </si>
  <si>
    <t>JA166111146TH</t>
  </si>
  <si>
    <t>ยงยุทธศรีอุบล</t>
  </si>
  <si>
    <t>0946175874</t>
  </si>
  <si>
    <t>461ถ.เทพคุณากร หน้าเมือง เมืองฉะเชิงเทรา ฉะเชิงเทรา 24000</t>
  </si>
  <si>
    <t>JB174405535TH</t>
  </si>
  <si>
    <t>จิตพรรณ เมืองสุวรรณ</t>
  </si>
  <si>
    <t>0909204034</t>
  </si>
  <si>
    <t>บ้านเลขที่22 หมู่1 พุ่มแก นาแก นครพนม 48130</t>
  </si>
  <si>
    <t>JA166111132TH</t>
  </si>
  <si>
    <t>นายบุญเพิ่ม นาสมใจ</t>
  </si>
  <si>
    <t>0624405305</t>
  </si>
  <si>
    <t>270 ม.9 สำราญ เมืองขอนแก่น ขอนแก่น 40000</t>
  </si>
  <si>
    <t>JB174405513TH</t>
  </si>
  <si>
    <t>คุณสำเร็จ สุวรรณภูสิทธิ์</t>
  </si>
  <si>
    <t>0617922956</t>
  </si>
  <si>
    <t>74 หมู่15 บ้านหนองมั่ง สระคู สุวรรณภูมิ ร้อยเอ็ด 45130</t>
  </si>
  <si>
    <t>JB174405500TH</t>
  </si>
  <si>
    <t xml:space="preserve">ขวัญเนตร ศรีถนอมวงศ์ </t>
  </si>
  <si>
    <t>0811166280</t>
  </si>
  <si>
    <t>253/1 ซ.28 บุญช่วย ถ.พระราม 6 สามเสนใน พญาไท กรุงเทพ 10400</t>
  </si>
  <si>
    <t>JA166111129TH</t>
  </si>
  <si>
    <t>สุธนี กิตติ์มโนธรรม</t>
  </si>
  <si>
    <t>0849374686</t>
  </si>
  <si>
    <t xml:space="preserve"> 268ม.14บ้านรุ่งอรุณ ห้วยเม็ก ห้วยเม็ก กาฬสินธุ์ 46170</t>
  </si>
  <si>
    <t>JA166111115TH</t>
  </si>
  <si>
    <t>คุณกัลชนา กล้าหาญ</t>
  </si>
  <si>
    <t>0935654531</t>
  </si>
  <si>
    <t>120/412 ซ B6 หมู่บ้าน มณียาวิวล์ ซ.วชิรธรรมสาธิต12 บางนาเหนือ บางนา กรุงเทพ 10260</t>
  </si>
  <si>
    <t>JB174405495TH</t>
  </si>
  <si>
    <t>151 ม.2 บ้านขามซอย8เยื้อง 7-11บ้านขาม พลับพลาไชย อู่ทอง สุพรรณบุรี 72160</t>
  </si>
  <si>
    <t>JB174405487TH</t>
  </si>
  <si>
    <t xml:space="preserve">คุณสุขวภา วงษ์ประสิทธิ์ </t>
  </si>
  <si>
    <t>ร้านบิ๊กโฟโต้เอกเพรส  201/741 ซอยวิภาวดี64 ถนนวิภาวดีรังสิต ตลาดบางเขน หลักสี่ กรุงเทพ 10210</t>
  </si>
  <si>
    <t>JB174405473TH</t>
  </si>
  <si>
    <t>จุฑามาศยิ้มแสงหยัด</t>
  </si>
  <si>
    <t>0803974446</t>
  </si>
  <si>
    <t>35ซ.เจริญราษฎร์7แยก29-1-2 บางโคล่ บางคอแหลม กรุงเทพ 10120</t>
  </si>
  <si>
    <t>JB174405460TH</t>
  </si>
  <si>
    <t>อมรรัตน์ นาคเวช</t>
  </si>
  <si>
    <t>0908748215</t>
  </si>
  <si>
    <t>50 ม.1 ขนอม ขนอม นครศรีธรรมราช 80210</t>
  </si>
  <si>
    <t>JA166111101TH</t>
  </si>
  <si>
    <t>จันทิมา หมื่นขุมเงิน</t>
  </si>
  <si>
    <t>0813201176</t>
  </si>
  <si>
    <t xml:space="preserve"> ศูนย์ฝึกวิชาชีพคนพิการหยาดฝน จ.เชียงใหม่ 303 ม. 7 สันมหาพน แม่แตง เชียงใหม่ 50150</t>
  </si>
  <si>
    <t>JB174405456TH</t>
  </si>
  <si>
    <t>มาลัยดีลี้</t>
  </si>
  <si>
    <t>0649870289</t>
  </si>
  <si>
    <t>81/2 หมู่ 10 ดอนข่อย กำแพงแสน นครปฐม 73140</t>
  </si>
  <si>
    <t>JB174405442TH</t>
  </si>
  <si>
    <t>สุเมธ เพียรเลิศ</t>
  </si>
  <si>
    <t>0811923459</t>
  </si>
  <si>
    <t>65 หมู่4 ท่ากระดาน ศรีสวัสดิ์ กาญจนบุรี 71250</t>
  </si>
  <si>
    <t>JB174405439TH</t>
  </si>
  <si>
    <t>ณิชกานต์ กริสสมัย</t>
  </si>
  <si>
    <t>0840282821</t>
  </si>
  <si>
    <t xml:space="preserve"> 319 หมู่ 6 แคมป์สน เขาค้อ เพชรบูรณ์ 67280</t>
  </si>
  <si>
    <t>ETT95</t>
  </si>
  <si>
    <t>CJ Eureasia ธิดา ออ</t>
  </si>
  <si>
    <t>11/02/2025 16:24</t>
  </si>
  <si>
    <t>ETV61</t>
  </si>
  <si>
    <t>ปรีชา ศรีสุวรรณนิเวศ</t>
  </si>
  <si>
    <t>13/02/2025 10:23</t>
  </si>
  <si>
    <t>JB174927639TH</t>
  </si>
  <si>
    <t>ETV79</t>
  </si>
  <si>
    <t>น***บ ว***ชน</t>
  </si>
  <si>
    <t>7495798350227540130</t>
  </si>
  <si>
    <t>13/02/2025 12:50</t>
  </si>
  <si>
    <t>ETV96</t>
  </si>
  <si>
    <t>น***่อน ป***าคิด</t>
  </si>
  <si>
    <t>7495209470596713355</t>
  </si>
  <si>
    <t>13/02/2025 13:16</t>
  </si>
  <si>
    <t>ETW21</t>
  </si>
  <si>
    <t>เ***รินทร์.  เ***กผ่อง</t>
  </si>
  <si>
    <t>7494732278057634661</t>
  </si>
  <si>
    <t>13/02/2025 14:21</t>
  </si>
  <si>
    <t>ETW41</t>
  </si>
  <si>
    <t>อ******)</t>
  </si>
  <si>
    <t>myboy9654</t>
  </si>
  <si>
    <t>13/02/2025 15:58</t>
  </si>
  <si>
    <t>ETX67</t>
  </si>
  <si>
    <t xml:space="preserve">วราลี  อรุณรุ่ง </t>
  </si>
  <si>
    <t>Waralee Arunrung</t>
  </si>
  <si>
    <t>14/02/2025 16:17</t>
  </si>
  <si>
    <t>เคลมชิฟฟ่อนไม่มีไส้กล่องใหญ่ 3 กล่อง เนื่องจากคีย์ออเดอร์ผิดรายการ</t>
  </si>
  <si>
    <t>JB175084850TH</t>
  </si>
  <si>
    <t>JA166548943TH</t>
  </si>
  <si>
    <t>พัชรี เรืองอยู่</t>
  </si>
  <si>
    <t>JB174576314TH</t>
  </si>
  <si>
    <t>สุพัฒน์ ผาหัด</t>
  </si>
  <si>
    <t>0994652722</t>
  </si>
  <si>
    <t xml:space="preserve"> บริษัทสหการน้ำตาลชลบุรีจำกัดฝ่ายบุคคล 612 ม.5 หนองไผ่แก้ว บ้านบึง ชลบุรี 20220</t>
  </si>
  <si>
    <t>JB174576305TH</t>
  </si>
  <si>
    <t>สุจินันต์ จันทรานนท์</t>
  </si>
  <si>
    <t>0970413323</t>
  </si>
  <si>
    <t>68/115ม.4 ม.พฤกษา47 เทพารักษ์96 บางเมือง เมืองสมุทรปราการ สมุทรปราการ 10270</t>
  </si>
  <si>
    <t>นางสาวจิรปรียา ทองสา</t>
  </si>
  <si>
    <t>0638309163</t>
  </si>
  <si>
    <t>47ม.6บ.จานทุ่ง น้ำอ้อม ค้อวัง ยโสธร 35160</t>
  </si>
  <si>
    <t>JB174576288TH</t>
  </si>
  <si>
    <t xml:space="preserve">นิตยา มหามงคล </t>
  </si>
  <si>
    <t>0955928880</t>
  </si>
  <si>
    <t>198/62 หมู่ 14 หมู่บ้านวินด์มิลล์ Zone West 4 บางพลีใหญ่ บางพลี สมุทรปราการ 10540</t>
  </si>
  <si>
    <t>JA166548930TH</t>
  </si>
  <si>
    <t>JA166548926TH</t>
  </si>
  <si>
    <t>บุษบา ภูมิคอนสาร</t>
  </si>
  <si>
    <t>0988278304</t>
  </si>
  <si>
    <t xml:space="preserve"> 339/22สุขุมวิท101/1 ซ.วิรธรรมสาธิต15 บางจาก พระโขนง กรุงเทพ 10260</t>
  </si>
  <si>
    <t>JB174576274TH</t>
  </si>
  <si>
    <t>สุภาวดี มิยาซากิ</t>
  </si>
  <si>
    <t>0938372267</t>
  </si>
  <si>
    <t xml:space="preserve"> หมู่บ้านอินดี้ศรีนครินทร์ แพรกษา บ้านเลขที่ 209/10 ถนนแพรกษา ท้ายบ้านใหม่ เมืองสมุทรปราการ สมุทรปราการ 10280</t>
  </si>
  <si>
    <t>JB174576265TH</t>
  </si>
  <si>
    <t>รัตนา โทนสุข</t>
  </si>
  <si>
    <t>0905192264</t>
  </si>
  <si>
    <t xml:space="preserve"> 44 ม.4 ชลคราม ดอนสัก สุราษฎร์ธานี 84160</t>
  </si>
  <si>
    <t>JB174576257TH</t>
  </si>
  <si>
    <t>ธนนนท์</t>
  </si>
  <si>
    <t>0899229742</t>
  </si>
  <si>
    <t>หมู่บ้านวนิศาวิลล์ ซอย1/4 เลขที่ 129/211, หมู่ที่ 7 บ้านกรด บางปะอิน พระนครศรีอยุธยา 13160</t>
  </si>
  <si>
    <t>JA166548912TH</t>
  </si>
  <si>
    <t>ธัญมน ชวพนชัย</t>
  </si>
  <si>
    <t>0932493626</t>
  </si>
  <si>
    <t>555ม.แกรนด์วิลเลจ ซ.ลาดพร้าว 80/3 ถ.ลาดพร้าว วังทองหลาง วังทองหลาง กรุงเทพ 10310</t>
  </si>
  <si>
    <t>JB174576243TH</t>
  </si>
  <si>
    <t>อาภรณ๋ ศรีศัมภุวงศ์</t>
  </si>
  <si>
    <t>0847529604</t>
  </si>
  <si>
    <t>105/244 เคหะร่มเกล้า คลองสองต้นนุ่น ลาดกระบัง กรุงเทพ 10520</t>
  </si>
  <si>
    <t>JA166548909TH</t>
  </si>
  <si>
    <t>ชวลักษณ์ ทัศนงาม</t>
  </si>
  <si>
    <t>0861000407</t>
  </si>
  <si>
    <t>515 ถ.สามัคคี ท่าทราย เมืองนนทบุรี นนทบุรี 11000</t>
  </si>
  <si>
    <t>JA166548890TH</t>
  </si>
  <si>
    <t xml:space="preserve">จรรยา จรูญมีกนก </t>
  </si>
  <si>
    <t>0867971599</t>
  </si>
  <si>
    <t>บจก.โอร็อคส์ 13/2 หมู่ 5 ซ.ท่าแฉลบ ถนนท่าแฉลบ, ศรีษะทอง นครชัยศรี, นครปฐม ศรีษะทอง นครชัยศรี นครปฐม 73120</t>
  </si>
  <si>
    <t>JA166548886TH</t>
  </si>
  <si>
    <t>ไพเราะ</t>
  </si>
  <si>
    <t>0929698516</t>
  </si>
  <si>
    <t>ที่อยู่88หมู่1ต.สระกระโจมอ.ดอนเจดีย์จ.สุพรรณบุรี สระกระโจม ดอนเจดีย์ สุพรรณบุรี 72250</t>
  </si>
  <si>
    <t>JA166548872TH</t>
  </si>
  <si>
    <t>อนุรักษ์ กุ่ยกระโทก</t>
  </si>
  <si>
    <t>0636605901</t>
  </si>
  <si>
    <t>194/4 ชุมแสง นางรอง บุรีรัมย์ 31110</t>
  </si>
  <si>
    <t>JA166548869TH</t>
  </si>
  <si>
    <t>JB174576230TH</t>
  </si>
  <si>
    <t>หยาด หยาด</t>
  </si>
  <si>
    <t>0628705228</t>
  </si>
  <si>
    <t>54หมู่4 บ่อกวางทอง บ่อทอง ชลบุรี 20270</t>
  </si>
  <si>
    <t>JB174576226TH</t>
  </si>
  <si>
    <t>สุดารัตน์ ตึ๋งโต</t>
  </si>
  <si>
    <t xml:space="preserve"> 125/271ม.5 ปากเกร็ด ปากเกร็ด นนทบุรี 11120</t>
  </si>
  <si>
    <t>JB174576212TH</t>
  </si>
  <si>
    <t>กัญญา ปิ่นน้อย</t>
  </si>
  <si>
    <t>0637658824</t>
  </si>
  <si>
    <t>136/1 หมู่4 หน้าพระลาน เฉลิมพระเกียรติ สระบุรี 18240</t>
  </si>
  <si>
    <t>JB174593343TH</t>
  </si>
  <si>
    <t>กัญญา ปิ่นน้อย 2</t>
  </si>
  <si>
    <t>ยอดขาย 3,250.00 สร้างโดย suphandarat 136/1 หมู่4 หน้าพระลาน เฉลิมพระเกียรติ สระบุรี 18240</t>
  </si>
  <si>
    <t>JB174611943TH</t>
  </si>
  <si>
    <t>คุณสายขวัญ ปัญญาศิริ สำนักงานใหญ่</t>
  </si>
  <si>
    <t>0949303211</t>
  </si>
  <si>
    <t xml:space="preserve"> 222/163 หมู่บ้าน สิริ เพลส ราชพฤกษ์-พระราม 5 หมู่ที่ 9 ชอย 5 บางเลน บางใหญ่ นนทบุรี 11140</t>
  </si>
  <si>
    <t>JB174611957TH</t>
  </si>
  <si>
    <t>คุณรัชฎาพร ลาอ่อน สำนักงานใหญ่</t>
  </si>
  <si>
    <t>0824415022</t>
  </si>
  <si>
    <t xml:space="preserve"> เลขที่ 5 ชั้นที่ 3 ชอยทวีวัฒนา-กาญจนาภิเษก28 ทวีวัฒนา ทวีวัฒนา กรุงเทพ 10170</t>
  </si>
  <si>
    <t>JB174655175TH</t>
  </si>
  <si>
    <t>148/521 ซอยรามคำแหง 190 มีนบุรี มีนบุรี มีนบุรี กรุงเทพ 10510</t>
  </si>
  <si>
    <t>JB174661940TH</t>
  </si>
  <si>
    <t>คุณปาย์รพิชชา ยามากุชิ</t>
  </si>
  <si>
    <t xml:space="preserve"> 395/121 หมู่บ้านมิลาโนทาวน์ สุรศักดิ์ ศรีราชา ชลบุรี 20110</t>
  </si>
  <si>
    <t>JA166799178TH</t>
  </si>
  <si>
    <t xml:space="preserve">สุรีย์พันธุ์ สุขสาธุ </t>
  </si>
  <si>
    <t>100/38หมู่1 ซอย บางศรีเมือง เมืองนนทบุรี นนทบุรี 11000</t>
  </si>
  <si>
    <t>JA166799181TH</t>
  </si>
  <si>
    <t>นายวัชระ ท้วมเทียบ</t>
  </si>
  <si>
    <t>0986425125</t>
  </si>
  <si>
    <t xml:space="preserve"> ร้านขายต้นไม้ 796ม.2 ในเมือง เมืองหนองคาย หนองคาย 43000</t>
  </si>
  <si>
    <t>JA166799195TH</t>
  </si>
  <si>
    <t>พจณีย์ รังคะวัตร์</t>
  </si>
  <si>
    <t>0617890099</t>
  </si>
  <si>
    <t>89/9ม.9 ทับกวาง แก่งคอย สระบุรี 18260</t>
  </si>
  <si>
    <t>JA166799204TH</t>
  </si>
  <si>
    <t>ธันยพร ทองรุ่งงาม</t>
  </si>
  <si>
    <t>0890663361</t>
  </si>
  <si>
    <t>202 ซอยพระรามที่2ซอย28แยก32 จอมทอง จอมทอง กรุงเทพ 10150</t>
  </si>
  <si>
    <t>JA166799218TH</t>
  </si>
  <si>
    <t>จินตนา สมานมิตร</t>
  </si>
  <si>
    <t>0842367371</t>
  </si>
  <si>
    <t xml:space="preserve"> ปั๊มน้ำมัน PT 12 ลำไทร 15/8 หมู่ 10 ลำลูกกาปทุมธานี ลำลูกกา ลำลูกกา ปทุมธานี 12150</t>
  </si>
  <si>
    <t>JA166799221TH</t>
  </si>
  <si>
    <t>จิรัฐติกาล รักษาทรัพย์</t>
  </si>
  <si>
    <t>0822340683</t>
  </si>
  <si>
    <t>57/146 ม5 พันท้ายนรสิงห์ เมืองสมุทรสาคร สมุทรสาคร 74000</t>
  </si>
  <si>
    <t>JA166799235TH</t>
  </si>
  <si>
    <t>นงนุชย์.ลุนมาตย์</t>
  </si>
  <si>
    <t>0653439370</t>
  </si>
  <si>
    <t>21ม.12บ้านหัวช้าง ต.ยางน้อย อ.โกสุมพิสัย จ.มหาสราคาม ยางน้อย โกสุมพิสัย มหาสารคาม 44140</t>
  </si>
  <si>
    <t>JB174677278TH</t>
  </si>
  <si>
    <t>คุณจักรวุฒิ บุญช่วยคุ้ม</t>
  </si>
  <si>
    <t>JA166799249TH</t>
  </si>
  <si>
    <t>JA166887938TH</t>
  </si>
  <si>
    <t>คุณธนปภัสร์ วิบูลชัยริทธิ์</t>
  </si>
  <si>
    <t>0885615093</t>
  </si>
  <si>
    <t>645/7 สุขุมวิท50 ซอยสวัสดี4 พระโขนง คลองเตย กรุงเทพ 10260</t>
  </si>
  <si>
    <t>JA166887941TH</t>
  </si>
  <si>
    <t>JA166887955TH</t>
  </si>
  <si>
    <t>ณัฐชานันท์ รัตนภภาพันธุ์</t>
  </si>
  <si>
    <t>0955467900</t>
  </si>
  <si>
    <t>78/118 หมู่บ้านหรรษา ซอย3 หนองค้างพลู หนองแขม หนองค้างพลู หนองแขม กรุงเทพ 10160</t>
  </si>
  <si>
    <t>JA166887969TH</t>
  </si>
  <si>
    <t xml:space="preserve">อาซีซ๊ะ บินอีตำ  </t>
  </si>
  <si>
    <t>0800368329</t>
  </si>
  <si>
    <t>85/16 ถ.สถิตยุติธรรม พิมาน เมืองสตูล สตูล 91000</t>
  </si>
  <si>
    <t>JB174722003TH</t>
  </si>
  <si>
    <t>JB174723542TH</t>
  </si>
  <si>
    <t xml:space="preserve">ไสว อินทร์กอง </t>
  </si>
  <si>
    <t>0991167789</t>
  </si>
  <si>
    <t>22/6 ม.9 ซ.นวลทอง24 สวนหลวง กระทุ่มแบน สมุทรสาคร 74110</t>
  </si>
  <si>
    <t>JB174723556TH</t>
  </si>
  <si>
    <t>ลักขณา เจริญพานิชสันติ</t>
  </si>
  <si>
    <t>0855052685</t>
  </si>
  <si>
    <t>26/5 หมู่ 3 ถนนคลองเก้า คลองสิบ หนองจอก กรุงเทพ 10530</t>
  </si>
  <si>
    <t>JB174723573TH</t>
  </si>
  <si>
    <t>ท่านออก ญา</t>
  </si>
  <si>
    <t>0810552919</t>
  </si>
  <si>
    <t>บ.รุ่งทรัพย์ลิสซิ่ง จำกัด 30 ถ้า.เทวาพิบาล ในเมือง เมืองร้อยเอ็ด ร้อยเอ็ด 45000</t>
  </si>
  <si>
    <t>JB174723595TH</t>
  </si>
  <si>
    <t>สุชาดา มโนรถประดิษฐ</t>
  </si>
  <si>
    <t xml:space="preserve"> 115/141 ซ.ประสานมิตร8 ม.8 เขารูปช้าง เมืองสงขลา สงขลา 90000</t>
  </si>
  <si>
    <t>JB174723613TH</t>
  </si>
  <si>
    <t>เกศสินี พิริยนนทกุล</t>
  </si>
  <si>
    <t>0822231703</t>
  </si>
  <si>
    <t xml:space="preserve"> 133 ม.1 ท้องลำเจียก เชียรใหญ่ นครศรีธรรมราช 80190</t>
  </si>
  <si>
    <t>JB174830630TH</t>
  </si>
  <si>
    <t>สุเมธ</t>
  </si>
  <si>
    <t>0929949327</t>
  </si>
  <si>
    <t>2/3 ม.3 เกาะกูด เกาะกูด ตราด 23000</t>
  </si>
  <si>
    <t>JB174830626TH</t>
  </si>
  <si>
    <t>วราภรณ์ รัฐกุล</t>
  </si>
  <si>
    <t>0812894781</t>
  </si>
  <si>
    <t>399/68 หมู่บ้าน ปาจรีย์ ถ.ราชพฤกษ์ ม.1 หนองควาย หางดง เชียงใหม่ 50230</t>
  </si>
  <si>
    <t>JB174830612TH</t>
  </si>
  <si>
    <t>บรรณสรณ์ ไวยสุภีร์</t>
  </si>
  <si>
    <t>0890260179</t>
  </si>
  <si>
    <t xml:space="preserve"> 91/7 ม.4 ซ.อโยธยา4/7 ไผ่ลิง พระนครศรีอยุธยา พระนครศรีอยุธยา 13000</t>
  </si>
  <si>
    <t>JB174830609TH</t>
  </si>
  <si>
    <t>นางนวลจันทร์ เกลียวทอง</t>
  </si>
  <si>
    <t>0850253928</t>
  </si>
  <si>
    <t>40 ซ.โดนไข2 ในเมือง เมืองสุรินทร์ สุรินทร์ 32000</t>
  </si>
  <si>
    <t>JA167183881TH</t>
  </si>
  <si>
    <t>JA167183878TH</t>
  </si>
  <si>
    <t>JA167183864TH</t>
  </si>
  <si>
    <t>ชมภู นุชเกษม</t>
  </si>
  <si>
    <t>0896843103</t>
  </si>
  <si>
    <t>ที่อยู่ 131..ซ..01.กาญจนาภิเษก..11/1..แยก..1 คันนายาว คันนายาว กรุงเทพ 10230</t>
  </si>
  <si>
    <t>JA167183855TH</t>
  </si>
  <si>
    <t>คุณภาวิณี ยอดบริบูรณ์</t>
  </si>
  <si>
    <t>0860748135</t>
  </si>
  <si>
    <t xml:space="preserve"> 164 หมู่ 2 ปากน้ำกระแส แกลง ระยอง 21170</t>
  </si>
  <si>
    <t>JB174830590TH</t>
  </si>
  <si>
    <t>ครูเจริญ วรรณศิริ</t>
  </si>
  <si>
    <t>0819811082</t>
  </si>
  <si>
    <t>23/3 ม.3 หนองดินแดง เมืองนครปฐม นครปฐม 73000</t>
  </si>
  <si>
    <t>JA167183847TH</t>
  </si>
  <si>
    <t>JA167183833TH</t>
  </si>
  <si>
    <t>มาลินี</t>
  </si>
  <si>
    <t>0923133919</t>
  </si>
  <si>
    <t>88/147 บางคูเวียง บางกรวย นนทบุรี 11130</t>
  </si>
  <si>
    <t>JB174830586TH</t>
  </si>
  <si>
    <t>JA167183820TH</t>
  </si>
  <si>
    <t>524/2หมู่11 บ้านป่ากล้วยเหนือ สันทราย เมืองเชียงราย เชียงราย 57000</t>
  </si>
  <si>
    <t>JA167183816TH</t>
  </si>
  <si>
    <t>ชัยยุทธ</t>
  </si>
  <si>
    <t>0626141292</t>
  </si>
  <si>
    <t>111 สังฆกิจบูรณะอำเภอนางรองตำบลนางรองจังหวัดบุรีรัมย์ 31110 นางรอง นางรอง บุรีรัมย์ 31110</t>
  </si>
  <si>
    <t>JB174830572TH</t>
  </si>
  <si>
    <t>คุณหน่อย</t>
  </si>
  <si>
    <t>0806236936</t>
  </si>
  <si>
    <t>9  ถนนจันทน์ 49  ร้านขนส่งแฟลช วัดพระยาไกร บางคอแหลม กรุงเทพ 10120</t>
  </si>
  <si>
    <t>JA167183802TH</t>
  </si>
  <si>
    <t>นางสาวปราณี เทพณรงค์</t>
  </si>
  <si>
    <t>0922375453</t>
  </si>
  <si>
    <t>33/2 หมู่6 ม่วงเตี้ย วิเศษชัยชาญ อ่างทอง 14110</t>
  </si>
  <si>
    <t>JA167183793TH</t>
  </si>
  <si>
    <t>JA167183780TH</t>
  </si>
  <si>
    <t xml:space="preserve">กรรณภัทร มุณี </t>
  </si>
  <si>
    <t>0807139897</t>
  </si>
  <si>
    <t>120/3 หมู่2 ลำไพล เทพา สงขลา 90260</t>
  </si>
  <si>
    <t>JA167183776TH</t>
  </si>
  <si>
    <t>Wantana Jantanakon</t>
  </si>
  <si>
    <t>0996092272</t>
  </si>
  <si>
    <t>692โรงเรียนวัดรัฎาธิฐาน คลองชักพระ ตลิ่งชัน กรุงเทพ 10170</t>
  </si>
  <si>
    <t>JB174830569TH</t>
  </si>
  <si>
    <t>สุวิน พญาราช</t>
  </si>
  <si>
    <t>0874912497</t>
  </si>
  <si>
    <t>194/80 หมู่6 หมู่บ้านโพธิบัลลังก์ ซอย6 ในเมือง เมืองขอนแก่น ขอนแก่น 40000</t>
  </si>
  <si>
    <t>JB174830555TH</t>
  </si>
  <si>
    <t>อิสราภรณ์ พิศสุวรรณ์</t>
  </si>
  <si>
    <t>0805420027</t>
  </si>
  <si>
    <t>10/1 ชอย41 ถ.เพชรเกษม หาดใหญ่ หาดใหญ่ สงขลา 90110</t>
  </si>
  <si>
    <t>JB174898186TH</t>
  </si>
  <si>
    <t>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สำนักงานักงามใหญ่ เลขที่ 555/2 ศูนย์เอนเนอร์ขี่คอมเพล็กซ์ อาคารบี ชั้น 18 ถนนวิภาวคีรังสิต จตุจักร จตุจักร กรุงเทพ 10900</t>
  </si>
  <si>
    <t>JB174898190TH</t>
  </si>
  <si>
    <t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สำนักงานักงามใหญ่ เลขที่ 555/2 ศูนย์เอนเนอร์ขี่คอมเพล็กซ์ อาคารบี ชั้น 18 ถนนวิภาวคีรังสิต จตุจักร จตุจักร กรุงเทพ 10900</t>
  </si>
  <si>
    <t>0905514177</t>
  </si>
  <si>
    <t>424/2 ซอยเจริญกรุง 85 แยก 6-5 ถนนเจริญกรุง วัดพระยาไกร บางคอแหลม กรุงเทพ 10120</t>
  </si>
  <si>
    <t>JB174927625TH</t>
  </si>
  <si>
    <t>นา</t>
  </si>
  <si>
    <t>0830102490</t>
  </si>
  <si>
    <t>94/42 หมู่ 11 หมู่บ้านสิวารัตน์ 9 ซอย 35 บางบัวทอง บางบัวทอง นนทบุรี 11110</t>
  </si>
  <si>
    <t>JB174927611TH</t>
  </si>
  <si>
    <t>โสภี</t>
  </si>
  <si>
    <t>0644626436</t>
  </si>
  <si>
    <t>ร้านอาหารจีจี้ 53ถ.นิเวศพิศาล จองคำ เมืองแม่ฮ่องสอน แม่ฮ่องสอน 58000</t>
  </si>
  <si>
    <t>JB174927608TH</t>
  </si>
  <si>
    <t>ไขแสง หงษ์สกุล</t>
  </si>
  <si>
    <t>0923870633</t>
  </si>
  <si>
    <t xml:space="preserve"> 34 ถ.เหมือนแกะ ซ.1 นาสาร บ้านนาสาร สุราษฎร์ธานี 84120</t>
  </si>
  <si>
    <t>JA167440700TH</t>
  </si>
  <si>
    <t xml:space="preserve">เรณู อิ่มอ้น  </t>
  </si>
  <si>
    <t>0851772382</t>
  </si>
  <si>
    <t>96 ซอยฉิมพลี11แยกซอยรวมญาติ ฉิมพลี ฉิมพลี ตลิ่งชัน กรุงเทพ 10170</t>
  </si>
  <si>
    <t>JA167440695TH</t>
  </si>
  <si>
    <t>สุพรรณจันทร์ตระกูล</t>
  </si>
  <si>
    <t>0937783686</t>
  </si>
  <si>
    <t>267 บ้านเอกลักษณ์ซอย 1 ในเมือง บ้านไผ่ ขอนแก่น 40110</t>
  </si>
  <si>
    <t>JA167440687TH</t>
  </si>
  <si>
    <t>นภัทรศร เลือดนักรบเดอะวัน</t>
  </si>
  <si>
    <t>0863808892</t>
  </si>
  <si>
    <t>เพ็ทมาร์ทสาขา-เชียงใหม่ *ร้านอาหารสัตว์ป้ายสีแดง เลขที่ 3 ถ.มหาโชค ช้างเผือก เมืองเชียงใหม่ เชียงใหม่ 50300</t>
  </si>
  <si>
    <t>JA167440673TH</t>
  </si>
  <si>
    <t>ชนิตา อ่อนไชย</t>
  </si>
  <si>
    <t>0645216585</t>
  </si>
  <si>
    <t>129ม 7ดอยคำ พระบาทวังตวง แม่พริก ลำปาง 52180</t>
  </si>
  <si>
    <t>JA167440660TH</t>
  </si>
  <si>
    <t>ประสาน เอี้ยวสุวรรณ</t>
  </si>
  <si>
    <t>0949956420</t>
  </si>
  <si>
    <t>73/112ม.9 คลองหนึ่ง คลองหลวง ปทุมธานี 12120</t>
  </si>
  <si>
    <t>JA167440656TH</t>
  </si>
  <si>
    <t>SroyThong Yordruen</t>
  </si>
  <si>
    <t>0865533773</t>
  </si>
  <si>
    <t>ช้าย4วัดพุตะเคียน ร้านน่าวัด บ.ท่าเสา อ.ไทรโยค 1 กาญจนบุรี Thailand ท่าเสา ไทรโยค กาญจนบุรี 71150</t>
  </si>
  <si>
    <t>JA167440642TH</t>
  </si>
  <si>
    <t>พรพรรณ บุญยงค์</t>
  </si>
  <si>
    <t>0847340628</t>
  </si>
  <si>
    <t>49/1หมู่12 คูคต ลำลูกกา ปทุมธานี 12130</t>
  </si>
  <si>
    <t>JA167440639TH</t>
  </si>
  <si>
    <t>ธมกร นาครินทร์</t>
  </si>
  <si>
    <t>0654893138</t>
  </si>
  <si>
    <t xml:space="preserve"> ร้านตัดผมธุบาเบอร์ 577/3 หมู่ 7 ถ.ศรีบุญลือ กำแพง อุทุมพรพิสัย ศรีสะเกษ 33120</t>
  </si>
  <si>
    <t>JA167440625TH</t>
  </si>
  <si>
    <t>นางนํ้าค้างศรีเพชร</t>
  </si>
  <si>
    <t>0802149874</t>
  </si>
  <si>
    <t>74/24ม.1ต.บ้านฉาง อ.บ้านฉางจ.ระยอง บ้านฉาง บ้านฉาง ระยอง 21130</t>
  </si>
  <si>
    <t>JA167440611TH</t>
  </si>
  <si>
    <t>อนุรักษ์ นิ่มฟัก</t>
  </si>
  <si>
    <t>0897051388</t>
  </si>
  <si>
    <t xml:space="preserve"> สำนักทะเบียนท้องถิ่นเทศบาลนครพิษณุโลก เลขที่ 1299 ถนนบรมไตรโลกนาถ 2 ในเมือง เมืองพิษณุโลก พิษณุโลก 65000</t>
  </si>
  <si>
    <t>JA167440608TH</t>
  </si>
  <si>
    <t xml:space="preserve">ถนอมจิตร มหาพุทธินันท์ </t>
  </si>
  <si>
    <t>1 บ้านดงพอง ศิลา เมือง, ขอนแก่น ศิลา เมืองขอนแก่น ขอนแก่น 40000</t>
  </si>
  <si>
    <t>JB174927545TH</t>
  </si>
  <si>
    <t>นภัสร ชัยวัฒนโพธิ์แก้ว</t>
  </si>
  <si>
    <t>0892748326</t>
  </si>
  <si>
    <t>355 หมู่9 บ้านหนองใหญ่ ติดบ้านไร่บันดาลสุข บ้านไร่ เทพสถิต ชัยภูมิ 36230</t>
  </si>
  <si>
    <t>JA167440599TH</t>
  </si>
  <si>
    <t>คุณศิริรัตน์ ไพจันทร์</t>
  </si>
  <si>
    <t>0865436024</t>
  </si>
  <si>
    <t xml:space="preserve"> ตลาดนานาเจริญคลองสอง 23/7 หมู่ 6ร้านดาว กาแฟสดไร่ช่อลดา ร้านอยู่ด้านหน้าตลาดที่จอดรถมอเตอร์ไซร์ ร้านสีเขียว คูคต ลำลูกกา ปทุมธานี 12130</t>
  </si>
  <si>
    <t>JB174966323TH</t>
  </si>
  <si>
    <t>ผุสดี คงแก้ว</t>
  </si>
  <si>
    <t>0987418695</t>
  </si>
  <si>
    <t>ก้อง-ตาน้ำยางสด ที่อยู่27 ม.8 สมอทอง ท่าชนะ สุราษฎร์ธานี 84170</t>
  </si>
  <si>
    <t>JB174966337TH</t>
  </si>
  <si>
    <t>ณัฐนิชา ดิษฐรัตน์</t>
  </si>
  <si>
    <t>0819620873</t>
  </si>
  <si>
    <t xml:space="preserve"> 358/1 ถ.ไทยชนะ เชียงเงิน เมืองตาก ตาก 63000</t>
  </si>
  <si>
    <t>JA167539231TH</t>
  </si>
  <si>
    <t>กฤติมา เบญจกุลกฤตยา</t>
  </si>
  <si>
    <t>0831988594</t>
  </si>
  <si>
    <t xml:space="preserve"> 1734/82 ม.8 หมู่บ้านเบญจพล ซ. สำโรงเหนือ2 สำโรงเหนือ เมืองสมุทรปราการ สมุทรปราการ 10270</t>
  </si>
  <si>
    <t>JA167539228TH</t>
  </si>
  <si>
    <t>รวิพร อรุณสว่าง</t>
  </si>
  <si>
    <t>0838711882</t>
  </si>
  <si>
    <t>ธีรดล เพลส152/30 ในเมือง เมือง นครราชสีมา Thailand ในเมือง เมืองนครศรีธรรมราช นครศรีธรรมราช 80000</t>
  </si>
  <si>
    <t>JA167539214TH</t>
  </si>
  <si>
    <t>เบญจรัตน์</t>
  </si>
  <si>
    <t>0831314019</t>
  </si>
  <si>
    <t>234ม.บัานฟ้าลากูน ทฮ.ซ.22 รังสิตนครนายก44/1 ประชาธิปัตย์ ธัญบุรี ปทุมธานี 12130</t>
  </si>
  <si>
    <t>JB174968182TH</t>
  </si>
  <si>
    <t>Supin Luewongopas</t>
  </si>
  <si>
    <t>16 จันทน์ 32 แยก4 ทุ่งวัดดอน สาทร กรุงเทพ 10120</t>
  </si>
  <si>
    <t>JB174968179TH</t>
  </si>
  <si>
    <t>Aomam Sukunya</t>
  </si>
  <si>
    <t>0843477161</t>
  </si>
  <si>
    <t>959/77 ม.5 scวิลเลจวังแขยง ต.ปลวกแดง ปลวกแดง ปลวกแดง, ระยอง ปลวกแดง ปลวกแดง ระยอง 21140</t>
  </si>
  <si>
    <t>JB174968165TH</t>
  </si>
  <si>
    <t xml:space="preserve">แม่ดี สุทธิแสน </t>
  </si>
  <si>
    <t>0930910575</t>
  </si>
  <si>
    <t>69 หมู่ 2 จอมพระ ท่าวังผา น่าน 55140</t>
  </si>
  <si>
    <t>JB174968151TH</t>
  </si>
  <si>
    <t xml:space="preserve">น.ส.จินดา ปอพานิชกรณ์ </t>
  </si>
  <si>
    <t>0813501040</t>
  </si>
  <si>
    <t>2/60 ม.5 ท่ามะขาม เมืองกาญจนบุรี กาญจนบุรี 71000</t>
  </si>
  <si>
    <t>JB174968148TH</t>
  </si>
  <si>
    <t>คุณโสภณ กสิวัฒนา</t>
  </si>
  <si>
    <t>0836971384</t>
  </si>
  <si>
    <t>155/17บางกรวยไทรน้อย13สาเก บางกรวย บางกรวย นนทบุรี 11130</t>
  </si>
  <si>
    <t>JB174968134TH</t>
  </si>
  <si>
    <t>จีระนันท์</t>
  </si>
  <si>
    <t>0813791886</t>
  </si>
  <si>
    <t>376 หมู่7 ร.ร แม่ลาววิทยาคมตําบลดงมะดะ ดงมะดะ แม่ลาว เชียงราย 57250</t>
  </si>
  <si>
    <t>JB174968125TH</t>
  </si>
  <si>
    <t>JB174968117TH</t>
  </si>
  <si>
    <t>น.ส.บุศรินทร์ ทองขาว</t>
  </si>
  <si>
    <t>0987490425</t>
  </si>
  <si>
    <t>24/14ตึก22บ้านเอื้ออาทรคู้บอน27แขวงท่าแร้ง ท่าแร้ง บางเขน กรุงเทพ 10220</t>
  </si>
  <si>
    <t>JB174968103TH</t>
  </si>
  <si>
    <t>JB174968094TH</t>
  </si>
  <si>
    <t>นัฐพล แสงโสดา</t>
  </si>
  <si>
    <t>0639034987</t>
  </si>
  <si>
    <t>7/72 หอพักทองธานีห้อง506 ตึก1 คานหาม อุทัย พระนครศรีอยุธยา 13210</t>
  </si>
  <si>
    <t>JA167571682TH</t>
  </si>
  <si>
    <t>นายจำนงค์ เหล่าวีระไชย</t>
  </si>
  <si>
    <t>0956412518</t>
  </si>
  <si>
    <t>36 ม. 1 ถ. ชมฐีระเวช เทศบาลซอย 5 ท่าข้าม ชนแดน เพชรบูรณ์ 67150</t>
  </si>
  <si>
    <t>JB175034460TH</t>
  </si>
  <si>
    <t xml:space="preserve"> บริษัท ศรีฟ้าโฟรเซนฟูดส์ จำกัด 208-209 หมู่ 3 วังขนายท่าม่วง กาญจนบุรี วังขนาย ท่าม่วง กาญจนบุรี 71110</t>
  </si>
  <si>
    <t>ETY80</t>
  </si>
  <si>
    <t>THOMAS</t>
  </si>
  <si>
    <t>15/02/2025 13:31</t>
  </si>
  <si>
    <t>EUB3</t>
  </si>
  <si>
    <t>16/02/2025 18:43</t>
  </si>
  <si>
    <t>EUB4</t>
  </si>
  <si>
    <t>16/02/2025 18:44</t>
  </si>
  <si>
    <t>EUC76</t>
  </si>
  <si>
    <t>18/02/2025 12:37</t>
  </si>
  <si>
    <t>EUG37</t>
  </si>
  <si>
    <t>น.ส.อรอนงค์  ไชยศร</t>
  </si>
  <si>
    <t>W1750</t>
  </si>
  <si>
    <t>20/02/2025 16:36</t>
  </si>
  <si>
    <t>JB175756215TH</t>
  </si>
  <si>
    <t>EUF92</t>
  </si>
  <si>
    <t>20/02/2025 12:08</t>
  </si>
  <si>
    <t>EUG15</t>
  </si>
  <si>
    <t>สุนีย์ รัตนบุรี</t>
  </si>
  <si>
    <t>20/02/2025 14:26</t>
  </si>
  <si>
    <t>EUG44</t>
  </si>
  <si>
    <t>ศ***กิตติ์      ภ***โชติชัยกุล</t>
  </si>
  <si>
    <t>7495675721578678779</t>
  </si>
  <si>
    <t>20/02/2025 17:04</t>
  </si>
  <si>
    <t>EUG54</t>
  </si>
  <si>
    <t>20/02/2025 18:05</t>
  </si>
  <si>
    <t>EUG71</t>
  </si>
  <si>
    <t>แอนจ้า วางไว้เลย</t>
  </si>
  <si>
    <t>20/02/2025 20:26</t>
  </si>
  <si>
    <t>EUG90</t>
  </si>
  <si>
    <t>ปริศนา.  โทแก้ว</t>
  </si>
  <si>
    <t>20/02/2025 22:10</t>
  </si>
  <si>
    <t>EUI91</t>
  </si>
  <si>
    <t>22/02/2025 07:50</t>
  </si>
  <si>
    <t>EUK93</t>
  </si>
  <si>
    <t>ร***ิกร  แ***งสกุล</t>
  </si>
  <si>
    <t>7495485767651264641</t>
  </si>
  <si>
    <t>23/02/2025 15:18</t>
  </si>
  <si>
    <t>EUK95</t>
  </si>
  <si>
    <t>ช** ศ***าน</t>
  </si>
  <si>
    <t>7495745778885102531</t>
  </si>
  <si>
    <t>23/02/2025 15:25</t>
  </si>
  <si>
    <t>EUM23</t>
  </si>
  <si>
    <t>ศ******ว</t>
  </si>
  <si>
    <t>ingsarittaya</t>
  </si>
  <si>
    <t>24/02/2025 18:17</t>
  </si>
  <si>
    <t>EUO49</t>
  </si>
  <si>
    <t>ศ******)</t>
  </si>
  <si>
    <t>mama.vn_official</t>
  </si>
  <si>
    <t>26/02/2025 12:44</t>
  </si>
  <si>
    <t>EUO56</t>
  </si>
  <si>
    <t>จ*า</t>
  </si>
  <si>
    <t>26/02/2025 12:52</t>
  </si>
  <si>
    <t>EUP73</t>
  </si>
  <si>
    <t>ธนิษฐา   กันสุข</t>
  </si>
  <si>
    <t>27/02/2025 16:58</t>
  </si>
  <si>
    <t>JB192890011TH</t>
  </si>
  <si>
    <t>JB175084863TH</t>
  </si>
  <si>
    <t>พรรณพิมล ทิพย์เนตร์</t>
  </si>
  <si>
    <t>0949987785</t>
  </si>
  <si>
    <t>451/2 หมู่3 หนองชาก บ้านบึง ชลบุรี 20170</t>
  </si>
  <si>
    <t xml:space="preserve">วราลี อรุณรุ่ง </t>
  </si>
  <si>
    <t>JA167840755TH</t>
  </si>
  <si>
    <t>JB175084846TH</t>
  </si>
  <si>
    <t>ลัดดาวัลย์ฟักเงิน</t>
  </si>
  <si>
    <t>0870836510</t>
  </si>
  <si>
    <t xml:space="preserve"> 346 ซอย 12 ถนนพหลโยธิน 87 ประชาธิปัตย์ ธัญบุรี ปทุมธานี 12130</t>
  </si>
  <si>
    <t>JB175084832TH</t>
  </si>
  <si>
    <t>.พิชัยรัตน์</t>
  </si>
  <si>
    <t>ไล่กสิกรรม.หบ พฤกษาวิลล์..27/255.ถ.สามวา.เฃตมีนบุรี.แฃว.มีนบุรี..ก.ท.ม. มีนบุรี มีนบุรี กรุงเทพ 10510</t>
  </si>
  <si>
    <t>JB175084829TH</t>
  </si>
  <si>
    <t>พัสวี จินตนา</t>
  </si>
  <si>
    <t>0890046033</t>
  </si>
  <si>
    <t>88/513 มบ.เฟื่องฟ้า12 ม.8 ซ.มังกร นาคดี ถ.เทพารักษ์ เทพารักษ์ เมือง เทพารักษ์ เมืองสมุทรปราการ สมุทรปราการ 10270</t>
  </si>
  <si>
    <t>JA167840747TH</t>
  </si>
  <si>
    <t>ตุ๊ก รุ่งเรือง</t>
  </si>
  <si>
    <t>0877542830</t>
  </si>
  <si>
    <t>26/2ม12 ยกกระบัตร บ้านแพ้ว สมุทรสาคร 74120</t>
  </si>
  <si>
    <t>JA167840733TH</t>
  </si>
  <si>
    <t>ฉลวย บัวศรี</t>
  </si>
  <si>
    <t>0983670325</t>
  </si>
  <si>
    <t>19/18 หมู่13ต บึงคำพร้อย ลำลูกกา ปทุมธานี 12150</t>
  </si>
  <si>
    <t>JB175084815TH</t>
  </si>
  <si>
    <t>JB175084801TH</t>
  </si>
  <si>
    <t>คุณดิลก ลำพาย</t>
  </si>
  <si>
    <t>0807614872</t>
  </si>
  <si>
    <t>66 ม.4 เทอดไทย ทุ่งเขาหลวง ร้อยเอ็ด 45170</t>
  </si>
  <si>
    <t>JA167840720TH</t>
  </si>
  <si>
    <t>ธัญว์รัตน์ จันทร์ศรี</t>
  </si>
  <si>
    <t>0649341791</t>
  </si>
  <si>
    <t>86/13ม.11ซ.ช่อแก้ว1 ก.ม.27 ถ.พหลโยธิน64 คูคต ลำลูกกา ปทุมธานี เก็บเงินปลายทาง คูคต ลำลูกกา ปทุมธานี 12130</t>
  </si>
  <si>
    <t>JB175084792TH</t>
  </si>
  <si>
    <t>คุณสุจริต พร้อมวงศ์</t>
  </si>
  <si>
    <t>0972583291</t>
  </si>
  <si>
    <t>748 ซ.จรัลสนิทวงศ์ 44 บางยี่ขัน บางพลัด กรุงเทพ 10700</t>
  </si>
  <si>
    <t>JB175084789TH</t>
  </si>
  <si>
    <t>ณิชานี ฉุนฉลาด</t>
  </si>
  <si>
    <t>0957463765</t>
  </si>
  <si>
    <t>110/241 ห้าดาวคอนโด ถ.ประดิพัทธ์ สามเสนใน พญาไท กรุงเทพ 10400</t>
  </si>
  <si>
    <t>JA167840716TH</t>
  </si>
  <si>
    <t>อารีวรรณ สังขปานันท์</t>
  </si>
  <si>
    <t>0815865148</t>
  </si>
  <si>
    <t>120/36ซ.เอนกพัฒนา ลาดใหญ่ เมืองสมุทรสงคราม สมุทรสงคราม 75000</t>
  </si>
  <si>
    <t>JB175084775TH</t>
  </si>
  <si>
    <t>JB175084761TH</t>
  </si>
  <si>
    <t>ชนิดา ไชยาคำ</t>
  </si>
  <si>
    <t>0955455837</t>
  </si>
  <si>
    <t>96 หมู่บ้านรุ่งกิจวิลล่า 11 ซอยร่มเกล้า 32 คลองสามประเวศ ลาดกระบัง กรุงเทพ 10520</t>
  </si>
  <si>
    <t>JA167840702TH</t>
  </si>
  <si>
    <t>วิไลลักษณ์ ชาวเนื้อดี</t>
  </si>
  <si>
    <t>0984601598</t>
  </si>
  <si>
    <t>272 ม.7 บางพลับ สองพี่น้อง สุพรรณบุรี 72110</t>
  </si>
  <si>
    <t>JA167840693TH</t>
  </si>
  <si>
    <t>ชญาน์ทิพย์ หนูยิ้มซ้าย</t>
  </si>
  <si>
    <t>0984366974</t>
  </si>
  <si>
    <t>83/9 ม.6 นาจอมเทียน สัตหีบ ชลบุรี 20250</t>
  </si>
  <si>
    <t>JB175084758TH</t>
  </si>
  <si>
    <t xml:space="preserve">พรนภัสร์ (สินค้าเป็นเค้ก)  </t>
  </si>
  <si>
    <t>107/164 ม.4 หมู่บ้านเอกลดาซอย4 บางรักพัฒนา บางบัวทอง นนทบุรี 11110</t>
  </si>
  <si>
    <t>JA167840680TH</t>
  </si>
  <si>
    <t xml:space="preserve">พัชรี เรืองอยู่  </t>
  </si>
  <si>
    <t>JB175084744TH</t>
  </si>
  <si>
    <t>อัญชลี สวัสดิ์ไทร</t>
  </si>
  <si>
    <t>0939323185</t>
  </si>
  <si>
    <t>141/33 หมู่บ้านศาลายา 2หมู่ 1 ศาลายา พุทธมณฑล นครปฐม 73170</t>
  </si>
  <si>
    <t>JB175084735TH</t>
  </si>
  <si>
    <t>JA167840676TH</t>
  </si>
  <si>
    <t>JB175084727TH</t>
  </si>
  <si>
    <t>วีรนาถ วัฒนศรี</t>
  </si>
  <si>
    <t>0956957751</t>
  </si>
  <si>
    <t>2/278 ม.สรัลพร ซ.6 เพชรเกษม81 หนองแขม หนองแขม หนองแขม กรุงเทพ 10160</t>
  </si>
  <si>
    <t>JB175084713TH</t>
  </si>
  <si>
    <t>เสาวรส จัดพล</t>
  </si>
  <si>
    <t>187 ม.1 ดงกระทงยาม ศรีมหาโพธิ ปราจีนบุรี 25140</t>
  </si>
  <si>
    <t>JA167840662TH</t>
  </si>
  <si>
    <t>ทองใบ. วาจาสุจริต</t>
  </si>
  <si>
    <t>0975492072</t>
  </si>
  <si>
    <t>73/1หมู่1 นางหลง ชะอวด นครศรีธรรมราช 80180</t>
  </si>
  <si>
    <t>JA167840659TH</t>
  </si>
  <si>
    <t>นาถฤดี ศิริเพ็ง</t>
  </si>
  <si>
    <t>0918702818</t>
  </si>
  <si>
    <t xml:space="preserve"> 1/395 หมู่บ้านการ์เด้นโฮมวิลเลจ ถนนพหลโยธิน หมู่17 คูคต ลำลูกกา ปทุมธานี คูคต ลำลูกกา ปทุมธานี 12130</t>
  </si>
  <si>
    <t>JA167840645TH</t>
  </si>
  <si>
    <t>สุมาลีอุดมลาภ</t>
  </si>
  <si>
    <t>0963709441</t>
  </si>
  <si>
    <t>78หมู่7บ.โนนแคน สร้างถ่อน้อย หัวตะพาน อำนาจเจริญ 37240</t>
  </si>
  <si>
    <t>JB175084700TH</t>
  </si>
  <si>
    <t xml:space="preserve">ศรีสุมล พาทีทิน </t>
  </si>
  <si>
    <t>0916085844</t>
  </si>
  <si>
    <t>26/110 ถ.สุขสมบูรณ์ ประจวบคีรีขันธ์ เมืองประจวบคีรีขันธ์ ประจวบคีรีขันธ์ 77000</t>
  </si>
  <si>
    <t>JA167840631TH</t>
  </si>
  <si>
    <t>เนาวรัตน์ เหมือนเพชร</t>
  </si>
  <si>
    <t>0861789826</t>
  </si>
  <si>
    <t>79/4 ม.2 หาดเจ้าสำราญ เมืองเพชรบุรี เพชรบุรี 76100</t>
  </si>
  <si>
    <t>JA167840628TH</t>
  </si>
  <si>
    <t>จินตนา</t>
  </si>
  <si>
    <t>0654581568</t>
  </si>
  <si>
    <t>ซอยสมเด็จพระปิ่นเกล้า2ถนนพระปิ่นเกล้า บางยี่ขัน บางพลัด กรุงเทพ 10700</t>
  </si>
  <si>
    <t>JB175084695TH</t>
  </si>
  <si>
    <t>ปรินดา ศรีเดช</t>
  </si>
  <si>
    <t>0926962683</t>
  </si>
  <si>
    <t>49/1 หมู่3 คลองแม่ลาย เมืองกำแพงเพชร กำแพงเพชร 62000</t>
  </si>
  <si>
    <t>JB175084687TH</t>
  </si>
  <si>
    <t xml:space="preserve">คุณกุญศิริ เกษตรง ผึ้ง </t>
  </si>
  <si>
    <t>0895038284</t>
  </si>
  <si>
    <t>1817/165 ซ.สาธุประดิษฐ์ 57 แยก 17 บางโพงพาง ยานนาวา กรุงเทพ 10120</t>
  </si>
  <si>
    <t>JA167840614TH</t>
  </si>
  <si>
    <t xml:space="preserve">คุณวราภรณ์ กาศโอสถ </t>
  </si>
  <si>
    <t>0822777036</t>
  </si>
  <si>
    <t>195/1 ม.6 แม่ยางตาล ร้องกวาง แพร่ 54140</t>
  </si>
  <si>
    <t>JB175084673TH</t>
  </si>
  <si>
    <t>สุภาภรณ์ เขตสยาม</t>
  </si>
  <si>
    <t>0878052485</t>
  </si>
  <si>
    <t xml:space="preserve"> 32หมู่2 บางพลวง บ้านสร้าง ปราจีนบุรี 25150</t>
  </si>
  <si>
    <t>JA167840605TH</t>
  </si>
  <si>
    <t>คุณศรีสุมล ชูเชิด</t>
  </si>
  <si>
    <t>0892203570</t>
  </si>
  <si>
    <t>94/488 ม.ชัยพฤกษ์ ซอย B16 ถนนคู้บอน บางชัน คลองสามวา กรุงเทพ 10510</t>
  </si>
  <si>
    <t>JB175084660TH</t>
  </si>
  <si>
    <t>Kikky Vicki</t>
  </si>
  <si>
    <t>0863939194</t>
  </si>
  <si>
    <t>40/56 ร้านฉัตรพรไพศาลรัถการคอมเพล็ก ถ.รัถการ หาดใหญ่ หาดใหญ่ สงขลา 90110</t>
  </si>
  <si>
    <t>JA167840591TH</t>
  </si>
  <si>
    <t>JA167840588TH</t>
  </si>
  <si>
    <t>จิราพร สำราญรัตน์</t>
  </si>
  <si>
    <t>0875118613</t>
  </si>
  <si>
    <t>32/4 หมู่1 ชุมชนวัดพิชัย ถ.เสรีไทย คลองกุ่ม บึงกุ่ม กรุงเทพ 10240</t>
  </si>
  <si>
    <t>JB175084656TH</t>
  </si>
  <si>
    <t>นางบุญเลย รักษาทรัพย์</t>
  </si>
  <si>
    <t>4 ม3 ดอนดึง บ้านหมี่ ลพบุรี 15110</t>
  </si>
  <si>
    <t>JB175084642TH</t>
  </si>
  <si>
    <t xml:space="preserve">อูษณีย์ สนธิเณร </t>
  </si>
  <si>
    <t>349/17 ม.3 โพธิ์พระยา เมืองฯ, สุพรรณบุรี โพธิ์พระยา เมืองสุพรรณบุรี สุพรรณบุรี 72000</t>
  </si>
  <si>
    <t>JB175084639TH</t>
  </si>
  <si>
    <t xml:space="preserve">คุณจำลอง แดงประเสริฐ </t>
  </si>
  <si>
    <t>0952359547</t>
  </si>
  <si>
    <t>29 ม.13 แม่สิน ศรีสัชนาลัย สุโขทัย 64130</t>
  </si>
  <si>
    <t>JB175084625TH</t>
  </si>
  <si>
    <t>ศิริวรรณ มีมูซอ</t>
  </si>
  <si>
    <t>0841231823</t>
  </si>
  <si>
    <t xml:space="preserve"> 17/26 ซ.เสรีไทย21 ถ.เสรีไทย คลองกุ่ม บึงกุ่ม กรุงเทพ 10240</t>
  </si>
  <si>
    <t>JA168212845TH</t>
  </si>
  <si>
    <t>คุณกัลยา สีม่วงคำ</t>
  </si>
  <si>
    <t>0989108878</t>
  </si>
  <si>
    <t>259 ถนนสาย4 หมู่4 สามเงา สามเงา ตาก 63130</t>
  </si>
  <si>
    <t>JA168212831TH</t>
  </si>
  <si>
    <t>คุณตุ๊ก</t>
  </si>
  <si>
    <t>0830680034</t>
  </si>
  <si>
    <t>84/18 ลาดพร้าว 83 คลองเจ้าคุณสิงห์ วังทองหลาง กรุงเทพ 10310</t>
  </si>
  <si>
    <t>JA168212828TH</t>
  </si>
  <si>
    <t xml:space="preserve">อ้อมเนตร พันสำอาง </t>
  </si>
  <si>
    <t>0933738891</t>
  </si>
  <si>
    <t>ก๋วยเตี๋ยวเรือคำมี 112หมู่5 บ.โคกท่า หนองตูม เมืองขอนแก่น ขอนแก่น 40000</t>
  </si>
  <si>
    <t>JA168212814TH</t>
  </si>
  <si>
    <t>จรุงจิตร์ หลีไมล์</t>
  </si>
  <si>
    <t>0621804425</t>
  </si>
  <si>
    <t>202.ม.3 หงาว เมืองระนอง ระนอง 85000</t>
  </si>
  <si>
    <t>JA168212805TH</t>
  </si>
  <si>
    <t>ลักษณ์ลาวัลย์ ผาอินทร์</t>
  </si>
  <si>
    <t>0818783909</t>
  </si>
  <si>
    <t>110 ม. 4 บะฮี พรรณานิคม สกลนคร 47130</t>
  </si>
  <si>
    <t>JA168212791TH</t>
  </si>
  <si>
    <t>รุ่งทิวา สุขเหล็ก</t>
  </si>
  <si>
    <t>0962752437</t>
  </si>
  <si>
    <t>117 หมู่5 หัวทะเล บำเหน็จณรงค์ ชัยภูมิ 36220</t>
  </si>
  <si>
    <t>JA168212788TH</t>
  </si>
  <si>
    <t>จิระพร เทพยศ</t>
  </si>
  <si>
    <t>0635933586</t>
  </si>
  <si>
    <t>77/3 ม.3 แม่เหียะ เมืองเชียงใหม่ เชียงใหม่ 50100</t>
  </si>
  <si>
    <t>JA168212774TH</t>
  </si>
  <si>
    <t>ร้านพี่ออล&amp;น้องเเอล</t>
  </si>
  <si>
    <t>0845785898</t>
  </si>
  <si>
    <t xml:space="preserve"> 68 หมู่7 เข็กน้อย เขาค้อ เพชรบูรณ์ 67280</t>
  </si>
  <si>
    <t>JA168212765TH</t>
  </si>
  <si>
    <t>พรชนก ทองจันทร์</t>
  </si>
  <si>
    <t>0632373074</t>
  </si>
  <si>
    <t>53/414 ม.พฤกษา20 ชุมชนฟ้าครามนคร คูคต ลำลูกกา ปทุมธานี 12130</t>
  </si>
  <si>
    <t>JA168212757TH</t>
  </si>
  <si>
    <t xml:space="preserve"> ปั๊มน้ำมัน PT 12 ลำไทร 15/8 หมู่ 10  ลำไทร ลำลูกกา ปทุมธานี 12150</t>
  </si>
  <si>
    <t>JA168212743TH</t>
  </si>
  <si>
    <t>JA168212730TH</t>
  </si>
  <si>
    <t>อัจฉรา พลฤทธิ์</t>
  </si>
  <si>
    <t>0849316825</t>
  </si>
  <si>
    <t>52 หมู่ที่ 11 บ้านโปร่ง ศรีธาตุ อุดรธานี 41230</t>
  </si>
  <si>
    <t>JA168212726TH</t>
  </si>
  <si>
    <t>JB175209617TH</t>
  </si>
  <si>
    <t>คนึงนิจ กุ้ยอ่อน</t>
  </si>
  <si>
    <t>0852636861</t>
  </si>
  <si>
    <t xml:space="preserve"> หมู่บ้านเจริญค้าหัวโป่ง หมู่ 15 139/93 ซอย 10  ปากแรต บ้านโป่ง ราชบุรี 70110</t>
  </si>
  <si>
    <t>JB175209603TH</t>
  </si>
  <si>
    <t>JB175209594TH</t>
  </si>
  <si>
    <t>อิทธิฤทธิ์ ภูมิเลศ</t>
  </si>
  <si>
    <t>0800474689</t>
  </si>
  <si>
    <t>51/3 บริษัท ศูนย์บริการเหล็กสยาม ถ.ปู่เจ้าสมิงพราย บางหญ้าแพรก พระประแดง สมุทรปราการ 10130</t>
  </si>
  <si>
    <t>JB175209585TH</t>
  </si>
  <si>
    <t>สุพัดสอน โกประพันธ์</t>
  </si>
  <si>
    <t>0818938363</t>
  </si>
  <si>
    <t xml:space="preserve"> ชุมชนร่วมเกื้อทวีวัฒนา 25 4/41 แยก 7-6 ทวีวัฒนา ทวีวัฒนา กรุงเทพ 10170</t>
  </si>
  <si>
    <t>JB175209577TH</t>
  </si>
  <si>
    <t>ขวัญเนตร ศรีถนอมวงศ์</t>
  </si>
  <si>
    <t xml:space="preserve"> 253/1 ซ.28 บุญช่วย ถ.พระราม 6 สามเสนใน พญาไท กรุงเทพ 10400</t>
  </si>
  <si>
    <t>JB175209563TH</t>
  </si>
  <si>
    <t xml:space="preserve">กัลยา ทองสงฆ์(จี๊ดโบราณ) </t>
  </si>
  <si>
    <t>0834952253</t>
  </si>
  <si>
    <t xml:space="preserve"> 388หมู่7 ธรรมามูล เมืองชัยนาท ชัยนาท 17000</t>
  </si>
  <si>
    <t>JB175209550TH</t>
  </si>
  <si>
    <t xml:space="preserve">ไพบูลย์ คําปรีดา(พ่อจ่อย) </t>
  </si>
  <si>
    <t>0979706722</t>
  </si>
  <si>
    <t>1/1ม.7 บ้านดอนเกล็ดโรงงานพลาสติก ยางหล่อ ศรีบุญเรือง หนองบัวลำภู 39180</t>
  </si>
  <si>
    <t>JB175209546TH</t>
  </si>
  <si>
    <t>197 ม.1 ต.บ้านคำสร้อย นิคมคำสร้อย นิคมคำสร้อย มุกดาหาร 49130</t>
  </si>
  <si>
    <t>JB175209532TH</t>
  </si>
  <si>
    <t>JB175209529TH</t>
  </si>
  <si>
    <t>สุเมธ มโนธรรม</t>
  </si>
  <si>
    <t>ฝากส่งให้แอ้ดอ่าวใหญ่ 2/3 ม.3 เกาะกูด เกาะกูด ตราด 23000</t>
  </si>
  <si>
    <t>JB175209515TH</t>
  </si>
  <si>
    <t>คุณวัลย์ โรงอาหารกลาง</t>
  </si>
  <si>
    <t>0955429695</t>
  </si>
  <si>
    <t xml:space="preserve"> โรงอาหารกลาง ร้านคุณวัลย์ 107 ม.เกษตรศาสตร์กำแพงเเสน กำแพงแสน กำแพงแสน นครปฐม 73140</t>
  </si>
  <si>
    <t>JA168341371TH</t>
  </si>
  <si>
    <t>คุณพวงเพชรเจริญศรี</t>
  </si>
  <si>
    <t>0944272926</t>
  </si>
  <si>
    <t>30 ม5 คุ้งน้ำวน เมืองราชบุรี ราชบุรี 70000</t>
  </si>
  <si>
    <t>JB175245027TH</t>
  </si>
  <si>
    <t>วิรอร ธาราพรรค์</t>
  </si>
  <si>
    <t>0817931523</t>
  </si>
  <si>
    <t xml:space="preserve"> อาคารสวางคนิเวศ ป้อม 1ห้อง 2105 เลขที่ 888/1 ม.2 ถ.สุขุมวิท ท้ายบ้าน เมือง ท้ายบ้าน เมืองสมุทรปราการ สมุทรปราการ 10280</t>
  </si>
  <si>
    <t>JA168341368TH</t>
  </si>
  <si>
    <t>วิจิตร.วิจยาภรณ์</t>
  </si>
  <si>
    <t>0969682186</t>
  </si>
  <si>
    <t xml:space="preserve"> 199/4 หมู่ 7 ซอย 16 พานทอง พานทอง ชลบุรี 20160</t>
  </si>
  <si>
    <t>JB175245013TH</t>
  </si>
  <si>
    <t>นางบุญสม หว่านเงิน</t>
  </si>
  <si>
    <t>0958450616</t>
  </si>
  <si>
    <t>87/1 หมู่ 4 ซอยมหาสุข บางพึ่ง บ้านหมี่ ลพบุรี 15180</t>
  </si>
  <si>
    <t>JA168341354TH</t>
  </si>
  <si>
    <t>นายสมศักดิ์ ผ่องสว่าง</t>
  </si>
  <si>
    <t>0824899791</t>
  </si>
  <si>
    <t>คอนโดลุมพินีนครอินทร์ ห้อง 94/423 เลขที่ 92 ถนนนครอินทร์ ตลาดขวัญ เมืองนนทบุรี นนทบุรี 11000</t>
  </si>
  <si>
    <t>JA168341345TH</t>
  </si>
  <si>
    <t xml:space="preserve">ทัศยา ประทุมสวัสดิ์ </t>
  </si>
  <si>
    <t>0610611689</t>
  </si>
  <si>
    <t>81/64 ม.12 หมู่บ้านหนองตารส ตะพง เมืองระยอง ระยอง 21000</t>
  </si>
  <si>
    <t>JA168341337TH</t>
  </si>
  <si>
    <t>JA168341323TH</t>
  </si>
  <si>
    <t>Waw Boongthong</t>
  </si>
  <si>
    <t>0846514809</t>
  </si>
  <si>
    <t>154หมู่4 วานรนิวาส สกลนคร วานรนิวาส วานรนิวาส สกลนคร 47120</t>
  </si>
  <si>
    <t>JA168341310TH</t>
  </si>
  <si>
    <t>อุไรพร ทานา</t>
  </si>
  <si>
    <t>0808726360</t>
  </si>
  <si>
    <t>64/15 ม.5 บ้านนา จะนะ สงขลา 90130</t>
  </si>
  <si>
    <t>JA168341306TH</t>
  </si>
  <si>
    <t>ปาณิสรา สาดศรี</t>
  </si>
  <si>
    <t>0982690890</t>
  </si>
  <si>
    <t>4หมู่4บ้านหนองนกเขียน ร่มเกล้า นิคมคำสร้อย มุกดาหาร 49130</t>
  </si>
  <si>
    <t>JB175245000TH</t>
  </si>
  <si>
    <t>วงจันทร์ นามวงษ์</t>
  </si>
  <si>
    <t>0929320224</t>
  </si>
  <si>
    <t>4/7หมู่4 วันยาว ขลุง จันทบุรี 22110</t>
  </si>
  <si>
    <t>JA168341297TH</t>
  </si>
  <si>
    <t>สุพิศ. ศรีมนตรี</t>
  </si>
  <si>
    <t>0845248008</t>
  </si>
  <si>
    <t>16 ม.2 บ้านดอนหัน กุดใส้จ่อ กันทรวิชัย มหาสารคาม 44150</t>
  </si>
  <si>
    <t>JA168341283TH</t>
  </si>
  <si>
    <t>ธัญทิพย์ พรโชติพิสุทธิ์</t>
  </si>
  <si>
    <t>0816260529</t>
  </si>
  <si>
    <t>29/86 หมู่ 3 หมู่บ้านเจ้าพระยารัตนาธิเบศร์ บางเลน บางใหญ่ นนทบุรี 11140</t>
  </si>
  <si>
    <t>JA168341270TH</t>
  </si>
  <si>
    <t xml:space="preserve">บำรุง บัวดิษ </t>
  </si>
  <si>
    <t>0875625560</t>
  </si>
  <si>
    <t>11 ม 1 กง กงไกรลาศ สุโขทัย 64170</t>
  </si>
  <si>
    <t>JB175251359TH</t>
  </si>
  <si>
    <t>คุณสวรรยา พรหมราช  สำนักงานใหญ่</t>
  </si>
  <si>
    <t>0935824505</t>
  </si>
  <si>
    <t xml:space="preserve"> เลขที่ 25/80 ถนนประชาชื่น 1พาก. เถสถา. กวทยา 1999 บ้านพรุ หาดใหญ่ สงขลา 90250</t>
  </si>
  <si>
    <t>JB175251362TH</t>
  </si>
  <si>
    <t>คุณสรารัตน์ รัตนสุวรรณ สำนักงานใหญ่</t>
  </si>
  <si>
    <t>0922815430</t>
  </si>
  <si>
    <t xml:space="preserve"> เลรที่ 383 ซอยอ่อนนุช 49มาก. ดไคหลี มีก่ร ลล์แกในซ์ อ่อนนุช สวนหลวง กรุงเทพ 10250</t>
  </si>
  <si>
    <t>JB175251376TH</t>
  </si>
  <si>
    <t xml:space="preserve">บริษัท วิช๊อป 88 จำกัด </t>
  </si>
  <si>
    <t>เลขที่ 88 หมู่6 บางม่วง บางใหญ่ นนทบุรี 11140</t>
  </si>
  <si>
    <t>JB175251380TH</t>
  </si>
  <si>
    <t>JB175251393TH</t>
  </si>
  <si>
    <t>JB175251402TH</t>
  </si>
  <si>
    <t>Attn คุณเจนนี้ Hp</t>
  </si>
  <si>
    <t>JB175257609TH</t>
  </si>
  <si>
    <t xml:space="preserve">คุณจรี ชูกิจการรุ่ง </t>
  </si>
  <si>
    <t>121/2หมู่.9.ซ. เกษตร6 หนองลู สังขละบุรี กาญจนบุรี 71240</t>
  </si>
  <si>
    <t>JB175316151TH</t>
  </si>
  <si>
    <t xml:space="preserve">บริษัท พี โอ พี เทิร์น จำกัด </t>
  </si>
  <si>
    <t>เลขที่ 8 ชอยประชาราษฎร์5 แยก 1/4 ตลาดขวัญ เมืองนนทบุรี นนทบุรี 11000</t>
  </si>
  <si>
    <t>JB175316165TH</t>
  </si>
  <si>
    <t>คุณสุกัญญา คุณวิชา</t>
  </si>
  <si>
    <t>0850004699</t>
  </si>
  <si>
    <t>ร้านเสื้อผ้าTTS ทีทีเอส เลขที่ 352 หมู่ 8 ถ.เลย-เชียงคาน เมือง เมืองเลย เลย 42000</t>
  </si>
  <si>
    <t>JB175316179TH</t>
  </si>
  <si>
    <t>คุณเขมิกา แซ่ฉา</t>
  </si>
  <si>
    <t>0832296395</t>
  </si>
  <si>
    <t>99/173 อ่าวไทย10 หมู่บ้านศุภาลัยวิลล์ สุขุมวิท-แพรกษา แพรกษาใหม่ เมืองสมุทรปราการ สมุทรปราการ 10280</t>
  </si>
  <si>
    <t>JB175326508TH</t>
  </si>
  <si>
    <t>JB175333662TH</t>
  </si>
  <si>
    <t xml:space="preserve">บริษัท เทสตี้ แอนด์ โฮมมี่ จำกัด </t>
  </si>
  <si>
    <t>90/7 หมู่ 2 พลายชุมพล เมือง พิาณุโลก พลายชุมพล เมืองพิษณุโลก พิษณุโลก 65000</t>
  </si>
  <si>
    <t>JB175333676TH</t>
  </si>
  <si>
    <t>บริษัทเดอะเชาเออร์ บางกอก จำกัด</t>
  </si>
  <si>
    <t xml:space="preserve"> 141 อาคารเมเจอร์ ทาวเวอร์ ทองหล่อ ชั้น 8 ออฟฟิศ 2 ซอยสุขุมวิท 63 เอกมัย ถนนสุขุมวิท คลองตันเหนือ วัฒนา กรุงเทพ 10110</t>
  </si>
  <si>
    <t>JB175333680TH</t>
  </si>
  <si>
    <t>บริษัท ไซไอเดีย จำกัด</t>
  </si>
  <si>
    <t xml:space="preserve"> 9 ซอยจันทร์ แยก 12-3 ถนนจันทร์ วัดพระยาไกร วัดพระยาไกร บางคอแหลม กรุงเทพ 10120</t>
  </si>
  <si>
    <t>JB175333693TH</t>
  </si>
  <si>
    <t xml:space="preserve">บริษัทสปริงมี จำกัด </t>
  </si>
  <si>
    <t>41/1 ซอยพหลโยธิน 9 ถนนพหลโยธิน พญาไท พญาไท กรุงเทพ 10400</t>
  </si>
  <si>
    <t>JA168773465TH</t>
  </si>
  <si>
    <t>JB175387422TH</t>
  </si>
  <si>
    <t xml:space="preserve">วารุณี พลังวชิรา </t>
  </si>
  <si>
    <t>0909898258</t>
  </si>
  <si>
    <t>18 ซอยท่าดินแดง6 ถนน ท่าดินแดง คลองสาน คลองสาน กรุงเทพ 10600</t>
  </si>
  <si>
    <t>JA168773448TH</t>
  </si>
  <si>
    <t>ศรีวรรณ-สาเกิด</t>
  </si>
  <si>
    <t>0948958813</t>
  </si>
  <si>
    <t>ร้านอาหารครัวแม่ศรี ชักพระ ปากซอย10 ตลิ่งชัน ก.ท.ม คลองชักพระ ตลิ่งชัน กรุงเทพ 10170</t>
  </si>
  <si>
    <t>JA168773425TH</t>
  </si>
  <si>
    <t>อุไร ช่างแย้ม</t>
  </si>
  <si>
    <t>0898505958</t>
  </si>
  <si>
    <t>211/70 หมู่ 6 สันโป่ง แม่ริม เชียงใหม่ 50180</t>
  </si>
  <si>
    <t>JB175387419TH</t>
  </si>
  <si>
    <t>อุบลรัตน์เส็งประชา</t>
  </si>
  <si>
    <t>13หมุ4.ตวัดสำโรงอนครชัยศรีจนครปฐม.ซ.กำนันเอก. วัดสำโรง นครชัยศรี นครปฐม 73120</t>
  </si>
  <si>
    <t>JA168773417TH</t>
  </si>
  <si>
    <t>JB175387405TH</t>
  </si>
  <si>
    <t xml:space="preserve">อัมพา มะปรางหวาน </t>
  </si>
  <si>
    <t>0819473243</t>
  </si>
  <si>
    <t>98/16ม.เปี่ยมสุข7ถ.ลำท่าแดงkrupan18ampa@gmail ศาลาแดง เมืองอ่างทอง อ่างทอง 14000</t>
  </si>
  <si>
    <t>JB175387396TH</t>
  </si>
  <si>
    <t xml:space="preserve">นางวราภรณ์ จัดดี </t>
  </si>
  <si>
    <t>0895782274</t>
  </si>
  <si>
    <t>307/68 หมู่บ้านสิริมงคล6 ซอยในหมู่บ้านซอย6 แจระแม เมืองอุบลราชธานี อุบลราชธานี 34000</t>
  </si>
  <si>
    <t>JB175387382TH</t>
  </si>
  <si>
    <t>สายพิณฐ์ โลกา</t>
  </si>
  <si>
    <t>0634425549</t>
  </si>
  <si>
    <t>บ.ต้น-สายปลายน้ำกรุ๊ป จำกัด 24/2 ม.5 ถนนประชาสำราญ ซอยประชาสำราญ 1 คลองสิบสอง หนองจอก กรุงเทพ 10530</t>
  </si>
  <si>
    <t>JB175387379TH</t>
  </si>
  <si>
    <t>232/21 หมู่ 1 ซอย 6 บ้านหลังสีฟ้า แม่น้ำ เกาะสมุย สุราษฎร์ธานี 84330</t>
  </si>
  <si>
    <t>JA168773403TH</t>
  </si>
  <si>
    <t>JB175387365TH</t>
  </si>
  <si>
    <t>นายบวร มณีโชติ</t>
  </si>
  <si>
    <t>0894132260</t>
  </si>
  <si>
    <t>157/27 หมู่ 6 ซอยอำนวยสุข 5 ถนนเพชรเกษม เขาน้อย ปราณบุรี ประจวบคีรีขันธ์ 77120</t>
  </si>
  <si>
    <t>JA168773394TH</t>
  </si>
  <si>
    <t>JA168773385TH</t>
  </si>
  <si>
    <t>คุณประสบภรณ์ ฮอลบูร์ค</t>
  </si>
  <si>
    <t>0897909911</t>
  </si>
  <si>
    <t>ร้านขายนกซาฟารีเพ้ทเชียงใหม่ กาดคำเที่ยง ป่าตัน เมืองเชียงใหม่ เชียงใหม่ 50300</t>
  </si>
  <si>
    <t>JB175387351TH</t>
  </si>
  <si>
    <t xml:space="preserve">กัญทิมา สุขศิริมัช </t>
  </si>
  <si>
    <t>0616415662</t>
  </si>
  <si>
    <t>10/2 ถ.ทางไผ่ 2 เชิงเนิน เมืองระยอง ระยอง 21000</t>
  </si>
  <si>
    <t>JB175406339TH</t>
  </si>
  <si>
    <t>วรัญญา แก้วเคนมา</t>
  </si>
  <si>
    <t>0983267589</t>
  </si>
  <si>
    <t>72/1 ห้อง4หลังแรกขวามือซ.เซเว่นแยกรพ.มงกุฎระยอง ถ.มาบยา มาบตาพุด เมืองระยอง ระยอง 21150</t>
  </si>
  <si>
    <t>JB175441004TH</t>
  </si>
  <si>
    <t>Taraporn H</t>
  </si>
  <si>
    <t>0971704936</t>
  </si>
  <si>
    <t>122 ซอย พัฒนาการ 63 ถนนพัฒนาการ ประเวศ ประเวศ ประเวศ กรุงเทพ 10250</t>
  </si>
  <si>
    <t>JB175447262TH</t>
  </si>
  <si>
    <t>JB175459362TH</t>
  </si>
  <si>
    <t>บริษัท โปร วัน เน็ตเวิร์ค จำกัด</t>
  </si>
  <si>
    <t>073555600</t>
  </si>
  <si>
    <t>229/264 หมู่บ้านพฤกษาวิลล์10 ม.4 กระทุ่มล้ม สามพราน นครปฐม 73220</t>
  </si>
  <si>
    <t>JB175461321TH</t>
  </si>
  <si>
    <t>นายโต้ง นาคทั่ง U-Nine Apartment</t>
  </si>
  <si>
    <t>0858084106</t>
  </si>
  <si>
    <t>5/30 ถ.คลองเทียน ซ.1 ชะอำ ชะอำ เพชรบุรี 76120</t>
  </si>
  <si>
    <t>JB175461318TH</t>
  </si>
  <si>
    <t>รุ้งตะวัน</t>
  </si>
  <si>
    <t>0815734683</t>
  </si>
  <si>
    <t>54/124 หมู่บ้าน ศุภลัย ปาล์มสปริง เทพารักษ์ หมู่ที่2 ซ. 8 บางปลา บางพลี สมุทรปราการ 10540</t>
  </si>
  <si>
    <t>JB175461304TH</t>
  </si>
  <si>
    <t>JB175461295TH</t>
  </si>
  <si>
    <t>อมรรัตน์ รัตนะ</t>
  </si>
  <si>
    <t>0927015849</t>
  </si>
  <si>
    <t>268 หมู่ 4 ท่าตูม ศรีมหาโพธิ์, ปราจีนบุรี ท่าตูม ศรีมหาโพธิ ปราจีนบุรี 25140</t>
  </si>
  <si>
    <t>JB175461281TH</t>
  </si>
  <si>
    <t>นายสำรวย นวลจันทร์ตรา จิไก่</t>
  </si>
  <si>
    <t>0895836899</t>
  </si>
  <si>
    <t>50หมู่ 9 หนองสามวัง หนองเสือ ปทุมธานี 12170</t>
  </si>
  <si>
    <t>JB175461278TH</t>
  </si>
  <si>
    <t>นายชลธี สุคนธบารมี</t>
  </si>
  <si>
    <t>0812939321</t>
  </si>
  <si>
    <t>107/9 ฃ.วัดดงมูลเหล็ก ต.บ้านช่างหล่อ อ.บางกอกน้อย ถ.อิสรภาพ39 กรุงเทพ บ้านช่างหล่อ บางกอกน้อย บ้านช่างหล่อ บางกอกน้อย กรุงเทพ 10700</t>
  </si>
  <si>
    <t>JB175461264TH</t>
  </si>
  <si>
    <t>รุ่งระวี เตียวลักษณ์</t>
  </si>
  <si>
    <t>0898323716</t>
  </si>
  <si>
    <t>270/15 ม.8 ซ.ประโยชน์ คลองกิ่ว บ้านบึง ชลบุรี 20220</t>
  </si>
  <si>
    <t>JA169008797TH</t>
  </si>
  <si>
    <t>Sukanya Khamprakaikul</t>
  </si>
  <si>
    <t>0815565454</t>
  </si>
  <si>
    <t>11 หมู่7 บ้านน้อยหัวคู ขมิ้น สกลนคร ขมิ้น เมืองสกลนคร สกลนคร 47220</t>
  </si>
  <si>
    <t>JA169008783TH</t>
  </si>
  <si>
    <t>JA169008770TH</t>
  </si>
  <si>
    <t>คุณโบว์</t>
  </si>
  <si>
    <t>0625836493</t>
  </si>
  <si>
    <t>บ้านเลขที่19 หมู่3 คำพราน วังม่วง สระบุรี 18220</t>
  </si>
  <si>
    <t>JA169008766TH</t>
  </si>
  <si>
    <t xml:space="preserve">น.ส ภาณุมาส ศรีมาพักร์ </t>
  </si>
  <si>
    <t>0984822846</t>
  </si>
  <si>
    <t>75/2หมู่1 ขามใหญ่ เมืองอุบลราชธานี อุบลราชธานี 34000</t>
  </si>
  <si>
    <t>JA169008752TH</t>
  </si>
  <si>
    <t>JA169008749TH</t>
  </si>
  <si>
    <t>JA169008735TH</t>
  </si>
  <si>
    <t>นายเอกชัย สธิพร เลขที่</t>
  </si>
  <si>
    <t>0923239368</t>
  </si>
  <si>
    <t>61, หมู่ที่ 4 ดอนกำยาน เมืองสุพรรณบุรี สุพรรณบุรี 72000</t>
  </si>
  <si>
    <t>JA169008721TH</t>
  </si>
  <si>
    <t>JA169008718TH</t>
  </si>
  <si>
    <t>JA169008695TH</t>
  </si>
  <si>
    <t>นางสาวศุภมาศ ชีพจำเป็น</t>
  </si>
  <si>
    <t>0654014248</t>
  </si>
  <si>
    <t xml:space="preserve"> บ้านเลขที่ 25 ซ.เสริมสุวรรณ มาบตาพุด เมืองระยอง ระยอง 21150</t>
  </si>
  <si>
    <t>JA169008681TH</t>
  </si>
  <si>
    <t>ธานินทร์ อารยชน</t>
  </si>
  <si>
    <t>0616235409</t>
  </si>
  <si>
    <t xml:space="preserve"> 139/77 ธารวิณเพลส ซ.ประชาสงเคราะห์ 33 ถ.ประชาสงเคราะห์ ดินแดง ดินแดง กรุงเทพ 10400</t>
  </si>
  <si>
    <t>JB175471669TH</t>
  </si>
  <si>
    <t>ณิชาภา เล้าเจริญ</t>
  </si>
  <si>
    <t>0854039193</t>
  </si>
  <si>
    <t>25/1 หมู่7 ซอยรางยอ2 ลำพยา เมืองนครปฐม นครปฐม 73000</t>
  </si>
  <si>
    <t>JA169025384TH</t>
  </si>
  <si>
    <t>สุนันทาวตะกูลสิน</t>
  </si>
  <si>
    <t>0859214824</t>
  </si>
  <si>
    <t xml:space="preserve"> 93ม.7ต.ท่าโรงอ.วิเชียรบุรีจ.เพชรบูรณ์ ท่าโรง วิเชียรบุรี เพชรบูรณ์ 67130</t>
  </si>
  <si>
    <t>JB175472681TH</t>
  </si>
  <si>
    <t xml:space="preserve">คนึงนิจ กุ้ยอ่อน </t>
  </si>
  <si>
    <t>หมู่บ้านเจริญค้าหัวโป่ง หมู่ 15 139/93 ซอย 10 ปากแรต บ้านโป่ง ราชบุรี ปากแรต บ้านโป่ง ราชบุรี 70110</t>
  </si>
  <si>
    <t>JA169138046TH</t>
  </si>
  <si>
    <t xml:space="preserve">คุณรำไพ ภูถาวร </t>
  </si>
  <si>
    <t>0894081754</t>
  </si>
  <si>
    <t>456/1 ซ.โคกเวียงอุทิศ 22 ถ.อนรรฆนาค กาฬสินธุ์ เมืองกาฬสินธุ์ กาฬสินธุ์ 46000</t>
  </si>
  <si>
    <t>JA169138050TH</t>
  </si>
  <si>
    <t>วัชรี ลีรุ่งสีทอง</t>
  </si>
  <si>
    <t>0815795799</t>
  </si>
  <si>
    <t>70 ซ.เพชรเกษม 4 วัดท่าพระ บางกอกใหญ่ กรุงเทพ 10600</t>
  </si>
  <si>
    <t>JA169138063TH</t>
  </si>
  <si>
    <t>เจ้นาง</t>
  </si>
  <si>
    <t>0636159287</t>
  </si>
  <si>
    <t>ร้านสิทธฺ์มอเตอร์ 90หมู่4 บ.นาหัวรัตน์ สระนกแก้ว โพนทอง ร้อยเอ็ด 45110</t>
  </si>
  <si>
    <t>JB175509086TH</t>
  </si>
  <si>
    <t>นางสำรี ยาโน</t>
  </si>
  <si>
    <t>0931104549</t>
  </si>
  <si>
    <t>1หมู่4 บ้านหนองบัว ขุมเงิน เมืองยโสธร ยโสธร 35000</t>
  </si>
  <si>
    <t>JB175509090TH</t>
  </si>
  <si>
    <t>คุณวะณี พันธ์เพชร</t>
  </si>
  <si>
    <t>0627094577</t>
  </si>
  <si>
    <t>48 หมู่ 1 บ้านคำโพนสูง กกโพธิ์ หนองพอก ร้อยเอ็ด 45210</t>
  </si>
  <si>
    <t>JA169361620TH</t>
  </si>
  <si>
    <t>0802087598</t>
  </si>
  <si>
    <t>JB175589495TH</t>
  </si>
  <si>
    <t>ทัศญา คำทอน 1</t>
  </si>
  <si>
    <t>0930732926</t>
  </si>
  <si>
    <t xml:space="preserve"> 3 ม.12 บ.นาสมบูรณ์ ดอนสมบูรณ์ ยางตลาด กาฬสินธุ์ 46120</t>
  </si>
  <si>
    <t>JB175589478TH</t>
  </si>
  <si>
    <t>ทัศญา คำทอน 2</t>
  </si>
  <si>
    <t>JA169361593TH</t>
  </si>
  <si>
    <t>นิติพง นามจันทร์</t>
  </si>
  <si>
    <t>0660731385</t>
  </si>
  <si>
    <t>58/21 ม.3 ตาขัน บ้านค่าย ระยอง 21120</t>
  </si>
  <si>
    <t>JA169361562TH</t>
  </si>
  <si>
    <t>JB175589464TH</t>
  </si>
  <si>
    <t>JB175589433TH</t>
  </si>
  <si>
    <t>ศรินทร์ธร สุทัศนีย์ ชมพู่</t>
  </si>
  <si>
    <t>0882525200</t>
  </si>
  <si>
    <t xml:space="preserve"> ร้านนวดกินนรี ลาดพร้าว80แยก22 วังทองหลาง วังทองหลาง กรุงเทพ 10310</t>
  </si>
  <si>
    <t>JA169361514TH</t>
  </si>
  <si>
    <t>ปุณณภา ตันหล้า</t>
  </si>
  <si>
    <t>0835659366</t>
  </si>
  <si>
    <t>69/3หมู่6บ้านแม่คาวโตน สันกลาง พาน เชียงราย 57120</t>
  </si>
  <si>
    <t>JA169361491TH</t>
  </si>
  <si>
    <t>ยิ่งลักษณ์ เศรษฐกิจ</t>
  </si>
  <si>
    <t>0831698689</t>
  </si>
  <si>
    <t>216/150ม.12 ทุ่งสุขลา ศรีราชา ชลบุรี 20230</t>
  </si>
  <si>
    <t>JA169361488TH</t>
  </si>
  <si>
    <t>Phatcharee Nampa</t>
  </si>
  <si>
    <t>0815966694</t>
  </si>
  <si>
    <t>บ้านเลขที่ 172 หมู่ 3 ซอย 6 สามเงา สามเงา ตาก 63130</t>
  </si>
  <si>
    <t>JB175589420TH</t>
  </si>
  <si>
    <t>Ple Chairat chairat</t>
  </si>
  <si>
    <t>0616459247</t>
  </si>
  <si>
    <t>157/17 หมู่21 ร้านลาบคำปิง หลังธนาคารออมสิน บ้านเพชร บำเหน็จณรงค์ ชัยภูมิ 36160</t>
  </si>
  <si>
    <t>JB175589416TH</t>
  </si>
  <si>
    <t>Revadee Saengchot</t>
  </si>
  <si>
    <t>0814137719</t>
  </si>
  <si>
    <t>222/1ซ.รุ่งเรือง ถ.สุขสวัสดิ์ ราษฎร์บูรณะ ราษฎร์บูรณะ กรุงเทพ 10140</t>
  </si>
  <si>
    <t>JB175589402TH</t>
  </si>
  <si>
    <t>JB175589393TH</t>
  </si>
  <si>
    <t>วาริน มากเรืองศรี</t>
  </si>
  <si>
    <t>0843542402</t>
  </si>
  <si>
    <t>48/471ม.1ซ.คลองหลวง3 คลองหนึ่ง คลองหลวง ปทุมธานี 12120</t>
  </si>
  <si>
    <t>JB175589380TH</t>
  </si>
  <si>
    <t>กาญจนาวดี คงแก้ว</t>
  </si>
  <si>
    <t>0984958518</t>
  </si>
  <si>
    <t>99/32ม.3 ดินทอง นาทวี นาทวี สงขลา 90160</t>
  </si>
  <si>
    <t>JA169361412TH</t>
  </si>
  <si>
    <t>199/54 ซอย 8 หมู่ที่ 9 ถนน พุทธมณฑลสายสี่ กระทุ่มล้ม สามพราน นครปฐม 73220</t>
  </si>
  <si>
    <t>JA169361390TH</t>
  </si>
  <si>
    <t>กรวิภา จงสาครสิน</t>
  </si>
  <si>
    <t>0816322970</t>
  </si>
  <si>
    <t xml:space="preserve"> 212/31หมู่3 หมู่บ้านรสิกา ถนนบางพลี-ตำหรุ แพรกษาใหม่ เมืองสมุทรปราการ สมุทรปราการ 10280</t>
  </si>
  <si>
    <t>JA169361372TH</t>
  </si>
  <si>
    <t xml:space="preserve">มนัส คำษาวงษ์ </t>
  </si>
  <si>
    <t>0621645235</t>
  </si>
  <si>
    <t>99 โรงเรียนปลูกจิต ซอยปลูกจิต ถนนพระรามสี่ ลุมพินี ปทุมวัน กรุงเทพ 10330</t>
  </si>
  <si>
    <t>JA169361369TH</t>
  </si>
  <si>
    <t>อาทิตา วรรณจรุง</t>
  </si>
  <si>
    <t>0949717049</t>
  </si>
  <si>
    <t>8/6หมู่7 พลายวาส กาญจนดิษฐ์ จ.สุราษฯ พลายวาส กาญจนดิษฐ์ สุราษฎร์ธานี 84160</t>
  </si>
  <si>
    <t>JB175589362TH</t>
  </si>
  <si>
    <t>JB175589359TH</t>
  </si>
  <si>
    <t>กฤษณะ น่าบัณฑิต</t>
  </si>
  <si>
    <t>0838821905</t>
  </si>
  <si>
    <t>889/156 หมู่ 9 หมู่บ้าน สยามนิเวศน์2 ซ 18 ในคลองบางปลากด พระสมุทรเจดีย์ สมุทรปราการ 10290</t>
  </si>
  <si>
    <t>JA169386860TH</t>
  </si>
  <si>
    <t xml:space="preserve">นางสาวกัญญาณัฐ กัญวราภรณ์ </t>
  </si>
  <si>
    <t>0655496120</t>
  </si>
  <si>
    <t>115/16 บ้านพักชั้นนายพัน มท17 ลาดหญ้า เมืองกาญจนบุรี กาญจนบุรี 71190</t>
  </si>
  <si>
    <t>JB175602276TH</t>
  </si>
  <si>
    <t>ศราวุฒิ</t>
  </si>
  <si>
    <t>0863765934</t>
  </si>
  <si>
    <t>บจก.ไทยยังเคมีคอล 993 ม.2 นิคมอุตสาหกรรมบางปู ซอย1 c/1 ถ.สุขุมวิท บางปูใหม่ เมืองสมุทรปราการ สมุทรปราการ 10280</t>
  </si>
  <si>
    <t>JB175602280TH</t>
  </si>
  <si>
    <t>ชนาภัทร</t>
  </si>
  <si>
    <t>0958641502</t>
  </si>
  <si>
    <t>ม.พฤกษา82 597/420 ในคลองบางปลากด พระสมุทรเจดีย์ สมุทรปราการ 10290</t>
  </si>
  <si>
    <t>JB175602293TH</t>
  </si>
  <si>
    <t>พุทธชาติ คุณากรกีรติ</t>
  </si>
  <si>
    <t>0625022633</t>
  </si>
  <si>
    <t>203 ตรอกขจรพานิช ต.หน้าเมือง อ.เมือง จ.ปราจีนบุรี 25000 หน้าเมือง เมืองปราจีนบุรี ปราจีนบุรี 25000</t>
  </si>
  <si>
    <t>JA169386873TH</t>
  </si>
  <si>
    <t>JA169386887TH</t>
  </si>
  <si>
    <t>ณัชชา อินทะจักร</t>
  </si>
  <si>
    <t>0952823949</t>
  </si>
  <si>
    <t>153หมู่4บ้านทุ่งกล้วย ทุ่งกล้วย ภูซาง พะเยา 56110</t>
  </si>
  <si>
    <t>JA169386895TH</t>
  </si>
  <si>
    <t>JA169504195TH</t>
  </si>
  <si>
    <t>JA169504204TH</t>
  </si>
  <si>
    <t>นางกรรณิการ์ โชติพูล</t>
  </si>
  <si>
    <t>0811835009</t>
  </si>
  <si>
    <t>โรงเรียนสามขาสว่างวิทย์ สามขา กุฉินารายณ์ กาฬสินธุ์ 46110</t>
  </si>
  <si>
    <t>JA169504218TH</t>
  </si>
  <si>
    <t>บุศรัณย์ เพิ่มสุวรรณ</t>
  </si>
  <si>
    <t>0617548128</t>
  </si>
  <si>
    <t>74/29 ถนน รองเมือง วังใหม่ ปทุมวัน กรุงเทพ 10330</t>
  </si>
  <si>
    <t>JA169504221TH</t>
  </si>
  <si>
    <t>JB175636133TH</t>
  </si>
  <si>
    <t>คุณแม่</t>
  </si>
  <si>
    <t>0946679111</t>
  </si>
  <si>
    <t>สำนักงานเขตราชเทวี ถนนพญาไท ทุ่งพญาไท ราชเทวี กรุงเทพ 10400</t>
  </si>
  <si>
    <t>JB175636147TH</t>
  </si>
  <si>
    <t xml:space="preserve">ปราณี ศิริสิน </t>
  </si>
  <si>
    <t>318/2ซ.เจริญสุขถ.พระราม4 คลองเตย คลองเตย กรุงเทพ 10110</t>
  </si>
  <si>
    <t>JB175636155TH</t>
  </si>
  <si>
    <t>นนท์นภัทร ทิพย์ตำแย</t>
  </si>
  <si>
    <t>0845339189</t>
  </si>
  <si>
    <t>179 ม.2 บ้านขาม น้ำพอง ขอนแก่น 40140</t>
  </si>
  <si>
    <t>JB175657425TH</t>
  </si>
  <si>
    <t>ห้างหุ้นส่วนจำกัด เคเคบีเซอร์วิส สนญ</t>
  </si>
  <si>
    <t>0810250627</t>
  </si>
  <si>
    <t>แผนกการเงิน/บัญชี 36 หมู่ที่ 27000 คุ้งกระถิน เมืองราชบุรี ราชบุรี 70000</t>
  </si>
  <si>
    <t>JB175657439TH</t>
  </si>
  <si>
    <t xml:space="preserve">บริษัท เคเจ เพอร์เฟ็ค จำกัด </t>
  </si>
  <si>
    <t>0825700196</t>
  </si>
  <si>
    <t>แผนกการเงิน/บัญชี 69/64 หมู่ที่ 3 ท่าตลาด สามพราน นครปฐม 73110</t>
  </si>
  <si>
    <t>JB175657442TH</t>
  </si>
  <si>
    <t>JB175665642TH</t>
  </si>
  <si>
    <t>บริษัท ฟิตเม้นท์ รีเทล จำกัด คุณปอง</t>
  </si>
  <si>
    <t>0814660545</t>
  </si>
  <si>
    <t>222/163 สิริ เพลส ราชพฤกษ์ พระราม5 บางเลน บางใหญ่ นนทบุรี 11140</t>
  </si>
  <si>
    <t>JA169842595TH</t>
  </si>
  <si>
    <t>Thip Pornporm</t>
  </si>
  <si>
    <t>0659835653</t>
  </si>
  <si>
    <t>87/11 ม.5 สวนหลวง กระทุ่มแบน สมุทรสาคร 74110</t>
  </si>
  <si>
    <t>JB175756241TH</t>
  </si>
  <si>
    <t>JA169842581TH</t>
  </si>
  <si>
    <t>คุณศิริวรรณ ไก่</t>
  </si>
  <si>
    <t>0888877469</t>
  </si>
  <si>
    <t>1748 ม.6 ซอยบุญประคอง ถนนสุขุมวิท ท้ายบ้าน เมืองสมุทรปราการ สมุทรปราการ 10280</t>
  </si>
  <si>
    <t>JA169842578TH</t>
  </si>
  <si>
    <t>สุนิสา ปักษิณ</t>
  </si>
  <si>
    <t>0879908896</t>
  </si>
  <si>
    <t>423 ม.4 หนองพลับ หัวหิน ประจวบคีรีขันธ์ 77110</t>
  </si>
  <si>
    <t>JB175756238TH</t>
  </si>
  <si>
    <t>มนัส พูนบางยุง</t>
  </si>
  <si>
    <t>0819785823</t>
  </si>
  <si>
    <t>49 ม.3 บางเลน บางเลน นครปฐม 73130</t>
  </si>
  <si>
    <t>JA169842564TH</t>
  </si>
  <si>
    <t>JA169842555TH</t>
  </si>
  <si>
    <t>สายรุ้ง ทรงชน</t>
  </si>
  <si>
    <t>0986405367</t>
  </si>
  <si>
    <t>74/2 ม.6 ท่าด้วง หนองไผ่ เพชรบูรณ์ 67140</t>
  </si>
  <si>
    <t>JB175704465TH</t>
  </si>
  <si>
    <t>หมู่บ้านศิวาลัยเวลโกร 98/93 หมู่ที่ 3 พิมพา บางปะกง ฉะเชิงเทรา พิมพา บางปะกง ฉะเชิงเทรา 24180</t>
  </si>
  <si>
    <t>JB175756224TH</t>
  </si>
  <si>
    <t>อินทิรา สิทธิโรจน์</t>
  </si>
  <si>
    <t>0819002065</t>
  </si>
  <si>
    <t>40 ม.12 บางมะพร้าว หลังสวน ชุมพร 86150</t>
  </si>
  <si>
    <t>น.ส.อรอนงค์ ไชยศร</t>
  </si>
  <si>
    <t>0856410094</t>
  </si>
  <si>
    <t>1943/3  ม.3 นาโพธิ์ ทุ่งสง นครศรีธรรมราช 80110</t>
  </si>
  <si>
    <t>JA169842533TH</t>
  </si>
  <si>
    <t>สุภมาส สารรักษ์</t>
  </si>
  <si>
    <t>0808021722</t>
  </si>
  <si>
    <t>บริษัท เจม ยี จำกัด 42 ถ.คู้บอน บางชัน คลองสามวา กรุงเทพ 10510</t>
  </si>
  <si>
    <t>JA169842516TH</t>
  </si>
  <si>
    <t>ประไพศรี ศักดิ์สมบูรณ์</t>
  </si>
  <si>
    <t>0615422493</t>
  </si>
  <si>
    <t>52 ม.5 ท่าราบ เมืองราชบุรี ราชบุรี 70000</t>
  </si>
  <si>
    <t>JA169842502TH</t>
  </si>
  <si>
    <t>ธีรดล เพลส152/30 ในเมือง เมือง นครราชสีมา Thailand ในเมือง เมืองนครราชสีมา นครราชสีมา 30000</t>
  </si>
  <si>
    <t>JB175756198TH</t>
  </si>
  <si>
    <t>JB175756184TH</t>
  </si>
  <si>
    <t>วีรจิต สร้อยสังวาลย์</t>
  </si>
  <si>
    <t>0615898481</t>
  </si>
  <si>
    <t>5/9-11-12 บางสมัคร บางปะกง ฉะเชิงเทรา 24180</t>
  </si>
  <si>
    <t>JB175756309TH</t>
  </si>
  <si>
    <t>ฉันทนา</t>
  </si>
  <si>
    <t>0844802215</t>
  </si>
  <si>
    <t>323 ม.12 ข่วงเปา จอมทอง เชียงใหม่ 50160</t>
  </si>
  <si>
    <t>JB175784707TH</t>
  </si>
  <si>
    <t>ภาคภูมิ ทองพฤกษา</t>
  </si>
  <si>
    <t>0956328795</t>
  </si>
  <si>
    <t>ร้านอาหารสวีท ตรงข้ามโรงเรียน ญ.ว.﻿ 462 ถ.เพชรเกษม หาดใหญ่ หาดใหญ่ สงขลา 90110</t>
  </si>
  <si>
    <t>JA170191786TH</t>
  </si>
  <si>
    <t>ณัฐพร</t>
  </si>
  <si>
    <t>0656589775</t>
  </si>
  <si>
    <t>949/7 ม.8 บ.แสงทองเวียงใต้ หลังแขกข้าวมันไก่ เวียงใต้ ปาย แม่ฮ่องสอน 58130</t>
  </si>
  <si>
    <t>JB175871352TH</t>
  </si>
  <si>
    <t>JB175871349TH</t>
  </si>
  <si>
    <t>JB175871335TH</t>
  </si>
  <si>
    <t>JA170191772TH</t>
  </si>
  <si>
    <t xml:space="preserve">ธมกร นาครินทร์ </t>
  </si>
  <si>
    <t>ร้านตัดผมธุบาเบอร์ 577/3 หมู่ 7 ถ.ศรีบุญลือ กำแพง อุทุมพรพิสัย ศรีสะเกษ 33120</t>
  </si>
  <si>
    <t>JA170191769TH</t>
  </si>
  <si>
    <t>แน่งน้อย ราชปรีชา</t>
  </si>
  <si>
    <t xml:space="preserve"> โรงเรียนวัดดงหมี เนินกุ่ม บางกระทุ่ม พิษณุโลก 65210</t>
  </si>
  <si>
    <t>JB175871321TH</t>
  </si>
  <si>
    <t>ทิพย์วิมล ช้อยชด</t>
  </si>
  <si>
    <t>0865152714</t>
  </si>
  <si>
    <t>1279/636 หมู่ 6 ซ.โนรี19 ท้ายบ้านใหม่ เมืองสมุทรปราการ สมุทรปราการ 10280</t>
  </si>
  <si>
    <t>JA170191755TH</t>
  </si>
  <si>
    <t>อรุณวรรณ หล้าจางวาง</t>
  </si>
  <si>
    <t>0879858724</t>
  </si>
  <si>
    <t>หมวดทางหลวงสังคม ต.ผาตั้ง อ.สังคม จ.หนองคาย  ผาตั้ง สังคม หนองคาย 43160</t>
  </si>
  <si>
    <t>JB175871318TH</t>
  </si>
  <si>
    <t>คุณสิริลักษณ์ ที่รักษ์</t>
  </si>
  <si>
    <t>0868975959</t>
  </si>
  <si>
    <t xml:space="preserve"> 34 30/196ถ.รามอินทรา35 อนุสาวรีย์ บางเขน กรุงเทพ 10220</t>
  </si>
  <si>
    <t>JA170191741TH</t>
  </si>
  <si>
    <t>Kติ๊ก</t>
  </si>
  <si>
    <t>0831222932</t>
  </si>
  <si>
    <t xml:space="preserve"> บ.10/ซ,สังคมสงเคราะห์24 แขวง/ข/ลาดพร้าว ถ,ลาดพร้าว/ก,ท,ม/ ลาดพร้าว ลาดพร้าว กรุงเทพ 10230</t>
  </si>
  <si>
    <t>JA170191738TH</t>
  </si>
  <si>
    <t>น้ำตาล</t>
  </si>
  <si>
    <t>0822328358</t>
  </si>
  <si>
    <t>15/3 ม.8 ตาลเดี่ยว แก่งคอย สระบุรี 18110</t>
  </si>
  <si>
    <t>JA170191724TH</t>
  </si>
  <si>
    <t>รินจง ขนุนแก้ว</t>
  </si>
  <si>
    <t>0895540944</t>
  </si>
  <si>
    <t>463/1 ม. 3 ซ.ฟอกแลนด์ เวียง เชึยงใหม่ Thailand เวียง ฝาง เชียงใหม่ 50110</t>
  </si>
  <si>
    <t>JB175871304TH</t>
  </si>
  <si>
    <t>คุณเฉลียว จันทร์แดง</t>
  </si>
  <si>
    <t>0644192242</t>
  </si>
  <si>
    <t xml:space="preserve"> เลขที่ 1 หมู่ 4 หน้าวัดราษฏร์สมานฉันท์ หนองกระทุ่ม ปากท่อ ราชบุรี 70140</t>
  </si>
  <si>
    <t>JA170191715TH</t>
  </si>
  <si>
    <t>แววตา จิตร์ซื่อ</t>
  </si>
  <si>
    <t>0867815376</t>
  </si>
  <si>
    <t>102/218 ชอย3 หูม่บ้านรัตนวาดี บางรักพัฒนา บางบัวทอง นนทบุรี 11110</t>
  </si>
  <si>
    <t>JA170191707TH</t>
  </si>
  <si>
    <t xml:space="preserve">วิลาวรรณ เตรียมกรม </t>
  </si>
  <si>
    <t>0826832592</t>
  </si>
  <si>
    <t>หมู่4 37/465 ซ.2/1 ถ.เลียบคลองสาม คลองสาม คลองหลวง ปทุมธานี 12120</t>
  </si>
  <si>
    <t>JB175871295TH</t>
  </si>
  <si>
    <t>พัชรี โสมา</t>
  </si>
  <si>
    <t>0922566877</t>
  </si>
  <si>
    <t xml:space="preserve"> 149 ม.1 เนินหอม เมืองปราจีนบุรี ปราจีนบุรี 25230</t>
  </si>
  <si>
    <t>JA170191698TH</t>
  </si>
  <si>
    <t>JB175871281TH</t>
  </si>
  <si>
    <t xml:space="preserve">ชัยวัฒน์ เทนอิสระ </t>
  </si>
  <si>
    <t>0898622470</t>
  </si>
  <si>
    <t>โรงเรียนบ้านหนองแซงแสงอรุณ บ้านหนองแซง โนนทอง ขอนแก่น โนนทอง แวงใหญ่ ขอนแก่น 40330</t>
  </si>
  <si>
    <t>JB175871278TH</t>
  </si>
  <si>
    <t>JB175871264TH</t>
  </si>
  <si>
    <t>ปัทมา อนุชาติสันติ</t>
  </si>
  <si>
    <t>0636589446</t>
  </si>
  <si>
    <t>80/159หมู่4หมู่บ้าน เอ-ซี4เฮ้า ลาดสวาย ลำลูกกา ปทุมธานี, ลาดสวาย ลำลูกกา, ปทุมธานี ลาดสวาย ลำลูกกา ปทุมธานี 12150</t>
  </si>
  <si>
    <t>JB175872035TH</t>
  </si>
  <si>
    <t>JB175882647TH</t>
  </si>
  <si>
    <t>บริษัท ซี.เจ. เอ็กซ์เพรส กรุ๊ป จำกัด 393 อาคาร 393 สีลม ชั้น 2.4 และ 5 ถนนสีลม สีลม บางรัก กรุงเทพ 10500</t>
  </si>
  <si>
    <t>JB192336805TH</t>
  </si>
  <si>
    <t>อัจฉรา นิ่มนวล เที่ยงธรรมฟาร์ม</t>
  </si>
  <si>
    <t>0937503737</t>
  </si>
  <si>
    <t>151 ม.4 หนองราชวัตร หนองหญ้าไซ สุพรรณบุรี 72240</t>
  </si>
  <si>
    <t>JB192336791TH</t>
  </si>
  <si>
    <t>วิไลลักษณ์ ภิงคารวัฒน์</t>
  </si>
  <si>
    <t>0819302304</t>
  </si>
  <si>
    <t>เลขที่13 ช. พิบูลสงคราม 14แยก1 ตลาดขวัญ เมืองนนทบุรี นนทบุรี 11000</t>
  </si>
  <si>
    <t>JB192336788TH</t>
  </si>
  <si>
    <t>Janjira June</t>
  </si>
  <si>
    <t>0839737499</t>
  </si>
  <si>
    <t>131ม. 3ออฟฟิต ส.ทองดี หน้าพระลาน เฉลิมพระเกียรติ สระบุรี 18240</t>
  </si>
  <si>
    <t>JB192336774TH</t>
  </si>
  <si>
    <t>ภูริตา</t>
  </si>
  <si>
    <t>0818449283</t>
  </si>
  <si>
    <t>จิระประภาสุข 427 เสรี6 ซอย9 พระรามเก้าซอย51 สวนหลวง สวนหลวง สวนหลวง สวนหลวง กรุงเทพ 10250</t>
  </si>
  <si>
    <t>JB192336765TH</t>
  </si>
  <si>
    <t>JB192336757TH</t>
  </si>
  <si>
    <t>0852414411</t>
  </si>
  <si>
    <t>17 พุทธมณฑลสายสอง ซอย12 บางไผ่ บางแค กรุงเทพ 10160</t>
  </si>
  <si>
    <t>JB192336743TH</t>
  </si>
  <si>
    <t>อรทัย แก้วหย่อง</t>
  </si>
  <si>
    <t>0810655691</t>
  </si>
  <si>
    <t>383/349 บ้านโชคนานาภัณฑ์ ซอย 1 ถนนนิเวศรัตน์ ในเมือง เมืองชัยภูมิ ชัยภูมิ 36000</t>
  </si>
  <si>
    <t>JB192336730TH</t>
  </si>
  <si>
    <t>จิราพรรณ</t>
  </si>
  <si>
    <t>0816238294</t>
  </si>
  <si>
    <t>ตั้งเบญจากุล 130ซอยหทัยราษฏร์ 39 ซอยวัดแป้นทอง ถนนหทัยราษฎร์ สามวาตะวันตก คลองสามวา กรุงเทพ 10510</t>
  </si>
  <si>
    <t>JB192336726TH</t>
  </si>
  <si>
    <t>สุดา ประสาทกลาง</t>
  </si>
  <si>
    <t>0925245528</t>
  </si>
  <si>
    <t>49/119 ม.3ซ. บางเมือง เมืองสมุทรปราการ สมุทรปราการ 10270</t>
  </si>
  <si>
    <t>JA175540055TH</t>
  </si>
  <si>
    <t>ไพฑูรย์ อ.สุวรรณบ่อฝ้าย</t>
  </si>
  <si>
    <t>100/105 มบ.ธนแลนด์ หัวหิน หัวหิน ประจวบคีรีขันธ์ 77110</t>
  </si>
  <si>
    <t>JA175540041TH</t>
  </si>
  <si>
    <t>คุณจันทร์จิรา</t>
  </si>
  <si>
    <t>0937510766</t>
  </si>
  <si>
    <t>ปานมาศ 99หมู่2ต.นาเหรง นาเหรง นบพิตำ นครศรีธรรมราช 80160</t>
  </si>
  <si>
    <t>JA175540038TH</t>
  </si>
  <si>
    <t>สุนีย์</t>
  </si>
  <si>
    <t>0994301144</t>
  </si>
  <si>
    <t>วงแย้ม 33/48หมู่บ้านสุขใจวิลเลจซ2รามอินทรา65ถรามอินทรา ท่าแร้ง บางเขน กรุงเทพ 10230</t>
  </si>
  <si>
    <t>JA175540024TH</t>
  </si>
  <si>
    <t>เรวพร</t>
  </si>
  <si>
    <t>0890567045</t>
  </si>
  <si>
    <t>114 ม.12 โคกกลอย ตะกั่วทุ่ง พังงา 82140</t>
  </si>
  <si>
    <t>JA175540015TH</t>
  </si>
  <si>
    <t>ลักขณา</t>
  </si>
  <si>
    <t>0861289931</t>
  </si>
  <si>
    <t>11หมู่6 บางสะพาน บางสะพานน้อย ประจวบคีรีขันธ์ 77170</t>
  </si>
  <si>
    <t>JA175540007TH</t>
  </si>
  <si>
    <t>JA175539998TH</t>
  </si>
  <si>
    <t>นายพิชิต พระปัญญา</t>
  </si>
  <si>
    <t>0819855970</t>
  </si>
  <si>
    <t>479/101 หมู่มี่10 หมู่บ้านทรัพย์สมบูรณ์สุขเจริญ2 ถ. ประชาอุทิศคู่สร้าง ในคลองบางปลากด พระสมุทรเจดีย์ สมุทรปราการ 10290</t>
  </si>
  <si>
    <t>JA175539975TH</t>
  </si>
  <si>
    <t>JA175539967TH</t>
  </si>
  <si>
    <t>มยุรี</t>
  </si>
  <si>
    <t>0624455949</t>
  </si>
  <si>
    <t>ถาวรวงศ์ 260/14ม.13 จอมบึง จอมบึง ราชบุรี 70150</t>
  </si>
  <si>
    <t>JA175539953TH</t>
  </si>
  <si>
    <t>สมานมิตร ปั๊มน้ำมัน PT 12 ลำไทร 15/8 หมู่ 10 ลำลูกกาปทุมธานี ลำไทร ลำลูกกา ปทุมธานี 12150</t>
  </si>
  <si>
    <t>JB192337077TH</t>
  </si>
  <si>
    <t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t>
  </si>
  <si>
    <t>JB192376583TH</t>
  </si>
  <si>
    <t xml:space="preserve">กัญทิมา สุขศิริมัช  </t>
  </si>
  <si>
    <t>กัญทิมา สุขศิริมัช 10/2 ถ.ทางไผ่ 2 เชิงเนิน เมืองระยอง ระยอง 21000</t>
  </si>
  <si>
    <t>JB192376570TH</t>
  </si>
  <si>
    <t>สุนิสา</t>
  </si>
  <si>
    <t>0822713439</t>
  </si>
  <si>
    <t>นินเกชา 313/1 ม.5 โคกยาง เหนือคลอง, กระบี่ โคกยาง เหนือคลอง กระบี่ 81130</t>
  </si>
  <si>
    <t>JB192376566TH</t>
  </si>
  <si>
    <t>คุณคำรบ</t>
  </si>
  <si>
    <t>0924597464</t>
  </si>
  <si>
    <t>เขมะรังหมู บ้านเลขที่ 56 หมู่ 10 บ้านโนนสวรรค์-สร้างแซ่ง บ้านยายเยี่ยมซอยร้านค้า ต.สร้างแซ่ง อ.ยางสีสุราช จ.มหาสารคาม สร้างแซ่ง ยางสีสุราช มหาสารคาม 44210</t>
  </si>
  <si>
    <t>JB192376552TH</t>
  </si>
  <si>
    <t>คุณจิรพงษ์</t>
  </si>
  <si>
    <t>0967637113</t>
  </si>
  <si>
    <t>ดลไสว กองพันทหารม้าที่ 2 กองพลทหารราบที่ 2 รักษาพระองค์ บ้านพระ เมืองปราจีนบุรี ปราจีนบุรี 25230</t>
  </si>
  <si>
    <t>JB192376549TH</t>
  </si>
  <si>
    <t>คุณจิราพร</t>
  </si>
  <si>
    <t>0806160366</t>
  </si>
  <si>
    <t>1/2 ม.1 ถ้ำ ตะกั่วทุ่ง พังงา 82130</t>
  </si>
  <si>
    <t>JB192376535TH</t>
  </si>
  <si>
    <t>นายพลกฤษณ์</t>
  </si>
  <si>
    <t>นิตยสนนท์ 25/13 หมากแข้ง เมืองอุดรธานี อุดรธานี 41000</t>
  </si>
  <si>
    <t>JA175683155TH</t>
  </si>
  <si>
    <t xml:space="preserve">น.ส. สาลินีย์ กิ้วภาวัน  </t>
  </si>
  <si>
    <t>สาลินีย์ กิ้วภาวัน 178/18 บ้านโนนนาคำ คำบ่อ วาริชภูมิ สกลนคร 47150</t>
  </si>
  <si>
    <t>JA175683133TH</t>
  </si>
  <si>
    <t>วิภา อุราราช</t>
  </si>
  <si>
    <t>0829649167</t>
  </si>
  <si>
    <t>198/218 ซอยมงคลราชปสาร 10 แยก 2 ปากคลองภาษีเจริญ ภาษีเจริญ กรุงเทพ 10160</t>
  </si>
  <si>
    <t>JA175683116TH</t>
  </si>
  <si>
    <t>สำเภา หมั่นวิชา</t>
  </si>
  <si>
    <t>0954982851</t>
  </si>
  <si>
    <t>176/3 ผดุงพาณิชย์ ในเมือง เมืองร้อยเอ็ด ร้อยเอ็ด 45000</t>
  </si>
  <si>
    <t>JA175683093TH</t>
  </si>
  <si>
    <t>โสภาพรรณ แสงโชติ</t>
  </si>
  <si>
    <t>0963934098</t>
  </si>
  <si>
    <t>64/1หมู่3 หนองแม่ไก่ โพธิ์ทอง อ่างทอง 14120</t>
  </si>
  <si>
    <t>JA175683062TH</t>
  </si>
  <si>
    <t>อรพร..รี่นอารมย์</t>
  </si>
  <si>
    <t>0616027950</t>
  </si>
  <si>
    <t>169หมู่5 หนองไผ่ หนองไผ่ เพชรบูรณ์ 67140</t>
  </si>
  <si>
    <t>JA175682994TH</t>
  </si>
  <si>
    <t>จารุณี</t>
  </si>
  <si>
    <t>0899392058</t>
  </si>
  <si>
    <t>ไชยศิริโชติ 33/13 ม.2 ท่าช้าง เมืองจันทบุรี จันทบุรี 22000</t>
  </si>
  <si>
    <t>JA175682963TH</t>
  </si>
  <si>
    <t>JA175540069TH</t>
  </si>
  <si>
    <t>คุณสุมลลักษณ์</t>
  </si>
  <si>
    <t>JA175683178TH</t>
  </si>
  <si>
    <t>Kattiyapron Orasoon</t>
  </si>
  <si>
    <t>0908427527</t>
  </si>
  <si>
    <t>5หมู่2 สะแบง หนองหาน อุดรธานี 41130</t>
  </si>
  <si>
    <t>JA175683031TH</t>
  </si>
  <si>
    <t>พลอยณภัทร จันทวงษ์</t>
  </si>
  <si>
    <t>0870537543</t>
  </si>
  <si>
    <t>64-237 มบ.เอกกวิน5 ซ.2 ถ.สังฆสันติสุข กระทุ่มราย หนองจอก กรุงเทพ 10530</t>
  </si>
  <si>
    <t>JB192516135TH</t>
  </si>
  <si>
    <t>คุณรฐานิษฐ์ กล้าหาญนิพิฐ</t>
  </si>
  <si>
    <t>0648545665</t>
  </si>
  <si>
    <t xml:space="preserve"> 188 ม.11 บ้านค้อ คำชะอี มุกดาหาร 49110</t>
  </si>
  <si>
    <t>JB192516113TH</t>
  </si>
  <si>
    <t>คุณวิภา แป้นจันทร์</t>
  </si>
  <si>
    <t>JB192516100TH</t>
  </si>
  <si>
    <t>ดวงภัสสร ห้วยหงษ์ทอง</t>
  </si>
  <si>
    <t>0821248414</t>
  </si>
  <si>
    <t>26 ม.8 นาหูกวาง ทับสะแก ประจวบคีรีขันธ์ 77130</t>
  </si>
  <si>
    <t>JA176128044TH</t>
  </si>
  <si>
    <t>JA176128027TH</t>
  </si>
  <si>
    <t>JA176128000TH</t>
  </si>
  <si>
    <t>นิภารัตน์ หนุนพลกรัง</t>
  </si>
  <si>
    <t>0930124831</t>
  </si>
  <si>
    <t xml:space="preserve"> 31ม.4 บ.ใผ่ จระเข้หิน ครบุรี นครราชสีมา 30250</t>
  </si>
  <si>
    <t>JB192516087TH</t>
  </si>
  <si>
    <t>นายเฉลิมเดช ศิริบุญ</t>
  </si>
  <si>
    <t xml:space="preserve"> 28/31 ม.2 ทับมา เมือง, ระยอง ทับมา เมืองระยอง ระยอง 21000</t>
  </si>
  <si>
    <t>JA176127993TH</t>
  </si>
  <si>
    <t>JA176127980TH</t>
  </si>
  <si>
    <t>แนน</t>
  </si>
  <si>
    <t>0864712586</t>
  </si>
  <si>
    <t>46 ม.7 บางศาลา ปากพนัง นครศรีธรรมราช บางศาลา ปากพนัง นครศรีธรรมราช 80140</t>
  </si>
  <si>
    <t>JB192516073TH</t>
  </si>
  <si>
    <t xml:space="preserve"> หมู่บ้านเจริญค้าหัวโป่ง หมู่ 15 139/93 ซอย 10 ปากแรต บ้านโป่ง ราชบุรี ปากแรต บ้านโป่ง ราชบุรี 70110</t>
  </si>
  <si>
    <t>JB192517290TH</t>
  </si>
  <si>
    <t xml:space="preserve">บริษัท กฤตผล ขนจำกัด </t>
  </si>
  <si>
    <t>0897152644</t>
  </si>
  <si>
    <t>42/1 ม.6 ต.ท่าไม้ ท่ามะกา กาญจนบุรี ท่าไม้ ท่ามะกา กาญจนบุรี 71120</t>
  </si>
  <si>
    <t>JB192574297TH</t>
  </si>
  <si>
    <t xml:space="preserve">คุณธันยาพีฒน์ ธนาโชควรางศ์กุล </t>
  </si>
  <si>
    <t>0982567641</t>
  </si>
  <si>
    <t>99/12 ครัวสามพี่น้องขนมไทย อ้อมน้อย กระทุ่มแบน สมุทรสาคร อ้อมน้อย กระทุ่มแบน สมุทรสาคร 74130</t>
  </si>
  <si>
    <t>JB192574306TH</t>
  </si>
  <si>
    <t>นพวินทร์</t>
  </si>
  <si>
    <t>0626628915</t>
  </si>
  <si>
    <t>234 ม.5 ทุ่งคลี เดิมบางนางบวช สุพรรณบุรี 72120</t>
  </si>
  <si>
    <t>JA175539984TH</t>
  </si>
  <si>
    <t>ธิรดา แย้มยิ้ม</t>
  </si>
  <si>
    <t>0815659595</t>
  </si>
  <si>
    <t>62/62 หมู่ 2 บ้านฉาง เมืองปทุมธานี ปทุมธานี 12000</t>
  </si>
  <si>
    <t>JA176128058TH</t>
  </si>
  <si>
    <t>0623804925</t>
  </si>
  <si>
    <t>9/141บ้านกลางเมืองชอยลาดปลาเค้า79 อนุสาวรีย์ บางเขน กรุงเทพ 10220</t>
  </si>
  <si>
    <t>JB192516095TH</t>
  </si>
  <si>
    <t>ป้าสี่</t>
  </si>
  <si>
    <t>0816425179</t>
  </si>
  <si>
    <t>9/165 ม.11 มบ.สวนดอกไม้ ถ.ปินเกล้า-นครชัยศรี ศาลาธรรมสพน์ ศาลาธรรมสพน์ ทวีวัฒนา กรุงเทพ 10170</t>
  </si>
  <si>
    <t>JA176128035TH</t>
  </si>
  <si>
    <t>มนูญ เด็ดขาด</t>
  </si>
  <si>
    <t>0906752287</t>
  </si>
  <si>
    <t>บ้านเลขที่ 87 ม.12 บ่อแก้ว นาหมื่น น่าน 55180</t>
  </si>
  <si>
    <t>JA176128013TH</t>
  </si>
  <si>
    <t>Darunee Promnoun</t>
  </si>
  <si>
    <t>0887905962</t>
  </si>
  <si>
    <t>29ม.1ต.แม่ขรี จ.พัทลุง Thailand แม่ขรี ตะโหมด พัทลุง 93160</t>
  </si>
  <si>
    <t>JA176127976TH</t>
  </si>
  <si>
    <t>วิมล</t>
  </si>
  <si>
    <t>0659766913</t>
  </si>
  <si>
    <t>30/1 หมู่ 7 วังกระโจม เมืองนครนายก นครนายก 26000</t>
  </si>
  <si>
    <t>JB192516060TH</t>
  </si>
  <si>
    <t>JA176127962TH</t>
  </si>
  <si>
    <t xml:space="preserve">เทอดศักดิ์ โพธิ์วันดี </t>
  </si>
  <si>
    <t>0879222805</t>
  </si>
  <si>
    <t>บริษัทตรีเพชรอีซูซุเซลส์ จำกัด 88/1-6 ถนนร่มเกล้า มีนบุรี มีนบุรี กรุงเทพ 10510</t>
  </si>
  <si>
    <t>JB192594420TH</t>
  </si>
  <si>
    <t>บจก.เวิลด์เคมีคอล ฟาร์อีสท์</t>
  </si>
  <si>
    <t>0532044467</t>
  </si>
  <si>
    <t>261/3-6 ถนนมหิดล ป่าแดด เมือง เชียงใหม่ ป่าแดด เมืองเชียงใหม่ เชียงใหม่ 50100</t>
  </si>
  <si>
    <t>JA176371684TH</t>
  </si>
  <si>
    <t>JB192602015TH</t>
  </si>
  <si>
    <t xml:space="preserve">Rosesarin .W </t>
  </si>
  <si>
    <t>0659699519</t>
  </si>
  <si>
    <t>AJ Cargo ตลาดดีมาร์เก็ต ขนส่งไทย-เกาหลี A8 เลขที่90 ม.8 มาบโป่ง พานทอง ชลบุรี 20160</t>
  </si>
  <si>
    <t>JB192602007TH</t>
  </si>
  <si>
    <t>คุณมนูญ แก่นเพ็ชร</t>
  </si>
  <si>
    <t>0817821539</t>
  </si>
  <si>
    <t>45/5 หมู่ 1 ปัถวี มะขาม จันทบุรี 22150</t>
  </si>
  <si>
    <t>JB192601995TH</t>
  </si>
  <si>
    <t>JA176371675TH</t>
  </si>
  <si>
    <t>ลานมัน หม่อนไหม</t>
  </si>
  <si>
    <t>0833562759</t>
  </si>
  <si>
    <t>209ม.3ต.ปลาบ่าอ.ภูเรือจ.เลย ปลาบ่า ภูเรือ เลย 42160</t>
  </si>
  <si>
    <t>JA176371667TH</t>
  </si>
  <si>
    <t>JA176371653TH</t>
  </si>
  <si>
    <t xml:space="preserve">จารี พรหมทอง </t>
  </si>
  <si>
    <t>31 หมู่ 3 ท่าไร่ เมืองนครศรีธรรมราช นครศรีธรรมราช 80000</t>
  </si>
  <si>
    <t>JA176371640TH</t>
  </si>
  <si>
    <t>JB192601987TH</t>
  </si>
  <si>
    <t>สมบูรณ์</t>
  </si>
  <si>
    <t>0814885179</t>
  </si>
  <si>
    <t>300/33 ถ.ประดิษฐ์มนูธรรม ซ.ประดิษฐ์มนูธรรม 10 แยกสิริมงคล ไม่ต้องเข้าหมู่บ้าน คลองเจ้าคุณสิงห์ วังทองหลาง กรุงเทพ 10310</t>
  </si>
  <si>
    <t>JB192601973TH</t>
  </si>
  <si>
    <t>วิทยา</t>
  </si>
  <si>
    <t>0624816788</t>
  </si>
  <si>
    <t>35ม.4ซ.48ต. ตะค่า บางปลาม้า สุพรรณบุรี 72150</t>
  </si>
  <si>
    <t>JB192601960TH</t>
  </si>
  <si>
    <t>คุณจำเรียง แก้วคำ</t>
  </si>
  <si>
    <t>0853950742</t>
  </si>
  <si>
    <t>126 หมู่.15 ดงน้อย ราชสาส์น ฉะเชิงเทรา 24120</t>
  </si>
  <si>
    <t>JA176371636TH</t>
  </si>
  <si>
    <t xml:space="preserve">เซี่ยมฮั้วแซ่ตั้ง </t>
  </si>
  <si>
    <t>0850636318</t>
  </si>
  <si>
    <t>ที่อยู่99/100ถนนติวานนท์ซอยร่วมสุข4ม1 บ้านใหม่ เมืองปทุมธานี ปทุมธานี 12000</t>
  </si>
  <si>
    <t>JA176371622TH</t>
  </si>
  <si>
    <t>วิภา ตระกูลวงศ์</t>
  </si>
  <si>
    <t>0800704848</t>
  </si>
  <si>
    <t xml:space="preserve"> ม.การเคหะ2 88/274ม.3ซอย3 เสม็ด เมืองชลบุรี ชลบุรี 20000</t>
  </si>
  <si>
    <t>JA176483561TH</t>
  </si>
  <si>
    <t>ตุ๊กตา บุญเกิด</t>
  </si>
  <si>
    <t>0970432647</t>
  </si>
  <si>
    <t>บริษัทเอคโค่ออโต้พาร์ท 13/1 หมู่ 2 ถนนบางนา- ตราด กม 41 บางวัว บางปะกง ฉะเชิงเทรา 24180</t>
  </si>
  <si>
    <t>JA176483575TH</t>
  </si>
  <si>
    <t>แฟลตเอื้ออาทร</t>
  </si>
  <si>
    <t>0926293231</t>
  </si>
  <si>
    <t xml:space="preserve"> สาขลา ตึก12 ห้อง 245/16 แหลมฟ้าผ่า พระสมุทรเจดีย์ สมุทรปราการ 10290</t>
  </si>
  <si>
    <t>JB192635637TH</t>
  </si>
  <si>
    <t>ทิพวรรณ</t>
  </si>
  <si>
    <t>0806947957</t>
  </si>
  <si>
    <t>92ม1ต ดุสิต ถ้ำพรรณรา นครศรีธรรมราช 80260</t>
  </si>
  <si>
    <t>JB192635645TH</t>
  </si>
  <si>
    <t>รุ่งนภา กระสายยศ</t>
  </si>
  <si>
    <t>0612844467</t>
  </si>
  <si>
    <t xml:space="preserve"> ร้านนวดปาล์มปาลิน 90/1ซอยลาดพร้าวซอย1แยก 5 ถนนพหลโยธิน จอมพล จตุจักร กรุงเทพ 10900</t>
  </si>
  <si>
    <t>JA176483589TH</t>
  </si>
  <si>
    <t>เพิ่มศักดิ์ กันเขตร</t>
  </si>
  <si>
    <t>0812993274</t>
  </si>
  <si>
    <t>164/972ม.ดิเอมเมอรัลพาร์ค2 พิมลราช บางบัวทอง นนทบุรี 11110</t>
  </si>
  <si>
    <t>JB192635654TH</t>
  </si>
  <si>
    <t>กี้ Opd</t>
  </si>
  <si>
    <t>0811169712</t>
  </si>
  <si>
    <t>รพ.สุรินทร์รวมแพทย์ หน้า ธกส. 93 ถนนเทศบาล1 ในเมือง สุรินทร์ Thailand ในเมือง เมืองสุรินทร์ สุรินทร์ 32000</t>
  </si>
  <si>
    <t>JA176483592TH</t>
  </si>
  <si>
    <t>นิตยา ทองหล่อ</t>
  </si>
  <si>
    <t>0650459581</t>
  </si>
  <si>
    <t>19/49หมู่2 หมู่บ้านชญารมย์วิลเลจ หนองชาก บ้านบึง ชลบุรี 20170</t>
  </si>
  <si>
    <t>JA176483601TH</t>
  </si>
  <si>
    <t>EUS82</t>
  </si>
  <si>
    <t>เสาวคนธ์ สุวรรณไตยรัตน์</t>
  </si>
  <si>
    <t>02/03/2025 23:53</t>
  </si>
  <si>
    <t>EUT3</t>
  </si>
  <si>
    <t>อ้อนนภา รันตนมูล</t>
  </si>
  <si>
    <t>03/03/2025 08:06</t>
  </si>
  <si>
    <t>EUZ81</t>
  </si>
  <si>
    <t>ค***นิตย์ แ***ก้ว</t>
  </si>
  <si>
    <t>7494061943258646029</t>
  </si>
  <si>
    <t>09/03/2025 14:42</t>
  </si>
  <si>
    <t>EUZ91</t>
  </si>
  <si>
    <t>5hm6t5tnsn</t>
  </si>
  <si>
    <t>09/03/2025 15:07</t>
  </si>
  <si>
    <t>EVA12</t>
  </si>
  <si>
    <t>ป***ศา เ***เลิศ</t>
  </si>
  <si>
    <t>7494515217763698848</t>
  </si>
  <si>
    <t>09/03/2025 16:03</t>
  </si>
  <si>
    <t>EVA34</t>
  </si>
  <si>
    <t>ส******8</t>
  </si>
  <si>
    <t>suwapha_2006</t>
  </si>
  <si>
    <t>09/03/2025 20:01</t>
  </si>
  <si>
    <t>EVA42</t>
  </si>
  <si>
    <t>ว******ล</t>
  </si>
  <si>
    <t>september.17</t>
  </si>
  <si>
    <t>09/03/2025 21:41</t>
  </si>
  <si>
    <t>EVC35</t>
  </si>
  <si>
    <t>ว***ญาณ์  ซ***สัตย์</t>
  </si>
  <si>
    <t>7494032459158816239</t>
  </si>
  <si>
    <t>11/03/2025 15:07</t>
  </si>
  <si>
    <t>EVC37</t>
  </si>
  <si>
    <t>11/03/2025 15:12</t>
  </si>
  <si>
    <t>EVC47</t>
  </si>
  <si>
    <t>ส***มล ไ***</t>
  </si>
  <si>
    <t>7494004869135369576</t>
  </si>
  <si>
    <t>11/03/2025 15:52</t>
  </si>
  <si>
    <t>สรุปยอดเคลมออเดอร์ขายออนไลน์  ปี 2568</t>
  </si>
  <si>
    <t>EVD45</t>
  </si>
  <si>
    <t>อุดม ศิริสัตย์</t>
  </si>
  <si>
    <t>12/03/2025 15:09</t>
  </si>
  <si>
    <t>EVD60</t>
  </si>
  <si>
    <t>ส*** ร***าธรรม</t>
  </si>
  <si>
    <t>7494055099669579395</t>
  </si>
  <si>
    <t>12/03/2025 16:08</t>
  </si>
  <si>
    <t>EVD84</t>
  </si>
  <si>
    <t>สิริกุล บุนนาค</t>
  </si>
  <si>
    <t>12/03/2025 21:59</t>
  </si>
  <si>
    <t>EVI2</t>
  </si>
  <si>
    <t>ปารมี แสงรังสี</t>
  </si>
  <si>
    <t>16/03/2025 13:36</t>
  </si>
  <si>
    <t>EVJ30</t>
  </si>
  <si>
    <t>17/03/2025 08:50</t>
  </si>
  <si>
    <t>EVJ29</t>
  </si>
  <si>
    <t>EVK47</t>
  </si>
  <si>
    <t>ป***า ท***ำ</t>
  </si>
  <si>
    <t>7494740466278632039</t>
  </si>
  <si>
    <t>17/03/2025 16:01</t>
  </si>
  <si>
    <t>EVM98</t>
  </si>
  <si>
    <t>ชื่อผู้รับ บรรเจิด ภู่ระหงษ์</t>
  </si>
  <si>
    <t>19/03/2025 13:43</t>
  </si>
  <si>
    <t>JB195432134TH</t>
  </si>
  <si>
    <t>EVN82</t>
  </si>
  <si>
    <t>อ***ี  เ***้ำเที่ยง</t>
  </si>
  <si>
    <t>7494174727261489714</t>
  </si>
  <si>
    <t>19/03/2025 21:03</t>
  </si>
  <si>
    <t>EVY72</t>
  </si>
  <si>
    <t>นภัสวรรณ</t>
  </si>
  <si>
    <t>AR.MUAY👰🏻</t>
  </si>
  <si>
    <t>25/03/2025 13:20</t>
  </si>
  <si>
    <t>JB196112423TH</t>
  </si>
  <si>
    <t>EWA35</t>
  </si>
  <si>
    <t>อุษณีย์ ผ่องคูณ</t>
  </si>
  <si>
    <t>26/03/2025 08:48</t>
  </si>
  <si>
    <t>JB196177971TH</t>
  </si>
  <si>
    <t>EWC73</t>
  </si>
  <si>
    <t>กรพินธ์ จำปาทอง</t>
  </si>
  <si>
    <t>27/03/2025 14:29</t>
  </si>
  <si>
    <t>JB196324768TH</t>
  </si>
  <si>
    <t>EWE4</t>
  </si>
  <si>
    <t>ไพรินทร์ อาจกล้า</t>
  </si>
  <si>
    <t>28/03/2025 10:02</t>
  </si>
  <si>
    <t>JB196468400TH</t>
  </si>
  <si>
    <t>EWF77</t>
  </si>
  <si>
    <t>Tikky</t>
  </si>
  <si>
    <t>30/03/2025 08:22</t>
  </si>
  <si>
    <t>JB196632565TH</t>
  </si>
  <si>
    <t>EWF46</t>
  </si>
  <si>
    <t>เจนจิลา ขุนพินิจ</t>
  </si>
  <si>
    <t>29/03/2025 20:01</t>
  </si>
  <si>
    <t>EWI21</t>
  </si>
  <si>
    <t>ว***พ็ญ เ***ไทย</t>
  </si>
  <si>
    <t>7495549266004641851</t>
  </si>
  <si>
    <t>30/03/2025 15:55</t>
  </si>
  <si>
    <t>EWI24</t>
  </si>
  <si>
    <t>ธ***วุฒิ บ***พรม</t>
  </si>
  <si>
    <t>7494028166679594407</t>
  </si>
  <si>
    <t>30/03/2025 15:56</t>
  </si>
  <si>
    <t>EWJ15</t>
  </si>
  <si>
    <t>ก***า ว***ศรีแก้ว</t>
  </si>
  <si>
    <t>7493992256395511476</t>
  </si>
  <si>
    <t>31/03/2025 10:27</t>
  </si>
  <si>
    <t>EWK48</t>
  </si>
  <si>
    <t>จ******ศ</t>
  </si>
  <si>
    <t>jaruwan.poo</t>
  </si>
  <si>
    <t>31/03/2025 23:34</t>
  </si>
  <si>
    <t>EXA33</t>
  </si>
  <si>
    <t>เกษร</t>
  </si>
  <si>
    <t>05/04/2025 11:59</t>
  </si>
  <si>
    <t>TH090372HBVF8F</t>
  </si>
  <si>
    <t>EWQ89</t>
  </si>
  <si>
    <t>น***มกริช  ก***ชา</t>
  </si>
  <si>
    <t>7494506645064288960</t>
  </si>
  <si>
    <t>02/04/2025 16:18</t>
  </si>
  <si>
    <t>EWQ90</t>
  </si>
  <si>
    <t>02/04/2025 16:21</t>
  </si>
  <si>
    <t>EWR3</t>
  </si>
  <si>
    <t>W***ida K***it</t>
  </si>
  <si>
    <t>7494016996956407718</t>
  </si>
  <si>
    <t>02/04/2025 17:00</t>
  </si>
  <si>
    <t>EWR24</t>
  </si>
  <si>
    <t>จ***รัตน์  แ***มงคล</t>
  </si>
  <si>
    <t>7494015518347527800</t>
  </si>
  <si>
    <t>02/04/2025 18:12</t>
  </si>
  <si>
    <t>EXH81</t>
  </si>
  <si>
    <t>ก***ิพย์ ข***ริญ</t>
  </si>
  <si>
    <t>7494052008295368134</t>
  </si>
  <si>
    <t>07/04/2025 13:47</t>
  </si>
  <si>
    <t>EXI25</t>
  </si>
  <si>
    <t>อ******ฐ</t>
  </si>
  <si>
    <t>birdadministation</t>
  </si>
  <si>
    <t>07/04/2025 15:06</t>
  </si>
  <si>
    <t>EXI47</t>
  </si>
  <si>
    <t>น** ต***้าว ก***ิลาภ</t>
  </si>
  <si>
    <t>7494009310987715836</t>
  </si>
  <si>
    <t>07/04/2025 15:38</t>
  </si>
  <si>
    <t>EXJ42</t>
  </si>
  <si>
    <t>พ***าภรณ์ ผ***ผา</t>
  </si>
  <si>
    <t>7494020776509277718</t>
  </si>
  <si>
    <t>07/04/2025 21:29</t>
  </si>
  <si>
    <t>EXM16</t>
  </si>
  <si>
    <t>08/04/2025 15:25</t>
  </si>
  <si>
    <t>JB216173976TH</t>
  </si>
  <si>
    <t>EZN28</t>
  </si>
  <si>
    <t>อุษา กองตุ้น</t>
  </si>
  <si>
    <t>Nui😊MCMXCI</t>
  </si>
  <si>
    <t>14/04/2025 14:47</t>
  </si>
  <si>
    <t>TH410673KC5F2K</t>
  </si>
  <si>
    <t>EZX25</t>
  </si>
  <si>
    <t>Panthong Khunkaew</t>
  </si>
  <si>
    <t>15/04/2025 17:02</t>
  </si>
  <si>
    <t>TH371073PBGM3H</t>
  </si>
  <si>
    <t>EZZ91</t>
  </si>
  <si>
    <t>พัชราภรณ์ ผ่องผา</t>
  </si>
  <si>
    <t>16/04/2025 11:52</t>
  </si>
  <si>
    <t>JB216744775TH</t>
  </si>
  <si>
    <t>FAD8</t>
  </si>
  <si>
    <t>อภิญญา อู่อรุณ</t>
  </si>
  <si>
    <t>17/04/2025 08:20</t>
  </si>
  <si>
    <t>JB216877140TH</t>
  </si>
  <si>
    <t>FAQ5</t>
  </si>
  <si>
    <t>ณ***ร  ช***มวัน</t>
  </si>
  <si>
    <t>7495220980313000013</t>
  </si>
  <si>
    <t>19/04/2025 23:07</t>
  </si>
  <si>
    <t>FBU87</t>
  </si>
  <si>
    <t>สุริตา หนูกลับ</t>
  </si>
  <si>
    <t>27/04/2025 10:14</t>
  </si>
  <si>
    <t>JB217891412TH</t>
  </si>
  <si>
    <t>FBX28</t>
  </si>
  <si>
    <t>ศศิธร ควรพจน์</t>
  </si>
  <si>
    <t>27/04/2025 21:21</t>
  </si>
  <si>
    <t>FBY84</t>
  </si>
  <si>
    <t>28/04/2025 12:53</t>
  </si>
  <si>
    <t>FCB29</t>
  </si>
  <si>
    <t>28/04/2025 21:35</t>
  </si>
  <si>
    <t>FCB36</t>
  </si>
  <si>
    <t>ส***พร</t>
  </si>
  <si>
    <t>7495644070774409577</t>
  </si>
  <si>
    <t>28/04/2025 22:06</t>
  </si>
  <si>
    <t>FCH96</t>
  </si>
  <si>
    <t>อุไรพร คงดำรงสกุล</t>
  </si>
  <si>
    <t>30/04/2025 10:48</t>
  </si>
  <si>
    <t>JB218325674TH</t>
  </si>
  <si>
    <t>FCL5</t>
  </si>
  <si>
    <t>30/04/2025 16:17</t>
  </si>
  <si>
    <t>JB218325705TH</t>
  </si>
  <si>
    <t>45</t>
  </si>
  <si>
    <t>FCK96</t>
  </si>
  <si>
    <t>อ***</t>
  </si>
  <si>
    <t>7494516128334711381</t>
  </si>
  <si>
    <t>30/04/2025 16:10</t>
  </si>
  <si>
    <t>FCL83</t>
  </si>
  <si>
    <t>30/04/2025 23:14</t>
  </si>
  <si>
    <t>FCZ58</t>
  </si>
  <si>
    <t xml:space="preserve">มณีรัตน์  พะวังสุข </t>
  </si>
  <si>
    <t>04/05/2025 10:29</t>
  </si>
  <si>
    <t>FCZ59</t>
  </si>
  <si>
    <t xml:space="preserve">k jin </t>
  </si>
  <si>
    <t>04/05/2025 10:31</t>
  </si>
  <si>
    <t>FFT90</t>
  </si>
  <si>
    <t>เบนซ์</t>
  </si>
  <si>
    <t>14/05/2025 14:19</t>
  </si>
  <si>
    <t>FGH50</t>
  </si>
  <si>
    <t xml:space="preserve">ศิริขวัญ </t>
  </si>
  <si>
    <t>siriployly</t>
  </si>
  <si>
    <t>ติ๊กต๊อก</t>
  </si>
  <si>
    <t>18/05/2025 08:32</t>
  </si>
  <si>
    <t>FGR98</t>
  </si>
  <si>
    <t xml:space="preserve">ณัฏฐนิช แก้วรุ่งเรือง </t>
  </si>
  <si>
    <t>20/05/2025 08:38</t>
  </si>
  <si>
    <t>JB218744910TH</t>
  </si>
  <si>
    <t>JB218744906TH</t>
  </si>
  <si>
    <t>JB219862762TH</t>
  </si>
  <si>
    <t>JB261380492TH</t>
  </si>
  <si>
    <t>JB261633395TH</t>
  </si>
  <si>
    <t>FFW23</t>
  </si>
  <si>
    <t>15/05/2025 00:41</t>
  </si>
  <si>
    <t>FGA36</t>
  </si>
  <si>
    <t>ช******ม</t>
  </si>
  <si>
    <t>ninzchanin</t>
  </si>
  <si>
    <t>15/05/2025 21:59</t>
  </si>
  <si>
    <t>FIJ96</t>
  </si>
  <si>
    <t>คนึง  จันทนะวรรธนะ</t>
  </si>
  <si>
    <t>30/05/2025 20:39</t>
  </si>
  <si>
    <t>FIN26</t>
  </si>
  <si>
    <t>น** อ***ัย ว***เอี่ยม</t>
  </si>
  <si>
    <t>7494009402206422396</t>
  </si>
  <si>
    <t>31/05/2025 18:06</t>
  </si>
  <si>
    <t>FIN48</t>
  </si>
  <si>
    <t>จ***</t>
  </si>
  <si>
    <t>7494083611572537108</t>
  </si>
  <si>
    <t>31/05/2025 20:07</t>
  </si>
  <si>
    <t>FIT59</t>
  </si>
  <si>
    <t>01/06/2025 12:33</t>
  </si>
  <si>
    <t>FIT57</t>
  </si>
  <si>
    <t>จันทร์เพ็ญ  เนตรวัน</t>
  </si>
  <si>
    <t>JB262860566TH</t>
  </si>
  <si>
    <t>JB262860570TH</t>
  </si>
  <si>
    <t>FJG52</t>
  </si>
  <si>
    <t>สมพร ปานสุข</t>
  </si>
  <si>
    <t>04/06/2025 08:57</t>
  </si>
  <si>
    <t>FJG51</t>
  </si>
  <si>
    <t>นายลภ คำวิเศษ</t>
  </si>
  <si>
    <t>JB263228758TH</t>
  </si>
  <si>
    <t>JB263228761TH</t>
  </si>
  <si>
    <t>FJG75</t>
  </si>
  <si>
    <t>สิราพร สุราฤทธิ์</t>
  </si>
  <si>
    <t>04/06/2025 09:52</t>
  </si>
  <si>
    <t>JB263231417TH</t>
  </si>
  <si>
    <t>FJN49</t>
  </si>
  <si>
    <t>K.หมวย ภัสสรา</t>
  </si>
  <si>
    <t>05/06/2025 13:48</t>
  </si>
  <si>
    <t>JB263343869TH</t>
  </si>
  <si>
    <t>FJW6</t>
  </si>
  <si>
    <t>06/06/2025 18:35</t>
  </si>
  <si>
    <t>JB263451877TH</t>
  </si>
  <si>
    <t>FJW22</t>
  </si>
  <si>
    <t xml:space="preserve">กิตติมา </t>
  </si>
  <si>
    <t>06/06/2025 19:08</t>
  </si>
  <si>
    <t>JB263451863TH</t>
  </si>
  <si>
    <t>FJW67</t>
  </si>
  <si>
    <t>มณี การพันทา</t>
  </si>
  <si>
    <t>06/06/2025 21:07</t>
  </si>
  <si>
    <t>FKG86</t>
  </si>
  <si>
    <t>ปรียารัตน์ ปะวาทัง</t>
  </si>
  <si>
    <t>08/06/2025 19:19</t>
  </si>
  <si>
    <t>FKH60</t>
  </si>
  <si>
    <t>เจริญขวัญ    วงศ์วาณิชวัฒนา</t>
  </si>
  <si>
    <t>08/06/2025 22:36</t>
  </si>
  <si>
    <t>FKK0</t>
  </si>
  <si>
    <t xml:space="preserve">ส***ตรา </t>
  </si>
  <si>
    <t>7493996043997971573</t>
  </si>
  <si>
    <t>09/06/2025 15:13</t>
  </si>
  <si>
    <t>FLI69</t>
  </si>
  <si>
    <t>ศิริกฤติยา ศรีสุระ</t>
  </si>
  <si>
    <t>15/06/2025 09:34</t>
  </si>
  <si>
    <t>FLJ49</t>
  </si>
  <si>
    <t>K.ณัฐลภัส พาศประภัศร์</t>
  </si>
  <si>
    <t>15/06/2025 11:19</t>
  </si>
  <si>
    <t>FLU96</t>
  </si>
  <si>
    <t xml:space="preserve"> เกศสิรินทร์ ออลทรี </t>
  </si>
  <si>
    <t>19/06/2025 11:53</t>
  </si>
  <si>
    <t>JB264321391TH</t>
  </si>
  <si>
    <t>JB264321357TH</t>
  </si>
  <si>
    <t>JB264778487TH</t>
  </si>
  <si>
    <t>FLX23</t>
  </si>
  <si>
    <t>ปนัดดา</t>
  </si>
  <si>
    <t>20/06/2025 15:53</t>
  </si>
  <si>
    <t>JB264879097TH</t>
  </si>
  <si>
    <t>FMD62</t>
  </si>
  <si>
    <t>น.ส ชลดา โคลนกระโทก</t>
  </si>
  <si>
    <t>22/06/2025 11:49</t>
  </si>
  <si>
    <t>JB265021861TH</t>
  </si>
  <si>
    <t>FMO50</t>
  </si>
  <si>
    <t>วาสนา พรมสุพัฒน์</t>
  </si>
  <si>
    <t>24/06/2025 15:26</t>
  </si>
  <si>
    <t>JB265260668TH</t>
  </si>
  <si>
    <t>FMX59</t>
  </si>
  <si>
    <t xml:space="preserve">คุณรัตนา </t>
  </si>
  <si>
    <t>26/06/2025 08:18</t>
  </si>
  <si>
    <t>JB265483268TH</t>
  </si>
  <si>
    <t>FNB56</t>
  </si>
  <si>
    <t>ชื่อผู้รับ ชมพู่</t>
  </si>
  <si>
    <t>27/06/2025 08:55</t>
  </si>
  <si>
    <t>JB265585899TH</t>
  </si>
  <si>
    <t>FNB62</t>
  </si>
  <si>
    <t>27/06/2025 09:12</t>
  </si>
  <si>
    <t>JB265585885TH</t>
  </si>
  <si>
    <t>0</t>
  </si>
  <si>
    <t>FNE30</t>
  </si>
  <si>
    <t>27/06/2025 22:05</t>
  </si>
  <si>
    <t>FNI2</t>
  </si>
  <si>
    <t xml:space="preserve">หญิง </t>
  </si>
  <si>
    <t>29/06/2025 09:26</t>
  </si>
  <si>
    <t>FNI4</t>
  </si>
  <si>
    <t>29/06/2025 09:27</t>
  </si>
  <si>
    <t>ของเคลม</t>
  </si>
  <si>
    <t>JB265728782TH</t>
  </si>
  <si>
    <t>JB265728796TH</t>
  </si>
  <si>
    <t>FNO33</t>
  </si>
  <si>
    <t>ณ***ัย ผ***ข</t>
  </si>
  <si>
    <t>7495218315741727131</t>
  </si>
  <si>
    <t>30/06/2025 16:22</t>
  </si>
  <si>
    <t>FNO51</t>
  </si>
  <si>
    <t>ณ******​</t>
  </si>
  <si>
    <t>yyw3pe_j_y</t>
  </si>
  <si>
    <t>30/06/2025 17:24</t>
  </si>
  <si>
    <t>FNO88</t>
  </si>
  <si>
    <t>30/06/2025 19:38</t>
  </si>
  <si>
    <t>FNP45</t>
  </si>
  <si>
    <t>O***o</t>
  </si>
  <si>
    <t>7495641246274324650</t>
  </si>
  <si>
    <t>30/06/2025 23:44</t>
  </si>
  <si>
    <t>FNQ87</t>
  </si>
  <si>
    <t>ไพรัช ญาโนภาส</t>
  </si>
  <si>
    <t>ลูกค้าเพื่อนคุณแม่</t>
  </si>
  <si>
    <t>01/07/2025 08:56</t>
  </si>
  <si>
    <t>FOP27</t>
  </si>
  <si>
    <t>ธันยพร ประคำ</t>
  </si>
  <si>
    <t>07/07/2025 11:18</t>
  </si>
  <si>
    <t>FPG8</t>
  </si>
  <si>
    <t>ธณัลฐิวรรธน์</t>
  </si>
  <si>
    <t>13/07/2025 08:31</t>
  </si>
  <si>
    <t>FPK30</t>
  </si>
  <si>
    <t xml:space="preserve">ธนวรรณ เครือแป้น </t>
  </si>
  <si>
    <t>Tuck 91♾</t>
  </si>
  <si>
    <t>14/07/2025 10:54</t>
  </si>
  <si>
    <t>FPL94</t>
  </si>
  <si>
    <t xml:space="preserve">น.ส.สุจินต์ นารอด </t>
  </si>
  <si>
    <t>15/07/2025 08:51</t>
  </si>
  <si>
    <t>ของคุณแม่ส่งให้เพื่อน</t>
  </si>
  <si>
    <t>JB265877336TH</t>
  </si>
  <si>
    <t>JB291765148TH</t>
  </si>
  <si>
    <t>JB292321066TH</t>
  </si>
  <si>
    <t>JB292351385TH</t>
  </si>
  <si>
    <t>JB292555432TH</t>
  </si>
  <si>
    <t>FPL95</t>
  </si>
  <si>
    <t>15/07/2025 08:52</t>
  </si>
  <si>
    <t>FPL96</t>
  </si>
  <si>
    <t>15/07/2025 08:53</t>
  </si>
  <si>
    <t>FPL99</t>
  </si>
  <si>
    <t>สุกัญญา  พรหมณี</t>
  </si>
  <si>
    <t>15/07/2025 09:01</t>
  </si>
  <si>
    <t>FPN28</t>
  </si>
  <si>
    <t>เ******น</t>
  </si>
  <si>
    <t>ming_kewalin</t>
  </si>
  <si>
    <t>15/07/2025 18:59</t>
  </si>
  <si>
    <t>FPU1</t>
  </si>
  <si>
    <t>วันเผด็จ อังคณา</t>
  </si>
  <si>
    <t>Sukanyar Angkana</t>
  </si>
  <si>
    <t>20/07/2025 11:50</t>
  </si>
  <si>
    <t>JB293031989TH</t>
  </si>
  <si>
    <t>FPU12</t>
  </si>
  <si>
    <t>ปริศนา โทแก้ว</t>
  </si>
  <si>
    <t>20/07/2025 13:33</t>
  </si>
  <si>
    <t>JB293031992TH</t>
  </si>
  <si>
    <t>FPU21</t>
  </si>
  <si>
    <t>ยุพิน พันวา</t>
  </si>
  <si>
    <t>20/07/2025 14:30</t>
  </si>
  <si>
    <t>JB293032009TH</t>
  </si>
  <si>
    <t>FPU44</t>
  </si>
  <si>
    <t xml:space="preserve">นิติญา </t>
  </si>
  <si>
    <t>20/07/2025 15:43</t>
  </si>
  <si>
    <t>JB293031975TH</t>
  </si>
  <si>
    <t>FPV33</t>
  </si>
  <si>
    <t>นายพิศรุต เนตรคำ</t>
  </si>
  <si>
    <t>21/07/2025 10:13</t>
  </si>
  <si>
    <t>JB293162247TH</t>
  </si>
  <si>
    <t>FPV55</t>
  </si>
  <si>
    <t>กรรณิการ์ ฉายเเก้ว</t>
  </si>
  <si>
    <t>21/07/2025 13:31</t>
  </si>
  <si>
    <t>JB293162220TH</t>
  </si>
  <si>
    <t>FPW55</t>
  </si>
  <si>
    <t>สุวรรณา จอมทิพย์</t>
  </si>
  <si>
    <t>22/07/2025 08:48</t>
  </si>
  <si>
    <t>JB293265992TH</t>
  </si>
  <si>
    <t>FPW57</t>
  </si>
  <si>
    <t>พิยดา ศิรินัย</t>
  </si>
  <si>
    <t>22/07/2025 08:54</t>
  </si>
  <si>
    <t>JB293265989TH</t>
  </si>
  <si>
    <t>FPW60</t>
  </si>
  <si>
    <t>K.เเบม</t>
  </si>
  <si>
    <t>22/07/2025 08:57</t>
  </si>
  <si>
    <t>FPW62</t>
  </si>
  <si>
    <t>นาย มงคล ประดิษฐจา</t>
  </si>
  <si>
    <t>22/07/2025 08:58</t>
  </si>
  <si>
    <t>JB293265975TH</t>
  </si>
  <si>
    <t>JB293265961TH</t>
  </si>
  <si>
    <t>FPZ93</t>
  </si>
  <si>
    <t>ไพรี</t>
  </si>
  <si>
    <t>24/07/2025 08:24</t>
  </si>
  <si>
    <t>JB293486645TH</t>
  </si>
  <si>
    <t>FQC33</t>
  </si>
  <si>
    <t xml:space="preserve">ครูบามิก พระปฏิภาณ จันทปัญโญ </t>
  </si>
  <si>
    <t>25/07/2025 16:12</t>
  </si>
  <si>
    <t>JB293593397TH</t>
  </si>
  <si>
    <t>FQC36</t>
  </si>
  <si>
    <t>น.ส.อรอนงค์   ไชยศร</t>
  </si>
  <si>
    <t>25/07/2025 16:28</t>
  </si>
  <si>
    <t>JB293593383TH</t>
  </si>
  <si>
    <t>FQH58</t>
  </si>
  <si>
    <t xml:space="preserve">คุณภรณ์พรรณ อิศรนาเวศ </t>
  </si>
  <si>
    <t>29/07/2025 14:04</t>
  </si>
  <si>
    <t>FQH59</t>
  </si>
  <si>
    <t>29/07/2025 14:05</t>
  </si>
  <si>
    <t>JB293983698TH</t>
  </si>
  <si>
    <t>JB293983707TH</t>
  </si>
  <si>
    <t>FQL59</t>
  </si>
  <si>
    <t>นรัญ  นรเศรษฐ์</t>
  </si>
  <si>
    <t>31/07/2025 20:14</t>
  </si>
  <si>
    <t>FQL85</t>
  </si>
  <si>
    <t>ชนัญญา. คนึงเหตุ</t>
  </si>
  <si>
    <t>01/08/2025 08:45</t>
  </si>
  <si>
    <t>FQP57</t>
  </si>
  <si>
    <t>ประทุม บูรณารมย์</t>
  </si>
  <si>
    <t>04/08/2025 08:53</t>
  </si>
  <si>
    <t>FRA39</t>
  </si>
  <si>
    <t>08/08/2025 14:12</t>
  </si>
  <si>
    <t>FRH84</t>
  </si>
  <si>
    <t>สุริตา  หนูกลับ</t>
  </si>
  <si>
    <t>13/08/2025 09:02</t>
  </si>
  <si>
    <t>FRI6</t>
  </si>
  <si>
    <t xml:space="preserve">คุณสมชาย ฉาบเชย </t>
  </si>
  <si>
    <t>13/08/2025 10:20</t>
  </si>
  <si>
    <t>FRP15</t>
  </si>
  <si>
    <t>ปราณี  ภาคสวรรค์</t>
  </si>
  <si>
    <t>17/08/2025 16:20</t>
  </si>
  <si>
    <t>FRR21</t>
  </si>
  <si>
    <t>กนกลักษณ์ แจ้งกิจ</t>
  </si>
  <si>
    <t>19/08/2025 08:42</t>
  </si>
  <si>
    <t>FRU19</t>
  </si>
  <si>
    <t>กรแก้ว วิศวเวชเมธี</t>
  </si>
  <si>
    <t>20/08/2025 11:48</t>
  </si>
  <si>
    <t>FSA52</t>
  </si>
  <si>
    <t>พจนีย์ ชัยพานิช</t>
  </si>
  <si>
    <t>22/08/2025 13:19</t>
  </si>
  <si>
    <t>FSJ72</t>
  </si>
  <si>
    <t>เคลม TIKTOK</t>
  </si>
  <si>
    <t>27/08/2025 08:36</t>
  </si>
  <si>
    <t>เคลม บิลเส้น ส่งของขาด</t>
  </si>
  <si>
    <t>JB294211029TH</t>
  </si>
  <si>
    <t>เคลม TIKTOK  หมายเลขคำสั่งซื้อ : 579664450951546095เนื่องจากสินค้า ที่เป็นครีมฮอร์นของทางร้าน ผลิตไม่ทันจึงทำให้การจัดส่งออเดอร์ไม่ครบถ้วน จึงเคลมสินค้าตัวแื่นให้คุณลูกค้าแทน</t>
  </si>
  <si>
    <t>JB294683111TH</t>
  </si>
  <si>
    <t>เคลม ช้อปปี้ เลขออเดอร์ 250729DB72FBYD**สินค้าขึ้นราก่อนหมดอายุ**</t>
  </si>
  <si>
    <t>JB337938037TH</t>
  </si>
  <si>
    <t>เคลม Shopee (1)50801N7QD5D1Sเนื่องจากสินค้าขึ้นราก่อนวันหมดอายุ  50804UEFHQCS2 เนื่องจากขนมปังมีกลิ่นเปรี้ยว ก่อนวันหมดอายุ</t>
  </si>
  <si>
    <t>JB338407769TH</t>
  </si>
  <si>
    <t>เคลม LAZADA  หมายเลขคำสั่งซื้อ : 103453793647678เนื่องจากขนมปังขึ้นราก่อนวันหมดอายุ</t>
  </si>
  <si>
    <t>JB338407786TH</t>
  </si>
  <si>
    <t>เคลมของเสีย ลูกค้าหน้าร้าน</t>
  </si>
  <si>
    <t>JB338775556TH</t>
  </si>
  <si>
    <t>เคลม Shopee  หมายเลขคำสั่งซื้อ : 250811FQPUKPDNขนมปังขึ้นราก่อนวันหมดอายุ</t>
  </si>
  <si>
    <t>JB339022495TH</t>
  </si>
  <si>
    <t>เคลม Shopee  หมายเลขคำสั่งซื้อ  25081848G1DMTC** ได้รับสินค้าไม่ครบ **</t>
  </si>
  <si>
    <t>JB339141974TH</t>
  </si>
  <si>
    <t>เคลม Shopee  เลขออเดอร์ 250809AT2U5FGE** สินค้าในกล่องมีแค่ 2 รส **</t>
  </si>
  <si>
    <t>JB339354740TH</t>
  </si>
  <si>
    <t>เคลม TIKTOK  หมายเลขคำสั่งซื้อ : 580085332761216238เนื่องจากซีนไม่ดี ทำให้มดขึ้นในขนม</t>
  </si>
  <si>
    <t>JB339921618TH</t>
  </si>
  <si>
    <t>FSS18</t>
  </si>
  <si>
    <t>บังยูฮัน เลขที่ **,  **********(อั้ม)</t>
  </si>
  <si>
    <t>30/08/2025 00:24</t>
  </si>
  <si>
    <t>FSW19</t>
  </si>
  <si>
    <t>7494202018835958588</t>
  </si>
  <si>
    <t>Next-day delivery</t>
  </si>
  <si>
    <t>31/08/2025 15:49</t>
  </si>
  <si>
    <t>FSW39</t>
  </si>
  <si>
    <t>31/08/2025 16:02</t>
  </si>
  <si>
    <t>FSW78</t>
  </si>
  <si>
    <t>7494027956654409254</t>
  </si>
  <si>
    <t>31/08/2025 18:25</t>
  </si>
  <si>
    <t>FSX16</t>
  </si>
  <si>
    <t>7494037441075774952</t>
  </si>
  <si>
    <t>31/08/2025 20:07</t>
  </si>
  <si>
    <t>FTM90</t>
  </si>
  <si>
    <t>กาญจณี พานนนท์</t>
  </si>
  <si>
    <t>06/09/2025 09:39</t>
  </si>
  <si>
    <t>FTM92</t>
  </si>
  <si>
    <t>06/09/2025 09:40</t>
  </si>
  <si>
    <t>เคลม tiktok  หมายเลขคำสั่งซื้อ : 580100090685261487เนื่องจาก ขนมปังขึ้นราก่อนวันหมดอายุ</t>
  </si>
  <si>
    <t>เคลม lazada  หมายเลขคำสั่งซื้อ : 1040673311206033เนื่องจาก ขนมปังขึ้นราก่อนวันหมดอายุ</t>
  </si>
  <si>
    <t>FTZ86</t>
  </si>
  <si>
    <t>เรวัติ อินประสิทธิ์</t>
  </si>
  <si>
    <t>09/09/2025 13:48</t>
  </si>
  <si>
    <t>เคลม shopee  หมายเลขคำสั่งซื้อ : 25092EGTDWU3Hเนื่องจาก ขึ้นราก่อนวันหมดอายุ</t>
  </si>
  <si>
    <t>FTZ95</t>
  </si>
  <si>
    <t>สมถวิล. โป๊ะประนม</t>
  </si>
  <si>
    <t>09/09/2025 14:11</t>
  </si>
  <si>
    <t>เคลม lazada1040668503644397,1034092490144397เนื่องจากขัึ้นราก่อนวันหมดอายุ</t>
  </si>
  <si>
    <t>FUA11</t>
  </si>
  <si>
    <t>วัดถ้ำสหาย</t>
  </si>
  <si>
    <t>พุทโธ</t>
  </si>
  <si>
    <t>09/09/2025 14:44</t>
  </si>
  <si>
    <t>เคลมส่งของผิด</t>
  </si>
  <si>
    <t>FUC41</t>
  </si>
  <si>
    <t>นางสาวศรวณีย์ ทุมโนน้อย</t>
  </si>
  <si>
    <t>10/09/2025 13:29</t>
  </si>
  <si>
    <t>ช่องทางติ้กต่อก เลขออเดอร์ 580141956021584905**สินค้าขึ้นราก่อนวันหมดอายุ**</t>
  </si>
  <si>
    <t>FUE71</t>
  </si>
  <si>
    <t xml:space="preserve">ปริศนา โทแก้ว </t>
  </si>
  <si>
    <t>11/09/2025 10:11</t>
  </si>
  <si>
    <t>เคลม lazada  หมายเลขคำสั่งซื้อ : 1034801011400016เนื่องจากขึ้นราก่อนวันหมดอายุ</t>
  </si>
  <si>
    <t>FVW11</t>
  </si>
  <si>
    <t xml:space="preserve">พระวันชัย เฮงรวยบุญ </t>
  </si>
  <si>
    <t>25/09/2025 11:59</t>
  </si>
  <si>
    <t>***เคลมtiktokหมายเลขคำซื้อ 580453626340083661</t>
  </si>
  <si>
    <t>JB341057895TH</t>
  </si>
  <si>
    <t>JB341057904TH</t>
  </si>
  <si>
    <t>JB341395779TH</t>
  </si>
  <si>
    <t>JB341395751TH</t>
  </si>
  <si>
    <t>JB341395725TH</t>
  </si>
  <si>
    <t>JB341511792TH</t>
  </si>
  <si>
    <t>JB341636038TH</t>
  </si>
  <si>
    <t>WB010444406TH</t>
  </si>
  <si>
    <t>FWH8</t>
  </si>
  <si>
    <t>สุวรรณา ชินวงษเกตุ</t>
  </si>
  <si>
    <t>29/09/2025 15:10</t>
  </si>
  <si>
    <t>83</t>
  </si>
  <si>
    <t>FWP50</t>
  </si>
  <si>
    <t>เกสร ฟักสกุล</t>
  </si>
  <si>
    <t>02/10/2025 08:21</t>
  </si>
  <si>
    <t>เคลม tiktok  หมายเลขคำสั่งซื้อ : 580486292627359126</t>
  </si>
  <si>
    <t>WB010814469TH</t>
  </si>
  <si>
    <t>04/10/2025 08:27</t>
  </si>
  <si>
    <t>FWW99</t>
  </si>
  <si>
    <t xml:space="preserve">นางสาวกุลิสรา ดาวกระจ่าง </t>
  </si>
  <si>
    <t>**เคลมติ๊กต่อกคำสั่งซื้อ 580584770021000316</t>
  </si>
  <si>
    <t>WB011102725TH</t>
  </si>
  <si>
    <t>FXF68</t>
  </si>
  <si>
    <t>จันจิรา เทพนุกูล</t>
  </si>
  <si>
    <t>06/10/2025 13:18</t>
  </si>
  <si>
    <t>*****เคลมติ๊กต่อกเลขออเดอร์: 580478328699586036</t>
  </si>
  <si>
    <t>WB011293716TH</t>
  </si>
  <si>
    <t>GAO64</t>
  </si>
  <si>
    <t>08/11/2025 11:13</t>
  </si>
  <si>
    <t>GBB22</t>
  </si>
  <si>
    <t xml:space="preserve">บริพัตร แวงวรรณ </t>
  </si>
  <si>
    <t>12/11/2025 09:04</t>
  </si>
  <si>
    <t>GBB24</t>
  </si>
  <si>
    <t xml:space="preserve">ธัญยธรณ์ </t>
  </si>
  <si>
    <t>12/11/2025 09:07</t>
  </si>
  <si>
    <t>WB055194399TH</t>
  </si>
  <si>
    <t>WB055638971TH</t>
  </si>
  <si>
    <t>WB055638985TH</t>
  </si>
  <si>
    <t>GDO61</t>
  </si>
  <si>
    <t>คุณบุศรา สรณ์กุลจำรูญ</t>
  </si>
  <si>
    <t>QuiltyCat Fabcottage</t>
  </si>
  <si>
    <t>04/12/2025 15:17</t>
  </si>
  <si>
    <t>WB107015223TH</t>
  </si>
  <si>
    <t>GDO62</t>
  </si>
  <si>
    <t>สุวิตรา หาญสระคู</t>
  </si>
  <si>
    <t xml:space="preserve"> 1410_th</t>
  </si>
  <si>
    <t>04/12/2025 15:23</t>
  </si>
  <si>
    <t>WB107015237TH</t>
  </si>
  <si>
    <t>GEJ59</t>
  </si>
  <si>
    <t>ศิริพันธ์​ ดวงแก้ว</t>
  </si>
  <si>
    <t>08/12/2025 15:59</t>
  </si>
  <si>
    <t>WB107300360TH</t>
  </si>
  <si>
    <t>GFG61</t>
  </si>
  <si>
    <t>วรรณภา สิงห์หลอด</t>
  </si>
  <si>
    <t>12/12/2025 09:05</t>
  </si>
  <si>
    <t>WB107736089TH</t>
  </si>
  <si>
    <t>GFZ38</t>
  </si>
  <si>
    <t xml:space="preserve">คุณพิจิกา </t>
  </si>
  <si>
    <t>user74929219205</t>
  </si>
  <si>
    <t>14/12/2025 09:29</t>
  </si>
  <si>
    <t>WB107899011TH</t>
  </si>
  <si>
    <t>GGE36</t>
  </si>
  <si>
    <t>K.เป้า</t>
  </si>
  <si>
    <t>14/12/2025 17:22</t>
  </si>
  <si>
    <t>WB107898957TH</t>
  </si>
  <si>
    <t>GGI95</t>
  </si>
  <si>
    <t>ชนิชา อิ่มเจริญ</t>
  </si>
  <si>
    <t>15/12/2025 08:41</t>
  </si>
  <si>
    <t>WB108036105TH</t>
  </si>
  <si>
    <t>GGY59</t>
  </si>
  <si>
    <t>ณัฐกฤตา  บุษรา</t>
  </si>
  <si>
    <t>16/12/2025 13:41</t>
  </si>
  <si>
    <t>WB108143555TH</t>
  </si>
  <si>
    <t>GIH76</t>
  </si>
  <si>
    <t>พัชรินทร์ นิ่มเจริญ</t>
  </si>
  <si>
    <t>19/12/2025 16:54</t>
  </si>
  <si>
    <t>WB108515795TH</t>
  </si>
  <si>
    <t>GKQ91</t>
  </si>
  <si>
    <t>K.Yui S.</t>
  </si>
  <si>
    <t>23/12/2025 16:03</t>
  </si>
  <si>
    <t>WB108958100TH</t>
  </si>
  <si>
    <t>GKR14</t>
  </si>
  <si>
    <t xml:space="preserve">ศิรินยา โคตกำพี้ </t>
  </si>
  <si>
    <t>23/12/2025 16:10</t>
  </si>
  <si>
    <t>WB108958095TH</t>
  </si>
  <si>
    <t>GKR35</t>
  </si>
  <si>
    <t>คุณพัชรี พูนเพ็ชรประดับ</t>
  </si>
  <si>
    <t>23/12/2025 16:18</t>
  </si>
  <si>
    <t>WB108958087TH</t>
  </si>
  <si>
    <t>GLS25</t>
  </si>
  <si>
    <t>ยุพาวดี  ภวังคานนท์</t>
  </si>
  <si>
    <t>25/12/2025 06:50</t>
  </si>
  <si>
    <t>WB109187610TH</t>
  </si>
  <si>
    <t>GLT43</t>
  </si>
  <si>
    <t>ธัญลักษณ์ ศรีแก้ว</t>
  </si>
  <si>
    <t>25/12/2025 08:04</t>
  </si>
  <si>
    <t>WB109188632TH</t>
  </si>
  <si>
    <t>GLU22</t>
  </si>
  <si>
    <t>ทิพาพร  ชูวงศ์วรพินิจ</t>
  </si>
  <si>
    <t>25/12/2025 09:50</t>
  </si>
  <si>
    <t>WB109187597TH</t>
  </si>
  <si>
    <t>GLY26</t>
  </si>
  <si>
    <t xml:space="preserve">แพรว </t>
  </si>
  <si>
    <t>25/12/2025 14:36</t>
  </si>
  <si>
    <t>WB109188663TH</t>
  </si>
  <si>
    <t>GMF89</t>
  </si>
  <si>
    <t>อรรรณ ต้นบุญ</t>
  </si>
  <si>
    <t>26/12/2025 11:29</t>
  </si>
  <si>
    <t>WB109318275TH</t>
  </si>
  <si>
    <t>GMG3</t>
  </si>
  <si>
    <t>แจ็ค</t>
  </si>
  <si>
    <t>26/12/2025 11:33</t>
  </si>
  <si>
    <t>WB109318258TH</t>
  </si>
  <si>
    <t>GNK35</t>
  </si>
  <si>
    <t>วันรพี กางกรณ์</t>
  </si>
  <si>
    <t>28/12/2025 09:40</t>
  </si>
  <si>
    <t>TH5401865VS03P</t>
  </si>
  <si>
    <t>GNK57</t>
  </si>
  <si>
    <t>กัญญารัตน์ เงินคง</t>
  </si>
  <si>
    <t>28/12/2025 10:06</t>
  </si>
  <si>
    <t>TH0117865VRZ1B3</t>
  </si>
  <si>
    <t>GNM38</t>
  </si>
  <si>
    <t>รัตตะยา อินต๊ะเสน</t>
  </si>
  <si>
    <t>28/12/2025 13:34</t>
  </si>
  <si>
    <t>TH5305865VRW4C</t>
  </si>
  <si>
    <t>GNS35</t>
  </si>
  <si>
    <t xml:space="preserve">ณัฐพร </t>
  </si>
  <si>
    <t>29/12/2025 09:16</t>
  </si>
  <si>
    <t>WB109584117TH</t>
  </si>
  <si>
    <t>GNV39</t>
  </si>
  <si>
    <t>จำลอง</t>
  </si>
  <si>
    <t>29/12/2025 16:26</t>
  </si>
  <si>
    <t>WB109584085TH</t>
  </si>
  <si>
    <t>GNV43</t>
  </si>
  <si>
    <t>วีริยา กงพลี</t>
  </si>
  <si>
    <t>29/12/2025 16:30</t>
  </si>
  <si>
    <t>WB109584077TH</t>
  </si>
  <si>
    <t>GNV44</t>
  </si>
  <si>
    <t>นัท</t>
  </si>
  <si>
    <t>29/12/2025 16:32</t>
  </si>
  <si>
    <t>WB109584063TH</t>
  </si>
  <si>
    <t>GNV48</t>
  </si>
  <si>
    <t xml:space="preserve">นางสำรวย ชนะภัย </t>
  </si>
  <si>
    <t>29/12/2025 16:35</t>
  </si>
  <si>
    <t>WB109584050TH</t>
  </si>
  <si>
    <t>GNV53</t>
  </si>
  <si>
    <t>อัจจิมา เอียดเกลี้ยง</t>
  </si>
  <si>
    <t>29/12/2025 16:38</t>
  </si>
  <si>
    <t>WB109584046TH</t>
  </si>
  <si>
    <t>GNV56</t>
  </si>
  <si>
    <t>วีรวัฒน์ ทานอุดม</t>
  </si>
  <si>
    <t>29/12/2025 16:45</t>
  </si>
  <si>
    <t>WB109584032TH</t>
  </si>
  <si>
    <t>GNV60</t>
  </si>
  <si>
    <t>วชิราภรณ์</t>
  </si>
  <si>
    <t>29/12/2025 16:51</t>
  </si>
  <si>
    <t>WB109584029TH</t>
  </si>
  <si>
    <t>GNV67</t>
  </si>
  <si>
    <t>ลูกตาล</t>
  </si>
  <si>
    <t>29/12/2025 17:00</t>
  </si>
  <si>
    <t>WB109584015TH</t>
  </si>
  <si>
    <t>GOA51</t>
  </si>
  <si>
    <t>สำราญ รัตนภูมิ</t>
  </si>
  <si>
    <t>30/12/2025 13:11</t>
  </si>
  <si>
    <t>TH070286BUTT1B</t>
  </si>
  <si>
    <t>GOD89</t>
  </si>
  <si>
    <t>สุขุมา จันทร์สะอาด</t>
  </si>
  <si>
    <t>31/12/2025 09:38</t>
  </si>
  <si>
    <t>TH130686DYH91D</t>
  </si>
  <si>
    <t>GOD93</t>
  </si>
  <si>
    <t>พิจิตรา จิตตสำเริง</t>
  </si>
  <si>
    <t>31/12/2025 09:41</t>
  </si>
  <si>
    <t>TH014886DYH94B</t>
  </si>
  <si>
    <t>GOD95</t>
  </si>
  <si>
    <t>ปริสุทธา บ้านนาน่าดู</t>
  </si>
  <si>
    <t>Parisudha Sudhamongkala</t>
  </si>
  <si>
    <t>31/12/2025 09:44</t>
  </si>
  <si>
    <t>TH540186DYH96K</t>
  </si>
  <si>
    <t>GOF77</t>
  </si>
  <si>
    <t>คุณนฤมล จีนแส</t>
  </si>
  <si>
    <t>31/12/2025 15:06</t>
  </si>
  <si>
    <t>TH101086E0UR5D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</si>
</sst>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b/>
      <sz val="18"/>
      <color theme="1" tint="4.9989318521683403E-2"/>
      <name val="Angsana New"/>
      <family val="1"/>
    </font>
    <font>
      <sz val="16"/>
      <color theme="1" tint="4.9989318521683403E-2"/>
      <name val="Angsana New"/>
      <family val="1"/>
      <charset val="222"/>
    </font>
    <font>
      <sz val="16"/>
      <color theme="1" tint="4.9989318521683403E-2"/>
      <name val="Tahoma"/>
      <family val="2"/>
      <charset val="222"/>
      <scheme val="minor"/>
    </font>
    <font>
      <b/>
      <sz val="36"/>
      <color theme="1"/>
      <name val="Angsana New"/>
      <family val="1"/>
    </font>
    <font>
      <b/>
      <sz val="16"/>
      <color theme="1" tint="4.9989318521683403E-2"/>
      <name val="Angsana New"/>
      <family val="1"/>
    </font>
    <font>
      <b/>
      <sz val="16"/>
      <color theme="1"/>
      <name val="Angsana New"/>
      <family val="1"/>
    </font>
    <font>
      <sz val="18"/>
      <color theme="1" tint="4.9989318521683403E-2"/>
      <name val="Angsana New"/>
      <family val="1"/>
    </font>
    <font>
      <sz val="8"/>
      <name val="Tahoma"/>
      <family val="2"/>
      <charset val="22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6"/>
      <color theme="1" tint="4.9989318521683403E-2"/>
      <name val="Angsana New"/>
      <family val="1"/>
    </font>
    <font>
      <b/>
      <sz val="20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8"/>
      <color rgb="FFFF0000"/>
      <name val="Angsana New"/>
      <family val="1"/>
    </font>
    <font>
      <sz val="16"/>
      <color theme="1"/>
      <name val="Angsana New"/>
      <family val="1"/>
      <charset val="222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12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1" xfId="0" applyFont="1" applyBorder="1"/>
    <xf numFmtId="4" fontId="0" fillId="0" borderId="0" xfId="0" applyNumberFormat="1"/>
    <xf numFmtId="4" fontId="1" fillId="2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" fontId="11" fillId="0" borderId="2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3" fontId="11" fillId="0" borderId="3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43" fontId="11" fillId="5" borderId="0" xfId="3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43" fontId="7" fillId="5" borderId="0" xfId="3" applyFont="1" applyFill="1" applyAlignment="1">
      <alignment horizontal="center" vertical="center"/>
    </xf>
    <xf numFmtId="0" fontId="12" fillId="0" borderId="0" xfId="2" applyFont="1" applyAlignment="1">
      <alignment vertical="center"/>
    </xf>
    <xf numFmtId="43" fontId="11" fillId="0" borderId="3" xfId="3" applyFont="1" applyBorder="1" applyAlignment="1">
      <alignment horizontal="center" vertical="center"/>
    </xf>
    <xf numFmtId="43" fontId="1" fillId="0" borderId="0" xfId="3" applyFont="1" applyAlignment="1">
      <alignment horizontal="center" vertical="center"/>
    </xf>
    <xf numFmtId="0" fontId="14" fillId="0" borderId="0" xfId="2"/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87" fontId="8" fillId="0" borderId="1" xfId="1" applyNumberFormat="1" applyFont="1" applyBorder="1" applyAlignment="1">
      <alignment horizontal="center" vertical="center"/>
    </xf>
    <xf numFmtId="187" fontId="2" fillId="0" borderId="2" xfId="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0" fontId="16" fillId="6" borderId="0" xfId="0" applyFont="1" applyFill="1" applyAlignment="1">
      <alignment horizontal="center"/>
    </xf>
    <xf numFmtId="49" fontId="16" fillId="6" borderId="1" xfId="0" applyNumberFormat="1" applyFont="1" applyFill="1" applyBorder="1" applyAlignment="1">
      <alignment horizontal="center" vertical="center" wrapText="1"/>
    </xf>
    <xf numFmtId="187" fontId="17" fillId="6" borderId="2" xfId="1" applyNumberFormat="1" applyFont="1" applyFill="1" applyBorder="1" applyAlignment="1">
      <alignment horizontal="center" vertical="center"/>
    </xf>
    <xf numFmtId="187" fontId="17" fillId="6" borderId="1" xfId="1" applyNumberFormat="1" applyFont="1" applyFill="1" applyBorder="1" applyAlignment="1">
      <alignment horizontal="center" vertical="center"/>
    </xf>
    <xf numFmtId="0" fontId="11" fillId="0" borderId="0" xfId="2" applyFont="1" applyAlignment="1">
      <alignment horizontal="right" vertical="center"/>
    </xf>
    <xf numFmtId="0" fontId="11" fillId="0" borderId="0" xfId="2" applyFont="1" applyAlignment="1">
      <alignment horizontal="left" vertical="center"/>
    </xf>
    <xf numFmtId="43" fontId="0" fillId="0" borderId="0" xfId="1" applyFont="1" applyAlignment="1">
      <alignment vertical="center"/>
    </xf>
    <xf numFmtId="43" fontId="1" fillId="2" borderId="1" xfId="1" applyFont="1" applyFill="1" applyBorder="1" applyAlignment="1">
      <alignment horizontal="center" vertical="center" wrapText="1"/>
    </xf>
    <xf numFmtId="43" fontId="12" fillId="0" borderId="1" xfId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1" fontId="0" fillId="0" borderId="0" xfId="1" applyNumberFormat="1" applyFont="1" applyAlignment="1">
      <alignment vertical="center"/>
    </xf>
    <xf numFmtId="1" fontId="1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/>
    </xf>
    <xf numFmtId="187" fontId="11" fillId="0" borderId="3" xfId="1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43" fontId="7" fillId="5" borderId="3" xfId="3" applyFont="1" applyFill="1" applyBorder="1" applyAlignment="1">
      <alignment horizontal="center" vertical="center"/>
    </xf>
    <xf numFmtId="43" fontId="1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43" fontId="3" fillId="0" borderId="1" xfId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11" fillId="0" borderId="0" xfId="2" applyFont="1" applyAlignment="1">
      <alignment vertical="center"/>
    </xf>
    <xf numFmtId="43" fontId="11" fillId="5" borderId="3" xfId="3" applyFont="1" applyFill="1" applyBorder="1" applyAlignment="1">
      <alignment horizontal="center" vertical="center"/>
    </xf>
    <xf numFmtId="187" fontId="11" fillId="0" borderId="3" xfId="3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/>
    </xf>
    <xf numFmtId="43" fontId="12" fillId="0" borderId="1" xfId="1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4">
    <cellStyle name="จุลภาค" xfId="1" builtinId="3"/>
    <cellStyle name="จุลภาค 2" xfId="3" xr:uid="{B0012154-9A36-452B-9836-DD7D6C395857}"/>
    <cellStyle name="ปกติ" xfId="0" builtinId="0"/>
    <cellStyle name="ปกติ 2" xfId="2" xr:uid="{A1D5A9FD-AA4D-4902-8492-006E61349C36}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00FF"/>
      <color rgb="FFCCFFFF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800" b="1" i="0" u="none" strike="noStrike" kern="1200" cap="none" spc="50" baseline="0"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Angsana New" panose="02020603050405020304" pitchFamily="18" charset="-34"/>
                <a:cs typeface="Angsana New" panose="02020603050405020304" pitchFamily="18" charset="-34"/>
              </a:rPr>
              <a:t>สถิติยอดเคลม และ ยกเลิกสินค้าออเดอร์ขายออนไลน์ ปี 2568</a:t>
            </a:r>
          </a:p>
        </c:rich>
      </c:tx>
      <c:layout>
        <c:manualLayout>
          <c:xMode val="edge"/>
          <c:yMode val="edge"/>
          <c:x val="0.16712476330094228"/>
          <c:y val="1.2618296529968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19367492220921"/>
          <c:y val="0.13430073152901775"/>
          <c:w val="0.84652977172450339"/>
          <c:h val="0.63369664754050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 68'!$B$2</c:f>
              <c:strCache>
                <c:ptCount val="1"/>
                <c:pt idx="0">
                  <c:v>เคลม</c:v>
                </c:pt>
              </c:strCache>
            </c:strRef>
          </c:tx>
          <c:spPr>
            <a:solidFill>
              <a:srgbClr val="FF99FF"/>
            </a:solidFill>
            <a:ln>
              <a:solidFill>
                <a:srgbClr val="FF99FF"/>
              </a:solidFill>
            </a:ln>
            <a:effectLst/>
          </c:spPr>
          <c:invertIfNegative val="0"/>
          <c:cat>
            <c:strRef>
              <c:f>'สรุป 68'!$A$4:$A$15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'สรุป 68'!$B$4:$B$15</c:f>
              <c:numCache>
                <c:formatCode>General</c:formatCode>
                <c:ptCount val="12"/>
                <c:pt idx="0">
                  <c:v>47</c:v>
                </c:pt>
                <c:pt idx="1">
                  <c:v>12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  <c:pt idx="5">
                  <c:v>19</c:v>
                </c:pt>
                <c:pt idx="6">
                  <c:v>20</c:v>
                </c:pt>
                <c:pt idx="7" formatCode="#,##0.00">
                  <c:v>10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9-4DEE-9B15-0C1E179C663A}"/>
            </c:ext>
          </c:extLst>
        </c:ser>
        <c:ser>
          <c:idx val="1"/>
          <c:order val="1"/>
          <c:tx>
            <c:strRef>
              <c:f>'สรุป 68'!$D$2</c:f>
              <c:strCache>
                <c:ptCount val="1"/>
                <c:pt idx="0">
                  <c:v>ยกเลิก ( CF เล่น)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'สรุป 68'!$A$4:$A$15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'สรุป 68'!$D$4:$D$15</c:f>
              <c:numCache>
                <c:formatCode>General</c:formatCode>
                <c:ptCount val="12"/>
                <c:pt idx="0">
                  <c:v>32</c:v>
                </c:pt>
                <c:pt idx="1">
                  <c:v>22</c:v>
                </c:pt>
                <c:pt idx="2">
                  <c:v>23</c:v>
                </c:pt>
                <c:pt idx="3">
                  <c:v>15</c:v>
                </c:pt>
                <c:pt idx="4">
                  <c:v>5</c:v>
                </c:pt>
                <c:pt idx="5">
                  <c:v>17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9-4DEE-9B15-0C1E179C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77791"/>
        <c:axId val="451608271"/>
      </c:barChart>
      <c:catAx>
        <c:axId val="57977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451608271"/>
        <c:crosses val="autoZero"/>
        <c:auto val="1"/>
        <c:lblAlgn val="ctr"/>
        <c:lblOffset val="100"/>
        <c:noMultiLvlLbl val="0"/>
      </c:catAx>
      <c:valAx>
        <c:axId val="4516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FFF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  <c:crossAx val="579777791"/>
        <c:crosses val="autoZero"/>
        <c:crossBetween val="between"/>
      </c:valAx>
      <c:dTable>
        <c:showHorzBorder val="1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en-US"/>
          </a:p>
        </c:txPr>
      </c:dTable>
      <c:spPr>
        <a:solidFill>
          <a:srgbClr val="FFFF99"/>
        </a:solidFill>
        <a:ln>
          <a:solidFill>
            <a:srgbClr val="92D05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CC"/>
    </a:solidFill>
    <a:ln w="9525" cap="flat" cmpd="sng" algn="ctr">
      <a:solidFill>
        <a:srgbClr val="FF99F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48446</xdr:colOff>
      <xdr:row>1</xdr:row>
      <xdr:rowOff>36646</xdr:rowOff>
    </xdr:from>
    <xdr:to>
      <xdr:col>22</xdr:col>
      <xdr:colOff>48441</xdr:colOff>
      <xdr:row>19</xdr:row>
      <xdr:rowOff>55695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43F28CD2-9C4F-95A7-31CB-6446C7C7A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9C11-C23A-4B2F-9C12-6D015DF3C21C}">
  <sheetPr>
    <tabColor rgb="FFFFFF00"/>
  </sheetPr>
  <dimension ref="A1:F223"/>
  <sheetViews>
    <sheetView zoomScale="70" zoomScaleNormal="70" workbookViewId="0">
      <pane xSplit="1" ySplit="3" topLeftCell="B4" activePane="bottomRight" state="frozen"/>
      <selection activeCell="N57" sqref="M1:N57"/>
      <selection pane="topRight" activeCell="N57" sqref="M1:N57"/>
      <selection pane="bottomLeft" activeCell="N57" sqref="M1:N57"/>
      <selection pane="bottomRight"/>
    </sheetView>
  </sheetViews>
  <sheetFormatPr defaultColWidth="9.09765625" defaultRowHeight="26.4" x14ac:dyDescent="0.7"/>
  <cols>
    <col min="1" max="1" width="14.296875" style="18" customWidth="1"/>
    <col min="2" max="2" width="9.296875" style="17" bestFit="1" customWidth="1"/>
    <col min="3" max="3" width="11.69921875" style="18" bestFit="1" customWidth="1"/>
    <col min="4" max="4" width="9.09765625" style="17"/>
    <col min="5" max="5" width="12.8984375" style="17" bestFit="1" customWidth="1"/>
    <col min="6" max="6" width="26.796875" style="15" customWidth="1"/>
    <col min="7" max="16384" width="9.09765625" style="15"/>
  </cols>
  <sheetData>
    <row r="1" spans="1:6" ht="28.8" x14ac:dyDescent="0.75">
      <c r="A1" s="32" t="s">
        <v>5702</v>
      </c>
      <c r="C1" s="17"/>
      <c r="F1" s="16"/>
    </row>
    <row r="2" spans="1:6" x14ac:dyDescent="0.7">
      <c r="A2" s="124" t="s">
        <v>26</v>
      </c>
      <c r="B2" s="122" t="s">
        <v>27</v>
      </c>
      <c r="C2" s="123"/>
      <c r="D2" s="126" t="s">
        <v>55</v>
      </c>
      <c r="E2" s="127"/>
      <c r="F2" s="124" t="s">
        <v>7</v>
      </c>
    </row>
    <row r="3" spans="1:6" x14ac:dyDescent="0.7">
      <c r="A3" s="125"/>
      <c r="B3" s="28" t="s">
        <v>48</v>
      </c>
      <c r="C3" s="28" t="s">
        <v>43</v>
      </c>
      <c r="D3" s="40" t="s">
        <v>48</v>
      </c>
      <c r="E3" s="40" t="s">
        <v>56</v>
      </c>
      <c r="F3" s="125"/>
    </row>
    <row r="4" spans="1:6" ht="25.8" x14ac:dyDescent="0.65">
      <c r="A4" s="29" t="s">
        <v>29</v>
      </c>
      <c r="B4" s="29">
        <v>47</v>
      </c>
      <c r="C4" s="27">
        <f>+'ม.ค. เคลม'!J1</f>
        <v>1131</v>
      </c>
      <c r="D4" s="29">
        <v>32</v>
      </c>
      <c r="E4" s="27">
        <f>+'ม.ค. ยกเลิก'!H76</f>
        <v>21495.77</v>
      </c>
      <c r="F4" s="19"/>
    </row>
    <row r="5" spans="1:6" ht="25.8" x14ac:dyDescent="0.65">
      <c r="A5" s="29" t="s">
        <v>30</v>
      </c>
      <c r="B5" s="29">
        <v>12</v>
      </c>
      <c r="C5" s="27">
        <f>+'ก.พ. เคลม'!J1</f>
        <v>271</v>
      </c>
      <c r="D5" s="29">
        <v>22</v>
      </c>
      <c r="E5" s="27">
        <f>+'ก.พ. ยกเลิก'!H25</f>
        <v>5138.96</v>
      </c>
      <c r="F5" s="19"/>
    </row>
    <row r="6" spans="1:6" ht="25.8" x14ac:dyDescent="0.65">
      <c r="A6" s="29" t="s">
        <v>31</v>
      </c>
      <c r="B6" s="29">
        <v>6</v>
      </c>
      <c r="C6" s="27">
        <f>+'มี.ค. เคลม'!J1</f>
        <v>270</v>
      </c>
      <c r="D6" s="29">
        <v>23</v>
      </c>
      <c r="E6" s="27">
        <f>+'มี.ค. ยกเลิก'!H108</f>
        <v>3778.7099999999996</v>
      </c>
      <c r="F6" s="19"/>
    </row>
    <row r="7" spans="1:6" ht="25.8" x14ac:dyDescent="0.65">
      <c r="A7" s="29" t="s">
        <v>32</v>
      </c>
      <c r="B7" s="29">
        <v>9</v>
      </c>
      <c r="C7" s="27">
        <f>+'เม.ย. เคลม'!J1</f>
        <v>315</v>
      </c>
      <c r="D7" s="29">
        <v>15</v>
      </c>
      <c r="E7" s="27">
        <f>+'เม.ย. ยกเลิก'!H18</f>
        <v>2614.0899999999997</v>
      </c>
      <c r="F7" s="19"/>
    </row>
    <row r="8" spans="1:6" ht="25.8" x14ac:dyDescent="0.65">
      <c r="A8" s="29" t="s">
        <v>33</v>
      </c>
      <c r="B8" s="29">
        <v>5</v>
      </c>
      <c r="C8" s="27">
        <f>+'พ.ค. เคลม'!J1</f>
        <v>225</v>
      </c>
      <c r="D8" s="29">
        <v>5</v>
      </c>
      <c r="E8" s="27">
        <f>+'พ.ค. ยกเลิก'!H8</f>
        <v>1007.48</v>
      </c>
      <c r="F8" s="19"/>
    </row>
    <row r="9" spans="1:6" ht="25.8" x14ac:dyDescent="0.65">
      <c r="A9" s="29" t="s">
        <v>34</v>
      </c>
      <c r="B9" s="29">
        <v>19</v>
      </c>
      <c r="C9" s="27">
        <f>+'มิ.ย. เคลม'!J1</f>
        <v>495</v>
      </c>
      <c r="D9" s="29">
        <v>17</v>
      </c>
      <c r="E9" s="27">
        <f>+'มิ.ย. ยกเลิก'!H20</f>
        <v>2537.1500000000005</v>
      </c>
      <c r="F9" s="19"/>
    </row>
    <row r="10" spans="1:6" ht="25.8" x14ac:dyDescent="0.65">
      <c r="A10" s="29" t="s">
        <v>35</v>
      </c>
      <c r="B10" s="29">
        <v>20</v>
      </c>
      <c r="C10" s="27">
        <f>+'ก.ค. เคลม'!J1</f>
        <v>900</v>
      </c>
      <c r="D10" s="29">
        <v>5</v>
      </c>
      <c r="E10" s="27">
        <f>+'ก.ค. ยกเลิก'!H8</f>
        <v>579.6</v>
      </c>
      <c r="F10" s="19"/>
    </row>
    <row r="11" spans="1:6" ht="25.8" x14ac:dyDescent="0.65">
      <c r="A11" s="29" t="s">
        <v>36</v>
      </c>
      <c r="B11" s="119">
        <v>10</v>
      </c>
      <c r="C11" s="27">
        <f>+'ส.ค. เคลม'!J1</f>
        <v>450</v>
      </c>
      <c r="D11" s="29">
        <v>5</v>
      </c>
      <c r="E11" s="27">
        <f>+'ส.ค. ยกเลิก'!H8</f>
        <v>630.4</v>
      </c>
      <c r="F11" s="19"/>
    </row>
    <row r="12" spans="1:6" ht="25.8" x14ac:dyDescent="0.65">
      <c r="A12" s="29" t="s">
        <v>37</v>
      </c>
      <c r="B12" s="29">
        <v>8</v>
      </c>
      <c r="C12" s="27">
        <f>+'ก.ย. เคลม'!J1</f>
        <v>360</v>
      </c>
      <c r="D12" s="29">
        <v>1</v>
      </c>
      <c r="E12" s="27">
        <f>+'ก.ย. ยกเลิก'!H4</f>
        <v>83</v>
      </c>
      <c r="F12" s="19"/>
    </row>
    <row r="13" spans="1:6" ht="25.8" x14ac:dyDescent="0.65">
      <c r="A13" s="29" t="s">
        <v>38</v>
      </c>
      <c r="B13" s="29">
        <v>3</v>
      </c>
      <c r="C13" s="27">
        <f>+'ต.ค. เคลม'!J1</f>
        <v>135</v>
      </c>
      <c r="D13" s="29">
        <v>0</v>
      </c>
      <c r="E13" s="27">
        <f>+'ต.ค. ยกเลิก'!H58</f>
        <v>0</v>
      </c>
      <c r="F13" s="19"/>
    </row>
    <row r="14" spans="1:6" ht="25.8" x14ac:dyDescent="0.65">
      <c r="A14" s="29" t="s">
        <v>39</v>
      </c>
      <c r="B14" s="29">
        <v>3</v>
      </c>
      <c r="C14" s="27">
        <f>+'พ.ย. เคลม'!J1</f>
        <v>135</v>
      </c>
      <c r="D14" s="29">
        <v>0</v>
      </c>
      <c r="E14" s="27">
        <f>+'พ.ย. ยกเลิก'!H51</f>
        <v>0</v>
      </c>
      <c r="F14" s="19"/>
    </row>
    <row r="15" spans="1:6" ht="25.8" x14ac:dyDescent="0.65">
      <c r="A15" s="29" t="s">
        <v>40</v>
      </c>
      <c r="B15" s="29">
        <v>35</v>
      </c>
      <c r="C15" s="86">
        <f>+'ธ.ค. เคลม'!J1</f>
        <v>1575</v>
      </c>
      <c r="D15" s="29">
        <v>0</v>
      </c>
      <c r="E15" s="27">
        <f>+'ธ.ค. ยกเลิก'!H108</f>
        <v>0</v>
      </c>
      <c r="F15" s="19"/>
    </row>
    <row r="16" spans="1:6" ht="27" thickBot="1" x14ac:dyDescent="0.75">
      <c r="A16" s="17" t="s">
        <v>28</v>
      </c>
      <c r="B16" s="82">
        <f>SUM(B4:B15)</f>
        <v>177</v>
      </c>
      <c r="C16" s="33">
        <f>SUM(C4:C15)</f>
        <v>6262</v>
      </c>
      <c r="D16" s="82">
        <f>SUM(D4:D15)</f>
        <v>125</v>
      </c>
      <c r="E16" s="33">
        <f>SUM(E4:E15)</f>
        <v>37865.160000000003</v>
      </c>
      <c r="F16" s="16" t="s">
        <v>47</v>
      </c>
    </row>
    <row r="17" ht="27" thickTop="1" x14ac:dyDescent="0.7"/>
    <row r="223" spans="2:2" x14ac:dyDescent="0.7">
      <c r="B223" s="63"/>
    </row>
  </sheetData>
  <mergeCells count="4">
    <mergeCell ref="B2:C2"/>
    <mergeCell ref="A2:A3"/>
    <mergeCell ref="F2:F3"/>
    <mergeCell ref="D2:E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027-62D5-4FB5-A8E5-E6ECABBE0A6A}">
  <sheetPr>
    <tabColor rgb="FFCCFFFF"/>
  </sheetPr>
  <dimension ref="A1:O59"/>
  <sheetViews>
    <sheetView zoomScale="70" zoomScaleNormal="70" workbookViewId="0">
      <pane xSplit="6" ySplit="2" topLeftCell="G3" activePane="bottomRight" state="frozen"/>
      <selection activeCell="N57" sqref="M1:N57"/>
      <selection pane="topRight" activeCell="N57" sqref="M1:N57"/>
      <selection pane="bottomLeft" activeCell="N57" sqref="M1:N57"/>
      <selection pane="bottomRight"/>
    </sheetView>
  </sheetViews>
  <sheetFormatPr defaultColWidth="9.09765625" defaultRowHeight="26.4" x14ac:dyDescent="0.7"/>
  <cols>
    <col min="1" max="1" width="75.8984375" style="18" bestFit="1" customWidth="1"/>
    <col min="2" max="2" width="16.296875" style="18" bestFit="1" customWidth="1"/>
    <col min="3" max="3" width="10.8984375" style="17" customWidth="1"/>
    <col min="4" max="4" width="8.296875" style="17" customWidth="1"/>
    <col min="5" max="5" width="8.296875" style="18" customWidth="1"/>
    <col min="6" max="7" width="8.296875" style="17" customWidth="1"/>
    <col min="8" max="15" width="8.296875" style="18" customWidth="1"/>
    <col min="16" max="16384" width="9.09765625" style="15"/>
  </cols>
  <sheetData>
    <row r="1" spans="1:15" ht="28.8" x14ac:dyDescent="0.75">
      <c r="A1" s="59" t="s">
        <v>920</v>
      </c>
      <c r="B1" s="58"/>
      <c r="C1" s="64" t="s">
        <v>148</v>
      </c>
      <c r="D1" s="58" t="s">
        <v>29</v>
      </c>
      <c r="E1" s="58" t="s">
        <v>30</v>
      </c>
      <c r="F1" s="58" t="s">
        <v>31</v>
      </c>
      <c r="G1" s="58" t="s">
        <v>32</v>
      </c>
      <c r="H1" s="58" t="s">
        <v>33</v>
      </c>
      <c r="I1" s="58" t="s">
        <v>34</v>
      </c>
      <c r="J1" s="58" t="s">
        <v>35</v>
      </c>
      <c r="K1" s="58" t="s">
        <v>36</v>
      </c>
      <c r="L1" s="58" t="s">
        <v>37</v>
      </c>
      <c r="M1" s="58" t="s">
        <v>38</v>
      </c>
      <c r="N1" s="58" t="s">
        <v>39</v>
      </c>
      <c r="O1" s="58" t="s">
        <v>40</v>
      </c>
    </row>
    <row r="2" spans="1:15" s="78" customFormat="1" ht="57.6" x14ac:dyDescent="0.65">
      <c r="A2" s="7" t="s">
        <v>144</v>
      </c>
      <c r="B2" s="7" t="s">
        <v>151</v>
      </c>
      <c r="C2" s="65" t="s">
        <v>48</v>
      </c>
      <c r="D2" s="7" t="s">
        <v>21</v>
      </c>
      <c r="E2" s="7" t="s">
        <v>21</v>
      </c>
      <c r="F2" s="7" t="s">
        <v>21</v>
      </c>
      <c r="G2" s="7" t="s">
        <v>21</v>
      </c>
      <c r="H2" s="7" t="s">
        <v>21</v>
      </c>
      <c r="I2" s="7" t="s">
        <v>21</v>
      </c>
      <c r="J2" s="7" t="s">
        <v>21</v>
      </c>
      <c r="K2" s="7" t="s">
        <v>21</v>
      </c>
      <c r="L2" s="7" t="s">
        <v>21</v>
      </c>
      <c r="M2" s="7" t="s">
        <v>21</v>
      </c>
      <c r="N2" s="7" t="s">
        <v>21</v>
      </c>
      <c r="O2" s="7" t="s">
        <v>21</v>
      </c>
    </row>
    <row r="3" spans="1:15" ht="26.25" customHeight="1" x14ac:dyDescent="0.65">
      <c r="A3" s="42" t="s">
        <v>10</v>
      </c>
      <c r="B3" s="74" t="s">
        <v>152</v>
      </c>
      <c r="C3" s="67">
        <f>SUM(D3:O3)</f>
        <v>13</v>
      </c>
      <c r="D3" s="60">
        <f>+'ม.ค. เคลม'!N3</f>
        <v>7</v>
      </c>
      <c r="E3" s="60">
        <f>+'ก.พ. เคลม'!N3</f>
        <v>4</v>
      </c>
      <c r="F3" s="60">
        <f>+'มี.ค. เคลม'!N3</f>
        <v>0</v>
      </c>
      <c r="G3" s="60">
        <f>+'เม.ย. เคลม'!N3</f>
        <v>1</v>
      </c>
      <c r="H3" s="60">
        <f>+'พ.ค. เคลม'!N3</f>
        <v>0</v>
      </c>
      <c r="I3" s="60">
        <f>+'มิ.ย. เคลม'!N3</f>
        <v>0</v>
      </c>
      <c r="J3" s="60">
        <f>+'ก.ค. เคลม'!O3</f>
        <v>0</v>
      </c>
      <c r="K3" s="60">
        <f>+'ส.ค. เคลม'!O3</f>
        <v>0</v>
      </c>
      <c r="L3" s="60">
        <f>+'ก.ย. เคลม'!O3</f>
        <v>0</v>
      </c>
      <c r="M3" s="60">
        <f>+'ต.ค. เคลม'!O3</f>
        <v>0</v>
      </c>
      <c r="N3" s="60">
        <f>+'พ.ย. เคลม'!O3</f>
        <v>0</v>
      </c>
      <c r="O3" s="60">
        <f>+'ธ.ค. เคลม'!O3</f>
        <v>1</v>
      </c>
    </row>
    <row r="4" spans="1:15" ht="26.25" customHeight="1" x14ac:dyDescent="0.65">
      <c r="A4" s="42" t="s">
        <v>13</v>
      </c>
      <c r="B4" s="75" t="s">
        <v>153</v>
      </c>
      <c r="C4" s="67">
        <f t="shared" ref="C4:C56" si="0">SUM(D4:O4)</f>
        <v>1</v>
      </c>
      <c r="D4" s="60">
        <f>+'ม.ค. เคลม'!N4</f>
        <v>1</v>
      </c>
      <c r="E4" s="60">
        <f>+'ก.พ. เคลม'!N4</f>
        <v>0</v>
      </c>
      <c r="F4" s="60">
        <f>+'มี.ค. เคลม'!N4</f>
        <v>0</v>
      </c>
      <c r="G4" s="60">
        <f>+'เม.ย. เคลม'!N4</f>
        <v>0</v>
      </c>
      <c r="H4" s="60">
        <f>+'พ.ค. เคลม'!N4</f>
        <v>0</v>
      </c>
      <c r="I4" s="60">
        <f>+'มิ.ย. เคลม'!N4</f>
        <v>0</v>
      </c>
      <c r="J4" s="60">
        <f>+'ก.ค. เคลม'!O4</f>
        <v>0</v>
      </c>
      <c r="K4" s="60">
        <f>+'ส.ค. เคลม'!O4</f>
        <v>0</v>
      </c>
      <c r="L4" s="60">
        <f>+'ก.ย. เคลม'!O4</f>
        <v>0</v>
      </c>
      <c r="M4" s="60">
        <f>+'ต.ค. เคลม'!O4</f>
        <v>0</v>
      </c>
      <c r="N4" s="60">
        <f>+'พ.ย. เคลม'!O4</f>
        <v>0</v>
      </c>
      <c r="O4" s="60">
        <f>+'ธ.ค. เคลม'!O4</f>
        <v>0</v>
      </c>
    </row>
    <row r="5" spans="1:15" ht="26.25" customHeight="1" x14ac:dyDescent="0.65">
      <c r="A5" s="42" t="s">
        <v>11</v>
      </c>
      <c r="B5" s="76" t="s">
        <v>4</v>
      </c>
      <c r="C5" s="67">
        <f t="shared" si="0"/>
        <v>1</v>
      </c>
      <c r="D5" s="60">
        <f>+'ม.ค. เคลม'!N5</f>
        <v>1</v>
      </c>
      <c r="E5" s="60">
        <f>+'ก.พ. เคลม'!N5</f>
        <v>0</v>
      </c>
      <c r="F5" s="60">
        <f>+'มี.ค. เคลม'!N5</f>
        <v>0</v>
      </c>
      <c r="G5" s="60">
        <f>+'เม.ย. เคลม'!N5</f>
        <v>0</v>
      </c>
      <c r="H5" s="60">
        <f>+'พ.ค. เคลม'!N5</f>
        <v>0</v>
      </c>
      <c r="I5" s="60">
        <f>+'มิ.ย. เคลม'!N5</f>
        <v>0</v>
      </c>
      <c r="J5" s="60">
        <f>+'ก.ค. เคลม'!O5</f>
        <v>0</v>
      </c>
      <c r="K5" s="60">
        <f>+'ส.ค. เคลม'!O5</f>
        <v>0</v>
      </c>
      <c r="L5" s="60">
        <f>+'ก.ย. เคลม'!O5</f>
        <v>0</v>
      </c>
      <c r="M5" s="60">
        <f>+'ต.ค. เคลม'!O5</f>
        <v>0</v>
      </c>
      <c r="N5" s="60">
        <f>+'พ.ย. เคลม'!O5</f>
        <v>0</v>
      </c>
      <c r="O5" s="60">
        <f>+'ธ.ค. เคลม'!O5</f>
        <v>0</v>
      </c>
    </row>
    <row r="6" spans="1:15" ht="26.25" customHeight="1" x14ac:dyDescent="0.65">
      <c r="A6" s="42" t="s">
        <v>17</v>
      </c>
      <c r="B6" s="76" t="s">
        <v>4</v>
      </c>
      <c r="C6" s="67">
        <f t="shared" si="0"/>
        <v>1</v>
      </c>
      <c r="D6" s="60">
        <f>+'ม.ค. เคลม'!N6</f>
        <v>1</v>
      </c>
      <c r="E6" s="60">
        <f>+'ก.พ. เคลม'!N6</f>
        <v>0</v>
      </c>
      <c r="F6" s="60">
        <f>+'มี.ค. เคลม'!N6</f>
        <v>0</v>
      </c>
      <c r="G6" s="60">
        <f>+'เม.ย. เคลม'!N6</f>
        <v>0</v>
      </c>
      <c r="H6" s="60">
        <f>+'พ.ค. เคลม'!N6</f>
        <v>0</v>
      </c>
      <c r="I6" s="60">
        <f>+'มิ.ย. เคลม'!N6</f>
        <v>0</v>
      </c>
      <c r="J6" s="60">
        <f>+'ก.ค. เคลม'!O6</f>
        <v>0</v>
      </c>
      <c r="K6" s="60">
        <f>+'ส.ค. เคลม'!O6</f>
        <v>0</v>
      </c>
      <c r="L6" s="60">
        <f>+'ก.ย. เคลม'!O6</f>
        <v>0</v>
      </c>
      <c r="M6" s="60">
        <f>+'ต.ค. เคลม'!O6</f>
        <v>0</v>
      </c>
      <c r="N6" s="60">
        <f>+'พ.ย. เคลม'!O6</f>
        <v>0</v>
      </c>
      <c r="O6" s="60">
        <f>+'ธ.ค. เคลม'!O6</f>
        <v>0</v>
      </c>
    </row>
    <row r="7" spans="1:15" ht="26.25" customHeight="1" x14ac:dyDescent="0.65">
      <c r="A7" s="42" t="s">
        <v>14</v>
      </c>
      <c r="B7" s="77" t="s">
        <v>154</v>
      </c>
      <c r="C7" s="67">
        <f t="shared" si="0"/>
        <v>9</v>
      </c>
      <c r="D7" s="60">
        <f>+'ม.ค. เคลม'!N7</f>
        <v>0</v>
      </c>
      <c r="E7" s="60">
        <f>+'ก.พ. เคลม'!N7</f>
        <v>3</v>
      </c>
      <c r="F7" s="60">
        <f>+'มี.ค. เคลม'!N7</f>
        <v>0</v>
      </c>
      <c r="G7" s="60">
        <f>+'เม.ย. เคลม'!N7</f>
        <v>1</v>
      </c>
      <c r="H7" s="60">
        <f>+'พ.ค. เคลม'!N7</f>
        <v>0</v>
      </c>
      <c r="I7" s="60">
        <f>+'มิ.ย. เคลม'!N7</f>
        <v>0</v>
      </c>
      <c r="J7" s="60">
        <f>+'ก.ค. เคลม'!O7</f>
        <v>2</v>
      </c>
      <c r="K7" s="60">
        <f>+'ส.ค. เคลม'!O7</f>
        <v>0</v>
      </c>
      <c r="L7" s="60">
        <f>+'ก.ย. เคลม'!O7</f>
        <v>3</v>
      </c>
      <c r="M7" s="60">
        <f>+'ต.ค. เคลม'!O7</f>
        <v>0</v>
      </c>
      <c r="N7" s="60">
        <f>+'พ.ย. เคลม'!O7</f>
        <v>0</v>
      </c>
      <c r="O7" s="60">
        <f>+'ธ.ค. เคลม'!O7</f>
        <v>0</v>
      </c>
    </row>
    <row r="8" spans="1:15" ht="26.25" customHeight="1" x14ac:dyDescent="0.65">
      <c r="A8" s="42" t="s">
        <v>59</v>
      </c>
      <c r="B8" s="77" t="s">
        <v>154</v>
      </c>
      <c r="C8" s="67">
        <f t="shared" si="0"/>
        <v>9</v>
      </c>
      <c r="D8" s="60">
        <f>+'ม.ค. เคลม'!N8</f>
        <v>7</v>
      </c>
      <c r="E8" s="60">
        <f>+'ก.พ. เคลม'!N8</f>
        <v>0</v>
      </c>
      <c r="F8" s="60">
        <f>+'มี.ค. เคลม'!N8</f>
        <v>1</v>
      </c>
      <c r="G8" s="60">
        <f>+'เม.ย. เคลม'!N8</f>
        <v>0</v>
      </c>
      <c r="H8" s="60">
        <f>+'พ.ค. เคลม'!N8</f>
        <v>0</v>
      </c>
      <c r="I8" s="60">
        <f>+'มิ.ย. เคลม'!N8</f>
        <v>1</v>
      </c>
      <c r="J8" s="60">
        <f>+'ก.ค. เคลม'!O8</f>
        <v>0</v>
      </c>
      <c r="K8" s="60">
        <f>+'ส.ค. เคลม'!O8</f>
        <v>0</v>
      </c>
      <c r="L8" s="60">
        <f>+'ก.ย. เคลม'!O8</f>
        <v>0</v>
      </c>
      <c r="M8" s="60">
        <f>+'ต.ค. เคลม'!O8</f>
        <v>0</v>
      </c>
      <c r="N8" s="60">
        <f>+'พ.ย. เคลม'!O8</f>
        <v>0</v>
      </c>
      <c r="O8" s="60">
        <f>+'ธ.ค. เคลม'!O8</f>
        <v>0</v>
      </c>
    </row>
    <row r="9" spans="1:15" ht="26.25" customHeight="1" x14ac:dyDescent="0.65">
      <c r="A9" s="42" t="s">
        <v>51</v>
      </c>
      <c r="B9" s="77" t="s">
        <v>154</v>
      </c>
      <c r="C9" s="67">
        <f t="shared" si="0"/>
        <v>1</v>
      </c>
      <c r="D9" s="60">
        <f>+'ม.ค. เคลม'!N9</f>
        <v>1</v>
      </c>
      <c r="E9" s="60">
        <f>+'ก.พ. เคลม'!N9</f>
        <v>0</v>
      </c>
      <c r="F9" s="60">
        <f>+'มี.ค. เคลม'!N9</f>
        <v>0</v>
      </c>
      <c r="G9" s="60">
        <f>+'เม.ย. เคลม'!N9</f>
        <v>0</v>
      </c>
      <c r="H9" s="60">
        <f>+'พ.ค. เคลม'!N9</f>
        <v>0</v>
      </c>
      <c r="I9" s="60">
        <f>+'มิ.ย. เคลม'!N9</f>
        <v>0</v>
      </c>
      <c r="J9" s="60">
        <f>+'ก.ค. เคลม'!O9</f>
        <v>0</v>
      </c>
      <c r="K9" s="60">
        <f>+'ส.ค. เคลม'!O9</f>
        <v>0</v>
      </c>
      <c r="L9" s="60">
        <f>+'ก.ย. เคลม'!O9</f>
        <v>0</v>
      </c>
      <c r="M9" s="60">
        <f>+'ต.ค. เคลม'!O9</f>
        <v>0</v>
      </c>
      <c r="N9" s="60">
        <f>+'พ.ย. เคลม'!O9</f>
        <v>0</v>
      </c>
      <c r="O9" s="60">
        <f>+'ธ.ค. เคลม'!O9</f>
        <v>0</v>
      </c>
    </row>
    <row r="10" spans="1:15" ht="26.25" customHeight="1" x14ac:dyDescent="0.65">
      <c r="A10" s="42" t="s">
        <v>49</v>
      </c>
      <c r="B10" s="73" t="s">
        <v>155</v>
      </c>
      <c r="C10" s="67">
        <f t="shared" si="0"/>
        <v>0</v>
      </c>
      <c r="D10" s="60">
        <f>+'ม.ค. เคลม'!N10</f>
        <v>0</v>
      </c>
      <c r="E10" s="60">
        <f>+'ก.พ. เคลม'!N10</f>
        <v>0</v>
      </c>
      <c r="F10" s="60">
        <f>+'มี.ค. เคลม'!N10</f>
        <v>0</v>
      </c>
      <c r="G10" s="60">
        <f>+'เม.ย. เคลม'!N10</f>
        <v>0</v>
      </c>
      <c r="H10" s="60">
        <f>+'พ.ค. เคลม'!N10</f>
        <v>0</v>
      </c>
      <c r="I10" s="60">
        <f>+'มิ.ย. เคลม'!N10</f>
        <v>0</v>
      </c>
      <c r="J10" s="60">
        <f>+'ก.ค. เคลม'!O10</f>
        <v>0</v>
      </c>
      <c r="K10" s="60">
        <f>+'ส.ค. เคลม'!O10</f>
        <v>0</v>
      </c>
      <c r="L10" s="60">
        <f>+'ก.ย. เคลม'!O10</f>
        <v>0</v>
      </c>
      <c r="M10" s="60">
        <f>+'ต.ค. เคลม'!O10</f>
        <v>0</v>
      </c>
      <c r="N10" s="60">
        <f>+'พ.ย. เคลม'!O10</f>
        <v>0</v>
      </c>
      <c r="O10" s="60">
        <f>+'ธ.ค. เคลม'!O10</f>
        <v>0</v>
      </c>
    </row>
    <row r="11" spans="1:15" ht="26.25" customHeight="1" x14ac:dyDescent="0.65">
      <c r="A11" s="42" t="s">
        <v>12</v>
      </c>
      <c r="B11" s="74" t="s">
        <v>152</v>
      </c>
      <c r="C11" s="67">
        <f t="shared" si="0"/>
        <v>14</v>
      </c>
      <c r="D11" s="60">
        <f>+'ม.ค. เคลม'!N11</f>
        <v>7</v>
      </c>
      <c r="E11" s="60">
        <f>+'ก.พ. เคลม'!N11</f>
        <v>0</v>
      </c>
      <c r="F11" s="60">
        <f>+'มี.ค. เคลม'!N11</f>
        <v>0</v>
      </c>
      <c r="G11" s="60">
        <f>+'เม.ย. เคลม'!N11</f>
        <v>0</v>
      </c>
      <c r="H11" s="60">
        <f>+'พ.ค. เคลม'!N11</f>
        <v>0</v>
      </c>
      <c r="I11" s="60">
        <f>+'มิ.ย. เคลม'!N11</f>
        <v>0</v>
      </c>
      <c r="J11" s="60">
        <f>+'ก.ค. เคลม'!O11</f>
        <v>0</v>
      </c>
      <c r="K11" s="60">
        <f>+'ส.ค. เคลม'!O11</f>
        <v>1</v>
      </c>
      <c r="L11" s="60">
        <f>+'ก.ย. เคลม'!O11</f>
        <v>0</v>
      </c>
      <c r="M11" s="60">
        <f>+'ต.ค. เคลม'!O11</f>
        <v>0</v>
      </c>
      <c r="N11" s="60">
        <f>+'พ.ย. เคลม'!O11</f>
        <v>0</v>
      </c>
      <c r="O11" s="60">
        <f>+'ธ.ค. เคลม'!O11</f>
        <v>6</v>
      </c>
    </row>
    <row r="12" spans="1:15" ht="26.25" customHeight="1" x14ac:dyDescent="0.65">
      <c r="A12" s="42" t="s">
        <v>15</v>
      </c>
      <c r="B12" s="75" t="s">
        <v>153</v>
      </c>
      <c r="C12" s="67">
        <f t="shared" si="0"/>
        <v>2</v>
      </c>
      <c r="D12" s="60">
        <f>+'ม.ค. เคลม'!N12</f>
        <v>0</v>
      </c>
      <c r="E12" s="60">
        <f>+'ก.พ. เคลม'!N12</f>
        <v>0</v>
      </c>
      <c r="F12" s="60">
        <f>+'มี.ค. เคลม'!N12</f>
        <v>0</v>
      </c>
      <c r="G12" s="60">
        <f>+'เม.ย. เคลม'!N12</f>
        <v>0</v>
      </c>
      <c r="H12" s="60">
        <f>+'พ.ค. เคลม'!N12</f>
        <v>0</v>
      </c>
      <c r="I12" s="60">
        <f>+'มิ.ย. เคลม'!N12</f>
        <v>0</v>
      </c>
      <c r="J12" s="60">
        <f>+'ก.ค. เคลม'!O12</f>
        <v>0</v>
      </c>
      <c r="K12" s="60">
        <f>+'ส.ค. เคลม'!O12</f>
        <v>2</v>
      </c>
      <c r="L12" s="60">
        <f>+'ก.ย. เคลม'!O12</f>
        <v>0</v>
      </c>
      <c r="M12" s="60">
        <f>+'ต.ค. เคลม'!O12</f>
        <v>0</v>
      </c>
      <c r="N12" s="60">
        <f>+'พ.ย. เคลม'!O12</f>
        <v>0</v>
      </c>
      <c r="O12" s="60">
        <f>+'ธ.ค. เคลม'!O12</f>
        <v>0</v>
      </c>
    </row>
    <row r="13" spans="1:15" ht="26.25" customHeight="1" x14ac:dyDescent="0.65">
      <c r="A13" s="42" t="s">
        <v>60</v>
      </c>
      <c r="B13" s="76" t="s">
        <v>4</v>
      </c>
      <c r="C13" s="67">
        <f t="shared" si="0"/>
        <v>0</v>
      </c>
      <c r="D13" s="60">
        <f>+'ม.ค. เคลม'!N13</f>
        <v>0</v>
      </c>
      <c r="E13" s="60">
        <f>+'ก.พ. เคลม'!N13</f>
        <v>0</v>
      </c>
      <c r="F13" s="60">
        <f>+'มี.ค. เคลม'!N13</f>
        <v>0</v>
      </c>
      <c r="G13" s="60">
        <f>+'เม.ย. เคลม'!N13</f>
        <v>0</v>
      </c>
      <c r="H13" s="60">
        <f>+'พ.ค. เคลม'!N13</f>
        <v>0</v>
      </c>
      <c r="I13" s="60">
        <f>+'มิ.ย. เคลม'!N13</f>
        <v>0</v>
      </c>
      <c r="J13" s="60">
        <f>+'ก.ค. เคลม'!O13</f>
        <v>0</v>
      </c>
      <c r="K13" s="60">
        <f>+'ส.ค. เคลม'!O13</f>
        <v>0</v>
      </c>
      <c r="L13" s="60">
        <f>+'ก.ย. เคลม'!O13</f>
        <v>0</v>
      </c>
      <c r="M13" s="60">
        <f>+'ต.ค. เคลม'!O13</f>
        <v>0</v>
      </c>
      <c r="N13" s="60">
        <f>+'พ.ย. เคลม'!O13</f>
        <v>0</v>
      </c>
      <c r="O13" s="60">
        <f>+'ธ.ค. เคลม'!O13</f>
        <v>0</v>
      </c>
    </row>
    <row r="14" spans="1:15" ht="26.25" customHeight="1" x14ac:dyDescent="0.65">
      <c r="A14" s="42" t="s">
        <v>16</v>
      </c>
      <c r="B14" s="76" t="s">
        <v>4</v>
      </c>
      <c r="C14" s="67">
        <f t="shared" si="0"/>
        <v>1</v>
      </c>
      <c r="D14" s="60">
        <f>+'ม.ค. เคลม'!N14</f>
        <v>0</v>
      </c>
      <c r="E14" s="60">
        <f>+'ก.พ. เคลม'!N14</f>
        <v>0</v>
      </c>
      <c r="F14" s="60">
        <f>+'มี.ค. เคลม'!N14</f>
        <v>0</v>
      </c>
      <c r="G14" s="60">
        <f>+'เม.ย. เคลม'!N14</f>
        <v>0</v>
      </c>
      <c r="H14" s="60">
        <f>+'พ.ค. เคลม'!N14</f>
        <v>0</v>
      </c>
      <c r="I14" s="60">
        <f>+'มิ.ย. เคลม'!N14</f>
        <v>1</v>
      </c>
      <c r="J14" s="60">
        <f>+'ก.ค. เคลม'!O14</f>
        <v>0</v>
      </c>
      <c r="K14" s="60">
        <f>+'ส.ค. เคลม'!O14</f>
        <v>0</v>
      </c>
      <c r="L14" s="60">
        <f>+'ก.ย. เคลม'!O14</f>
        <v>0</v>
      </c>
      <c r="M14" s="60">
        <f>+'ต.ค. เคลม'!O14</f>
        <v>0</v>
      </c>
      <c r="N14" s="60">
        <f>+'พ.ย. เคลม'!O14</f>
        <v>0</v>
      </c>
      <c r="O14" s="60">
        <f>+'ธ.ค. เคลม'!O14</f>
        <v>0</v>
      </c>
    </row>
    <row r="15" spans="1:15" ht="26.25" customHeight="1" x14ac:dyDescent="0.65">
      <c r="A15" s="42" t="s">
        <v>61</v>
      </c>
      <c r="B15" s="77" t="s">
        <v>154</v>
      </c>
      <c r="C15" s="67">
        <f t="shared" si="0"/>
        <v>5</v>
      </c>
      <c r="D15" s="60">
        <f>+'ม.ค. เคลม'!N15</f>
        <v>1</v>
      </c>
      <c r="E15" s="60">
        <f>+'ก.พ. เคลม'!N15</f>
        <v>0</v>
      </c>
      <c r="F15" s="60">
        <f>+'มี.ค. เคลม'!N15</f>
        <v>0</v>
      </c>
      <c r="G15" s="60">
        <f>+'เม.ย. เคลม'!N15</f>
        <v>0</v>
      </c>
      <c r="H15" s="60">
        <f>+'พ.ค. เคลม'!N15</f>
        <v>0</v>
      </c>
      <c r="I15" s="60">
        <f>+'มิ.ย. เคลม'!N15</f>
        <v>0</v>
      </c>
      <c r="J15" s="60">
        <f>+'ก.ค. เคลม'!O15</f>
        <v>0</v>
      </c>
      <c r="K15" s="60">
        <f>+'ส.ค. เคลม'!O15</f>
        <v>3</v>
      </c>
      <c r="L15" s="60">
        <f>+'ก.ย. เคลม'!O15</f>
        <v>1</v>
      </c>
      <c r="M15" s="60">
        <f>+'ต.ค. เคลม'!O15</f>
        <v>0</v>
      </c>
      <c r="N15" s="60">
        <f>+'พ.ย. เคลม'!O15</f>
        <v>0</v>
      </c>
      <c r="O15" s="60">
        <f>+'ธ.ค. เคลม'!O15</f>
        <v>0</v>
      </c>
    </row>
    <row r="16" spans="1:15" ht="26.25" customHeight="1" x14ac:dyDescent="0.65">
      <c r="A16" s="42" t="s">
        <v>62</v>
      </c>
      <c r="B16" s="77" t="s">
        <v>154</v>
      </c>
      <c r="C16" s="67">
        <f t="shared" si="0"/>
        <v>11</v>
      </c>
      <c r="D16" s="60">
        <f>+'ม.ค. เคลม'!N16</f>
        <v>0</v>
      </c>
      <c r="E16" s="60">
        <f>+'ก.พ. เคลม'!N16</f>
        <v>0</v>
      </c>
      <c r="F16" s="60">
        <f>+'มี.ค. เคลม'!N16</f>
        <v>0</v>
      </c>
      <c r="G16" s="60">
        <f>+'เม.ย. เคลม'!N16</f>
        <v>3</v>
      </c>
      <c r="H16" s="60">
        <f>+'พ.ค. เคลม'!N16</f>
        <v>1</v>
      </c>
      <c r="I16" s="60">
        <f>+'มิ.ย. เคลม'!N16</f>
        <v>5</v>
      </c>
      <c r="J16" s="60">
        <f>+'ก.ค. เคลม'!O16</f>
        <v>0</v>
      </c>
      <c r="K16" s="60">
        <f>+'ส.ค. เคลม'!O16</f>
        <v>2</v>
      </c>
      <c r="L16" s="60">
        <f>+'ก.ย. เคลม'!O16</f>
        <v>0</v>
      </c>
      <c r="M16" s="60">
        <f>+'ต.ค. เคลม'!O16</f>
        <v>0</v>
      </c>
      <c r="N16" s="60">
        <f>+'พ.ย. เคลม'!O16</f>
        <v>0</v>
      </c>
      <c r="O16" s="60">
        <f>+'ธ.ค. เคลม'!O16</f>
        <v>0</v>
      </c>
    </row>
    <row r="17" spans="1:15" ht="26.25" customHeight="1" x14ac:dyDescent="0.65">
      <c r="A17" s="42" t="s">
        <v>53</v>
      </c>
      <c r="B17" s="77" t="s">
        <v>154</v>
      </c>
      <c r="C17" s="67">
        <f t="shared" si="0"/>
        <v>5</v>
      </c>
      <c r="D17" s="60">
        <f>+'ม.ค. เคลม'!N17</f>
        <v>5</v>
      </c>
      <c r="E17" s="60">
        <f>+'ก.พ. เคลม'!N17</f>
        <v>0</v>
      </c>
      <c r="F17" s="60">
        <f>+'มี.ค. เคลม'!N17</f>
        <v>0</v>
      </c>
      <c r="G17" s="60">
        <f>+'เม.ย. เคลม'!N17</f>
        <v>0</v>
      </c>
      <c r="H17" s="60">
        <f>+'พ.ค. เคลม'!N17</f>
        <v>0</v>
      </c>
      <c r="I17" s="60">
        <f>+'มิ.ย. เคลม'!N17</f>
        <v>0</v>
      </c>
      <c r="J17" s="60">
        <f>+'ก.ค. เคลม'!O17</f>
        <v>0</v>
      </c>
      <c r="K17" s="60">
        <f>+'ส.ค. เคลม'!O17</f>
        <v>0</v>
      </c>
      <c r="L17" s="60">
        <f>+'ก.ย. เคลม'!O17</f>
        <v>0</v>
      </c>
      <c r="M17" s="60">
        <f>+'ต.ค. เคลม'!O17</f>
        <v>0</v>
      </c>
      <c r="N17" s="60">
        <f>+'พ.ย. เคลม'!O17</f>
        <v>0</v>
      </c>
      <c r="O17" s="60">
        <f>+'ธ.ค. เคลม'!O17</f>
        <v>0</v>
      </c>
    </row>
    <row r="18" spans="1:15" x14ac:dyDescent="0.65">
      <c r="A18" s="42" t="s">
        <v>63</v>
      </c>
      <c r="B18" s="73" t="s">
        <v>155</v>
      </c>
      <c r="C18" s="67">
        <f t="shared" si="0"/>
        <v>0</v>
      </c>
      <c r="D18" s="60">
        <f>+'ม.ค. เคลม'!N18</f>
        <v>0</v>
      </c>
      <c r="E18" s="60">
        <f>+'ก.พ. เคลม'!N18</f>
        <v>0</v>
      </c>
      <c r="F18" s="60">
        <f>+'มี.ค. เคลม'!N18</f>
        <v>0</v>
      </c>
      <c r="G18" s="60">
        <f>+'เม.ย. เคลม'!N18</f>
        <v>0</v>
      </c>
      <c r="H18" s="60">
        <f>+'พ.ค. เคลม'!N18</f>
        <v>0</v>
      </c>
      <c r="I18" s="60">
        <f>+'มิ.ย. เคลม'!N18</f>
        <v>0</v>
      </c>
      <c r="J18" s="60">
        <f>+'ก.ค. เคลม'!O18</f>
        <v>0</v>
      </c>
      <c r="K18" s="60">
        <f>+'ส.ค. เคลม'!O18</f>
        <v>0</v>
      </c>
      <c r="L18" s="60">
        <f>+'ก.ย. เคลม'!O18</f>
        <v>0</v>
      </c>
      <c r="M18" s="60">
        <f>+'ต.ค. เคลม'!O18</f>
        <v>0</v>
      </c>
      <c r="N18" s="60">
        <f>+'พ.ย. เคลม'!O18</f>
        <v>0</v>
      </c>
      <c r="O18" s="60">
        <f>+'ธ.ค. เคลม'!O18</f>
        <v>0</v>
      </c>
    </row>
    <row r="19" spans="1:15" x14ac:dyDescent="0.65">
      <c r="A19" s="42" t="s">
        <v>20</v>
      </c>
      <c r="B19" s="74" t="s">
        <v>152</v>
      </c>
      <c r="C19" s="67">
        <f t="shared" si="0"/>
        <v>1</v>
      </c>
      <c r="D19" s="60">
        <f>+'ม.ค. เคลม'!N19</f>
        <v>0</v>
      </c>
      <c r="E19" s="60">
        <f>+'ก.พ. เคลม'!N19</f>
        <v>0</v>
      </c>
      <c r="F19" s="60">
        <f>+'มี.ค. เคลม'!N19</f>
        <v>0</v>
      </c>
      <c r="G19" s="60">
        <f>+'เม.ย. เคลม'!N19</f>
        <v>0</v>
      </c>
      <c r="H19" s="60">
        <f>+'พ.ค. เคลม'!N19</f>
        <v>0</v>
      </c>
      <c r="I19" s="60">
        <f>+'มิ.ย. เคลม'!N19</f>
        <v>1</v>
      </c>
      <c r="J19" s="60">
        <f>+'ก.ค. เคลม'!O19</f>
        <v>0</v>
      </c>
      <c r="K19" s="60">
        <f>+'ส.ค. เคลม'!O19</f>
        <v>0</v>
      </c>
      <c r="L19" s="60">
        <f>+'ก.ย. เคลม'!O19</f>
        <v>0</v>
      </c>
      <c r="M19" s="60">
        <f>+'ต.ค. เคลม'!O19</f>
        <v>0</v>
      </c>
      <c r="N19" s="60">
        <f>+'พ.ย. เคลม'!O19</f>
        <v>0</v>
      </c>
      <c r="O19" s="60">
        <f>+'ธ.ค. เคลม'!O19</f>
        <v>0</v>
      </c>
    </row>
    <row r="20" spans="1:15" x14ac:dyDescent="0.65">
      <c r="A20" s="42" t="s">
        <v>64</v>
      </c>
      <c r="B20" s="75" t="s">
        <v>153</v>
      </c>
      <c r="C20" s="67">
        <f t="shared" si="0"/>
        <v>0</v>
      </c>
      <c r="D20" s="60">
        <f>+'ม.ค. เคลม'!N20</f>
        <v>0</v>
      </c>
      <c r="E20" s="60">
        <f>+'ก.พ. เคลม'!N20</f>
        <v>0</v>
      </c>
      <c r="F20" s="60">
        <f>+'มี.ค. เคลม'!N20</f>
        <v>0</v>
      </c>
      <c r="G20" s="60">
        <f>+'เม.ย. เคลม'!N20</f>
        <v>0</v>
      </c>
      <c r="H20" s="60">
        <f>+'พ.ค. เคลม'!N20</f>
        <v>0</v>
      </c>
      <c r="I20" s="60">
        <f>+'มิ.ย. เคลม'!N20</f>
        <v>0</v>
      </c>
      <c r="J20" s="60">
        <f>+'ก.ค. เคลม'!O20</f>
        <v>0</v>
      </c>
      <c r="K20" s="60">
        <f>+'ส.ค. เคลม'!O20</f>
        <v>0</v>
      </c>
      <c r="L20" s="60">
        <f>+'ก.ย. เคลม'!O20</f>
        <v>0</v>
      </c>
      <c r="M20" s="60">
        <f>+'ต.ค. เคลม'!O20</f>
        <v>0</v>
      </c>
      <c r="N20" s="60">
        <f>+'พ.ย. เคลม'!O20</f>
        <v>0</v>
      </c>
      <c r="O20" s="60">
        <f>+'ธ.ค. เคลม'!O20</f>
        <v>0</v>
      </c>
    </row>
    <row r="21" spans="1:15" x14ac:dyDescent="0.65">
      <c r="A21" s="42" t="s">
        <v>22</v>
      </c>
      <c r="B21" s="76" t="s">
        <v>4</v>
      </c>
      <c r="C21" s="67">
        <f t="shared" si="0"/>
        <v>0</v>
      </c>
      <c r="D21" s="60">
        <f>+'ม.ค. เคลม'!N21</f>
        <v>0</v>
      </c>
      <c r="E21" s="60">
        <f>+'ก.พ. เคลม'!N21</f>
        <v>0</v>
      </c>
      <c r="F21" s="60">
        <f>+'มี.ค. เคลม'!N21</f>
        <v>0</v>
      </c>
      <c r="G21" s="60">
        <f>+'เม.ย. เคลม'!N21</f>
        <v>0</v>
      </c>
      <c r="H21" s="60">
        <f>+'พ.ค. เคลม'!N21</f>
        <v>0</v>
      </c>
      <c r="I21" s="60">
        <f>+'มิ.ย. เคลม'!N21</f>
        <v>0</v>
      </c>
      <c r="J21" s="60">
        <f>+'ก.ค. เคลม'!O21</f>
        <v>0</v>
      </c>
      <c r="K21" s="60">
        <f>+'ส.ค. เคลม'!O21</f>
        <v>0</v>
      </c>
      <c r="L21" s="60">
        <f>+'ก.ย. เคลม'!O21</f>
        <v>0</v>
      </c>
      <c r="M21" s="60">
        <f>+'ต.ค. เคลม'!O21</f>
        <v>0</v>
      </c>
      <c r="N21" s="60">
        <f>+'พ.ย. เคลม'!O21</f>
        <v>0</v>
      </c>
      <c r="O21" s="60">
        <f>+'ธ.ค. เคลม'!O21</f>
        <v>0</v>
      </c>
    </row>
    <row r="22" spans="1:15" x14ac:dyDescent="0.65">
      <c r="A22" s="42" t="s">
        <v>65</v>
      </c>
      <c r="B22" s="76" t="s">
        <v>4</v>
      </c>
      <c r="C22" s="67">
        <f t="shared" si="0"/>
        <v>0</v>
      </c>
      <c r="D22" s="60">
        <f>+'ม.ค. เคลม'!N22</f>
        <v>0</v>
      </c>
      <c r="E22" s="60">
        <f>+'ก.พ. เคลม'!N22</f>
        <v>0</v>
      </c>
      <c r="F22" s="60">
        <f>+'มี.ค. เคลม'!N22</f>
        <v>0</v>
      </c>
      <c r="G22" s="60">
        <f>+'เม.ย. เคลม'!N22</f>
        <v>0</v>
      </c>
      <c r="H22" s="60">
        <f>+'พ.ค. เคลม'!N22</f>
        <v>0</v>
      </c>
      <c r="I22" s="60">
        <f>+'มิ.ย. เคลม'!N22</f>
        <v>0</v>
      </c>
      <c r="J22" s="60">
        <f>+'ก.ค. เคลม'!O22</f>
        <v>0</v>
      </c>
      <c r="K22" s="60">
        <f>+'ส.ค. เคลม'!O22</f>
        <v>0</v>
      </c>
      <c r="L22" s="60">
        <f>+'ก.ย. เคลม'!O22</f>
        <v>0</v>
      </c>
      <c r="M22" s="60">
        <f>+'ต.ค. เคลม'!O22</f>
        <v>0</v>
      </c>
      <c r="N22" s="60">
        <f>+'พ.ย. เคลม'!O22</f>
        <v>0</v>
      </c>
      <c r="O22" s="60">
        <f>+'ธ.ค. เคลม'!O22</f>
        <v>0</v>
      </c>
    </row>
    <row r="23" spans="1:15" x14ac:dyDescent="0.65">
      <c r="A23" s="42" t="s">
        <v>66</v>
      </c>
      <c r="B23" s="77" t="s">
        <v>154</v>
      </c>
      <c r="C23" s="67">
        <f t="shared" si="0"/>
        <v>0</v>
      </c>
      <c r="D23" s="60">
        <f>+'ม.ค. เคลม'!N23</f>
        <v>0</v>
      </c>
      <c r="E23" s="60">
        <f>+'ก.พ. เคลม'!N23</f>
        <v>0</v>
      </c>
      <c r="F23" s="60">
        <f>+'มี.ค. เคลม'!N23</f>
        <v>0</v>
      </c>
      <c r="G23" s="60">
        <f>+'เม.ย. เคลม'!N23</f>
        <v>0</v>
      </c>
      <c r="H23" s="60">
        <f>+'พ.ค. เคลม'!N23</f>
        <v>0</v>
      </c>
      <c r="I23" s="60">
        <f>+'มิ.ย. เคลม'!N23</f>
        <v>0</v>
      </c>
      <c r="J23" s="60">
        <f>+'ก.ค. เคลม'!O23</f>
        <v>0</v>
      </c>
      <c r="K23" s="60">
        <f>+'ส.ค. เคลม'!O23</f>
        <v>0</v>
      </c>
      <c r="L23" s="60">
        <f>+'ก.ย. เคลม'!O23</f>
        <v>0</v>
      </c>
      <c r="M23" s="60">
        <f>+'ต.ค. เคลม'!O23</f>
        <v>0</v>
      </c>
      <c r="N23" s="60">
        <f>+'พ.ย. เคลม'!O23</f>
        <v>0</v>
      </c>
      <c r="O23" s="60">
        <f>+'ธ.ค. เคลม'!O23</f>
        <v>0</v>
      </c>
    </row>
    <row r="24" spans="1:15" x14ac:dyDescent="0.65">
      <c r="A24" s="42" t="s">
        <v>67</v>
      </c>
      <c r="B24" s="77" t="s">
        <v>154</v>
      </c>
      <c r="C24" s="67">
        <f t="shared" si="0"/>
        <v>1</v>
      </c>
      <c r="D24" s="60">
        <f>+'ม.ค. เคลม'!N24</f>
        <v>0</v>
      </c>
      <c r="E24" s="60">
        <f>+'ก.พ. เคลม'!N24</f>
        <v>0</v>
      </c>
      <c r="F24" s="60">
        <f>+'มี.ค. เคลม'!N24</f>
        <v>0</v>
      </c>
      <c r="G24" s="60">
        <f>+'เม.ย. เคลม'!N24</f>
        <v>0</v>
      </c>
      <c r="H24" s="60">
        <f>+'พ.ค. เคลม'!N24</f>
        <v>0</v>
      </c>
      <c r="I24" s="60">
        <f>+'มิ.ย. เคลม'!N24</f>
        <v>1</v>
      </c>
      <c r="J24" s="60">
        <f>+'ก.ค. เคลม'!O24</f>
        <v>0</v>
      </c>
      <c r="K24" s="60">
        <f>+'ส.ค. เคลม'!O24</f>
        <v>0</v>
      </c>
      <c r="L24" s="60">
        <f>+'ก.ย. เคลม'!O24</f>
        <v>0</v>
      </c>
      <c r="M24" s="60">
        <f>+'ต.ค. เคลม'!O24</f>
        <v>0</v>
      </c>
      <c r="N24" s="60">
        <f>+'พ.ย. เคลม'!O24</f>
        <v>0</v>
      </c>
      <c r="O24" s="60">
        <f>+'ธ.ค. เคลม'!O24</f>
        <v>0</v>
      </c>
    </row>
    <row r="25" spans="1:15" x14ac:dyDescent="0.65">
      <c r="A25" s="42" t="s">
        <v>68</v>
      </c>
      <c r="B25" s="77" t="s">
        <v>154</v>
      </c>
      <c r="C25" s="67">
        <f t="shared" si="0"/>
        <v>0</v>
      </c>
      <c r="D25" s="60">
        <f>+'ม.ค. เคลม'!N25</f>
        <v>0</v>
      </c>
      <c r="E25" s="60">
        <f>+'ก.พ. เคลม'!N25</f>
        <v>0</v>
      </c>
      <c r="F25" s="60">
        <f>+'มี.ค. เคลม'!N25</f>
        <v>0</v>
      </c>
      <c r="G25" s="60">
        <f>+'เม.ย. เคลม'!N25</f>
        <v>0</v>
      </c>
      <c r="H25" s="60">
        <f>+'พ.ค. เคลม'!N25</f>
        <v>0</v>
      </c>
      <c r="I25" s="60">
        <f>+'มิ.ย. เคลม'!N25</f>
        <v>0</v>
      </c>
      <c r="J25" s="60">
        <f>+'ก.ค. เคลม'!O25</f>
        <v>0</v>
      </c>
      <c r="K25" s="60">
        <f>+'ส.ค. เคลม'!O25</f>
        <v>0</v>
      </c>
      <c r="L25" s="60">
        <f>+'ก.ย. เคลม'!O25</f>
        <v>0</v>
      </c>
      <c r="M25" s="60">
        <f>+'ต.ค. เคลม'!O25</f>
        <v>0</v>
      </c>
      <c r="N25" s="60">
        <f>+'พ.ย. เคลม'!O25</f>
        <v>0</v>
      </c>
      <c r="O25" s="60">
        <f>+'ธ.ค. เคลม'!O25</f>
        <v>0</v>
      </c>
    </row>
    <row r="26" spans="1:15" x14ac:dyDescent="0.65">
      <c r="A26" s="42" t="s">
        <v>69</v>
      </c>
      <c r="B26" s="73" t="s">
        <v>155</v>
      </c>
      <c r="C26" s="67">
        <f t="shared" si="0"/>
        <v>1</v>
      </c>
      <c r="D26" s="60">
        <f>+'ม.ค. เคลม'!N26</f>
        <v>0</v>
      </c>
      <c r="E26" s="60">
        <f>+'ก.พ. เคลม'!N26</f>
        <v>0</v>
      </c>
      <c r="F26" s="60">
        <f>+'มี.ค. เคลม'!N26</f>
        <v>0</v>
      </c>
      <c r="G26" s="60">
        <f>+'เม.ย. เคลม'!N26</f>
        <v>1</v>
      </c>
      <c r="H26" s="60">
        <f>+'พ.ค. เคลม'!N26</f>
        <v>0</v>
      </c>
      <c r="I26" s="60">
        <f>+'มิ.ย. เคลม'!N26</f>
        <v>0</v>
      </c>
      <c r="J26" s="60">
        <f>+'ก.ค. เคลม'!O26</f>
        <v>0</v>
      </c>
      <c r="K26" s="60">
        <f>+'ส.ค. เคลม'!O26</f>
        <v>0</v>
      </c>
      <c r="L26" s="60">
        <f>+'ก.ย. เคลม'!O26</f>
        <v>0</v>
      </c>
      <c r="M26" s="60">
        <f>+'ต.ค. เคลม'!O26</f>
        <v>0</v>
      </c>
      <c r="N26" s="60">
        <f>+'พ.ย. เคลม'!O26</f>
        <v>0</v>
      </c>
      <c r="O26" s="60">
        <f>+'ธ.ค. เคลม'!O26</f>
        <v>0</v>
      </c>
    </row>
    <row r="27" spans="1:15" x14ac:dyDescent="0.65">
      <c r="A27" s="42" t="s">
        <v>70</v>
      </c>
      <c r="B27" s="74" t="s">
        <v>152</v>
      </c>
      <c r="C27" s="67">
        <f t="shared" si="0"/>
        <v>0</v>
      </c>
      <c r="D27" s="60">
        <f>+'ม.ค. เคลม'!N27</f>
        <v>0</v>
      </c>
      <c r="E27" s="60">
        <f>+'ก.พ. เคลม'!N27</f>
        <v>0</v>
      </c>
      <c r="F27" s="60">
        <f>+'มี.ค. เคลม'!N27</f>
        <v>0</v>
      </c>
      <c r="G27" s="60">
        <f>+'เม.ย. เคลม'!N27</f>
        <v>0</v>
      </c>
      <c r="H27" s="60">
        <f>+'พ.ค. เคลม'!N27</f>
        <v>0</v>
      </c>
      <c r="I27" s="60">
        <f>+'มิ.ย. เคลม'!N27</f>
        <v>0</v>
      </c>
      <c r="J27" s="60">
        <f>+'ก.ค. เคลม'!O27</f>
        <v>0</v>
      </c>
      <c r="K27" s="60">
        <f>+'ส.ค. เคลม'!O27</f>
        <v>0</v>
      </c>
      <c r="L27" s="60">
        <f>+'ก.ย. เคลม'!O27</f>
        <v>0</v>
      </c>
      <c r="M27" s="60">
        <f>+'ต.ค. เคลม'!O27</f>
        <v>0</v>
      </c>
      <c r="N27" s="60">
        <f>+'พ.ย. เคลม'!O27</f>
        <v>0</v>
      </c>
      <c r="O27" s="60">
        <f>+'ธ.ค. เคลม'!O27</f>
        <v>0</v>
      </c>
    </row>
    <row r="28" spans="1:15" x14ac:dyDescent="0.65">
      <c r="A28" s="42" t="s">
        <v>71</v>
      </c>
      <c r="B28" s="75" t="s">
        <v>153</v>
      </c>
      <c r="C28" s="67">
        <f t="shared" si="0"/>
        <v>0</v>
      </c>
      <c r="D28" s="60">
        <f>+'ม.ค. เคลม'!N28</f>
        <v>0</v>
      </c>
      <c r="E28" s="60">
        <f>+'ก.พ. เคลม'!N28</f>
        <v>0</v>
      </c>
      <c r="F28" s="60">
        <f>+'มี.ค. เคลม'!N28</f>
        <v>0</v>
      </c>
      <c r="G28" s="60">
        <f>+'เม.ย. เคลม'!N28</f>
        <v>0</v>
      </c>
      <c r="H28" s="60">
        <f>+'พ.ค. เคลม'!N28</f>
        <v>0</v>
      </c>
      <c r="I28" s="60">
        <f>+'มิ.ย. เคลม'!N28</f>
        <v>0</v>
      </c>
      <c r="J28" s="60">
        <f>+'ก.ค. เคลม'!O28</f>
        <v>0</v>
      </c>
      <c r="K28" s="60">
        <f>+'ส.ค. เคลม'!O28</f>
        <v>0</v>
      </c>
      <c r="L28" s="60">
        <f>+'ก.ย. เคลม'!O28</f>
        <v>0</v>
      </c>
      <c r="M28" s="60">
        <f>+'ต.ค. เคลม'!O28</f>
        <v>0</v>
      </c>
      <c r="N28" s="60">
        <f>+'พ.ย. เคลม'!O28</f>
        <v>0</v>
      </c>
      <c r="O28" s="60">
        <f>+'ธ.ค. เคลม'!O28</f>
        <v>0</v>
      </c>
    </row>
    <row r="29" spans="1:15" x14ac:dyDescent="0.65">
      <c r="A29" s="42" t="s">
        <v>72</v>
      </c>
      <c r="B29" s="76" t="s">
        <v>4</v>
      </c>
      <c r="C29" s="67">
        <f t="shared" si="0"/>
        <v>0</v>
      </c>
      <c r="D29" s="60">
        <f>+'ม.ค. เคลม'!N29</f>
        <v>0</v>
      </c>
      <c r="E29" s="60">
        <f>+'ก.พ. เคลม'!N29</f>
        <v>0</v>
      </c>
      <c r="F29" s="60">
        <f>+'มี.ค. เคลม'!N29</f>
        <v>0</v>
      </c>
      <c r="G29" s="60">
        <f>+'เม.ย. เคลม'!N29</f>
        <v>0</v>
      </c>
      <c r="H29" s="60">
        <f>+'พ.ค. เคลม'!N29</f>
        <v>0</v>
      </c>
      <c r="I29" s="60">
        <f>+'มิ.ย. เคลม'!N29</f>
        <v>0</v>
      </c>
      <c r="J29" s="60">
        <f>+'ก.ค. เคลม'!O29</f>
        <v>0</v>
      </c>
      <c r="K29" s="60">
        <f>+'ส.ค. เคลม'!O29</f>
        <v>0</v>
      </c>
      <c r="L29" s="60">
        <f>+'ก.ย. เคลม'!O29</f>
        <v>0</v>
      </c>
      <c r="M29" s="60">
        <f>+'ต.ค. เคลม'!O29</f>
        <v>0</v>
      </c>
      <c r="N29" s="60">
        <f>+'พ.ย. เคลม'!O29</f>
        <v>0</v>
      </c>
      <c r="O29" s="60">
        <f>+'ธ.ค. เคลม'!O29</f>
        <v>0</v>
      </c>
    </row>
    <row r="30" spans="1:15" x14ac:dyDescent="0.65">
      <c r="A30" s="42" t="s">
        <v>73</v>
      </c>
      <c r="B30" s="76" t="s">
        <v>4</v>
      </c>
      <c r="C30" s="67">
        <f t="shared" si="0"/>
        <v>1</v>
      </c>
      <c r="D30" s="60">
        <f>+'ม.ค. เคลม'!N30</f>
        <v>0</v>
      </c>
      <c r="E30" s="60">
        <f>+'ก.พ. เคลม'!N30</f>
        <v>0</v>
      </c>
      <c r="F30" s="60">
        <f>+'มี.ค. เคลม'!N30</f>
        <v>0</v>
      </c>
      <c r="G30" s="60">
        <f>+'เม.ย. เคลม'!N30</f>
        <v>0</v>
      </c>
      <c r="H30" s="60">
        <f>+'พ.ค. เคลม'!N30</f>
        <v>0</v>
      </c>
      <c r="I30" s="60">
        <f>+'มิ.ย. เคลม'!N30</f>
        <v>1</v>
      </c>
      <c r="J30" s="60">
        <f>+'ก.ค. เคลม'!O30</f>
        <v>0</v>
      </c>
      <c r="K30" s="60">
        <f>+'ส.ค. เคลม'!O30</f>
        <v>0</v>
      </c>
      <c r="L30" s="60">
        <f>+'ก.ย. เคลม'!O30</f>
        <v>0</v>
      </c>
      <c r="M30" s="60">
        <f>+'ต.ค. เคลม'!O30</f>
        <v>0</v>
      </c>
      <c r="N30" s="60">
        <f>+'พ.ย. เคลม'!O30</f>
        <v>0</v>
      </c>
      <c r="O30" s="60">
        <f>+'ธ.ค. เคลม'!O30</f>
        <v>0</v>
      </c>
    </row>
    <row r="31" spans="1:15" x14ac:dyDescent="0.65">
      <c r="A31" s="42" t="s">
        <v>74</v>
      </c>
      <c r="B31" s="77" t="s">
        <v>154</v>
      </c>
      <c r="C31" s="67">
        <f t="shared" si="0"/>
        <v>1</v>
      </c>
      <c r="D31" s="60">
        <f>+'ม.ค. เคลม'!N31</f>
        <v>0</v>
      </c>
      <c r="E31" s="60">
        <f>+'ก.พ. เคลม'!N31</f>
        <v>0</v>
      </c>
      <c r="F31" s="60">
        <f>+'มี.ค. เคลม'!N31</f>
        <v>0</v>
      </c>
      <c r="G31" s="60">
        <f>+'เม.ย. เคลม'!N31</f>
        <v>0</v>
      </c>
      <c r="H31" s="60">
        <f>+'พ.ค. เคลม'!N31</f>
        <v>1</v>
      </c>
      <c r="I31" s="60">
        <f>+'มิ.ย. เคลม'!N31</f>
        <v>0</v>
      </c>
      <c r="J31" s="60">
        <f>+'ก.ค. เคลม'!O31</f>
        <v>0</v>
      </c>
      <c r="K31" s="60">
        <f>+'ส.ค. เคลม'!O31</f>
        <v>0</v>
      </c>
      <c r="L31" s="60">
        <f>+'ก.ย. เคลม'!O31</f>
        <v>0</v>
      </c>
      <c r="M31" s="60">
        <f>+'ต.ค. เคลม'!O31</f>
        <v>0</v>
      </c>
      <c r="N31" s="60">
        <f>+'พ.ย. เคลม'!O31</f>
        <v>0</v>
      </c>
      <c r="O31" s="60">
        <f>+'ธ.ค. เคลม'!O31</f>
        <v>0</v>
      </c>
    </row>
    <row r="32" spans="1:15" x14ac:dyDescent="0.65">
      <c r="A32" s="42" t="s">
        <v>75</v>
      </c>
      <c r="B32" s="77" t="s">
        <v>154</v>
      </c>
      <c r="C32" s="67">
        <f t="shared" si="0"/>
        <v>0</v>
      </c>
      <c r="D32" s="60">
        <f>+'ม.ค. เคลม'!N32</f>
        <v>0</v>
      </c>
      <c r="E32" s="60">
        <f>+'ก.พ. เคลม'!N32</f>
        <v>0</v>
      </c>
      <c r="F32" s="60">
        <f>+'มี.ค. เคลม'!N32</f>
        <v>0</v>
      </c>
      <c r="G32" s="60">
        <f>+'เม.ย. เคลม'!N32</f>
        <v>0</v>
      </c>
      <c r="H32" s="60">
        <f>+'พ.ค. เคลม'!N32</f>
        <v>0</v>
      </c>
      <c r="I32" s="60">
        <f>+'มิ.ย. เคลม'!N32</f>
        <v>0</v>
      </c>
      <c r="J32" s="60">
        <f>+'ก.ค. เคลม'!O32</f>
        <v>0</v>
      </c>
      <c r="K32" s="60">
        <f>+'ส.ค. เคลม'!O32</f>
        <v>0</v>
      </c>
      <c r="L32" s="60">
        <f>+'ก.ย. เคลม'!O32</f>
        <v>0</v>
      </c>
      <c r="M32" s="60">
        <f>+'ต.ค. เคลม'!O32</f>
        <v>0</v>
      </c>
      <c r="N32" s="60">
        <f>+'พ.ย. เคลม'!O32</f>
        <v>0</v>
      </c>
      <c r="O32" s="60">
        <f>+'ธ.ค. เคลม'!O32</f>
        <v>0</v>
      </c>
    </row>
    <row r="33" spans="1:15" x14ac:dyDescent="0.65">
      <c r="A33" s="42" t="s">
        <v>76</v>
      </c>
      <c r="B33" s="77" t="s">
        <v>154</v>
      </c>
      <c r="C33" s="67">
        <f t="shared" si="0"/>
        <v>0</v>
      </c>
      <c r="D33" s="60">
        <f>+'ม.ค. เคลม'!N33</f>
        <v>0</v>
      </c>
      <c r="E33" s="60">
        <f>+'ก.พ. เคลม'!N33</f>
        <v>0</v>
      </c>
      <c r="F33" s="60">
        <f>+'มี.ค. เคลม'!N33</f>
        <v>0</v>
      </c>
      <c r="G33" s="60">
        <f>+'เม.ย. เคลม'!N33</f>
        <v>0</v>
      </c>
      <c r="H33" s="60">
        <f>+'พ.ค. เคลม'!N33</f>
        <v>0</v>
      </c>
      <c r="I33" s="60">
        <f>+'มิ.ย. เคลม'!N33</f>
        <v>0</v>
      </c>
      <c r="J33" s="60">
        <f>+'ก.ค. เคลม'!O33</f>
        <v>0</v>
      </c>
      <c r="K33" s="60">
        <f>+'ส.ค. เคลม'!O33</f>
        <v>0</v>
      </c>
      <c r="L33" s="60">
        <f>+'ก.ย. เคลม'!O33</f>
        <v>0</v>
      </c>
      <c r="M33" s="60">
        <f>+'ต.ค. เคลม'!O33</f>
        <v>0</v>
      </c>
      <c r="N33" s="60">
        <f>+'พ.ย. เคลม'!O33</f>
        <v>0</v>
      </c>
      <c r="O33" s="60">
        <f>+'ธ.ค. เคลม'!O33</f>
        <v>0</v>
      </c>
    </row>
    <row r="34" spans="1:15" x14ac:dyDescent="0.65">
      <c r="A34" s="42" t="s">
        <v>77</v>
      </c>
      <c r="B34" s="73" t="s">
        <v>155</v>
      </c>
      <c r="C34" s="67">
        <f t="shared" si="0"/>
        <v>0</v>
      </c>
      <c r="D34" s="60">
        <f>+'ม.ค. เคลม'!N34</f>
        <v>0</v>
      </c>
      <c r="E34" s="60">
        <f>+'ก.พ. เคลม'!N34</f>
        <v>0</v>
      </c>
      <c r="F34" s="60">
        <f>+'มี.ค. เคลม'!N34</f>
        <v>0</v>
      </c>
      <c r="G34" s="60">
        <f>+'เม.ย. เคลม'!N34</f>
        <v>0</v>
      </c>
      <c r="H34" s="60">
        <f>+'พ.ค. เคลม'!N34</f>
        <v>0</v>
      </c>
      <c r="I34" s="60">
        <f>+'มิ.ย. เคลม'!N34</f>
        <v>0</v>
      </c>
      <c r="J34" s="60">
        <f>+'ก.ค. เคลม'!O34</f>
        <v>0</v>
      </c>
      <c r="K34" s="60">
        <f>+'ส.ค. เคลม'!O34</f>
        <v>0</v>
      </c>
      <c r="L34" s="60">
        <f>+'ก.ย. เคลม'!O34</f>
        <v>0</v>
      </c>
      <c r="M34" s="60">
        <f>+'ต.ค. เคลม'!O34</f>
        <v>0</v>
      </c>
      <c r="N34" s="60">
        <f>+'พ.ย. เคลม'!O34</f>
        <v>0</v>
      </c>
      <c r="O34" s="60">
        <f>+'ธ.ค. เคลม'!O34</f>
        <v>0</v>
      </c>
    </row>
    <row r="35" spans="1:15" x14ac:dyDescent="0.65">
      <c r="A35" s="42" t="s">
        <v>78</v>
      </c>
      <c r="B35" s="74" t="s">
        <v>152</v>
      </c>
      <c r="C35" s="67">
        <f t="shared" si="0"/>
        <v>63</v>
      </c>
      <c r="D35" s="60">
        <f>+'ม.ค. เคลม'!N35</f>
        <v>14</v>
      </c>
      <c r="E35" s="60">
        <f>+'ก.พ. เคลม'!N35</f>
        <v>1</v>
      </c>
      <c r="F35" s="60">
        <f>+'มี.ค. เคลม'!N35</f>
        <v>2</v>
      </c>
      <c r="G35" s="60">
        <f>+'เม.ย. เคลม'!N35</f>
        <v>1</v>
      </c>
      <c r="H35" s="60">
        <f>+'พ.ค. เคลม'!N35</f>
        <v>1</v>
      </c>
      <c r="I35" s="60">
        <f>+'มิ.ย. เคลม'!N35</f>
        <v>2</v>
      </c>
      <c r="J35" s="60">
        <f>+'ก.ค. เคลม'!O35</f>
        <v>12</v>
      </c>
      <c r="K35" s="60">
        <f>+'ส.ค. เคลม'!O35</f>
        <v>0</v>
      </c>
      <c r="L35" s="60">
        <f>+'ก.ย. เคลม'!O35</f>
        <v>0</v>
      </c>
      <c r="M35" s="60">
        <f>+'ต.ค. เคลม'!O35</f>
        <v>3</v>
      </c>
      <c r="N35" s="60">
        <f>+'พ.ย. เคลม'!O35</f>
        <v>3</v>
      </c>
      <c r="O35" s="60">
        <f>+'ธ.ค. เคลม'!O35</f>
        <v>24</v>
      </c>
    </row>
    <row r="36" spans="1:15" x14ac:dyDescent="0.65">
      <c r="A36" s="42" t="s">
        <v>79</v>
      </c>
      <c r="B36" s="75" t="s">
        <v>153</v>
      </c>
      <c r="C36" s="67">
        <f t="shared" si="0"/>
        <v>2</v>
      </c>
      <c r="D36" s="60">
        <f>+'ม.ค. เคลม'!N36</f>
        <v>0</v>
      </c>
      <c r="E36" s="60">
        <f>+'ก.พ. เคลม'!N36</f>
        <v>0</v>
      </c>
      <c r="F36" s="60">
        <f>+'มี.ค. เคลม'!N36</f>
        <v>0</v>
      </c>
      <c r="G36" s="60">
        <f>+'เม.ย. เคลม'!N36</f>
        <v>0</v>
      </c>
      <c r="H36" s="60">
        <f>+'พ.ค. เคลม'!N36</f>
        <v>0</v>
      </c>
      <c r="I36" s="60">
        <f>+'มิ.ย. เคลม'!N36</f>
        <v>1</v>
      </c>
      <c r="J36" s="60">
        <f>+'ก.ค. เคลม'!O36</f>
        <v>0</v>
      </c>
      <c r="K36" s="60">
        <f>+'ส.ค. เคลม'!O36</f>
        <v>0</v>
      </c>
      <c r="L36" s="60">
        <f>+'ก.ย. เคลม'!O36</f>
        <v>0</v>
      </c>
      <c r="M36" s="60">
        <f>+'ต.ค. เคลม'!O36</f>
        <v>0</v>
      </c>
      <c r="N36" s="60">
        <f>+'พ.ย. เคลม'!O36</f>
        <v>0</v>
      </c>
      <c r="O36" s="60">
        <f>+'ธ.ค. เคลม'!O36</f>
        <v>1</v>
      </c>
    </row>
    <row r="37" spans="1:15" x14ac:dyDescent="0.65">
      <c r="A37" s="42" t="s">
        <v>80</v>
      </c>
      <c r="B37" s="76" t="s">
        <v>4</v>
      </c>
      <c r="C37" s="67">
        <f t="shared" si="0"/>
        <v>0</v>
      </c>
      <c r="D37" s="60">
        <f>+'ม.ค. เคลม'!N37</f>
        <v>0</v>
      </c>
      <c r="E37" s="60">
        <f>+'ก.พ. เคลม'!N37</f>
        <v>0</v>
      </c>
      <c r="F37" s="60">
        <f>+'มี.ค. เคลม'!N37</f>
        <v>0</v>
      </c>
      <c r="G37" s="60">
        <f>+'เม.ย. เคลม'!N37</f>
        <v>0</v>
      </c>
      <c r="H37" s="60">
        <f>+'พ.ค. เคลม'!N37</f>
        <v>0</v>
      </c>
      <c r="I37" s="60">
        <f>+'มิ.ย. เคลม'!N37</f>
        <v>0</v>
      </c>
      <c r="J37" s="60">
        <f>+'ก.ค. เคลม'!O37</f>
        <v>0</v>
      </c>
      <c r="K37" s="60">
        <f>+'ส.ค. เคลม'!O37</f>
        <v>0</v>
      </c>
      <c r="L37" s="60">
        <f>+'ก.ย. เคลม'!O37</f>
        <v>0</v>
      </c>
      <c r="M37" s="60">
        <f>+'ต.ค. เคลม'!O37</f>
        <v>0</v>
      </c>
      <c r="N37" s="60">
        <f>+'พ.ย. เคลม'!O37</f>
        <v>0</v>
      </c>
      <c r="O37" s="60">
        <f>+'ธ.ค. เคลม'!O37</f>
        <v>0</v>
      </c>
    </row>
    <row r="38" spans="1:15" x14ac:dyDescent="0.65">
      <c r="A38" s="42" t="s">
        <v>81</v>
      </c>
      <c r="B38" s="76" t="s">
        <v>4</v>
      </c>
      <c r="C38" s="67">
        <f t="shared" si="0"/>
        <v>4</v>
      </c>
      <c r="D38" s="60">
        <f>+'ม.ค. เคลม'!N38</f>
        <v>0</v>
      </c>
      <c r="E38" s="60">
        <f>+'ก.พ. เคลม'!N38</f>
        <v>0</v>
      </c>
      <c r="F38" s="60">
        <f>+'มี.ค. เคลม'!N38</f>
        <v>2</v>
      </c>
      <c r="G38" s="60">
        <f>+'เม.ย. เคลม'!N38</f>
        <v>0</v>
      </c>
      <c r="H38" s="60">
        <f>+'พ.ค. เคลม'!N38</f>
        <v>1</v>
      </c>
      <c r="I38" s="60">
        <f>+'มิ.ย. เคลม'!N38</f>
        <v>1</v>
      </c>
      <c r="J38" s="60">
        <f>+'ก.ค. เคลม'!O38</f>
        <v>0</v>
      </c>
      <c r="K38" s="60">
        <f>+'ส.ค. เคลม'!O38</f>
        <v>0</v>
      </c>
      <c r="L38" s="60">
        <f>+'ก.ย. เคลม'!O38</f>
        <v>0</v>
      </c>
      <c r="M38" s="60">
        <f>+'ต.ค. เคลม'!O38</f>
        <v>0</v>
      </c>
      <c r="N38" s="60">
        <f>+'พ.ย. เคลม'!O38</f>
        <v>0</v>
      </c>
      <c r="O38" s="60">
        <f>+'ธ.ค. เคลม'!O38</f>
        <v>0</v>
      </c>
    </row>
    <row r="39" spans="1:15" x14ac:dyDescent="0.65">
      <c r="A39" s="42" t="s">
        <v>82</v>
      </c>
      <c r="B39" s="77" t="s">
        <v>154</v>
      </c>
      <c r="C39" s="67">
        <f t="shared" si="0"/>
        <v>7</v>
      </c>
      <c r="D39" s="60">
        <f>+'ม.ค. เคลม'!N39</f>
        <v>0</v>
      </c>
      <c r="E39" s="60">
        <f>+'ก.พ. เคลม'!N39</f>
        <v>0</v>
      </c>
      <c r="F39" s="60">
        <f>+'มี.ค. เคลม'!N39</f>
        <v>0</v>
      </c>
      <c r="G39" s="60">
        <f>+'เม.ย. เคลม'!N39</f>
        <v>0</v>
      </c>
      <c r="H39" s="60">
        <f>+'พ.ค. เคลม'!N39</f>
        <v>1</v>
      </c>
      <c r="I39" s="60">
        <f>+'มิ.ย. เคลม'!N39</f>
        <v>0</v>
      </c>
      <c r="J39" s="60">
        <f>+'ก.ค. เคลม'!O39</f>
        <v>3</v>
      </c>
      <c r="K39" s="60">
        <f>+'ส.ค. เคลม'!O39</f>
        <v>0</v>
      </c>
      <c r="L39" s="60">
        <f>+'ก.ย. เคลม'!O39</f>
        <v>3</v>
      </c>
      <c r="M39" s="60">
        <f>+'ต.ค. เคลม'!O39</f>
        <v>0</v>
      </c>
      <c r="N39" s="60">
        <f>+'พ.ย. เคลม'!O39</f>
        <v>0</v>
      </c>
      <c r="O39" s="60">
        <f>+'ธ.ค. เคลม'!O39</f>
        <v>0</v>
      </c>
    </row>
    <row r="40" spans="1:15" x14ac:dyDescent="0.65">
      <c r="A40" s="42" t="s">
        <v>83</v>
      </c>
      <c r="B40" s="77" t="s">
        <v>154</v>
      </c>
      <c r="C40" s="67">
        <f>SUM(D40:O40)</f>
        <v>10</v>
      </c>
      <c r="D40" s="60">
        <f>+'ม.ค. เคลม'!N40</f>
        <v>1</v>
      </c>
      <c r="E40" s="60">
        <f>+'ก.พ. เคลม'!N40</f>
        <v>0</v>
      </c>
      <c r="F40" s="60">
        <f>+'มี.ค. เคลม'!N40</f>
        <v>1</v>
      </c>
      <c r="G40" s="60">
        <f>+'เม.ย. เคลม'!N40</f>
        <v>2</v>
      </c>
      <c r="H40" s="60">
        <f>+'พ.ค. เคลม'!N40</f>
        <v>0</v>
      </c>
      <c r="I40" s="60">
        <f>+'มิ.ย. เคลม'!N40</f>
        <v>5</v>
      </c>
      <c r="J40" s="60">
        <f>+'ก.ค. เคลม'!O40</f>
        <v>0</v>
      </c>
      <c r="K40" s="60">
        <f>+'ส.ค. เคลม'!O40</f>
        <v>0</v>
      </c>
      <c r="L40" s="60">
        <f>+'ก.ย. เคลม'!O40</f>
        <v>0</v>
      </c>
      <c r="M40" s="60">
        <f>+'ต.ค. เคลม'!O40</f>
        <v>0</v>
      </c>
      <c r="N40" s="60">
        <f>+'พ.ย. เคลม'!O40</f>
        <v>0</v>
      </c>
      <c r="O40" s="60">
        <f>+'ธ.ค. เคลม'!O40</f>
        <v>1</v>
      </c>
    </row>
    <row r="41" spans="1:15" x14ac:dyDescent="0.65">
      <c r="A41" s="42" t="s">
        <v>84</v>
      </c>
      <c r="B41" s="77" t="s">
        <v>154</v>
      </c>
      <c r="C41" s="67">
        <f t="shared" si="0"/>
        <v>1</v>
      </c>
      <c r="D41" s="60">
        <f>+'ม.ค. เคลม'!N41</f>
        <v>0</v>
      </c>
      <c r="E41" s="60">
        <f>+'ก.พ. เคลม'!N41</f>
        <v>1</v>
      </c>
      <c r="F41" s="60">
        <f>+'มี.ค. เคลม'!N41</f>
        <v>0</v>
      </c>
      <c r="G41" s="60">
        <f>+'เม.ย. เคลม'!N41</f>
        <v>0</v>
      </c>
      <c r="H41" s="60">
        <f>+'พ.ค. เคลม'!N41</f>
        <v>0</v>
      </c>
      <c r="I41" s="60">
        <f>+'มิ.ย. เคลม'!N41</f>
        <v>0</v>
      </c>
      <c r="J41" s="60">
        <f>+'ก.ค. เคลม'!O41</f>
        <v>0</v>
      </c>
      <c r="K41" s="60">
        <f>+'ส.ค. เคลม'!O41</f>
        <v>0</v>
      </c>
      <c r="L41" s="60">
        <f>+'ก.ย. เคลม'!O41</f>
        <v>0</v>
      </c>
      <c r="M41" s="60">
        <f>+'ต.ค. เคลม'!O41</f>
        <v>0</v>
      </c>
      <c r="N41" s="60">
        <f>+'พ.ย. เคลม'!O41</f>
        <v>0</v>
      </c>
      <c r="O41" s="60">
        <f>+'ธ.ค. เคลม'!O41</f>
        <v>0</v>
      </c>
    </row>
    <row r="42" spans="1:15" x14ac:dyDescent="0.65">
      <c r="A42" s="42" t="s">
        <v>85</v>
      </c>
      <c r="B42" s="73" t="s">
        <v>155</v>
      </c>
      <c r="C42" s="67">
        <f t="shared" si="0"/>
        <v>0</v>
      </c>
      <c r="D42" s="60">
        <f>+'ม.ค. เคลม'!N42</f>
        <v>0</v>
      </c>
      <c r="E42" s="60">
        <f>+'ก.พ. เคลม'!N42</f>
        <v>0</v>
      </c>
      <c r="F42" s="60">
        <f>+'มี.ค. เคลม'!N42</f>
        <v>0</v>
      </c>
      <c r="G42" s="60">
        <f>+'เม.ย. เคลม'!N42</f>
        <v>0</v>
      </c>
      <c r="H42" s="60">
        <f>+'พ.ค. เคลม'!N42</f>
        <v>0</v>
      </c>
      <c r="I42" s="60">
        <f>+'มิ.ย. เคลม'!N42</f>
        <v>0</v>
      </c>
      <c r="J42" s="60">
        <f>+'ก.ค. เคลม'!O42</f>
        <v>0</v>
      </c>
      <c r="K42" s="60">
        <f>+'ส.ค. เคลม'!O42</f>
        <v>0</v>
      </c>
      <c r="L42" s="60">
        <f>+'ก.ย. เคลม'!O42</f>
        <v>0</v>
      </c>
      <c r="M42" s="60">
        <f>+'ต.ค. เคลม'!O42</f>
        <v>0</v>
      </c>
      <c r="N42" s="60">
        <f>+'พ.ย. เคลม'!O42</f>
        <v>0</v>
      </c>
      <c r="O42" s="60">
        <f>+'ธ.ค. เคลม'!O42</f>
        <v>0</v>
      </c>
    </row>
    <row r="43" spans="1:15" x14ac:dyDescent="0.65">
      <c r="A43" s="42" t="s">
        <v>24</v>
      </c>
      <c r="B43" s="74" t="s">
        <v>152</v>
      </c>
      <c r="C43" s="67">
        <f t="shared" si="0"/>
        <v>2</v>
      </c>
      <c r="D43" s="60">
        <f>+'ม.ค. เคลม'!N43</f>
        <v>0</v>
      </c>
      <c r="E43" s="60">
        <f>+'ก.พ. เคลม'!N43</f>
        <v>0</v>
      </c>
      <c r="F43" s="60">
        <f>+'มี.ค. เคลม'!N43</f>
        <v>0</v>
      </c>
      <c r="G43" s="60">
        <f>+'เม.ย. เคลม'!N43</f>
        <v>0</v>
      </c>
      <c r="H43" s="60">
        <f>+'พ.ค. เคลม'!N43</f>
        <v>0</v>
      </c>
      <c r="I43" s="60">
        <f>+'มิ.ย. เคลม'!N43</f>
        <v>0</v>
      </c>
      <c r="J43" s="60">
        <f>+'ก.ค. เคลม'!O43</f>
        <v>0</v>
      </c>
      <c r="K43" s="60">
        <f>+'ส.ค. เคลม'!O43</f>
        <v>0</v>
      </c>
      <c r="L43" s="60">
        <f>+'ก.ย. เคลม'!O43</f>
        <v>0</v>
      </c>
      <c r="M43" s="60">
        <f>+'ต.ค. เคลม'!O43</f>
        <v>0</v>
      </c>
      <c r="N43" s="60">
        <f>+'พ.ย. เคลม'!O43</f>
        <v>0</v>
      </c>
      <c r="O43" s="60">
        <f>+'ธ.ค. เคลม'!O43</f>
        <v>2</v>
      </c>
    </row>
    <row r="44" spans="1:15" x14ac:dyDescent="0.65">
      <c r="A44" s="42" t="s">
        <v>86</v>
      </c>
      <c r="B44" s="75" t="s">
        <v>153</v>
      </c>
      <c r="C44" s="67">
        <f t="shared" si="0"/>
        <v>0</v>
      </c>
      <c r="D44" s="60">
        <f>+'ม.ค. เคลม'!N44</f>
        <v>0</v>
      </c>
      <c r="E44" s="60">
        <f>+'ก.พ. เคลม'!N44</f>
        <v>0</v>
      </c>
      <c r="F44" s="60">
        <f>+'มี.ค. เคลม'!N44</f>
        <v>0</v>
      </c>
      <c r="G44" s="60">
        <f>+'เม.ย. เคลม'!N44</f>
        <v>0</v>
      </c>
      <c r="H44" s="60">
        <f>+'พ.ค. เคลม'!N44</f>
        <v>0</v>
      </c>
      <c r="I44" s="60">
        <f>+'มิ.ย. เคลม'!N44</f>
        <v>0</v>
      </c>
      <c r="J44" s="60">
        <f>+'ก.ค. เคลม'!O44</f>
        <v>0</v>
      </c>
      <c r="K44" s="60">
        <f>+'ส.ค. เคลม'!O44</f>
        <v>0</v>
      </c>
      <c r="L44" s="60">
        <f>+'ก.ย. เคลม'!O44</f>
        <v>0</v>
      </c>
      <c r="M44" s="60">
        <f>+'ต.ค. เคลม'!O44</f>
        <v>0</v>
      </c>
      <c r="N44" s="60">
        <f>+'พ.ย. เคลม'!O44</f>
        <v>0</v>
      </c>
      <c r="O44" s="60">
        <f>+'ธ.ค. เคลม'!O44</f>
        <v>0</v>
      </c>
    </row>
    <row r="45" spans="1:15" x14ac:dyDescent="0.65">
      <c r="A45" s="42" t="s">
        <v>87</v>
      </c>
      <c r="B45" s="76" t="s">
        <v>4</v>
      </c>
      <c r="C45" s="67">
        <f t="shared" si="0"/>
        <v>0</v>
      </c>
      <c r="D45" s="60">
        <f>+'ม.ค. เคลม'!N45</f>
        <v>0</v>
      </c>
      <c r="E45" s="60">
        <f>+'ก.พ. เคลม'!N45</f>
        <v>0</v>
      </c>
      <c r="F45" s="60">
        <f>+'มี.ค. เคลม'!N45</f>
        <v>0</v>
      </c>
      <c r="G45" s="60">
        <f>+'เม.ย. เคลม'!N45</f>
        <v>0</v>
      </c>
      <c r="H45" s="60">
        <f>+'พ.ค. เคลม'!N45</f>
        <v>0</v>
      </c>
      <c r="I45" s="60">
        <f>+'มิ.ย. เคลม'!N45</f>
        <v>0</v>
      </c>
      <c r="J45" s="60">
        <f>+'ก.ค. เคลม'!O45</f>
        <v>0</v>
      </c>
      <c r="K45" s="60">
        <f>+'ส.ค. เคลม'!O45</f>
        <v>0</v>
      </c>
      <c r="L45" s="60">
        <f>+'ก.ย. เคลม'!O45</f>
        <v>0</v>
      </c>
      <c r="M45" s="60">
        <f>+'ต.ค. เคลม'!O45</f>
        <v>0</v>
      </c>
      <c r="N45" s="60">
        <f>+'พ.ย. เคลม'!O45</f>
        <v>0</v>
      </c>
      <c r="O45" s="60">
        <f>+'ธ.ค. เคลม'!O45</f>
        <v>0</v>
      </c>
    </row>
    <row r="46" spans="1:15" x14ac:dyDescent="0.65">
      <c r="A46" s="42" t="s">
        <v>88</v>
      </c>
      <c r="B46" s="76" t="s">
        <v>4</v>
      </c>
      <c r="C46" s="67">
        <f t="shared" si="0"/>
        <v>0</v>
      </c>
      <c r="D46" s="60">
        <f>+'ม.ค. เคลม'!N46</f>
        <v>0</v>
      </c>
      <c r="E46" s="60">
        <f>+'ก.พ. เคลม'!N46</f>
        <v>0</v>
      </c>
      <c r="F46" s="60">
        <f>+'มี.ค. เคลม'!N46</f>
        <v>0</v>
      </c>
      <c r="G46" s="60">
        <f>+'เม.ย. เคลม'!N46</f>
        <v>0</v>
      </c>
      <c r="H46" s="60">
        <f>+'พ.ค. เคลม'!N46</f>
        <v>0</v>
      </c>
      <c r="I46" s="60">
        <f>+'มิ.ย. เคลม'!N46</f>
        <v>0</v>
      </c>
      <c r="J46" s="60">
        <f>+'ก.ค. เคลม'!O46</f>
        <v>0</v>
      </c>
      <c r="K46" s="60">
        <f>+'ส.ค. เคลม'!O46</f>
        <v>0</v>
      </c>
      <c r="L46" s="60">
        <f>+'ก.ย. เคลม'!O46</f>
        <v>0</v>
      </c>
      <c r="M46" s="60">
        <f>+'ต.ค. เคลม'!O46</f>
        <v>0</v>
      </c>
      <c r="N46" s="60">
        <f>+'พ.ย. เคลม'!O46</f>
        <v>0</v>
      </c>
      <c r="O46" s="60">
        <f>+'ธ.ค. เคลม'!O46</f>
        <v>0</v>
      </c>
    </row>
    <row r="47" spans="1:15" x14ac:dyDescent="0.65">
      <c r="A47" s="42" t="s">
        <v>89</v>
      </c>
      <c r="B47" s="77" t="s">
        <v>154</v>
      </c>
      <c r="C47" s="67">
        <f t="shared" si="0"/>
        <v>0</v>
      </c>
      <c r="D47" s="60">
        <f>+'ม.ค. เคลม'!N47</f>
        <v>0</v>
      </c>
      <c r="E47" s="60">
        <f>+'ก.พ. เคลม'!N47</f>
        <v>0</v>
      </c>
      <c r="F47" s="60">
        <f>+'มี.ค. เคลม'!N47</f>
        <v>0</v>
      </c>
      <c r="G47" s="60">
        <f>+'เม.ย. เคลม'!N47</f>
        <v>0</v>
      </c>
      <c r="H47" s="60">
        <f>+'พ.ค. เคลม'!N47</f>
        <v>0</v>
      </c>
      <c r="I47" s="60">
        <f>+'มิ.ย. เคลม'!N47</f>
        <v>0</v>
      </c>
      <c r="J47" s="60">
        <f>+'ก.ค. เคลม'!O47</f>
        <v>0</v>
      </c>
      <c r="K47" s="60">
        <f>+'ส.ค. เคลม'!O47</f>
        <v>0</v>
      </c>
      <c r="L47" s="60">
        <f>+'ก.ย. เคลม'!O47</f>
        <v>0</v>
      </c>
      <c r="M47" s="60">
        <f>+'ต.ค. เคลม'!O47</f>
        <v>0</v>
      </c>
      <c r="N47" s="60">
        <f>+'พ.ย. เคลม'!O47</f>
        <v>0</v>
      </c>
      <c r="O47" s="60">
        <f>+'ธ.ค. เคลม'!O47</f>
        <v>0</v>
      </c>
    </row>
    <row r="48" spans="1:15" x14ac:dyDescent="0.65">
      <c r="A48" s="42" t="s">
        <v>94</v>
      </c>
      <c r="B48" s="77" t="s">
        <v>154</v>
      </c>
      <c r="C48" s="67">
        <f t="shared" si="0"/>
        <v>0</v>
      </c>
      <c r="D48" s="60">
        <f>+'ม.ค. เคลม'!N48</f>
        <v>0</v>
      </c>
      <c r="E48" s="60">
        <f>+'ก.พ. เคลม'!N48</f>
        <v>0</v>
      </c>
      <c r="F48" s="60">
        <f>+'มี.ค. เคลม'!N48</f>
        <v>0</v>
      </c>
      <c r="G48" s="60">
        <f>+'เม.ย. เคลม'!N48</f>
        <v>0</v>
      </c>
      <c r="H48" s="60">
        <f>+'พ.ค. เคลม'!N48</f>
        <v>0</v>
      </c>
      <c r="I48" s="60">
        <f>+'มิ.ย. เคลม'!N48</f>
        <v>0</v>
      </c>
      <c r="J48" s="60">
        <f>+'ก.ค. เคลม'!O48</f>
        <v>0</v>
      </c>
      <c r="K48" s="60">
        <f>+'ส.ค. เคลม'!O48</f>
        <v>0</v>
      </c>
      <c r="L48" s="60">
        <f>+'ก.ย. เคลม'!O48</f>
        <v>0</v>
      </c>
      <c r="M48" s="60">
        <f>+'ต.ค. เคลม'!O48</f>
        <v>0</v>
      </c>
      <c r="N48" s="60">
        <f>+'พ.ย. เคลม'!O48</f>
        <v>0</v>
      </c>
      <c r="O48" s="60">
        <f>+'ธ.ค. เคลม'!O48</f>
        <v>0</v>
      </c>
    </row>
    <row r="49" spans="1:15" x14ac:dyDescent="0.65">
      <c r="A49" s="42" t="s">
        <v>90</v>
      </c>
      <c r="B49" s="77" t="s">
        <v>154</v>
      </c>
      <c r="C49" s="67">
        <f t="shared" si="0"/>
        <v>0</v>
      </c>
      <c r="D49" s="60">
        <f>+'ม.ค. เคลม'!N49</f>
        <v>0</v>
      </c>
      <c r="E49" s="60">
        <f>+'ก.พ. เคลม'!N49</f>
        <v>0</v>
      </c>
      <c r="F49" s="60">
        <f>+'มี.ค. เคลม'!N49</f>
        <v>0</v>
      </c>
      <c r="G49" s="60">
        <f>+'เม.ย. เคลม'!N49</f>
        <v>0</v>
      </c>
      <c r="H49" s="60">
        <f>+'พ.ค. เคลม'!N49</f>
        <v>0</v>
      </c>
      <c r="I49" s="60">
        <f>+'มิ.ย. เคลม'!N49</f>
        <v>0</v>
      </c>
      <c r="J49" s="60">
        <f>+'ก.ค. เคลม'!O49</f>
        <v>0</v>
      </c>
      <c r="K49" s="60">
        <f>+'ส.ค. เคลม'!O49</f>
        <v>0</v>
      </c>
      <c r="L49" s="60">
        <f>+'ก.ย. เคลม'!O49</f>
        <v>0</v>
      </c>
      <c r="M49" s="60">
        <f>+'ต.ค. เคลม'!O49</f>
        <v>0</v>
      </c>
      <c r="N49" s="60">
        <f>+'พ.ย. เคลม'!O49</f>
        <v>0</v>
      </c>
      <c r="O49" s="60">
        <f>+'ธ.ค. เคลม'!O49</f>
        <v>0</v>
      </c>
    </row>
    <row r="50" spans="1:15" x14ac:dyDescent="0.65">
      <c r="A50" s="42" t="s">
        <v>93</v>
      </c>
      <c r="B50" s="73" t="s">
        <v>155</v>
      </c>
      <c r="C50" s="67">
        <f t="shared" si="0"/>
        <v>0</v>
      </c>
      <c r="D50" s="60">
        <f>+'ม.ค. เคลม'!N50</f>
        <v>0</v>
      </c>
      <c r="E50" s="60">
        <f>+'ก.พ. เคลม'!N50</f>
        <v>0</v>
      </c>
      <c r="F50" s="60">
        <f>+'มี.ค. เคลม'!N50</f>
        <v>0</v>
      </c>
      <c r="G50" s="60">
        <f>+'เม.ย. เคลม'!N50</f>
        <v>0</v>
      </c>
      <c r="H50" s="60">
        <f>+'พ.ค. เคลม'!N50</f>
        <v>0</v>
      </c>
      <c r="I50" s="60">
        <f>+'มิ.ย. เคลม'!N50</f>
        <v>0</v>
      </c>
      <c r="J50" s="60">
        <f>+'ก.ค. เคลม'!O50</f>
        <v>0</v>
      </c>
      <c r="K50" s="60">
        <f>+'ส.ค. เคลม'!O50</f>
        <v>0</v>
      </c>
      <c r="L50" s="60">
        <f>+'ก.ย. เคลม'!O50</f>
        <v>0</v>
      </c>
      <c r="M50" s="60">
        <f>+'ต.ค. เคลม'!O50</f>
        <v>0</v>
      </c>
      <c r="N50" s="60">
        <f>+'พ.ย. เคลม'!O50</f>
        <v>0</v>
      </c>
      <c r="O50" s="60">
        <f>+'ธ.ค. เคลม'!O50</f>
        <v>0</v>
      </c>
    </row>
    <row r="51" spans="1:15" x14ac:dyDescent="0.65">
      <c r="A51" s="42" t="s">
        <v>91</v>
      </c>
      <c r="B51" s="73" t="s">
        <v>155</v>
      </c>
      <c r="C51" s="67">
        <f t="shared" si="0"/>
        <v>3</v>
      </c>
      <c r="D51" s="60">
        <f>+'ม.ค. เคลม'!N51</f>
        <v>0</v>
      </c>
      <c r="E51" s="60">
        <f>+'ก.พ. เคลม'!N51</f>
        <v>0</v>
      </c>
      <c r="F51" s="60">
        <f>+'มี.ค. เคลม'!N51</f>
        <v>0</v>
      </c>
      <c r="G51" s="60">
        <f>+'เม.ย. เคลม'!N51</f>
        <v>0</v>
      </c>
      <c r="H51" s="60">
        <f>+'พ.ค. เคลม'!N51</f>
        <v>0</v>
      </c>
      <c r="I51" s="60">
        <f>+'มิ.ย. เคลม'!N51</f>
        <v>0</v>
      </c>
      <c r="J51" s="60">
        <f>+'ก.ค. เคลม'!O51</f>
        <v>1</v>
      </c>
      <c r="K51" s="60">
        <f>+'ส.ค. เคลม'!O51</f>
        <v>2</v>
      </c>
      <c r="L51" s="60">
        <f>+'ก.ย. เคลม'!O51</f>
        <v>0</v>
      </c>
      <c r="M51" s="60">
        <f>+'ต.ค. เคลม'!O51</f>
        <v>0</v>
      </c>
      <c r="N51" s="60">
        <f>+'พ.ย. เคลม'!O51</f>
        <v>0</v>
      </c>
      <c r="O51" s="60">
        <f>+'ธ.ค. เคลม'!O51</f>
        <v>0</v>
      </c>
    </row>
    <row r="52" spans="1:15" x14ac:dyDescent="0.65">
      <c r="A52" s="42" t="s">
        <v>45</v>
      </c>
      <c r="B52" s="77" t="s">
        <v>154</v>
      </c>
      <c r="C52" s="67">
        <f t="shared" si="0"/>
        <v>0</v>
      </c>
      <c r="D52" s="60">
        <f>+'ม.ค. เคลม'!N52</f>
        <v>0</v>
      </c>
      <c r="E52" s="60">
        <f>+'ก.พ. เคลม'!N52</f>
        <v>0</v>
      </c>
      <c r="F52" s="60">
        <f>+'มี.ค. เคลม'!N52</f>
        <v>0</v>
      </c>
      <c r="G52" s="60">
        <f>+'เม.ย. เคลม'!N52</f>
        <v>0</v>
      </c>
      <c r="H52" s="60">
        <f>+'พ.ค. เคลม'!N52</f>
        <v>0</v>
      </c>
      <c r="I52" s="60">
        <f>+'มิ.ย. เคลม'!N52</f>
        <v>0</v>
      </c>
      <c r="J52" s="60">
        <f>+'ก.ค. เคลม'!O52</f>
        <v>0</v>
      </c>
      <c r="K52" s="60">
        <f>+'ส.ค. เคลม'!O52</f>
        <v>0</v>
      </c>
      <c r="L52" s="60">
        <f>+'ก.ย. เคลม'!O52</f>
        <v>0</v>
      </c>
      <c r="M52" s="60">
        <f>+'ต.ค. เคลม'!O52</f>
        <v>0</v>
      </c>
      <c r="N52" s="60">
        <f>+'พ.ย. เคลม'!O52</f>
        <v>0</v>
      </c>
      <c r="O52" s="60">
        <f>+'ธ.ค. เคลม'!O52</f>
        <v>0</v>
      </c>
    </row>
    <row r="53" spans="1:15" x14ac:dyDescent="0.65">
      <c r="A53" s="42" t="s">
        <v>92</v>
      </c>
      <c r="B53" s="73" t="s">
        <v>155</v>
      </c>
      <c r="C53" s="67">
        <f t="shared" si="0"/>
        <v>4</v>
      </c>
      <c r="D53" s="60">
        <f>+'ม.ค. เคลม'!N53</f>
        <v>1</v>
      </c>
      <c r="E53" s="60">
        <f>+'ก.พ. เคลม'!N53</f>
        <v>2</v>
      </c>
      <c r="F53" s="60">
        <f>+'มี.ค. เคลม'!N53</f>
        <v>0</v>
      </c>
      <c r="G53" s="60">
        <f>+'เม.ย. เคลม'!N53</f>
        <v>0</v>
      </c>
      <c r="H53" s="60">
        <f>+'พ.ค. เคลม'!N53</f>
        <v>0</v>
      </c>
      <c r="I53" s="60">
        <f>+'มิ.ย. เคลม'!N53</f>
        <v>0</v>
      </c>
      <c r="J53" s="60">
        <f>+'ก.ค. เคลม'!O53</f>
        <v>1</v>
      </c>
      <c r="K53" s="60">
        <f>+'ส.ค. เคลม'!O53</f>
        <v>0</v>
      </c>
      <c r="L53" s="60">
        <f>+'ก.ย. เคลม'!O53</f>
        <v>0</v>
      </c>
      <c r="M53" s="60">
        <f>+'ต.ค. เคลม'!O53</f>
        <v>0</v>
      </c>
      <c r="N53" s="60">
        <f>+'พ.ย. เคลม'!O53</f>
        <v>0</v>
      </c>
      <c r="O53" s="60">
        <f>+'ธ.ค. เคลม'!O53</f>
        <v>0</v>
      </c>
    </row>
    <row r="54" spans="1:15" x14ac:dyDescent="0.65">
      <c r="A54" s="42" t="s">
        <v>52</v>
      </c>
      <c r="B54" s="76" t="s">
        <v>4</v>
      </c>
      <c r="C54" s="67">
        <f t="shared" si="0"/>
        <v>0</v>
      </c>
      <c r="D54" s="60">
        <f>+'ม.ค. เคลม'!N54</f>
        <v>0</v>
      </c>
      <c r="E54" s="60">
        <f>+'ก.พ. เคลม'!N54</f>
        <v>0</v>
      </c>
      <c r="F54" s="60">
        <f>+'มี.ค. เคลม'!N54</f>
        <v>0</v>
      </c>
      <c r="G54" s="60">
        <f>+'เม.ย. เคลม'!N54</f>
        <v>0</v>
      </c>
      <c r="H54" s="60">
        <f>+'พ.ค. เคลม'!N54</f>
        <v>0</v>
      </c>
      <c r="I54" s="60">
        <f>+'มิ.ย. เคลม'!N54</f>
        <v>0</v>
      </c>
      <c r="J54" s="60">
        <f>+'ก.ค. เคลม'!O54</f>
        <v>0</v>
      </c>
      <c r="K54" s="60">
        <f>+'ส.ค. เคลม'!O54</f>
        <v>0</v>
      </c>
      <c r="L54" s="60">
        <f>+'ก.ย. เคลม'!O54</f>
        <v>0</v>
      </c>
      <c r="M54" s="60">
        <f>+'ต.ค. เคลม'!O54</f>
        <v>0</v>
      </c>
      <c r="N54" s="60">
        <f>+'พ.ย. เคลม'!O54</f>
        <v>0</v>
      </c>
      <c r="O54" s="60">
        <f>+'ธ.ค. เคลม'!O54</f>
        <v>0</v>
      </c>
    </row>
    <row r="55" spans="1:15" x14ac:dyDescent="0.65">
      <c r="A55" s="42" t="s">
        <v>95</v>
      </c>
      <c r="B55" s="74" t="s">
        <v>152</v>
      </c>
      <c r="C55" s="67">
        <f t="shared" si="0"/>
        <v>1</v>
      </c>
      <c r="D55" s="60">
        <f>+'ม.ค. เคลม'!N55</f>
        <v>0</v>
      </c>
      <c r="E55" s="60">
        <f>+'ก.พ. เคลม'!N55</f>
        <v>0</v>
      </c>
      <c r="F55" s="60">
        <f>+'มี.ค. เคลม'!N55</f>
        <v>0</v>
      </c>
      <c r="G55" s="60">
        <f>+'เม.ย. เคลม'!N55</f>
        <v>0</v>
      </c>
      <c r="H55" s="60">
        <f>+'พ.ค. เคลม'!N55</f>
        <v>0</v>
      </c>
      <c r="I55" s="60">
        <f>+'มิ.ย. เคลม'!N55</f>
        <v>0</v>
      </c>
      <c r="J55" s="60">
        <f>+'ก.ค. เคลม'!O55</f>
        <v>0</v>
      </c>
      <c r="K55" s="60">
        <f>+'ส.ค. เคลม'!O55</f>
        <v>0</v>
      </c>
      <c r="L55" s="60">
        <f>+'ก.ย. เคลม'!O55</f>
        <v>1</v>
      </c>
      <c r="M55" s="60">
        <f>+'ต.ค. เคลม'!O55</f>
        <v>0</v>
      </c>
      <c r="N55" s="60">
        <f>+'พ.ย. เคลม'!O55</f>
        <v>0</v>
      </c>
      <c r="O55" s="60">
        <f>+'ธ.ค. เคลม'!O55</f>
        <v>0</v>
      </c>
    </row>
    <row r="56" spans="1:15" x14ac:dyDescent="0.65">
      <c r="A56" s="42" t="s">
        <v>25</v>
      </c>
      <c r="B56" s="73" t="s">
        <v>155</v>
      </c>
      <c r="C56" s="67">
        <f t="shared" si="0"/>
        <v>0</v>
      </c>
      <c r="D56" s="60">
        <f>+'ม.ค. เคลม'!N56</f>
        <v>0</v>
      </c>
      <c r="E56" s="60">
        <f>+'ก.พ. เคลม'!N56</f>
        <v>0</v>
      </c>
      <c r="F56" s="60">
        <f>+'มี.ค. เคลม'!N56</f>
        <v>0</v>
      </c>
      <c r="G56" s="60">
        <f>+'เม.ย. เคลม'!N56</f>
        <v>0</v>
      </c>
      <c r="H56" s="60">
        <f>+'พ.ค. เคลม'!N56</f>
        <v>0</v>
      </c>
      <c r="I56" s="60">
        <f>+'มิ.ย. เคลม'!N56</f>
        <v>0</v>
      </c>
      <c r="J56" s="60">
        <f>+'ก.ค. เคลม'!O56</f>
        <v>0</v>
      </c>
      <c r="K56" s="60">
        <f>+'ส.ค. เคลม'!O56</f>
        <v>0</v>
      </c>
      <c r="L56" s="60">
        <f>+'ก.ย. เคลม'!O56</f>
        <v>0</v>
      </c>
      <c r="M56" s="60">
        <f>+'ต.ค. เคลม'!O56</f>
        <v>0</v>
      </c>
      <c r="N56" s="60">
        <f>+'พ.ย. เคลม'!O56</f>
        <v>0</v>
      </c>
      <c r="O56" s="60">
        <f>+'ธ.ค. เคลม'!O56</f>
        <v>0</v>
      </c>
    </row>
    <row r="57" spans="1:15" ht="27" thickBot="1" x14ac:dyDescent="0.7">
      <c r="A57" s="41"/>
      <c r="B57" s="12"/>
      <c r="C57" s="66">
        <f>SUM(C3:C56)</f>
        <v>175</v>
      </c>
      <c r="D57" s="61">
        <f>SUM(D3:D56)</f>
        <v>47</v>
      </c>
      <c r="E57" s="61">
        <f t="shared" ref="E57:O57" si="1">SUM(E3:E56)</f>
        <v>11</v>
      </c>
      <c r="F57" s="61">
        <f t="shared" si="1"/>
        <v>6</v>
      </c>
      <c r="G57" s="61">
        <f>SUM(G3:G56)</f>
        <v>9</v>
      </c>
      <c r="H57" s="61">
        <f t="shared" si="1"/>
        <v>5</v>
      </c>
      <c r="I57" s="61">
        <f t="shared" si="1"/>
        <v>19</v>
      </c>
      <c r="J57" s="61">
        <f>SUM(J3:J56)</f>
        <v>19</v>
      </c>
      <c r="K57" s="61">
        <f t="shared" si="1"/>
        <v>10</v>
      </c>
      <c r="L57" s="61">
        <f t="shared" si="1"/>
        <v>8</v>
      </c>
      <c r="M57" s="61">
        <f t="shared" si="1"/>
        <v>3</v>
      </c>
      <c r="N57" s="61">
        <f t="shared" si="1"/>
        <v>3</v>
      </c>
      <c r="O57" s="61">
        <f t="shared" si="1"/>
        <v>35</v>
      </c>
    </row>
    <row r="58" spans="1:15" ht="27" thickTop="1" x14ac:dyDescent="0.7"/>
    <row r="59" spans="1:15" x14ac:dyDescent="0.7">
      <c r="D59" s="84"/>
    </row>
  </sheetData>
  <autoFilter ref="A2:O57" xr:uid="{F153D027-62D5-4FB5-A8E5-E6ECABBE0A6A}"/>
  <phoneticPr fontId="9" type="noConversion"/>
  <conditionalFormatting sqref="A2:B2">
    <cfRule type="duplicateValues" dxfId="125" priority="3"/>
  </conditionalFormatting>
  <conditionalFormatting sqref="C2:O2">
    <cfRule type="duplicateValues" dxfId="124" priority="167"/>
    <cfRule type="duplicateValues" dxfId="123" priority="16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20AF-6E77-4301-B7AE-2A210C8E70A6}">
  <sheetPr>
    <tabColor rgb="FFFF99FF"/>
    <pageSetUpPr fitToPage="1"/>
  </sheetPr>
  <dimension ref="A1:O3716"/>
  <sheetViews>
    <sheetView tabSelected="1" zoomScale="55" zoomScaleNormal="55" workbookViewId="0">
      <pane xSplit="6" ySplit="2" topLeftCell="G21" activePane="bottomRight" state="frozen"/>
      <selection activeCell="A2" sqref="A2"/>
      <selection pane="topRight" activeCell="A2" sqref="A2"/>
      <selection pane="bottomLeft" activeCell="A2" sqref="A2"/>
      <selection pane="bottomRight" activeCell="I42" sqref="I42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7.19921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37" customWidth="1"/>
    <col min="10" max="10" width="15.296875" style="79" bestFit="1" customWidth="1"/>
    <col min="11" max="11" width="65.8984375" style="70" bestFit="1" customWidth="1"/>
    <col min="12" max="12" width="103.3984375" style="57" bestFit="1" customWidth="1"/>
    <col min="13" max="13" width="14.69921875" style="11" customWidth="1"/>
    <col min="14" max="14" width="88.8984375" style="41" bestFit="1" customWidth="1"/>
    <col min="15" max="15" width="17.19921875" style="11" bestFit="1" customWidth="1"/>
    <col min="16" max="16384" width="54.69921875" style="11"/>
  </cols>
  <sheetData>
    <row r="1" spans="1:15" ht="60" customHeight="1" thickBot="1" x14ac:dyDescent="0.75">
      <c r="A1" s="8" t="s">
        <v>942</v>
      </c>
      <c r="I1" s="87" t="s">
        <v>46</v>
      </c>
      <c r="J1" s="26">
        <f>SUBTOTAL(9,J3:J83)</f>
        <v>1575</v>
      </c>
      <c r="K1" s="88" t="s">
        <v>47</v>
      </c>
    </row>
    <row r="2" spans="1:15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80" t="s">
        <v>43</v>
      </c>
      <c r="K2" s="6" t="s">
        <v>7</v>
      </c>
      <c r="L2" s="6" t="s">
        <v>7</v>
      </c>
      <c r="N2" s="7" t="s">
        <v>19</v>
      </c>
      <c r="O2" s="7" t="s">
        <v>21</v>
      </c>
    </row>
    <row r="3" spans="1:15" s="14" customFormat="1" ht="25.8" x14ac:dyDescent="0.25">
      <c r="A3" s="13">
        <v>1</v>
      </c>
      <c r="B3" s="54" t="s">
        <v>6229</v>
      </c>
      <c r="C3" s="54" t="s">
        <v>6230</v>
      </c>
      <c r="D3" s="54" t="s">
        <v>945</v>
      </c>
      <c r="E3" s="54" t="s">
        <v>6231</v>
      </c>
      <c r="F3" s="54" t="s">
        <v>946</v>
      </c>
      <c r="G3" s="54" t="s">
        <v>6232</v>
      </c>
      <c r="H3" s="81">
        <v>0</v>
      </c>
      <c r="I3" s="54" t="s">
        <v>6233</v>
      </c>
      <c r="J3" s="81">
        <v>45</v>
      </c>
      <c r="K3" s="34" t="s">
        <v>10</v>
      </c>
      <c r="L3" s="54"/>
      <c r="N3" s="42" t="s">
        <v>10</v>
      </c>
      <c r="O3" s="34">
        <v>1</v>
      </c>
    </row>
    <row r="4" spans="1:15" s="14" customFormat="1" ht="25.8" x14ac:dyDescent="0.25">
      <c r="A4" s="13">
        <v>2</v>
      </c>
      <c r="B4" s="54" t="s">
        <v>6234</v>
      </c>
      <c r="C4" s="54" t="s">
        <v>6235</v>
      </c>
      <c r="D4" s="54" t="s">
        <v>945</v>
      </c>
      <c r="E4" s="54" t="s">
        <v>6236</v>
      </c>
      <c r="F4" s="54" t="s">
        <v>946</v>
      </c>
      <c r="G4" s="54" t="s">
        <v>6237</v>
      </c>
      <c r="H4" s="81">
        <v>0</v>
      </c>
      <c r="I4" s="54" t="s">
        <v>6238</v>
      </c>
      <c r="J4" s="81">
        <v>45</v>
      </c>
      <c r="K4" s="34" t="s">
        <v>78</v>
      </c>
      <c r="L4" s="54"/>
      <c r="N4" s="42" t="s">
        <v>13</v>
      </c>
      <c r="O4" s="34">
        <v>0</v>
      </c>
    </row>
    <row r="5" spans="1:15" s="14" customFormat="1" ht="25.8" x14ac:dyDescent="0.25">
      <c r="A5" s="13">
        <v>3</v>
      </c>
      <c r="B5" s="54" t="s">
        <v>6239</v>
      </c>
      <c r="C5" s="54" t="s">
        <v>6240</v>
      </c>
      <c r="D5" s="54" t="s">
        <v>945</v>
      </c>
      <c r="E5" s="54" t="s">
        <v>8</v>
      </c>
      <c r="F5" s="54" t="s">
        <v>946</v>
      </c>
      <c r="G5" s="54" t="s">
        <v>6241</v>
      </c>
      <c r="H5" s="81">
        <v>0</v>
      </c>
      <c r="I5" s="54" t="s">
        <v>6242</v>
      </c>
      <c r="J5" s="81">
        <v>45</v>
      </c>
      <c r="K5" s="34" t="s">
        <v>12</v>
      </c>
      <c r="L5" s="54"/>
      <c r="N5" s="42" t="s">
        <v>11</v>
      </c>
      <c r="O5" s="34">
        <v>0</v>
      </c>
    </row>
    <row r="6" spans="1:15" s="14" customFormat="1" ht="25.8" x14ac:dyDescent="0.25">
      <c r="A6" s="13">
        <v>4</v>
      </c>
      <c r="B6" s="54" t="s">
        <v>6243</v>
      </c>
      <c r="C6" s="54" t="s">
        <v>6244</v>
      </c>
      <c r="D6" s="54" t="s">
        <v>945</v>
      </c>
      <c r="E6" s="54" t="s">
        <v>8</v>
      </c>
      <c r="F6" s="54" t="s">
        <v>946</v>
      </c>
      <c r="G6" s="54" t="s">
        <v>6245</v>
      </c>
      <c r="H6" s="81">
        <v>0</v>
      </c>
      <c r="I6" s="54" t="s">
        <v>6246</v>
      </c>
      <c r="J6" s="81">
        <v>45</v>
      </c>
      <c r="K6" s="34" t="s">
        <v>83</v>
      </c>
      <c r="L6" s="54"/>
      <c r="N6" s="42" t="s">
        <v>17</v>
      </c>
      <c r="O6" s="34">
        <v>0</v>
      </c>
    </row>
    <row r="7" spans="1:15" s="14" customFormat="1" ht="25.8" x14ac:dyDescent="0.25">
      <c r="A7" s="13">
        <v>5</v>
      </c>
      <c r="B7" s="54" t="s">
        <v>6247</v>
      </c>
      <c r="C7" s="54" t="s">
        <v>6248</v>
      </c>
      <c r="D7" s="54" t="s">
        <v>945</v>
      </c>
      <c r="E7" s="54" t="s">
        <v>6249</v>
      </c>
      <c r="F7" s="54" t="s">
        <v>946</v>
      </c>
      <c r="G7" s="54" t="s">
        <v>6250</v>
      </c>
      <c r="H7" s="81">
        <v>0</v>
      </c>
      <c r="I7" s="54" t="s">
        <v>6251</v>
      </c>
      <c r="J7" s="81">
        <v>45</v>
      </c>
      <c r="K7" s="34" t="s">
        <v>78</v>
      </c>
      <c r="L7" s="54"/>
      <c r="N7" s="42" t="s">
        <v>14</v>
      </c>
      <c r="O7" s="34">
        <v>0</v>
      </c>
    </row>
    <row r="8" spans="1:15" s="14" customFormat="1" ht="25.8" x14ac:dyDescent="0.25">
      <c r="A8" s="13">
        <v>6</v>
      </c>
      <c r="B8" s="54" t="s">
        <v>6252</v>
      </c>
      <c r="C8" s="54" t="s">
        <v>6253</v>
      </c>
      <c r="D8" s="54" t="s">
        <v>945</v>
      </c>
      <c r="E8" s="54" t="s">
        <v>8</v>
      </c>
      <c r="F8" s="54" t="s">
        <v>946</v>
      </c>
      <c r="G8" s="54" t="s">
        <v>6254</v>
      </c>
      <c r="H8" s="81">
        <v>0</v>
      </c>
      <c r="I8" s="54" t="s">
        <v>6255</v>
      </c>
      <c r="J8" s="81">
        <v>45</v>
      </c>
      <c r="K8" s="34" t="s">
        <v>12</v>
      </c>
      <c r="L8" s="54"/>
      <c r="N8" s="42" t="s">
        <v>59</v>
      </c>
      <c r="O8" s="34">
        <v>0</v>
      </c>
    </row>
    <row r="9" spans="1:15" s="14" customFormat="1" ht="25.8" x14ac:dyDescent="0.25">
      <c r="A9" s="13">
        <v>7</v>
      </c>
      <c r="B9" s="54" t="s">
        <v>6256</v>
      </c>
      <c r="C9" s="54" t="s">
        <v>6257</v>
      </c>
      <c r="D9" s="54" t="s">
        <v>945</v>
      </c>
      <c r="E9" s="54" t="s">
        <v>8</v>
      </c>
      <c r="F9" s="54" t="s">
        <v>946</v>
      </c>
      <c r="G9" s="54" t="s">
        <v>6258</v>
      </c>
      <c r="H9" s="81">
        <v>0</v>
      </c>
      <c r="I9" s="54" t="s">
        <v>6259</v>
      </c>
      <c r="J9" s="81">
        <v>45</v>
      </c>
      <c r="K9" s="34" t="s">
        <v>78</v>
      </c>
      <c r="L9" s="54"/>
      <c r="N9" s="42" t="s">
        <v>51</v>
      </c>
      <c r="O9" s="34">
        <v>0</v>
      </c>
    </row>
    <row r="10" spans="1:15" s="14" customFormat="1" ht="25.8" x14ac:dyDescent="0.25">
      <c r="A10" s="13">
        <v>8</v>
      </c>
      <c r="B10" s="54" t="s">
        <v>6260</v>
      </c>
      <c r="C10" s="54" t="s">
        <v>6261</v>
      </c>
      <c r="D10" s="54" t="s">
        <v>945</v>
      </c>
      <c r="E10" s="54" t="s">
        <v>8</v>
      </c>
      <c r="F10" s="54" t="s">
        <v>946</v>
      </c>
      <c r="G10" s="54" t="s">
        <v>6262</v>
      </c>
      <c r="H10" s="81">
        <v>0</v>
      </c>
      <c r="I10" s="54" t="s">
        <v>6263</v>
      </c>
      <c r="J10" s="81">
        <v>45</v>
      </c>
      <c r="K10" s="34" t="s">
        <v>12</v>
      </c>
      <c r="L10" s="54"/>
      <c r="N10" s="42" t="s">
        <v>49</v>
      </c>
      <c r="O10" s="34">
        <v>0</v>
      </c>
    </row>
    <row r="11" spans="1:15" s="14" customFormat="1" ht="25.8" x14ac:dyDescent="0.25">
      <c r="A11" s="13">
        <v>9</v>
      </c>
      <c r="B11" s="54" t="s">
        <v>6264</v>
      </c>
      <c r="C11" s="54" t="s">
        <v>6265</v>
      </c>
      <c r="D11" s="54" t="s">
        <v>945</v>
      </c>
      <c r="E11" s="54" t="s">
        <v>8</v>
      </c>
      <c r="F11" s="54" t="s">
        <v>946</v>
      </c>
      <c r="G11" s="54" t="s">
        <v>6266</v>
      </c>
      <c r="H11" s="81">
        <v>0</v>
      </c>
      <c r="I11" s="54" t="s">
        <v>6267</v>
      </c>
      <c r="J11" s="81">
        <v>45</v>
      </c>
      <c r="K11" s="34" t="s">
        <v>78</v>
      </c>
      <c r="L11" s="54"/>
      <c r="N11" s="42" t="s">
        <v>12</v>
      </c>
      <c r="O11" s="34">
        <v>6</v>
      </c>
    </row>
    <row r="12" spans="1:15" s="14" customFormat="1" ht="25.8" x14ac:dyDescent="0.25">
      <c r="A12" s="13">
        <v>10</v>
      </c>
      <c r="B12" s="54" t="s">
        <v>6268</v>
      </c>
      <c r="C12" s="54" t="s">
        <v>6269</v>
      </c>
      <c r="D12" s="54" t="s">
        <v>945</v>
      </c>
      <c r="E12" s="54" t="s">
        <v>8</v>
      </c>
      <c r="F12" s="54" t="s">
        <v>946</v>
      </c>
      <c r="G12" s="54" t="s">
        <v>6270</v>
      </c>
      <c r="H12" s="81">
        <v>0</v>
      </c>
      <c r="I12" s="54" t="s">
        <v>6271</v>
      </c>
      <c r="J12" s="81">
        <v>45</v>
      </c>
      <c r="K12" s="34" t="s">
        <v>12</v>
      </c>
      <c r="L12" s="54"/>
      <c r="N12" s="42" t="s">
        <v>15</v>
      </c>
      <c r="O12" s="34">
        <v>0</v>
      </c>
    </row>
    <row r="13" spans="1:15" s="14" customFormat="1" ht="25.8" x14ac:dyDescent="0.25">
      <c r="A13" s="13">
        <v>11</v>
      </c>
      <c r="B13" s="54" t="s">
        <v>6272</v>
      </c>
      <c r="C13" s="54" t="s">
        <v>6273</v>
      </c>
      <c r="D13" s="54" t="s">
        <v>945</v>
      </c>
      <c r="E13" s="54" t="s">
        <v>8</v>
      </c>
      <c r="F13" s="54" t="s">
        <v>946</v>
      </c>
      <c r="G13" s="54" t="s">
        <v>6274</v>
      </c>
      <c r="H13" s="81">
        <v>0</v>
      </c>
      <c r="I13" s="54" t="s">
        <v>6275</v>
      </c>
      <c r="J13" s="81">
        <v>45</v>
      </c>
      <c r="K13" s="34" t="s">
        <v>79</v>
      </c>
      <c r="L13" s="54"/>
      <c r="N13" s="42" t="s">
        <v>60</v>
      </c>
      <c r="O13" s="34">
        <v>0</v>
      </c>
    </row>
    <row r="14" spans="1:15" s="14" customFormat="1" ht="25.8" x14ac:dyDescent="0.25">
      <c r="A14" s="13">
        <v>12</v>
      </c>
      <c r="B14" s="54" t="s">
        <v>6276</v>
      </c>
      <c r="C14" s="54" t="s">
        <v>6277</v>
      </c>
      <c r="D14" s="54" t="s">
        <v>945</v>
      </c>
      <c r="E14" s="54" t="s">
        <v>8</v>
      </c>
      <c r="F14" s="54" t="s">
        <v>946</v>
      </c>
      <c r="G14" s="54" t="s">
        <v>6278</v>
      </c>
      <c r="H14" s="81">
        <v>0</v>
      </c>
      <c r="I14" s="54" t="s">
        <v>6279</v>
      </c>
      <c r="J14" s="81">
        <v>45</v>
      </c>
      <c r="K14" s="34" t="s">
        <v>78</v>
      </c>
      <c r="L14" s="54"/>
      <c r="N14" s="42" t="s">
        <v>16</v>
      </c>
      <c r="O14" s="34">
        <v>0</v>
      </c>
    </row>
    <row r="15" spans="1:15" s="14" customFormat="1" ht="25.8" x14ac:dyDescent="0.25">
      <c r="A15" s="13">
        <v>13</v>
      </c>
      <c r="B15" s="54" t="s">
        <v>6280</v>
      </c>
      <c r="C15" s="54" t="s">
        <v>6281</v>
      </c>
      <c r="D15" s="54" t="s">
        <v>945</v>
      </c>
      <c r="E15" s="54" t="s">
        <v>8</v>
      </c>
      <c r="F15" s="54" t="s">
        <v>946</v>
      </c>
      <c r="G15" s="54" t="s">
        <v>6282</v>
      </c>
      <c r="H15" s="81">
        <v>0</v>
      </c>
      <c r="I15" s="54" t="s">
        <v>6283</v>
      </c>
      <c r="J15" s="81">
        <v>45</v>
      </c>
      <c r="K15" s="34" t="s">
        <v>78</v>
      </c>
      <c r="L15" s="54"/>
      <c r="N15" s="42" t="s">
        <v>61</v>
      </c>
      <c r="O15" s="34">
        <v>0</v>
      </c>
    </row>
    <row r="16" spans="1:15" s="14" customFormat="1" ht="25.8" x14ac:dyDescent="0.25">
      <c r="A16" s="13">
        <v>14</v>
      </c>
      <c r="B16" s="54" t="s">
        <v>6284</v>
      </c>
      <c r="C16" s="54" t="s">
        <v>6285</v>
      </c>
      <c r="D16" s="54" t="s">
        <v>945</v>
      </c>
      <c r="E16" s="54" t="s">
        <v>8</v>
      </c>
      <c r="F16" s="54" t="s">
        <v>946</v>
      </c>
      <c r="G16" s="54" t="s">
        <v>6286</v>
      </c>
      <c r="H16" s="81">
        <v>0</v>
      </c>
      <c r="I16" s="54" t="s">
        <v>6287</v>
      </c>
      <c r="J16" s="81">
        <v>45</v>
      </c>
      <c r="K16" s="34" t="s">
        <v>12</v>
      </c>
      <c r="L16" s="54"/>
      <c r="N16" s="42" t="s">
        <v>62</v>
      </c>
      <c r="O16" s="34">
        <v>0</v>
      </c>
    </row>
    <row r="17" spans="1:15" s="14" customFormat="1" ht="25.8" x14ac:dyDescent="0.25">
      <c r="A17" s="13">
        <v>15</v>
      </c>
      <c r="B17" s="54" t="s">
        <v>6288</v>
      </c>
      <c r="C17" s="54" t="s">
        <v>6289</v>
      </c>
      <c r="D17" s="54" t="s">
        <v>945</v>
      </c>
      <c r="E17" s="54" t="s">
        <v>8</v>
      </c>
      <c r="F17" s="54" t="s">
        <v>946</v>
      </c>
      <c r="G17" s="54" t="s">
        <v>6290</v>
      </c>
      <c r="H17" s="81">
        <v>0</v>
      </c>
      <c r="I17" s="54" t="s">
        <v>6291</v>
      </c>
      <c r="J17" s="81">
        <v>45</v>
      </c>
      <c r="K17" s="34" t="s">
        <v>78</v>
      </c>
      <c r="L17" s="54"/>
      <c r="N17" s="42" t="s">
        <v>53</v>
      </c>
      <c r="O17" s="34">
        <v>0</v>
      </c>
    </row>
    <row r="18" spans="1:15" s="14" customFormat="1" ht="25.8" x14ac:dyDescent="0.25">
      <c r="A18" s="13">
        <v>16</v>
      </c>
      <c r="B18" s="54" t="s">
        <v>6292</v>
      </c>
      <c r="C18" s="54" t="s">
        <v>6293</v>
      </c>
      <c r="D18" s="54" t="s">
        <v>945</v>
      </c>
      <c r="E18" s="54" t="s">
        <v>8</v>
      </c>
      <c r="F18" s="54" t="s">
        <v>946</v>
      </c>
      <c r="G18" s="54" t="s">
        <v>6294</v>
      </c>
      <c r="H18" s="81">
        <v>0</v>
      </c>
      <c r="I18" s="54" t="s">
        <v>6295</v>
      </c>
      <c r="J18" s="81">
        <v>45</v>
      </c>
      <c r="K18" s="34" t="s">
        <v>78</v>
      </c>
      <c r="L18" s="54"/>
      <c r="N18" s="42" t="s">
        <v>63</v>
      </c>
      <c r="O18" s="34">
        <v>0</v>
      </c>
    </row>
    <row r="19" spans="1:15" s="14" customFormat="1" ht="25.8" x14ac:dyDescent="0.25">
      <c r="A19" s="13">
        <v>17</v>
      </c>
      <c r="B19" s="54" t="s">
        <v>6296</v>
      </c>
      <c r="C19" s="54" t="s">
        <v>6297</v>
      </c>
      <c r="D19" s="54" t="s">
        <v>945</v>
      </c>
      <c r="E19" s="54" t="s">
        <v>8</v>
      </c>
      <c r="F19" s="54" t="s">
        <v>946</v>
      </c>
      <c r="G19" s="54" t="s">
        <v>6298</v>
      </c>
      <c r="H19" s="81">
        <v>0</v>
      </c>
      <c r="I19" s="54" t="s">
        <v>6299</v>
      </c>
      <c r="J19" s="81">
        <v>45</v>
      </c>
      <c r="K19" s="34" t="s">
        <v>78</v>
      </c>
      <c r="L19" s="54"/>
      <c r="N19" s="42" t="s">
        <v>20</v>
      </c>
      <c r="O19" s="34">
        <v>0</v>
      </c>
    </row>
    <row r="20" spans="1:15" s="14" customFormat="1" ht="25.8" x14ac:dyDescent="0.25">
      <c r="A20" s="13">
        <v>18</v>
      </c>
      <c r="B20" s="54" t="s">
        <v>6300</v>
      </c>
      <c r="C20" s="54" t="s">
        <v>6301</v>
      </c>
      <c r="D20" s="54" t="s">
        <v>945</v>
      </c>
      <c r="E20" s="54" t="s">
        <v>8</v>
      </c>
      <c r="F20" s="54" t="s">
        <v>946</v>
      </c>
      <c r="G20" s="54" t="s">
        <v>6302</v>
      </c>
      <c r="H20" s="81">
        <v>0</v>
      </c>
      <c r="I20" s="54" t="s">
        <v>6303</v>
      </c>
      <c r="J20" s="81">
        <v>45</v>
      </c>
      <c r="K20" s="34" t="s">
        <v>78</v>
      </c>
      <c r="L20" s="54"/>
      <c r="N20" s="42" t="s">
        <v>64</v>
      </c>
      <c r="O20" s="34">
        <v>0</v>
      </c>
    </row>
    <row r="21" spans="1:15" s="14" customFormat="1" ht="25.8" x14ac:dyDescent="0.25">
      <c r="A21" s="13">
        <v>19</v>
      </c>
      <c r="B21" s="54" t="s">
        <v>6304</v>
      </c>
      <c r="C21" s="54" t="s">
        <v>6305</v>
      </c>
      <c r="D21" s="54" t="s">
        <v>945</v>
      </c>
      <c r="E21" s="54" t="s">
        <v>8</v>
      </c>
      <c r="F21" s="54" t="s">
        <v>946</v>
      </c>
      <c r="G21" s="54" t="s">
        <v>6306</v>
      </c>
      <c r="H21" s="54">
        <v>0</v>
      </c>
      <c r="I21" s="54" t="s">
        <v>6307</v>
      </c>
      <c r="J21" s="81">
        <v>45</v>
      </c>
      <c r="K21" s="34" t="s">
        <v>78</v>
      </c>
      <c r="L21" s="54"/>
      <c r="N21" s="42" t="s">
        <v>22</v>
      </c>
      <c r="O21" s="34">
        <v>0</v>
      </c>
    </row>
    <row r="22" spans="1:15" s="14" customFormat="1" ht="25.8" x14ac:dyDescent="0.25">
      <c r="A22" s="13">
        <v>20</v>
      </c>
      <c r="B22" s="54" t="s">
        <v>6308</v>
      </c>
      <c r="C22" s="54" t="s">
        <v>6309</v>
      </c>
      <c r="D22" s="54" t="s">
        <v>945</v>
      </c>
      <c r="E22" s="54" t="s">
        <v>8</v>
      </c>
      <c r="F22" s="54" t="s">
        <v>946</v>
      </c>
      <c r="G22" s="54" t="s">
        <v>6310</v>
      </c>
      <c r="H22" s="54">
        <v>0</v>
      </c>
      <c r="I22" s="54" t="s">
        <v>6311</v>
      </c>
      <c r="J22" s="81">
        <v>45</v>
      </c>
      <c r="K22" s="34" t="s">
        <v>78</v>
      </c>
      <c r="L22" s="54"/>
      <c r="N22" s="42" t="s">
        <v>65</v>
      </c>
      <c r="O22" s="34">
        <v>0</v>
      </c>
    </row>
    <row r="23" spans="1:15" s="14" customFormat="1" ht="25.8" x14ac:dyDescent="0.25">
      <c r="A23" s="13">
        <v>21</v>
      </c>
      <c r="B23" s="54" t="s">
        <v>6312</v>
      </c>
      <c r="C23" s="54" t="s">
        <v>6313</v>
      </c>
      <c r="D23" s="54" t="s">
        <v>945</v>
      </c>
      <c r="E23" s="54" t="s">
        <v>8</v>
      </c>
      <c r="F23" s="54" t="s">
        <v>946</v>
      </c>
      <c r="G23" s="54" t="s">
        <v>6314</v>
      </c>
      <c r="H23" s="62">
        <v>0</v>
      </c>
      <c r="I23" s="54" t="s">
        <v>6315</v>
      </c>
      <c r="J23" s="81">
        <v>45</v>
      </c>
      <c r="K23" s="34" t="s">
        <v>78</v>
      </c>
      <c r="L23" s="54"/>
      <c r="N23" s="42" t="s">
        <v>66</v>
      </c>
      <c r="O23" s="34">
        <v>0</v>
      </c>
    </row>
    <row r="24" spans="1:15" s="14" customFormat="1" ht="25.8" x14ac:dyDescent="0.25">
      <c r="A24" s="13">
        <v>22</v>
      </c>
      <c r="B24" s="54" t="s">
        <v>6316</v>
      </c>
      <c r="C24" s="54" t="s">
        <v>6317</v>
      </c>
      <c r="D24" s="54" t="s">
        <v>945</v>
      </c>
      <c r="E24" s="54" t="s">
        <v>8</v>
      </c>
      <c r="F24" s="54" t="s">
        <v>946</v>
      </c>
      <c r="G24" s="54" t="s">
        <v>6318</v>
      </c>
      <c r="H24" s="62">
        <v>0</v>
      </c>
      <c r="I24" s="54" t="s">
        <v>6319</v>
      </c>
      <c r="J24" s="81">
        <v>45</v>
      </c>
      <c r="K24" s="34" t="s">
        <v>78</v>
      </c>
      <c r="L24" s="54"/>
      <c r="N24" s="42" t="s">
        <v>67</v>
      </c>
      <c r="O24" s="34">
        <v>0</v>
      </c>
    </row>
    <row r="25" spans="1:15" s="14" customFormat="1" ht="25.8" x14ac:dyDescent="0.25">
      <c r="A25" s="13">
        <v>23</v>
      </c>
      <c r="B25" s="54" t="s">
        <v>6320</v>
      </c>
      <c r="C25" s="54" t="s">
        <v>6321</v>
      </c>
      <c r="D25" s="54" t="s">
        <v>945</v>
      </c>
      <c r="E25" s="54" t="s">
        <v>8</v>
      </c>
      <c r="F25" s="54" t="s">
        <v>946</v>
      </c>
      <c r="G25" s="54" t="s">
        <v>6322</v>
      </c>
      <c r="H25" s="62">
        <v>0</v>
      </c>
      <c r="I25" s="54" t="s">
        <v>6323</v>
      </c>
      <c r="J25" s="81">
        <v>45</v>
      </c>
      <c r="K25" s="34" t="s">
        <v>12</v>
      </c>
      <c r="L25" s="54"/>
      <c r="N25" s="42" t="s">
        <v>68</v>
      </c>
      <c r="O25" s="34">
        <v>0</v>
      </c>
    </row>
    <row r="26" spans="1:15" s="14" customFormat="1" ht="25.8" x14ac:dyDescent="0.25">
      <c r="A26" s="13">
        <v>24</v>
      </c>
      <c r="B26" s="54" t="s">
        <v>6324</v>
      </c>
      <c r="C26" s="54" t="s">
        <v>6325</v>
      </c>
      <c r="D26" s="54" t="s">
        <v>945</v>
      </c>
      <c r="E26" s="54" t="s">
        <v>8</v>
      </c>
      <c r="F26" s="54" t="s">
        <v>946</v>
      </c>
      <c r="G26" s="54" t="s">
        <v>6326</v>
      </c>
      <c r="H26" s="62">
        <v>0</v>
      </c>
      <c r="I26" s="54" t="s">
        <v>6327</v>
      </c>
      <c r="J26" s="81">
        <v>45</v>
      </c>
      <c r="K26" s="34" t="s">
        <v>78</v>
      </c>
      <c r="L26" s="54"/>
      <c r="N26" s="42" t="s">
        <v>69</v>
      </c>
      <c r="O26" s="34">
        <v>0</v>
      </c>
    </row>
    <row r="27" spans="1:15" s="14" customFormat="1" ht="25.8" x14ac:dyDescent="0.25">
      <c r="A27" s="13">
        <v>25</v>
      </c>
      <c r="B27" s="54" t="s">
        <v>6328</v>
      </c>
      <c r="C27" s="54" t="s">
        <v>6329</v>
      </c>
      <c r="D27" s="54" t="s">
        <v>945</v>
      </c>
      <c r="E27" s="54" t="s">
        <v>8</v>
      </c>
      <c r="F27" s="54" t="s">
        <v>946</v>
      </c>
      <c r="G27" s="54" t="s">
        <v>6330</v>
      </c>
      <c r="H27" s="81">
        <v>0</v>
      </c>
      <c r="I27" s="54" t="s">
        <v>6331</v>
      </c>
      <c r="J27" s="81">
        <v>45</v>
      </c>
      <c r="K27" s="34" t="s">
        <v>78</v>
      </c>
      <c r="L27" s="54"/>
      <c r="N27" s="42" t="s">
        <v>70</v>
      </c>
      <c r="O27" s="34">
        <v>0</v>
      </c>
    </row>
    <row r="28" spans="1:15" s="14" customFormat="1" ht="25.8" x14ac:dyDescent="0.25">
      <c r="A28" s="13">
        <v>26</v>
      </c>
      <c r="B28" s="54" t="s">
        <v>6332</v>
      </c>
      <c r="C28" s="54" t="s">
        <v>6333</v>
      </c>
      <c r="D28" s="54" t="s">
        <v>945</v>
      </c>
      <c r="E28" s="54" t="s">
        <v>8</v>
      </c>
      <c r="F28" s="54" t="s">
        <v>946</v>
      </c>
      <c r="G28" s="54" t="s">
        <v>6334</v>
      </c>
      <c r="H28" s="81">
        <v>0</v>
      </c>
      <c r="I28" s="54" t="s">
        <v>6335</v>
      </c>
      <c r="J28" s="81">
        <v>45</v>
      </c>
      <c r="K28" s="34" t="s">
        <v>78</v>
      </c>
      <c r="L28" s="54"/>
      <c r="N28" s="42" t="s">
        <v>71</v>
      </c>
      <c r="O28" s="34">
        <v>0</v>
      </c>
    </row>
    <row r="29" spans="1:15" s="14" customFormat="1" ht="25.8" x14ac:dyDescent="0.25">
      <c r="A29" s="13">
        <v>27</v>
      </c>
      <c r="B29" s="54" t="s">
        <v>6336</v>
      </c>
      <c r="C29" s="54" t="s">
        <v>6337</v>
      </c>
      <c r="D29" s="54" t="s">
        <v>945</v>
      </c>
      <c r="E29" s="54" t="s">
        <v>8</v>
      </c>
      <c r="F29" s="54" t="s">
        <v>946</v>
      </c>
      <c r="G29" s="54" t="s">
        <v>6338</v>
      </c>
      <c r="H29" s="81">
        <v>0</v>
      </c>
      <c r="I29" s="54" t="s">
        <v>6339</v>
      </c>
      <c r="J29" s="81">
        <v>45</v>
      </c>
      <c r="K29" s="34" t="s">
        <v>78</v>
      </c>
      <c r="L29" s="54"/>
      <c r="N29" s="42" t="s">
        <v>72</v>
      </c>
      <c r="O29" s="34">
        <v>0</v>
      </c>
    </row>
    <row r="30" spans="1:15" s="14" customFormat="1" ht="25.8" x14ac:dyDescent="0.25">
      <c r="A30" s="13">
        <v>28</v>
      </c>
      <c r="B30" s="54" t="s">
        <v>6340</v>
      </c>
      <c r="C30" s="54" t="s">
        <v>6341</v>
      </c>
      <c r="D30" s="54" t="s">
        <v>945</v>
      </c>
      <c r="E30" s="54" t="s">
        <v>8</v>
      </c>
      <c r="F30" s="54" t="s">
        <v>946</v>
      </c>
      <c r="G30" s="54" t="s">
        <v>6342</v>
      </c>
      <c r="H30" s="81">
        <v>0</v>
      </c>
      <c r="I30" s="54" t="s">
        <v>6343</v>
      </c>
      <c r="J30" s="81">
        <v>45</v>
      </c>
      <c r="K30" s="34" t="s">
        <v>78</v>
      </c>
      <c r="L30" s="54"/>
      <c r="N30" s="42" t="s">
        <v>73</v>
      </c>
      <c r="O30" s="34">
        <v>0</v>
      </c>
    </row>
    <row r="31" spans="1:15" s="14" customFormat="1" ht="25.8" x14ac:dyDescent="0.25">
      <c r="A31" s="13">
        <v>29</v>
      </c>
      <c r="B31" s="54" t="s">
        <v>6344</v>
      </c>
      <c r="C31" s="54" t="s">
        <v>6345</v>
      </c>
      <c r="D31" s="54" t="s">
        <v>945</v>
      </c>
      <c r="E31" s="54" t="s">
        <v>8</v>
      </c>
      <c r="F31" s="54" t="s">
        <v>946</v>
      </c>
      <c r="G31" s="54" t="s">
        <v>6346</v>
      </c>
      <c r="H31" s="81">
        <v>0</v>
      </c>
      <c r="I31" s="54" t="s">
        <v>6347</v>
      </c>
      <c r="J31" s="81">
        <v>45</v>
      </c>
      <c r="K31" s="34" t="s">
        <v>78</v>
      </c>
      <c r="L31" s="54"/>
      <c r="N31" s="42" t="s">
        <v>74</v>
      </c>
      <c r="O31" s="34">
        <v>0</v>
      </c>
    </row>
    <row r="32" spans="1:15" s="14" customFormat="1" ht="25.8" x14ac:dyDescent="0.25">
      <c r="A32" s="13">
        <v>30</v>
      </c>
      <c r="B32" s="54" t="s">
        <v>6348</v>
      </c>
      <c r="C32" s="54" t="s">
        <v>6349</v>
      </c>
      <c r="D32" s="54" t="s">
        <v>945</v>
      </c>
      <c r="E32" s="54" t="s">
        <v>8</v>
      </c>
      <c r="F32" s="54" t="s">
        <v>946</v>
      </c>
      <c r="G32" s="54" t="s">
        <v>6350</v>
      </c>
      <c r="H32" s="81">
        <v>0</v>
      </c>
      <c r="I32" s="54" t="s">
        <v>6351</v>
      </c>
      <c r="J32" s="81">
        <v>45</v>
      </c>
      <c r="K32" s="34" t="s">
        <v>78</v>
      </c>
      <c r="L32" s="54"/>
      <c r="N32" s="42" t="s">
        <v>75</v>
      </c>
      <c r="O32" s="34">
        <v>0</v>
      </c>
    </row>
    <row r="33" spans="1:15" s="14" customFormat="1" ht="25.8" x14ac:dyDescent="0.25">
      <c r="A33" s="13">
        <v>31</v>
      </c>
      <c r="B33" s="54" t="s">
        <v>6352</v>
      </c>
      <c r="C33" s="54" t="s">
        <v>6353</v>
      </c>
      <c r="D33" s="54" t="s">
        <v>945</v>
      </c>
      <c r="E33" s="54" t="s">
        <v>8</v>
      </c>
      <c r="F33" s="54" t="s">
        <v>946</v>
      </c>
      <c r="G33" s="54" t="s">
        <v>6354</v>
      </c>
      <c r="H33" s="81">
        <v>0</v>
      </c>
      <c r="I33" s="54" t="s">
        <v>6355</v>
      </c>
      <c r="J33" s="81">
        <v>45</v>
      </c>
      <c r="K33" s="34" t="s">
        <v>78</v>
      </c>
      <c r="L33" s="54"/>
      <c r="N33" s="42" t="s">
        <v>76</v>
      </c>
      <c r="O33" s="34">
        <v>0</v>
      </c>
    </row>
    <row r="34" spans="1:15" s="14" customFormat="1" ht="25.8" x14ac:dyDescent="0.25">
      <c r="A34" s="13">
        <v>32</v>
      </c>
      <c r="B34" s="54" t="s">
        <v>6356</v>
      </c>
      <c r="C34" s="54" t="s">
        <v>6357</v>
      </c>
      <c r="D34" s="54" t="s">
        <v>945</v>
      </c>
      <c r="E34" s="54" t="s">
        <v>8</v>
      </c>
      <c r="F34" s="54" t="s">
        <v>946</v>
      </c>
      <c r="G34" s="54" t="s">
        <v>6358</v>
      </c>
      <c r="H34" s="81">
        <v>0</v>
      </c>
      <c r="I34" s="54" t="s">
        <v>6359</v>
      </c>
      <c r="J34" s="81">
        <v>45</v>
      </c>
      <c r="K34" s="34" t="s">
        <v>78</v>
      </c>
      <c r="L34" s="54"/>
      <c r="N34" s="42" t="s">
        <v>77</v>
      </c>
      <c r="O34" s="34">
        <v>0</v>
      </c>
    </row>
    <row r="35" spans="1:15" s="14" customFormat="1" ht="25.8" x14ac:dyDescent="0.25">
      <c r="A35" s="13">
        <v>33</v>
      </c>
      <c r="B35" s="54" t="s">
        <v>6360</v>
      </c>
      <c r="C35" s="54" t="s">
        <v>6361</v>
      </c>
      <c r="D35" s="54" t="s">
        <v>945</v>
      </c>
      <c r="E35" s="54" t="s">
        <v>6361</v>
      </c>
      <c r="F35" s="54" t="s">
        <v>946</v>
      </c>
      <c r="G35" s="54" t="s">
        <v>6362</v>
      </c>
      <c r="H35" s="81">
        <v>0</v>
      </c>
      <c r="I35" s="54" t="s">
        <v>6363</v>
      </c>
      <c r="J35" s="81">
        <v>45</v>
      </c>
      <c r="K35" s="34" t="s">
        <v>24</v>
      </c>
      <c r="L35" s="54"/>
      <c r="N35" s="42" t="s">
        <v>78</v>
      </c>
      <c r="O35" s="34">
        <v>24</v>
      </c>
    </row>
    <row r="36" spans="1:15" s="14" customFormat="1" ht="25.8" x14ac:dyDescent="0.25">
      <c r="A36" s="13">
        <v>34</v>
      </c>
      <c r="B36" s="54" t="s">
        <v>6364</v>
      </c>
      <c r="C36" s="54" t="s">
        <v>6365</v>
      </c>
      <c r="D36" s="54" t="s">
        <v>945</v>
      </c>
      <c r="E36" s="54" t="s">
        <v>6366</v>
      </c>
      <c r="F36" s="54" t="s">
        <v>946</v>
      </c>
      <c r="G36" s="54" t="s">
        <v>6367</v>
      </c>
      <c r="H36" s="81">
        <v>0</v>
      </c>
      <c r="I36" s="54" t="s">
        <v>6368</v>
      </c>
      <c r="J36" s="81">
        <v>45</v>
      </c>
      <c r="K36" s="34" t="s">
        <v>24</v>
      </c>
      <c r="L36" s="54"/>
      <c r="N36" s="42" t="s">
        <v>79</v>
      </c>
      <c r="O36" s="34">
        <v>1</v>
      </c>
    </row>
    <row r="37" spans="1:15" s="14" customFormat="1" ht="25.8" x14ac:dyDescent="0.25">
      <c r="A37" s="13">
        <v>35</v>
      </c>
      <c r="B37" s="54" t="s">
        <v>6369</v>
      </c>
      <c r="C37" s="54" t="s">
        <v>6370</v>
      </c>
      <c r="D37" s="54" t="s">
        <v>945</v>
      </c>
      <c r="E37" s="54" t="s">
        <v>8</v>
      </c>
      <c r="F37" s="54" t="s">
        <v>946</v>
      </c>
      <c r="G37" s="54" t="s">
        <v>6371</v>
      </c>
      <c r="H37" s="81">
        <v>0</v>
      </c>
      <c r="I37" s="54" t="s">
        <v>6372</v>
      </c>
      <c r="J37" s="81">
        <v>45</v>
      </c>
      <c r="K37" s="34" t="s">
        <v>78</v>
      </c>
      <c r="L37" s="54"/>
      <c r="N37" s="42" t="s">
        <v>80</v>
      </c>
      <c r="O37" s="34">
        <v>0</v>
      </c>
    </row>
    <row r="38" spans="1:15" s="14" customFormat="1" ht="25.8" x14ac:dyDescent="0.25">
      <c r="A38" s="12"/>
      <c r="B38" s="11"/>
      <c r="C38" s="11"/>
      <c r="D38" s="11"/>
      <c r="E38" s="11"/>
      <c r="F38" s="11"/>
      <c r="G38" s="11"/>
      <c r="H38" s="37"/>
      <c r="I38" s="37"/>
      <c r="J38" s="37"/>
      <c r="K38" s="37"/>
      <c r="L38" s="11"/>
      <c r="N38" s="42" t="s">
        <v>81</v>
      </c>
      <c r="O38" s="34">
        <v>0</v>
      </c>
    </row>
    <row r="39" spans="1:15" s="14" customFormat="1" ht="25.8" x14ac:dyDescent="0.25">
      <c r="A39" s="12"/>
      <c r="B39" s="11"/>
      <c r="C39" s="11"/>
      <c r="D39" s="11"/>
      <c r="E39" s="11"/>
      <c r="F39" s="11"/>
      <c r="G39" s="11"/>
      <c r="H39" s="37"/>
      <c r="I39" s="79"/>
      <c r="J39" s="70"/>
      <c r="K39" s="57"/>
      <c r="L39" s="11"/>
      <c r="N39" s="42" t="s">
        <v>82</v>
      </c>
      <c r="O39" s="34">
        <v>0</v>
      </c>
    </row>
    <row r="40" spans="1:15" s="14" customFormat="1" ht="25.8" x14ac:dyDescent="0.25">
      <c r="A40" s="12"/>
      <c r="B40" s="11"/>
      <c r="C40" s="11"/>
      <c r="D40" s="11"/>
      <c r="E40" s="11"/>
      <c r="F40" s="11"/>
      <c r="G40" s="11"/>
      <c r="H40" s="37"/>
      <c r="I40" s="79"/>
      <c r="J40" s="70"/>
      <c r="K40" s="57"/>
      <c r="L40" s="11"/>
      <c r="N40" s="42" t="s">
        <v>83</v>
      </c>
      <c r="O40" s="34">
        <v>1</v>
      </c>
    </row>
    <row r="41" spans="1:15" s="14" customFormat="1" ht="25.8" x14ac:dyDescent="0.25">
      <c r="A41" s="12"/>
      <c r="B41" s="11"/>
      <c r="C41" s="11"/>
      <c r="D41" s="11"/>
      <c r="E41" s="11"/>
      <c r="F41" s="11"/>
      <c r="G41" s="11"/>
      <c r="H41" s="37"/>
      <c r="I41" s="79"/>
      <c r="J41" s="70"/>
      <c r="K41" s="57"/>
      <c r="L41" s="11"/>
      <c r="N41" s="42" t="s">
        <v>84</v>
      </c>
      <c r="O41" s="34">
        <v>0</v>
      </c>
    </row>
    <row r="42" spans="1:15" s="14" customFormat="1" ht="25.8" x14ac:dyDescent="0.25">
      <c r="A42" s="12"/>
      <c r="B42" s="11"/>
      <c r="C42" s="11"/>
      <c r="D42" s="11"/>
      <c r="E42" s="11"/>
      <c r="F42" s="11"/>
      <c r="G42" s="11"/>
      <c r="H42" s="37"/>
      <c r="I42" s="79"/>
      <c r="J42" s="70"/>
      <c r="K42" s="57"/>
      <c r="L42" s="11"/>
      <c r="N42" s="42" t="s">
        <v>85</v>
      </c>
      <c r="O42" s="34">
        <v>0</v>
      </c>
    </row>
    <row r="43" spans="1:15" s="14" customFormat="1" ht="25.8" x14ac:dyDescent="0.25">
      <c r="A43" s="12"/>
      <c r="B43" s="11"/>
      <c r="C43" s="11"/>
      <c r="D43" s="11"/>
      <c r="E43" s="11"/>
      <c r="F43" s="11"/>
      <c r="G43" s="11"/>
      <c r="H43" s="37"/>
      <c r="I43" s="79"/>
      <c r="J43" s="70"/>
      <c r="K43" s="57"/>
      <c r="L43" s="11"/>
      <c r="N43" s="42" t="s">
        <v>24</v>
      </c>
      <c r="O43" s="34">
        <v>2</v>
      </c>
    </row>
    <row r="44" spans="1:15" s="14" customFormat="1" ht="25.8" x14ac:dyDescent="0.25">
      <c r="A44" s="12"/>
      <c r="B44" s="11"/>
      <c r="C44" s="11"/>
      <c r="D44" s="11"/>
      <c r="E44" s="11"/>
      <c r="F44" s="11"/>
      <c r="G44" s="11"/>
      <c r="H44" s="37"/>
      <c r="I44" s="79"/>
      <c r="J44" s="70"/>
      <c r="K44" s="57"/>
      <c r="L44" s="11"/>
      <c r="N44" s="42" t="s">
        <v>86</v>
      </c>
      <c r="O44" s="34">
        <v>0</v>
      </c>
    </row>
    <row r="45" spans="1:15" s="14" customFormat="1" ht="25.8" x14ac:dyDescent="0.25">
      <c r="A45" s="12"/>
      <c r="B45" s="11"/>
      <c r="C45" s="11"/>
      <c r="D45" s="11"/>
      <c r="E45" s="11"/>
      <c r="F45" s="11"/>
      <c r="G45" s="11"/>
      <c r="H45" s="37"/>
      <c r="I45" s="79"/>
      <c r="J45" s="70"/>
      <c r="K45" s="57"/>
      <c r="L45" s="11"/>
      <c r="N45" s="42" t="s">
        <v>87</v>
      </c>
      <c r="O45" s="34">
        <v>0</v>
      </c>
    </row>
    <row r="46" spans="1:15" s="14" customFormat="1" ht="25.8" x14ac:dyDescent="0.25">
      <c r="A46" s="12"/>
      <c r="B46" s="11"/>
      <c r="C46" s="11"/>
      <c r="D46" s="11"/>
      <c r="E46" s="11"/>
      <c r="F46" s="11"/>
      <c r="G46" s="11"/>
      <c r="H46" s="37"/>
      <c r="I46" s="79"/>
      <c r="J46" s="70"/>
      <c r="K46" s="57"/>
      <c r="L46" s="11"/>
      <c r="N46" s="42" t="s">
        <v>88</v>
      </c>
      <c r="O46" s="34">
        <v>0</v>
      </c>
    </row>
    <row r="47" spans="1:15" s="14" customFormat="1" ht="25.8" x14ac:dyDescent="0.25">
      <c r="A47" s="12"/>
      <c r="B47" s="11"/>
      <c r="C47" s="11"/>
      <c r="D47" s="11"/>
      <c r="E47" s="11"/>
      <c r="F47" s="11"/>
      <c r="G47" s="11"/>
      <c r="H47" s="37"/>
      <c r="I47" s="79"/>
      <c r="J47" s="70"/>
      <c r="K47" s="57"/>
      <c r="L47" s="11"/>
      <c r="N47" s="42" t="s">
        <v>89</v>
      </c>
      <c r="O47" s="34">
        <v>0</v>
      </c>
    </row>
    <row r="48" spans="1:15" s="14" customFormat="1" ht="25.8" x14ac:dyDescent="0.25">
      <c r="A48" s="12"/>
      <c r="B48" s="11"/>
      <c r="C48" s="11"/>
      <c r="D48" s="11"/>
      <c r="E48" s="11"/>
      <c r="F48" s="11"/>
      <c r="G48" s="11"/>
      <c r="H48" s="37"/>
      <c r="I48" s="79"/>
      <c r="J48" s="70"/>
      <c r="K48" s="57"/>
      <c r="L48" s="11"/>
      <c r="N48" s="42" t="s">
        <v>94</v>
      </c>
      <c r="O48" s="34">
        <v>0</v>
      </c>
    </row>
    <row r="49" spans="1:15" s="14" customFormat="1" ht="25.8" x14ac:dyDescent="0.25">
      <c r="A49" s="12"/>
      <c r="B49" s="11"/>
      <c r="C49" s="11"/>
      <c r="D49" s="11"/>
      <c r="E49" s="11"/>
      <c r="F49" s="11"/>
      <c r="G49" s="11"/>
      <c r="H49" s="37"/>
      <c r="I49" s="79"/>
      <c r="J49" s="70"/>
      <c r="K49" s="57"/>
      <c r="L49" s="11"/>
      <c r="N49" s="42" t="s">
        <v>90</v>
      </c>
      <c r="O49" s="34">
        <v>0</v>
      </c>
    </row>
    <row r="50" spans="1:15" s="14" customFormat="1" ht="25.8" x14ac:dyDescent="0.25">
      <c r="A50" s="12"/>
      <c r="B50" s="11"/>
      <c r="C50" s="11"/>
      <c r="D50" s="11"/>
      <c r="E50" s="11"/>
      <c r="F50" s="11"/>
      <c r="G50" s="11"/>
      <c r="H50" s="37"/>
      <c r="I50" s="79"/>
      <c r="J50" s="70"/>
      <c r="K50" s="57"/>
      <c r="L50" s="11"/>
      <c r="N50" s="42" t="s">
        <v>93</v>
      </c>
      <c r="O50" s="34">
        <v>0</v>
      </c>
    </row>
    <row r="51" spans="1:15" s="14" customFormat="1" ht="25.8" x14ac:dyDescent="0.25">
      <c r="A51" s="12"/>
      <c r="B51" s="11"/>
      <c r="C51" s="11"/>
      <c r="D51" s="11"/>
      <c r="E51" s="11"/>
      <c r="F51" s="11"/>
      <c r="G51" s="11"/>
      <c r="H51" s="37"/>
      <c r="I51" s="79"/>
      <c r="J51" s="70"/>
      <c r="K51" s="57"/>
      <c r="L51" s="11"/>
      <c r="N51" s="42" t="s">
        <v>91</v>
      </c>
      <c r="O51" s="34">
        <v>0</v>
      </c>
    </row>
    <row r="52" spans="1:15" s="14" customFormat="1" ht="25.8" x14ac:dyDescent="0.25">
      <c r="A52" s="12"/>
      <c r="B52" s="11"/>
      <c r="C52" s="11"/>
      <c r="D52" s="11"/>
      <c r="E52" s="11"/>
      <c r="F52" s="11"/>
      <c r="G52" s="11"/>
      <c r="H52" s="37"/>
      <c r="I52" s="79"/>
      <c r="J52" s="70"/>
      <c r="K52" s="57"/>
      <c r="L52" s="11"/>
      <c r="N52" s="42" t="s">
        <v>45</v>
      </c>
      <c r="O52" s="34">
        <v>0</v>
      </c>
    </row>
    <row r="53" spans="1:15" s="14" customFormat="1" ht="25.8" x14ac:dyDescent="0.25">
      <c r="A53" s="12"/>
      <c r="B53" s="11"/>
      <c r="C53" s="11"/>
      <c r="D53" s="11"/>
      <c r="E53" s="11"/>
      <c r="F53" s="11"/>
      <c r="G53" s="11"/>
      <c r="H53" s="37"/>
      <c r="I53" s="79"/>
      <c r="J53" s="70"/>
      <c r="K53" s="57"/>
      <c r="L53" s="11"/>
      <c r="N53" s="42" t="s">
        <v>92</v>
      </c>
      <c r="O53" s="34">
        <v>0</v>
      </c>
    </row>
    <row r="54" spans="1:15" s="14" customFormat="1" ht="25.8" x14ac:dyDescent="0.25">
      <c r="A54" s="12"/>
      <c r="B54" s="11"/>
      <c r="C54" s="11"/>
      <c r="D54" s="11"/>
      <c r="E54" s="11"/>
      <c r="F54" s="11"/>
      <c r="G54" s="11"/>
      <c r="H54" s="37"/>
      <c r="I54" s="79"/>
      <c r="J54" s="70"/>
      <c r="K54" s="57"/>
      <c r="L54" s="11"/>
      <c r="N54" s="42" t="s">
        <v>52</v>
      </c>
      <c r="O54" s="34">
        <v>0</v>
      </c>
    </row>
    <row r="55" spans="1:15" ht="25.8" x14ac:dyDescent="0.25">
      <c r="H55" s="37"/>
      <c r="I55" s="79"/>
      <c r="J55" s="70"/>
      <c r="K55" s="57"/>
      <c r="L55" s="11"/>
      <c r="M55" s="14"/>
      <c r="N55" s="42" t="s">
        <v>95</v>
      </c>
      <c r="O55" s="34">
        <v>0</v>
      </c>
    </row>
    <row r="56" spans="1:15" ht="25.8" x14ac:dyDescent="0.25">
      <c r="H56" s="37"/>
      <c r="I56" s="79"/>
      <c r="J56" s="70"/>
      <c r="K56" s="57"/>
      <c r="L56" s="11"/>
      <c r="M56" s="41"/>
      <c r="N56" s="42" t="s">
        <v>25</v>
      </c>
      <c r="O56" s="34">
        <v>0</v>
      </c>
    </row>
    <row r="57" spans="1:15" ht="27" thickBot="1" x14ac:dyDescent="0.3">
      <c r="H57" s="37"/>
      <c r="I57" s="79"/>
      <c r="J57" s="70"/>
      <c r="K57" s="57"/>
      <c r="L57" s="11"/>
      <c r="M57" s="41"/>
      <c r="O57" s="35">
        <f>SUM(O3:O56)</f>
        <v>35</v>
      </c>
    </row>
    <row r="58" spans="1:15" ht="24" thickTop="1" x14ac:dyDescent="0.25">
      <c r="H58" s="37"/>
      <c r="I58" s="79"/>
      <c r="J58" s="70"/>
      <c r="K58" s="57"/>
      <c r="L58" s="11"/>
      <c r="M58" s="41"/>
      <c r="N58" s="11"/>
    </row>
    <row r="59" spans="1:15" x14ac:dyDescent="0.25">
      <c r="H59" s="37"/>
      <c r="I59" s="79"/>
      <c r="J59" s="70"/>
      <c r="K59" s="57"/>
      <c r="L59" s="11"/>
      <c r="M59" s="41"/>
      <c r="N59" s="11"/>
    </row>
    <row r="60" spans="1:15" x14ac:dyDescent="0.25">
      <c r="H60" s="37"/>
      <c r="I60" s="79"/>
      <c r="J60" s="70"/>
      <c r="K60" s="57"/>
      <c r="L60" s="11"/>
      <c r="M60" s="41"/>
      <c r="N60" s="11"/>
    </row>
    <row r="61" spans="1:15" x14ac:dyDescent="0.25">
      <c r="H61" s="37"/>
      <c r="I61" s="79"/>
      <c r="J61" s="70"/>
      <c r="K61" s="57"/>
      <c r="L61" s="11"/>
      <c r="M61" s="41"/>
      <c r="N61" s="11"/>
    </row>
    <row r="62" spans="1:15" x14ac:dyDescent="0.25">
      <c r="H62" s="37"/>
      <c r="I62" s="79"/>
      <c r="J62" s="70"/>
      <c r="K62" s="57"/>
      <c r="L62" s="11"/>
      <c r="M62" s="41"/>
      <c r="N62" s="11"/>
    </row>
    <row r="63" spans="1:15" x14ac:dyDescent="0.25">
      <c r="H63" s="37"/>
      <c r="I63" s="79"/>
      <c r="J63" s="70"/>
      <c r="K63" s="57"/>
      <c r="L63" s="11"/>
      <c r="M63" s="41"/>
      <c r="N63" s="11"/>
    </row>
    <row r="64" spans="1:15" x14ac:dyDescent="0.25">
      <c r="H64" s="37"/>
      <c r="I64" s="79"/>
      <c r="J64" s="70"/>
      <c r="K64" s="57"/>
      <c r="L64" s="11"/>
      <c r="M64" s="41"/>
      <c r="N64" s="11"/>
    </row>
    <row r="65" spans="8:14" x14ac:dyDescent="0.25">
      <c r="H65" s="37"/>
      <c r="I65" s="79"/>
      <c r="J65" s="70"/>
      <c r="K65" s="57"/>
      <c r="L65" s="11"/>
      <c r="M65" s="41"/>
      <c r="N65" s="11"/>
    </row>
    <row r="66" spans="8:14" x14ac:dyDescent="0.25">
      <c r="H66" s="37"/>
      <c r="I66" s="79"/>
      <c r="J66" s="70"/>
      <c r="K66" s="57"/>
      <c r="L66" s="11"/>
      <c r="M66" s="41"/>
      <c r="N66" s="11"/>
    </row>
    <row r="67" spans="8:14" x14ac:dyDescent="0.25">
      <c r="H67" s="37"/>
      <c r="I67" s="79"/>
      <c r="J67" s="70"/>
      <c r="K67" s="57"/>
      <c r="L67" s="11"/>
      <c r="M67" s="41"/>
      <c r="N67" s="11"/>
    </row>
    <row r="68" spans="8:14" x14ac:dyDescent="0.25">
      <c r="H68" s="37"/>
      <c r="I68" s="79"/>
      <c r="J68" s="70"/>
      <c r="K68" s="57"/>
      <c r="L68" s="11"/>
      <c r="M68" s="41"/>
      <c r="N68" s="11"/>
    </row>
    <row r="69" spans="8:14" x14ac:dyDescent="0.25">
      <c r="H69" s="37"/>
      <c r="I69" s="79"/>
      <c r="J69" s="70"/>
      <c r="K69" s="57"/>
      <c r="L69" s="11"/>
      <c r="M69" s="41"/>
      <c r="N69" s="11"/>
    </row>
    <row r="70" spans="8:14" x14ac:dyDescent="0.25">
      <c r="H70" s="37"/>
      <c r="I70" s="79"/>
      <c r="J70" s="70"/>
      <c r="K70" s="57"/>
      <c r="L70" s="11"/>
      <c r="M70" s="41"/>
      <c r="N70" s="11"/>
    </row>
    <row r="71" spans="8:14" x14ac:dyDescent="0.25">
      <c r="H71" s="37"/>
      <c r="I71" s="79"/>
      <c r="J71" s="70"/>
      <c r="K71" s="57"/>
      <c r="L71" s="11"/>
      <c r="M71" s="41"/>
      <c r="N71" s="11"/>
    </row>
    <row r="72" spans="8:14" x14ac:dyDescent="0.25">
      <c r="H72" s="37"/>
      <c r="I72" s="79"/>
      <c r="J72" s="70"/>
      <c r="K72" s="57"/>
      <c r="L72" s="11"/>
      <c r="M72" s="41"/>
      <c r="N72" s="11"/>
    </row>
    <row r="73" spans="8:14" x14ac:dyDescent="0.25">
      <c r="H73" s="37"/>
      <c r="I73" s="79"/>
      <c r="J73" s="70"/>
      <c r="K73" s="57"/>
      <c r="L73" s="11"/>
      <c r="M73" s="41"/>
      <c r="N73" s="11"/>
    </row>
    <row r="74" spans="8:14" x14ac:dyDescent="0.25">
      <c r="H74" s="37"/>
      <c r="I74" s="79"/>
      <c r="J74" s="70"/>
      <c r="K74" s="57"/>
      <c r="L74" s="11"/>
      <c r="M74" s="41"/>
      <c r="N74" s="11"/>
    </row>
    <row r="75" spans="8:14" x14ac:dyDescent="0.25">
      <c r="H75" s="37"/>
      <c r="I75" s="79"/>
      <c r="J75" s="70"/>
      <c r="K75" s="57"/>
      <c r="L75" s="11"/>
      <c r="M75" s="41"/>
      <c r="N75" s="11"/>
    </row>
    <row r="76" spans="8:14" x14ac:dyDescent="0.25">
      <c r="H76" s="37"/>
      <c r="I76" s="79"/>
      <c r="J76" s="70"/>
      <c r="K76" s="57"/>
      <c r="L76" s="11"/>
      <c r="M76" s="41"/>
      <c r="N76" s="11"/>
    </row>
    <row r="77" spans="8:14" x14ac:dyDescent="0.25">
      <c r="H77" s="37"/>
      <c r="I77" s="79"/>
      <c r="J77" s="70"/>
      <c r="K77" s="57"/>
      <c r="L77" s="11"/>
      <c r="M77" s="41"/>
      <c r="N77" s="11"/>
    </row>
    <row r="78" spans="8:14" x14ac:dyDescent="0.25">
      <c r="H78" s="37"/>
      <c r="I78" s="79"/>
      <c r="J78" s="70"/>
      <c r="K78" s="57"/>
      <c r="L78" s="11"/>
      <c r="M78" s="41"/>
      <c r="N78" s="11"/>
    </row>
    <row r="79" spans="8:14" x14ac:dyDescent="0.25">
      <c r="H79" s="37"/>
      <c r="I79" s="79"/>
      <c r="J79" s="70"/>
      <c r="K79" s="57"/>
      <c r="L79" s="11"/>
      <c r="M79" s="41"/>
      <c r="N79" s="11"/>
    </row>
    <row r="80" spans="8:14" x14ac:dyDescent="0.25">
      <c r="H80" s="37"/>
      <c r="I80" s="79"/>
      <c r="J80" s="70"/>
      <c r="K80" s="57"/>
      <c r="L80" s="11"/>
      <c r="M80" s="41"/>
      <c r="N80" s="11"/>
    </row>
    <row r="81" spans="8:14" x14ac:dyDescent="0.25">
      <c r="H81" s="37"/>
      <c r="I81" s="79"/>
      <c r="J81" s="70"/>
      <c r="K81" s="57"/>
      <c r="L81" s="11"/>
      <c r="M81" s="41"/>
      <c r="N81" s="11"/>
    </row>
    <row r="82" spans="8:14" x14ac:dyDescent="0.25">
      <c r="H82" s="37"/>
      <c r="I82" s="79"/>
      <c r="J82" s="70"/>
      <c r="K82" s="57"/>
      <c r="L82" s="11"/>
      <c r="M82" s="41"/>
      <c r="N82" s="11"/>
    </row>
    <row r="83" spans="8:14" x14ac:dyDescent="0.25">
      <c r="H83" s="37"/>
      <c r="I83" s="79"/>
      <c r="J83" s="70"/>
      <c r="K83" s="57"/>
      <c r="L83" s="11"/>
      <c r="M83" s="41"/>
      <c r="N83" s="11"/>
    </row>
    <row r="84" spans="8:14" x14ac:dyDescent="0.25">
      <c r="H84" s="37"/>
      <c r="I84" s="79"/>
      <c r="J84" s="70"/>
      <c r="K84" s="57"/>
      <c r="L84" s="11"/>
      <c r="M84" s="41"/>
      <c r="N84" s="11"/>
    </row>
    <row r="85" spans="8:14" x14ac:dyDescent="0.25">
      <c r="H85" s="37"/>
      <c r="I85" s="79"/>
      <c r="J85" s="70"/>
      <c r="K85" s="57"/>
      <c r="L85" s="11"/>
      <c r="M85" s="41"/>
      <c r="N85" s="11"/>
    </row>
    <row r="86" spans="8:14" x14ac:dyDescent="0.25">
      <c r="H86" s="37"/>
      <c r="I86" s="79"/>
      <c r="J86" s="70"/>
      <c r="K86" s="57"/>
      <c r="L86" s="11"/>
      <c r="M86" s="41"/>
      <c r="N86" s="11"/>
    </row>
    <row r="87" spans="8:14" x14ac:dyDescent="0.25">
      <c r="H87" s="37"/>
      <c r="I87" s="79"/>
      <c r="J87" s="70"/>
      <c r="K87" s="57"/>
      <c r="L87" s="11"/>
      <c r="M87" s="41"/>
      <c r="N87" s="11"/>
    </row>
    <row r="88" spans="8:14" x14ac:dyDescent="0.25">
      <c r="H88" s="37"/>
      <c r="I88" s="79"/>
      <c r="J88" s="70"/>
      <c r="K88" s="57"/>
      <c r="L88" s="11"/>
      <c r="M88" s="41"/>
      <c r="N88" s="11"/>
    </row>
    <row r="89" spans="8:14" x14ac:dyDescent="0.25">
      <c r="H89" s="37"/>
      <c r="I89" s="79"/>
      <c r="J89" s="70"/>
      <c r="K89" s="57"/>
      <c r="L89" s="11"/>
      <c r="M89" s="41"/>
      <c r="N89" s="11"/>
    </row>
    <row r="90" spans="8:14" x14ac:dyDescent="0.25">
      <c r="H90" s="37"/>
      <c r="I90" s="79"/>
      <c r="J90" s="70"/>
      <c r="K90" s="57"/>
      <c r="L90" s="11"/>
      <c r="M90" s="41"/>
      <c r="N90" s="11"/>
    </row>
    <row r="91" spans="8:14" x14ac:dyDescent="0.25">
      <c r="H91" s="37"/>
      <c r="I91" s="79"/>
      <c r="J91" s="70"/>
      <c r="K91" s="57"/>
      <c r="L91" s="11"/>
      <c r="M91" s="41"/>
      <c r="N91" s="11"/>
    </row>
    <row r="92" spans="8:14" x14ac:dyDescent="0.25">
      <c r="H92" s="37"/>
      <c r="I92" s="79"/>
      <c r="J92" s="70"/>
      <c r="K92" s="57"/>
      <c r="L92" s="11"/>
      <c r="M92" s="41"/>
      <c r="N92" s="11"/>
    </row>
    <row r="93" spans="8:14" x14ac:dyDescent="0.25">
      <c r="H93" s="37"/>
      <c r="I93" s="79"/>
      <c r="J93" s="70"/>
      <c r="K93" s="57"/>
      <c r="L93" s="11"/>
      <c r="M93" s="41"/>
      <c r="N93" s="11"/>
    </row>
    <row r="94" spans="8:14" x14ac:dyDescent="0.25">
      <c r="H94" s="37"/>
      <c r="I94" s="79"/>
      <c r="J94" s="70"/>
      <c r="K94" s="57"/>
      <c r="L94" s="11"/>
      <c r="M94" s="41"/>
      <c r="N94" s="11"/>
    </row>
    <row r="95" spans="8:14" x14ac:dyDescent="0.25">
      <c r="H95" s="37"/>
      <c r="I95" s="79"/>
      <c r="J95" s="70"/>
      <c r="K95" s="57"/>
      <c r="L95" s="11"/>
      <c r="M95" s="41"/>
      <c r="N95" s="11"/>
    </row>
    <row r="96" spans="8:14" x14ac:dyDescent="0.25">
      <c r="H96" s="37"/>
      <c r="I96" s="79"/>
      <c r="J96" s="70"/>
      <c r="K96" s="57"/>
      <c r="L96" s="11"/>
      <c r="M96" s="41"/>
      <c r="N96" s="11"/>
    </row>
    <row r="97" spans="8:14" x14ac:dyDescent="0.25">
      <c r="H97" s="37"/>
      <c r="I97" s="79"/>
      <c r="J97" s="70"/>
      <c r="K97" s="57"/>
      <c r="L97" s="11"/>
      <c r="M97" s="41"/>
      <c r="N97" s="11"/>
    </row>
    <row r="98" spans="8:14" x14ac:dyDescent="0.25">
      <c r="H98" s="37"/>
      <c r="I98" s="79"/>
      <c r="J98" s="70"/>
      <c r="K98" s="57"/>
      <c r="L98" s="11"/>
      <c r="M98" s="41"/>
      <c r="N98" s="11"/>
    </row>
    <row r="99" spans="8:14" x14ac:dyDescent="0.25">
      <c r="H99" s="37"/>
      <c r="I99" s="79"/>
      <c r="J99" s="70"/>
      <c r="K99" s="57"/>
      <c r="L99" s="11"/>
      <c r="M99" s="41"/>
      <c r="N99" s="11"/>
    </row>
    <row r="100" spans="8:14" x14ac:dyDescent="0.25">
      <c r="H100" s="37"/>
      <c r="I100" s="79"/>
      <c r="J100" s="70"/>
      <c r="K100" s="57"/>
      <c r="L100" s="11"/>
      <c r="M100" s="41"/>
      <c r="N100" s="11"/>
    </row>
    <row r="101" spans="8:14" x14ac:dyDescent="0.25">
      <c r="H101" s="37"/>
      <c r="I101" s="79"/>
      <c r="J101" s="70"/>
      <c r="K101" s="57"/>
      <c r="L101" s="11"/>
      <c r="M101" s="41"/>
      <c r="N101" s="11"/>
    </row>
    <row r="102" spans="8:14" x14ac:dyDescent="0.25">
      <c r="H102" s="37"/>
      <c r="I102" s="79"/>
      <c r="J102" s="70"/>
      <c r="K102" s="57"/>
      <c r="L102" s="11"/>
      <c r="M102" s="41"/>
      <c r="N102" s="11"/>
    </row>
    <row r="103" spans="8:14" x14ac:dyDescent="0.25">
      <c r="H103" s="37"/>
      <c r="I103" s="79"/>
      <c r="J103" s="70"/>
      <c r="K103" s="57"/>
      <c r="L103" s="11"/>
      <c r="M103" s="41"/>
      <c r="N103" s="11"/>
    </row>
    <row r="104" spans="8:14" x14ac:dyDescent="0.25">
      <c r="H104" s="37"/>
      <c r="I104" s="79"/>
      <c r="J104" s="70"/>
      <c r="K104" s="57"/>
      <c r="L104" s="11"/>
      <c r="M104" s="41"/>
      <c r="N104" s="11"/>
    </row>
    <row r="105" spans="8:14" x14ac:dyDescent="0.25">
      <c r="H105" s="37"/>
      <c r="I105" s="79"/>
      <c r="J105" s="70"/>
      <c r="K105" s="57"/>
      <c r="L105" s="11"/>
      <c r="M105" s="41"/>
      <c r="N105" s="11"/>
    </row>
    <row r="106" spans="8:14" x14ac:dyDescent="0.25">
      <c r="H106" s="37"/>
      <c r="I106" s="79"/>
      <c r="J106" s="70"/>
      <c r="K106" s="57"/>
      <c r="L106" s="11"/>
      <c r="M106" s="41"/>
      <c r="N106" s="11"/>
    </row>
    <row r="107" spans="8:14" x14ac:dyDescent="0.25">
      <c r="H107" s="37"/>
      <c r="I107" s="79"/>
      <c r="J107" s="70"/>
      <c r="K107" s="57"/>
      <c r="L107" s="11"/>
      <c r="M107" s="41"/>
      <c r="N107" s="11"/>
    </row>
    <row r="108" spans="8:14" x14ac:dyDescent="0.25">
      <c r="H108" s="37"/>
      <c r="I108" s="79"/>
      <c r="J108" s="70"/>
      <c r="K108" s="57"/>
      <c r="L108" s="11"/>
      <c r="M108" s="41"/>
      <c r="N108" s="11"/>
    </row>
    <row r="109" spans="8:14" x14ac:dyDescent="0.25">
      <c r="H109" s="37"/>
      <c r="I109" s="79"/>
      <c r="J109" s="70"/>
      <c r="K109" s="57"/>
      <c r="L109" s="11"/>
      <c r="M109" s="41"/>
      <c r="N109" s="11"/>
    </row>
    <row r="110" spans="8:14" x14ac:dyDescent="0.25">
      <c r="H110" s="37"/>
      <c r="I110" s="79"/>
      <c r="J110" s="70"/>
      <c r="K110" s="57"/>
      <c r="L110" s="11"/>
      <c r="M110" s="41"/>
      <c r="N110" s="11"/>
    </row>
    <row r="111" spans="8:14" x14ac:dyDescent="0.25">
      <c r="H111" s="37"/>
      <c r="I111" s="79"/>
      <c r="J111" s="70"/>
      <c r="K111" s="57"/>
      <c r="L111" s="11"/>
      <c r="M111" s="41"/>
      <c r="N111" s="11"/>
    </row>
    <row r="112" spans="8:14" x14ac:dyDescent="0.25">
      <c r="H112" s="37"/>
      <c r="I112" s="79"/>
      <c r="J112" s="70"/>
      <c r="K112" s="57"/>
      <c r="L112" s="11"/>
      <c r="M112" s="41"/>
      <c r="N112" s="11"/>
    </row>
    <row r="113" spans="8:14" x14ac:dyDescent="0.25">
      <c r="H113" s="37"/>
      <c r="I113" s="79"/>
      <c r="J113" s="70"/>
      <c r="K113" s="57"/>
      <c r="L113" s="11"/>
      <c r="M113" s="41"/>
      <c r="N113" s="11"/>
    </row>
    <row r="114" spans="8:14" x14ac:dyDescent="0.25">
      <c r="H114" s="37"/>
      <c r="I114" s="79"/>
      <c r="J114" s="70"/>
      <c r="K114" s="57"/>
      <c r="L114" s="11"/>
      <c r="M114" s="41"/>
      <c r="N114" s="11"/>
    </row>
    <row r="115" spans="8:14" x14ac:dyDescent="0.25">
      <c r="H115" s="37"/>
      <c r="I115" s="79"/>
      <c r="J115" s="70"/>
      <c r="K115" s="57"/>
      <c r="L115" s="11"/>
      <c r="M115" s="41"/>
      <c r="N115" s="11"/>
    </row>
    <row r="116" spans="8:14" x14ac:dyDescent="0.25">
      <c r="H116" s="37"/>
      <c r="I116" s="79"/>
      <c r="J116" s="70"/>
      <c r="K116" s="57"/>
      <c r="L116" s="11"/>
      <c r="M116" s="41"/>
      <c r="N116" s="11"/>
    </row>
    <row r="117" spans="8:14" x14ac:dyDescent="0.25">
      <c r="H117" s="37"/>
      <c r="I117" s="79"/>
      <c r="J117" s="70"/>
      <c r="K117" s="57"/>
      <c r="L117" s="11"/>
      <c r="M117" s="41"/>
      <c r="N117" s="11"/>
    </row>
    <row r="118" spans="8:14" x14ac:dyDescent="0.25">
      <c r="H118" s="37"/>
      <c r="I118" s="79"/>
      <c r="J118" s="70"/>
      <c r="K118" s="57"/>
      <c r="L118" s="11"/>
      <c r="M118" s="41"/>
      <c r="N118" s="11"/>
    </row>
    <row r="119" spans="8:14" x14ac:dyDescent="0.25">
      <c r="H119" s="37"/>
      <c r="I119" s="79"/>
      <c r="J119" s="70"/>
      <c r="K119" s="57"/>
      <c r="L119" s="11"/>
      <c r="M119" s="41"/>
      <c r="N119" s="11"/>
    </row>
    <row r="120" spans="8:14" x14ac:dyDescent="0.25">
      <c r="H120" s="37"/>
      <c r="I120" s="79"/>
      <c r="J120" s="70"/>
      <c r="K120" s="57"/>
      <c r="L120" s="11"/>
      <c r="M120" s="41"/>
      <c r="N120" s="11"/>
    </row>
    <row r="121" spans="8:14" x14ac:dyDescent="0.25">
      <c r="H121" s="37"/>
      <c r="I121" s="79"/>
      <c r="J121" s="70"/>
      <c r="K121" s="57"/>
      <c r="L121" s="11"/>
      <c r="M121" s="41"/>
      <c r="N121" s="11"/>
    </row>
    <row r="122" spans="8:14" x14ac:dyDescent="0.25">
      <c r="H122" s="37"/>
      <c r="I122" s="79"/>
      <c r="J122" s="70"/>
      <c r="K122" s="57"/>
      <c r="L122" s="11"/>
      <c r="M122" s="41"/>
      <c r="N122" s="11"/>
    </row>
    <row r="123" spans="8:14" x14ac:dyDescent="0.25">
      <c r="H123" s="37"/>
      <c r="I123" s="79"/>
      <c r="J123" s="70"/>
      <c r="K123" s="57"/>
      <c r="L123" s="11"/>
      <c r="M123" s="41"/>
      <c r="N123" s="11"/>
    </row>
    <row r="124" spans="8:14" x14ac:dyDescent="0.25">
      <c r="H124" s="37"/>
      <c r="I124" s="79"/>
      <c r="J124" s="70"/>
      <c r="K124" s="57"/>
      <c r="L124" s="11"/>
      <c r="M124" s="41"/>
      <c r="N124" s="11"/>
    </row>
    <row r="125" spans="8:14" x14ac:dyDescent="0.25">
      <c r="H125" s="37"/>
      <c r="I125" s="79"/>
      <c r="J125" s="70"/>
      <c r="K125" s="57"/>
      <c r="L125" s="11"/>
      <c r="M125" s="41"/>
      <c r="N125" s="11"/>
    </row>
    <row r="126" spans="8:14" x14ac:dyDescent="0.25">
      <c r="H126" s="37"/>
      <c r="I126" s="79"/>
      <c r="J126" s="70"/>
      <c r="K126" s="57"/>
      <c r="L126" s="11"/>
      <c r="M126" s="41"/>
      <c r="N126" s="11"/>
    </row>
    <row r="127" spans="8:14" x14ac:dyDescent="0.25">
      <c r="H127" s="37"/>
      <c r="I127" s="79"/>
      <c r="J127" s="70"/>
      <c r="K127" s="57"/>
      <c r="L127" s="11"/>
      <c r="M127" s="41"/>
      <c r="N127" s="11"/>
    </row>
    <row r="128" spans="8:14" x14ac:dyDescent="0.25">
      <c r="H128" s="37"/>
      <c r="I128" s="79"/>
      <c r="J128" s="70"/>
      <c r="K128" s="57"/>
      <c r="L128" s="11"/>
      <c r="M128" s="41"/>
      <c r="N128" s="11"/>
    </row>
    <row r="129" spans="8:14" x14ac:dyDescent="0.25">
      <c r="H129" s="37"/>
      <c r="I129" s="79"/>
      <c r="J129" s="70"/>
      <c r="K129" s="57"/>
      <c r="L129" s="11"/>
      <c r="M129" s="41"/>
      <c r="N129" s="11"/>
    </row>
    <row r="130" spans="8:14" x14ac:dyDescent="0.25">
      <c r="H130" s="37"/>
      <c r="I130" s="79"/>
      <c r="J130" s="70"/>
      <c r="K130" s="57"/>
      <c r="L130" s="11"/>
      <c r="M130" s="41"/>
      <c r="N130" s="11"/>
    </row>
    <row r="131" spans="8:14" x14ac:dyDescent="0.25">
      <c r="H131" s="37"/>
      <c r="I131" s="79"/>
      <c r="J131" s="70"/>
      <c r="K131" s="57"/>
      <c r="L131" s="11"/>
      <c r="M131" s="41"/>
      <c r="N131" s="11"/>
    </row>
    <row r="132" spans="8:14" x14ac:dyDescent="0.25">
      <c r="H132" s="37"/>
      <c r="I132" s="79"/>
      <c r="J132" s="70"/>
      <c r="K132" s="57"/>
      <c r="L132" s="11"/>
      <c r="M132" s="41"/>
      <c r="N132" s="11"/>
    </row>
    <row r="133" spans="8:14" x14ac:dyDescent="0.25">
      <c r="H133" s="37"/>
      <c r="I133" s="79"/>
      <c r="J133" s="70"/>
      <c r="K133" s="57"/>
      <c r="L133" s="11"/>
      <c r="M133" s="41"/>
      <c r="N133" s="11"/>
    </row>
    <row r="134" spans="8:14" x14ac:dyDescent="0.25">
      <c r="H134" s="37"/>
      <c r="I134" s="79"/>
      <c r="J134" s="70"/>
      <c r="K134" s="57"/>
      <c r="L134" s="11"/>
      <c r="M134" s="41"/>
      <c r="N134" s="11"/>
    </row>
    <row r="135" spans="8:14" x14ac:dyDescent="0.25">
      <c r="H135" s="37"/>
      <c r="I135" s="79"/>
      <c r="J135" s="70"/>
      <c r="K135" s="57"/>
      <c r="L135" s="11"/>
      <c r="M135" s="41"/>
      <c r="N135" s="11"/>
    </row>
    <row r="136" spans="8:14" x14ac:dyDescent="0.25">
      <c r="H136" s="37"/>
      <c r="I136" s="79"/>
      <c r="J136" s="70"/>
      <c r="K136" s="57"/>
      <c r="L136" s="11"/>
      <c r="M136" s="41"/>
      <c r="N136" s="11"/>
    </row>
    <row r="137" spans="8:14" x14ac:dyDescent="0.25">
      <c r="H137" s="37"/>
      <c r="I137" s="79"/>
      <c r="J137" s="70"/>
      <c r="K137" s="57"/>
      <c r="L137" s="11"/>
      <c r="M137" s="41"/>
      <c r="N137" s="11"/>
    </row>
    <row r="138" spans="8:14" x14ac:dyDescent="0.25">
      <c r="H138" s="37"/>
      <c r="I138" s="79"/>
      <c r="J138" s="70"/>
      <c r="K138" s="57"/>
      <c r="L138" s="11"/>
      <c r="M138" s="41"/>
      <c r="N138" s="11"/>
    </row>
    <row r="139" spans="8:14" x14ac:dyDescent="0.25">
      <c r="H139" s="37"/>
      <c r="I139" s="79"/>
      <c r="J139" s="70"/>
      <c r="K139" s="57"/>
      <c r="L139" s="11"/>
      <c r="M139" s="41"/>
      <c r="N139" s="11"/>
    </row>
    <row r="140" spans="8:14" x14ac:dyDescent="0.25">
      <c r="H140" s="37"/>
      <c r="I140" s="79"/>
      <c r="J140" s="70"/>
      <c r="K140" s="57"/>
      <c r="L140" s="11"/>
      <c r="M140" s="41"/>
      <c r="N140" s="11"/>
    </row>
    <row r="141" spans="8:14" x14ac:dyDescent="0.25">
      <c r="H141" s="37"/>
      <c r="I141" s="79"/>
      <c r="J141" s="70"/>
      <c r="K141" s="57"/>
      <c r="L141" s="11"/>
      <c r="M141" s="41"/>
      <c r="N141" s="11"/>
    </row>
    <row r="142" spans="8:14" x14ac:dyDescent="0.25">
      <c r="H142" s="37"/>
      <c r="I142" s="79"/>
      <c r="J142" s="70"/>
      <c r="K142" s="57"/>
      <c r="L142" s="11"/>
      <c r="M142" s="41"/>
      <c r="N142" s="11"/>
    </row>
    <row r="143" spans="8:14" x14ac:dyDescent="0.25">
      <c r="H143" s="37"/>
      <c r="I143" s="79"/>
      <c r="J143" s="70"/>
      <c r="K143" s="57"/>
      <c r="L143" s="11"/>
      <c r="M143" s="41"/>
      <c r="N143" s="11"/>
    </row>
    <row r="144" spans="8:14" x14ac:dyDescent="0.25">
      <c r="H144" s="37"/>
      <c r="I144" s="79"/>
      <c r="J144" s="70"/>
      <c r="K144" s="57"/>
      <c r="L144" s="11"/>
      <c r="M144" s="41"/>
      <c r="N144" s="11"/>
    </row>
    <row r="145" spans="8:14" x14ac:dyDescent="0.25">
      <c r="H145" s="37"/>
      <c r="I145" s="79"/>
      <c r="J145" s="70"/>
      <c r="K145" s="57"/>
      <c r="L145" s="11"/>
      <c r="M145" s="41"/>
      <c r="N145" s="11"/>
    </row>
    <row r="146" spans="8:14" x14ac:dyDescent="0.25">
      <c r="H146" s="37"/>
      <c r="I146" s="79"/>
      <c r="J146" s="70"/>
      <c r="K146" s="57"/>
      <c r="L146" s="11"/>
      <c r="M146" s="41"/>
      <c r="N146" s="11"/>
    </row>
    <row r="147" spans="8:14" x14ac:dyDescent="0.25">
      <c r="H147" s="37"/>
      <c r="I147" s="79"/>
      <c r="J147" s="70"/>
      <c r="K147" s="57"/>
      <c r="L147" s="11"/>
      <c r="M147" s="41"/>
      <c r="N147" s="11"/>
    </row>
    <row r="148" spans="8:14" x14ac:dyDescent="0.25">
      <c r="H148" s="37"/>
      <c r="I148" s="79"/>
      <c r="J148" s="70"/>
      <c r="K148" s="57"/>
      <c r="L148" s="11"/>
      <c r="M148" s="41"/>
      <c r="N148" s="11"/>
    </row>
    <row r="149" spans="8:14" x14ac:dyDescent="0.25">
      <c r="H149" s="37"/>
      <c r="I149" s="79"/>
      <c r="J149" s="70"/>
      <c r="K149" s="57"/>
      <c r="L149" s="11"/>
      <c r="M149" s="41"/>
      <c r="N149" s="11"/>
    </row>
    <row r="150" spans="8:14" x14ac:dyDescent="0.25">
      <c r="H150" s="37"/>
      <c r="I150" s="79"/>
      <c r="J150" s="70"/>
      <c r="K150" s="57"/>
      <c r="L150" s="11"/>
      <c r="M150" s="41"/>
      <c r="N150" s="11"/>
    </row>
    <row r="151" spans="8:14" x14ac:dyDescent="0.25">
      <c r="H151" s="37"/>
      <c r="I151" s="79"/>
      <c r="J151" s="70"/>
      <c r="K151" s="57"/>
      <c r="L151" s="11"/>
      <c r="M151" s="41"/>
      <c r="N151" s="11"/>
    </row>
    <row r="152" spans="8:14" x14ac:dyDescent="0.25">
      <c r="H152" s="37"/>
      <c r="I152" s="79"/>
      <c r="J152" s="70"/>
      <c r="K152" s="57"/>
      <c r="L152" s="11"/>
      <c r="M152" s="41"/>
      <c r="N152" s="11"/>
    </row>
    <row r="153" spans="8:14" x14ac:dyDescent="0.25">
      <c r="H153" s="37"/>
      <c r="I153" s="79"/>
      <c r="J153" s="70"/>
      <c r="K153" s="57"/>
      <c r="L153" s="11"/>
      <c r="M153" s="41"/>
      <c r="N153" s="11"/>
    </row>
    <row r="154" spans="8:14" x14ac:dyDescent="0.25">
      <c r="H154" s="37"/>
      <c r="I154" s="79"/>
      <c r="J154" s="70"/>
      <c r="K154" s="57"/>
      <c r="L154" s="11"/>
      <c r="M154" s="41"/>
      <c r="N154" s="11"/>
    </row>
    <row r="155" spans="8:14" x14ac:dyDescent="0.25">
      <c r="H155" s="37"/>
      <c r="I155" s="79"/>
      <c r="J155" s="70"/>
      <c r="K155" s="57"/>
      <c r="L155" s="11"/>
      <c r="M155" s="41"/>
      <c r="N155" s="11"/>
    </row>
    <row r="156" spans="8:14" x14ac:dyDescent="0.25">
      <c r="H156" s="37"/>
      <c r="I156" s="79"/>
      <c r="J156" s="70"/>
      <c r="K156" s="57"/>
      <c r="L156" s="11"/>
      <c r="M156" s="41"/>
      <c r="N156" s="11"/>
    </row>
    <row r="157" spans="8:14" x14ac:dyDescent="0.25">
      <c r="H157" s="37"/>
      <c r="I157" s="79"/>
      <c r="J157" s="70"/>
      <c r="K157" s="57"/>
      <c r="L157" s="11"/>
      <c r="M157" s="41"/>
      <c r="N157" s="11"/>
    </row>
    <row r="158" spans="8:14" x14ac:dyDescent="0.25">
      <c r="H158" s="37"/>
      <c r="I158" s="79"/>
      <c r="J158" s="70"/>
      <c r="K158" s="57"/>
      <c r="L158" s="11"/>
      <c r="M158" s="41"/>
      <c r="N158" s="11"/>
    </row>
    <row r="159" spans="8:14" x14ac:dyDescent="0.25">
      <c r="H159" s="37"/>
      <c r="I159" s="79"/>
      <c r="J159" s="70"/>
      <c r="K159" s="57"/>
      <c r="L159" s="11"/>
      <c r="M159" s="41"/>
      <c r="N159" s="11"/>
    </row>
    <row r="160" spans="8:14" x14ac:dyDescent="0.25">
      <c r="H160" s="37"/>
      <c r="I160" s="79"/>
      <c r="J160" s="70"/>
      <c r="K160" s="57"/>
      <c r="L160" s="11"/>
      <c r="M160" s="41"/>
      <c r="N160" s="11"/>
    </row>
    <row r="161" spans="8:14" x14ac:dyDescent="0.25">
      <c r="H161" s="37"/>
      <c r="I161" s="79"/>
      <c r="J161" s="70"/>
      <c r="K161" s="57"/>
      <c r="L161" s="11"/>
      <c r="M161" s="41"/>
      <c r="N161" s="11"/>
    </row>
    <row r="162" spans="8:14" x14ac:dyDescent="0.25">
      <c r="H162" s="37"/>
      <c r="I162" s="79"/>
      <c r="J162" s="70"/>
      <c r="K162" s="57"/>
      <c r="L162" s="11"/>
      <c r="M162" s="41"/>
      <c r="N162" s="11"/>
    </row>
    <row r="163" spans="8:14" x14ac:dyDescent="0.25">
      <c r="H163" s="37"/>
      <c r="I163" s="79"/>
      <c r="J163" s="70"/>
      <c r="K163" s="57"/>
      <c r="L163" s="11"/>
      <c r="M163" s="41"/>
      <c r="N163" s="11"/>
    </row>
    <row r="164" spans="8:14" x14ac:dyDescent="0.25">
      <c r="H164" s="37"/>
      <c r="I164" s="79"/>
      <c r="J164" s="70"/>
      <c r="K164" s="57"/>
      <c r="L164" s="11"/>
      <c r="M164" s="41"/>
      <c r="N164" s="11"/>
    </row>
    <row r="165" spans="8:14" x14ac:dyDescent="0.25">
      <c r="H165" s="37"/>
      <c r="I165" s="79"/>
      <c r="J165" s="70"/>
      <c r="K165" s="57"/>
      <c r="L165" s="11"/>
      <c r="M165" s="41"/>
      <c r="N165" s="11"/>
    </row>
    <row r="166" spans="8:14" x14ac:dyDescent="0.25">
      <c r="H166" s="37"/>
      <c r="I166" s="79"/>
      <c r="J166" s="70"/>
      <c r="K166" s="57"/>
      <c r="L166" s="11"/>
      <c r="M166" s="41"/>
      <c r="N166" s="11"/>
    </row>
    <row r="167" spans="8:14" x14ac:dyDescent="0.25">
      <c r="H167" s="37"/>
      <c r="I167" s="79"/>
      <c r="J167" s="70"/>
      <c r="K167" s="57"/>
      <c r="L167" s="11"/>
      <c r="M167" s="41"/>
      <c r="N167" s="11"/>
    </row>
    <row r="168" spans="8:14" x14ac:dyDescent="0.25">
      <c r="H168" s="37"/>
      <c r="I168" s="79"/>
      <c r="J168" s="70"/>
      <c r="K168" s="57"/>
      <c r="L168" s="11"/>
      <c r="M168" s="41"/>
      <c r="N168" s="11"/>
    </row>
    <row r="169" spans="8:14" x14ac:dyDescent="0.25">
      <c r="H169" s="37"/>
      <c r="I169" s="79"/>
      <c r="J169" s="70"/>
      <c r="K169" s="57"/>
      <c r="L169" s="11"/>
      <c r="M169" s="41"/>
      <c r="N169" s="11"/>
    </row>
    <row r="170" spans="8:14" x14ac:dyDescent="0.25">
      <c r="H170" s="37"/>
      <c r="I170" s="79"/>
      <c r="J170" s="70"/>
      <c r="K170" s="57"/>
      <c r="L170" s="11"/>
      <c r="M170" s="41"/>
      <c r="N170" s="11"/>
    </row>
    <row r="171" spans="8:14" x14ac:dyDescent="0.25">
      <c r="H171" s="37"/>
      <c r="I171" s="79"/>
      <c r="J171" s="70"/>
      <c r="K171" s="57"/>
      <c r="L171" s="11"/>
      <c r="M171" s="41"/>
      <c r="N171" s="11"/>
    </row>
    <row r="172" spans="8:14" x14ac:dyDescent="0.25">
      <c r="H172" s="37"/>
      <c r="I172" s="79"/>
      <c r="J172" s="70"/>
      <c r="K172" s="57"/>
      <c r="L172" s="11"/>
      <c r="M172" s="41"/>
      <c r="N172" s="11"/>
    </row>
    <row r="173" spans="8:14" x14ac:dyDescent="0.25">
      <c r="H173" s="37"/>
      <c r="I173" s="79"/>
      <c r="J173" s="70"/>
      <c r="K173" s="57"/>
      <c r="L173" s="11"/>
      <c r="M173" s="41"/>
      <c r="N173" s="11"/>
    </row>
    <row r="174" spans="8:14" x14ac:dyDescent="0.25">
      <c r="H174" s="37"/>
      <c r="I174" s="79"/>
      <c r="J174" s="70"/>
      <c r="K174" s="57"/>
      <c r="L174" s="11"/>
      <c r="M174" s="41"/>
      <c r="N174" s="11"/>
    </row>
    <row r="175" spans="8:14" x14ac:dyDescent="0.25">
      <c r="H175" s="37"/>
      <c r="I175" s="79"/>
      <c r="J175" s="70"/>
      <c r="K175" s="57"/>
      <c r="L175" s="11"/>
      <c r="M175" s="41"/>
      <c r="N175" s="11"/>
    </row>
    <row r="176" spans="8:14" x14ac:dyDescent="0.25">
      <c r="H176" s="37"/>
      <c r="I176" s="79"/>
      <c r="J176" s="70"/>
      <c r="K176" s="57"/>
      <c r="L176" s="11"/>
      <c r="M176" s="41"/>
      <c r="N176" s="11"/>
    </row>
    <row r="177" spans="8:14" x14ac:dyDescent="0.25">
      <c r="H177" s="37"/>
      <c r="I177" s="79"/>
      <c r="J177" s="70"/>
      <c r="K177" s="57"/>
      <c r="L177" s="11"/>
      <c r="M177" s="41"/>
      <c r="N177" s="11"/>
    </row>
    <row r="178" spans="8:14" x14ac:dyDescent="0.25">
      <c r="H178" s="37"/>
      <c r="I178" s="79"/>
      <c r="J178" s="70"/>
      <c r="K178" s="57"/>
      <c r="L178" s="11"/>
      <c r="M178" s="41"/>
      <c r="N178" s="11"/>
    </row>
    <row r="179" spans="8:14" x14ac:dyDescent="0.25">
      <c r="H179" s="37"/>
      <c r="I179" s="79"/>
      <c r="J179" s="70"/>
      <c r="K179" s="57"/>
      <c r="L179" s="11"/>
      <c r="M179" s="41"/>
      <c r="N179" s="11"/>
    </row>
    <row r="180" spans="8:14" x14ac:dyDescent="0.25">
      <c r="H180" s="37"/>
      <c r="I180" s="79"/>
      <c r="J180" s="70"/>
      <c r="K180" s="57"/>
      <c r="L180" s="11"/>
      <c r="M180" s="41"/>
      <c r="N180" s="11"/>
    </row>
    <row r="181" spans="8:14" x14ac:dyDescent="0.25">
      <c r="H181" s="37"/>
      <c r="I181" s="79"/>
      <c r="J181" s="70"/>
      <c r="K181" s="57"/>
      <c r="L181" s="11"/>
      <c r="M181" s="41"/>
      <c r="N181" s="11"/>
    </row>
    <row r="182" spans="8:14" x14ac:dyDescent="0.25">
      <c r="H182" s="37"/>
      <c r="I182" s="79"/>
      <c r="J182" s="70"/>
      <c r="K182" s="57"/>
      <c r="L182" s="11"/>
      <c r="M182" s="41"/>
      <c r="N182" s="11"/>
    </row>
    <row r="183" spans="8:14" x14ac:dyDescent="0.25">
      <c r="H183" s="37"/>
      <c r="I183" s="79"/>
      <c r="J183" s="70"/>
      <c r="K183" s="57"/>
      <c r="L183" s="11"/>
      <c r="M183" s="41"/>
      <c r="N183" s="11"/>
    </row>
    <row r="184" spans="8:14" x14ac:dyDescent="0.25">
      <c r="H184" s="37"/>
      <c r="I184" s="79"/>
      <c r="J184" s="70"/>
      <c r="K184" s="57"/>
      <c r="L184" s="11"/>
      <c r="M184" s="41"/>
      <c r="N184" s="11"/>
    </row>
    <row r="185" spans="8:14" x14ac:dyDescent="0.25">
      <c r="H185" s="37"/>
      <c r="I185" s="79"/>
      <c r="J185" s="70"/>
      <c r="K185" s="57"/>
      <c r="L185" s="11"/>
      <c r="M185" s="41"/>
      <c r="N185" s="11"/>
    </row>
    <row r="186" spans="8:14" x14ac:dyDescent="0.25">
      <c r="H186" s="37"/>
      <c r="I186" s="79"/>
      <c r="J186" s="70"/>
      <c r="K186" s="57"/>
      <c r="L186" s="11"/>
      <c r="M186" s="41"/>
      <c r="N186" s="11"/>
    </row>
    <row r="187" spans="8:14" x14ac:dyDescent="0.25">
      <c r="H187" s="37"/>
      <c r="I187" s="79"/>
      <c r="J187" s="70"/>
      <c r="K187" s="57"/>
      <c r="L187" s="11"/>
      <c r="M187" s="41"/>
      <c r="N187" s="11"/>
    </row>
    <row r="188" spans="8:14" x14ac:dyDescent="0.25">
      <c r="H188" s="37"/>
      <c r="I188" s="79"/>
      <c r="J188" s="70"/>
      <c r="K188" s="57"/>
      <c r="L188" s="11"/>
      <c r="M188" s="41"/>
      <c r="N188" s="11"/>
    </row>
    <row r="189" spans="8:14" x14ac:dyDescent="0.25">
      <c r="H189" s="37"/>
      <c r="I189" s="79"/>
      <c r="J189" s="70"/>
      <c r="K189" s="57"/>
      <c r="L189" s="11"/>
      <c r="M189" s="41"/>
      <c r="N189" s="11"/>
    </row>
    <row r="190" spans="8:14" x14ac:dyDescent="0.25">
      <c r="H190" s="37"/>
      <c r="I190" s="79"/>
      <c r="J190" s="70"/>
      <c r="K190" s="57"/>
      <c r="L190" s="11"/>
      <c r="M190" s="41"/>
      <c r="N190" s="11"/>
    </row>
    <row r="191" spans="8:14" x14ac:dyDescent="0.25">
      <c r="H191" s="37"/>
      <c r="I191" s="79"/>
      <c r="J191" s="70"/>
      <c r="K191" s="57"/>
      <c r="L191" s="11"/>
      <c r="M191" s="41"/>
      <c r="N191" s="11"/>
    </row>
    <row r="192" spans="8:14" x14ac:dyDescent="0.25">
      <c r="H192" s="37"/>
      <c r="I192" s="79"/>
      <c r="J192" s="70"/>
      <c r="K192" s="57"/>
      <c r="L192" s="11"/>
      <c r="M192" s="41"/>
      <c r="N192" s="11"/>
    </row>
    <row r="193" spans="8:14" x14ac:dyDescent="0.25">
      <c r="H193" s="37"/>
      <c r="I193" s="79"/>
      <c r="J193" s="70"/>
      <c r="K193" s="57"/>
      <c r="L193" s="11"/>
      <c r="M193" s="41"/>
      <c r="N193" s="11"/>
    </row>
    <row r="194" spans="8:14" x14ac:dyDescent="0.25">
      <c r="H194" s="37"/>
      <c r="I194" s="79"/>
      <c r="J194" s="70"/>
      <c r="K194" s="57"/>
      <c r="L194" s="11"/>
      <c r="M194" s="41"/>
      <c r="N194" s="11"/>
    </row>
    <row r="195" spans="8:14" x14ac:dyDescent="0.25">
      <c r="H195" s="37"/>
      <c r="I195" s="79"/>
      <c r="J195" s="70"/>
      <c r="K195" s="57"/>
      <c r="L195" s="11"/>
      <c r="M195" s="41"/>
      <c r="N195" s="11"/>
    </row>
    <row r="196" spans="8:14" x14ac:dyDescent="0.25">
      <c r="H196" s="37"/>
      <c r="I196" s="79"/>
      <c r="J196" s="70"/>
      <c r="K196" s="57"/>
      <c r="L196" s="11"/>
      <c r="M196" s="41"/>
      <c r="N196" s="11"/>
    </row>
    <row r="197" spans="8:14" x14ac:dyDescent="0.25">
      <c r="H197" s="37"/>
      <c r="I197" s="79"/>
      <c r="J197" s="70"/>
      <c r="K197" s="57"/>
      <c r="L197" s="11"/>
      <c r="M197" s="41"/>
      <c r="N197" s="11"/>
    </row>
    <row r="198" spans="8:14" x14ac:dyDescent="0.25">
      <c r="H198" s="37"/>
      <c r="I198" s="79"/>
      <c r="J198" s="70"/>
      <c r="K198" s="57"/>
      <c r="L198" s="11"/>
      <c r="M198" s="41"/>
      <c r="N198" s="11"/>
    </row>
    <row r="199" spans="8:14" x14ac:dyDescent="0.25">
      <c r="H199" s="37"/>
      <c r="I199" s="79"/>
      <c r="J199" s="70"/>
      <c r="K199" s="57"/>
      <c r="L199" s="11"/>
      <c r="M199" s="41"/>
      <c r="N199" s="11"/>
    </row>
    <row r="200" spans="8:14" x14ac:dyDescent="0.25">
      <c r="H200" s="37"/>
      <c r="I200" s="79"/>
      <c r="J200" s="70"/>
      <c r="K200" s="57"/>
      <c r="L200" s="11"/>
      <c r="M200" s="41"/>
      <c r="N200" s="11"/>
    </row>
    <row r="201" spans="8:14" x14ac:dyDescent="0.25">
      <c r="H201" s="37"/>
      <c r="I201" s="79"/>
      <c r="J201" s="70"/>
      <c r="K201" s="57"/>
      <c r="L201" s="11"/>
      <c r="M201" s="41"/>
      <c r="N201" s="11"/>
    </row>
    <row r="202" spans="8:14" x14ac:dyDescent="0.25">
      <c r="H202" s="37"/>
      <c r="I202" s="79"/>
      <c r="J202" s="70"/>
      <c r="K202" s="57"/>
      <c r="L202" s="11"/>
      <c r="M202" s="41"/>
      <c r="N202" s="11"/>
    </row>
    <row r="203" spans="8:14" x14ac:dyDescent="0.25">
      <c r="H203" s="37"/>
      <c r="I203" s="79"/>
      <c r="J203" s="70"/>
      <c r="K203" s="57"/>
      <c r="L203" s="11"/>
      <c r="M203" s="41"/>
      <c r="N203" s="11"/>
    </row>
    <row r="204" spans="8:14" x14ac:dyDescent="0.25">
      <c r="H204" s="37"/>
      <c r="I204" s="79"/>
      <c r="J204" s="70"/>
      <c r="K204" s="57"/>
      <c r="L204" s="11"/>
      <c r="M204" s="41"/>
      <c r="N204" s="11"/>
    </row>
    <row r="205" spans="8:14" x14ac:dyDescent="0.25">
      <c r="H205" s="37"/>
      <c r="I205" s="79"/>
      <c r="J205" s="70"/>
      <c r="K205" s="57"/>
      <c r="L205" s="11"/>
      <c r="M205" s="41"/>
      <c r="N205" s="11"/>
    </row>
    <row r="206" spans="8:14" x14ac:dyDescent="0.25">
      <c r="H206" s="37"/>
      <c r="I206" s="79"/>
      <c r="J206" s="70"/>
      <c r="K206" s="57"/>
      <c r="L206" s="11"/>
      <c r="M206" s="41"/>
      <c r="N206" s="11"/>
    </row>
    <row r="207" spans="8:14" x14ac:dyDescent="0.25">
      <c r="H207" s="37"/>
      <c r="I207" s="79"/>
      <c r="J207" s="70"/>
      <c r="K207" s="57"/>
      <c r="L207" s="11"/>
      <c r="M207" s="41"/>
      <c r="N207" s="11"/>
    </row>
    <row r="208" spans="8:14" x14ac:dyDescent="0.25">
      <c r="H208" s="37"/>
      <c r="I208" s="79"/>
      <c r="J208" s="70"/>
      <c r="K208" s="57"/>
      <c r="L208" s="11"/>
      <c r="M208" s="41"/>
      <c r="N208" s="11"/>
    </row>
    <row r="209" spans="8:14" x14ac:dyDescent="0.25">
      <c r="H209" s="37"/>
      <c r="I209" s="79"/>
      <c r="J209" s="70"/>
      <c r="K209" s="57"/>
      <c r="L209" s="11"/>
      <c r="M209" s="41"/>
      <c r="N209" s="11"/>
    </row>
    <row r="210" spans="8:14" x14ac:dyDescent="0.25">
      <c r="H210" s="37"/>
      <c r="I210" s="79"/>
      <c r="J210" s="70"/>
      <c r="K210" s="57"/>
      <c r="L210" s="11"/>
      <c r="M210" s="41"/>
      <c r="N210" s="11"/>
    </row>
    <row r="211" spans="8:14" x14ac:dyDescent="0.25">
      <c r="H211" s="37"/>
      <c r="I211" s="79"/>
      <c r="J211" s="70"/>
      <c r="K211" s="57"/>
      <c r="L211" s="11"/>
      <c r="M211" s="41"/>
      <c r="N211" s="11"/>
    </row>
    <row r="212" spans="8:14" x14ac:dyDescent="0.25">
      <c r="H212" s="37"/>
      <c r="I212" s="79"/>
      <c r="J212" s="70"/>
      <c r="K212" s="57"/>
      <c r="L212" s="11"/>
      <c r="M212" s="41"/>
      <c r="N212" s="11"/>
    </row>
    <row r="213" spans="8:14" x14ac:dyDescent="0.25">
      <c r="H213" s="37"/>
      <c r="I213" s="79"/>
      <c r="J213" s="70"/>
      <c r="K213" s="57"/>
      <c r="L213" s="11"/>
      <c r="M213" s="41"/>
      <c r="N213" s="11"/>
    </row>
    <row r="214" spans="8:14" x14ac:dyDescent="0.25">
      <c r="H214" s="37"/>
      <c r="I214" s="79"/>
      <c r="J214" s="70"/>
      <c r="K214" s="57"/>
      <c r="L214" s="11"/>
      <c r="M214" s="41"/>
      <c r="N214" s="11"/>
    </row>
    <row r="215" spans="8:14" x14ac:dyDescent="0.25">
      <c r="H215" s="37"/>
      <c r="I215" s="79"/>
      <c r="J215" s="70"/>
      <c r="K215" s="57"/>
      <c r="L215" s="11"/>
      <c r="M215" s="41"/>
      <c r="N215" s="11"/>
    </row>
    <row r="216" spans="8:14" x14ac:dyDescent="0.25">
      <c r="H216" s="37"/>
      <c r="I216" s="79"/>
      <c r="J216" s="70"/>
      <c r="K216" s="57"/>
      <c r="L216" s="11"/>
      <c r="M216" s="41"/>
      <c r="N216" s="11"/>
    </row>
    <row r="217" spans="8:14" x14ac:dyDescent="0.25">
      <c r="H217" s="37"/>
      <c r="I217" s="79"/>
      <c r="J217" s="70"/>
      <c r="K217" s="57"/>
      <c r="L217" s="11"/>
      <c r="M217" s="41"/>
      <c r="N217" s="11"/>
    </row>
    <row r="218" spans="8:14" x14ac:dyDescent="0.25">
      <c r="H218" s="37"/>
      <c r="I218" s="79"/>
      <c r="J218" s="70"/>
      <c r="K218" s="57"/>
      <c r="L218" s="11"/>
      <c r="M218" s="41"/>
      <c r="N218" s="11"/>
    </row>
    <row r="219" spans="8:14" x14ac:dyDescent="0.25">
      <c r="H219" s="37"/>
      <c r="I219" s="79"/>
      <c r="J219" s="70"/>
      <c r="K219" s="57"/>
      <c r="L219" s="11"/>
      <c r="M219" s="41"/>
      <c r="N219" s="11"/>
    </row>
    <row r="220" spans="8:14" x14ac:dyDescent="0.25">
      <c r="H220" s="37"/>
      <c r="I220" s="79"/>
      <c r="J220" s="70"/>
      <c r="K220" s="57"/>
      <c r="L220" s="11"/>
      <c r="M220" s="41"/>
      <c r="N220" s="11"/>
    </row>
    <row r="221" spans="8:14" x14ac:dyDescent="0.25">
      <c r="H221" s="37"/>
      <c r="I221" s="79"/>
      <c r="J221" s="70"/>
      <c r="K221" s="57"/>
      <c r="L221" s="11"/>
      <c r="M221" s="41"/>
      <c r="N221" s="11"/>
    </row>
    <row r="222" spans="8:14" x14ac:dyDescent="0.25">
      <c r="H222" s="37"/>
      <c r="I222" s="79"/>
      <c r="J222" s="70"/>
      <c r="K222" s="57"/>
      <c r="L222" s="11"/>
      <c r="M222" s="41"/>
      <c r="N222" s="11"/>
    </row>
    <row r="223" spans="8:14" x14ac:dyDescent="0.25">
      <c r="H223" s="37"/>
      <c r="I223" s="79"/>
      <c r="J223" s="70"/>
      <c r="K223" s="57"/>
      <c r="L223" s="11"/>
      <c r="M223" s="41"/>
      <c r="N223" s="11"/>
    </row>
    <row r="224" spans="8:14" x14ac:dyDescent="0.25">
      <c r="H224" s="37"/>
      <c r="I224" s="79"/>
      <c r="J224" s="70"/>
      <c r="K224" s="57"/>
      <c r="L224" s="11"/>
      <c r="M224" s="41"/>
      <c r="N224" s="11"/>
    </row>
    <row r="225" spans="8:14" x14ac:dyDescent="0.25">
      <c r="H225" s="37"/>
      <c r="I225" s="79"/>
      <c r="J225" s="70"/>
      <c r="K225" s="57"/>
      <c r="L225" s="11"/>
      <c r="M225" s="41"/>
      <c r="N225" s="11"/>
    </row>
    <row r="226" spans="8:14" x14ac:dyDescent="0.25">
      <c r="H226" s="37"/>
      <c r="I226" s="79"/>
      <c r="J226" s="70"/>
      <c r="K226" s="57"/>
      <c r="L226" s="11"/>
      <c r="M226" s="41"/>
      <c r="N226" s="11"/>
    </row>
    <row r="227" spans="8:14" x14ac:dyDescent="0.25">
      <c r="H227" s="37"/>
      <c r="I227" s="79"/>
      <c r="J227" s="70"/>
      <c r="K227" s="57"/>
      <c r="L227" s="11"/>
      <c r="M227" s="41"/>
      <c r="N227" s="11"/>
    </row>
    <row r="228" spans="8:14" x14ac:dyDescent="0.25">
      <c r="H228" s="37"/>
      <c r="I228" s="79"/>
      <c r="J228" s="70"/>
      <c r="K228" s="57"/>
      <c r="L228" s="11"/>
      <c r="M228" s="41"/>
      <c r="N228" s="11"/>
    </row>
    <row r="229" spans="8:14" x14ac:dyDescent="0.25">
      <c r="H229" s="37"/>
      <c r="I229" s="79"/>
      <c r="J229" s="70"/>
      <c r="K229" s="57"/>
      <c r="L229" s="11"/>
      <c r="M229" s="41"/>
      <c r="N229" s="11"/>
    </row>
    <row r="230" spans="8:14" x14ac:dyDescent="0.25">
      <c r="H230" s="37"/>
      <c r="I230" s="79"/>
      <c r="J230" s="70"/>
      <c r="K230" s="57"/>
      <c r="L230" s="11"/>
      <c r="M230" s="41"/>
      <c r="N230" s="11"/>
    </row>
    <row r="231" spans="8:14" x14ac:dyDescent="0.25">
      <c r="H231" s="37"/>
      <c r="I231" s="79"/>
      <c r="J231" s="70"/>
      <c r="K231" s="57"/>
      <c r="L231" s="11"/>
      <c r="M231" s="41"/>
      <c r="N231" s="11"/>
    </row>
    <row r="232" spans="8:14" x14ac:dyDescent="0.25">
      <c r="H232" s="37"/>
      <c r="I232" s="79"/>
      <c r="J232" s="70"/>
      <c r="K232" s="57"/>
      <c r="L232" s="11"/>
      <c r="M232" s="41"/>
      <c r="N232" s="11"/>
    </row>
    <row r="233" spans="8:14" x14ac:dyDescent="0.25">
      <c r="H233" s="37"/>
      <c r="I233" s="79"/>
      <c r="J233" s="70"/>
      <c r="K233" s="57"/>
      <c r="L233" s="11"/>
      <c r="M233" s="41"/>
      <c r="N233" s="11"/>
    </row>
    <row r="234" spans="8:14" x14ac:dyDescent="0.25">
      <c r="H234" s="37"/>
      <c r="I234" s="79"/>
      <c r="J234" s="70"/>
      <c r="K234" s="57"/>
      <c r="L234" s="11"/>
      <c r="M234" s="41"/>
      <c r="N234" s="11"/>
    </row>
    <row r="235" spans="8:14" x14ac:dyDescent="0.25">
      <c r="H235" s="37"/>
      <c r="I235" s="79"/>
      <c r="J235" s="70"/>
      <c r="K235" s="57"/>
      <c r="L235" s="11"/>
      <c r="M235" s="41"/>
      <c r="N235" s="11"/>
    </row>
    <row r="236" spans="8:14" x14ac:dyDescent="0.25">
      <c r="H236" s="37"/>
      <c r="I236" s="79"/>
      <c r="J236" s="70"/>
      <c r="K236" s="57"/>
      <c r="L236" s="11"/>
      <c r="M236" s="41"/>
      <c r="N236" s="11"/>
    </row>
    <row r="237" spans="8:14" x14ac:dyDescent="0.25">
      <c r="H237" s="37"/>
      <c r="I237" s="79"/>
      <c r="J237" s="70"/>
      <c r="K237" s="57"/>
      <c r="L237" s="11"/>
      <c r="M237" s="41"/>
      <c r="N237" s="11"/>
    </row>
    <row r="238" spans="8:14" x14ac:dyDescent="0.25">
      <c r="H238" s="37"/>
      <c r="I238" s="79"/>
      <c r="J238" s="70"/>
      <c r="K238" s="57"/>
      <c r="L238" s="11"/>
      <c r="M238" s="41"/>
      <c r="N238" s="11"/>
    </row>
    <row r="239" spans="8:14" x14ac:dyDescent="0.25">
      <c r="H239" s="37"/>
      <c r="I239" s="79"/>
      <c r="J239" s="70"/>
      <c r="K239" s="57"/>
      <c r="L239" s="11"/>
      <c r="M239" s="41"/>
      <c r="N239" s="11"/>
    </row>
    <row r="240" spans="8:14" x14ac:dyDescent="0.25">
      <c r="H240" s="37"/>
      <c r="I240" s="79"/>
      <c r="J240" s="70"/>
      <c r="K240" s="57"/>
      <c r="L240" s="11"/>
      <c r="M240" s="41"/>
      <c r="N240" s="11"/>
    </row>
    <row r="241" spans="8:14" x14ac:dyDescent="0.25">
      <c r="H241" s="37"/>
      <c r="I241" s="79"/>
      <c r="J241" s="70"/>
      <c r="K241" s="57"/>
      <c r="L241" s="11"/>
      <c r="M241" s="41"/>
      <c r="N241" s="11"/>
    </row>
    <row r="242" spans="8:14" x14ac:dyDescent="0.25">
      <c r="H242" s="37"/>
      <c r="I242" s="79"/>
      <c r="J242" s="70"/>
      <c r="K242" s="57"/>
      <c r="L242" s="11"/>
      <c r="M242" s="41"/>
      <c r="N242" s="11"/>
    </row>
    <row r="243" spans="8:14" x14ac:dyDescent="0.25">
      <c r="H243" s="37"/>
      <c r="I243" s="79"/>
      <c r="J243" s="70"/>
      <c r="K243" s="57"/>
      <c r="L243" s="11"/>
      <c r="M243" s="41"/>
      <c r="N243" s="11"/>
    </row>
    <row r="244" spans="8:14" x14ac:dyDescent="0.25">
      <c r="H244" s="37"/>
      <c r="I244" s="79"/>
      <c r="J244" s="70"/>
      <c r="K244" s="57"/>
      <c r="L244" s="11"/>
      <c r="M244" s="41"/>
      <c r="N244" s="11"/>
    </row>
    <row r="245" spans="8:14" x14ac:dyDescent="0.25">
      <c r="H245" s="37"/>
      <c r="I245" s="79"/>
      <c r="J245" s="70"/>
      <c r="K245" s="57"/>
      <c r="L245" s="11"/>
      <c r="M245" s="41"/>
      <c r="N245" s="11"/>
    </row>
    <row r="246" spans="8:14" x14ac:dyDescent="0.25">
      <c r="H246" s="37"/>
      <c r="I246" s="79"/>
      <c r="J246" s="70"/>
      <c r="K246" s="57"/>
      <c r="L246" s="11"/>
      <c r="M246" s="41"/>
      <c r="N246" s="11"/>
    </row>
    <row r="247" spans="8:14" x14ac:dyDescent="0.25">
      <c r="H247" s="37"/>
      <c r="I247" s="79"/>
      <c r="J247" s="70"/>
      <c r="K247" s="57"/>
      <c r="L247" s="11"/>
      <c r="M247" s="41"/>
      <c r="N247" s="11"/>
    </row>
    <row r="248" spans="8:14" x14ac:dyDescent="0.25">
      <c r="H248" s="37"/>
      <c r="I248" s="79"/>
      <c r="J248" s="70"/>
      <c r="K248" s="57"/>
      <c r="L248" s="11"/>
      <c r="M248" s="41"/>
      <c r="N248" s="11"/>
    </row>
    <row r="249" spans="8:14" x14ac:dyDescent="0.25">
      <c r="H249" s="37"/>
      <c r="I249" s="79"/>
      <c r="J249" s="70"/>
      <c r="K249" s="57"/>
      <c r="L249" s="11"/>
      <c r="M249" s="41"/>
      <c r="N249" s="11"/>
    </row>
    <row r="250" spans="8:14" x14ac:dyDescent="0.25">
      <c r="H250" s="37"/>
      <c r="I250" s="79"/>
      <c r="J250" s="70"/>
      <c r="K250" s="57"/>
      <c r="L250" s="11"/>
      <c r="M250" s="41"/>
      <c r="N250" s="11"/>
    </row>
    <row r="251" spans="8:14" x14ac:dyDescent="0.25">
      <c r="H251" s="37"/>
      <c r="I251" s="79"/>
      <c r="J251" s="70"/>
      <c r="K251" s="57"/>
      <c r="L251" s="11"/>
      <c r="M251" s="41"/>
      <c r="N251" s="11"/>
    </row>
    <row r="252" spans="8:14" x14ac:dyDescent="0.25">
      <c r="H252" s="37"/>
      <c r="I252" s="79"/>
      <c r="J252" s="70"/>
      <c r="K252" s="57"/>
      <c r="L252" s="11"/>
      <c r="M252" s="41"/>
      <c r="N252" s="11"/>
    </row>
    <row r="253" spans="8:14" x14ac:dyDescent="0.25">
      <c r="H253" s="37"/>
      <c r="I253" s="79"/>
      <c r="J253" s="70"/>
      <c r="K253" s="57"/>
      <c r="L253" s="11"/>
      <c r="M253" s="41"/>
      <c r="N253" s="11"/>
    </row>
    <row r="254" spans="8:14" x14ac:dyDescent="0.25">
      <c r="H254" s="37"/>
      <c r="I254" s="79"/>
      <c r="J254" s="70"/>
      <c r="K254" s="57"/>
      <c r="L254" s="11"/>
      <c r="M254" s="41"/>
      <c r="N254" s="11"/>
    </row>
    <row r="255" spans="8:14" x14ac:dyDescent="0.25">
      <c r="H255" s="37"/>
      <c r="I255" s="79"/>
      <c r="J255" s="70"/>
      <c r="K255" s="57"/>
      <c r="L255" s="11"/>
      <c r="M255" s="41"/>
      <c r="N255" s="11"/>
    </row>
    <row r="256" spans="8:14" x14ac:dyDescent="0.25">
      <c r="H256" s="37"/>
      <c r="I256" s="79"/>
      <c r="J256" s="70"/>
      <c r="K256" s="57"/>
      <c r="L256" s="11"/>
      <c r="M256" s="41"/>
      <c r="N256" s="11"/>
    </row>
    <row r="257" spans="8:14" x14ac:dyDescent="0.25">
      <c r="H257" s="37"/>
      <c r="I257" s="79"/>
      <c r="J257" s="70"/>
      <c r="K257" s="57"/>
      <c r="L257" s="11"/>
      <c r="M257" s="41"/>
      <c r="N257" s="11"/>
    </row>
    <row r="258" spans="8:14" x14ac:dyDescent="0.25">
      <c r="H258" s="37"/>
      <c r="I258" s="79"/>
      <c r="J258" s="70"/>
      <c r="K258" s="57"/>
      <c r="L258" s="11"/>
      <c r="M258" s="41"/>
      <c r="N258" s="11"/>
    </row>
    <row r="259" spans="8:14" x14ac:dyDescent="0.25">
      <c r="H259" s="37"/>
      <c r="I259" s="79"/>
      <c r="J259" s="70"/>
      <c r="K259" s="57"/>
      <c r="L259" s="11"/>
      <c r="M259" s="41"/>
      <c r="N259" s="11"/>
    </row>
    <row r="260" spans="8:14" x14ac:dyDescent="0.25">
      <c r="H260" s="37"/>
      <c r="I260" s="79"/>
      <c r="J260" s="70"/>
      <c r="K260" s="57"/>
      <c r="L260" s="11"/>
      <c r="M260" s="41"/>
      <c r="N260" s="11"/>
    </row>
    <row r="261" spans="8:14" x14ac:dyDescent="0.25">
      <c r="H261" s="37"/>
      <c r="I261" s="79"/>
      <c r="J261" s="70"/>
      <c r="K261" s="57"/>
      <c r="L261" s="11"/>
      <c r="M261" s="41"/>
      <c r="N261" s="11"/>
    </row>
    <row r="262" spans="8:14" x14ac:dyDescent="0.25">
      <c r="H262" s="37"/>
      <c r="I262" s="79"/>
      <c r="J262" s="70"/>
      <c r="K262" s="57"/>
      <c r="L262" s="11"/>
      <c r="M262" s="41"/>
      <c r="N262" s="11"/>
    </row>
    <row r="263" spans="8:14" x14ac:dyDescent="0.25">
      <c r="H263" s="37"/>
      <c r="I263" s="79"/>
      <c r="J263" s="70"/>
      <c r="K263" s="57"/>
      <c r="L263" s="11"/>
      <c r="M263" s="41"/>
      <c r="N263" s="11"/>
    </row>
    <row r="264" spans="8:14" x14ac:dyDescent="0.25">
      <c r="H264" s="37"/>
      <c r="I264" s="79"/>
      <c r="J264" s="70"/>
      <c r="K264" s="57"/>
      <c r="L264" s="11"/>
      <c r="M264" s="41"/>
      <c r="N264" s="11"/>
    </row>
    <row r="265" spans="8:14" x14ac:dyDescent="0.25">
      <c r="H265" s="37"/>
      <c r="I265" s="79"/>
      <c r="J265" s="70"/>
      <c r="K265" s="57"/>
      <c r="L265" s="11"/>
      <c r="M265" s="41"/>
      <c r="N265" s="11"/>
    </row>
    <row r="266" spans="8:14" x14ac:dyDescent="0.25">
      <c r="H266" s="37"/>
      <c r="I266" s="79"/>
      <c r="J266" s="70"/>
      <c r="K266" s="57"/>
      <c r="L266" s="11"/>
      <c r="M266" s="41"/>
      <c r="N266" s="11"/>
    </row>
    <row r="267" spans="8:14" x14ac:dyDescent="0.25">
      <c r="H267" s="37"/>
      <c r="I267" s="79"/>
      <c r="J267" s="70"/>
      <c r="K267" s="57"/>
      <c r="L267" s="11"/>
      <c r="M267" s="41"/>
      <c r="N267" s="11"/>
    </row>
    <row r="268" spans="8:14" x14ac:dyDescent="0.25">
      <c r="H268" s="37"/>
      <c r="I268" s="79"/>
      <c r="J268" s="70"/>
      <c r="K268" s="57"/>
      <c r="L268" s="11"/>
      <c r="M268" s="41"/>
      <c r="N268" s="11"/>
    </row>
    <row r="269" spans="8:14" x14ac:dyDescent="0.25">
      <c r="H269" s="37"/>
      <c r="I269" s="79"/>
      <c r="J269" s="70"/>
      <c r="K269" s="57"/>
      <c r="L269" s="11"/>
      <c r="M269" s="41"/>
      <c r="N269" s="11"/>
    </row>
    <row r="270" spans="8:14" x14ac:dyDescent="0.25">
      <c r="H270" s="37"/>
      <c r="I270" s="79"/>
      <c r="J270" s="70"/>
      <c r="K270" s="57"/>
      <c r="L270" s="11"/>
      <c r="M270" s="41"/>
      <c r="N270" s="11"/>
    </row>
    <row r="271" spans="8:14" x14ac:dyDescent="0.25">
      <c r="H271" s="37"/>
      <c r="I271" s="79"/>
      <c r="J271" s="70"/>
      <c r="K271" s="57"/>
      <c r="L271" s="11"/>
      <c r="M271" s="41"/>
      <c r="N271" s="11"/>
    </row>
    <row r="272" spans="8:14" x14ac:dyDescent="0.25">
      <c r="H272" s="37"/>
      <c r="I272" s="79"/>
      <c r="J272" s="70"/>
      <c r="K272" s="57"/>
      <c r="L272" s="11"/>
      <c r="M272" s="41"/>
      <c r="N272" s="11"/>
    </row>
    <row r="273" spans="8:14" x14ac:dyDescent="0.25">
      <c r="H273" s="37"/>
      <c r="I273" s="79"/>
      <c r="J273" s="70"/>
      <c r="K273" s="57"/>
      <c r="L273" s="11"/>
      <c r="M273" s="41"/>
      <c r="N273" s="11"/>
    </row>
    <row r="274" spans="8:14" x14ac:dyDescent="0.25">
      <c r="H274" s="37"/>
      <c r="I274" s="79"/>
      <c r="J274" s="70"/>
      <c r="K274" s="57"/>
      <c r="L274" s="11"/>
      <c r="M274" s="41"/>
      <c r="N274" s="11"/>
    </row>
    <row r="275" spans="8:14" x14ac:dyDescent="0.25">
      <c r="H275" s="37"/>
      <c r="I275" s="79"/>
      <c r="J275" s="70"/>
      <c r="K275" s="57"/>
      <c r="L275" s="11"/>
      <c r="M275" s="41"/>
      <c r="N275" s="11"/>
    </row>
    <row r="276" spans="8:14" x14ac:dyDescent="0.25">
      <c r="H276" s="37"/>
      <c r="I276" s="79"/>
      <c r="J276" s="70"/>
      <c r="K276" s="57"/>
      <c r="L276" s="11"/>
      <c r="M276" s="41"/>
      <c r="N276" s="11"/>
    </row>
    <row r="277" spans="8:14" x14ac:dyDescent="0.25">
      <c r="H277" s="37"/>
      <c r="I277" s="79"/>
      <c r="J277" s="70"/>
      <c r="K277" s="57"/>
      <c r="L277" s="11"/>
      <c r="M277" s="41"/>
      <c r="N277" s="11"/>
    </row>
    <row r="278" spans="8:14" x14ac:dyDescent="0.25">
      <c r="H278" s="37"/>
      <c r="I278" s="79"/>
      <c r="J278" s="70"/>
      <c r="K278" s="57"/>
      <c r="L278" s="11"/>
      <c r="M278" s="41"/>
      <c r="N278" s="11"/>
    </row>
    <row r="279" spans="8:14" x14ac:dyDescent="0.25">
      <c r="H279" s="37"/>
      <c r="I279" s="79"/>
      <c r="J279" s="70"/>
      <c r="K279" s="57"/>
      <c r="L279" s="11"/>
      <c r="M279" s="41"/>
      <c r="N279" s="11"/>
    </row>
    <row r="280" spans="8:14" x14ac:dyDescent="0.25">
      <c r="H280" s="37"/>
      <c r="I280" s="79"/>
      <c r="J280" s="70"/>
      <c r="K280" s="57"/>
      <c r="L280" s="11"/>
      <c r="M280" s="41"/>
      <c r="N280" s="11"/>
    </row>
    <row r="281" spans="8:14" x14ac:dyDescent="0.25">
      <c r="H281" s="37"/>
      <c r="I281" s="79"/>
      <c r="J281" s="70"/>
      <c r="K281" s="57"/>
      <c r="L281" s="11"/>
      <c r="M281" s="41"/>
      <c r="N281" s="11"/>
    </row>
    <row r="282" spans="8:14" x14ac:dyDescent="0.25">
      <c r="H282" s="37"/>
      <c r="I282" s="79"/>
      <c r="J282" s="70"/>
      <c r="K282" s="57"/>
      <c r="L282" s="11"/>
      <c r="M282" s="41"/>
      <c r="N282" s="11"/>
    </row>
    <row r="283" spans="8:14" x14ac:dyDescent="0.25">
      <c r="H283" s="37"/>
      <c r="I283" s="79"/>
      <c r="J283" s="70"/>
      <c r="K283" s="57"/>
      <c r="L283" s="11"/>
      <c r="M283" s="41"/>
      <c r="N283" s="11"/>
    </row>
    <row r="284" spans="8:14" x14ac:dyDescent="0.25">
      <c r="H284" s="37"/>
      <c r="I284" s="79"/>
      <c r="J284" s="70"/>
      <c r="K284" s="57"/>
      <c r="L284" s="11"/>
      <c r="M284" s="41"/>
      <c r="N284" s="11"/>
    </row>
    <row r="285" spans="8:14" x14ac:dyDescent="0.25">
      <c r="H285" s="37"/>
      <c r="I285" s="79"/>
      <c r="J285" s="70"/>
      <c r="K285" s="57"/>
      <c r="L285" s="11"/>
      <c r="M285" s="41"/>
      <c r="N285" s="11"/>
    </row>
    <row r="286" spans="8:14" x14ac:dyDescent="0.25">
      <c r="H286" s="37"/>
      <c r="I286" s="79"/>
      <c r="J286" s="70"/>
      <c r="K286" s="57"/>
      <c r="L286" s="11"/>
      <c r="M286" s="41"/>
      <c r="N286" s="11"/>
    </row>
    <row r="287" spans="8:14" x14ac:dyDescent="0.25">
      <c r="H287" s="37"/>
      <c r="I287" s="79"/>
      <c r="J287" s="70"/>
      <c r="K287" s="57"/>
      <c r="L287" s="11"/>
      <c r="M287" s="41"/>
      <c r="N287" s="11"/>
    </row>
    <row r="288" spans="8:14" x14ac:dyDescent="0.25">
      <c r="H288" s="37"/>
      <c r="I288" s="79"/>
      <c r="J288" s="70"/>
      <c r="K288" s="57"/>
      <c r="L288" s="11"/>
      <c r="M288" s="41"/>
      <c r="N288" s="11"/>
    </row>
    <row r="289" spans="8:14" x14ac:dyDescent="0.25">
      <c r="H289" s="37"/>
      <c r="I289" s="79"/>
      <c r="J289" s="70"/>
      <c r="K289" s="57"/>
      <c r="L289" s="11"/>
      <c r="M289" s="41"/>
      <c r="N289" s="11"/>
    </row>
    <row r="290" spans="8:14" x14ac:dyDescent="0.25">
      <c r="H290" s="37"/>
      <c r="I290" s="79"/>
      <c r="J290" s="70"/>
      <c r="K290" s="57"/>
      <c r="L290" s="11"/>
      <c r="M290" s="41"/>
      <c r="N290" s="11"/>
    </row>
    <row r="291" spans="8:14" x14ac:dyDescent="0.25">
      <c r="H291" s="37"/>
      <c r="I291" s="79"/>
      <c r="J291" s="70"/>
      <c r="K291" s="57"/>
      <c r="L291" s="11"/>
      <c r="M291" s="41"/>
      <c r="N291" s="11"/>
    </row>
    <row r="292" spans="8:14" x14ac:dyDescent="0.25">
      <c r="H292" s="37"/>
      <c r="I292" s="79"/>
      <c r="J292" s="70"/>
      <c r="K292" s="57"/>
      <c r="L292" s="11"/>
      <c r="M292" s="41"/>
      <c r="N292" s="11"/>
    </row>
    <row r="293" spans="8:14" x14ac:dyDescent="0.25">
      <c r="H293" s="37"/>
      <c r="I293" s="79"/>
      <c r="J293" s="70"/>
      <c r="K293" s="57"/>
      <c r="L293" s="11"/>
      <c r="M293" s="41"/>
      <c r="N293" s="11"/>
    </row>
    <row r="294" spans="8:14" x14ac:dyDescent="0.25">
      <c r="H294" s="37"/>
      <c r="I294" s="79"/>
      <c r="J294" s="70"/>
      <c r="K294" s="57"/>
      <c r="L294" s="11"/>
      <c r="M294" s="41"/>
      <c r="N294" s="11"/>
    </row>
    <row r="295" spans="8:14" x14ac:dyDescent="0.25">
      <c r="H295" s="37"/>
      <c r="I295" s="79"/>
      <c r="J295" s="70"/>
      <c r="K295" s="57"/>
      <c r="L295" s="11"/>
      <c r="M295" s="41"/>
      <c r="N295" s="11"/>
    </row>
    <row r="296" spans="8:14" x14ac:dyDescent="0.25">
      <c r="H296" s="37"/>
      <c r="I296" s="79"/>
      <c r="J296" s="70"/>
      <c r="K296" s="57"/>
      <c r="L296" s="11"/>
      <c r="M296" s="41"/>
      <c r="N296" s="11"/>
    </row>
    <row r="297" spans="8:14" x14ac:dyDescent="0.25">
      <c r="H297" s="37"/>
      <c r="I297" s="79"/>
      <c r="J297" s="70"/>
      <c r="K297" s="57"/>
      <c r="L297" s="11"/>
      <c r="M297" s="41"/>
      <c r="N297" s="11"/>
    </row>
    <row r="298" spans="8:14" x14ac:dyDescent="0.25">
      <c r="H298" s="37"/>
      <c r="I298" s="79"/>
      <c r="J298" s="70"/>
      <c r="K298" s="57"/>
      <c r="L298" s="11"/>
      <c r="M298" s="41"/>
      <c r="N298" s="11"/>
    </row>
    <row r="299" spans="8:14" x14ac:dyDescent="0.25">
      <c r="H299" s="37"/>
      <c r="I299" s="79"/>
      <c r="J299" s="70"/>
      <c r="K299" s="57"/>
      <c r="L299" s="11"/>
      <c r="M299" s="41"/>
      <c r="N299" s="11"/>
    </row>
    <row r="300" spans="8:14" x14ac:dyDescent="0.25">
      <c r="H300" s="37"/>
      <c r="I300" s="79"/>
      <c r="J300" s="70"/>
      <c r="K300" s="57"/>
      <c r="L300" s="11"/>
      <c r="M300" s="41"/>
      <c r="N300" s="11"/>
    </row>
    <row r="301" spans="8:14" x14ac:dyDescent="0.25">
      <c r="H301" s="37"/>
      <c r="I301" s="79"/>
      <c r="J301" s="70"/>
      <c r="K301" s="57"/>
      <c r="L301" s="11"/>
      <c r="M301" s="41"/>
      <c r="N301" s="11"/>
    </row>
    <row r="302" spans="8:14" x14ac:dyDescent="0.25">
      <c r="H302" s="37"/>
      <c r="I302" s="79"/>
      <c r="J302" s="70"/>
      <c r="K302" s="57"/>
      <c r="L302" s="11"/>
      <c r="M302" s="41"/>
      <c r="N302" s="11"/>
    </row>
    <row r="303" spans="8:14" x14ac:dyDescent="0.25">
      <c r="H303" s="37"/>
      <c r="I303" s="79"/>
      <c r="J303" s="70"/>
      <c r="K303" s="57"/>
      <c r="L303" s="11"/>
      <c r="M303" s="41"/>
      <c r="N303" s="11"/>
    </row>
    <row r="304" spans="8:14" x14ac:dyDescent="0.25">
      <c r="H304" s="37"/>
      <c r="I304" s="79"/>
      <c r="J304" s="70"/>
      <c r="K304" s="57"/>
      <c r="L304" s="11"/>
      <c r="M304" s="41"/>
      <c r="N304" s="11"/>
    </row>
    <row r="305" spans="8:14" x14ac:dyDescent="0.25">
      <c r="H305" s="37"/>
      <c r="I305" s="79"/>
      <c r="J305" s="70"/>
      <c r="K305" s="57"/>
      <c r="L305" s="11"/>
      <c r="M305" s="41"/>
      <c r="N305" s="11"/>
    </row>
    <row r="306" spans="8:14" x14ac:dyDescent="0.25">
      <c r="H306" s="37"/>
      <c r="I306" s="79"/>
      <c r="J306" s="70"/>
      <c r="K306" s="57"/>
      <c r="L306" s="11"/>
      <c r="M306" s="41"/>
      <c r="N306" s="11"/>
    </row>
    <row r="307" spans="8:14" x14ac:dyDescent="0.25">
      <c r="H307" s="37"/>
      <c r="I307" s="79"/>
      <c r="J307" s="70"/>
      <c r="K307" s="57"/>
      <c r="L307" s="11"/>
      <c r="M307" s="41"/>
      <c r="N307" s="11"/>
    </row>
    <row r="308" spans="8:14" x14ac:dyDescent="0.25">
      <c r="H308" s="37"/>
      <c r="I308" s="79"/>
      <c r="J308" s="70"/>
      <c r="K308" s="57"/>
      <c r="L308" s="11"/>
      <c r="M308" s="41"/>
      <c r="N308" s="11"/>
    </row>
    <row r="309" spans="8:14" x14ac:dyDescent="0.25">
      <c r="H309" s="37"/>
      <c r="I309" s="79"/>
      <c r="J309" s="70"/>
      <c r="K309" s="57"/>
      <c r="L309" s="11"/>
      <c r="M309" s="41"/>
      <c r="N309" s="11"/>
    </row>
    <row r="310" spans="8:14" x14ac:dyDescent="0.25">
      <c r="H310" s="37"/>
      <c r="I310" s="79"/>
      <c r="J310" s="70"/>
      <c r="K310" s="57"/>
      <c r="L310" s="11"/>
      <c r="M310" s="41"/>
      <c r="N310" s="11"/>
    </row>
    <row r="311" spans="8:14" x14ac:dyDescent="0.25">
      <c r="H311" s="37"/>
      <c r="I311" s="79"/>
      <c r="J311" s="70"/>
      <c r="K311" s="57"/>
      <c r="L311" s="11"/>
      <c r="M311" s="41"/>
      <c r="N311" s="11"/>
    </row>
    <row r="312" spans="8:14" x14ac:dyDescent="0.25">
      <c r="H312" s="37"/>
      <c r="I312" s="79"/>
      <c r="J312" s="70"/>
      <c r="K312" s="57"/>
      <c r="L312" s="11"/>
      <c r="M312" s="41"/>
      <c r="N312" s="11"/>
    </row>
    <row r="313" spans="8:14" x14ac:dyDescent="0.25">
      <c r="H313" s="37"/>
      <c r="I313" s="79"/>
      <c r="J313" s="70"/>
      <c r="K313" s="57"/>
      <c r="L313" s="11"/>
      <c r="M313" s="41"/>
      <c r="N313" s="11"/>
    </row>
    <row r="314" spans="8:14" x14ac:dyDescent="0.25">
      <c r="H314" s="37"/>
      <c r="I314" s="79"/>
      <c r="J314" s="70"/>
      <c r="K314" s="57"/>
      <c r="L314" s="11"/>
      <c r="M314" s="41"/>
      <c r="N314" s="11"/>
    </row>
    <row r="315" spans="8:14" x14ac:dyDescent="0.25">
      <c r="H315" s="37"/>
      <c r="I315" s="79"/>
      <c r="J315" s="70"/>
      <c r="K315" s="57"/>
      <c r="L315" s="11"/>
      <c r="M315" s="41"/>
      <c r="N315" s="11"/>
    </row>
    <row r="316" spans="8:14" x14ac:dyDescent="0.25">
      <c r="H316" s="37"/>
      <c r="I316" s="79"/>
      <c r="J316" s="70"/>
      <c r="K316" s="57"/>
      <c r="L316" s="11"/>
      <c r="M316" s="41"/>
      <c r="N316" s="11"/>
    </row>
    <row r="317" spans="8:14" x14ac:dyDescent="0.25">
      <c r="H317" s="37"/>
      <c r="I317" s="79"/>
      <c r="J317" s="70"/>
      <c r="K317" s="57"/>
      <c r="L317" s="11"/>
      <c r="M317" s="41"/>
      <c r="N317" s="11"/>
    </row>
    <row r="318" spans="8:14" x14ac:dyDescent="0.25">
      <c r="H318" s="37"/>
      <c r="I318" s="79"/>
      <c r="J318" s="70"/>
      <c r="K318" s="57"/>
      <c r="L318" s="11"/>
      <c r="M318" s="41"/>
      <c r="N318" s="11"/>
    </row>
    <row r="319" spans="8:14" x14ac:dyDescent="0.25">
      <c r="H319" s="37"/>
      <c r="I319" s="79"/>
      <c r="J319" s="70"/>
      <c r="K319" s="57"/>
      <c r="L319" s="11"/>
      <c r="M319" s="41"/>
      <c r="N319" s="11"/>
    </row>
    <row r="320" spans="8:14" x14ac:dyDescent="0.25">
      <c r="H320" s="37"/>
      <c r="I320" s="79"/>
      <c r="J320" s="70"/>
      <c r="K320" s="57"/>
      <c r="L320" s="11"/>
      <c r="M320" s="41"/>
      <c r="N320" s="11"/>
    </row>
    <row r="321" spans="8:14" x14ac:dyDescent="0.25">
      <c r="H321" s="37"/>
      <c r="I321" s="79"/>
      <c r="J321" s="70"/>
      <c r="K321" s="57"/>
      <c r="L321" s="11"/>
      <c r="M321" s="41"/>
      <c r="N321" s="11"/>
    </row>
    <row r="322" spans="8:14" x14ac:dyDescent="0.25">
      <c r="H322" s="37"/>
      <c r="I322" s="79"/>
      <c r="J322" s="70"/>
      <c r="K322" s="57"/>
      <c r="L322" s="11"/>
      <c r="M322" s="41"/>
      <c r="N322" s="11"/>
    </row>
    <row r="323" spans="8:14" x14ac:dyDescent="0.25">
      <c r="H323" s="37"/>
      <c r="I323" s="79"/>
      <c r="J323" s="70"/>
      <c r="K323" s="57"/>
      <c r="L323" s="11"/>
      <c r="M323" s="41"/>
      <c r="N323" s="11"/>
    </row>
    <row r="324" spans="8:14" x14ac:dyDescent="0.25">
      <c r="H324" s="37"/>
      <c r="I324" s="79"/>
      <c r="J324" s="70"/>
      <c r="K324" s="57"/>
      <c r="L324" s="11"/>
      <c r="M324" s="41"/>
      <c r="N324" s="11"/>
    </row>
    <row r="325" spans="8:14" x14ac:dyDescent="0.25">
      <c r="H325" s="37"/>
      <c r="I325" s="79"/>
      <c r="J325" s="70"/>
      <c r="K325" s="57"/>
      <c r="L325" s="11"/>
      <c r="M325" s="41"/>
      <c r="N325" s="11"/>
    </row>
    <row r="326" spans="8:14" x14ac:dyDescent="0.25">
      <c r="H326" s="37"/>
      <c r="I326" s="79"/>
      <c r="J326" s="70"/>
      <c r="K326" s="57"/>
      <c r="L326" s="11"/>
      <c r="M326" s="41"/>
      <c r="N326" s="11"/>
    </row>
    <row r="327" spans="8:14" x14ac:dyDescent="0.25">
      <c r="H327" s="37"/>
      <c r="I327" s="79"/>
      <c r="J327" s="70"/>
      <c r="K327" s="57"/>
      <c r="L327" s="11"/>
      <c r="M327" s="41"/>
      <c r="N327" s="11"/>
    </row>
    <row r="328" spans="8:14" x14ac:dyDescent="0.25">
      <c r="H328" s="37"/>
      <c r="I328" s="79"/>
      <c r="J328" s="70"/>
      <c r="K328" s="57"/>
      <c r="L328" s="11"/>
      <c r="M328" s="41"/>
      <c r="N328" s="11"/>
    </row>
    <row r="329" spans="8:14" x14ac:dyDescent="0.25">
      <c r="H329" s="37"/>
      <c r="I329" s="79"/>
      <c r="J329" s="70"/>
      <c r="K329" s="57"/>
      <c r="L329" s="11"/>
      <c r="M329" s="41"/>
      <c r="N329" s="11"/>
    </row>
    <row r="330" spans="8:14" x14ac:dyDescent="0.25">
      <c r="H330" s="37"/>
      <c r="I330" s="79"/>
      <c r="J330" s="70"/>
      <c r="K330" s="57"/>
      <c r="L330" s="11"/>
      <c r="M330" s="41"/>
      <c r="N330" s="11"/>
    </row>
    <row r="331" spans="8:14" x14ac:dyDescent="0.25">
      <c r="H331" s="37"/>
      <c r="I331" s="79"/>
      <c r="J331" s="70"/>
      <c r="K331" s="57"/>
      <c r="L331" s="11"/>
      <c r="M331" s="41"/>
      <c r="N331" s="11"/>
    </row>
    <row r="332" spans="8:14" x14ac:dyDescent="0.25">
      <c r="H332" s="37"/>
      <c r="I332" s="79"/>
      <c r="J332" s="70"/>
      <c r="K332" s="57"/>
      <c r="L332" s="11"/>
      <c r="M332" s="41"/>
      <c r="N332" s="11"/>
    </row>
    <row r="333" spans="8:14" x14ac:dyDescent="0.25">
      <c r="H333" s="37"/>
      <c r="I333" s="79"/>
      <c r="J333" s="70"/>
      <c r="K333" s="57"/>
      <c r="L333" s="11"/>
      <c r="M333" s="41"/>
      <c r="N333" s="11"/>
    </row>
    <row r="334" spans="8:14" x14ac:dyDescent="0.25">
      <c r="H334" s="37"/>
      <c r="I334" s="79"/>
      <c r="J334" s="70"/>
      <c r="K334" s="57"/>
      <c r="L334" s="11"/>
      <c r="M334" s="41"/>
      <c r="N334" s="11"/>
    </row>
    <row r="335" spans="8:14" x14ac:dyDescent="0.25">
      <c r="H335" s="37"/>
      <c r="I335" s="79"/>
      <c r="J335" s="70"/>
      <c r="K335" s="57"/>
      <c r="L335" s="11"/>
      <c r="M335" s="41"/>
      <c r="N335" s="11"/>
    </row>
    <row r="336" spans="8:14" x14ac:dyDescent="0.25">
      <c r="H336" s="37"/>
      <c r="I336" s="79"/>
      <c r="J336" s="70"/>
      <c r="K336" s="57"/>
      <c r="L336" s="11"/>
      <c r="M336" s="41"/>
      <c r="N336" s="11"/>
    </row>
    <row r="337" spans="8:14" x14ac:dyDescent="0.25">
      <c r="H337" s="37"/>
      <c r="I337" s="79"/>
      <c r="J337" s="70"/>
      <c r="K337" s="57"/>
      <c r="L337" s="11"/>
      <c r="M337" s="41"/>
      <c r="N337" s="11"/>
    </row>
    <row r="338" spans="8:14" x14ac:dyDescent="0.25">
      <c r="H338" s="37"/>
      <c r="I338" s="79"/>
      <c r="J338" s="70"/>
      <c r="K338" s="57"/>
      <c r="L338" s="11"/>
      <c r="M338" s="41"/>
      <c r="N338" s="11"/>
    </row>
    <row r="339" spans="8:14" x14ac:dyDescent="0.25">
      <c r="H339" s="37"/>
      <c r="I339" s="79"/>
      <c r="J339" s="70"/>
      <c r="K339" s="57"/>
      <c r="L339" s="11"/>
      <c r="M339" s="41"/>
      <c r="N339" s="11"/>
    </row>
    <row r="340" spans="8:14" x14ac:dyDescent="0.25">
      <c r="H340" s="37"/>
      <c r="I340" s="79"/>
      <c r="J340" s="70"/>
      <c r="K340" s="57"/>
      <c r="L340" s="11"/>
      <c r="M340" s="41"/>
      <c r="N340" s="11"/>
    </row>
    <row r="341" spans="8:14" x14ac:dyDescent="0.25">
      <c r="H341" s="37"/>
      <c r="I341" s="79"/>
      <c r="J341" s="70"/>
      <c r="K341" s="57"/>
      <c r="L341" s="11"/>
      <c r="M341" s="41"/>
      <c r="N341" s="11"/>
    </row>
    <row r="342" spans="8:14" x14ac:dyDescent="0.25">
      <c r="H342" s="37"/>
      <c r="I342" s="79"/>
      <c r="J342" s="70"/>
      <c r="K342" s="57"/>
      <c r="L342" s="11"/>
      <c r="M342" s="41"/>
      <c r="N342" s="11"/>
    </row>
    <row r="343" spans="8:14" x14ac:dyDescent="0.25">
      <c r="H343" s="37"/>
      <c r="I343" s="79"/>
      <c r="J343" s="70"/>
      <c r="K343" s="57"/>
      <c r="L343" s="11"/>
      <c r="M343" s="41"/>
      <c r="N343" s="11"/>
    </row>
    <row r="344" spans="8:14" x14ac:dyDescent="0.25">
      <c r="H344" s="37"/>
      <c r="I344" s="79"/>
      <c r="J344" s="70"/>
      <c r="K344" s="57"/>
      <c r="L344" s="11"/>
      <c r="M344" s="41"/>
      <c r="N344" s="11"/>
    </row>
    <row r="345" spans="8:14" x14ac:dyDescent="0.25">
      <c r="H345" s="37"/>
      <c r="I345" s="79"/>
      <c r="J345" s="70"/>
      <c r="K345" s="57"/>
      <c r="L345" s="11"/>
      <c r="M345" s="41"/>
      <c r="N345" s="11"/>
    </row>
    <row r="346" spans="8:14" x14ac:dyDescent="0.25">
      <c r="H346" s="37"/>
      <c r="I346" s="79"/>
      <c r="J346" s="70"/>
      <c r="K346" s="57"/>
      <c r="L346" s="11"/>
      <c r="M346" s="41"/>
      <c r="N346" s="11"/>
    </row>
    <row r="347" spans="8:14" x14ac:dyDescent="0.25">
      <c r="H347" s="37"/>
      <c r="I347" s="79"/>
      <c r="J347" s="70"/>
      <c r="K347" s="57"/>
      <c r="L347" s="11"/>
      <c r="M347" s="41"/>
      <c r="N347" s="11"/>
    </row>
    <row r="348" spans="8:14" x14ac:dyDescent="0.25">
      <c r="H348" s="37"/>
      <c r="I348" s="79"/>
      <c r="J348" s="70"/>
      <c r="K348" s="57"/>
      <c r="L348" s="11"/>
      <c r="M348" s="41"/>
      <c r="N348" s="11"/>
    </row>
    <row r="349" spans="8:14" x14ac:dyDescent="0.25">
      <c r="H349" s="37"/>
      <c r="I349" s="79"/>
      <c r="J349" s="70"/>
      <c r="K349" s="57"/>
      <c r="L349" s="11"/>
      <c r="M349" s="41"/>
      <c r="N349" s="11"/>
    </row>
    <row r="350" spans="8:14" x14ac:dyDescent="0.25">
      <c r="H350" s="37"/>
      <c r="I350" s="79"/>
      <c r="J350" s="70"/>
      <c r="K350" s="57"/>
      <c r="L350" s="11"/>
      <c r="M350" s="41"/>
      <c r="N350" s="11"/>
    </row>
    <row r="351" spans="8:14" x14ac:dyDescent="0.25">
      <c r="H351" s="37"/>
      <c r="I351" s="79"/>
      <c r="J351" s="70"/>
      <c r="K351" s="57"/>
      <c r="L351" s="11"/>
      <c r="M351" s="41"/>
      <c r="N351" s="11"/>
    </row>
    <row r="352" spans="8:14" x14ac:dyDescent="0.25">
      <c r="H352" s="37"/>
      <c r="I352" s="79"/>
      <c r="J352" s="70"/>
      <c r="K352" s="57"/>
      <c r="L352" s="11"/>
      <c r="M352" s="41"/>
      <c r="N352" s="11"/>
    </row>
    <row r="353" spans="8:14" x14ac:dyDescent="0.25">
      <c r="H353" s="37"/>
      <c r="I353" s="79"/>
      <c r="J353" s="70"/>
      <c r="K353" s="57"/>
      <c r="L353" s="11"/>
      <c r="M353" s="41"/>
      <c r="N353" s="11"/>
    </row>
    <row r="354" spans="8:14" x14ac:dyDescent="0.25">
      <c r="H354" s="37"/>
      <c r="I354" s="79"/>
      <c r="J354" s="70"/>
      <c r="K354" s="57"/>
      <c r="L354" s="11"/>
      <c r="M354" s="41"/>
      <c r="N354" s="11"/>
    </row>
    <row r="355" spans="8:14" x14ac:dyDescent="0.25">
      <c r="H355" s="37"/>
      <c r="I355" s="79"/>
      <c r="J355" s="70"/>
      <c r="K355" s="57"/>
      <c r="L355" s="11"/>
      <c r="M355" s="41"/>
      <c r="N355" s="11"/>
    </row>
    <row r="356" spans="8:14" x14ac:dyDescent="0.25">
      <c r="H356" s="37"/>
      <c r="I356" s="79"/>
      <c r="J356" s="70"/>
      <c r="K356" s="57"/>
      <c r="L356" s="11"/>
      <c r="M356" s="41"/>
      <c r="N356" s="11"/>
    </row>
    <row r="357" spans="8:14" x14ac:dyDescent="0.25">
      <c r="H357" s="37"/>
      <c r="I357" s="79"/>
      <c r="J357" s="70"/>
      <c r="K357" s="57"/>
      <c r="L357" s="11"/>
      <c r="M357" s="41"/>
      <c r="N357" s="11"/>
    </row>
    <row r="358" spans="8:14" x14ac:dyDescent="0.25">
      <c r="H358" s="37"/>
      <c r="I358" s="79"/>
      <c r="J358" s="70"/>
      <c r="K358" s="57"/>
      <c r="L358" s="11"/>
      <c r="M358" s="41"/>
      <c r="N358" s="11"/>
    </row>
    <row r="359" spans="8:14" x14ac:dyDescent="0.25">
      <c r="H359" s="37"/>
      <c r="I359" s="79"/>
      <c r="J359" s="70"/>
      <c r="K359" s="57"/>
      <c r="L359" s="11"/>
      <c r="M359" s="41"/>
      <c r="N359" s="11"/>
    </row>
    <row r="360" spans="8:14" x14ac:dyDescent="0.25">
      <c r="H360" s="37"/>
      <c r="I360" s="79"/>
      <c r="J360" s="70"/>
      <c r="K360" s="57"/>
      <c r="L360" s="11"/>
      <c r="M360" s="41"/>
      <c r="N360" s="11"/>
    </row>
    <row r="361" spans="8:14" x14ac:dyDescent="0.25">
      <c r="H361" s="37"/>
      <c r="I361" s="79"/>
      <c r="J361" s="70"/>
      <c r="K361" s="57"/>
      <c r="L361" s="11"/>
      <c r="M361" s="41"/>
      <c r="N361" s="11"/>
    </row>
    <row r="362" spans="8:14" x14ac:dyDescent="0.25">
      <c r="H362" s="37"/>
      <c r="I362" s="79"/>
      <c r="J362" s="70"/>
      <c r="K362" s="57"/>
      <c r="L362" s="11"/>
      <c r="M362" s="41"/>
      <c r="N362" s="11"/>
    </row>
    <row r="363" spans="8:14" x14ac:dyDescent="0.25">
      <c r="H363" s="37"/>
      <c r="I363" s="79"/>
      <c r="J363" s="70"/>
      <c r="K363" s="57"/>
      <c r="L363" s="11"/>
      <c r="M363" s="41"/>
      <c r="N363" s="11"/>
    </row>
    <row r="364" spans="8:14" x14ac:dyDescent="0.25">
      <c r="H364" s="37"/>
      <c r="I364" s="79"/>
      <c r="J364" s="70"/>
      <c r="K364" s="57"/>
      <c r="L364" s="11"/>
      <c r="M364" s="41"/>
      <c r="N364" s="11"/>
    </row>
    <row r="365" spans="8:14" x14ac:dyDescent="0.25">
      <c r="H365" s="37"/>
      <c r="I365" s="79"/>
      <c r="J365" s="70"/>
      <c r="K365" s="57"/>
      <c r="L365" s="11"/>
      <c r="M365" s="41"/>
      <c r="N365" s="11"/>
    </row>
    <row r="366" spans="8:14" x14ac:dyDescent="0.25">
      <c r="H366" s="37"/>
      <c r="I366" s="79"/>
      <c r="J366" s="70"/>
      <c r="K366" s="57"/>
      <c r="L366" s="11"/>
      <c r="M366" s="41"/>
      <c r="N366" s="11"/>
    </row>
    <row r="367" spans="8:14" x14ac:dyDescent="0.25">
      <c r="H367" s="37"/>
      <c r="I367" s="79"/>
      <c r="J367" s="70"/>
      <c r="K367" s="57"/>
      <c r="L367" s="11"/>
      <c r="M367" s="41"/>
      <c r="N367" s="11"/>
    </row>
    <row r="368" spans="8:14" x14ac:dyDescent="0.25">
      <c r="H368" s="37"/>
      <c r="I368" s="79"/>
      <c r="J368" s="70"/>
      <c r="K368" s="57"/>
      <c r="L368" s="11"/>
      <c r="M368" s="41"/>
      <c r="N368" s="11"/>
    </row>
    <row r="369" spans="8:14" x14ac:dyDescent="0.25">
      <c r="H369" s="37"/>
      <c r="I369" s="79"/>
      <c r="J369" s="70"/>
      <c r="K369" s="57"/>
      <c r="L369" s="11"/>
      <c r="M369" s="41"/>
      <c r="N369" s="11"/>
    </row>
    <row r="370" spans="8:14" x14ac:dyDescent="0.25">
      <c r="H370" s="37"/>
      <c r="I370" s="79"/>
      <c r="J370" s="70"/>
      <c r="K370" s="57"/>
      <c r="L370" s="11"/>
      <c r="M370" s="41"/>
      <c r="N370" s="11"/>
    </row>
    <row r="371" spans="8:14" x14ac:dyDescent="0.25">
      <c r="H371" s="37"/>
      <c r="I371" s="79"/>
      <c r="J371" s="70"/>
      <c r="K371" s="57"/>
      <c r="L371" s="11"/>
      <c r="M371" s="41"/>
      <c r="N371" s="11"/>
    </row>
    <row r="372" spans="8:14" x14ac:dyDescent="0.25">
      <c r="H372" s="37"/>
      <c r="I372" s="79"/>
      <c r="J372" s="70"/>
      <c r="K372" s="57"/>
      <c r="L372" s="11"/>
      <c r="M372" s="41"/>
      <c r="N372" s="11"/>
    </row>
    <row r="373" spans="8:14" x14ac:dyDescent="0.25">
      <c r="H373" s="37"/>
      <c r="I373" s="79"/>
      <c r="J373" s="70"/>
      <c r="K373" s="57"/>
      <c r="L373" s="11"/>
      <c r="M373" s="41"/>
      <c r="N373" s="11"/>
    </row>
    <row r="374" spans="8:14" x14ac:dyDescent="0.25">
      <c r="H374" s="37"/>
      <c r="I374" s="79"/>
      <c r="J374" s="70"/>
      <c r="K374" s="57"/>
      <c r="L374" s="11"/>
      <c r="M374" s="41"/>
      <c r="N374" s="11"/>
    </row>
    <row r="375" spans="8:14" x14ac:dyDescent="0.25">
      <c r="H375" s="37"/>
      <c r="I375" s="79"/>
      <c r="J375" s="70"/>
      <c r="K375" s="57"/>
      <c r="L375" s="11"/>
      <c r="M375" s="41"/>
      <c r="N375" s="11"/>
    </row>
    <row r="376" spans="8:14" x14ac:dyDescent="0.25">
      <c r="H376" s="37"/>
      <c r="I376" s="79"/>
      <c r="J376" s="70"/>
      <c r="K376" s="57"/>
      <c r="L376" s="11"/>
      <c r="M376" s="41"/>
      <c r="N376" s="11"/>
    </row>
    <row r="377" spans="8:14" x14ac:dyDescent="0.25">
      <c r="H377" s="37"/>
      <c r="I377" s="79"/>
      <c r="J377" s="70"/>
      <c r="K377" s="57"/>
      <c r="L377" s="11"/>
      <c r="M377" s="41"/>
      <c r="N377" s="11"/>
    </row>
    <row r="378" spans="8:14" x14ac:dyDescent="0.25">
      <c r="H378" s="37"/>
      <c r="I378" s="79"/>
      <c r="J378" s="70"/>
      <c r="K378" s="57"/>
      <c r="L378" s="11"/>
      <c r="M378" s="41"/>
      <c r="N378" s="11"/>
    </row>
    <row r="379" spans="8:14" x14ac:dyDescent="0.25">
      <c r="H379" s="37"/>
      <c r="I379" s="79"/>
      <c r="J379" s="70"/>
      <c r="K379" s="57"/>
      <c r="L379" s="11"/>
      <c r="M379" s="41"/>
      <c r="N379" s="11"/>
    </row>
    <row r="380" spans="8:14" x14ac:dyDescent="0.25">
      <c r="H380" s="37"/>
      <c r="I380" s="79"/>
      <c r="J380" s="70"/>
      <c r="K380" s="57"/>
      <c r="L380" s="11"/>
      <c r="M380" s="41"/>
      <c r="N380" s="11"/>
    </row>
    <row r="381" spans="8:14" x14ac:dyDescent="0.25">
      <c r="H381" s="37"/>
      <c r="I381" s="79"/>
      <c r="J381" s="70"/>
      <c r="K381" s="57"/>
      <c r="L381" s="11"/>
      <c r="M381" s="41"/>
      <c r="N381" s="11"/>
    </row>
    <row r="382" spans="8:14" x14ac:dyDescent="0.25">
      <c r="H382" s="37"/>
      <c r="I382" s="79"/>
      <c r="J382" s="70"/>
      <c r="K382" s="57"/>
      <c r="L382" s="11"/>
      <c r="M382" s="41"/>
      <c r="N382" s="11"/>
    </row>
    <row r="383" spans="8:14" x14ac:dyDescent="0.25">
      <c r="H383" s="37"/>
      <c r="I383" s="79"/>
      <c r="J383" s="70"/>
      <c r="K383" s="57"/>
      <c r="L383" s="11"/>
      <c r="M383" s="41"/>
      <c r="N383" s="11"/>
    </row>
    <row r="384" spans="8:14" x14ac:dyDescent="0.25">
      <c r="H384" s="37"/>
      <c r="I384" s="79"/>
      <c r="J384" s="70"/>
      <c r="K384" s="57"/>
      <c r="L384" s="11"/>
      <c r="M384" s="41"/>
      <c r="N384" s="11"/>
    </row>
    <row r="385" spans="8:14" x14ac:dyDescent="0.25">
      <c r="H385" s="37"/>
      <c r="I385" s="79"/>
      <c r="J385" s="70"/>
      <c r="K385" s="57"/>
      <c r="L385" s="11"/>
      <c r="M385" s="41"/>
      <c r="N385" s="11"/>
    </row>
    <row r="386" spans="8:14" x14ac:dyDescent="0.25">
      <c r="H386" s="37"/>
      <c r="I386" s="79"/>
      <c r="J386" s="70"/>
      <c r="K386" s="57"/>
      <c r="L386" s="11"/>
      <c r="M386" s="41"/>
      <c r="N386" s="11"/>
    </row>
    <row r="387" spans="8:14" x14ac:dyDescent="0.25">
      <c r="H387" s="37"/>
      <c r="I387" s="79"/>
      <c r="J387" s="70"/>
      <c r="K387" s="57"/>
      <c r="L387" s="11"/>
      <c r="M387" s="41"/>
      <c r="N387" s="11"/>
    </row>
    <row r="388" spans="8:14" x14ac:dyDescent="0.25">
      <c r="H388" s="37"/>
      <c r="I388" s="79"/>
      <c r="J388" s="70"/>
      <c r="K388" s="57"/>
      <c r="L388" s="11"/>
      <c r="M388" s="41"/>
      <c r="N388" s="11"/>
    </row>
    <row r="389" spans="8:14" x14ac:dyDescent="0.25">
      <c r="H389" s="37"/>
      <c r="I389" s="79"/>
      <c r="J389" s="70"/>
      <c r="K389" s="57"/>
      <c r="L389" s="11"/>
      <c r="M389" s="41"/>
      <c r="N389" s="11"/>
    </row>
    <row r="390" spans="8:14" x14ac:dyDescent="0.25">
      <c r="H390" s="37"/>
      <c r="I390" s="79"/>
      <c r="J390" s="70"/>
      <c r="K390" s="57"/>
      <c r="L390" s="11"/>
      <c r="M390" s="41"/>
      <c r="N390" s="11"/>
    </row>
    <row r="391" spans="8:14" x14ac:dyDescent="0.25">
      <c r="H391" s="37"/>
      <c r="I391" s="79"/>
      <c r="J391" s="70"/>
      <c r="K391" s="57"/>
      <c r="L391" s="11"/>
      <c r="M391" s="41"/>
      <c r="N391" s="11"/>
    </row>
    <row r="392" spans="8:14" x14ac:dyDescent="0.25">
      <c r="H392" s="37"/>
      <c r="I392" s="79"/>
      <c r="J392" s="70"/>
      <c r="K392" s="57"/>
      <c r="L392" s="11"/>
      <c r="M392" s="41"/>
      <c r="N392" s="11"/>
    </row>
    <row r="393" spans="8:14" x14ac:dyDescent="0.25">
      <c r="H393" s="37"/>
      <c r="I393" s="79"/>
      <c r="J393" s="70"/>
      <c r="K393" s="57"/>
      <c r="L393" s="11"/>
      <c r="M393" s="41"/>
      <c r="N393" s="11"/>
    </row>
    <row r="394" spans="8:14" x14ac:dyDescent="0.25">
      <c r="H394" s="37"/>
      <c r="I394" s="79"/>
      <c r="J394" s="70"/>
      <c r="K394" s="57"/>
      <c r="L394" s="11"/>
      <c r="M394" s="41"/>
      <c r="N394" s="11"/>
    </row>
    <row r="395" spans="8:14" x14ac:dyDescent="0.25">
      <c r="H395" s="37"/>
      <c r="I395" s="79"/>
      <c r="J395" s="70"/>
      <c r="K395" s="57"/>
      <c r="L395" s="11"/>
      <c r="M395" s="41"/>
      <c r="N395" s="11"/>
    </row>
    <row r="396" spans="8:14" x14ac:dyDescent="0.25">
      <c r="H396" s="37"/>
      <c r="I396" s="79"/>
      <c r="J396" s="70"/>
      <c r="K396" s="57"/>
      <c r="L396" s="11"/>
      <c r="M396" s="41"/>
      <c r="N396" s="11"/>
    </row>
    <row r="397" spans="8:14" x14ac:dyDescent="0.25">
      <c r="H397" s="37"/>
      <c r="I397" s="79"/>
      <c r="J397" s="70"/>
      <c r="K397" s="57"/>
      <c r="L397" s="11"/>
      <c r="M397" s="41"/>
      <c r="N397" s="11"/>
    </row>
    <row r="398" spans="8:14" x14ac:dyDescent="0.25">
      <c r="H398" s="37"/>
      <c r="I398" s="79"/>
      <c r="J398" s="70"/>
      <c r="K398" s="57"/>
      <c r="L398" s="11"/>
      <c r="M398" s="41"/>
      <c r="N398" s="11"/>
    </row>
    <row r="399" spans="8:14" x14ac:dyDescent="0.25">
      <c r="H399" s="37"/>
      <c r="I399" s="79"/>
      <c r="J399" s="70"/>
      <c r="K399" s="57"/>
      <c r="L399" s="11"/>
      <c r="M399" s="41"/>
      <c r="N399" s="11"/>
    </row>
    <row r="400" spans="8:14" x14ac:dyDescent="0.25">
      <c r="H400" s="37"/>
      <c r="I400" s="79"/>
      <c r="J400" s="70"/>
      <c r="K400" s="57"/>
      <c r="L400" s="11"/>
      <c r="M400" s="41"/>
      <c r="N400" s="11"/>
    </row>
    <row r="401" spans="8:14" x14ac:dyDescent="0.25">
      <c r="H401" s="37"/>
      <c r="I401" s="79"/>
      <c r="J401" s="70"/>
      <c r="K401" s="57"/>
      <c r="L401" s="11"/>
      <c r="M401" s="41"/>
      <c r="N401" s="11"/>
    </row>
    <row r="402" spans="8:14" x14ac:dyDescent="0.25">
      <c r="H402" s="37"/>
      <c r="I402" s="79"/>
      <c r="J402" s="70"/>
      <c r="K402" s="57"/>
      <c r="L402" s="11"/>
      <c r="M402" s="41"/>
      <c r="N402" s="11"/>
    </row>
    <row r="403" spans="8:14" x14ac:dyDescent="0.25">
      <c r="H403" s="37"/>
      <c r="I403" s="79"/>
      <c r="J403" s="70"/>
      <c r="K403" s="57"/>
      <c r="L403" s="11"/>
      <c r="M403" s="41"/>
      <c r="N403" s="11"/>
    </row>
    <row r="404" spans="8:14" x14ac:dyDescent="0.25">
      <c r="H404" s="37"/>
      <c r="I404" s="79"/>
      <c r="J404" s="70"/>
      <c r="K404" s="57"/>
      <c r="L404" s="11"/>
      <c r="M404" s="41"/>
      <c r="N404" s="11"/>
    </row>
    <row r="405" spans="8:14" x14ac:dyDescent="0.25">
      <c r="H405" s="37"/>
      <c r="I405" s="79"/>
      <c r="J405" s="70"/>
      <c r="K405" s="57"/>
      <c r="L405" s="11"/>
      <c r="M405" s="41"/>
      <c r="N405" s="11"/>
    </row>
    <row r="406" spans="8:14" x14ac:dyDescent="0.25">
      <c r="H406" s="37"/>
      <c r="I406" s="79"/>
      <c r="J406" s="70"/>
      <c r="K406" s="57"/>
      <c r="L406" s="11"/>
      <c r="M406" s="41"/>
      <c r="N406" s="11"/>
    </row>
    <row r="407" spans="8:14" x14ac:dyDescent="0.25">
      <c r="H407" s="37"/>
      <c r="I407" s="79"/>
      <c r="J407" s="70"/>
      <c r="K407" s="57"/>
      <c r="L407" s="11"/>
      <c r="M407" s="41"/>
      <c r="N407" s="11"/>
    </row>
    <row r="408" spans="8:14" x14ac:dyDescent="0.25">
      <c r="H408" s="37"/>
      <c r="I408" s="79"/>
      <c r="J408" s="70"/>
      <c r="K408" s="57"/>
      <c r="L408" s="11"/>
      <c r="M408" s="41"/>
      <c r="N408" s="11"/>
    </row>
    <row r="409" spans="8:14" x14ac:dyDescent="0.25">
      <c r="H409" s="37"/>
      <c r="I409" s="79"/>
      <c r="J409" s="70"/>
      <c r="K409" s="57"/>
      <c r="L409" s="11"/>
      <c r="M409" s="41"/>
      <c r="N409" s="11"/>
    </row>
    <row r="410" spans="8:14" x14ac:dyDescent="0.25">
      <c r="H410" s="37"/>
      <c r="I410" s="79"/>
      <c r="J410" s="70"/>
      <c r="K410" s="57"/>
      <c r="L410" s="11"/>
      <c r="M410" s="41"/>
      <c r="N410" s="11"/>
    </row>
    <row r="411" spans="8:14" x14ac:dyDescent="0.25">
      <c r="H411" s="37"/>
      <c r="I411" s="79"/>
      <c r="J411" s="70"/>
      <c r="K411" s="57"/>
      <c r="L411" s="11"/>
      <c r="M411" s="41"/>
      <c r="N411" s="11"/>
    </row>
    <row r="412" spans="8:14" x14ac:dyDescent="0.25">
      <c r="H412" s="37"/>
      <c r="I412" s="79"/>
      <c r="J412" s="70"/>
      <c r="K412" s="57"/>
      <c r="L412" s="11"/>
      <c r="M412" s="41"/>
      <c r="N412" s="11"/>
    </row>
    <row r="413" spans="8:14" x14ac:dyDescent="0.25">
      <c r="H413" s="37"/>
      <c r="I413" s="79"/>
      <c r="J413" s="70"/>
      <c r="K413" s="57"/>
      <c r="L413" s="11"/>
      <c r="M413" s="41"/>
      <c r="N413" s="11"/>
    </row>
    <row r="414" spans="8:14" x14ac:dyDescent="0.25">
      <c r="H414" s="37"/>
      <c r="I414" s="79"/>
      <c r="J414" s="70"/>
      <c r="K414" s="57"/>
      <c r="L414" s="11"/>
      <c r="M414" s="41"/>
      <c r="N414" s="11"/>
    </row>
    <row r="415" spans="8:14" x14ac:dyDescent="0.25">
      <c r="H415" s="37"/>
      <c r="I415" s="79"/>
      <c r="J415" s="70"/>
      <c r="K415" s="57"/>
      <c r="L415" s="11"/>
      <c r="M415" s="41"/>
      <c r="N415" s="11"/>
    </row>
    <row r="416" spans="8:14" x14ac:dyDescent="0.25">
      <c r="H416" s="37"/>
      <c r="I416" s="79"/>
      <c r="J416" s="70"/>
      <c r="K416" s="57"/>
      <c r="L416" s="11"/>
      <c r="M416" s="41"/>
      <c r="N416" s="11"/>
    </row>
    <row r="417" spans="8:14" x14ac:dyDescent="0.25">
      <c r="H417" s="37"/>
      <c r="I417" s="79"/>
      <c r="J417" s="70"/>
      <c r="K417" s="57"/>
      <c r="L417" s="11"/>
      <c r="M417" s="41"/>
      <c r="N417" s="11"/>
    </row>
    <row r="418" spans="8:14" x14ac:dyDescent="0.25">
      <c r="H418" s="37"/>
      <c r="I418" s="79"/>
      <c r="J418" s="70"/>
      <c r="K418" s="57"/>
      <c r="L418" s="11"/>
      <c r="M418" s="41"/>
      <c r="N418" s="11"/>
    </row>
    <row r="419" spans="8:14" x14ac:dyDescent="0.25">
      <c r="H419" s="37"/>
      <c r="I419" s="79"/>
      <c r="J419" s="70"/>
      <c r="K419" s="57"/>
      <c r="L419" s="11"/>
      <c r="M419" s="41"/>
      <c r="N419" s="11"/>
    </row>
    <row r="420" spans="8:14" x14ac:dyDescent="0.25">
      <c r="H420" s="37"/>
      <c r="I420" s="79"/>
      <c r="J420" s="70"/>
      <c r="K420" s="57"/>
      <c r="L420" s="11"/>
      <c r="M420" s="41"/>
      <c r="N420" s="11"/>
    </row>
    <row r="421" spans="8:14" x14ac:dyDescent="0.25">
      <c r="H421" s="37"/>
      <c r="I421" s="79"/>
      <c r="J421" s="70"/>
      <c r="K421" s="57"/>
      <c r="L421" s="11"/>
      <c r="M421" s="41"/>
      <c r="N421" s="11"/>
    </row>
    <row r="422" spans="8:14" x14ac:dyDescent="0.25">
      <c r="H422" s="37"/>
      <c r="I422" s="79"/>
      <c r="J422" s="70"/>
      <c r="K422" s="57"/>
      <c r="L422" s="11"/>
      <c r="M422" s="41"/>
      <c r="N422" s="11"/>
    </row>
    <row r="423" spans="8:14" x14ac:dyDescent="0.25">
      <c r="H423" s="37"/>
      <c r="I423" s="79"/>
      <c r="J423" s="70"/>
      <c r="K423" s="57"/>
      <c r="L423" s="11"/>
      <c r="M423" s="41"/>
      <c r="N423" s="11"/>
    </row>
    <row r="424" spans="8:14" x14ac:dyDescent="0.25">
      <c r="H424" s="37"/>
      <c r="I424" s="79"/>
      <c r="J424" s="70"/>
      <c r="K424" s="57"/>
      <c r="L424" s="11"/>
      <c r="M424" s="41"/>
      <c r="N424" s="11"/>
    </row>
    <row r="425" spans="8:14" x14ac:dyDescent="0.25">
      <c r="H425" s="37"/>
      <c r="I425" s="79"/>
      <c r="J425" s="70"/>
      <c r="K425" s="57"/>
      <c r="L425" s="11"/>
      <c r="M425" s="41"/>
      <c r="N425" s="11"/>
    </row>
    <row r="426" spans="8:14" x14ac:dyDescent="0.25">
      <c r="H426" s="37"/>
      <c r="I426" s="79"/>
      <c r="J426" s="70"/>
      <c r="K426" s="57"/>
      <c r="L426" s="11"/>
      <c r="M426" s="41"/>
      <c r="N426" s="11"/>
    </row>
    <row r="427" spans="8:14" x14ac:dyDescent="0.25">
      <c r="H427" s="37"/>
      <c r="I427" s="79"/>
      <c r="J427" s="70"/>
      <c r="K427" s="57"/>
      <c r="L427" s="11"/>
      <c r="M427" s="41"/>
      <c r="N427" s="11"/>
    </row>
    <row r="428" spans="8:14" x14ac:dyDescent="0.25">
      <c r="H428" s="37"/>
      <c r="I428" s="79"/>
      <c r="J428" s="70"/>
      <c r="K428" s="57"/>
      <c r="L428" s="11"/>
      <c r="M428" s="41"/>
      <c r="N428" s="11"/>
    </row>
    <row r="429" spans="8:14" x14ac:dyDescent="0.25">
      <c r="H429" s="37"/>
      <c r="I429" s="79"/>
      <c r="J429" s="70"/>
      <c r="K429" s="57"/>
      <c r="L429" s="11"/>
      <c r="M429" s="41"/>
      <c r="N429" s="11"/>
    </row>
    <row r="430" spans="8:14" x14ac:dyDescent="0.25">
      <c r="H430" s="37"/>
      <c r="I430" s="79"/>
      <c r="J430" s="70"/>
      <c r="K430" s="57"/>
      <c r="L430" s="11"/>
      <c r="M430" s="41"/>
      <c r="N430" s="11"/>
    </row>
    <row r="431" spans="8:14" x14ac:dyDescent="0.25">
      <c r="H431" s="37"/>
      <c r="I431" s="79"/>
      <c r="J431" s="70"/>
      <c r="K431" s="57"/>
      <c r="L431" s="11"/>
      <c r="M431" s="41"/>
      <c r="N431" s="11"/>
    </row>
    <row r="432" spans="8:14" x14ac:dyDescent="0.25">
      <c r="H432" s="37"/>
      <c r="I432" s="79"/>
      <c r="J432" s="70"/>
      <c r="K432" s="57"/>
      <c r="L432" s="11"/>
      <c r="M432" s="41"/>
      <c r="N432" s="11"/>
    </row>
    <row r="433" spans="8:14" x14ac:dyDescent="0.25">
      <c r="H433" s="37"/>
      <c r="I433" s="79"/>
      <c r="J433" s="70"/>
      <c r="K433" s="57"/>
      <c r="L433" s="11"/>
      <c r="M433" s="41"/>
      <c r="N433" s="11"/>
    </row>
    <row r="434" spans="8:14" x14ac:dyDescent="0.25">
      <c r="H434" s="37"/>
      <c r="I434" s="79"/>
      <c r="J434" s="70"/>
      <c r="K434" s="57"/>
      <c r="L434" s="11"/>
      <c r="M434" s="41"/>
      <c r="N434" s="11"/>
    </row>
    <row r="435" spans="8:14" x14ac:dyDescent="0.25">
      <c r="H435" s="37"/>
      <c r="I435" s="79"/>
      <c r="J435" s="70"/>
      <c r="K435" s="57"/>
      <c r="L435" s="11"/>
      <c r="M435" s="41"/>
      <c r="N435" s="11"/>
    </row>
    <row r="436" spans="8:14" x14ac:dyDescent="0.25">
      <c r="H436" s="37"/>
      <c r="I436" s="79"/>
      <c r="J436" s="70"/>
      <c r="K436" s="57"/>
      <c r="L436" s="11"/>
      <c r="M436" s="41"/>
      <c r="N436" s="11"/>
    </row>
    <row r="437" spans="8:14" x14ac:dyDescent="0.25">
      <c r="H437" s="37"/>
      <c r="I437" s="79"/>
      <c r="J437" s="70"/>
      <c r="K437" s="57"/>
      <c r="L437" s="11"/>
      <c r="M437" s="41"/>
      <c r="N437" s="11"/>
    </row>
    <row r="438" spans="8:14" x14ac:dyDescent="0.25">
      <c r="H438" s="37"/>
      <c r="I438" s="79"/>
      <c r="J438" s="70"/>
      <c r="K438" s="57"/>
      <c r="L438" s="11"/>
      <c r="M438" s="41"/>
      <c r="N438" s="11"/>
    </row>
    <row r="439" spans="8:14" x14ac:dyDescent="0.25">
      <c r="H439" s="37"/>
      <c r="I439" s="79"/>
      <c r="J439" s="70"/>
      <c r="K439" s="57"/>
      <c r="L439" s="11"/>
      <c r="M439" s="41"/>
      <c r="N439" s="11"/>
    </row>
    <row r="440" spans="8:14" x14ac:dyDescent="0.25">
      <c r="H440" s="37"/>
      <c r="I440" s="79"/>
      <c r="J440" s="70"/>
      <c r="K440" s="57"/>
      <c r="L440" s="11"/>
      <c r="M440" s="41"/>
      <c r="N440" s="11"/>
    </row>
    <row r="441" spans="8:14" x14ac:dyDescent="0.25">
      <c r="H441" s="37"/>
      <c r="I441" s="79"/>
      <c r="J441" s="70"/>
      <c r="K441" s="57"/>
      <c r="L441" s="11"/>
      <c r="M441" s="41"/>
      <c r="N441" s="11"/>
    </row>
    <row r="442" spans="8:14" x14ac:dyDescent="0.25">
      <c r="H442" s="37"/>
      <c r="I442" s="79"/>
      <c r="J442" s="70"/>
      <c r="K442" s="57"/>
      <c r="L442" s="11"/>
      <c r="M442" s="41"/>
      <c r="N442" s="11"/>
    </row>
    <row r="443" spans="8:14" x14ac:dyDescent="0.25">
      <c r="H443" s="37"/>
      <c r="I443" s="79"/>
      <c r="J443" s="70"/>
      <c r="K443" s="57"/>
      <c r="L443" s="11"/>
      <c r="M443" s="41"/>
      <c r="N443" s="11"/>
    </row>
    <row r="444" spans="8:14" x14ac:dyDescent="0.25">
      <c r="H444" s="37"/>
      <c r="I444" s="79"/>
      <c r="J444" s="70"/>
      <c r="K444" s="57"/>
      <c r="L444" s="11"/>
      <c r="M444" s="41"/>
      <c r="N444" s="11"/>
    </row>
    <row r="445" spans="8:14" x14ac:dyDescent="0.25">
      <c r="H445" s="37"/>
      <c r="I445" s="79"/>
      <c r="J445" s="70"/>
      <c r="K445" s="57"/>
      <c r="L445" s="11"/>
      <c r="M445" s="41"/>
      <c r="N445" s="11"/>
    </row>
    <row r="446" spans="8:14" x14ac:dyDescent="0.25">
      <c r="H446" s="37"/>
      <c r="I446" s="79"/>
      <c r="J446" s="70"/>
      <c r="K446" s="57"/>
      <c r="L446" s="11"/>
      <c r="M446" s="41"/>
      <c r="N446" s="11"/>
    </row>
    <row r="447" spans="8:14" x14ac:dyDescent="0.25">
      <c r="H447" s="37"/>
      <c r="I447" s="79"/>
      <c r="J447" s="70"/>
      <c r="K447" s="57"/>
      <c r="L447" s="11"/>
      <c r="M447" s="41"/>
      <c r="N447" s="11"/>
    </row>
    <row r="448" spans="8:14" x14ac:dyDescent="0.25">
      <c r="H448" s="37"/>
      <c r="I448" s="79"/>
      <c r="J448" s="70"/>
      <c r="K448" s="57"/>
      <c r="L448" s="11"/>
      <c r="M448" s="41"/>
      <c r="N448" s="11"/>
    </row>
    <row r="449" spans="8:14" x14ac:dyDescent="0.25">
      <c r="H449" s="37"/>
      <c r="I449" s="79"/>
      <c r="J449" s="70"/>
      <c r="K449" s="57"/>
      <c r="L449" s="11"/>
      <c r="M449" s="41"/>
      <c r="N449" s="11"/>
    </row>
    <row r="450" spans="8:14" x14ac:dyDescent="0.25">
      <c r="H450" s="37"/>
      <c r="I450" s="79"/>
      <c r="J450" s="70"/>
      <c r="K450" s="57"/>
      <c r="L450" s="11"/>
      <c r="M450" s="41"/>
      <c r="N450" s="11"/>
    </row>
    <row r="451" spans="8:14" x14ac:dyDescent="0.25">
      <c r="H451" s="37"/>
      <c r="I451" s="79"/>
      <c r="J451" s="70"/>
      <c r="K451" s="57"/>
      <c r="L451" s="11"/>
      <c r="M451" s="41"/>
      <c r="N451" s="11"/>
    </row>
    <row r="452" spans="8:14" x14ac:dyDescent="0.25">
      <c r="H452" s="37"/>
      <c r="I452" s="79"/>
      <c r="J452" s="70"/>
      <c r="K452" s="57"/>
      <c r="L452" s="11"/>
      <c r="M452" s="41"/>
      <c r="N452" s="11"/>
    </row>
    <row r="453" spans="8:14" x14ac:dyDescent="0.25">
      <c r="H453" s="37"/>
      <c r="I453" s="79"/>
      <c r="J453" s="70"/>
      <c r="K453" s="57"/>
      <c r="L453" s="11"/>
      <c r="M453" s="41"/>
      <c r="N453" s="11"/>
    </row>
    <row r="454" spans="8:14" x14ac:dyDescent="0.25">
      <c r="H454" s="37"/>
      <c r="I454" s="79"/>
      <c r="J454" s="70"/>
      <c r="K454" s="57"/>
      <c r="L454" s="11"/>
      <c r="M454" s="41"/>
      <c r="N454" s="11"/>
    </row>
    <row r="455" spans="8:14" x14ac:dyDescent="0.25">
      <c r="H455" s="37"/>
      <c r="I455" s="79"/>
      <c r="J455" s="70"/>
      <c r="K455" s="57"/>
      <c r="L455" s="11"/>
      <c r="M455" s="41"/>
      <c r="N455" s="11"/>
    </row>
    <row r="456" spans="8:14" x14ac:dyDescent="0.25">
      <c r="H456" s="37"/>
      <c r="I456" s="79"/>
      <c r="J456" s="70"/>
      <c r="K456" s="57"/>
      <c r="L456" s="11"/>
      <c r="M456" s="41"/>
      <c r="N456" s="11"/>
    </row>
    <row r="457" spans="8:14" x14ac:dyDescent="0.25">
      <c r="H457" s="37"/>
      <c r="I457" s="79"/>
      <c r="J457" s="70"/>
      <c r="K457" s="57"/>
      <c r="L457" s="11"/>
      <c r="M457" s="41"/>
      <c r="N457" s="11"/>
    </row>
    <row r="458" spans="8:14" x14ac:dyDescent="0.25">
      <c r="H458" s="37"/>
      <c r="I458" s="79"/>
      <c r="J458" s="70"/>
      <c r="K458" s="57"/>
      <c r="L458" s="11"/>
      <c r="M458" s="41"/>
      <c r="N458" s="11"/>
    </row>
    <row r="459" spans="8:14" x14ac:dyDescent="0.25">
      <c r="H459" s="37"/>
      <c r="I459" s="79"/>
      <c r="J459" s="70"/>
      <c r="K459" s="57"/>
      <c r="L459" s="11"/>
      <c r="M459" s="41"/>
      <c r="N459" s="11"/>
    </row>
    <row r="460" spans="8:14" x14ac:dyDescent="0.25">
      <c r="H460" s="37"/>
      <c r="I460" s="79"/>
      <c r="J460" s="70"/>
      <c r="K460" s="57"/>
      <c r="L460" s="11"/>
      <c r="M460" s="41"/>
      <c r="N460" s="11"/>
    </row>
    <row r="461" spans="8:14" x14ac:dyDescent="0.25">
      <c r="H461" s="37"/>
      <c r="I461" s="79"/>
      <c r="J461" s="70"/>
      <c r="K461" s="57"/>
      <c r="L461" s="11"/>
      <c r="M461" s="41"/>
      <c r="N461" s="11"/>
    </row>
    <row r="462" spans="8:14" x14ac:dyDescent="0.25">
      <c r="H462" s="37"/>
      <c r="I462" s="79"/>
      <c r="J462" s="70"/>
      <c r="K462" s="57"/>
      <c r="L462" s="11"/>
      <c r="M462" s="41"/>
      <c r="N462" s="11"/>
    </row>
    <row r="463" spans="8:14" x14ac:dyDescent="0.25">
      <c r="H463" s="37"/>
      <c r="I463" s="79"/>
      <c r="J463" s="70"/>
      <c r="K463" s="57"/>
      <c r="L463" s="11"/>
      <c r="M463" s="41"/>
      <c r="N463" s="11"/>
    </row>
    <row r="464" spans="8:14" x14ac:dyDescent="0.25">
      <c r="H464" s="37"/>
      <c r="I464" s="79"/>
      <c r="J464" s="70"/>
      <c r="K464" s="57"/>
      <c r="L464" s="11"/>
      <c r="M464" s="41"/>
      <c r="N464" s="11"/>
    </row>
    <row r="465" spans="8:14" x14ac:dyDescent="0.25">
      <c r="H465" s="37"/>
      <c r="I465" s="79"/>
      <c r="J465" s="70"/>
      <c r="K465" s="57"/>
      <c r="L465" s="11"/>
      <c r="M465" s="41"/>
      <c r="N465" s="11"/>
    </row>
    <row r="466" spans="8:14" x14ac:dyDescent="0.25">
      <c r="H466" s="37"/>
      <c r="I466" s="79"/>
      <c r="J466" s="70"/>
      <c r="K466" s="57"/>
      <c r="L466" s="11"/>
      <c r="M466" s="41"/>
      <c r="N466" s="11"/>
    </row>
    <row r="467" spans="8:14" x14ac:dyDescent="0.25">
      <c r="H467" s="37"/>
      <c r="I467" s="79"/>
      <c r="J467" s="70"/>
      <c r="K467" s="57"/>
      <c r="L467" s="11"/>
      <c r="M467" s="41"/>
      <c r="N467" s="11"/>
    </row>
    <row r="468" spans="8:14" x14ac:dyDescent="0.25">
      <c r="H468" s="37"/>
      <c r="I468" s="79"/>
      <c r="J468" s="70"/>
      <c r="K468" s="57"/>
      <c r="L468" s="11"/>
      <c r="M468" s="41"/>
      <c r="N468" s="11"/>
    </row>
    <row r="469" spans="8:14" x14ac:dyDescent="0.25">
      <c r="H469" s="37"/>
      <c r="I469" s="79"/>
      <c r="J469" s="70"/>
      <c r="K469" s="57"/>
      <c r="L469" s="11"/>
      <c r="M469" s="41"/>
      <c r="N469" s="11"/>
    </row>
    <row r="470" spans="8:14" x14ac:dyDescent="0.25">
      <c r="H470" s="37"/>
      <c r="I470" s="79"/>
      <c r="J470" s="70"/>
      <c r="K470" s="57"/>
      <c r="L470" s="11"/>
      <c r="M470" s="41"/>
      <c r="N470" s="11"/>
    </row>
    <row r="471" spans="8:14" x14ac:dyDescent="0.25">
      <c r="H471" s="37"/>
      <c r="I471" s="79"/>
      <c r="J471" s="70"/>
      <c r="K471" s="57"/>
      <c r="L471" s="11"/>
      <c r="M471" s="41"/>
      <c r="N471" s="11"/>
    </row>
    <row r="472" spans="8:14" x14ac:dyDescent="0.25">
      <c r="H472" s="37"/>
      <c r="I472" s="79"/>
      <c r="J472" s="70"/>
      <c r="K472" s="57"/>
      <c r="L472" s="11"/>
      <c r="M472" s="41"/>
      <c r="N472" s="11"/>
    </row>
    <row r="473" spans="8:14" x14ac:dyDescent="0.25">
      <c r="H473" s="37"/>
      <c r="I473" s="79"/>
      <c r="J473" s="70"/>
      <c r="K473" s="57"/>
      <c r="L473" s="11"/>
      <c r="M473" s="41"/>
      <c r="N473" s="11"/>
    </row>
    <row r="474" spans="8:14" x14ac:dyDescent="0.25">
      <c r="H474" s="37"/>
      <c r="I474" s="79"/>
      <c r="J474" s="70"/>
      <c r="K474" s="57"/>
      <c r="L474" s="11"/>
      <c r="M474" s="41"/>
      <c r="N474" s="11"/>
    </row>
    <row r="475" spans="8:14" x14ac:dyDescent="0.25">
      <c r="H475" s="37"/>
      <c r="I475" s="79"/>
      <c r="J475" s="70"/>
      <c r="K475" s="57"/>
      <c r="L475" s="11"/>
      <c r="M475" s="41"/>
      <c r="N475" s="11"/>
    </row>
    <row r="476" spans="8:14" x14ac:dyDescent="0.25">
      <c r="H476" s="37"/>
      <c r="I476" s="79"/>
      <c r="J476" s="70"/>
      <c r="K476" s="57"/>
      <c r="L476" s="11"/>
      <c r="M476" s="41"/>
      <c r="N476" s="11"/>
    </row>
    <row r="477" spans="8:14" x14ac:dyDescent="0.25">
      <c r="H477" s="37"/>
      <c r="I477" s="79"/>
      <c r="J477" s="70"/>
      <c r="K477" s="57"/>
      <c r="L477" s="11"/>
      <c r="M477" s="41"/>
      <c r="N477" s="11"/>
    </row>
    <row r="478" spans="8:14" x14ac:dyDescent="0.25">
      <c r="H478" s="37"/>
      <c r="I478" s="79"/>
      <c r="J478" s="70"/>
      <c r="K478" s="57"/>
      <c r="L478" s="11"/>
      <c r="M478" s="41"/>
      <c r="N478" s="11"/>
    </row>
    <row r="479" spans="8:14" x14ac:dyDescent="0.25">
      <c r="H479" s="37"/>
      <c r="I479" s="79"/>
      <c r="J479" s="70"/>
      <c r="K479" s="57"/>
      <c r="L479" s="11"/>
      <c r="M479" s="41"/>
      <c r="N479" s="11"/>
    </row>
    <row r="480" spans="8:14" x14ac:dyDescent="0.25">
      <c r="H480" s="37"/>
      <c r="I480" s="79"/>
      <c r="J480" s="70"/>
      <c r="K480" s="57"/>
      <c r="L480" s="11"/>
      <c r="M480" s="41"/>
      <c r="N480" s="11"/>
    </row>
    <row r="481" spans="8:14" x14ac:dyDescent="0.25">
      <c r="H481" s="37"/>
      <c r="I481" s="79"/>
      <c r="J481" s="70"/>
      <c r="K481" s="57"/>
      <c r="L481" s="11"/>
      <c r="M481" s="41"/>
      <c r="N481" s="11"/>
    </row>
    <row r="482" spans="8:14" x14ac:dyDescent="0.25">
      <c r="H482" s="37"/>
      <c r="I482" s="79"/>
      <c r="J482" s="70"/>
      <c r="K482" s="57"/>
      <c r="L482" s="11"/>
      <c r="M482" s="41"/>
      <c r="N482" s="11"/>
    </row>
    <row r="483" spans="8:14" x14ac:dyDescent="0.25">
      <c r="H483" s="37"/>
      <c r="I483" s="79"/>
      <c r="J483" s="70"/>
      <c r="K483" s="57"/>
      <c r="L483" s="11"/>
      <c r="M483" s="41"/>
      <c r="N483" s="11"/>
    </row>
    <row r="484" spans="8:14" x14ac:dyDescent="0.25">
      <c r="H484" s="37"/>
      <c r="I484" s="79"/>
      <c r="J484" s="70"/>
      <c r="K484" s="57"/>
      <c r="L484" s="11"/>
      <c r="M484" s="41"/>
      <c r="N484" s="11"/>
    </row>
    <row r="485" spans="8:14" x14ac:dyDescent="0.25">
      <c r="H485" s="37"/>
      <c r="I485" s="79"/>
      <c r="J485" s="70"/>
      <c r="K485" s="57"/>
      <c r="L485" s="11"/>
      <c r="M485" s="41"/>
      <c r="N485" s="11"/>
    </row>
    <row r="486" spans="8:14" x14ac:dyDescent="0.25">
      <c r="H486" s="37"/>
      <c r="I486" s="79"/>
      <c r="J486" s="70"/>
      <c r="K486" s="57"/>
      <c r="L486" s="11"/>
      <c r="M486" s="41"/>
      <c r="N486" s="11"/>
    </row>
    <row r="487" spans="8:14" x14ac:dyDescent="0.25">
      <c r="H487" s="37"/>
      <c r="I487" s="79"/>
      <c r="J487" s="70"/>
      <c r="K487" s="57"/>
      <c r="L487" s="11"/>
      <c r="M487" s="41"/>
      <c r="N487" s="11"/>
    </row>
    <row r="488" spans="8:14" x14ac:dyDescent="0.25">
      <c r="H488" s="37"/>
      <c r="I488" s="79"/>
      <c r="J488" s="70"/>
      <c r="K488" s="57"/>
      <c r="L488" s="11"/>
      <c r="M488" s="41"/>
      <c r="N488" s="11"/>
    </row>
    <row r="489" spans="8:14" x14ac:dyDescent="0.25">
      <c r="H489" s="37"/>
      <c r="I489" s="79"/>
      <c r="J489" s="70"/>
      <c r="K489" s="57"/>
      <c r="L489" s="11"/>
      <c r="M489" s="41"/>
      <c r="N489" s="11"/>
    </row>
    <row r="490" spans="8:14" x14ac:dyDescent="0.25">
      <c r="H490" s="37"/>
      <c r="I490" s="79"/>
      <c r="J490" s="70"/>
      <c r="K490" s="57"/>
      <c r="L490" s="11"/>
      <c r="M490" s="41"/>
      <c r="N490" s="11"/>
    </row>
    <row r="491" spans="8:14" x14ac:dyDescent="0.25">
      <c r="H491" s="37"/>
      <c r="I491" s="79"/>
      <c r="J491" s="70"/>
      <c r="K491" s="57"/>
      <c r="L491" s="11"/>
      <c r="M491" s="41"/>
      <c r="N491" s="11"/>
    </row>
    <row r="492" spans="8:14" x14ac:dyDescent="0.25">
      <c r="H492" s="37"/>
      <c r="I492" s="79"/>
      <c r="J492" s="70"/>
      <c r="K492" s="57"/>
      <c r="L492" s="11"/>
      <c r="M492" s="41"/>
      <c r="N492" s="11"/>
    </row>
    <row r="493" spans="8:14" x14ac:dyDescent="0.25">
      <c r="H493" s="37"/>
      <c r="I493" s="79"/>
      <c r="J493" s="70"/>
      <c r="K493" s="57"/>
      <c r="L493" s="11"/>
      <c r="M493" s="41"/>
      <c r="N493" s="11"/>
    </row>
    <row r="494" spans="8:14" x14ac:dyDescent="0.25">
      <c r="H494" s="37"/>
      <c r="I494" s="79"/>
      <c r="J494" s="70"/>
      <c r="K494" s="57"/>
      <c r="L494" s="11"/>
      <c r="M494" s="41"/>
      <c r="N494" s="11"/>
    </row>
    <row r="495" spans="8:14" x14ac:dyDescent="0.25">
      <c r="H495" s="37"/>
      <c r="I495" s="79"/>
      <c r="J495" s="70"/>
      <c r="K495" s="57"/>
      <c r="L495" s="11"/>
      <c r="M495" s="41"/>
      <c r="N495" s="11"/>
    </row>
    <row r="496" spans="8:14" x14ac:dyDescent="0.25">
      <c r="H496" s="37"/>
      <c r="I496" s="79"/>
      <c r="J496" s="70"/>
      <c r="K496" s="57"/>
      <c r="L496" s="11"/>
      <c r="M496" s="41"/>
      <c r="N496" s="11"/>
    </row>
    <row r="497" spans="8:14" x14ac:dyDescent="0.25">
      <c r="H497" s="37"/>
      <c r="I497" s="79"/>
      <c r="J497" s="70"/>
      <c r="K497" s="57"/>
      <c r="L497" s="11"/>
      <c r="M497" s="41"/>
      <c r="N497" s="11"/>
    </row>
    <row r="498" spans="8:14" x14ac:dyDescent="0.25">
      <c r="H498" s="37"/>
      <c r="I498" s="79"/>
      <c r="J498" s="70"/>
      <c r="K498" s="57"/>
      <c r="L498" s="11"/>
      <c r="M498" s="41"/>
      <c r="N498" s="11"/>
    </row>
    <row r="499" spans="8:14" x14ac:dyDescent="0.25">
      <c r="H499" s="37"/>
      <c r="I499" s="79"/>
      <c r="J499" s="70"/>
      <c r="K499" s="57"/>
      <c r="L499" s="11"/>
      <c r="M499" s="41"/>
      <c r="N499" s="11"/>
    </row>
    <row r="500" spans="8:14" x14ac:dyDescent="0.25">
      <c r="H500" s="37"/>
      <c r="I500" s="79"/>
      <c r="J500" s="70"/>
      <c r="K500" s="57"/>
      <c r="L500" s="11"/>
      <c r="M500" s="41"/>
      <c r="N500" s="11"/>
    </row>
    <row r="501" spans="8:14" x14ac:dyDescent="0.25">
      <c r="H501" s="37"/>
      <c r="I501" s="79"/>
      <c r="J501" s="70"/>
      <c r="K501" s="57"/>
      <c r="L501" s="11"/>
      <c r="M501" s="41"/>
      <c r="N501" s="11"/>
    </row>
    <row r="502" spans="8:14" x14ac:dyDescent="0.25">
      <c r="H502" s="37"/>
      <c r="I502" s="79"/>
      <c r="J502" s="70"/>
      <c r="K502" s="57"/>
      <c r="L502" s="11"/>
      <c r="M502" s="41"/>
      <c r="N502" s="11"/>
    </row>
    <row r="503" spans="8:14" x14ac:dyDescent="0.25">
      <c r="H503" s="37"/>
      <c r="I503" s="79"/>
      <c r="J503" s="70"/>
      <c r="K503" s="57"/>
      <c r="L503" s="11"/>
      <c r="M503" s="41"/>
      <c r="N503" s="11"/>
    </row>
    <row r="504" spans="8:14" x14ac:dyDescent="0.25">
      <c r="H504" s="37"/>
      <c r="I504" s="79"/>
      <c r="J504" s="70"/>
      <c r="K504" s="57"/>
      <c r="L504" s="11"/>
      <c r="M504" s="41"/>
      <c r="N504" s="11"/>
    </row>
    <row r="505" spans="8:14" x14ac:dyDescent="0.25">
      <c r="H505" s="37"/>
      <c r="I505" s="79"/>
      <c r="J505" s="70"/>
      <c r="K505" s="57"/>
      <c r="L505" s="11"/>
      <c r="M505" s="41"/>
      <c r="N505" s="11"/>
    </row>
    <row r="506" spans="8:14" x14ac:dyDescent="0.25">
      <c r="H506" s="37"/>
      <c r="I506" s="79"/>
      <c r="J506" s="70"/>
      <c r="K506" s="57"/>
      <c r="L506" s="11"/>
      <c r="M506" s="41"/>
      <c r="N506" s="11"/>
    </row>
    <row r="507" spans="8:14" x14ac:dyDescent="0.25">
      <c r="H507" s="37"/>
      <c r="I507" s="79"/>
      <c r="J507" s="70"/>
      <c r="K507" s="57"/>
      <c r="L507" s="11"/>
      <c r="M507" s="41"/>
      <c r="N507" s="11"/>
    </row>
    <row r="508" spans="8:14" x14ac:dyDescent="0.25">
      <c r="H508" s="37"/>
      <c r="I508" s="79"/>
      <c r="J508" s="70"/>
      <c r="K508" s="57"/>
      <c r="L508" s="11"/>
      <c r="M508" s="41"/>
      <c r="N508" s="11"/>
    </row>
    <row r="509" spans="8:14" x14ac:dyDescent="0.25">
      <c r="H509" s="37"/>
      <c r="I509" s="79"/>
      <c r="J509" s="70"/>
      <c r="K509" s="57"/>
      <c r="L509" s="11"/>
      <c r="M509" s="41"/>
      <c r="N509" s="11"/>
    </row>
    <row r="510" spans="8:14" x14ac:dyDescent="0.25">
      <c r="H510" s="37"/>
      <c r="I510" s="79"/>
      <c r="J510" s="70"/>
      <c r="K510" s="57"/>
      <c r="L510" s="11"/>
      <c r="M510" s="41"/>
      <c r="N510" s="11"/>
    </row>
    <row r="511" spans="8:14" x14ac:dyDescent="0.25">
      <c r="H511" s="37"/>
      <c r="I511" s="79"/>
      <c r="J511" s="70"/>
      <c r="K511" s="57"/>
      <c r="L511" s="11"/>
      <c r="M511" s="41"/>
      <c r="N511" s="11"/>
    </row>
    <row r="512" spans="8:14" x14ac:dyDescent="0.25">
      <c r="H512" s="37"/>
      <c r="I512" s="79"/>
      <c r="J512" s="70"/>
      <c r="K512" s="57"/>
      <c r="L512" s="11"/>
      <c r="M512" s="41"/>
      <c r="N512" s="11"/>
    </row>
    <row r="513" spans="8:14" x14ac:dyDescent="0.25">
      <c r="H513" s="37"/>
      <c r="I513" s="79"/>
      <c r="J513" s="70"/>
      <c r="K513" s="57"/>
      <c r="L513" s="11"/>
      <c r="M513" s="41"/>
      <c r="N513" s="11"/>
    </row>
    <row r="514" spans="8:14" x14ac:dyDescent="0.25">
      <c r="H514" s="37"/>
      <c r="I514" s="79"/>
      <c r="J514" s="70"/>
      <c r="K514" s="57"/>
      <c r="L514" s="11"/>
      <c r="M514" s="41"/>
      <c r="N514" s="11"/>
    </row>
    <row r="515" spans="8:14" x14ac:dyDescent="0.25">
      <c r="H515" s="37"/>
      <c r="I515" s="79"/>
      <c r="J515" s="70"/>
      <c r="K515" s="57"/>
      <c r="L515" s="11"/>
      <c r="M515" s="41"/>
      <c r="N515" s="11"/>
    </row>
    <row r="516" spans="8:14" x14ac:dyDescent="0.25">
      <c r="H516" s="37"/>
      <c r="I516" s="79"/>
      <c r="J516" s="70"/>
      <c r="K516" s="57"/>
      <c r="L516" s="11"/>
      <c r="M516" s="41"/>
      <c r="N516" s="11"/>
    </row>
    <row r="517" spans="8:14" x14ac:dyDescent="0.25">
      <c r="H517" s="37"/>
      <c r="I517" s="79"/>
      <c r="J517" s="70"/>
      <c r="K517" s="57"/>
      <c r="L517" s="11"/>
      <c r="M517" s="41"/>
      <c r="N517" s="11"/>
    </row>
    <row r="518" spans="8:14" x14ac:dyDescent="0.25">
      <c r="H518" s="37"/>
      <c r="I518" s="79"/>
      <c r="J518" s="70"/>
      <c r="K518" s="57"/>
      <c r="L518" s="11"/>
      <c r="M518" s="41"/>
      <c r="N518" s="11"/>
    </row>
    <row r="519" spans="8:14" x14ac:dyDescent="0.25">
      <c r="H519" s="37"/>
      <c r="I519" s="79"/>
      <c r="J519" s="70"/>
      <c r="K519" s="57"/>
      <c r="L519" s="11"/>
      <c r="M519" s="41"/>
      <c r="N519" s="11"/>
    </row>
    <row r="520" spans="8:14" x14ac:dyDescent="0.25">
      <c r="H520" s="37"/>
      <c r="I520" s="79"/>
      <c r="J520" s="70"/>
      <c r="K520" s="57"/>
      <c r="L520" s="11"/>
      <c r="M520" s="41"/>
      <c r="N520" s="11"/>
    </row>
    <row r="521" spans="8:14" x14ac:dyDescent="0.25">
      <c r="H521" s="37"/>
      <c r="I521" s="79"/>
      <c r="J521" s="70"/>
      <c r="K521" s="57"/>
      <c r="L521" s="11"/>
      <c r="M521" s="41"/>
      <c r="N521" s="11"/>
    </row>
    <row r="522" spans="8:14" x14ac:dyDescent="0.25">
      <c r="H522" s="37"/>
      <c r="I522" s="79"/>
      <c r="J522" s="70"/>
      <c r="K522" s="57"/>
      <c r="L522" s="11"/>
      <c r="M522" s="41"/>
      <c r="N522" s="11"/>
    </row>
    <row r="523" spans="8:14" x14ac:dyDescent="0.25">
      <c r="H523" s="37"/>
      <c r="I523" s="79"/>
      <c r="J523" s="70"/>
      <c r="K523" s="57"/>
      <c r="L523" s="11"/>
      <c r="M523" s="41"/>
      <c r="N523" s="11"/>
    </row>
    <row r="524" spans="8:14" x14ac:dyDescent="0.25">
      <c r="H524" s="37"/>
      <c r="I524" s="79"/>
      <c r="J524" s="70"/>
      <c r="K524" s="57"/>
      <c r="L524" s="11"/>
      <c r="M524" s="41"/>
      <c r="N524" s="11"/>
    </row>
    <row r="525" spans="8:14" x14ac:dyDescent="0.25">
      <c r="H525" s="37"/>
      <c r="I525" s="79"/>
      <c r="J525" s="70"/>
      <c r="K525" s="57"/>
      <c r="L525" s="11"/>
      <c r="M525" s="41"/>
      <c r="N525" s="11"/>
    </row>
    <row r="526" spans="8:14" x14ac:dyDescent="0.25">
      <c r="H526" s="37"/>
      <c r="I526" s="79"/>
      <c r="J526" s="70"/>
      <c r="K526" s="57"/>
      <c r="L526" s="11"/>
      <c r="M526" s="41"/>
      <c r="N526" s="11"/>
    </row>
    <row r="527" spans="8:14" x14ac:dyDescent="0.25">
      <c r="H527" s="37"/>
      <c r="I527" s="79"/>
      <c r="J527" s="70"/>
      <c r="K527" s="57"/>
      <c r="L527" s="11"/>
      <c r="M527" s="41"/>
      <c r="N527" s="11"/>
    </row>
    <row r="528" spans="8:14" x14ac:dyDescent="0.25">
      <c r="H528" s="37"/>
      <c r="I528" s="79"/>
      <c r="J528" s="70"/>
      <c r="K528" s="57"/>
      <c r="L528" s="11"/>
      <c r="M528" s="41"/>
      <c r="N528" s="11"/>
    </row>
    <row r="529" spans="8:14" x14ac:dyDescent="0.25">
      <c r="H529" s="37"/>
      <c r="I529" s="79"/>
      <c r="J529" s="70"/>
      <c r="K529" s="57"/>
      <c r="L529" s="11"/>
      <c r="M529" s="41"/>
      <c r="N529" s="11"/>
    </row>
    <row r="530" spans="8:14" x14ac:dyDescent="0.25">
      <c r="H530" s="37"/>
      <c r="I530" s="79"/>
      <c r="J530" s="70"/>
      <c r="K530" s="57"/>
      <c r="L530" s="11"/>
      <c r="M530" s="41"/>
      <c r="N530" s="11"/>
    </row>
    <row r="531" spans="8:14" x14ac:dyDescent="0.25">
      <c r="H531" s="37"/>
      <c r="I531" s="79"/>
      <c r="J531" s="70"/>
      <c r="K531" s="57"/>
      <c r="L531" s="11"/>
      <c r="M531" s="41"/>
      <c r="N531" s="11"/>
    </row>
    <row r="532" spans="8:14" x14ac:dyDescent="0.25">
      <c r="H532" s="37"/>
      <c r="I532" s="79"/>
      <c r="J532" s="70"/>
      <c r="K532" s="57"/>
      <c r="L532" s="11"/>
      <c r="M532" s="41"/>
      <c r="N532" s="11"/>
    </row>
    <row r="533" spans="8:14" x14ac:dyDescent="0.25">
      <c r="H533" s="37"/>
      <c r="I533" s="79"/>
      <c r="J533" s="70"/>
      <c r="K533" s="57"/>
      <c r="L533" s="11"/>
      <c r="M533" s="41"/>
      <c r="N533" s="11"/>
    </row>
    <row r="534" spans="8:14" x14ac:dyDescent="0.25">
      <c r="H534" s="37"/>
      <c r="I534" s="79"/>
      <c r="J534" s="70"/>
      <c r="K534" s="57"/>
      <c r="L534" s="11"/>
      <c r="M534" s="41"/>
      <c r="N534" s="11"/>
    </row>
    <row r="535" spans="8:14" x14ac:dyDescent="0.25">
      <c r="H535" s="37"/>
      <c r="I535" s="79"/>
      <c r="J535" s="70"/>
      <c r="K535" s="57"/>
      <c r="L535" s="11"/>
      <c r="M535" s="41"/>
      <c r="N535" s="11"/>
    </row>
    <row r="536" spans="8:14" x14ac:dyDescent="0.25">
      <c r="H536" s="37"/>
      <c r="I536" s="79"/>
      <c r="J536" s="70"/>
      <c r="K536" s="57"/>
      <c r="L536" s="11"/>
      <c r="M536" s="41"/>
      <c r="N536" s="11"/>
    </row>
    <row r="537" spans="8:14" x14ac:dyDescent="0.25">
      <c r="H537" s="37"/>
      <c r="I537" s="79"/>
      <c r="J537" s="70"/>
      <c r="K537" s="57"/>
      <c r="L537" s="11"/>
      <c r="M537" s="41"/>
      <c r="N537" s="11"/>
    </row>
    <row r="538" spans="8:14" x14ac:dyDescent="0.25">
      <c r="H538" s="37"/>
      <c r="I538" s="79"/>
      <c r="J538" s="70"/>
      <c r="K538" s="57"/>
      <c r="L538" s="11"/>
      <c r="M538" s="41"/>
      <c r="N538" s="11"/>
    </row>
    <row r="539" spans="8:14" x14ac:dyDescent="0.25">
      <c r="H539" s="37"/>
      <c r="I539" s="79"/>
      <c r="J539" s="70"/>
      <c r="K539" s="57"/>
      <c r="L539" s="11"/>
      <c r="M539" s="41"/>
      <c r="N539" s="11"/>
    </row>
    <row r="540" spans="8:14" x14ac:dyDescent="0.25">
      <c r="H540" s="37"/>
      <c r="I540" s="79"/>
      <c r="J540" s="70"/>
      <c r="K540" s="57"/>
      <c r="L540" s="11"/>
      <c r="M540" s="41"/>
      <c r="N540" s="11"/>
    </row>
    <row r="541" spans="8:14" x14ac:dyDescent="0.25">
      <c r="H541" s="37"/>
      <c r="I541" s="79"/>
      <c r="J541" s="70"/>
      <c r="K541" s="57"/>
      <c r="L541" s="11"/>
      <c r="M541" s="41"/>
      <c r="N541" s="11"/>
    </row>
    <row r="542" spans="8:14" x14ac:dyDescent="0.25">
      <c r="H542" s="37"/>
      <c r="I542" s="79"/>
      <c r="J542" s="70"/>
      <c r="K542" s="57"/>
      <c r="L542" s="11"/>
      <c r="M542" s="41"/>
      <c r="N542" s="11"/>
    </row>
    <row r="543" spans="8:14" x14ac:dyDescent="0.25">
      <c r="H543" s="37"/>
      <c r="I543" s="79"/>
      <c r="J543" s="70"/>
      <c r="K543" s="57"/>
      <c r="L543" s="11"/>
      <c r="M543" s="41"/>
      <c r="N543" s="11"/>
    </row>
    <row r="544" spans="8:14" x14ac:dyDescent="0.25">
      <c r="H544" s="37"/>
      <c r="I544" s="79"/>
      <c r="J544" s="70"/>
      <c r="K544" s="57"/>
      <c r="L544" s="11"/>
      <c r="M544" s="41"/>
      <c r="N544" s="11"/>
    </row>
    <row r="545" spans="8:14" x14ac:dyDescent="0.25">
      <c r="H545" s="37"/>
      <c r="I545" s="79"/>
      <c r="J545" s="70"/>
      <c r="K545" s="57"/>
      <c r="L545" s="11"/>
      <c r="M545" s="41"/>
      <c r="N545" s="11"/>
    </row>
    <row r="546" spans="8:14" x14ac:dyDescent="0.25">
      <c r="H546" s="37"/>
      <c r="I546" s="79"/>
      <c r="J546" s="70"/>
      <c r="K546" s="57"/>
      <c r="L546" s="11"/>
      <c r="M546" s="41"/>
      <c r="N546" s="11"/>
    </row>
    <row r="547" spans="8:14" x14ac:dyDescent="0.25">
      <c r="H547" s="37"/>
      <c r="I547" s="79"/>
      <c r="J547" s="70"/>
      <c r="K547" s="57"/>
      <c r="L547" s="11"/>
      <c r="M547" s="41"/>
      <c r="N547" s="11"/>
    </row>
    <row r="548" spans="8:14" x14ac:dyDescent="0.25">
      <c r="H548" s="37"/>
      <c r="I548" s="79"/>
      <c r="J548" s="70"/>
      <c r="K548" s="57"/>
      <c r="L548" s="11"/>
      <c r="M548" s="41"/>
      <c r="N548" s="11"/>
    </row>
    <row r="549" spans="8:14" x14ac:dyDescent="0.25">
      <c r="H549" s="37"/>
      <c r="I549" s="79"/>
      <c r="J549" s="70"/>
      <c r="K549" s="57"/>
      <c r="L549" s="11"/>
      <c r="M549" s="41"/>
      <c r="N549" s="11"/>
    </row>
    <row r="550" spans="8:14" x14ac:dyDescent="0.25">
      <c r="H550" s="37"/>
      <c r="I550" s="79"/>
      <c r="J550" s="70"/>
      <c r="K550" s="57"/>
      <c r="L550" s="11"/>
      <c r="M550" s="41"/>
      <c r="N550" s="11"/>
    </row>
    <row r="551" spans="8:14" x14ac:dyDescent="0.25">
      <c r="H551" s="37"/>
      <c r="I551" s="79"/>
      <c r="J551" s="70"/>
      <c r="K551" s="57"/>
      <c r="L551" s="11"/>
      <c r="M551" s="41"/>
      <c r="N551" s="11"/>
    </row>
    <row r="552" spans="8:14" x14ac:dyDescent="0.25">
      <c r="H552" s="37"/>
      <c r="I552" s="79"/>
      <c r="J552" s="70"/>
      <c r="K552" s="57"/>
      <c r="L552" s="11"/>
      <c r="M552" s="41"/>
      <c r="N552" s="11"/>
    </row>
    <row r="553" spans="8:14" x14ac:dyDescent="0.25">
      <c r="H553" s="37"/>
      <c r="I553" s="79"/>
      <c r="J553" s="70"/>
      <c r="K553" s="57"/>
      <c r="L553" s="11"/>
      <c r="M553" s="41"/>
      <c r="N553" s="11"/>
    </row>
    <row r="554" spans="8:14" x14ac:dyDescent="0.25">
      <c r="H554" s="37"/>
      <c r="I554" s="79"/>
      <c r="J554" s="70"/>
      <c r="K554" s="57"/>
      <c r="L554" s="11"/>
      <c r="M554" s="41"/>
      <c r="N554" s="11"/>
    </row>
    <row r="555" spans="8:14" x14ac:dyDescent="0.25">
      <c r="H555" s="37"/>
      <c r="I555" s="79"/>
      <c r="J555" s="70"/>
      <c r="K555" s="57"/>
      <c r="L555" s="11"/>
      <c r="M555" s="41"/>
      <c r="N555" s="11"/>
    </row>
    <row r="556" spans="8:14" x14ac:dyDescent="0.25">
      <c r="H556" s="37"/>
      <c r="I556" s="79"/>
      <c r="J556" s="70"/>
      <c r="K556" s="57"/>
      <c r="L556" s="11"/>
      <c r="M556" s="41"/>
      <c r="N556" s="11"/>
    </row>
    <row r="557" spans="8:14" x14ac:dyDescent="0.25">
      <c r="H557" s="37"/>
      <c r="I557" s="79"/>
      <c r="J557" s="70"/>
      <c r="K557" s="57"/>
      <c r="L557" s="11"/>
      <c r="M557" s="41"/>
      <c r="N557" s="11"/>
    </row>
    <row r="558" spans="8:14" x14ac:dyDescent="0.25">
      <c r="H558" s="37"/>
      <c r="I558" s="79"/>
      <c r="J558" s="70"/>
      <c r="K558" s="57"/>
      <c r="L558" s="11"/>
      <c r="M558" s="41"/>
      <c r="N558" s="11"/>
    </row>
    <row r="559" spans="8:14" x14ac:dyDescent="0.25">
      <c r="H559" s="37"/>
      <c r="I559" s="79"/>
      <c r="J559" s="70"/>
      <c r="K559" s="57"/>
      <c r="L559" s="11"/>
      <c r="M559" s="41"/>
      <c r="N559" s="11"/>
    </row>
    <row r="560" spans="8:14" x14ac:dyDescent="0.25">
      <c r="H560" s="37"/>
      <c r="I560" s="79"/>
      <c r="J560" s="70"/>
      <c r="K560" s="57"/>
      <c r="L560" s="11"/>
      <c r="M560" s="41"/>
      <c r="N560" s="11"/>
    </row>
    <row r="561" spans="8:14" x14ac:dyDescent="0.25">
      <c r="H561" s="37"/>
      <c r="I561" s="79"/>
      <c r="J561" s="70"/>
      <c r="K561" s="57"/>
      <c r="L561" s="11"/>
      <c r="M561" s="41"/>
      <c r="N561" s="11"/>
    </row>
    <row r="562" spans="8:14" x14ac:dyDescent="0.25">
      <c r="H562" s="37"/>
      <c r="I562" s="79"/>
      <c r="J562" s="70"/>
      <c r="K562" s="57"/>
      <c r="L562" s="11"/>
      <c r="M562" s="41"/>
      <c r="N562" s="11"/>
    </row>
    <row r="563" spans="8:14" x14ac:dyDescent="0.25">
      <c r="H563" s="37"/>
      <c r="I563" s="79"/>
      <c r="J563" s="70"/>
      <c r="K563" s="57"/>
      <c r="L563" s="11"/>
      <c r="M563" s="41"/>
      <c r="N563" s="11"/>
    </row>
    <row r="564" spans="8:14" x14ac:dyDescent="0.25">
      <c r="H564" s="37"/>
      <c r="I564" s="79"/>
      <c r="J564" s="70"/>
      <c r="K564" s="57"/>
      <c r="L564" s="11"/>
      <c r="M564" s="41"/>
      <c r="N564" s="11"/>
    </row>
    <row r="565" spans="8:14" x14ac:dyDescent="0.25">
      <c r="H565" s="37"/>
      <c r="I565" s="79"/>
      <c r="J565" s="70"/>
      <c r="K565" s="57"/>
      <c r="L565" s="11"/>
      <c r="M565" s="41"/>
      <c r="N565" s="11"/>
    </row>
    <row r="566" spans="8:14" x14ac:dyDescent="0.25">
      <c r="H566" s="37"/>
      <c r="I566" s="79"/>
      <c r="J566" s="70"/>
      <c r="K566" s="57"/>
      <c r="L566" s="11"/>
      <c r="M566" s="41"/>
      <c r="N566" s="11"/>
    </row>
    <row r="567" spans="8:14" x14ac:dyDescent="0.25">
      <c r="H567" s="37"/>
      <c r="I567" s="79"/>
      <c r="J567" s="70"/>
      <c r="K567" s="57"/>
      <c r="L567" s="11"/>
      <c r="M567" s="41"/>
      <c r="N567" s="11"/>
    </row>
    <row r="568" spans="8:14" x14ac:dyDescent="0.25">
      <c r="H568" s="37"/>
      <c r="I568" s="79"/>
      <c r="J568" s="70"/>
      <c r="K568" s="57"/>
      <c r="L568" s="11"/>
      <c r="M568" s="41"/>
      <c r="N568" s="11"/>
    </row>
    <row r="569" spans="8:14" x14ac:dyDescent="0.25">
      <c r="H569" s="37"/>
      <c r="I569" s="79"/>
      <c r="J569" s="70"/>
      <c r="K569" s="57"/>
      <c r="L569" s="11"/>
      <c r="M569" s="41"/>
      <c r="N569" s="11"/>
    </row>
    <row r="570" spans="8:14" x14ac:dyDescent="0.25">
      <c r="H570" s="37"/>
      <c r="I570" s="79"/>
      <c r="J570" s="70"/>
      <c r="K570" s="57"/>
      <c r="L570" s="11"/>
      <c r="M570" s="41"/>
      <c r="N570" s="11"/>
    </row>
    <row r="571" spans="8:14" x14ac:dyDescent="0.25">
      <c r="H571" s="37"/>
      <c r="I571" s="79"/>
      <c r="J571" s="70"/>
      <c r="K571" s="57"/>
      <c r="L571" s="11"/>
      <c r="M571" s="41"/>
      <c r="N571" s="11"/>
    </row>
    <row r="572" spans="8:14" x14ac:dyDescent="0.25">
      <c r="H572" s="37"/>
      <c r="I572" s="79"/>
      <c r="J572" s="70"/>
      <c r="K572" s="57"/>
      <c r="L572" s="11"/>
      <c r="M572" s="41"/>
      <c r="N572" s="11"/>
    </row>
    <row r="573" spans="8:14" x14ac:dyDescent="0.25">
      <c r="H573" s="37"/>
      <c r="I573" s="79"/>
      <c r="J573" s="70"/>
      <c r="K573" s="57"/>
      <c r="L573" s="11"/>
      <c r="M573" s="41"/>
      <c r="N573" s="11"/>
    </row>
    <row r="574" spans="8:14" x14ac:dyDescent="0.25">
      <c r="H574" s="37"/>
      <c r="I574" s="79"/>
      <c r="J574" s="70"/>
      <c r="K574" s="57"/>
      <c r="L574" s="11"/>
      <c r="M574" s="41"/>
      <c r="N574" s="11"/>
    </row>
    <row r="575" spans="8:14" x14ac:dyDescent="0.25">
      <c r="H575" s="37"/>
      <c r="I575" s="79"/>
      <c r="J575" s="70"/>
      <c r="K575" s="57"/>
      <c r="L575" s="11"/>
      <c r="M575" s="41"/>
      <c r="N575" s="11"/>
    </row>
    <row r="576" spans="8:14" x14ac:dyDescent="0.25">
      <c r="H576" s="37"/>
      <c r="I576" s="79"/>
      <c r="J576" s="70"/>
      <c r="K576" s="57"/>
      <c r="L576" s="11"/>
      <c r="M576" s="41"/>
      <c r="N576" s="11"/>
    </row>
    <row r="577" spans="8:14" x14ac:dyDescent="0.25">
      <c r="H577" s="37"/>
      <c r="I577" s="79"/>
      <c r="J577" s="70"/>
      <c r="K577" s="57"/>
      <c r="L577" s="11"/>
      <c r="M577" s="41"/>
      <c r="N577" s="11"/>
    </row>
    <row r="578" spans="8:14" x14ac:dyDescent="0.25">
      <c r="H578" s="37"/>
      <c r="I578" s="79"/>
      <c r="J578" s="70"/>
      <c r="K578" s="57"/>
      <c r="L578" s="11"/>
      <c r="M578" s="41"/>
      <c r="N578" s="11"/>
    </row>
    <row r="579" spans="8:14" x14ac:dyDescent="0.25">
      <c r="H579" s="37"/>
      <c r="I579" s="79"/>
      <c r="J579" s="70"/>
      <c r="K579" s="57"/>
      <c r="L579" s="11"/>
      <c r="M579" s="41"/>
      <c r="N579" s="11"/>
    </row>
    <row r="580" spans="8:14" x14ac:dyDescent="0.25">
      <c r="H580" s="37"/>
      <c r="I580" s="79"/>
      <c r="J580" s="70"/>
      <c r="K580" s="57"/>
      <c r="L580" s="11"/>
      <c r="M580" s="41"/>
      <c r="N580" s="11"/>
    </row>
    <row r="581" spans="8:14" x14ac:dyDescent="0.25">
      <c r="H581" s="37"/>
      <c r="I581" s="79"/>
      <c r="J581" s="70"/>
      <c r="K581" s="57"/>
      <c r="L581" s="11"/>
      <c r="M581" s="41"/>
      <c r="N581" s="11"/>
    </row>
    <row r="582" spans="8:14" x14ac:dyDescent="0.25">
      <c r="H582" s="37"/>
      <c r="I582" s="79"/>
      <c r="J582" s="70"/>
      <c r="K582" s="57"/>
      <c r="L582" s="11"/>
      <c r="M582" s="41"/>
      <c r="N582" s="11"/>
    </row>
    <row r="583" spans="8:14" x14ac:dyDescent="0.25">
      <c r="H583" s="37"/>
      <c r="I583" s="79"/>
      <c r="J583" s="70"/>
      <c r="K583" s="57"/>
      <c r="L583" s="11"/>
      <c r="M583" s="41"/>
      <c r="N583" s="11"/>
    </row>
    <row r="584" spans="8:14" x14ac:dyDescent="0.25">
      <c r="H584" s="37"/>
      <c r="I584" s="79"/>
      <c r="J584" s="70"/>
      <c r="K584" s="57"/>
      <c r="L584" s="11"/>
      <c r="M584" s="41"/>
      <c r="N584" s="11"/>
    </row>
    <row r="585" spans="8:14" x14ac:dyDescent="0.25">
      <c r="H585" s="37"/>
      <c r="I585" s="79"/>
      <c r="J585" s="70"/>
      <c r="K585" s="57"/>
      <c r="L585" s="11"/>
      <c r="M585" s="41"/>
      <c r="N585" s="11"/>
    </row>
    <row r="586" spans="8:14" x14ac:dyDescent="0.25">
      <c r="H586" s="37"/>
      <c r="I586" s="79"/>
      <c r="J586" s="70"/>
      <c r="K586" s="57"/>
      <c r="L586" s="11"/>
      <c r="M586" s="41"/>
      <c r="N586" s="11"/>
    </row>
    <row r="587" spans="8:14" x14ac:dyDescent="0.25">
      <c r="H587" s="37"/>
      <c r="I587" s="79"/>
      <c r="J587" s="70"/>
      <c r="K587" s="57"/>
      <c r="L587" s="11"/>
      <c r="M587" s="41"/>
      <c r="N587" s="11"/>
    </row>
    <row r="588" spans="8:14" x14ac:dyDescent="0.25">
      <c r="H588" s="37"/>
      <c r="I588" s="79"/>
      <c r="J588" s="70"/>
      <c r="K588" s="57"/>
      <c r="L588" s="11"/>
      <c r="M588" s="41"/>
      <c r="N588" s="11"/>
    </row>
    <row r="589" spans="8:14" x14ac:dyDescent="0.25">
      <c r="H589" s="37"/>
      <c r="I589" s="79"/>
      <c r="J589" s="70"/>
      <c r="K589" s="57"/>
      <c r="L589" s="11"/>
      <c r="M589" s="41"/>
      <c r="N589" s="11"/>
    </row>
    <row r="590" spans="8:14" x14ac:dyDescent="0.25">
      <c r="H590" s="37"/>
      <c r="I590" s="79"/>
      <c r="J590" s="70"/>
      <c r="K590" s="57"/>
      <c r="L590" s="11"/>
      <c r="M590" s="41"/>
      <c r="N590" s="11"/>
    </row>
    <row r="591" spans="8:14" x14ac:dyDescent="0.25">
      <c r="H591" s="37"/>
      <c r="I591" s="79"/>
      <c r="J591" s="70"/>
      <c r="K591" s="57"/>
      <c r="L591" s="11"/>
      <c r="M591" s="41"/>
      <c r="N591" s="11"/>
    </row>
    <row r="592" spans="8:14" x14ac:dyDescent="0.25">
      <c r="H592" s="37"/>
      <c r="I592" s="79"/>
      <c r="J592" s="70"/>
      <c r="K592" s="57"/>
      <c r="L592" s="11"/>
      <c r="M592" s="41"/>
      <c r="N592" s="11"/>
    </row>
    <row r="593" spans="8:14" x14ac:dyDescent="0.25">
      <c r="H593" s="37"/>
      <c r="I593" s="79"/>
      <c r="J593" s="70"/>
      <c r="K593" s="57"/>
      <c r="L593" s="11"/>
      <c r="M593" s="41"/>
      <c r="N593" s="11"/>
    </row>
    <row r="594" spans="8:14" x14ac:dyDescent="0.25">
      <c r="H594" s="37"/>
      <c r="I594" s="79"/>
      <c r="J594" s="70"/>
      <c r="K594" s="57"/>
      <c r="L594" s="11"/>
      <c r="M594" s="41"/>
      <c r="N594" s="11"/>
    </row>
    <row r="595" spans="8:14" x14ac:dyDescent="0.25">
      <c r="H595" s="37"/>
      <c r="I595" s="79"/>
      <c r="J595" s="70"/>
      <c r="K595" s="57"/>
      <c r="L595" s="11"/>
      <c r="M595" s="41"/>
      <c r="N595" s="11"/>
    </row>
    <row r="596" spans="8:14" x14ac:dyDescent="0.25">
      <c r="H596" s="37"/>
      <c r="I596" s="79"/>
      <c r="J596" s="70"/>
      <c r="K596" s="57"/>
      <c r="L596" s="11"/>
      <c r="M596" s="41"/>
      <c r="N596" s="11"/>
    </row>
    <row r="597" spans="8:14" x14ac:dyDescent="0.25">
      <c r="H597" s="37"/>
      <c r="I597" s="79"/>
      <c r="J597" s="70"/>
      <c r="K597" s="57"/>
      <c r="L597" s="11"/>
      <c r="M597" s="41"/>
      <c r="N597" s="11"/>
    </row>
    <row r="598" spans="8:14" x14ac:dyDescent="0.25">
      <c r="H598" s="37"/>
      <c r="I598" s="79"/>
      <c r="J598" s="70"/>
      <c r="K598" s="57"/>
      <c r="L598" s="11"/>
      <c r="M598" s="41"/>
      <c r="N598" s="11"/>
    </row>
    <row r="599" spans="8:14" x14ac:dyDescent="0.25">
      <c r="H599" s="37"/>
      <c r="I599" s="79"/>
      <c r="J599" s="70"/>
      <c r="K599" s="57"/>
      <c r="L599" s="11"/>
      <c r="M599" s="41"/>
      <c r="N599" s="11"/>
    </row>
    <row r="600" spans="8:14" x14ac:dyDescent="0.25">
      <c r="H600" s="37"/>
      <c r="I600" s="79"/>
      <c r="J600" s="70"/>
      <c r="K600" s="57"/>
      <c r="L600" s="11"/>
      <c r="M600" s="41"/>
      <c r="N600" s="11"/>
    </row>
    <row r="601" spans="8:14" x14ac:dyDescent="0.25">
      <c r="H601" s="37"/>
      <c r="I601" s="79"/>
      <c r="J601" s="70"/>
      <c r="K601" s="57"/>
      <c r="L601" s="11"/>
      <c r="M601" s="41"/>
      <c r="N601" s="11"/>
    </row>
    <row r="602" spans="8:14" x14ac:dyDescent="0.25">
      <c r="H602" s="37"/>
      <c r="I602" s="79"/>
      <c r="J602" s="70"/>
      <c r="K602" s="57"/>
      <c r="L602" s="11"/>
      <c r="M602" s="41"/>
      <c r="N602" s="11"/>
    </row>
    <row r="603" spans="8:14" x14ac:dyDescent="0.25">
      <c r="H603" s="37"/>
      <c r="I603" s="79"/>
      <c r="J603" s="70"/>
      <c r="K603" s="57"/>
      <c r="L603" s="11"/>
      <c r="M603" s="41"/>
      <c r="N603" s="11"/>
    </row>
    <row r="604" spans="8:14" x14ac:dyDescent="0.25">
      <c r="H604" s="37"/>
      <c r="I604" s="79"/>
      <c r="J604" s="70"/>
      <c r="K604" s="57"/>
      <c r="L604" s="11"/>
      <c r="M604" s="41"/>
      <c r="N604" s="11"/>
    </row>
    <row r="605" spans="8:14" x14ac:dyDescent="0.25">
      <c r="H605" s="37"/>
      <c r="I605" s="79"/>
      <c r="J605" s="70"/>
      <c r="K605" s="57"/>
      <c r="L605" s="11"/>
      <c r="M605" s="41"/>
      <c r="N605" s="11"/>
    </row>
    <row r="606" spans="8:14" x14ac:dyDescent="0.25">
      <c r="H606" s="37"/>
      <c r="I606" s="79"/>
      <c r="J606" s="70"/>
      <c r="K606" s="57"/>
      <c r="L606" s="11"/>
      <c r="M606" s="41"/>
      <c r="N606" s="11"/>
    </row>
    <row r="607" spans="8:14" x14ac:dyDescent="0.25">
      <c r="H607" s="37"/>
      <c r="I607" s="79"/>
      <c r="J607" s="70"/>
      <c r="K607" s="57"/>
      <c r="L607" s="11"/>
      <c r="M607" s="41"/>
      <c r="N607" s="11"/>
    </row>
    <row r="608" spans="8:14" x14ac:dyDescent="0.25">
      <c r="H608" s="37"/>
      <c r="I608" s="79"/>
      <c r="J608" s="70"/>
      <c r="K608" s="57"/>
      <c r="L608" s="11"/>
      <c r="M608" s="41"/>
      <c r="N608" s="11"/>
    </row>
    <row r="609" spans="8:14" x14ac:dyDescent="0.25">
      <c r="H609" s="37"/>
      <c r="I609" s="79"/>
      <c r="J609" s="70"/>
      <c r="K609" s="57"/>
      <c r="L609" s="11"/>
      <c r="M609" s="41"/>
      <c r="N609" s="11"/>
    </row>
    <row r="610" spans="8:14" x14ac:dyDescent="0.25">
      <c r="H610" s="37"/>
      <c r="I610" s="79"/>
      <c r="J610" s="70"/>
      <c r="K610" s="57"/>
      <c r="L610" s="11"/>
      <c r="M610" s="41"/>
      <c r="N610" s="11"/>
    </row>
    <row r="611" spans="8:14" x14ac:dyDescent="0.25">
      <c r="H611" s="37"/>
      <c r="I611" s="79"/>
      <c r="J611" s="70"/>
      <c r="K611" s="57"/>
      <c r="L611" s="11"/>
      <c r="M611" s="41"/>
      <c r="N611" s="11"/>
    </row>
    <row r="612" spans="8:14" x14ac:dyDescent="0.25">
      <c r="H612" s="37"/>
      <c r="I612" s="79"/>
      <c r="J612" s="70"/>
      <c r="K612" s="57"/>
      <c r="L612" s="11"/>
      <c r="M612" s="41"/>
      <c r="N612" s="11"/>
    </row>
    <row r="613" spans="8:14" x14ac:dyDescent="0.25">
      <c r="H613" s="37"/>
      <c r="I613" s="79"/>
      <c r="J613" s="70"/>
      <c r="K613" s="57"/>
      <c r="L613" s="11"/>
      <c r="M613" s="41"/>
      <c r="N613" s="11"/>
    </row>
    <row r="614" spans="8:14" x14ac:dyDescent="0.25">
      <c r="H614" s="37"/>
      <c r="I614" s="79"/>
      <c r="J614" s="70"/>
      <c r="K614" s="57"/>
      <c r="L614" s="11"/>
      <c r="M614" s="41"/>
      <c r="N614" s="11"/>
    </row>
    <row r="615" spans="8:14" x14ac:dyDescent="0.25">
      <c r="H615" s="37"/>
      <c r="I615" s="79"/>
      <c r="J615" s="70"/>
      <c r="K615" s="57"/>
      <c r="L615" s="11"/>
      <c r="M615" s="41"/>
      <c r="N615" s="11"/>
    </row>
    <row r="616" spans="8:14" x14ac:dyDescent="0.25">
      <c r="H616" s="37"/>
      <c r="I616" s="79"/>
      <c r="J616" s="70"/>
      <c r="K616" s="57"/>
      <c r="L616" s="11"/>
      <c r="M616" s="41"/>
      <c r="N616" s="11"/>
    </row>
    <row r="617" spans="8:14" x14ac:dyDescent="0.25">
      <c r="H617" s="37"/>
      <c r="I617" s="79"/>
      <c r="J617" s="70"/>
      <c r="K617" s="57"/>
      <c r="L617" s="11"/>
      <c r="M617" s="41"/>
      <c r="N617" s="11"/>
    </row>
    <row r="618" spans="8:14" x14ac:dyDescent="0.25">
      <c r="H618" s="37"/>
      <c r="I618" s="79"/>
      <c r="J618" s="70"/>
      <c r="K618" s="57"/>
      <c r="L618" s="11"/>
      <c r="M618" s="41"/>
      <c r="N618" s="11"/>
    </row>
    <row r="619" spans="8:14" x14ac:dyDescent="0.25">
      <c r="H619" s="37"/>
      <c r="I619" s="79"/>
      <c r="J619" s="70"/>
      <c r="K619" s="57"/>
      <c r="L619" s="11"/>
      <c r="M619" s="41"/>
      <c r="N619" s="11"/>
    </row>
    <row r="620" spans="8:14" x14ac:dyDescent="0.25">
      <c r="H620" s="37"/>
      <c r="I620" s="79"/>
      <c r="J620" s="70"/>
      <c r="K620" s="57"/>
      <c r="L620" s="11"/>
      <c r="M620" s="41"/>
      <c r="N620" s="11"/>
    </row>
    <row r="621" spans="8:14" x14ac:dyDescent="0.25">
      <c r="H621" s="37"/>
      <c r="I621" s="79"/>
      <c r="J621" s="70"/>
      <c r="K621" s="57"/>
      <c r="L621" s="11"/>
      <c r="M621" s="41"/>
      <c r="N621" s="11"/>
    </row>
    <row r="622" spans="8:14" x14ac:dyDescent="0.25">
      <c r="H622" s="37"/>
      <c r="I622" s="79"/>
      <c r="J622" s="70"/>
      <c r="K622" s="57"/>
      <c r="L622" s="11"/>
      <c r="M622" s="41"/>
      <c r="N622" s="11"/>
    </row>
    <row r="623" spans="8:14" x14ac:dyDescent="0.25">
      <c r="H623" s="37"/>
      <c r="I623" s="79"/>
      <c r="J623" s="70"/>
      <c r="K623" s="57"/>
      <c r="L623" s="11"/>
      <c r="M623" s="41"/>
      <c r="N623" s="11"/>
    </row>
    <row r="624" spans="8:14" x14ac:dyDescent="0.25">
      <c r="H624" s="37"/>
      <c r="I624" s="79"/>
      <c r="J624" s="70"/>
      <c r="K624" s="57"/>
      <c r="L624" s="11"/>
      <c r="M624" s="41"/>
      <c r="N624" s="11"/>
    </row>
    <row r="625" spans="8:14" x14ac:dyDescent="0.25">
      <c r="H625" s="37"/>
      <c r="I625" s="79"/>
      <c r="J625" s="70"/>
      <c r="K625" s="57"/>
      <c r="L625" s="11"/>
      <c r="M625" s="41"/>
      <c r="N625" s="11"/>
    </row>
    <row r="626" spans="8:14" x14ac:dyDescent="0.25">
      <c r="H626" s="37"/>
      <c r="I626" s="79"/>
      <c r="J626" s="70"/>
      <c r="K626" s="57"/>
      <c r="L626" s="11"/>
      <c r="M626" s="41"/>
      <c r="N626" s="11"/>
    </row>
    <row r="627" spans="8:14" x14ac:dyDescent="0.25">
      <c r="H627" s="37"/>
      <c r="I627" s="79"/>
      <c r="J627" s="70"/>
      <c r="K627" s="57"/>
      <c r="L627" s="11"/>
      <c r="M627" s="41"/>
      <c r="N627" s="11"/>
    </row>
    <row r="628" spans="8:14" x14ac:dyDescent="0.25">
      <c r="H628" s="37"/>
      <c r="I628" s="79"/>
      <c r="J628" s="70"/>
      <c r="K628" s="57"/>
      <c r="L628" s="11"/>
      <c r="M628" s="41"/>
      <c r="N628" s="11"/>
    </row>
    <row r="629" spans="8:14" x14ac:dyDescent="0.25">
      <c r="H629" s="37"/>
      <c r="I629" s="79"/>
      <c r="J629" s="70"/>
      <c r="K629" s="57"/>
      <c r="L629" s="11"/>
      <c r="M629" s="41"/>
      <c r="N629" s="11"/>
    </row>
    <row r="630" spans="8:14" x14ac:dyDescent="0.25">
      <c r="H630" s="37"/>
      <c r="I630" s="79"/>
      <c r="J630" s="70"/>
      <c r="K630" s="57"/>
      <c r="L630" s="11"/>
      <c r="M630" s="41"/>
      <c r="N630" s="11"/>
    </row>
    <row r="631" spans="8:14" x14ac:dyDescent="0.25">
      <c r="H631" s="37"/>
      <c r="I631" s="79"/>
      <c r="J631" s="70"/>
      <c r="K631" s="57"/>
      <c r="L631" s="11"/>
      <c r="M631" s="41"/>
      <c r="N631" s="11"/>
    </row>
    <row r="632" spans="8:14" x14ac:dyDescent="0.25">
      <c r="H632" s="37"/>
      <c r="I632" s="79"/>
      <c r="J632" s="70"/>
      <c r="K632" s="57"/>
      <c r="L632" s="11"/>
      <c r="M632" s="41"/>
      <c r="N632" s="11"/>
    </row>
    <row r="633" spans="8:14" x14ac:dyDescent="0.25">
      <c r="H633" s="37"/>
      <c r="I633" s="79"/>
      <c r="J633" s="70"/>
      <c r="K633" s="57"/>
      <c r="L633" s="11"/>
      <c r="M633" s="41"/>
      <c r="N633" s="11"/>
    </row>
    <row r="634" spans="8:14" x14ac:dyDescent="0.25">
      <c r="H634" s="37"/>
      <c r="I634" s="79"/>
      <c r="J634" s="70"/>
      <c r="K634" s="57"/>
      <c r="L634" s="11"/>
      <c r="M634" s="41"/>
      <c r="N634" s="11"/>
    </row>
    <row r="635" spans="8:14" x14ac:dyDescent="0.25">
      <c r="H635" s="37"/>
      <c r="I635" s="79"/>
      <c r="J635" s="70"/>
      <c r="K635" s="57"/>
      <c r="L635" s="11"/>
      <c r="M635" s="41"/>
      <c r="N635" s="11"/>
    </row>
    <row r="636" spans="8:14" x14ac:dyDescent="0.25">
      <c r="H636" s="37"/>
      <c r="I636" s="79"/>
      <c r="J636" s="70"/>
      <c r="K636" s="57"/>
      <c r="L636" s="11"/>
      <c r="M636" s="41"/>
      <c r="N636" s="11"/>
    </row>
    <row r="637" spans="8:14" x14ac:dyDescent="0.25">
      <c r="H637" s="37"/>
      <c r="I637" s="79"/>
      <c r="J637" s="70"/>
      <c r="K637" s="57"/>
      <c r="L637" s="11"/>
      <c r="M637" s="41"/>
      <c r="N637" s="11"/>
    </row>
    <row r="638" spans="8:14" x14ac:dyDescent="0.25">
      <c r="H638" s="37"/>
      <c r="I638" s="79"/>
      <c r="J638" s="70"/>
      <c r="K638" s="57"/>
      <c r="L638" s="11"/>
      <c r="M638" s="41"/>
      <c r="N638" s="11"/>
    </row>
    <row r="639" spans="8:14" x14ac:dyDescent="0.25">
      <c r="H639" s="37"/>
      <c r="I639" s="79"/>
      <c r="J639" s="70"/>
      <c r="K639" s="57"/>
      <c r="L639" s="11"/>
      <c r="M639" s="41"/>
      <c r="N639" s="11"/>
    </row>
    <row r="640" spans="8:14" x14ac:dyDescent="0.25">
      <c r="H640" s="37"/>
      <c r="I640" s="79"/>
      <c r="J640" s="70"/>
      <c r="K640" s="57"/>
      <c r="L640" s="11"/>
      <c r="M640" s="41"/>
      <c r="N640" s="11"/>
    </row>
    <row r="641" spans="8:14" x14ac:dyDescent="0.25">
      <c r="H641" s="37"/>
      <c r="I641" s="79"/>
      <c r="J641" s="70"/>
      <c r="K641" s="57"/>
      <c r="L641" s="11"/>
      <c r="M641" s="41"/>
      <c r="N641" s="11"/>
    </row>
    <row r="642" spans="8:14" x14ac:dyDescent="0.25">
      <c r="H642" s="37"/>
      <c r="I642" s="79"/>
      <c r="J642" s="70"/>
      <c r="K642" s="57"/>
      <c r="L642" s="11"/>
      <c r="M642" s="41"/>
      <c r="N642" s="11"/>
    </row>
    <row r="643" spans="8:14" x14ac:dyDescent="0.25">
      <c r="H643" s="37"/>
      <c r="I643" s="79"/>
      <c r="J643" s="70"/>
      <c r="K643" s="57"/>
      <c r="L643" s="11"/>
      <c r="M643" s="41"/>
      <c r="N643" s="11"/>
    </row>
    <row r="644" spans="8:14" x14ac:dyDescent="0.25">
      <c r="H644" s="37"/>
      <c r="I644" s="79"/>
      <c r="J644" s="70"/>
      <c r="K644" s="57"/>
      <c r="L644" s="11"/>
      <c r="M644" s="41"/>
      <c r="N644" s="11"/>
    </row>
    <row r="645" spans="8:14" x14ac:dyDescent="0.25">
      <c r="H645" s="37"/>
      <c r="I645" s="79"/>
      <c r="J645" s="70"/>
      <c r="K645" s="57"/>
      <c r="L645" s="11"/>
      <c r="M645" s="41"/>
      <c r="N645" s="11"/>
    </row>
    <row r="646" spans="8:14" x14ac:dyDescent="0.25">
      <c r="H646" s="37"/>
      <c r="I646" s="79"/>
      <c r="J646" s="70"/>
      <c r="K646" s="57"/>
      <c r="L646" s="11"/>
      <c r="M646" s="41"/>
      <c r="N646" s="11"/>
    </row>
    <row r="647" spans="8:14" x14ac:dyDescent="0.25">
      <c r="H647" s="37"/>
      <c r="I647" s="79"/>
      <c r="J647" s="70"/>
      <c r="K647" s="57"/>
      <c r="L647" s="11"/>
      <c r="M647" s="41"/>
      <c r="N647" s="11"/>
    </row>
    <row r="648" spans="8:14" x14ac:dyDescent="0.25">
      <c r="H648" s="37"/>
      <c r="I648" s="79"/>
      <c r="J648" s="70"/>
      <c r="K648" s="57"/>
      <c r="L648" s="11"/>
      <c r="M648" s="41"/>
      <c r="N648" s="11"/>
    </row>
    <row r="649" spans="8:14" x14ac:dyDescent="0.25">
      <c r="H649" s="37"/>
      <c r="I649" s="79"/>
      <c r="J649" s="70"/>
      <c r="K649" s="57"/>
      <c r="L649" s="11"/>
      <c r="M649" s="41"/>
      <c r="N649" s="11"/>
    </row>
    <row r="650" spans="8:14" x14ac:dyDescent="0.25">
      <c r="H650" s="37"/>
      <c r="I650" s="79"/>
      <c r="J650" s="70"/>
      <c r="K650" s="57"/>
      <c r="L650" s="11"/>
      <c r="M650" s="41"/>
      <c r="N650" s="11"/>
    </row>
    <row r="651" spans="8:14" x14ac:dyDescent="0.25">
      <c r="H651" s="37"/>
      <c r="I651" s="79"/>
      <c r="J651" s="70"/>
      <c r="K651" s="57"/>
      <c r="L651" s="11"/>
      <c r="M651" s="41"/>
      <c r="N651" s="11"/>
    </row>
    <row r="652" spans="8:14" x14ac:dyDescent="0.25">
      <c r="H652" s="37"/>
      <c r="I652" s="79"/>
      <c r="J652" s="70"/>
      <c r="K652" s="57"/>
      <c r="L652" s="11"/>
      <c r="M652" s="41"/>
      <c r="N652" s="11"/>
    </row>
    <row r="653" spans="8:14" x14ac:dyDescent="0.25">
      <c r="H653" s="37"/>
      <c r="I653" s="79"/>
      <c r="J653" s="70"/>
      <c r="K653" s="57"/>
      <c r="L653" s="11"/>
      <c r="M653" s="41"/>
      <c r="N653" s="11"/>
    </row>
    <row r="654" spans="8:14" x14ac:dyDescent="0.25">
      <c r="H654" s="37"/>
      <c r="I654" s="79"/>
      <c r="J654" s="70"/>
      <c r="K654" s="57"/>
      <c r="L654" s="11"/>
      <c r="M654" s="41"/>
      <c r="N654" s="11"/>
    </row>
    <row r="655" spans="8:14" x14ac:dyDescent="0.25">
      <c r="H655" s="37"/>
      <c r="I655" s="79"/>
      <c r="J655" s="70"/>
      <c r="K655" s="57"/>
      <c r="L655" s="11"/>
      <c r="M655" s="41"/>
      <c r="N655" s="11"/>
    </row>
    <row r="656" spans="8:14" x14ac:dyDescent="0.25">
      <c r="H656" s="37"/>
      <c r="I656" s="79"/>
      <c r="J656" s="70"/>
      <c r="K656" s="57"/>
      <c r="L656" s="11"/>
      <c r="M656" s="41"/>
      <c r="N656" s="11"/>
    </row>
    <row r="657" spans="8:14" x14ac:dyDescent="0.25">
      <c r="H657" s="37"/>
      <c r="I657" s="79"/>
      <c r="J657" s="70"/>
      <c r="K657" s="57"/>
      <c r="L657" s="11"/>
      <c r="M657" s="41"/>
      <c r="N657" s="11"/>
    </row>
    <row r="658" spans="8:14" x14ac:dyDescent="0.25">
      <c r="H658" s="37"/>
      <c r="I658" s="79"/>
      <c r="J658" s="70"/>
      <c r="K658" s="57"/>
      <c r="L658" s="11"/>
      <c r="M658" s="41"/>
      <c r="N658" s="11"/>
    </row>
    <row r="659" spans="8:14" x14ac:dyDescent="0.25">
      <c r="H659" s="37"/>
      <c r="I659" s="79"/>
      <c r="J659" s="70"/>
      <c r="K659" s="57"/>
      <c r="L659" s="11"/>
      <c r="M659" s="41"/>
      <c r="N659" s="11"/>
    </row>
    <row r="660" spans="8:14" x14ac:dyDescent="0.25">
      <c r="H660" s="37"/>
      <c r="I660" s="79"/>
      <c r="J660" s="70"/>
      <c r="K660" s="57"/>
      <c r="L660" s="11"/>
      <c r="M660" s="41"/>
      <c r="N660" s="11"/>
    </row>
    <row r="661" spans="8:14" x14ac:dyDescent="0.25">
      <c r="H661" s="37"/>
      <c r="I661" s="79"/>
      <c r="J661" s="70"/>
      <c r="K661" s="57"/>
      <c r="L661" s="11"/>
      <c r="M661" s="41"/>
      <c r="N661" s="11"/>
    </row>
    <row r="662" spans="8:14" x14ac:dyDescent="0.25">
      <c r="H662" s="37"/>
      <c r="I662" s="79"/>
      <c r="J662" s="70"/>
      <c r="K662" s="57"/>
      <c r="L662" s="11"/>
      <c r="M662" s="41"/>
      <c r="N662" s="11"/>
    </row>
    <row r="663" spans="8:14" x14ac:dyDescent="0.25">
      <c r="H663" s="37"/>
      <c r="I663" s="79"/>
      <c r="J663" s="70"/>
      <c r="K663" s="57"/>
      <c r="L663" s="11"/>
      <c r="M663" s="41"/>
      <c r="N663" s="11"/>
    </row>
    <row r="664" spans="8:14" x14ac:dyDescent="0.25">
      <c r="H664" s="37"/>
      <c r="I664" s="79"/>
      <c r="J664" s="70"/>
      <c r="K664" s="57"/>
      <c r="L664" s="11"/>
      <c r="M664" s="41"/>
      <c r="N664" s="11"/>
    </row>
    <row r="665" spans="8:14" x14ac:dyDescent="0.25">
      <c r="H665" s="37"/>
      <c r="I665" s="79"/>
      <c r="J665" s="70"/>
      <c r="K665" s="57"/>
      <c r="L665" s="11"/>
      <c r="M665" s="41"/>
      <c r="N665" s="11"/>
    </row>
    <row r="666" spans="8:14" x14ac:dyDescent="0.25">
      <c r="H666" s="37"/>
      <c r="I666" s="79"/>
      <c r="J666" s="70"/>
      <c r="K666" s="57"/>
      <c r="L666" s="11"/>
      <c r="M666" s="41"/>
      <c r="N666" s="11"/>
    </row>
    <row r="667" spans="8:14" x14ac:dyDescent="0.25">
      <c r="H667" s="37"/>
      <c r="I667" s="79"/>
      <c r="J667" s="70"/>
      <c r="K667" s="57"/>
      <c r="L667" s="11"/>
      <c r="M667" s="41"/>
      <c r="N667" s="11"/>
    </row>
    <row r="668" spans="8:14" x14ac:dyDescent="0.25">
      <c r="H668" s="37"/>
      <c r="I668" s="79"/>
      <c r="J668" s="70"/>
      <c r="K668" s="57"/>
      <c r="L668" s="11"/>
      <c r="M668" s="41"/>
      <c r="N668" s="11"/>
    </row>
    <row r="669" spans="8:14" x14ac:dyDescent="0.25">
      <c r="H669" s="37"/>
      <c r="I669" s="79"/>
      <c r="J669" s="70"/>
      <c r="K669" s="57"/>
      <c r="L669" s="11"/>
      <c r="M669" s="41"/>
      <c r="N669" s="11"/>
    </row>
    <row r="670" spans="8:14" x14ac:dyDescent="0.25">
      <c r="H670" s="37"/>
      <c r="I670" s="79"/>
      <c r="J670" s="70"/>
      <c r="K670" s="57"/>
      <c r="L670" s="11"/>
      <c r="M670" s="41"/>
      <c r="N670" s="11"/>
    </row>
    <row r="671" spans="8:14" x14ac:dyDescent="0.25">
      <c r="H671" s="37"/>
      <c r="I671" s="79"/>
      <c r="J671" s="70"/>
      <c r="K671" s="57"/>
      <c r="L671" s="11"/>
      <c r="M671" s="41"/>
      <c r="N671" s="11"/>
    </row>
    <row r="672" spans="8:14" x14ac:dyDescent="0.25">
      <c r="H672" s="37"/>
      <c r="I672" s="79"/>
      <c r="J672" s="70"/>
      <c r="K672" s="57"/>
      <c r="L672" s="11"/>
      <c r="M672" s="41"/>
      <c r="N672" s="11"/>
    </row>
    <row r="673" spans="8:14" x14ac:dyDescent="0.25">
      <c r="H673" s="37"/>
      <c r="I673" s="79"/>
      <c r="J673" s="70"/>
      <c r="K673" s="57"/>
      <c r="L673" s="11"/>
      <c r="M673" s="41"/>
      <c r="N673" s="11"/>
    </row>
    <row r="674" spans="8:14" x14ac:dyDescent="0.25">
      <c r="H674" s="37"/>
      <c r="I674" s="79"/>
      <c r="J674" s="70"/>
      <c r="K674" s="57"/>
      <c r="L674" s="11"/>
      <c r="M674" s="41"/>
      <c r="N674" s="11"/>
    </row>
    <row r="675" spans="8:14" x14ac:dyDescent="0.25">
      <c r="H675" s="37"/>
      <c r="I675" s="79"/>
      <c r="J675" s="70"/>
      <c r="K675" s="57"/>
      <c r="L675" s="11"/>
      <c r="M675" s="41"/>
      <c r="N675" s="11"/>
    </row>
    <row r="676" spans="8:14" x14ac:dyDescent="0.25">
      <c r="H676" s="37"/>
      <c r="I676" s="79"/>
      <c r="J676" s="70"/>
      <c r="K676" s="57"/>
      <c r="L676" s="11"/>
      <c r="M676" s="41"/>
      <c r="N676" s="11"/>
    </row>
    <row r="677" spans="8:14" x14ac:dyDescent="0.25">
      <c r="H677" s="37"/>
      <c r="I677" s="79"/>
      <c r="J677" s="70"/>
      <c r="K677" s="57"/>
      <c r="L677" s="11"/>
      <c r="M677" s="41"/>
      <c r="N677" s="11"/>
    </row>
    <row r="678" spans="8:14" x14ac:dyDescent="0.25">
      <c r="H678" s="37"/>
      <c r="I678" s="79"/>
      <c r="J678" s="70"/>
      <c r="K678" s="57"/>
      <c r="L678" s="11"/>
      <c r="M678" s="41"/>
      <c r="N678" s="11"/>
    </row>
    <row r="679" spans="8:14" x14ac:dyDescent="0.25">
      <c r="H679" s="37"/>
      <c r="I679" s="79"/>
      <c r="J679" s="70"/>
      <c r="K679" s="57"/>
      <c r="L679" s="11"/>
      <c r="M679" s="41"/>
      <c r="N679" s="11"/>
    </row>
    <row r="680" spans="8:14" x14ac:dyDescent="0.25">
      <c r="H680" s="37"/>
      <c r="I680" s="79"/>
      <c r="J680" s="70"/>
      <c r="K680" s="57"/>
      <c r="L680" s="11"/>
      <c r="M680" s="41"/>
      <c r="N680" s="11"/>
    </row>
    <row r="681" spans="8:14" x14ac:dyDescent="0.25">
      <c r="H681" s="37"/>
      <c r="I681" s="79"/>
      <c r="J681" s="70"/>
      <c r="K681" s="57"/>
      <c r="L681" s="11"/>
      <c r="M681" s="41"/>
      <c r="N681" s="11"/>
    </row>
    <row r="682" spans="8:14" x14ac:dyDescent="0.25">
      <c r="H682" s="37"/>
      <c r="I682" s="79"/>
      <c r="J682" s="70"/>
      <c r="K682" s="57"/>
      <c r="L682" s="11"/>
      <c r="M682" s="41"/>
      <c r="N682" s="11"/>
    </row>
    <row r="683" spans="8:14" x14ac:dyDescent="0.25">
      <c r="H683" s="37"/>
      <c r="I683" s="79"/>
      <c r="J683" s="70"/>
      <c r="K683" s="57"/>
      <c r="L683" s="11"/>
      <c r="M683" s="41"/>
      <c r="N683" s="11"/>
    </row>
    <row r="684" spans="8:14" x14ac:dyDescent="0.25">
      <c r="H684" s="37"/>
      <c r="I684" s="79"/>
      <c r="J684" s="70"/>
      <c r="K684" s="57"/>
      <c r="L684" s="11"/>
      <c r="M684" s="41"/>
      <c r="N684" s="11"/>
    </row>
    <row r="685" spans="8:14" x14ac:dyDescent="0.25">
      <c r="H685" s="37"/>
      <c r="I685" s="79"/>
      <c r="J685" s="70"/>
      <c r="K685" s="57"/>
      <c r="L685" s="11"/>
      <c r="M685" s="41"/>
      <c r="N685" s="11"/>
    </row>
    <row r="686" spans="8:14" x14ac:dyDescent="0.25">
      <c r="H686" s="37"/>
      <c r="I686" s="79"/>
      <c r="J686" s="70"/>
      <c r="K686" s="57"/>
      <c r="L686" s="11"/>
      <c r="M686" s="41"/>
      <c r="N686" s="11"/>
    </row>
    <row r="687" spans="8:14" x14ac:dyDescent="0.25">
      <c r="H687" s="37"/>
      <c r="I687" s="79"/>
      <c r="J687" s="70"/>
      <c r="K687" s="57"/>
      <c r="L687" s="11"/>
      <c r="M687" s="41"/>
      <c r="N687" s="11"/>
    </row>
    <row r="688" spans="8:14" x14ac:dyDescent="0.25">
      <c r="H688" s="37"/>
      <c r="I688" s="79"/>
      <c r="J688" s="70"/>
      <c r="K688" s="57"/>
      <c r="L688" s="11"/>
      <c r="M688" s="41"/>
      <c r="N688" s="11"/>
    </row>
    <row r="689" spans="8:14" x14ac:dyDescent="0.25">
      <c r="H689" s="37"/>
      <c r="I689" s="79"/>
      <c r="J689" s="70"/>
      <c r="K689" s="57"/>
      <c r="L689" s="11"/>
      <c r="M689" s="41"/>
      <c r="N689" s="11"/>
    </row>
    <row r="690" spans="8:14" x14ac:dyDescent="0.25">
      <c r="H690" s="37"/>
      <c r="I690" s="79"/>
      <c r="J690" s="70"/>
      <c r="K690" s="57"/>
      <c r="L690" s="11"/>
      <c r="M690" s="41"/>
      <c r="N690" s="11"/>
    </row>
    <row r="691" spans="8:14" x14ac:dyDescent="0.25">
      <c r="H691" s="37"/>
      <c r="I691" s="79"/>
      <c r="J691" s="70"/>
      <c r="K691" s="57"/>
      <c r="L691" s="11"/>
      <c r="M691" s="41"/>
      <c r="N691" s="11"/>
    </row>
    <row r="692" spans="8:14" x14ac:dyDescent="0.25">
      <c r="H692" s="37"/>
      <c r="I692" s="79"/>
      <c r="J692" s="70"/>
      <c r="K692" s="57"/>
      <c r="L692" s="11"/>
      <c r="M692" s="41"/>
      <c r="N692" s="11"/>
    </row>
    <row r="693" spans="8:14" x14ac:dyDescent="0.25">
      <c r="H693" s="37"/>
      <c r="I693" s="79"/>
      <c r="J693" s="70"/>
      <c r="K693" s="57"/>
      <c r="L693" s="11"/>
      <c r="M693" s="41"/>
      <c r="N693" s="11"/>
    </row>
    <row r="694" spans="8:14" x14ac:dyDescent="0.25">
      <c r="H694" s="37"/>
      <c r="I694" s="79"/>
      <c r="J694" s="70"/>
      <c r="K694" s="57"/>
      <c r="L694" s="11"/>
      <c r="M694" s="41"/>
      <c r="N694" s="11"/>
    </row>
    <row r="695" spans="8:14" x14ac:dyDescent="0.25">
      <c r="H695" s="37"/>
      <c r="I695" s="79"/>
      <c r="J695" s="70"/>
      <c r="K695" s="57"/>
      <c r="L695" s="11"/>
      <c r="M695" s="41"/>
      <c r="N695" s="11"/>
    </row>
    <row r="696" spans="8:14" x14ac:dyDescent="0.25">
      <c r="H696" s="37"/>
      <c r="I696" s="79"/>
      <c r="J696" s="70"/>
      <c r="K696" s="57"/>
      <c r="L696" s="11"/>
      <c r="M696" s="41"/>
      <c r="N696" s="11"/>
    </row>
    <row r="697" spans="8:14" x14ac:dyDescent="0.25">
      <c r="H697" s="37"/>
      <c r="I697" s="79"/>
      <c r="J697" s="70"/>
      <c r="K697" s="57"/>
      <c r="L697" s="11"/>
      <c r="M697" s="41"/>
      <c r="N697" s="11"/>
    </row>
    <row r="698" spans="8:14" x14ac:dyDescent="0.25">
      <c r="H698" s="37"/>
      <c r="I698" s="79"/>
      <c r="J698" s="70"/>
      <c r="K698" s="57"/>
      <c r="L698" s="11"/>
      <c r="M698" s="41"/>
      <c r="N698" s="11"/>
    </row>
    <row r="699" spans="8:14" x14ac:dyDescent="0.25">
      <c r="H699" s="37"/>
      <c r="I699" s="79"/>
      <c r="J699" s="70"/>
      <c r="K699" s="57"/>
      <c r="L699" s="11"/>
      <c r="M699" s="41"/>
      <c r="N699" s="11"/>
    </row>
    <row r="700" spans="8:14" x14ac:dyDescent="0.25">
      <c r="H700" s="37"/>
      <c r="I700" s="79"/>
      <c r="J700" s="70"/>
      <c r="K700" s="57"/>
      <c r="L700" s="11"/>
      <c r="M700" s="41"/>
      <c r="N700" s="11"/>
    </row>
    <row r="701" spans="8:14" x14ac:dyDescent="0.25">
      <c r="H701" s="37"/>
      <c r="I701" s="79"/>
      <c r="J701" s="70"/>
      <c r="K701" s="57"/>
      <c r="L701" s="11"/>
      <c r="M701" s="41"/>
      <c r="N701" s="11"/>
    </row>
    <row r="702" spans="8:14" x14ac:dyDescent="0.25">
      <c r="H702" s="37"/>
      <c r="I702" s="79"/>
      <c r="J702" s="70"/>
      <c r="K702" s="57"/>
      <c r="L702" s="11"/>
      <c r="M702" s="41"/>
      <c r="N702" s="11"/>
    </row>
    <row r="703" spans="8:14" x14ac:dyDescent="0.25">
      <c r="H703" s="37"/>
      <c r="I703" s="79"/>
      <c r="J703" s="70"/>
      <c r="K703" s="57"/>
      <c r="L703" s="11"/>
      <c r="M703" s="41"/>
      <c r="N703" s="11"/>
    </row>
    <row r="704" spans="8:14" x14ac:dyDescent="0.25">
      <c r="H704" s="37"/>
      <c r="I704" s="79"/>
      <c r="J704" s="70"/>
      <c r="K704" s="57"/>
      <c r="L704" s="11"/>
      <c r="M704" s="41"/>
      <c r="N704" s="11"/>
    </row>
    <row r="705" spans="8:14" x14ac:dyDescent="0.25">
      <c r="H705" s="37"/>
      <c r="I705" s="79"/>
      <c r="J705" s="70"/>
      <c r="K705" s="57"/>
      <c r="L705" s="11"/>
      <c r="M705" s="41"/>
      <c r="N705" s="11"/>
    </row>
    <row r="706" spans="8:14" x14ac:dyDescent="0.25">
      <c r="H706" s="37"/>
      <c r="I706" s="79"/>
      <c r="J706" s="70"/>
      <c r="K706" s="57"/>
      <c r="L706" s="11"/>
      <c r="M706" s="41"/>
      <c r="N706" s="11"/>
    </row>
    <row r="707" spans="8:14" x14ac:dyDescent="0.25">
      <c r="H707" s="37"/>
      <c r="I707" s="79"/>
      <c r="J707" s="70"/>
      <c r="K707" s="57"/>
      <c r="L707" s="11"/>
      <c r="M707" s="41"/>
      <c r="N707" s="11"/>
    </row>
    <row r="708" spans="8:14" x14ac:dyDescent="0.25">
      <c r="H708" s="37"/>
      <c r="I708" s="79"/>
      <c r="J708" s="70"/>
      <c r="K708" s="57"/>
      <c r="L708" s="11"/>
      <c r="M708" s="41"/>
      <c r="N708" s="11"/>
    </row>
    <row r="709" spans="8:14" x14ac:dyDescent="0.25">
      <c r="H709" s="37"/>
      <c r="I709" s="79"/>
      <c r="J709" s="70"/>
      <c r="K709" s="57"/>
      <c r="L709" s="11"/>
      <c r="M709" s="41"/>
      <c r="N709" s="11"/>
    </row>
    <row r="710" spans="8:14" x14ac:dyDescent="0.25">
      <c r="H710" s="37"/>
      <c r="I710" s="79"/>
      <c r="J710" s="70"/>
      <c r="K710" s="57"/>
      <c r="L710" s="11"/>
      <c r="M710" s="41"/>
      <c r="N710" s="11"/>
    </row>
    <row r="711" spans="8:14" x14ac:dyDescent="0.25">
      <c r="H711" s="37"/>
      <c r="I711" s="79"/>
      <c r="J711" s="70"/>
      <c r="K711" s="57"/>
      <c r="L711" s="11"/>
      <c r="M711" s="41"/>
      <c r="N711" s="11"/>
    </row>
    <row r="712" spans="8:14" x14ac:dyDescent="0.25">
      <c r="H712" s="37"/>
      <c r="I712" s="79"/>
      <c r="J712" s="70"/>
      <c r="K712" s="57"/>
      <c r="L712" s="11"/>
      <c r="M712" s="41"/>
      <c r="N712" s="11"/>
    </row>
    <row r="713" spans="8:14" x14ac:dyDescent="0.25">
      <c r="H713" s="37"/>
      <c r="I713" s="79"/>
      <c r="J713" s="70"/>
      <c r="K713" s="57"/>
      <c r="L713" s="11"/>
      <c r="M713" s="41"/>
      <c r="N713" s="11"/>
    </row>
    <row r="714" spans="8:14" x14ac:dyDescent="0.25">
      <c r="H714" s="37"/>
      <c r="I714" s="79"/>
      <c r="J714" s="70"/>
      <c r="K714" s="57"/>
      <c r="L714" s="11"/>
      <c r="M714" s="41"/>
      <c r="N714" s="11"/>
    </row>
    <row r="715" spans="8:14" x14ac:dyDescent="0.25">
      <c r="H715" s="37"/>
      <c r="I715" s="79"/>
      <c r="J715" s="70"/>
      <c r="K715" s="57"/>
      <c r="L715" s="11"/>
      <c r="M715" s="41"/>
      <c r="N715" s="11"/>
    </row>
    <row r="716" spans="8:14" x14ac:dyDescent="0.25">
      <c r="H716" s="37"/>
      <c r="I716" s="79"/>
      <c r="J716" s="70"/>
      <c r="K716" s="57"/>
      <c r="L716" s="11"/>
      <c r="M716" s="41"/>
      <c r="N716" s="11"/>
    </row>
    <row r="717" spans="8:14" x14ac:dyDescent="0.25">
      <c r="H717" s="37"/>
      <c r="I717" s="79"/>
      <c r="J717" s="70"/>
      <c r="K717" s="57"/>
      <c r="L717" s="11"/>
      <c r="M717" s="41"/>
      <c r="N717" s="11"/>
    </row>
    <row r="718" spans="8:14" x14ac:dyDescent="0.25">
      <c r="H718" s="37"/>
      <c r="I718" s="79"/>
      <c r="J718" s="70"/>
      <c r="K718" s="57"/>
      <c r="L718" s="11"/>
      <c r="M718" s="41"/>
      <c r="N718" s="11"/>
    </row>
    <row r="719" spans="8:14" x14ac:dyDescent="0.25">
      <c r="H719" s="37"/>
      <c r="I719" s="79"/>
      <c r="J719" s="70"/>
      <c r="K719" s="57"/>
      <c r="L719" s="11"/>
      <c r="M719" s="41"/>
      <c r="N719" s="11"/>
    </row>
    <row r="720" spans="8:14" x14ac:dyDescent="0.25">
      <c r="H720" s="37"/>
      <c r="I720" s="79"/>
      <c r="J720" s="70"/>
      <c r="K720" s="57"/>
      <c r="L720" s="11"/>
      <c r="M720" s="41"/>
      <c r="N720" s="11"/>
    </row>
    <row r="721" spans="8:14" x14ac:dyDescent="0.25">
      <c r="H721" s="37"/>
      <c r="I721" s="79"/>
      <c r="J721" s="70"/>
      <c r="K721" s="57"/>
      <c r="L721" s="11"/>
      <c r="M721" s="41"/>
      <c r="N721" s="11"/>
    </row>
    <row r="722" spans="8:14" x14ac:dyDescent="0.25">
      <c r="H722" s="37"/>
      <c r="I722" s="79"/>
      <c r="J722" s="70"/>
      <c r="K722" s="57"/>
      <c r="L722" s="11"/>
      <c r="M722" s="41"/>
      <c r="N722" s="11"/>
    </row>
    <row r="723" spans="8:14" x14ac:dyDescent="0.25">
      <c r="H723" s="37"/>
      <c r="I723" s="79"/>
      <c r="J723" s="70"/>
      <c r="K723" s="57"/>
      <c r="L723" s="11"/>
      <c r="M723" s="41"/>
      <c r="N723" s="11"/>
    </row>
    <row r="724" spans="8:14" x14ac:dyDescent="0.25">
      <c r="H724" s="37"/>
      <c r="I724" s="79"/>
      <c r="J724" s="70"/>
      <c r="K724" s="57"/>
      <c r="L724" s="11"/>
      <c r="M724" s="41"/>
      <c r="N724" s="11"/>
    </row>
    <row r="725" spans="8:14" x14ac:dyDescent="0.25">
      <c r="H725" s="37"/>
      <c r="I725" s="79"/>
      <c r="J725" s="70"/>
      <c r="K725" s="57"/>
      <c r="L725" s="11"/>
      <c r="M725" s="41"/>
      <c r="N725" s="11"/>
    </row>
    <row r="726" spans="8:14" x14ac:dyDescent="0.25">
      <c r="H726" s="37"/>
      <c r="I726" s="79"/>
      <c r="J726" s="70"/>
      <c r="K726" s="57"/>
      <c r="L726" s="11"/>
      <c r="M726" s="41"/>
      <c r="N726" s="11"/>
    </row>
    <row r="727" spans="8:14" x14ac:dyDescent="0.25">
      <c r="H727" s="37"/>
      <c r="I727" s="79"/>
      <c r="J727" s="70"/>
      <c r="K727" s="57"/>
      <c r="L727" s="11"/>
      <c r="M727" s="41"/>
      <c r="N727" s="11"/>
    </row>
    <row r="728" spans="8:14" x14ac:dyDescent="0.25">
      <c r="H728" s="37"/>
      <c r="I728" s="79"/>
      <c r="J728" s="70"/>
      <c r="K728" s="57"/>
      <c r="L728" s="11"/>
      <c r="M728" s="41"/>
      <c r="N728" s="11"/>
    </row>
    <row r="729" spans="8:14" x14ac:dyDescent="0.25">
      <c r="H729" s="37"/>
      <c r="I729" s="79"/>
      <c r="J729" s="70"/>
      <c r="K729" s="57"/>
      <c r="L729" s="11"/>
      <c r="M729" s="41"/>
      <c r="N729" s="11"/>
    </row>
    <row r="730" spans="8:14" x14ac:dyDescent="0.25">
      <c r="H730" s="37"/>
      <c r="I730" s="79"/>
      <c r="J730" s="70"/>
      <c r="K730" s="57"/>
      <c r="L730" s="11"/>
      <c r="M730" s="41"/>
      <c r="N730" s="11"/>
    </row>
    <row r="731" spans="8:14" x14ac:dyDescent="0.25">
      <c r="H731" s="37"/>
      <c r="I731" s="79"/>
      <c r="J731" s="70"/>
      <c r="K731" s="57"/>
      <c r="L731" s="11"/>
      <c r="M731" s="41"/>
      <c r="N731" s="11"/>
    </row>
    <row r="732" spans="8:14" x14ac:dyDescent="0.25">
      <c r="H732" s="37"/>
      <c r="I732" s="79"/>
      <c r="J732" s="70"/>
      <c r="K732" s="57"/>
      <c r="L732" s="11"/>
      <c r="M732" s="41"/>
      <c r="N732" s="11"/>
    </row>
    <row r="733" spans="8:14" x14ac:dyDescent="0.25">
      <c r="H733" s="37"/>
      <c r="I733" s="79"/>
      <c r="J733" s="70"/>
      <c r="K733" s="57"/>
      <c r="L733" s="11"/>
      <c r="M733" s="41"/>
      <c r="N733" s="11"/>
    </row>
    <row r="734" spans="8:14" x14ac:dyDescent="0.25">
      <c r="H734" s="37"/>
      <c r="I734" s="79"/>
      <c r="J734" s="70"/>
      <c r="K734" s="57"/>
      <c r="L734" s="11"/>
      <c r="M734" s="41"/>
      <c r="N734" s="11"/>
    </row>
    <row r="735" spans="8:14" x14ac:dyDescent="0.25">
      <c r="H735" s="37"/>
      <c r="I735" s="79"/>
      <c r="J735" s="70"/>
      <c r="K735" s="57"/>
      <c r="L735" s="11"/>
      <c r="M735" s="41"/>
      <c r="N735" s="11"/>
    </row>
    <row r="736" spans="8:14" x14ac:dyDescent="0.25">
      <c r="H736" s="37"/>
      <c r="I736" s="79"/>
      <c r="J736" s="70"/>
      <c r="K736" s="57"/>
      <c r="L736" s="11"/>
      <c r="M736" s="41"/>
      <c r="N736" s="11"/>
    </row>
    <row r="737" spans="8:14" x14ac:dyDescent="0.25">
      <c r="H737" s="37"/>
      <c r="I737" s="79"/>
      <c r="J737" s="70"/>
      <c r="K737" s="57"/>
      <c r="L737" s="11"/>
      <c r="M737" s="41"/>
      <c r="N737" s="11"/>
    </row>
    <row r="738" spans="8:14" x14ac:dyDescent="0.25">
      <c r="H738" s="37"/>
      <c r="I738" s="79"/>
      <c r="J738" s="70"/>
      <c r="K738" s="57"/>
      <c r="L738" s="11"/>
      <c r="M738" s="41"/>
      <c r="N738" s="11"/>
    </row>
    <row r="739" spans="8:14" x14ac:dyDescent="0.25">
      <c r="H739" s="37"/>
      <c r="I739" s="79"/>
      <c r="J739" s="70"/>
      <c r="K739" s="57"/>
      <c r="L739" s="11"/>
      <c r="M739" s="41"/>
      <c r="N739" s="11"/>
    </row>
    <row r="740" spans="8:14" x14ac:dyDescent="0.25">
      <c r="H740" s="37"/>
      <c r="I740" s="79"/>
      <c r="J740" s="70"/>
      <c r="K740" s="57"/>
      <c r="L740" s="11"/>
      <c r="M740" s="41"/>
      <c r="N740" s="11"/>
    </row>
    <row r="741" spans="8:14" x14ac:dyDescent="0.25">
      <c r="H741" s="37"/>
      <c r="I741" s="79"/>
      <c r="J741" s="70"/>
      <c r="K741" s="57"/>
      <c r="L741" s="11"/>
      <c r="M741" s="41"/>
      <c r="N741" s="11"/>
    </row>
    <row r="742" spans="8:14" x14ac:dyDescent="0.25">
      <c r="H742" s="37"/>
      <c r="I742" s="79"/>
      <c r="J742" s="70"/>
      <c r="K742" s="57"/>
      <c r="L742" s="11"/>
      <c r="M742" s="41"/>
      <c r="N742" s="11"/>
    </row>
    <row r="743" spans="8:14" x14ac:dyDescent="0.25">
      <c r="H743" s="37"/>
      <c r="I743" s="79"/>
      <c r="J743" s="70"/>
      <c r="K743" s="57"/>
      <c r="L743" s="11"/>
      <c r="M743" s="41"/>
      <c r="N743" s="11"/>
    </row>
    <row r="744" spans="8:14" x14ac:dyDescent="0.25">
      <c r="H744" s="37"/>
      <c r="I744" s="79"/>
      <c r="J744" s="70"/>
      <c r="K744" s="57"/>
      <c r="L744" s="11"/>
      <c r="M744" s="41"/>
      <c r="N744" s="11"/>
    </row>
    <row r="745" spans="8:14" x14ac:dyDescent="0.25">
      <c r="H745" s="37"/>
      <c r="I745" s="79"/>
      <c r="J745" s="70"/>
      <c r="K745" s="57"/>
      <c r="L745" s="11"/>
      <c r="M745" s="41"/>
      <c r="N745" s="11"/>
    </row>
    <row r="746" spans="8:14" x14ac:dyDescent="0.25">
      <c r="H746" s="37"/>
      <c r="I746" s="79"/>
      <c r="J746" s="70"/>
      <c r="K746" s="57"/>
      <c r="L746" s="11"/>
      <c r="M746" s="41"/>
      <c r="N746" s="11"/>
    </row>
    <row r="747" spans="8:14" x14ac:dyDescent="0.25">
      <c r="H747" s="37"/>
      <c r="I747" s="79"/>
      <c r="J747" s="70"/>
      <c r="K747" s="57"/>
      <c r="L747" s="11"/>
      <c r="M747" s="41"/>
      <c r="N747" s="11"/>
    </row>
    <row r="748" spans="8:14" x14ac:dyDescent="0.25">
      <c r="H748" s="37"/>
      <c r="I748" s="79"/>
      <c r="J748" s="70"/>
      <c r="K748" s="57"/>
      <c r="L748" s="11"/>
      <c r="M748" s="41"/>
      <c r="N748" s="11"/>
    </row>
    <row r="749" spans="8:14" x14ac:dyDescent="0.25">
      <c r="H749" s="37"/>
      <c r="I749" s="79"/>
      <c r="J749" s="70"/>
      <c r="K749" s="57"/>
      <c r="L749" s="11"/>
      <c r="M749" s="41"/>
      <c r="N749" s="11"/>
    </row>
    <row r="750" spans="8:14" x14ac:dyDescent="0.25">
      <c r="H750" s="37"/>
      <c r="I750" s="79"/>
      <c r="J750" s="70"/>
      <c r="K750" s="57"/>
      <c r="L750" s="11"/>
      <c r="M750" s="41"/>
      <c r="N750" s="11"/>
    </row>
    <row r="751" spans="8:14" x14ac:dyDescent="0.25">
      <c r="H751" s="37"/>
      <c r="I751" s="79"/>
      <c r="J751" s="70"/>
      <c r="K751" s="57"/>
      <c r="L751" s="11"/>
      <c r="M751" s="41"/>
      <c r="N751" s="11"/>
    </row>
    <row r="752" spans="8:14" x14ac:dyDescent="0.25">
      <c r="H752" s="37"/>
      <c r="I752" s="79"/>
      <c r="J752" s="70"/>
      <c r="K752" s="57"/>
      <c r="L752" s="11"/>
      <c r="M752" s="41"/>
      <c r="N752" s="11"/>
    </row>
    <row r="753" spans="8:14" x14ac:dyDescent="0.25">
      <c r="H753" s="37"/>
      <c r="I753" s="79"/>
      <c r="J753" s="70"/>
      <c r="K753" s="57"/>
      <c r="L753" s="11"/>
      <c r="M753" s="41"/>
      <c r="N753" s="11"/>
    </row>
    <row r="754" spans="8:14" x14ac:dyDescent="0.25">
      <c r="H754" s="37"/>
      <c r="I754" s="79"/>
      <c r="J754" s="70"/>
      <c r="K754" s="57"/>
      <c r="L754" s="11"/>
      <c r="M754" s="41"/>
      <c r="N754" s="11"/>
    </row>
    <row r="755" spans="8:14" x14ac:dyDescent="0.25">
      <c r="H755" s="37"/>
      <c r="I755" s="79"/>
      <c r="J755" s="70"/>
      <c r="K755" s="57"/>
      <c r="L755" s="11"/>
      <c r="M755" s="41"/>
      <c r="N755" s="11"/>
    </row>
    <row r="756" spans="8:14" x14ac:dyDescent="0.25">
      <c r="H756" s="37"/>
      <c r="I756" s="79"/>
      <c r="J756" s="70"/>
      <c r="K756" s="57"/>
      <c r="L756" s="11"/>
      <c r="M756" s="41"/>
      <c r="N756" s="11"/>
    </row>
    <row r="757" spans="8:14" x14ac:dyDescent="0.25">
      <c r="H757" s="37"/>
      <c r="I757" s="79"/>
      <c r="J757" s="70"/>
      <c r="K757" s="57"/>
      <c r="L757" s="11"/>
      <c r="M757" s="41"/>
      <c r="N757" s="11"/>
    </row>
    <row r="758" spans="8:14" x14ac:dyDescent="0.25">
      <c r="H758" s="37"/>
      <c r="I758" s="79"/>
      <c r="J758" s="70"/>
      <c r="K758" s="57"/>
      <c r="L758" s="11"/>
      <c r="M758" s="41"/>
      <c r="N758" s="11"/>
    </row>
    <row r="759" spans="8:14" x14ac:dyDescent="0.25">
      <c r="H759" s="37"/>
      <c r="I759" s="79"/>
      <c r="J759" s="70"/>
      <c r="K759" s="57"/>
      <c r="L759" s="11"/>
      <c r="M759" s="41"/>
      <c r="N759" s="11"/>
    </row>
    <row r="760" spans="8:14" x14ac:dyDescent="0.25">
      <c r="H760" s="37"/>
      <c r="I760" s="79"/>
      <c r="J760" s="70"/>
      <c r="K760" s="57"/>
      <c r="L760" s="11"/>
      <c r="M760" s="41"/>
      <c r="N760" s="11"/>
    </row>
    <row r="761" spans="8:14" x14ac:dyDescent="0.25">
      <c r="H761" s="37"/>
      <c r="I761" s="79"/>
      <c r="J761" s="70"/>
      <c r="K761" s="57"/>
      <c r="L761" s="11"/>
      <c r="M761" s="41"/>
      <c r="N761" s="11"/>
    </row>
    <row r="762" spans="8:14" x14ac:dyDescent="0.25">
      <c r="H762" s="37"/>
      <c r="I762" s="79"/>
      <c r="J762" s="70"/>
      <c r="K762" s="57"/>
      <c r="L762" s="11"/>
      <c r="M762" s="41"/>
      <c r="N762" s="11"/>
    </row>
    <row r="763" spans="8:14" x14ac:dyDescent="0.25">
      <c r="H763" s="37"/>
      <c r="I763" s="79"/>
      <c r="J763" s="70"/>
      <c r="K763" s="57"/>
      <c r="L763" s="11"/>
      <c r="M763" s="41"/>
      <c r="N763" s="11"/>
    </row>
    <row r="764" spans="8:14" x14ac:dyDescent="0.25">
      <c r="H764" s="37"/>
      <c r="I764" s="79"/>
      <c r="J764" s="70"/>
      <c r="K764" s="57"/>
      <c r="L764" s="11"/>
      <c r="M764" s="41"/>
      <c r="N764" s="11"/>
    </row>
    <row r="765" spans="8:14" x14ac:dyDescent="0.25">
      <c r="H765" s="37"/>
      <c r="I765" s="79"/>
      <c r="J765" s="70"/>
      <c r="K765" s="57"/>
      <c r="L765" s="11"/>
      <c r="M765" s="41"/>
      <c r="N765" s="11"/>
    </row>
    <row r="766" spans="8:14" x14ac:dyDescent="0.25">
      <c r="H766" s="37"/>
      <c r="I766" s="79"/>
      <c r="J766" s="70"/>
      <c r="K766" s="57"/>
      <c r="L766" s="11"/>
      <c r="M766" s="41"/>
      <c r="N766" s="11"/>
    </row>
    <row r="767" spans="8:14" x14ac:dyDescent="0.25">
      <c r="H767" s="37"/>
      <c r="I767" s="79"/>
      <c r="J767" s="70"/>
      <c r="K767" s="57"/>
      <c r="L767" s="11"/>
      <c r="M767" s="41"/>
      <c r="N767" s="11"/>
    </row>
    <row r="768" spans="8:14" x14ac:dyDescent="0.25">
      <c r="H768" s="37"/>
      <c r="I768" s="79"/>
      <c r="J768" s="70"/>
      <c r="K768" s="57"/>
      <c r="L768" s="11"/>
      <c r="M768" s="41"/>
      <c r="N768" s="11"/>
    </row>
    <row r="769" spans="8:14" x14ac:dyDescent="0.25">
      <c r="H769" s="37"/>
      <c r="I769" s="79"/>
      <c r="J769" s="70"/>
      <c r="K769" s="57"/>
      <c r="L769" s="11"/>
      <c r="M769" s="41"/>
      <c r="N769" s="11"/>
    </row>
    <row r="770" spans="8:14" x14ac:dyDescent="0.25">
      <c r="H770" s="37"/>
      <c r="I770" s="79"/>
      <c r="J770" s="70"/>
      <c r="K770" s="57"/>
      <c r="L770" s="11"/>
      <c r="M770" s="41"/>
      <c r="N770" s="11"/>
    </row>
    <row r="771" spans="8:14" x14ac:dyDescent="0.25">
      <c r="H771" s="37"/>
      <c r="I771" s="79"/>
      <c r="J771" s="70"/>
      <c r="K771" s="57"/>
      <c r="L771" s="11"/>
      <c r="M771" s="41"/>
      <c r="N771" s="11"/>
    </row>
    <row r="772" spans="8:14" x14ac:dyDescent="0.25">
      <c r="H772" s="37"/>
      <c r="I772" s="79"/>
      <c r="J772" s="70"/>
      <c r="K772" s="57"/>
      <c r="L772" s="11"/>
      <c r="M772" s="41"/>
      <c r="N772" s="11"/>
    </row>
    <row r="773" spans="8:14" x14ac:dyDescent="0.25">
      <c r="H773" s="37"/>
      <c r="I773" s="79"/>
      <c r="J773" s="70"/>
      <c r="K773" s="57"/>
      <c r="L773" s="11"/>
      <c r="M773" s="41"/>
      <c r="N773" s="11"/>
    </row>
    <row r="774" spans="8:14" x14ac:dyDescent="0.25">
      <c r="H774" s="37"/>
      <c r="I774" s="79"/>
      <c r="J774" s="70"/>
      <c r="K774" s="57"/>
      <c r="L774" s="11"/>
      <c r="M774" s="41"/>
      <c r="N774" s="11"/>
    </row>
    <row r="775" spans="8:14" x14ac:dyDescent="0.25">
      <c r="H775" s="37"/>
      <c r="I775" s="79"/>
      <c r="J775" s="70"/>
      <c r="K775" s="57"/>
      <c r="L775" s="11"/>
      <c r="M775" s="41"/>
      <c r="N775" s="11"/>
    </row>
    <row r="776" spans="8:14" x14ac:dyDescent="0.25">
      <c r="H776" s="37"/>
      <c r="I776" s="79"/>
      <c r="J776" s="70"/>
      <c r="K776" s="57"/>
      <c r="L776" s="11"/>
      <c r="M776" s="41"/>
      <c r="N776" s="11"/>
    </row>
    <row r="777" spans="8:14" x14ac:dyDescent="0.25">
      <c r="H777" s="37"/>
      <c r="I777" s="79"/>
      <c r="J777" s="70"/>
      <c r="K777" s="57"/>
      <c r="L777" s="11"/>
      <c r="M777" s="41"/>
      <c r="N777" s="11"/>
    </row>
    <row r="778" spans="8:14" x14ac:dyDescent="0.25">
      <c r="H778" s="37"/>
      <c r="I778" s="79"/>
      <c r="J778" s="70"/>
      <c r="K778" s="57"/>
      <c r="L778" s="11"/>
      <c r="M778" s="41"/>
      <c r="N778" s="11"/>
    </row>
    <row r="779" spans="8:14" x14ac:dyDescent="0.25">
      <c r="H779" s="37"/>
      <c r="I779" s="79"/>
      <c r="J779" s="70"/>
      <c r="K779" s="57"/>
      <c r="L779" s="11"/>
      <c r="M779" s="41"/>
      <c r="N779" s="11"/>
    </row>
    <row r="780" spans="8:14" x14ac:dyDescent="0.25">
      <c r="H780" s="37"/>
      <c r="I780" s="79"/>
      <c r="J780" s="70"/>
      <c r="K780" s="57"/>
      <c r="L780" s="11"/>
      <c r="M780" s="41"/>
      <c r="N780" s="11"/>
    </row>
    <row r="781" spans="8:14" x14ac:dyDescent="0.25">
      <c r="H781" s="37"/>
      <c r="I781" s="79"/>
      <c r="J781" s="70"/>
      <c r="K781" s="57"/>
      <c r="L781" s="11"/>
      <c r="M781" s="41"/>
      <c r="N781" s="11"/>
    </row>
    <row r="782" spans="8:14" x14ac:dyDescent="0.25">
      <c r="H782" s="37"/>
      <c r="I782" s="79"/>
      <c r="J782" s="70"/>
      <c r="K782" s="57"/>
      <c r="L782" s="11"/>
      <c r="M782" s="41"/>
      <c r="N782" s="11"/>
    </row>
    <row r="783" spans="8:14" x14ac:dyDescent="0.25">
      <c r="H783" s="37"/>
      <c r="I783" s="79"/>
      <c r="J783" s="70"/>
      <c r="K783" s="57"/>
      <c r="L783" s="11"/>
      <c r="M783" s="41"/>
      <c r="N783" s="11"/>
    </row>
    <row r="784" spans="8:14" x14ac:dyDescent="0.25">
      <c r="H784" s="37"/>
      <c r="I784" s="79"/>
      <c r="J784" s="70"/>
      <c r="K784" s="57"/>
      <c r="L784" s="11"/>
      <c r="M784" s="41"/>
      <c r="N784" s="11"/>
    </row>
    <row r="785" spans="8:14" x14ac:dyDescent="0.25">
      <c r="H785" s="37"/>
      <c r="I785" s="79"/>
      <c r="J785" s="70"/>
      <c r="K785" s="57"/>
      <c r="L785" s="11"/>
      <c r="M785" s="41"/>
      <c r="N785" s="11"/>
    </row>
    <row r="786" spans="8:14" x14ac:dyDescent="0.25">
      <c r="H786" s="37"/>
      <c r="I786" s="79"/>
      <c r="J786" s="70"/>
      <c r="K786" s="57"/>
      <c r="L786" s="11"/>
      <c r="M786" s="41"/>
      <c r="N786" s="11"/>
    </row>
    <row r="787" spans="8:14" x14ac:dyDescent="0.25">
      <c r="H787" s="37"/>
      <c r="I787" s="79"/>
      <c r="J787" s="70"/>
      <c r="K787" s="57"/>
      <c r="L787" s="11"/>
      <c r="M787" s="41"/>
      <c r="N787" s="11"/>
    </row>
    <row r="788" spans="8:14" x14ac:dyDescent="0.25">
      <c r="H788" s="37"/>
      <c r="I788" s="79"/>
      <c r="J788" s="70"/>
      <c r="K788" s="57"/>
      <c r="L788" s="11"/>
      <c r="M788" s="41"/>
      <c r="N788" s="11"/>
    </row>
    <row r="789" spans="8:14" x14ac:dyDescent="0.25">
      <c r="H789" s="37"/>
      <c r="I789" s="79"/>
      <c r="J789" s="70"/>
      <c r="K789" s="57"/>
      <c r="L789" s="11"/>
      <c r="M789" s="41"/>
      <c r="N789" s="11"/>
    </row>
    <row r="790" spans="8:14" x14ac:dyDescent="0.25">
      <c r="H790" s="37"/>
      <c r="I790" s="79"/>
      <c r="J790" s="70"/>
      <c r="K790" s="57"/>
      <c r="L790" s="11"/>
      <c r="M790" s="41"/>
      <c r="N790" s="11"/>
    </row>
    <row r="791" spans="8:14" x14ac:dyDescent="0.25">
      <c r="H791" s="37"/>
      <c r="I791" s="79"/>
      <c r="J791" s="70"/>
      <c r="K791" s="57"/>
      <c r="L791" s="11"/>
      <c r="M791" s="41"/>
      <c r="N791" s="11"/>
    </row>
    <row r="792" spans="8:14" x14ac:dyDescent="0.25">
      <c r="H792" s="37"/>
      <c r="I792" s="79"/>
      <c r="J792" s="70"/>
      <c r="K792" s="57"/>
      <c r="L792" s="11"/>
      <c r="M792" s="41"/>
      <c r="N792" s="11"/>
    </row>
    <row r="793" spans="8:14" x14ac:dyDescent="0.25">
      <c r="H793" s="37"/>
      <c r="I793" s="79"/>
      <c r="J793" s="70"/>
      <c r="K793" s="57"/>
      <c r="L793" s="11"/>
      <c r="M793" s="41"/>
      <c r="N793" s="11"/>
    </row>
    <row r="794" spans="8:14" x14ac:dyDescent="0.25">
      <c r="H794" s="37"/>
      <c r="I794" s="79"/>
      <c r="J794" s="70"/>
      <c r="K794" s="57"/>
      <c r="L794" s="11"/>
      <c r="M794" s="41"/>
      <c r="N794" s="11"/>
    </row>
    <row r="795" spans="8:14" x14ac:dyDescent="0.25">
      <c r="H795" s="37"/>
      <c r="I795" s="79"/>
      <c r="J795" s="70"/>
      <c r="K795" s="57"/>
      <c r="L795" s="11"/>
      <c r="M795" s="41"/>
      <c r="N795" s="11"/>
    </row>
    <row r="796" spans="8:14" x14ac:dyDescent="0.25">
      <c r="H796" s="37"/>
      <c r="I796" s="79"/>
      <c r="J796" s="70"/>
      <c r="K796" s="57"/>
      <c r="L796" s="11"/>
      <c r="M796" s="41"/>
      <c r="N796" s="11"/>
    </row>
    <row r="797" spans="8:14" x14ac:dyDescent="0.25">
      <c r="H797" s="37"/>
      <c r="I797" s="79"/>
      <c r="J797" s="70"/>
      <c r="K797" s="57"/>
      <c r="L797" s="11"/>
      <c r="M797" s="41"/>
      <c r="N797" s="11"/>
    </row>
    <row r="798" spans="8:14" x14ac:dyDescent="0.25">
      <c r="H798" s="37"/>
      <c r="I798" s="79"/>
      <c r="J798" s="70"/>
      <c r="K798" s="57"/>
      <c r="L798" s="11"/>
      <c r="M798" s="41"/>
      <c r="N798" s="11"/>
    </row>
    <row r="799" spans="8:14" x14ac:dyDescent="0.25">
      <c r="H799" s="37"/>
      <c r="I799" s="79"/>
      <c r="J799" s="70"/>
      <c r="K799" s="57"/>
      <c r="L799" s="11"/>
      <c r="M799" s="41"/>
      <c r="N799" s="11"/>
    </row>
    <row r="800" spans="8:14" x14ac:dyDescent="0.25">
      <c r="H800" s="37"/>
      <c r="I800" s="79"/>
      <c r="J800" s="70"/>
      <c r="K800" s="57"/>
      <c r="L800" s="11"/>
      <c r="M800" s="41"/>
      <c r="N800" s="11"/>
    </row>
    <row r="801" spans="8:14" x14ac:dyDescent="0.25">
      <c r="H801" s="37"/>
      <c r="I801" s="79"/>
      <c r="J801" s="70"/>
      <c r="K801" s="57"/>
      <c r="L801" s="11"/>
      <c r="M801" s="41"/>
      <c r="N801" s="11"/>
    </row>
    <row r="802" spans="8:14" x14ac:dyDescent="0.25">
      <c r="H802" s="37"/>
      <c r="I802" s="79"/>
      <c r="J802" s="70"/>
      <c r="K802" s="57"/>
      <c r="L802" s="11"/>
      <c r="M802" s="41"/>
      <c r="N802" s="11"/>
    </row>
    <row r="803" spans="8:14" x14ac:dyDescent="0.25">
      <c r="H803" s="37"/>
      <c r="I803" s="79"/>
      <c r="J803" s="70"/>
      <c r="K803" s="57"/>
      <c r="L803" s="11"/>
      <c r="M803" s="41"/>
      <c r="N803" s="11"/>
    </row>
    <row r="804" spans="8:14" x14ac:dyDescent="0.25">
      <c r="H804" s="37"/>
      <c r="I804" s="79"/>
      <c r="J804" s="70"/>
      <c r="K804" s="57"/>
      <c r="L804" s="11"/>
      <c r="M804" s="41"/>
      <c r="N804" s="11"/>
    </row>
    <row r="805" spans="8:14" x14ac:dyDescent="0.25">
      <c r="H805" s="37"/>
      <c r="I805" s="79"/>
      <c r="J805" s="70"/>
      <c r="K805" s="57"/>
      <c r="L805" s="11"/>
      <c r="M805" s="41"/>
      <c r="N805" s="11"/>
    </row>
    <row r="806" spans="8:14" x14ac:dyDescent="0.25">
      <c r="H806" s="37"/>
      <c r="I806" s="79"/>
      <c r="J806" s="70"/>
      <c r="K806" s="57"/>
      <c r="L806" s="11"/>
      <c r="M806" s="41"/>
      <c r="N806" s="11"/>
    </row>
    <row r="807" spans="8:14" x14ac:dyDescent="0.25">
      <c r="H807" s="37"/>
      <c r="I807" s="79"/>
      <c r="J807" s="70"/>
      <c r="K807" s="57"/>
      <c r="L807" s="11"/>
      <c r="M807" s="41"/>
      <c r="N807" s="11"/>
    </row>
    <row r="808" spans="8:14" x14ac:dyDescent="0.25">
      <c r="H808" s="37"/>
      <c r="I808" s="79"/>
      <c r="J808" s="70"/>
      <c r="K808" s="57"/>
      <c r="L808" s="11"/>
      <c r="M808" s="41"/>
      <c r="N808" s="11"/>
    </row>
    <row r="809" spans="8:14" x14ac:dyDescent="0.25">
      <c r="H809" s="37"/>
      <c r="I809" s="79"/>
      <c r="J809" s="70"/>
      <c r="K809" s="57"/>
      <c r="L809" s="11"/>
      <c r="M809" s="41"/>
      <c r="N809" s="11"/>
    </row>
    <row r="810" spans="8:14" x14ac:dyDescent="0.25">
      <c r="H810" s="37"/>
      <c r="I810" s="79"/>
      <c r="J810" s="70"/>
      <c r="K810" s="57"/>
      <c r="L810" s="11"/>
      <c r="M810" s="41"/>
      <c r="N810" s="11"/>
    </row>
    <row r="811" spans="8:14" x14ac:dyDescent="0.25">
      <c r="H811" s="37"/>
      <c r="I811" s="79"/>
      <c r="J811" s="70"/>
      <c r="K811" s="57"/>
      <c r="L811" s="11"/>
      <c r="M811" s="41"/>
      <c r="N811" s="11"/>
    </row>
    <row r="812" spans="8:14" x14ac:dyDescent="0.25">
      <c r="H812" s="37"/>
      <c r="I812" s="79"/>
      <c r="J812" s="70"/>
      <c r="K812" s="57"/>
      <c r="L812" s="11"/>
      <c r="M812" s="41"/>
      <c r="N812" s="11"/>
    </row>
    <row r="813" spans="8:14" x14ac:dyDescent="0.25">
      <c r="H813" s="37"/>
      <c r="I813" s="79"/>
      <c r="J813" s="70"/>
      <c r="K813" s="57"/>
      <c r="L813" s="11"/>
      <c r="M813" s="41"/>
      <c r="N813" s="11"/>
    </row>
    <row r="814" spans="8:14" x14ac:dyDescent="0.25">
      <c r="H814" s="37"/>
      <c r="I814" s="79"/>
      <c r="J814" s="70"/>
      <c r="K814" s="57"/>
      <c r="L814" s="11"/>
      <c r="M814" s="41"/>
      <c r="N814" s="11"/>
    </row>
    <row r="815" spans="8:14" x14ac:dyDescent="0.25">
      <c r="H815" s="37"/>
      <c r="I815" s="79"/>
      <c r="J815" s="70"/>
      <c r="K815" s="57"/>
      <c r="L815" s="11"/>
      <c r="M815" s="41"/>
      <c r="N815" s="11"/>
    </row>
    <row r="816" spans="8:14" x14ac:dyDescent="0.25">
      <c r="H816" s="37"/>
      <c r="I816" s="79"/>
      <c r="J816" s="70"/>
      <c r="K816" s="57"/>
      <c r="L816" s="11"/>
      <c r="M816" s="41"/>
      <c r="N816" s="11"/>
    </row>
    <row r="817" spans="8:14" x14ac:dyDescent="0.25">
      <c r="H817" s="37"/>
      <c r="I817" s="79"/>
      <c r="J817" s="70"/>
      <c r="K817" s="57"/>
      <c r="L817" s="11"/>
      <c r="M817" s="41"/>
      <c r="N817" s="11"/>
    </row>
    <row r="818" spans="8:14" x14ac:dyDescent="0.25">
      <c r="H818" s="37"/>
      <c r="I818" s="79"/>
      <c r="J818" s="70"/>
      <c r="K818" s="57"/>
      <c r="L818" s="11"/>
      <c r="M818" s="41"/>
      <c r="N818" s="11"/>
    </row>
    <row r="819" spans="8:14" x14ac:dyDescent="0.25">
      <c r="H819" s="37"/>
      <c r="I819" s="79"/>
      <c r="J819" s="70"/>
      <c r="K819" s="57"/>
      <c r="L819" s="11"/>
      <c r="M819" s="41"/>
      <c r="N819" s="11"/>
    </row>
    <row r="820" spans="8:14" x14ac:dyDescent="0.25">
      <c r="H820" s="37"/>
      <c r="I820" s="79"/>
      <c r="J820" s="70"/>
      <c r="K820" s="57"/>
      <c r="L820" s="11"/>
      <c r="M820" s="41"/>
      <c r="N820" s="11"/>
    </row>
    <row r="821" spans="8:14" x14ac:dyDescent="0.25">
      <c r="H821" s="37"/>
      <c r="I821" s="79"/>
      <c r="J821" s="70"/>
      <c r="K821" s="57"/>
      <c r="L821" s="11"/>
      <c r="M821" s="41"/>
      <c r="N821" s="11"/>
    </row>
    <row r="822" spans="8:14" x14ac:dyDescent="0.25">
      <c r="H822" s="37"/>
      <c r="I822" s="79"/>
      <c r="J822" s="70"/>
      <c r="K822" s="57"/>
      <c r="L822" s="11"/>
      <c r="M822" s="41"/>
      <c r="N822" s="11"/>
    </row>
    <row r="823" spans="8:14" x14ac:dyDescent="0.25">
      <c r="H823" s="37"/>
      <c r="I823" s="79"/>
      <c r="J823" s="70"/>
      <c r="K823" s="57"/>
      <c r="L823" s="11"/>
      <c r="M823" s="41"/>
      <c r="N823" s="11"/>
    </row>
    <row r="824" spans="8:14" x14ac:dyDescent="0.25">
      <c r="H824" s="37"/>
      <c r="I824" s="79"/>
      <c r="J824" s="70"/>
      <c r="K824" s="57"/>
      <c r="L824" s="11"/>
      <c r="M824" s="41"/>
      <c r="N824" s="11"/>
    </row>
    <row r="825" spans="8:14" x14ac:dyDescent="0.25">
      <c r="H825" s="37"/>
      <c r="I825" s="79"/>
      <c r="J825" s="70"/>
      <c r="K825" s="57"/>
      <c r="L825" s="11"/>
      <c r="M825" s="41"/>
      <c r="N825" s="11"/>
    </row>
    <row r="826" spans="8:14" x14ac:dyDescent="0.25">
      <c r="H826" s="37"/>
      <c r="I826" s="79"/>
      <c r="J826" s="70"/>
      <c r="K826" s="57"/>
      <c r="L826" s="11"/>
      <c r="M826" s="41"/>
      <c r="N826" s="11"/>
    </row>
    <row r="827" spans="8:14" x14ac:dyDescent="0.25">
      <c r="H827" s="37"/>
      <c r="I827" s="79"/>
      <c r="J827" s="70"/>
      <c r="K827" s="57"/>
      <c r="L827" s="11"/>
      <c r="M827" s="41"/>
      <c r="N827" s="11"/>
    </row>
    <row r="828" spans="8:14" x14ac:dyDescent="0.25">
      <c r="H828" s="37"/>
      <c r="I828" s="79"/>
      <c r="J828" s="70"/>
      <c r="K828" s="57"/>
      <c r="L828" s="11"/>
      <c r="M828" s="41"/>
      <c r="N828" s="11"/>
    </row>
    <row r="829" spans="8:14" x14ac:dyDescent="0.25">
      <c r="H829" s="37"/>
      <c r="I829" s="79"/>
      <c r="J829" s="70"/>
      <c r="K829" s="57"/>
      <c r="L829" s="11"/>
      <c r="M829" s="41"/>
      <c r="N829" s="11"/>
    </row>
    <row r="830" spans="8:14" x14ac:dyDescent="0.25">
      <c r="H830" s="37"/>
      <c r="I830" s="79"/>
      <c r="J830" s="70"/>
      <c r="K830" s="57"/>
      <c r="L830" s="11"/>
      <c r="M830" s="41"/>
      <c r="N830" s="11"/>
    </row>
    <row r="831" spans="8:14" x14ac:dyDescent="0.25">
      <c r="H831" s="37"/>
      <c r="I831" s="79"/>
      <c r="J831" s="70"/>
      <c r="K831" s="57"/>
      <c r="L831" s="11"/>
      <c r="M831" s="41"/>
      <c r="N831" s="11"/>
    </row>
    <row r="832" spans="8:14" x14ac:dyDescent="0.25">
      <c r="H832" s="37"/>
      <c r="I832" s="79"/>
      <c r="J832" s="70"/>
      <c r="K832" s="57"/>
      <c r="L832" s="11"/>
      <c r="M832" s="41"/>
      <c r="N832" s="11"/>
    </row>
    <row r="833" spans="8:14" x14ac:dyDescent="0.25">
      <c r="H833" s="37"/>
      <c r="I833" s="79"/>
      <c r="J833" s="70"/>
      <c r="K833" s="57"/>
      <c r="L833" s="11"/>
      <c r="M833" s="41"/>
      <c r="N833" s="11"/>
    </row>
    <row r="834" spans="8:14" x14ac:dyDescent="0.25">
      <c r="H834" s="37"/>
      <c r="I834" s="79"/>
      <c r="J834" s="70"/>
      <c r="K834" s="57"/>
      <c r="L834" s="11"/>
      <c r="M834" s="41"/>
      <c r="N834" s="11"/>
    </row>
    <row r="835" spans="8:14" x14ac:dyDescent="0.25">
      <c r="H835" s="37"/>
      <c r="I835" s="79"/>
      <c r="J835" s="70"/>
      <c r="K835" s="57"/>
      <c r="L835" s="11"/>
      <c r="M835" s="41"/>
      <c r="N835" s="11"/>
    </row>
    <row r="836" spans="8:14" x14ac:dyDescent="0.25">
      <c r="H836" s="37"/>
      <c r="I836" s="79"/>
      <c r="J836" s="70"/>
      <c r="K836" s="57"/>
      <c r="L836" s="11"/>
      <c r="M836" s="41"/>
      <c r="N836" s="11"/>
    </row>
    <row r="837" spans="8:14" x14ac:dyDescent="0.25">
      <c r="H837" s="37"/>
      <c r="I837" s="79"/>
      <c r="J837" s="70"/>
      <c r="K837" s="57"/>
      <c r="L837" s="11"/>
      <c r="M837" s="41"/>
      <c r="N837" s="11"/>
    </row>
    <row r="838" spans="8:14" x14ac:dyDescent="0.25">
      <c r="H838" s="37"/>
      <c r="I838" s="79"/>
      <c r="J838" s="70"/>
      <c r="K838" s="57"/>
      <c r="L838" s="11"/>
      <c r="M838" s="41"/>
      <c r="N838" s="11"/>
    </row>
    <row r="839" spans="8:14" x14ac:dyDescent="0.25">
      <c r="H839" s="37"/>
      <c r="I839" s="79"/>
      <c r="J839" s="70"/>
      <c r="K839" s="57"/>
      <c r="L839" s="11"/>
      <c r="M839" s="41"/>
      <c r="N839" s="11"/>
    </row>
    <row r="840" spans="8:14" x14ac:dyDescent="0.25">
      <c r="H840" s="37"/>
      <c r="I840" s="79"/>
      <c r="J840" s="70"/>
      <c r="K840" s="57"/>
      <c r="L840" s="11"/>
      <c r="M840" s="41"/>
      <c r="N840" s="11"/>
    </row>
    <row r="841" spans="8:14" x14ac:dyDescent="0.25">
      <c r="H841" s="37"/>
      <c r="I841" s="79"/>
      <c r="J841" s="70"/>
      <c r="K841" s="57"/>
      <c r="L841" s="11"/>
      <c r="M841" s="41"/>
      <c r="N841" s="11"/>
    </row>
    <row r="842" spans="8:14" x14ac:dyDescent="0.25">
      <c r="H842" s="37"/>
      <c r="I842" s="79"/>
      <c r="J842" s="70"/>
      <c r="K842" s="57"/>
      <c r="L842" s="11"/>
      <c r="M842" s="41"/>
      <c r="N842" s="11"/>
    </row>
    <row r="843" spans="8:14" x14ac:dyDescent="0.25">
      <c r="H843" s="37"/>
      <c r="I843" s="79"/>
      <c r="J843" s="70"/>
      <c r="K843" s="57"/>
      <c r="L843" s="11"/>
      <c r="M843" s="41"/>
      <c r="N843" s="11"/>
    </row>
    <row r="844" spans="8:14" x14ac:dyDescent="0.25">
      <c r="H844" s="37"/>
      <c r="I844" s="79"/>
      <c r="J844" s="70"/>
      <c r="K844" s="57"/>
      <c r="L844" s="11"/>
      <c r="M844" s="41"/>
      <c r="N844" s="11"/>
    </row>
    <row r="845" spans="8:14" x14ac:dyDescent="0.25">
      <c r="H845" s="37"/>
      <c r="I845" s="79"/>
      <c r="J845" s="70"/>
      <c r="K845" s="57"/>
      <c r="L845" s="11"/>
      <c r="M845" s="41"/>
      <c r="N845" s="11"/>
    </row>
    <row r="846" spans="8:14" x14ac:dyDescent="0.25">
      <c r="H846" s="37"/>
      <c r="I846" s="79"/>
      <c r="J846" s="70"/>
      <c r="K846" s="57"/>
      <c r="L846" s="11"/>
      <c r="M846" s="41"/>
      <c r="N846" s="11"/>
    </row>
    <row r="847" spans="8:14" x14ac:dyDescent="0.25">
      <c r="H847" s="37"/>
      <c r="I847" s="79"/>
      <c r="J847" s="70"/>
      <c r="K847" s="57"/>
      <c r="L847" s="11"/>
      <c r="M847" s="41"/>
      <c r="N847" s="11"/>
    </row>
    <row r="848" spans="8:14" x14ac:dyDescent="0.25">
      <c r="H848" s="37"/>
      <c r="I848" s="79"/>
      <c r="J848" s="70"/>
      <c r="K848" s="57"/>
      <c r="L848" s="11"/>
      <c r="M848" s="41"/>
      <c r="N848" s="11"/>
    </row>
    <row r="849" spans="8:14" x14ac:dyDescent="0.25">
      <c r="H849" s="37"/>
      <c r="I849" s="79"/>
      <c r="J849" s="70"/>
      <c r="K849" s="57"/>
      <c r="L849" s="11"/>
      <c r="M849" s="41"/>
      <c r="N849" s="11"/>
    </row>
    <row r="850" spans="8:14" x14ac:dyDescent="0.25">
      <c r="H850" s="37"/>
      <c r="I850" s="79"/>
      <c r="J850" s="70"/>
      <c r="K850" s="57"/>
      <c r="L850" s="11"/>
      <c r="M850" s="41"/>
      <c r="N850" s="11"/>
    </row>
    <row r="851" spans="8:14" x14ac:dyDescent="0.25">
      <c r="H851" s="37"/>
      <c r="I851" s="79"/>
      <c r="J851" s="70"/>
      <c r="K851" s="57"/>
      <c r="L851" s="11"/>
      <c r="M851" s="41"/>
      <c r="N851" s="11"/>
    </row>
    <row r="852" spans="8:14" x14ac:dyDescent="0.25">
      <c r="H852" s="37"/>
      <c r="I852" s="79"/>
      <c r="J852" s="70"/>
      <c r="K852" s="57"/>
      <c r="L852" s="11"/>
      <c r="M852" s="41"/>
      <c r="N852" s="11"/>
    </row>
    <row r="853" spans="8:14" x14ac:dyDescent="0.25">
      <c r="H853" s="37"/>
      <c r="I853" s="79"/>
      <c r="J853" s="70"/>
      <c r="K853" s="57"/>
      <c r="L853" s="11"/>
      <c r="M853" s="41"/>
      <c r="N853" s="11"/>
    </row>
    <row r="854" spans="8:14" x14ac:dyDescent="0.25">
      <c r="H854" s="37"/>
      <c r="I854" s="79"/>
      <c r="J854" s="70"/>
      <c r="K854" s="57"/>
      <c r="L854" s="11"/>
      <c r="M854" s="41"/>
      <c r="N854" s="11"/>
    </row>
    <row r="855" spans="8:14" x14ac:dyDescent="0.25">
      <c r="H855" s="37"/>
      <c r="I855" s="79"/>
      <c r="J855" s="70"/>
      <c r="K855" s="57"/>
      <c r="L855" s="11"/>
      <c r="M855" s="41"/>
      <c r="N855" s="11"/>
    </row>
    <row r="856" spans="8:14" x14ac:dyDescent="0.25">
      <c r="H856" s="37"/>
      <c r="I856" s="79"/>
      <c r="J856" s="70"/>
      <c r="K856" s="57"/>
      <c r="L856" s="11"/>
      <c r="M856" s="41"/>
      <c r="N856" s="11"/>
    </row>
    <row r="857" spans="8:14" x14ac:dyDescent="0.25">
      <c r="H857" s="37"/>
      <c r="I857" s="79"/>
      <c r="J857" s="70"/>
      <c r="K857" s="57"/>
      <c r="L857" s="11"/>
      <c r="M857" s="41"/>
      <c r="N857" s="11"/>
    </row>
    <row r="858" spans="8:14" x14ac:dyDescent="0.25">
      <c r="H858" s="37"/>
      <c r="I858" s="79"/>
      <c r="J858" s="70"/>
      <c r="K858" s="57"/>
      <c r="L858" s="11"/>
      <c r="M858" s="41"/>
      <c r="N858" s="11"/>
    </row>
    <row r="859" spans="8:14" x14ac:dyDescent="0.25">
      <c r="H859" s="37"/>
      <c r="I859" s="79"/>
      <c r="J859" s="70"/>
      <c r="K859" s="57"/>
      <c r="L859" s="11"/>
      <c r="M859" s="41"/>
      <c r="N859" s="11"/>
    </row>
    <row r="860" spans="8:14" x14ac:dyDescent="0.25">
      <c r="H860" s="37"/>
      <c r="I860" s="79"/>
      <c r="J860" s="70"/>
      <c r="K860" s="57"/>
      <c r="L860" s="11"/>
      <c r="M860" s="41"/>
      <c r="N860" s="11"/>
    </row>
    <row r="861" spans="8:14" x14ac:dyDescent="0.25">
      <c r="H861" s="37"/>
      <c r="I861" s="79"/>
      <c r="J861" s="70"/>
      <c r="K861" s="57"/>
      <c r="L861" s="11"/>
      <c r="M861" s="41"/>
      <c r="N861" s="11"/>
    </row>
    <row r="862" spans="8:14" x14ac:dyDescent="0.25">
      <c r="H862" s="37"/>
      <c r="I862" s="79"/>
      <c r="J862" s="70"/>
      <c r="K862" s="57"/>
      <c r="L862" s="11"/>
      <c r="M862" s="41"/>
      <c r="N862" s="11"/>
    </row>
    <row r="863" spans="8:14" x14ac:dyDescent="0.25">
      <c r="H863" s="37"/>
      <c r="I863" s="79"/>
      <c r="J863" s="70"/>
      <c r="K863" s="57"/>
      <c r="L863" s="11"/>
      <c r="M863" s="41"/>
      <c r="N863" s="11"/>
    </row>
    <row r="864" spans="8:14" x14ac:dyDescent="0.25">
      <c r="H864" s="37"/>
      <c r="I864" s="79"/>
      <c r="J864" s="70"/>
      <c r="K864" s="57"/>
      <c r="L864" s="11"/>
      <c r="M864" s="41"/>
      <c r="N864" s="11"/>
    </row>
    <row r="865" spans="8:14" x14ac:dyDescent="0.25">
      <c r="H865" s="37"/>
      <c r="I865" s="79"/>
      <c r="J865" s="70"/>
      <c r="K865" s="57"/>
      <c r="L865" s="11"/>
      <c r="M865" s="41"/>
      <c r="N865" s="11"/>
    </row>
    <row r="866" spans="8:14" x14ac:dyDescent="0.25">
      <c r="H866" s="37"/>
      <c r="I866" s="79"/>
      <c r="J866" s="70"/>
      <c r="K866" s="57"/>
      <c r="L866" s="11"/>
      <c r="M866" s="41"/>
      <c r="N866" s="11"/>
    </row>
    <row r="867" spans="8:14" x14ac:dyDescent="0.25">
      <c r="H867" s="37"/>
      <c r="I867" s="79"/>
      <c r="J867" s="70"/>
      <c r="K867" s="57"/>
      <c r="L867" s="11"/>
      <c r="M867" s="41"/>
      <c r="N867" s="11"/>
    </row>
    <row r="868" spans="8:14" x14ac:dyDescent="0.25">
      <c r="H868" s="37"/>
      <c r="I868" s="79"/>
      <c r="J868" s="70"/>
      <c r="K868" s="57"/>
      <c r="L868" s="11"/>
      <c r="M868" s="41"/>
      <c r="N868" s="11"/>
    </row>
    <row r="869" spans="8:14" x14ac:dyDescent="0.25">
      <c r="H869" s="37"/>
      <c r="I869" s="79"/>
      <c r="J869" s="70"/>
      <c r="K869" s="57"/>
      <c r="L869" s="11"/>
      <c r="M869" s="41"/>
      <c r="N869" s="11"/>
    </row>
    <row r="870" spans="8:14" x14ac:dyDescent="0.25">
      <c r="H870" s="37"/>
      <c r="I870" s="79"/>
      <c r="J870" s="70"/>
      <c r="K870" s="57"/>
      <c r="L870" s="11"/>
      <c r="M870" s="41"/>
      <c r="N870" s="11"/>
    </row>
    <row r="871" spans="8:14" x14ac:dyDescent="0.25">
      <c r="H871" s="37"/>
      <c r="I871" s="79"/>
      <c r="J871" s="70"/>
      <c r="K871" s="57"/>
      <c r="L871" s="11"/>
      <c r="M871" s="41"/>
      <c r="N871" s="11"/>
    </row>
    <row r="872" spans="8:14" x14ac:dyDescent="0.25">
      <c r="H872" s="37"/>
      <c r="I872" s="79"/>
      <c r="J872" s="70"/>
      <c r="K872" s="57"/>
      <c r="L872" s="11"/>
      <c r="M872" s="41"/>
      <c r="N872" s="11"/>
    </row>
    <row r="873" spans="8:14" x14ac:dyDescent="0.25">
      <c r="H873" s="37"/>
      <c r="I873" s="79"/>
      <c r="J873" s="70"/>
      <c r="K873" s="57"/>
      <c r="L873" s="11"/>
      <c r="M873" s="41"/>
      <c r="N873" s="11"/>
    </row>
    <row r="874" spans="8:14" x14ac:dyDescent="0.25">
      <c r="H874" s="37"/>
      <c r="I874" s="79"/>
      <c r="J874" s="70"/>
      <c r="K874" s="57"/>
      <c r="L874" s="11"/>
      <c r="M874" s="41"/>
      <c r="N874" s="11"/>
    </row>
    <row r="875" spans="8:14" x14ac:dyDescent="0.25">
      <c r="H875" s="37"/>
      <c r="I875" s="79"/>
      <c r="J875" s="70"/>
      <c r="K875" s="57"/>
      <c r="L875" s="11"/>
      <c r="M875" s="41"/>
      <c r="N875" s="11"/>
    </row>
    <row r="876" spans="8:14" x14ac:dyDescent="0.25">
      <c r="H876" s="37"/>
      <c r="I876" s="79"/>
      <c r="J876" s="70"/>
      <c r="K876" s="57"/>
      <c r="L876" s="11"/>
      <c r="M876" s="41"/>
      <c r="N876" s="11"/>
    </row>
    <row r="877" spans="8:14" x14ac:dyDescent="0.25">
      <c r="H877" s="37"/>
      <c r="I877" s="79"/>
      <c r="J877" s="70"/>
      <c r="K877" s="57"/>
      <c r="L877" s="11"/>
      <c r="M877" s="41"/>
      <c r="N877" s="11"/>
    </row>
    <row r="878" spans="8:14" x14ac:dyDescent="0.25">
      <c r="H878" s="37"/>
      <c r="I878" s="79"/>
      <c r="J878" s="70"/>
      <c r="K878" s="57"/>
      <c r="L878" s="11"/>
      <c r="M878" s="41"/>
      <c r="N878" s="11"/>
    </row>
    <row r="879" spans="8:14" x14ac:dyDescent="0.25">
      <c r="H879" s="37"/>
      <c r="I879" s="79"/>
      <c r="J879" s="70"/>
      <c r="K879" s="57"/>
      <c r="L879" s="11"/>
      <c r="M879" s="41"/>
      <c r="N879" s="11"/>
    </row>
    <row r="880" spans="8:14" x14ac:dyDescent="0.25">
      <c r="H880" s="37"/>
      <c r="I880" s="79"/>
      <c r="J880" s="70"/>
      <c r="K880" s="57"/>
      <c r="L880" s="11"/>
      <c r="M880" s="41"/>
      <c r="N880" s="11"/>
    </row>
    <row r="881" spans="8:14" x14ac:dyDescent="0.25">
      <c r="H881" s="37"/>
      <c r="I881" s="79"/>
      <c r="J881" s="70"/>
      <c r="K881" s="57"/>
      <c r="L881" s="11"/>
      <c r="M881" s="41"/>
      <c r="N881" s="11"/>
    </row>
    <row r="882" spans="8:14" x14ac:dyDescent="0.25">
      <c r="H882" s="37"/>
      <c r="I882" s="79"/>
      <c r="J882" s="70"/>
      <c r="K882" s="57"/>
      <c r="L882" s="11"/>
      <c r="M882" s="41"/>
      <c r="N882" s="11"/>
    </row>
    <row r="883" spans="8:14" x14ac:dyDescent="0.25">
      <c r="H883" s="37"/>
      <c r="I883" s="79"/>
      <c r="J883" s="70"/>
      <c r="K883" s="57"/>
      <c r="L883" s="11"/>
      <c r="M883" s="41"/>
      <c r="N883" s="11"/>
    </row>
    <row r="884" spans="8:14" x14ac:dyDescent="0.25">
      <c r="H884" s="37"/>
      <c r="I884" s="79"/>
      <c r="J884" s="70"/>
      <c r="K884" s="57"/>
      <c r="L884" s="11"/>
      <c r="M884" s="41"/>
      <c r="N884" s="11"/>
    </row>
    <row r="885" spans="8:14" x14ac:dyDescent="0.25">
      <c r="H885" s="37"/>
      <c r="I885" s="79"/>
      <c r="J885" s="70"/>
      <c r="K885" s="57"/>
      <c r="L885" s="11"/>
      <c r="M885" s="41"/>
      <c r="N885" s="11"/>
    </row>
    <row r="886" spans="8:14" x14ac:dyDescent="0.25">
      <c r="H886" s="37"/>
      <c r="I886" s="79"/>
      <c r="J886" s="70"/>
      <c r="K886" s="57"/>
      <c r="L886" s="11"/>
      <c r="M886" s="41"/>
      <c r="N886" s="11"/>
    </row>
    <row r="887" spans="8:14" x14ac:dyDescent="0.25">
      <c r="H887" s="37"/>
      <c r="I887" s="79"/>
      <c r="J887" s="70"/>
      <c r="K887" s="57"/>
      <c r="L887" s="11"/>
      <c r="M887" s="41"/>
      <c r="N887" s="11"/>
    </row>
    <row r="888" spans="8:14" x14ac:dyDescent="0.25">
      <c r="H888" s="37"/>
      <c r="I888" s="79"/>
      <c r="J888" s="70"/>
      <c r="K888" s="57"/>
      <c r="L888" s="11"/>
      <c r="M888" s="41"/>
      <c r="N888" s="11"/>
    </row>
    <row r="889" spans="8:14" x14ac:dyDescent="0.25">
      <c r="H889" s="37"/>
      <c r="I889" s="79"/>
      <c r="J889" s="70"/>
      <c r="K889" s="57"/>
      <c r="L889" s="11"/>
      <c r="M889" s="41"/>
      <c r="N889" s="11"/>
    </row>
    <row r="890" spans="8:14" x14ac:dyDescent="0.25">
      <c r="H890" s="37"/>
      <c r="I890" s="79"/>
      <c r="J890" s="70"/>
      <c r="K890" s="57"/>
      <c r="L890" s="11"/>
      <c r="M890" s="41"/>
      <c r="N890" s="11"/>
    </row>
    <row r="891" spans="8:14" x14ac:dyDescent="0.25">
      <c r="H891" s="37"/>
      <c r="I891" s="79"/>
      <c r="J891" s="70"/>
      <c r="K891" s="57"/>
      <c r="L891" s="11"/>
      <c r="M891" s="41"/>
      <c r="N891" s="11"/>
    </row>
    <row r="892" spans="8:14" x14ac:dyDescent="0.25">
      <c r="H892" s="37"/>
      <c r="I892" s="79"/>
      <c r="J892" s="70"/>
      <c r="K892" s="57"/>
      <c r="L892" s="11"/>
      <c r="M892" s="41"/>
      <c r="N892" s="11"/>
    </row>
    <row r="893" spans="8:14" x14ac:dyDescent="0.25">
      <c r="H893" s="37"/>
      <c r="I893" s="79"/>
      <c r="J893" s="70"/>
      <c r="K893" s="57"/>
      <c r="L893" s="11"/>
      <c r="M893" s="41"/>
      <c r="N893" s="11"/>
    </row>
    <row r="894" spans="8:14" x14ac:dyDescent="0.25">
      <c r="H894" s="37"/>
      <c r="I894" s="79"/>
      <c r="J894" s="70"/>
      <c r="K894" s="57"/>
      <c r="L894" s="11"/>
      <c r="M894" s="41"/>
      <c r="N894" s="11"/>
    </row>
    <row r="895" spans="8:14" x14ac:dyDescent="0.25">
      <c r="H895" s="37"/>
      <c r="I895" s="79"/>
      <c r="J895" s="70"/>
      <c r="K895" s="57"/>
      <c r="L895" s="11"/>
      <c r="M895" s="41"/>
      <c r="N895" s="11"/>
    </row>
    <row r="896" spans="8:14" x14ac:dyDescent="0.25">
      <c r="H896" s="37"/>
      <c r="I896" s="79"/>
      <c r="J896" s="70"/>
      <c r="K896" s="57"/>
      <c r="L896" s="11"/>
      <c r="M896" s="41"/>
      <c r="N896" s="11"/>
    </row>
    <row r="897" spans="8:14" x14ac:dyDescent="0.25">
      <c r="H897" s="37"/>
      <c r="I897" s="79"/>
      <c r="J897" s="70"/>
      <c r="K897" s="57"/>
      <c r="L897" s="11"/>
      <c r="M897" s="41"/>
      <c r="N897" s="11"/>
    </row>
    <row r="898" spans="8:14" x14ac:dyDescent="0.25">
      <c r="H898" s="37"/>
      <c r="I898" s="79"/>
      <c r="J898" s="70"/>
      <c r="K898" s="57"/>
      <c r="L898" s="11"/>
      <c r="M898" s="41"/>
      <c r="N898" s="11"/>
    </row>
    <row r="899" spans="8:14" x14ac:dyDescent="0.25">
      <c r="H899" s="37"/>
      <c r="I899" s="79"/>
      <c r="J899" s="70"/>
      <c r="K899" s="57"/>
      <c r="L899" s="11"/>
      <c r="M899" s="41"/>
      <c r="N899" s="11"/>
    </row>
    <row r="900" spans="8:14" x14ac:dyDescent="0.25">
      <c r="H900" s="37"/>
      <c r="I900" s="79"/>
      <c r="J900" s="70"/>
      <c r="K900" s="57"/>
      <c r="L900" s="11"/>
      <c r="M900" s="41"/>
      <c r="N900" s="11"/>
    </row>
    <row r="901" spans="8:14" x14ac:dyDescent="0.25">
      <c r="H901" s="37"/>
      <c r="I901" s="79"/>
      <c r="J901" s="70"/>
      <c r="K901" s="57"/>
      <c r="L901" s="11"/>
      <c r="M901" s="41"/>
      <c r="N901" s="11"/>
    </row>
    <row r="902" spans="8:14" x14ac:dyDescent="0.25">
      <c r="H902" s="37"/>
      <c r="I902" s="79"/>
      <c r="J902" s="70"/>
      <c r="K902" s="57"/>
      <c r="L902" s="11"/>
      <c r="M902" s="41"/>
      <c r="N902" s="11"/>
    </row>
    <row r="903" spans="8:14" x14ac:dyDescent="0.25">
      <c r="H903" s="37"/>
      <c r="I903" s="79"/>
      <c r="J903" s="70"/>
      <c r="K903" s="57"/>
      <c r="L903" s="11"/>
      <c r="M903" s="41"/>
      <c r="N903" s="11"/>
    </row>
    <row r="904" spans="8:14" x14ac:dyDescent="0.25">
      <c r="H904" s="37"/>
      <c r="I904" s="79"/>
      <c r="J904" s="70"/>
      <c r="K904" s="57"/>
      <c r="L904" s="11"/>
      <c r="M904" s="41"/>
      <c r="N904" s="11"/>
    </row>
    <row r="905" spans="8:14" x14ac:dyDescent="0.25">
      <c r="H905" s="37"/>
      <c r="I905" s="79"/>
      <c r="J905" s="70"/>
      <c r="K905" s="57"/>
      <c r="L905" s="11"/>
      <c r="M905" s="41"/>
      <c r="N905" s="11"/>
    </row>
    <row r="906" spans="8:14" x14ac:dyDescent="0.25">
      <c r="H906" s="37"/>
      <c r="I906" s="79"/>
      <c r="J906" s="70"/>
      <c r="K906" s="57"/>
      <c r="L906" s="11"/>
      <c r="M906" s="41"/>
      <c r="N906" s="11"/>
    </row>
    <row r="907" spans="8:14" x14ac:dyDescent="0.25">
      <c r="H907" s="37"/>
      <c r="I907" s="79"/>
      <c r="J907" s="70"/>
      <c r="K907" s="57"/>
      <c r="L907" s="11"/>
      <c r="M907" s="41"/>
      <c r="N907" s="11"/>
    </row>
    <row r="908" spans="8:14" x14ac:dyDescent="0.25">
      <c r="H908" s="37"/>
      <c r="I908" s="79"/>
      <c r="J908" s="70"/>
      <c r="K908" s="57"/>
      <c r="L908" s="11"/>
      <c r="M908" s="41"/>
      <c r="N908" s="11"/>
    </row>
    <row r="909" spans="8:14" x14ac:dyDescent="0.25">
      <c r="H909" s="37"/>
      <c r="I909" s="79"/>
      <c r="J909" s="70"/>
      <c r="K909" s="57"/>
      <c r="L909" s="11"/>
      <c r="M909" s="41"/>
      <c r="N909" s="11"/>
    </row>
    <row r="910" spans="8:14" x14ac:dyDescent="0.25">
      <c r="H910" s="37"/>
      <c r="I910" s="79"/>
      <c r="J910" s="70"/>
      <c r="K910" s="57"/>
      <c r="L910" s="11"/>
      <c r="M910" s="41"/>
      <c r="N910" s="11"/>
    </row>
    <row r="911" spans="8:14" x14ac:dyDescent="0.25">
      <c r="H911" s="37"/>
      <c r="I911" s="79"/>
      <c r="J911" s="70"/>
      <c r="K911" s="57"/>
      <c r="L911" s="11"/>
      <c r="M911" s="41"/>
      <c r="N911" s="11"/>
    </row>
    <row r="912" spans="8:14" x14ac:dyDescent="0.25">
      <c r="H912" s="37"/>
      <c r="I912" s="79"/>
      <c r="J912" s="70"/>
      <c r="K912" s="57"/>
      <c r="L912" s="11"/>
      <c r="M912" s="41"/>
      <c r="N912" s="11"/>
    </row>
    <row r="913" spans="8:14" x14ac:dyDescent="0.25">
      <c r="H913" s="37"/>
      <c r="I913" s="79"/>
      <c r="J913" s="70"/>
      <c r="K913" s="57"/>
      <c r="L913" s="11"/>
      <c r="M913" s="41"/>
      <c r="N913" s="11"/>
    </row>
    <row r="914" spans="8:14" x14ac:dyDescent="0.25">
      <c r="H914" s="37"/>
      <c r="I914" s="79"/>
      <c r="J914" s="70"/>
      <c r="K914" s="57"/>
      <c r="L914" s="11"/>
      <c r="M914" s="41"/>
      <c r="N914" s="11"/>
    </row>
    <row r="915" spans="8:14" x14ac:dyDescent="0.25">
      <c r="H915" s="37"/>
      <c r="I915" s="79"/>
      <c r="J915" s="70"/>
      <c r="K915" s="57"/>
      <c r="L915" s="11"/>
      <c r="M915" s="41"/>
      <c r="N915" s="11"/>
    </row>
    <row r="916" spans="8:14" x14ac:dyDescent="0.25">
      <c r="H916" s="37"/>
      <c r="I916" s="79"/>
      <c r="J916" s="70"/>
      <c r="K916" s="57"/>
      <c r="L916" s="11"/>
      <c r="M916" s="41"/>
      <c r="N916" s="11"/>
    </row>
    <row r="917" spans="8:14" x14ac:dyDescent="0.25">
      <c r="H917" s="37"/>
      <c r="I917" s="79"/>
      <c r="J917" s="70"/>
      <c r="K917" s="57"/>
      <c r="L917" s="11"/>
      <c r="M917" s="41"/>
      <c r="N917" s="11"/>
    </row>
    <row r="918" spans="8:14" x14ac:dyDescent="0.25">
      <c r="H918" s="37"/>
      <c r="I918" s="79"/>
      <c r="J918" s="70"/>
      <c r="K918" s="57"/>
      <c r="L918" s="11"/>
      <c r="M918" s="41"/>
      <c r="N918" s="11"/>
    </row>
    <row r="919" spans="8:14" x14ac:dyDescent="0.25">
      <c r="H919" s="37"/>
      <c r="I919" s="79"/>
      <c r="J919" s="70"/>
      <c r="K919" s="57"/>
      <c r="L919" s="11"/>
      <c r="M919" s="41"/>
      <c r="N919" s="11"/>
    </row>
    <row r="920" spans="8:14" x14ac:dyDescent="0.25">
      <c r="H920" s="37"/>
      <c r="I920" s="79"/>
      <c r="J920" s="70"/>
      <c r="K920" s="57"/>
      <c r="L920" s="11"/>
      <c r="M920" s="41"/>
      <c r="N920" s="11"/>
    </row>
    <row r="921" spans="8:14" x14ac:dyDescent="0.25">
      <c r="H921" s="37"/>
      <c r="I921" s="79"/>
      <c r="J921" s="70"/>
      <c r="K921" s="57"/>
      <c r="L921" s="11"/>
      <c r="M921" s="41"/>
      <c r="N921" s="11"/>
    </row>
    <row r="922" spans="8:14" x14ac:dyDescent="0.25">
      <c r="H922" s="37"/>
      <c r="I922" s="79"/>
      <c r="J922" s="70"/>
      <c r="K922" s="57"/>
      <c r="L922" s="11"/>
      <c r="M922" s="41"/>
      <c r="N922" s="11"/>
    </row>
    <row r="923" spans="8:14" x14ac:dyDescent="0.25">
      <c r="H923" s="37"/>
      <c r="I923" s="79"/>
      <c r="J923" s="70"/>
      <c r="K923" s="57"/>
      <c r="L923" s="11"/>
      <c r="M923" s="41"/>
      <c r="N923" s="11"/>
    </row>
    <row r="924" spans="8:14" x14ac:dyDescent="0.25">
      <c r="H924" s="37"/>
      <c r="I924" s="79"/>
      <c r="J924" s="70"/>
      <c r="K924" s="57"/>
      <c r="L924" s="11"/>
      <c r="M924" s="41"/>
      <c r="N924" s="11"/>
    </row>
    <row r="925" spans="8:14" x14ac:dyDescent="0.25">
      <c r="H925" s="37"/>
      <c r="I925" s="79"/>
      <c r="J925" s="70"/>
      <c r="K925" s="57"/>
      <c r="L925" s="11"/>
      <c r="M925" s="41"/>
      <c r="N925" s="11"/>
    </row>
    <row r="926" spans="8:14" x14ac:dyDescent="0.25">
      <c r="H926" s="37"/>
      <c r="I926" s="79"/>
      <c r="J926" s="70"/>
      <c r="K926" s="57"/>
      <c r="L926" s="11"/>
      <c r="M926" s="41"/>
      <c r="N926" s="11"/>
    </row>
    <row r="927" spans="8:14" x14ac:dyDescent="0.25">
      <c r="H927" s="37"/>
      <c r="I927" s="79"/>
      <c r="J927" s="70"/>
      <c r="K927" s="57"/>
      <c r="L927" s="11"/>
      <c r="M927" s="41"/>
      <c r="N927" s="11"/>
    </row>
    <row r="928" spans="8:14" x14ac:dyDescent="0.25">
      <c r="H928" s="37"/>
      <c r="I928" s="79"/>
      <c r="J928" s="70"/>
      <c r="K928" s="57"/>
      <c r="L928" s="11"/>
      <c r="M928" s="41"/>
      <c r="N928" s="11"/>
    </row>
    <row r="929" spans="8:14" x14ac:dyDescent="0.25">
      <c r="H929" s="37"/>
      <c r="I929" s="79"/>
      <c r="J929" s="70"/>
      <c r="K929" s="57"/>
      <c r="L929" s="11"/>
      <c r="M929" s="41"/>
      <c r="N929" s="11"/>
    </row>
    <row r="930" spans="8:14" x14ac:dyDescent="0.25">
      <c r="H930" s="37"/>
      <c r="I930" s="79"/>
      <c r="J930" s="70"/>
      <c r="K930" s="57"/>
      <c r="L930" s="11"/>
      <c r="M930" s="41"/>
      <c r="N930" s="11"/>
    </row>
    <row r="931" spans="8:14" x14ac:dyDescent="0.25">
      <c r="H931" s="37"/>
      <c r="I931" s="79"/>
      <c r="J931" s="70"/>
      <c r="K931" s="57"/>
      <c r="L931" s="11"/>
      <c r="M931" s="41"/>
      <c r="N931" s="11"/>
    </row>
    <row r="932" spans="8:14" x14ac:dyDescent="0.25">
      <c r="H932" s="37"/>
      <c r="I932" s="79"/>
      <c r="J932" s="70"/>
      <c r="K932" s="57"/>
      <c r="L932" s="11"/>
      <c r="M932" s="41"/>
      <c r="N932" s="11"/>
    </row>
    <row r="933" spans="8:14" x14ac:dyDescent="0.25">
      <c r="H933" s="37"/>
      <c r="I933" s="79"/>
      <c r="J933" s="70"/>
      <c r="K933" s="57"/>
      <c r="L933" s="11"/>
      <c r="M933" s="41"/>
      <c r="N933" s="11"/>
    </row>
    <row r="934" spans="8:14" x14ac:dyDescent="0.25">
      <c r="H934" s="37"/>
      <c r="I934" s="79"/>
      <c r="J934" s="70"/>
      <c r="K934" s="57"/>
      <c r="L934" s="11"/>
      <c r="M934" s="41"/>
      <c r="N934" s="11"/>
    </row>
    <row r="935" spans="8:14" x14ac:dyDescent="0.25">
      <c r="H935" s="37"/>
      <c r="I935" s="79"/>
      <c r="J935" s="70"/>
      <c r="K935" s="57"/>
      <c r="L935" s="11"/>
      <c r="M935" s="41"/>
      <c r="N935" s="11"/>
    </row>
    <row r="936" spans="8:14" x14ac:dyDescent="0.25">
      <c r="H936" s="37"/>
      <c r="I936" s="79"/>
      <c r="J936" s="70"/>
      <c r="K936" s="57"/>
      <c r="L936" s="11"/>
      <c r="M936" s="41"/>
      <c r="N936" s="11"/>
    </row>
    <row r="937" spans="8:14" x14ac:dyDescent="0.25">
      <c r="H937" s="37"/>
      <c r="I937" s="79"/>
      <c r="J937" s="70"/>
      <c r="K937" s="57"/>
      <c r="L937" s="11"/>
      <c r="M937" s="41"/>
      <c r="N937" s="11"/>
    </row>
    <row r="938" spans="8:14" x14ac:dyDescent="0.25">
      <c r="H938" s="37"/>
      <c r="I938" s="79"/>
      <c r="J938" s="70"/>
      <c r="K938" s="57"/>
      <c r="L938" s="11"/>
      <c r="M938" s="41"/>
      <c r="N938" s="11"/>
    </row>
    <row r="939" spans="8:14" x14ac:dyDescent="0.25">
      <c r="H939" s="37"/>
      <c r="I939" s="79"/>
      <c r="J939" s="70"/>
      <c r="K939" s="57"/>
      <c r="L939" s="11"/>
      <c r="M939" s="41"/>
      <c r="N939" s="11"/>
    </row>
    <row r="940" spans="8:14" x14ac:dyDescent="0.25">
      <c r="H940" s="37"/>
      <c r="I940" s="79"/>
      <c r="J940" s="70"/>
      <c r="K940" s="57"/>
      <c r="L940" s="11"/>
      <c r="M940" s="41"/>
      <c r="N940" s="11"/>
    </row>
    <row r="941" spans="8:14" x14ac:dyDescent="0.25">
      <c r="H941" s="37"/>
      <c r="I941" s="79"/>
      <c r="J941" s="70"/>
      <c r="K941" s="57"/>
      <c r="L941" s="11"/>
      <c r="M941" s="41"/>
      <c r="N941" s="11"/>
    </row>
    <row r="942" spans="8:14" x14ac:dyDescent="0.25">
      <c r="H942" s="37"/>
      <c r="I942" s="79"/>
      <c r="J942" s="70"/>
      <c r="K942" s="57"/>
      <c r="L942" s="11"/>
      <c r="M942" s="41"/>
      <c r="N942" s="11"/>
    </row>
    <row r="943" spans="8:14" x14ac:dyDescent="0.25">
      <c r="H943" s="37"/>
      <c r="I943" s="79"/>
      <c r="J943" s="70"/>
      <c r="K943" s="57"/>
      <c r="L943" s="11"/>
      <c r="M943" s="41"/>
      <c r="N943" s="11"/>
    </row>
    <row r="944" spans="8:14" x14ac:dyDescent="0.25">
      <c r="H944" s="37"/>
      <c r="I944" s="79"/>
      <c r="J944" s="70"/>
      <c r="K944" s="57"/>
      <c r="L944" s="11"/>
      <c r="M944" s="41"/>
      <c r="N944" s="11"/>
    </row>
    <row r="945" spans="8:14" x14ac:dyDescent="0.25">
      <c r="H945" s="37"/>
      <c r="I945" s="79"/>
      <c r="J945" s="70"/>
      <c r="K945" s="57"/>
      <c r="L945" s="11"/>
      <c r="M945" s="41"/>
      <c r="N945" s="11"/>
    </row>
    <row r="946" spans="8:14" x14ac:dyDescent="0.25">
      <c r="H946" s="37"/>
      <c r="I946" s="79"/>
      <c r="J946" s="70"/>
      <c r="K946" s="57"/>
      <c r="L946" s="11"/>
      <c r="M946" s="41"/>
      <c r="N946" s="11"/>
    </row>
    <row r="947" spans="8:14" x14ac:dyDescent="0.25">
      <c r="H947" s="37"/>
      <c r="I947" s="79"/>
      <c r="J947" s="70"/>
      <c r="K947" s="57"/>
      <c r="L947" s="11"/>
      <c r="M947" s="41"/>
      <c r="N947" s="11"/>
    </row>
    <row r="948" spans="8:14" x14ac:dyDescent="0.25">
      <c r="H948" s="37"/>
      <c r="I948" s="79"/>
      <c r="J948" s="70"/>
      <c r="K948" s="57"/>
      <c r="L948" s="11"/>
      <c r="M948" s="41"/>
      <c r="N948" s="11"/>
    </row>
    <row r="949" spans="8:14" x14ac:dyDescent="0.25">
      <c r="H949" s="37"/>
      <c r="I949" s="79"/>
      <c r="J949" s="70"/>
      <c r="K949" s="57"/>
      <c r="L949" s="11"/>
      <c r="M949" s="41"/>
      <c r="N949" s="11"/>
    </row>
    <row r="950" spans="8:14" x14ac:dyDescent="0.25">
      <c r="H950" s="37"/>
      <c r="I950" s="79"/>
      <c r="J950" s="70"/>
      <c r="K950" s="57"/>
      <c r="L950" s="11"/>
      <c r="M950" s="41"/>
      <c r="N950" s="11"/>
    </row>
    <row r="951" spans="8:14" x14ac:dyDescent="0.25">
      <c r="H951" s="37"/>
      <c r="I951" s="79"/>
      <c r="J951" s="70"/>
      <c r="K951" s="57"/>
      <c r="L951" s="11"/>
      <c r="M951" s="41"/>
      <c r="N951" s="11"/>
    </row>
    <row r="952" spans="8:14" x14ac:dyDescent="0.25">
      <c r="H952" s="37"/>
      <c r="I952" s="79"/>
      <c r="J952" s="70"/>
      <c r="K952" s="57"/>
      <c r="L952" s="11"/>
      <c r="M952" s="41"/>
      <c r="N952" s="11"/>
    </row>
    <row r="953" spans="8:14" x14ac:dyDescent="0.25">
      <c r="H953" s="37"/>
      <c r="I953" s="79"/>
      <c r="J953" s="70"/>
      <c r="K953" s="57"/>
      <c r="L953" s="11"/>
      <c r="M953" s="41"/>
      <c r="N953" s="11"/>
    </row>
    <row r="954" spans="8:14" x14ac:dyDescent="0.25">
      <c r="H954" s="37"/>
      <c r="I954" s="79"/>
      <c r="J954" s="70"/>
      <c r="K954" s="57"/>
      <c r="L954" s="11"/>
      <c r="M954" s="41"/>
      <c r="N954" s="11"/>
    </row>
    <row r="955" spans="8:14" x14ac:dyDescent="0.25">
      <c r="H955" s="37"/>
      <c r="I955" s="79"/>
      <c r="J955" s="70"/>
      <c r="K955" s="57"/>
      <c r="L955" s="11"/>
      <c r="M955" s="41"/>
      <c r="N955" s="11"/>
    </row>
    <row r="956" spans="8:14" x14ac:dyDescent="0.25">
      <c r="H956" s="37"/>
      <c r="I956" s="79"/>
      <c r="J956" s="70"/>
      <c r="K956" s="57"/>
      <c r="L956" s="11"/>
      <c r="M956" s="41"/>
      <c r="N956" s="11"/>
    </row>
    <row r="957" spans="8:14" x14ac:dyDescent="0.25">
      <c r="H957" s="37"/>
      <c r="I957" s="79"/>
      <c r="J957" s="70"/>
      <c r="K957" s="57"/>
      <c r="L957" s="11"/>
      <c r="M957" s="41"/>
      <c r="N957" s="11"/>
    </row>
    <row r="958" spans="8:14" x14ac:dyDescent="0.25">
      <c r="H958" s="37"/>
      <c r="I958" s="79"/>
      <c r="J958" s="70"/>
      <c r="K958" s="57"/>
      <c r="L958" s="11"/>
      <c r="M958" s="41"/>
      <c r="N958" s="11"/>
    </row>
    <row r="959" spans="8:14" x14ac:dyDescent="0.25">
      <c r="H959" s="37"/>
      <c r="I959" s="79"/>
      <c r="J959" s="70"/>
      <c r="K959" s="57"/>
      <c r="L959" s="11"/>
      <c r="M959" s="41"/>
      <c r="N959" s="11"/>
    </row>
    <row r="960" spans="8:14" x14ac:dyDescent="0.25">
      <c r="H960" s="37"/>
      <c r="I960" s="79"/>
      <c r="J960" s="70"/>
      <c r="K960" s="57"/>
      <c r="L960" s="11"/>
      <c r="M960" s="41"/>
      <c r="N960" s="11"/>
    </row>
    <row r="961" spans="8:14" x14ac:dyDescent="0.25">
      <c r="H961" s="37"/>
      <c r="I961" s="79"/>
      <c r="J961" s="70"/>
      <c r="K961" s="57"/>
      <c r="L961" s="11"/>
      <c r="M961" s="41"/>
      <c r="N961" s="11"/>
    </row>
    <row r="962" spans="8:14" x14ac:dyDescent="0.25">
      <c r="H962" s="37"/>
      <c r="I962" s="79"/>
      <c r="J962" s="70"/>
      <c r="K962" s="57"/>
      <c r="L962" s="11"/>
      <c r="M962" s="41"/>
      <c r="N962" s="11"/>
    </row>
    <row r="963" spans="8:14" x14ac:dyDescent="0.25">
      <c r="H963" s="37"/>
      <c r="I963" s="79"/>
      <c r="J963" s="70"/>
      <c r="K963" s="57"/>
      <c r="L963" s="11"/>
      <c r="M963" s="41"/>
      <c r="N963" s="11"/>
    </row>
    <row r="964" spans="8:14" x14ac:dyDescent="0.25">
      <c r="H964" s="37"/>
      <c r="I964" s="79"/>
      <c r="J964" s="70"/>
      <c r="K964" s="57"/>
      <c r="L964" s="11"/>
      <c r="M964" s="41"/>
      <c r="N964" s="11"/>
    </row>
    <row r="965" spans="8:14" x14ac:dyDescent="0.25">
      <c r="H965" s="37"/>
      <c r="I965" s="79"/>
      <c r="J965" s="70"/>
      <c r="K965" s="57"/>
      <c r="L965" s="11"/>
      <c r="M965" s="41"/>
      <c r="N965" s="11"/>
    </row>
    <row r="966" spans="8:14" x14ac:dyDescent="0.25">
      <c r="H966" s="37"/>
      <c r="I966" s="79"/>
      <c r="J966" s="70"/>
      <c r="K966" s="57"/>
      <c r="L966" s="11"/>
      <c r="M966" s="41"/>
      <c r="N966" s="11"/>
    </row>
    <row r="967" spans="8:14" x14ac:dyDescent="0.25">
      <c r="H967" s="37"/>
      <c r="I967" s="79"/>
      <c r="J967" s="70"/>
      <c r="K967" s="57"/>
      <c r="L967" s="11"/>
      <c r="M967" s="41"/>
      <c r="N967" s="11"/>
    </row>
    <row r="968" spans="8:14" x14ac:dyDescent="0.25">
      <c r="H968" s="37"/>
      <c r="I968" s="79"/>
      <c r="J968" s="70"/>
      <c r="K968" s="57"/>
      <c r="L968" s="11"/>
      <c r="M968" s="41"/>
      <c r="N968" s="11"/>
    </row>
    <row r="969" spans="8:14" x14ac:dyDescent="0.25">
      <c r="H969" s="37"/>
      <c r="I969" s="79"/>
      <c r="J969" s="70"/>
      <c r="K969" s="57"/>
      <c r="L969" s="11"/>
      <c r="M969" s="41"/>
      <c r="N969" s="11"/>
    </row>
    <row r="970" spans="8:14" x14ac:dyDescent="0.25">
      <c r="H970" s="37"/>
      <c r="I970" s="79"/>
      <c r="J970" s="70"/>
      <c r="K970" s="57"/>
      <c r="L970" s="11"/>
      <c r="M970" s="41"/>
      <c r="N970" s="11"/>
    </row>
    <row r="971" spans="8:14" x14ac:dyDescent="0.25">
      <c r="H971" s="37"/>
      <c r="I971" s="79"/>
      <c r="J971" s="70"/>
      <c r="K971" s="57"/>
      <c r="L971" s="11"/>
      <c r="M971" s="41"/>
      <c r="N971" s="11"/>
    </row>
    <row r="972" spans="8:14" x14ac:dyDescent="0.25">
      <c r="H972" s="37"/>
      <c r="I972" s="79"/>
      <c r="J972" s="70"/>
      <c r="K972" s="57"/>
      <c r="L972" s="11"/>
      <c r="M972" s="41"/>
      <c r="N972" s="11"/>
    </row>
    <row r="973" spans="8:14" x14ac:dyDescent="0.25">
      <c r="H973" s="37"/>
      <c r="I973" s="79"/>
      <c r="J973" s="70"/>
      <c r="K973" s="57"/>
      <c r="L973" s="11"/>
      <c r="M973" s="41"/>
      <c r="N973" s="11"/>
    </row>
    <row r="974" spans="8:14" x14ac:dyDescent="0.25">
      <c r="H974" s="37"/>
      <c r="I974" s="79"/>
      <c r="J974" s="70"/>
      <c r="K974" s="57"/>
      <c r="L974" s="11"/>
      <c r="M974" s="41"/>
      <c r="N974" s="11"/>
    </row>
    <row r="975" spans="8:14" x14ac:dyDescent="0.25">
      <c r="H975" s="37"/>
      <c r="I975" s="79"/>
      <c r="J975" s="70"/>
      <c r="K975" s="57"/>
      <c r="L975" s="11"/>
      <c r="M975" s="41"/>
      <c r="N975" s="11"/>
    </row>
    <row r="976" spans="8:14" x14ac:dyDescent="0.25">
      <c r="H976" s="37"/>
      <c r="I976" s="79"/>
      <c r="J976" s="70"/>
      <c r="K976" s="57"/>
      <c r="L976" s="11"/>
      <c r="M976" s="41"/>
      <c r="N976" s="11"/>
    </row>
    <row r="977" spans="8:14" x14ac:dyDescent="0.25">
      <c r="H977" s="37"/>
      <c r="I977" s="79"/>
      <c r="J977" s="70"/>
      <c r="K977" s="57"/>
      <c r="L977" s="11"/>
      <c r="M977" s="41"/>
      <c r="N977" s="11"/>
    </row>
    <row r="978" spans="8:14" x14ac:dyDescent="0.25">
      <c r="H978" s="37"/>
      <c r="I978" s="79"/>
      <c r="J978" s="70"/>
      <c r="K978" s="57"/>
      <c r="L978" s="11"/>
      <c r="M978" s="41"/>
      <c r="N978" s="11"/>
    </row>
    <row r="979" spans="8:14" x14ac:dyDescent="0.25">
      <c r="H979" s="37"/>
      <c r="I979" s="79"/>
      <c r="J979" s="70"/>
      <c r="K979" s="57"/>
      <c r="L979" s="11"/>
      <c r="M979" s="41"/>
      <c r="N979" s="11"/>
    </row>
    <row r="980" spans="8:14" x14ac:dyDescent="0.25">
      <c r="H980" s="37"/>
      <c r="I980" s="79"/>
      <c r="J980" s="70"/>
      <c r="K980" s="57"/>
      <c r="L980" s="11"/>
      <c r="M980" s="41"/>
      <c r="N980" s="11"/>
    </row>
    <row r="981" spans="8:14" x14ac:dyDescent="0.25">
      <c r="H981" s="37"/>
      <c r="I981" s="79"/>
      <c r="J981" s="70"/>
      <c r="K981" s="57"/>
      <c r="L981" s="11"/>
      <c r="M981" s="41"/>
      <c r="N981" s="11"/>
    </row>
    <row r="982" spans="8:14" x14ac:dyDescent="0.25">
      <c r="H982" s="37"/>
      <c r="I982" s="79"/>
      <c r="J982" s="70"/>
      <c r="K982" s="57"/>
      <c r="L982" s="11"/>
      <c r="M982" s="41"/>
      <c r="N982" s="11"/>
    </row>
    <row r="983" spans="8:14" x14ac:dyDescent="0.25">
      <c r="H983" s="37"/>
      <c r="I983" s="79"/>
      <c r="J983" s="70"/>
      <c r="K983" s="57"/>
      <c r="L983" s="11"/>
      <c r="M983" s="41"/>
      <c r="N983" s="11"/>
    </row>
    <row r="984" spans="8:14" x14ac:dyDescent="0.25">
      <c r="H984" s="37"/>
      <c r="I984" s="79"/>
      <c r="J984" s="70"/>
      <c r="K984" s="57"/>
      <c r="L984" s="11"/>
      <c r="M984" s="41"/>
      <c r="N984" s="11"/>
    </row>
    <row r="985" spans="8:14" x14ac:dyDescent="0.25">
      <c r="H985" s="37"/>
      <c r="I985" s="79"/>
      <c r="J985" s="70"/>
      <c r="K985" s="57"/>
      <c r="L985" s="11"/>
      <c r="M985" s="41"/>
      <c r="N985" s="11"/>
    </row>
    <row r="986" spans="8:14" x14ac:dyDescent="0.25">
      <c r="H986" s="37"/>
      <c r="I986" s="79"/>
      <c r="J986" s="70"/>
      <c r="K986" s="57"/>
      <c r="L986" s="11"/>
      <c r="M986" s="41"/>
      <c r="N986" s="11"/>
    </row>
    <row r="987" spans="8:14" x14ac:dyDescent="0.25">
      <c r="H987" s="37"/>
      <c r="I987" s="79"/>
      <c r="J987" s="70"/>
      <c r="K987" s="57"/>
      <c r="L987" s="11"/>
      <c r="M987" s="41"/>
      <c r="N987" s="11"/>
    </row>
    <row r="988" spans="8:14" x14ac:dyDescent="0.25">
      <c r="H988" s="37"/>
      <c r="I988" s="79"/>
      <c r="J988" s="70"/>
      <c r="K988" s="57"/>
      <c r="L988" s="11"/>
      <c r="M988" s="41"/>
      <c r="N988" s="11"/>
    </row>
    <row r="989" spans="8:14" x14ac:dyDescent="0.25">
      <c r="H989" s="37"/>
      <c r="I989" s="79"/>
      <c r="J989" s="70"/>
      <c r="K989" s="57"/>
      <c r="L989" s="11"/>
      <c r="M989" s="41"/>
      <c r="N989" s="11"/>
    </row>
    <row r="990" spans="8:14" x14ac:dyDescent="0.25">
      <c r="H990" s="37"/>
      <c r="I990" s="79"/>
      <c r="J990" s="70"/>
      <c r="K990" s="57"/>
      <c r="L990" s="11"/>
      <c r="M990" s="41"/>
      <c r="N990" s="11"/>
    </row>
    <row r="991" spans="8:14" x14ac:dyDescent="0.25">
      <c r="H991" s="37"/>
      <c r="I991" s="79"/>
      <c r="J991" s="70"/>
      <c r="K991" s="57"/>
      <c r="L991" s="11"/>
      <c r="M991" s="41"/>
      <c r="N991" s="11"/>
    </row>
    <row r="992" spans="8:14" x14ac:dyDescent="0.25">
      <c r="H992" s="37"/>
      <c r="I992" s="79"/>
      <c r="J992" s="70"/>
      <c r="K992" s="57"/>
      <c r="L992" s="11"/>
      <c r="M992" s="41"/>
      <c r="N992" s="11"/>
    </row>
    <row r="993" spans="8:14" x14ac:dyDescent="0.25">
      <c r="H993" s="37"/>
      <c r="I993" s="79"/>
      <c r="J993" s="70"/>
      <c r="K993" s="57"/>
      <c r="L993" s="11"/>
      <c r="M993" s="41"/>
      <c r="N993" s="11"/>
    </row>
    <row r="994" spans="8:14" x14ac:dyDescent="0.25">
      <c r="H994" s="37"/>
      <c r="I994" s="79"/>
      <c r="J994" s="70"/>
      <c r="K994" s="57"/>
      <c r="L994" s="11"/>
      <c r="M994" s="41"/>
      <c r="N994" s="11"/>
    </row>
    <row r="995" spans="8:14" x14ac:dyDescent="0.25">
      <c r="H995" s="37"/>
      <c r="I995" s="79"/>
      <c r="J995" s="70"/>
      <c r="K995" s="57"/>
      <c r="L995" s="11"/>
      <c r="M995" s="41"/>
      <c r="N995" s="11"/>
    </row>
    <row r="996" spans="8:14" x14ac:dyDescent="0.25">
      <c r="H996" s="37"/>
      <c r="I996" s="79"/>
      <c r="J996" s="70"/>
      <c r="K996" s="57"/>
      <c r="L996" s="11"/>
      <c r="M996" s="41"/>
      <c r="N996" s="11"/>
    </row>
    <row r="997" spans="8:14" x14ac:dyDescent="0.25">
      <c r="H997" s="37"/>
      <c r="I997" s="79"/>
      <c r="J997" s="70"/>
      <c r="K997" s="57"/>
      <c r="L997" s="11"/>
      <c r="M997" s="41"/>
      <c r="N997" s="11"/>
    </row>
    <row r="998" spans="8:14" x14ac:dyDescent="0.25">
      <c r="H998" s="37"/>
      <c r="I998" s="79"/>
      <c r="J998" s="70"/>
      <c r="K998" s="57"/>
      <c r="L998" s="11"/>
      <c r="M998" s="41"/>
      <c r="N998" s="11"/>
    </row>
    <row r="999" spans="8:14" x14ac:dyDescent="0.25">
      <c r="H999" s="37"/>
      <c r="I999" s="79"/>
      <c r="J999" s="70"/>
      <c r="K999" s="57"/>
      <c r="L999" s="11"/>
      <c r="M999" s="41"/>
      <c r="N999" s="11"/>
    </row>
    <row r="1000" spans="8:14" x14ac:dyDescent="0.25">
      <c r="H1000" s="37"/>
      <c r="I1000" s="79"/>
      <c r="J1000" s="70"/>
      <c r="K1000" s="57"/>
      <c r="L1000" s="11"/>
      <c r="M1000" s="41"/>
      <c r="N1000" s="11"/>
    </row>
    <row r="1001" spans="8:14" x14ac:dyDescent="0.25">
      <c r="H1001" s="37"/>
      <c r="I1001" s="79"/>
      <c r="J1001" s="70"/>
      <c r="K1001" s="57"/>
      <c r="L1001" s="11"/>
      <c r="M1001" s="41"/>
      <c r="N1001" s="11"/>
    </row>
    <row r="1002" spans="8:14" x14ac:dyDescent="0.25">
      <c r="H1002" s="37"/>
      <c r="I1002" s="79"/>
      <c r="J1002" s="70"/>
      <c r="K1002" s="57"/>
      <c r="L1002" s="11"/>
      <c r="M1002" s="41"/>
      <c r="N1002" s="11"/>
    </row>
    <row r="1003" spans="8:14" x14ac:dyDescent="0.25">
      <c r="H1003" s="37"/>
      <c r="I1003" s="79"/>
      <c r="J1003" s="70"/>
      <c r="K1003" s="57"/>
      <c r="L1003" s="11"/>
      <c r="M1003" s="41"/>
      <c r="N1003" s="11"/>
    </row>
    <row r="1004" spans="8:14" x14ac:dyDescent="0.25">
      <c r="H1004" s="37"/>
      <c r="I1004" s="79"/>
      <c r="J1004" s="70"/>
      <c r="K1004" s="57"/>
      <c r="L1004" s="11"/>
      <c r="M1004" s="41"/>
      <c r="N1004" s="11"/>
    </row>
    <row r="1005" spans="8:14" x14ac:dyDescent="0.25">
      <c r="H1005" s="37"/>
      <c r="I1005" s="79"/>
      <c r="J1005" s="70"/>
      <c r="K1005" s="57"/>
      <c r="L1005" s="11"/>
      <c r="M1005" s="41"/>
      <c r="N1005" s="11"/>
    </row>
    <row r="1006" spans="8:14" x14ac:dyDescent="0.25">
      <c r="H1006" s="37"/>
      <c r="I1006" s="79"/>
      <c r="J1006" s="70"/>
      <c r="K1006" s="57"/>
      <c r="L1006" s="11"/>
      <c r="M1006" s="41"/>
      <c r="N1006" s="11"/>
    </row>
    <row r="1007" spans="8:14" x14ac:dyDescent="0.25">
      <c r="H1007" s="37"/>
      <c r="I1007" s="79"/>
      <c r="J1007" s="70"/>
      <c r="K1007" s="57"/>
      <c r="L1007" s="11"/>
      <c r="M1007" s="41"/>
      <c r="N1007" s="11"/>
    </row>
    <row r="1008" spans="8:14" x14ac:dyDescent="0.25">
      <c r="H1008" s="37"/>
      <c r="I1008" s="79"/>
      <c r="J1008" s="70"/>
      <c r="K1008" s="57"/>
      <c r="L1008" s="11"/>
      <c r="M1008" s="41"/>
      <c r="N1008" s="11"/>
    </row>
    <row r="1009" spans="8:14" x14ac:dyDescent="0.25">
      <c r="H1009" s="37"/>
      <c r="I1009" s="79"/>
      <c r="J1009" s="70"/>
      <c r="K1009" s="57"/>
      <c r="L1009" s="11"/>
      <c r="M1009" s="41"/>
      <c r="N1009" s="11"/>
    </row>
    <row r="1010" spans="8:14" x14ac:dyDescent="0.25">
      <c r="H1010" s="37"/>
      <c r="I1010" s="79"/>
      <c r="J1010" s="70"/>
      <c r="K1010" s="57"/>
      <c r="L1010" s="11"/>
      <c r="M1010" s="41"/>
      <c r="N1010" s="11"/>
    </row>
    <row r="1011" spans="8:14" x14ac:dyDescent="0.25">
      <c r="H1011" s="37"/>
      <c r="I1011" s="79"/>
      <c r="J1011" s="70"/>
      <c r="K1011" s="57"/>
      <c r="L1011" s="11"/>
      <c r="M1011" s="41"/>
      <c r="N1011" s="11"/>
    </row>
    <row r="1012" spans="8:14" x14ac:dyDescent="0.25">
      <c r="H1012" s="37"/>
      <c r="I1012" s="79"/>
      <c r="J1012" s="70"/>
      <c r="K1012" s="57"/>
      <c r="L1012" s="11"/>
      <c r="M1012" s="41"/>
      <c r="N1012" s="11"/>
    </row>
    <row r="1013" spans="8:14" x14ac:dyDescent="0.25">
      <c r="H1013" s="37"/>
      <c r="I1013" s="79"/>
      <c r="J1013" s="70"/>
      <c r="K1013" s="57"/>
      <c r="L1013" s="11"/>
      <c r="M1013" s="41"/>
      <c r="N1013" s="11"/>
    </row>
    <row r="1014" spans="8:14" x14ac:dyDescent="0.25">
      <c r="H1014" s="37"/>
      <c r="I1014" s="79"/>
      <c r="J1014" s="70"/>
      <c r="K1014" s="57"/>
      <c r="L1014" s="11"/>
      <c r="M1014" s="41"/>
      <c r="N1014" s="11"/>
    </row>
    <row r="1015" spans="8:14" x14ac:dyDescent="0.25">
      <c r="H1015" s="37"/>
      <c r="I1015" s="79"/>
      <c r="J1015" s="70"/>
      <c r="K1015" s="57"/>
      <c r="L1015" s="11"/>
      <c r="M1015" s="41"/>
      <c r="N1015" s="11"/>
    </row>
    <row r="1016" spans="8:14" x14ac:dyDescent="0.25">
      <c r="H1016" s="37"/>
      <c r="I1016" s="79"/>
      <c r="J1016" s="70"/>
      <c r="K1016" s="57"/>
      <c r="L1016" s="11"/>
      <c r="M1016" s="41"/>
      <c r="N1016" s="11"/>
    </row>
    <row r="1017" spans="8:14" x14ac:dyDescent="0.25">
      <c r="H1017" s="37"/>
      <c r="I1017" s="79"/>
      <c r="J1017" s="70"/>
      <c r="K1017" s="57"/>
      <c r="L1017" s="11"/>
      <c r="M1017" s="41"/>
      <c r="N1017" s="11"/>
    </row>
    <row r="1018" spans="8:14" x14ac:dyDescent="0.25">
      <c r="H1018" s="37"/>
      <c r="I1018" s="79"/>
      <c r="J1018" s="70"/>
      <c r="K1018" s="57"/>
      <c r="L1018" s="11"/>
      <c r="M1018" s="41"/>
      <c r="N1018" s="11"/>
    </row>
    <row r="1019" spans="8:14" x14ac:dyDescent="0.25">
      <c r="H1019" s="37"/>
      <c r="I1019" s="79"/>
      <c r="J1019" s="70"/>
      <c r="K1019" s="57"/>
      <c r="L1019" s="11"/>
      <c r="M1019" s="41"/>
      <c r="N1019" s="11"/>
    </row>
    <row r="1020" spans="8:14" x14ac:dyDescent="0.25">
      <c r="H1020" s="37"/>
      <c r="I1020" s="79"/>
      <c r="J1020" s="70"/>
      <c r="K1020" s="57"/>
      <c r="L1020" s="11"/>
      <c r="M1020" s="41"/>
      <c r="N1020" s="11"/>
    </row>
    <row r="1021" spans="8:14" x14ac:dyDescent="0.25">
      <c r="H1021" s="37"/>
      <c r="I1021" s="79"/>
      <c r="J1021" s="70"/>
      <c r="K1021" s="57"/>
      <c r="L1021" s="11"/>
      <c r="M1021" s="41"/>
      <c r="N1021" s="11"/>
    </row>
    <row r="1022" spans="8:14" x14ac:dyDescent="0.25">
      <c r="H1022" s="37"/>
      <c r="I1022" s="79"/>
      <c r="J1022" s="70"/>
      <c r="K1022" s="57"/>
      <c r="L1022" s="11"/>
      <c r="M1022" s="41"/>
      <c r="N1022" s="11"/>
    </row>
    <row r="1023" spans="8:14" x14ac:dyDescent="0.25">
      <c r="H1023" s="37"/>
      <c r="I1023" s="79"/>
      <c r="J1023" s="70"/>
      <c r="K1023" s="57"/>
      <c r="L1023" s="11"/>
      <c r="M1023" s="41"/>
      <c r="N1023" s="11"/>
    </row>
    <row r="1024" spans="8:14" x14ac:dyDescent="0.25">
      <c r="H1024" s="37"/>
      <c r="I1024" s="79"/>
      <c r="J1024" s="70"/>
      <c r="K1024" s="57"/>
      <c r="L1024" s="11"/>
      <c r="M1024" s="41"/>
      <c r="N1024" s="11"/>
    </row>
    <row r="1025" spans="8:14" x14ac:dyDescent="0.25">
      <c r="H1025" s="37"/>
      <c r="I1025" s="79"/>
      <c r="J1025" s="70"/>
      <c r="K1025" s="57"/>
      <c r="L1025" s="11"/>
      <c r="M1025" s="41"/>
      <c r="N1025" s="11"/>
    </row>
    <row r="1026" spans="8:14" x14ac:dyDescent="0.25">
      <c r="H1026" s="37"/>
      <c r="I1026" s="79"/>
      <c r="J1026" s="70"/>
      <c r="K1026" s="57"/>
      <c r="L1026" s="11"/>
      <c r="M1026" s="41"/>
      <c r="N1026" s="11"/>
    </row>
    <row r="1027" spans="8:14" x14ac:dyDescent="0.25">
      <c r="H1027" s="37"/>
      <c r="I1027" s="79"/>
      <c r="J1027" s="70"/>
      <c r="K1027" s="57"/>
      <c r="L1027" s="11"/>
      <c r="M1027" s="41"/>
      <c r="N1027" s="11"/>
    </row>
    <row r="1028" spans="8:14" x14ac:dyDescent="0.25">
      <c r="H1028" s="37"/>
      <c r="I1028" s="79"/>
      <c r="J1028" s="70"/>
      <c r="K1028" s="57"/>
      <c r="L1028" s="11"/>
      <c r="M1028" s="41"/>
      <c r="N1028" s="11"/>
    </row>
    <row r="1029" spans="8:14" x14ac:dyDescent="0.25">
      <c r="H1029" s="37"/>
      <c r="I1029" s="79"/>
      <c r="J1029" s="70"/>
      <c r="K1029" s="57"/>
      <c r="L1029" s="11"/>
      <c r="M1029" s="41"/>
      <c r="N1029" s="11"/>
    </row>
    <row r="1030" spans="8:14" x14ac:dyDescent="0.25">
      <c r="H1030" s="37"/>
      <c r="I1030" s="79"/>
      <c r="J1030" s="70"/>
      <c r="K1030" s="57"/>
      <c r="L1030" s="11"/>
      <c r="M1030" s="41"/>
      <c r="N1030" s="11"/>
    </row>
    <row r="1031" spans="8:14" x14ac:dyDescent="0.25">
      <c r="H1031" s="37"/>
      <c r="I1031" s="79"/>
      <c r="J1031" s="70"/>
      <c r="K1031" s="57"/>
      <c r="L1031" s="11"/>
      <c r="M1031" s="41"/>
      <c r="N1031" s="11"/>
    </row>
    <row r="1032" spans="8:14" x14ac:dyDescent="0.25">
      <c r="H1032" s="37"/>
      <c r="I1032" s="79"/>
      <c r="J1032" s="70"/>
      <c r="K1032" s="57"/>
      <c r="L1032" s="11"/>
      <c r="M1032" s="41"/>
      <c r="N1032" s="11"/>
    </row>
    <row r="1033" spans="8:14" x14ac:dyDescent="0.25">
      <c r="H1033" s="37"/>
      <c r="I1033" s="79"/>
      <c r="J1033" s="70"/>
      <c r="K1033" s="57"/>
      <c r="L1033" s="11"/>
      <c r="M1033" s="41"/>
      <c r="N1033" s="11"/>
    </row>
    <row r="1034" spans="8:14" x14ac:dyDescent="0.25">
      <c r="H1034" s="37"/>
      <c r="I1034" s="79"/>
      <c r="J1034" s="70"/>
      <c r="K1034" s="57"/>
      <c r="L1034" s="11"/>
      <c r="M1034" s="41"/>
      <c r="N1034" s="11"/>
    </row>
    <row r="1035" spans="8:14" x14ac:dyDescent="0.25">
      <c r="H1035" s="37"/>
      <c r="I1035" s="79"/>
      <c r="J1035" s="70"/>
      <c r="K1035" s="57"/>
      <c r="L1035" s="11"/>
      <c r="M1035" s="41"/>
      <c r="N1035" s="11"/>
    </row>
    <row r="1036" spans="8:14" x14ac:dyDescent="0.25">
      <c r="H1036" s="37"/>
      <c r="I1036" s="79"/>
      <c r="J1036" s="70"/>
      <c r="K1036" s="57"/>
      <c r="L1036" s="11"/>
      <c r="M1036" s="41"/>
      <c r="N1036" s="11"/>
    </row>
    <row r="1037" spans="8:14" x14ac:dyDescent="0.25">
      <c r="H1037" s="37"/>
      <c r="I1037" s="79"/>
      <c r="J1037" s="70"/>
      <c r="K1037" s="57"/>
      <c r="L1037" s="11"/>
      <c r="M1037" s="41"/>
      <c r="N1037" s="11"/>
    </row>
    <row r="1038" spans="8:14" x14ac:dyDescent="0.25">
      <c r="H1038" s="37"/>
      <c r="I1038" s="79"/>
      <c r="J1038" s="70"/>
      <c r="K1038" s="57"/>
      <c r="L1038" s="11"/>
      <c r="M1038" s="41"/>
      <c r="N1038" s="11"/>
    </row>
    <row r="1039" spans="8:14" x14ac:dyDescent="0.25">
      <c r="H1039" s="37"/>
      <c r="I1039" s="79"/>
      <c r="J1039" s="70"/>
      <c r="K1039" s="57"/>
      <c r="L1039" s="11"/>
      <c r="M1039" s="41"/>
      <c r="N1039" s="11"/>
    </row>
    <row r="1040" spans="8:14" x14ac:dyDescent="0.25">
      <c r="H1040" s="37"/>
      <c r="I1040" s="79"/>
      <c r="J1040" s="70"/>
      <c r="K1040" s="57"/>
      <c r="L1040" s="11"/>
      <c r="M1040" s="41"/>
      <c r="N1040" s="11"/>
    </row>
    <row r="1041" spans="8:14" x14ac:dyDescent="0.25">
      <c r="H1041" s="37"/>
      <c r="I1041" s="79"/>
      <c r="J1041" s="70"/>
      <c r="K1041" s="57"/>
      <c r="L1041" s="11"/>
      <c r="M1041" s="41"/>
      <c r="N1041" s="11"/>
    </row>
    <row r="1042" spans="8:14" x14ac:dyDescent="0.25">
      <c r="H1042" s="37"/>
      <c r="I1042" s="79"/>
      <c r="J1042" s="70"/>
      <c r="K1042" s="57"/>
      <c r="L1042" s="11"/>
      <c r="M1042" s="41"/>
      <c r="N1042" s="11"/>
    </row>
    <row r="1043" spans="8:14" x14ac:dyDescent="0.25">
      <c r="H1043" s="37"/>
      <c r="I1043" s="79"/>
      <c r="J1043" s="70"/>
      <c r="K1043" s="57"/>
      <c r="L1043" s="11"/>
      <c r="M1043" s="41"/>
      <c r="N1043" s="11"/>
    </row>
    <row r="1044" spans="8:14" x14ac:dyDescent="0.25">
      <c r="H1044" s="37"/>
      <c r="I1044" s="79"/>
      <c r="J1044" s="70"/>
      <c r="K1044" s="57"/>
      <c r="L1044" s="11"/>
      <c r="M1044" s="41"/>
      <c r="N1044" s="11"/>
    </row>
    <row r="1045" spans="8:14" x14ac:dyDescent="0.25">
      <c r="H1045" s="37"/>
      <c r="I1045" s="79"/>
      <c r="J1045" s="70"/>
      <c r="K1045" s="57"/>
      <c r="L1045" s="11"/>
      <c r="M1045" s="41"/>
      <c r="N1045" s="11"/>
    </row>
    <row r="1046" spans="8:14" x14ac:dyDescent="0.25">
      <c r="H1046" s="37"/>
      <c r="I1046" s="79"/>
      <c r="J1046" s="70"/>
      <c r="K1046" s="57"/>
      <c r="L1046" s="11"/>
      <c r="M1046" s="41"/>
      <c r="N1046" s="11"/>
    </row>
    <row r="1047" spans="8:14" x14ac:dyDescent="0.25">
      <c r="H1047" s="37"/>
      <c r="I1047" s="79"/>
      <c r="J1047" s="70"/>
      <c r="K1047" s="57"/>
      <c r="L1047" s="11"/>
      <c r="M1047" s="41"/>
      <c r="N1047" s="11"/>
    </row>
    <row r="1048" spans="8:14" x14ac:dyDescent="0.25">
      <c r="H1048" s="37"/>
      <c r="I1048" s="79"/>
      <c r="J1048" s="70"/>
      <c r="K1048" s="57"/>
      <c r="L1048" s="11"/>
      <c r="M1048" s="41"/>
      <c r="N1048" s="11"/>
    </row>
    <row r="1049" spans="8:14" x14ac:dyDescent="0.25">
      <c r="H1049" s="37"/>
      <c r="I1049" s="79"/>
      <c r="J1049" s="70"/>
      <c r="K1049" s="57"/>
      <c r="L1049" s="11"/>
      <c r="M1049" s="41"/>
      <c r="N1049" s="11"/>
    </row>
    <row r="1050" spans="8:14" x14ac:dyDescent="0.25">
      <c r="H1050" s="37"/>
      <c r="I1050" s="79"/>
      <c r="J1050" s="70"/>
      <c r="K1050" s="57"/>
      <c r="L1050" s="11"/>
      <c r="M1050" s="41"/>
      <c r="N1050" s="11"/>
    </row>
    <row r="1051" spans="8:14" x14ac:dyDescent="0.25">
      <c r="H1051" s="37"/>
      <c r="I1051" s="79"/>
      <c r="J1051" s="70"/>
      <c r="K1051" s="57"/>
      <c r="L1051" s="11"/>
      <c r="M1051" s="41"/>
      <c r="N1051" s="11"/>
    </row>
    <row r="1052" spans="8:14" x14ac:dyDescent="0.25">
      <c r="H1052" s="37"/>
      <c r="I1052" s="79"/>
      <c r="J1052" s="70"/>
      <c r="K1052" s="57"/>
      <c r="L1052" s="11"/>
      <c r="M1052" s="41"/>
      <c r="N1052" s="11"/>
    </row>
    <row r="1053" spans="8:14" x14ac:dyDescent="0.25">
      <c r="H1053" s="37"/>
      <c r="I1053" s="79"/>
      <c r="J1053" s="70"/>
      <c r="K1053" s="57"/>
      <c r="L1053" s="11"/>
      <c r="M1053" s="41"/>
      <c r="N1053" s="11"/>
    </row>
    <row r="1054" spans="8:14" x14ac:dyDescent="0.25">
      <c r="H1054" s="37"/>
      <c r="I1054" s="79"/>
      <c r="J1054" s="70"/>
      <c r="K1054" s="57"/>
      <c r="L1054" s="11"/>
      <c r="M1054" s="41"/>
      <c r="N1054" s="11"/>
    </row>
    <row r="1055" spans="8:14" x14ac:dyDescent="0.25">
      <c r="H1055" s="37"/>
      <c r="I1055" s="79"/>
      <c r="J1055" s="70"/>
      <c r="K1055" s="57"/>
      <c r="L1055" s="11"/>
      <c r="M1055" s="41"/>
      <c r="N1055" s="11"/>
    </row>
    <row r="1056" spans="8:14" x14ac:dyDescent="0.25">
      <c r="H1056" s="37"/>
      <c r="I1056" s="79"/>
      <c r="J1056" s="70"/>
      <c r="K1056" s="57"/>
      <c r="L1056" s="11"/>
      <c r="M1056" s="41"/>
      <c r="N1056" s="11"/>
    </row>
    <row r="1057" spans="8:14" x14ac:dyDescent="0.25">
      <c r="H1057" s="37"/>
      <c r="I1057" s="79"/>
      <c r="J1057" s="70"/>
      <c r="K1057" s="57"/>
      <c r="L1057" s="11"/>
      <c r="M1057" s="41"/>
      <c r="N1057" s="11"/>
    </row>
    <row r="1058" spans="8:14" x14ac:dyDescent="0.25">
      <c r="H1058" s="37"/>
      <c r="I1058" s="79"/>
      <c r="J1058" s="70"/>
      <c r="K1058" s="57"/>
      <c r="L1058" s="11"/>
      <c r="M1058" s="41"/>
      <c r="N1058" s="11"/>
    </row>
    <row r="1059" spans="8:14" x14ac:dyDescent="0.25">
      <c r="H1059" s="37"/>
      <c r="I1059" s="79"/>
      <c r="J1059" s="70"/>
      <c r="K1059" s="57"/>
      <c r="L1059" s="11"/>
      <c r="M1059" s="41"/>
      <c r="N1059" s="11"/>
    </row>
    <row r="1060" spans="8:14" x14ac:dyDescent="0.25">
      <c r="H1060" s="37"/>
      <c r="I1060" s="79"/>
      <c r="J1060" s="70"/>
      <c r="K1060" s="57"/>
      <c r="L1060" s="11"/>
      <c r="M1060" s="41"/>
      <c r="N1060" s="11"/>
    </row>
    <row r="1061" spans="8:14" x14ac:dyDescent="0.25">
      <c r="H1061" s="37"/>
      <c r="I1061" s="79"/>
      <c r="J1061" s="70"/>
      <c r="K1061" s="57"/>
      <c r="L1061" s="11"/>
      <c r="M1061" s="41"/>
      <c r="N1061" s="11"/>
    </row>
    <row r="1062" spans="8:14" x14ac:dyDescent="0.25">
      <c r="H1062" s="37"/>
      <c r="I1062" s="79"/>
      <c r="J1062" s="70"/>
      <c r="K1062" s="57"/>
      <c r="L1062" s="11"/>
      <c r="M1062" s="41"/>
      <c r="N1062" s="11"/>
    </row>
    <row r="1063" spans="8:14" x14ac:dyDescent="0.25">
      <c r="H1063" s="37"/>
      <c r="I1063" s="79"/>
      <c r="J1063" s="70"/>
      <c r="K1063" s="57"/>
      <c r="L1063" s="11"/>
      <c r="M1063" s="41"/>
      <c r="N1063" s="11"/>
    </row>
    <row r="1064" spans="8:14" x14ac:dyDescent="0.25">
      <c r="H1064" s="37"/>
      <c r="I1064" s="79"/>
      <c r="J1064" s="70"/>
      <c r="K1064" s="57"/>
      <c r="L1064" s="11"/>
      <c r="M1064" s="41"/>
      <c r="N1064" s="11"/>
    </row>
    <row r="1065" spans="8:14" x14ac:dyDescent="0.25">
      <c r="H1065" s="37"/>
      <c r="I1065" s="79"/>
      <c r="J1065" s="70"/>
      <c r="K1065" s="57"/>
      <c r="L1065" s="11"/>
      <c r="M1065" s="41"/>
      <c r="N1065" s="11"/>
    </row>
    <row r="1066" spans="8:14" x14ac:dyDescent="0.25">
      <c r="H1066" s="37"/>
      <c r="I1066" s="79"/>
      <c r="J1066" s="70"/>
      <c r="K1066" s="57"/>
      <c r="L1066" s="11"/>
      <c r="M1066" s="41"/>
      <c r="N1066" s="11"/>
    </row>
    <row r="1067" spans="8:14" x14ac:dyDescent="0.25">
      <c r="H1067" s="37"/>
      <c r="I1067" s="79"/>
      <c r="J1067" s="70"/>
      <c r="K1067" s="57"/>
      <c r="L1067" s="11"/>
      <c r="M1067" s="41"/>
      <c r="N1067" s="11"/>
    </row>
    <row r="1068" spans="8:14" x14ac:dyDescent="0.25">
      <c r="H1068" s="37"/>
      <c r="I1068" s="79"/>
      <c r="J1068" s="70"/>
      <c r="K1068" s="57"/>
      <c r="L1068" s="11"/>
      <c r="M1068" s="41"/>
      <c r="N1068" s="11"/>
    </row>
    <row r="1069" spans="8:14" x14ac:dyDescent="0.25">
      <c r="H1069" s="37"/>
      <c r="I1069" s="79"/>
      <c r="J1069" s="70"/>
      <c r="K1069" s="57"/>
      <c r="L1069" s="11"/>
      <c r="M1069" s="41"/>
      <c r="N1069" s="11"/>
    </row>
    <row r="1070" spans="8:14" x14ac:dyDescent="0.25">
      <c r="H1070" s="37"/>
      <c r="I1070" s="79"/>
      <c r="J1070" s="70"/>
      <c r="K1070" s="57"/>
      <c r="L1070" s="11"/>
      <c r="M1070" s="41"/>
      <c r="N1070" s="11"/>
    </row>
    <row r="1071" spans="8:14" x14ac:dyDescent="0.25">
      <c r="H1071" s="37"/>
      <c r="I1071" s="79"/>
      <c r="J1071" s="70"/>
      <c r="K1071" s="57"/>
      <c r="L1071" s="11"/>
      <c r="M1071" s="41"/>
      <c r="N1071" s="11"/>
    </row>
    <row r="1072" spans="8:14" x14ac:dyDescent="0.25">
      <c r="H1072" s="37"/>
      <c r="I1072" s="79"/>
      <c r="J1072" s="70"/>
      <c r="K1072" s="57"/>
      <c r="L1072" s="11"/>
      <c r="M1072" s="41"/>
      <c r="N1072" s="11"/>
    </row>
    <row r="1073" spans="8:14" x14ac:dyDescent="0.25">
      <c r="H1073" s="37"/>
      <c r="I1073" s="79"/>
      <c r="J1073" s="70"/>
      <c r="K1073" s="57"/>
      <c r="L1073" s="11"/>
      <c r="M1073" s="41"/>
      <c r="N1073" s="11"/>
    </row>
    <row r="1074" spans="8:14" x14ac:dyDescent="0.25">
      <c r="H1074" s="37"/>
      <c r="I1074" s="79"/>
      <c r="J1074" s="70"/>
      <c r="K1074" s="57"/>
      <c r="L1074" s="11"/>
      <c r="M1074" s="41"/>
      <c r="N1074" s="11"/>
    </row>
    <row r="1075" spans="8:14" x14ac:dyDescent="0.25">
      <c r="H1075" s="37"/>
      <c r="I1075" s="79"/>
      <c r="J1075" s="70"/>
      <c r="K1075" s="57"/>
      <c r="L1075" s="11"/>
      <c r="M1075" s="41"/>
      <c r="N1075" s="11"/>
    </row>
    <row r="1076" spans="8:14" x14ac:dyDescent="0.25">
      <c r="H1076" s="37"/>
      <c r="I1076" s="79"/>
      <c r="J1076" s="70"/>
      <c r="K1076" s="57"/>
      <c r="L1076" s="11"/>
      <c r="M1076" s="41"/>
      <c r="N1076" s="11"/>
    </row>
    <row r="1077" spans="8:14" x14ac:dyDescent="0.25">
      <c r="H1077" s="37"/>
      <c r="I1077" s="79"/>
      <c r="J1077" s="70"/>
      <c r="K1077" s="57"/>
      <c r="L1077" s="11"/>
      <c r="M1077" s="41"/>
      <c r="N1077" s="11"/>
    </row>
    <row r="1078" spans="8:14" x14ac:dyDescent="0.25">
      <c r="H1078" s="37"/>
      <c r="I1078" s="79"/>
      <c r="J1078" s="70"/>
      <c r="K1078" s="57"/>
      <c r="L1078" s="11"/>
      <c r="M1078" s="41"/>
      <c r="N1078" s="11"/>
    </row>
    <row r="1079" spans="8:14" x14ac:dyDescent="0.25">
      <c r="H1079" s="37"/>
      <c r="I1079" s="79"/>
      <c r="J1079" s="70"/>
      <c r="K1079" s="57"/>
      <c r="L1079" s="11"/>
      <c r="M1079" s="41"/>
      <c r="N1079" s="11"/>
    </row>
    <row r="1080" spans="8:14" x14ac:dyDescent="0.25">
      <c r="H1080" s="37"/>
      <c r="I1080" s="79"/>
      <c r="J1080" s="70"/>
      <c r="K1080" s="57"/>
      <c r="L1080" s="11"/>
      <c r="M1080" s="41"/>
      <c r="N1080" s="11"/>
    </row>
    <row r="1081" spans="8:14" x14ac:dyDescent="0.25">
      <c r="H1081" s="37"/>
      <c r="I1081" s="79"/>
      <c r="J1081" s="70"/>
      <c r="K1081" s="57"/>
      <c r="L1081" s="11"/>
      <c r="M1081" s="41"/>
      <c r="N1081" s="11"/>
    </row>
    <row r="1082" spans="8:14" x14ac:dyDescent="0.25">
      <c r="H1082" s="37"/>
      <c r="I1082" s="79"/>
      <c r="J1082" s="70"/>
      <c r="K1082" s="57"/>
      <c r="L1082" s="11"/>
      <c r="M1082" s="41"/>
      <c r="N1082" s="11"/>
    </row>
    <row r="1083" spans="8:14" x14ac:dyDescent="0.25">
      <c r="H1083" s="37"/>
      <c r="I1083" s="79"/>
      <c r="J1083" s="70"/>
      <c r="K1083" s="57"/>
      <c r="L1083" s="11"/>
      <c r="M1083" s="41"/>
      <c r="N1083" s="11"/>
    </row>
    <row r="1084" spans="8:14" x14ac:dyDescent="0.25">
      <c r="H1084" s="37"/>
      <c r="I1084" s="79"/>
      <c r="J1084" s="70"/>
      <c r="K1084" s="57"/>
      <c r="L1084" s="11"/>
      <c r="M1084" s="41"/>
      <c r="N1084" s="11"/>
    </row>
    <row r="1085" spans="8:14" x14ac:dyDescent="0.25">
      <c r="H1085" s="37"/>
      <c r="I1085" s="79"/>
      <c r="J1085" s="70"/>
      <c r="K1085" s="57"/>
      <c r="L1085" s="11"/>
      <c r="M1085" s="41"/>
      <c r="N1085" s="11"/>
    </row>
    <row r="1086" spans="8:14" x14ac:dyDescent="0.25">
      <c r="H1086" s="37"/>
      <c r="I1086" s="79"/>
      <c r="J1086" s="70"/>
      <c r="K1086" s="57"/>
      <c r="L1086" s="11"/>
      <c r="M1086" s="41"/>
      <c r="N1086" s="11"/>
    </row>
    <row r="1087" spans="8:14" x14ac:dyDescent="0.25">
      <c r="H1087" s="37"/>
      <c r="I1087" s="79"/>
      <c r="J1087" s="70"/>
      <c r="K1087" s="57"/>
      <c r="L1087" s="11"/>
      <c r="M1087" s="41"/>
      <c r="N1087" s="11"/>
    </row>
    <row r="1088" spans="8:14" x14ac:dyDescent="0.25">
      <c r="H1088" s="37"/>
      <c r="I1088" s="79"/>
      <c r="J1088" s="70"/>
      <c r="K1088" s="57"/>
      <c r="L1088" s="11"/>
      <c r="M1088" s="41"/>
      <c r="N1088" s="11"/>
    </row>
    <row r="1089" spans="8:14" x14ac:dyDescent="0.25">
      <c r="H1089" s="37"/>
      <c r="I1089" s="79"/>
      <c r="J1089" s="70"/>
      <c r="K1089" s="57"/>
      <c r="L1089" s="11"/>
      <c r="M1089" s="41"/>
      <c r="N1089" s="11"/>
    </row>
    <row r="1090" spans="8:14" x14ac:dyDescent="0.25">
      <c r="H1090" s="37"/>
      <c r="I1090" s="79"/>
      <c r="J1090" s="70"/>
      <c r="K1090" s="57"/>
      <c r="L1090" s="11"/>
      <c r="M1090" s="41"/>
      <c r="N1090" s="11"/>
    </row>
    <row r="1091" spans="8:14" x14ac:dyDescent="0.25">
      <c r="H1091" s="37"/>
      <c r="I1091" s="79"/>
      <c r="J1091" s="70"/>
      <c r="K1091" s="57"/>
      <c r="L1091" s="11"/>
      <c r="M1091" s="41"/>
      <c r="N1091" s="11"/>
    </row>
    <row r="1092" spans="8:14" x14ac:dyDescent="0.25">
      <c r="H1092" s="37"/>
      <c r="I1092" s="79"/>
      <c r="J1092" s="70"/>
      <c r="K1092" s="57"/>
      <c r="L1092" s="11"/>
      <c r="M1092" s="41"/>
      <c r="N1092" s="11"/>
    </row>
    <row r="1093" spans="8:14" x14ac:dyDescent="0.25">
      <c r="H1093" s="37"/>
      <c r="I1093" s="79"/>
      <c r="J1093" s="70"/>
      <c r="K1093" s="57"/>
      <c r="L1093" s="11"/>
      <c r="M1093" s="41"/>
      <c r="N1093" s="11"/>
    </row>
    <row r="1094" spans="8:14" x14ac:dyDescent="0.25">
      <c r="H1094" s="37"/>
      <c r="I1094" s="79"/>
      <c r="J1094" s="70"/>
      <c r="K1094" s="57"/>
      <c r="L1094" s="11"/>
      <c r="M1094" s="41"/>
      <c r="N1094" s="11"/>
    </row>
    <row r="1095" spans="8:14" x14ac:dyDescent="0.25">
      <c r="H1095" s="37"/>
      <c r="I1095" s="79"/>
      <c r="J1095" s="70"/>
      <c r="K1095" s="57"/>
      <c r="L1095" s="11"/>
      <c r="M1095" s="41"/>
      <c r="N1095" s="11"/>
    </row>
    <row r="1096" spans="8:14" x14ac:dyDescent="0.25">
      <c r="H1096" s="37"/>
      <c r="I1096" s="79"/>
      <c r="J1096" s="70"/>
      <c r="K1096" s="57"/>
      <c r="L1096" s="11"/>
      <c r="M1096" s="41"/>
      <c r="N1096" s="11"/>
    </row>
    <row r="1097" spans="8:14" x14ac:dyDescent="0.25">
      <c r="H1097" s="37"/>
      <c r="I1097" s="79"/>
      <c r="J1097" s="70"/>
      <c r="K1097" s="57"/>
      <c r="L1097" s="11"/>
      <c r="M1097" s="41"/>
      <c r="N1097" s="11"/>
    </row>
    <row r="1098" spans="8:14" x14ac:dyDescent="0.25">
      <c r="H1098" s="37"/>
      <c r="I1098" s="79"/>
      <c r="J1098" s="70"/>
      <c r="K1098" s="57"/>
      <c r="L1098" s="11"/>
      <c r="M1098" s="41"/>
      <c r="N1098" s="11"/>
    </row>
    <row r="1099" spans="8:14" x14ac:dyDescent="0.25">
      <c r="H1099" s="37"/>
      <c r="I1099" s="79"/>
      <c r="J1099" s="70"/>
      <c r="K1099" s="57"/>
      <c r="L1099" s="11"/>
      <c r="M1099" s="41"/>
      <c r="N1099" s="11"/>
    </row>
    <row r="1100" spans="8:14" x14ac:dyDescent="0.25">
      <c r="H1100" s="37"/>
      <c r="I1100" s="79"/>
      <c r="J1100" s="70"/>
      <c r="K1100" s="57"/>
      <c r="L1100" s="11"/>
      <c r="M1100" s="41"/>
      <c r="N1100" s="11"/>
    </row>
    <row r="1101" spans="8:14" x14ac:dyDescent="0.25">
      <c r="H1101" s="37"/>
      <c r="I1101" s="79"/>
      <c r="J1101" s="70"/>
      <c r="K1101" s="57"/>
      <c r="L1101" s="11"/>
      <c r="M1101" s="41"/>
      <c r="N1101" s="11"/>
    </row>
    <row r="1102" spans="8:14" x14ac:dyDescent="0.25">
      <c r="H1102" s="37"/>
      <c r="I1102" s="79"/>
      <c r="J1102" s="70"/>
      <c r="K1102" s="57"/>
      <c r="L1102" s="11"/>
      <c r="M1102" s="41"/>
      <c r="N1102" s="11"/>
    </row>
    <row r="1103" spans="8:14" x14ac:dyDescent="0.25">
      <c r="H1103" s="37"/>
      <c r="I1103" s="79"/>
      <c r="J1103" s="70"/>
      <c r="K1103" s="57"/>
      <c r="L1103" s="11"/>
      <c r="M1103" s="41"/>
      <c r="N1103" s="11"/>
    </row>
    <row r="1104" spans="8:14" x14ac:dyDescent="0.25">
      <c r="H1104" s="37"/>
      <c r="I1104" s="79"/>
      <c r="J1104" s="70"/>
      <c r="K1104" s="57"/>
      <c r="L1104" s="11"/>
      <c r="M1104" s="41"/>
      <c r="N1104" s="11"/>
    </row>
    <row r="1105" spans="8:14" x14ac:dyDescent="0.25">
      <c r="H1105" s="37"/>
      <c r="I1105" s="79"/>
      <c r="J1105" s="70"/>
      <c r="K1105" s="57"/>
      <c r="L1105" s="11"/>
      <c r="M1105" s="41"/>
      <c r="N1105" s="11"/>
    </row>
    <row r="1106" spans="8:14" x14ac:dyDescent="0.25">
      <c r="H1106" s="37"/>
      <c r="I1106" s="79"/>
      <c r="J1106" s="70"/>
      <c r="K1106" s="57"/>
      <c r="L1106" s="11"/>
      <c r="M1106" s="41"/>
      <c r="N1106" s="11"/>
    </row>
    <row r="1107" spans="8:14" x14ac:dyDescent="0.25">
      <c r="H1107" s="37"/>
      <c r="I1107" s="79"/>
      <c r="J1107" s="70"/>
      <c r="K1107" s="57"/>
      <c r="L1107" s="11"/>
      <c r="M1107" s="41"/>
      <c r="N1107" s="11"/>
    </row>
    <row r="1108" spans="8:14" x14ac:dyDescent="0.25">
      <c r="H1108" s="37"/>
      <c r="I1108" s="79"/>
      <c r="J1108" s="70"/>
      <c r="K1108" s="57"/>
      <c r="L1108" s="11"/>
      <c r="M1108" s="41"/>
      <c r="N1108" s="11"/>
    </row>
    <row r="1109" spans="8:14" x14ac:dyDescent="0.25">
      <c r="H1109" s="37"/>
      <c r="I1109" s="79"/>
      <c r="J1109" s="70"/>
      <c r="K1109" s="57"/>
      <c r="L1109" s="11"/>
      <c r="M1109" s="41"/>
      <c r="N1109" s="11"/>
    </row>
    <row r="1110" spans="8:14" x14ac:dyDescent="0.25">
      <c r="H1110" s="37"/>
      <c r="I1110" s="79"/>
      <c r="J1110" s="70"/>
      <c r="K1110" s="57"/>
      <c r="L1110" s="11"/>
      <c r="M1110" s="41"/>
      <c r="N1110" s="11"/>
    </row>
    <row r="1111" spans="8:14" x14ac:dyDescent="0.25">
      <c r="H1111" s="37"/>
      <c r="I1111" s="79"/>
      <c r="J1111" s="70"/>
      <c r="K1111" s="57"/>
      <c r="L1111" s="11"/>
      <c r="M1111" s="41"/>
      <c r="N1111" s="11"/>
    </row>
    <row r="1112" spans="8:14" x14ac:dyDescent="0.25">
      <c r="H1112" s="37"/>
      <c r="I1112" s="79"/>
      <c r="J1112" s="70"/>
      <c r="K1112" s="57"/>
      <c r="L1112" s="11"/>
      <c r="M1112" s="41"/>
      <c r="N1112" s="11"/>
    </row>
    <row r="1113" spans="8:14" x14ac:dyDescent="0.25">
      <c r="H1113" s="37"/>
      <c r="I1113" s="79"/>
      <c r="J1113" s="70"/>
      <c r="K1113" s="57"/>
      <c r="L1113" s="11"/>
      <c r="M1113" s="41"/>
      <c r="N1113" s="11"/>
    </row>
    <row r="1114" spans="8:14" x14ac:dyDescent="0.25">
      <c r="H1114" s="37"/>
      <c r="I1114" s="79"/>
      <c r="J1114" s="70"/>
      <c r="K1114" s="57"/>
      <c r="L1114" s="11"/>
      <c r="M1114" s="41"/>
      <c r="N1114" s="11"/>
    </row>
    <row r="1115" spans="8:14" x14ac:dyDescent="0.25">
      <c r="H1115" s="37"/>
      <c r="I1115" s="79"/>
      <c r="J1115" s="70"/>
      <c r="K1115" s="57"/>
      <c r="L1115" s="11"/>
      <c r="M1115" s="41"/>
      <c r="N1115" s="11"/>
    </row>
    <row r="1116" spans="8:14" x14ac:dyDescent="0.25">
      <c r="H1116" s="37"/>
      <c r="I1116" s="79"/>
      <c r="J1116" s="70"/>
      <c r="K1116" s="57"/>
      <c r="L1116" s="11"/>
      <c r="M1116" s="41"/>
      <c r="N1116" s="11"/>
    </row>
    <row r="1117" spans="8:14" x14ac:dyDescent="0.25">
      <c r="H1117" s="37"/>
      <c r="I1117" s="79"/>
      <c r="J1117" s="70"/>
      <c r="K1117" s="57"/>
      <c r="L1117" s="11"/>
      <c r="M1117" s="41"/>
      <c r="N1117" s="11"/>
    </row>
    <row r="1118" spans="8:14" x14ac:dyDescent="0.25">
      <c r="H1118" s="37"/>
      <c r="I1118" s="79"/>
      <c r="J1118" s="70"/>
      <c r="K1118" s="57"/>
      <c r="L1118" s="11"/>
      <c r="M1118" s="41"/>
      <c r="N1118" s="11"/>
    </row>
    <row r="1119" spans="8:14" x14ac:dyDescent="0.25">
      <c r="H1119" s="37"/>
      <c r="I1119" s="79"/>
      <c r="J1119" s="70"/>
      <c r="K1119" s="57"/>
      <c r="L1119" s="11"/>
      <c r="M1119" s="41"/>
      <c r="N1119" s="11"/>
    </row>
    <row r="1120" spans="8:14" x14ac:dyDescent="0.25">
      <c r="H1120" s="37"/>
      <c r="I1120" s="79"/>
      <c r="J1120" s="70"/>
      <c r="K1120" s="57"/>
      <c r="L1120" s="11"/>
      <c r="M1120" s="41"/>
      <c r="N1120" s="11"/>
    </row>
    <row r="1121" spans="8:14" x14ac:dyDescent="0.25">
      <c r="H1121" s="37"/>
      <c r="I1121" s="79"/>
      <c r="J1121" s="70"/>
      <c r="K1121" s="57"/>
      <c r="L1121" s="11"/>
      <c r="M1121" s="41"/>
      <c r="N1121" s="11"/>
    </row>
    <row r="1122" spans="8:14" x14ac:dyDescent="0.25">
      <c r="H1122" s="37"/>
      <c r="I1122" s="79"/>
      <c r="J1122" s="70"/>
      <c r="K1122" s="57"/>
      <c r="L1122" s="11"/>
      <c r="M1122" s="41"/>
      <c r="N1122" s="11"/>
    </row>
    <row r="1123" spans="8:14" x14ac:dyDescent="0.25">
      <c r="H1123" s="37"/>
      <c r="I1123" s="79"/>
      <c r="J1123" s="70"/>
      <c r="K1123" s="57"/>
      <c r="L1123" s="11"/>
      <c r="M1123" s="41"/>
      <c r="N1123" s="11"/>
    </row>
    <row r="1124" spans="8:14" x14ac:dyDescent="0.25">
      <c r="H1124" s="37"/>
      <c r="I1124" s="79"/>
      <c r="J1124" s="70"/>
      <c r="K1124" s="57"/>
      <c r="L1124" s="11"/>
      <c r="M1124" s="41"/>
      <c r="N1124" s="11"/>
    </row>
    <row r="1125" spans="8:14" x14ac:dyDescent="0.25">
      <c r="H1125" s="37"/>
      <c r="I1125" s="79"/>
      <c r="J1125" s="70"/>
      <c r="K1125" s="57"/>
      <c r="L1125" s="11"/>
      <c r="M1125" s="41"/>
      <c r="N1125" s="11"/>
    </row>
    <row r="1126" spans="8:14" x14ac:dyDescent="0.25">
      <c r="H1126" s="37"/>
      <c r="I1126" s="79"/>
      <c r="J1126" s="70"/>
      <c r="K1126" s="57"/>
      <c r="L1126" s="11"/>
      <c r="M1126" s="41"/>
      <c r="N1126" s="11"/>
    </row>
    <row r="1127" spans="8:14" x14ac:dyDescent="0.25">
      <c r="H1127" s="37"/>
      <c r="I1127" s="79"/>
      <c r="J1127" s="70"/>
      <c r="K1127" s="57"/>
      <c r="L1127" s="11"/>
      <c r="M1127" s="41"/>
      <c r="N1127" s="11"/>
    </row>
    <row r="1128" spans="8:14" x14ac:dyDescent="0.25">
      <c r="H1128" s="37"/>
      <c r="I1128" s="79"/>
      <c r="J1128" s="70"/>
      <c r="K1128" s="57"/>
      <c r="L1128" s="11"/>
      <c r="M1128" s="41"/>
      <c r="N1128" s="11"/>
    </row>
    <row r="1129" spans="8:14" x14ac:dyDescent="0.25">
      <c r="H1129" s="37"/>
      <c r="I1129" s="79"/>
      <c r="J1129" s="70"/>
      <c r="K1129" s="57"/>
      <c r="L1129" s="11"/>
      <c r="M1129" s="41"/>
      <c r="N1129" s="11"/>
    </row>
    <row r="1130" spans="8:14" x14ac:dyDescent="0.25">
      <c r="H1130" s="37"/>
      <c r="I1130" s="79"/>
      <c r="J1130" s="70"/>
      <c r="K1130" s="57"/>
      <c r="L1130" s="11"/>
      <c r="M1130" s="41"/>
      <c r="N1130" s="11"/>
    </row>
    <row r="1131" spans="8:14" x14ac:dyDescent="0.25">
      <c r="H1131" s="37"/>
      <c r="I1131" s="79"/>
      <c r="J1131" s="70"/>
      <c r="K1131" s="57"/>
      <c r="L1131" s="11"/>
      <c r="M1131" s="41"/>
      <c r="N1131" s="11"/>
    </row>
    <row r="1132" spans="8:14" x14ac:dyDescent="0.25">
      <c r="H1132" s="37"/>
      <c r="I1132" s="79"/>
      <c r="J1132" s="70"/>
      <c r="K1132" s="57"/>
      <c r="L1132" s="11"/>
      <c r="M1132" s="41"/>
      <c r="N1132" s="11"/>
    </row>
    <row r="1133" spans="8:14" x14ac:dyDescent="0.25">
      <c r="H1133" s="37"/>
      <c r="I1133" s="79"/>
      <c r="J1133" s="70"/>
      <c r="K1133" s="57"/>
      <c r="L1133" s="11"/>
      <c r="M1133" s="41"/>
      <c r="N1133" s="11"/>
    </row>
    <row r="1134" spans="8:14" x14ac:dyDescent="0.25">
      <c r="H1134" s="37"/>
      <c r="I1134" s="79"/>
      <c r="J1134" s="70"/>
      <c r="K1134" s="57"/>
      <c r="L1134" s="11"/>
      <c r="M1134" s="41"/>
      <c r="N1134" s="11"/>
    </row>
    <row r="1135" spans="8:14" x14ac:dyDescent="0.25">
      <c r="H1135" s="37"/>
      <c r="I1135" s="79"/>
      <c r="J1135" s="70"/>
      <c r="K1135" s="57"/>
      <c r="L1135" s="11"/>
      <c r="M1135" s="41"/>
      <c r="N1135" s="11"/>
    </row>
    <row r="1136" spans="8:14" x14ac:dyDescent="0.25">
      <c r="H1136" s="37"/>
      <c r="I1136" s="79"/>
      <c r="J1136" s="70"/>
      <c r="K1136" s="57"/>
      <c r="L1136" s="11"/>
      <c r="M1136" s="41"/>
      <c r="N1136" s="11"/>
    </row>
    <row r="1137" spans="8:14" x14ac:dyDescent="0.25">
      <c r="H1137" s="37"/>
      <c r="I1137" s="79"/>
      <c r="J1137" s="70"/>
      <c r="K1137" s="57"/>
      <c r="L1137" s="11"/>
      <c r="M1137" s="41"/>
      <c r="N1137" s="11"/>
    </row>
    <row r="1138" spans="8:14" x14ac:dyDescent="0.25">
      <c r="H1138" s="37"/>
      <c r="I1138" s="79"/>
      <c r="J1138" s="70"/>
      <c r="K1138" s="57"/>
      <c r="L1138" s="11"/>
      <c r="M1138" s="41"/>
      <c r="N1138" s="11"/>
    </row>
    <row r="1139" spans="8:14" x14ac:dyDescent="0.25">
      <c r="H1139" s="37"/>
      <c r="I1139" s="79"/>
      <c r="J1139" s="70"/>
      <c r="K1139" s="57"/>
      <c r="L1139" s="11"/>
      <c r="M1139" s="41"/>
      <c r="N1139" s="11"/>
    </row>
    <row r="1140" spans="8:14" x14ac:dyDescent="0.25">
      <c r="H1140" s="37"/>
      <c r="I1140" s="79"/>
      <c r="J1140" s="70"/>
      <c r="K1140" s="57"/>
      <c r="L1140" s="11"/>
      <c r="M1140" s="41"/>
      <c r="N1140" s="11"/>
    </row>
    <row r="1141" spans="8:14" x14ac:dyDescent="0.25">
      <c r="H1141" s="37"/>
      <c r="I1141" s="79"/>
      <c r="J1141" s="70"/>
      <c r="K1141" s="57"/>
      <c r="L1141" s="11"/>
      <c r="M1141" s="41"/>
      <c r="N1141" s="11"/>
    </row>
    <row r="1142" spans="8:14" x14ac:dyDescent="0.25">
      <c r="H1142" s="37"/>
      <c r="I1142" s="79"/>
      <c r="J1142" s="70"/>
      <c r="K1142" s="57"/>
      <c r="L1142" s="11"/>
      <c r="M1142" s="41"/>
      <c r="N1142" s="11"/>
    </row>
    <row r="1143" spans="8:14" x14ac:dyDescent="0.25">
      <c r="H1143" s="37"/>
      <c r="I1143" s="79"/>
      <c r="J1143" s="70"/>
      <c r="K1143" s="57"/>
      <c r="L1143" s="11"/>
      <c r="M1143" s="41"/>
      <c r="N1143" s="11"/>
    </row>
    <row r="1144" spans="8:14" x14ac:dyDescent="0.25">
      <c r="H1144" s="37"/>
      <c r="I1144" s="79"/>
      <c r="J1144" s="70"/>
      <c r="K1144" s="57"/>
      <c r="L1144" s="11"/>
      <c r="M1144" s="41"/>
      <c r="N1144" s="11"/>
    </row>
    <row r="1145" spans="8:14" x14ac:dyDescent="0.25">
      <c r="H1145" s="37"/>
      <c r="I1145" s="79"/>
      <c r="J1145" s="70"/>
      <c r="K1145" s="57"/>
      <c r="L1145" s="11"/>
      <c r="M1145" s="41"/>
      <c r="N1145" s="11"/>
    </row>
    <row r="1146" spans="8:14" x14ac:dyDescent="0.25">
      <c r="H1146" s="37"/>
      <c r="I1146" s="79"/>
      <c r="J1146" s="70"/>
      <c r="K1146" s="57"/>
      <c r="L1146" s="11"/>
      <c r="M1146" s="41"/>
      <c r="N1146" s="11"/>
    </row>
    <row r="1147" spans="8:14" x14ac:dyDescent="0.25">
      <c r="H1147" s="37"/>
      <c r="I1147" s="79"/>
      <c r="J1147" s="70"/>
      <c r="K1147" s="57"/>
      <c r="L1147" s="11"/>
      <c r="M1147" s="41"/>
      <c r="N1147" s="11"/>
    </row>
    <row r="1148" spans="8:14" x14ac:dyDescent="0.25">
      <c r="H1148" s="37"/>
      <c r="I1148" s="79"/>
      <c r="J1148" s="70"/>
      <c r="K1148" s="57"/>
      <c r="L1148" s="11"/>
      <c r="M1148" s="41"/>
      <c r="N1148" s="11"/>
    </row>
    <row r="1149" spans="8:14" x14ac:dyDescent="0.25">
      <c r="H1149" s="37"/>
      <c r="I1149" s="79"/>
      <c r="J1149" s="70"/>
      <c r="K1149" s="57"/>
      <c r="L1149" s="11"/>
      <c r="M1149" s="41"/>
      <c r="N1149" s="11"/>
    </row>
    <row r="1150" spans="8:14" x14ac:dyDescent="0.25">
      <c r="H1150" s="37"/>
      <c r="I1150" s="79"/>
      <c r="J1150" s="70"/>
      <c r="K1150" s="57"/>
      <c r="L1150" s="11"/>
      <c r="M1150" s="41"/>
      <c r="N1150" s="11"/>
    </row>
    <row r="1151" spans="8:14" x14ac:dyDescent="0.25">
      <c r="H1151" s="37"/>
      <c r="I1151" s="79"/>
      <c r="J1151" s="70"/>
      <c r="K1151" s="57"/>
      <c r="L1151" s="11"/>
      <c r="M1151" s="41"/>
      <c r="N1151" s="11"/>
    </row>
    <row r="1152" spans="8:14" x14ac:dyDescent="0.25">
      <c r="H1152" s="37"/>
      <c r="I1152" s="79"/>
      <c r="J1152" s="70"/>
      <c r="K1152" s="57"/>
      <c r="L1152" s="11"/>
      <c r="M1152" s="41"/>
      <c r="N1152" s="11"/>
    </row>
    <row r="1153" spans="8:14" x14ac:dyDescent="0.25">
      <c r="H1153" s="37"/>
      <c r="I1153" s="79"/>
      <c r="J1153" s="70"/>
      <c r="K1153" s="57"/>
      <c r="L1153" s="11"/>
      <c r="M1153" s="41"/>
      <c r="N1153" s="11"/>
    </row>
    <row r="1154" spans="8:14" x14ac:dyDescent="0.25">
      <c r="H1154" s="37"/>
      <c r="I1154" s="79"/>
      <c r="J1154" s="70"/>
      <c r="K1154" s="57"/>
      <c r="L1154" s="11"/>
      <c r="M1154" s="41"/>
      <c r="N1154" s="11"/>
    </row>
    <row r="1155" spans="8:14" x14ac:dyDescent="0.25">
      <c r="H1155" s="37"/>
      <c r="I1155" s="79"/>
      <c r="J1155" s="70"/>
      <c r="K1155" s="57"/>
      <c r="L1155" s="11"/>
      <c r="M1155" s="41"/>
      <c r="N1155" s="11"/>
    </row>
    <row r="1156" spans="8:14" x14ac:dyDescent="0.25">
      <c r="H1156" s="37"/>
      <c r="I1156" s="79"/>
      <c r="J1156" s="70"/>
      <c r="K1156" s="57"/>
      <c r="L1156" s="11"/>
      <c r="M1156" s="41"/>
      <c r="N1156" s="11"/>
    </row>
    <row r="1157" spans="8:14" x14ac:dyDescent="0.25">
      <c r="H1157" s="37"/>
      <c r="I1157" s="79"/>
      <c r="J1157" s="70"/>
      <c r="K1157" s="57"/>
      <c r="L1157" s="11"/>
      <c r="M1157" s="41"/>
      <c r="N1157" s="11"/>
    </row>
    <row r="1158" spans="8:14" x14ac:dyDescent="0.25">
      <c r="H1158" s="37"/>
      <c r="I1158" s="79"/>
      <c r="J1158" s="70"/>
      <c r="K1158" s="57"/>
      <c r="L1158" s="11"/>
      <c r="M1158" s="41"/>
      <c r="N1158" s="11"/>
    </row>
    <row r="1159" spans="8:14" x14ac:dyDescent="0.25">
      <c r="H1159" s="37"/>
      <c r="I1159" s="79"/>
      <c r="J1159" s="70"/>
      <c r="K1159" s="57"/>
      <c r="L1159" s="11"/>
      <c r="M1159" s="41"/>
      <c r="N1159" s="11"/>
    </row>
    <row r="1160" spans="8:14" x14ac:dyDescent="0.25">
      <c r="H1160" s="37"/>
      <c r="I1160" s="79"/>
      <c r="J1160" s="70"/>
      <c r="K1160" s="57"/>
      <c r="L1160" s="11"/>
      <c r="M1160" s="41"/>
      <c r="N1160" s="11"/>
    </row>
    <row r="1161" spans="8:14" x14ac:dyDescent="0.25">
      <c r="H1161" s="37"/>
      <c r="I1161" s="79"/>
      <c r="J1161" s="70"/>
      <c r="K1161" s="57"/>
      <c r="L1161" s="11"/>
      <c r="M1161" s="41"/>
      <c r="N1161" s="11"/>
    </row>
    <row r="1162" spans="8:14" x14ac:dyDescent="0.25">
      <c r="H1162" s="37"/>
      <c r="I1162" s="79"/>
      <c r="J1162" s="70"/>
      <c r="K1162" s="57"/>
      <c r="L1162" s="11"/>
      <c r="M1162" s="41"/>
      <c r="N1162" s="11"/>
    </row>
    <row r="1163" spans="8:14" x14ac:dyDescent="0.25">
      <c r="H1163" s="37"/>
      <c r="I1163" s="79"/>
      <c r="J1163" s="70"/>
      <c r="K1163" s="57"/>
      <c r="L1163" s="11"/>
      <c r="M1163" s="41"/>
      <c r="N1163" s="11"/>
    </row>
    <row r="1164" spans="8:14" x14ac:dyDescent="0.25">
      <c r="H1164" s="37"/>
      <c r="I1164" s="79"/>
      <c r="J1164" s="70"/>
      <c r="K1164" s="57"/>
      <c r="L1164" s="11"/>
      <c r="M1164" s="41"/>
      <c r="N1164" s="11"/>
    </row>
    <row r="1165" spans="8:14" x14ac:dyDescent="0.25">
      <c r="H1165" s="37"/>
      <c r="I1165" s="79"/>
      <c r="J1165" s="70"/>
      <c r="K1165" s="57"/>
      <c r="L1165" s="11"/>
      <c r="M1165" s="41"/>
      <c r="N1165" s="11"/>
    </row>
    <row r="1166" spans="8:14" x14ac:dyDescent="0.25">
      <c r="H1166" s="37"/>
      <c r="I1166" s="79"/>
      <c r="J1166" s="70"/>
      <c r="K1166" s="57"/>
      <c r="L1166" s="11"/>
      <c r="M1166" s="41"/>
      <c r="N1166" s="11"/>
    </row>
    <row r="1167" spans="8:14" x14ac:dyDescent="0.25">
      <c r="H1167" s="37"/>
      <c r="I1167" s="79"/>
      <c r="J1167" s="70"/>
      <c r="K1167" s="57"/>
      <c r="L1167" s="11"/>
      <c r="M1167" s="41"/>
      <c r="N1167" s="11"/>
    </row>
    <row r="1168" spans="8:14" x14ac:dyDescent="0.25">
      <c r="H1168" s="37"/>
      <c r="I1168" s="79"/>
      <c r="J1168" s="70"/>
      <c r="K1168" s="57"/>
      <c r="L1168" s="11"/>
      <c r="M1168" s="41"/>
      <c r="N1168" s="11"/>
    </row>
    <row r="1169" spans="8:14" x14ac:dyDescent="0.25">
      <c r="H1169" s="37"/>
      <c r="I1169" s="79"/>
      <c r="J1169" s="70"/>
      <c r="K1169" s="57"/>
      <c r="L1169" s="11"/>
      <c r="M1169" s="41"/>
      <c r="N1169" s="11"/>
    </row>
    <row r="1170" spans="8:14" x14ac:dyDescent="0.25">
      <c r="H1170" s="37"/>
      <c r="I1170" s="79"/>
      <c r="J1170" s="70"/>
      <c r="K1170" s="57"/>
      <c r="L1170" s="11"/>
      <c r="M1170" s="41"/>
      <c r="N1170" s="11"/>
    </row>
    <row r="1171" spans="8:14" x14ac:dyDescent="0.25">
      <c r="H1171" s="37"/>
      <c r="I1171" s="79"/>
      <c r="J1171" s="70"/>
      <c r="K1171" s="57"/>
      <c r="L1171" s="11"/>
      <c r="M1171" s="41"/>
      <c r="N1171" s="11"/>
    </row>
    <row r="1172" spans="8:14" x14ac:dyDescent="0.25">
      <c r="H1172" s="37"/>
      <c r="I1172" s="79"/>
      <c r="J1172" s="70"/>
      <c r="K1172" s="57"/>
      <c r="L1172" s="11"/>
      <c r="M1172" s="41"/>
      <c r="N1172" s="11"/>
    </row>
    <row r="1173" spans="8:14" x14ac:dyDescent="0.25">
      <c r="H1173" s="37"/>
      <c r="I1173" s="79"/>
      <c r="J1173" s="70"/>
      <c r="K1173" s="57"/>
      <c r="L1173" s="11"/>
      <c r="M1173" s="41"/>
      <c r="N1173" s="11"/>
    </row>
    <row r="1174" spans="8:14" x14ac:dyDescent="0.25">
      <c r="H1174" s="37"/>
      <c r="I1174" s="79"/>
      <c r="J1174" s="70"/>
      <c r="K1174" s="57"/>
      <c r="L1174" s="11"/>
      <c r="M1174" s="41"/>
      <c r="N1174" s="11"/>
    </row>
    <row r="1175" spans="8:14" x14ac:dyDescent="0.25">
      <c r="H1175" s="37"/>
      <c r="I1175" s="79"/>
      <c r="J1175" s="70"/>
      <c r="K1175" s="57"/>
      <c r="L1175" s="11"/>
      <c r="M1175" s="41"/>
      <c r="N1175" s="11"/>
    </row>
    <row r="1176" spans="8:14" x14ac:dyDescent="0.25">
      <c r="H1176" s="37"/>
      <c r="I1176" s="79"/>
      <c r="J1176" s="70"/>
      <c r="K1176" s="57"/>
      <c r="L1176" s="11"/>
      <c r="M1176" s="41"/>
      <c r="N1176" s="11"/>
    </row>
    <row r="1177" spans="8:14" x14ac:dyDescent="0.25">
      <c r="H1177" s="37"/>
      <c r="I1177" s="79"/>
      <c r="J1177" s="70"/>
      <c r="K1177" s="57"/>
      <c r="L1177" s="11"/>
      <c r="M1177" s="41"/>
      <c r="N1177" s="11"/>
    </row>
    <row r="1178" spans="8:14" x14ac:dyDescent="0.25">
      <c r="H1178" s="37"/>
      <c r="I1178" s="79"/>
      <c r="J1178" s="70"/>
      <c r="K1178" s="57"/>
      <c r="L1178" s="11"/>
      <c r="M1178" s="41"/>
      <c r="N1178" s="11"/>
    </row>
    <row r="1179" spans="8:14" x14ac:dyDescent="0.25">
      <c r="H1179" s="37"/>
      <c r="I1179" s="79"/>
      <c r="J1179" s="70"/>
      <c r="K1179" s="57"/>
      <c r="L1179" s="11"/>
      <c r="M1179" s="41"/>
      <c r="N1179" s="11"/>
    </row>
    <row r="1180" spans="8:14" x14ac:dyDescent="0.25">
      <c r="H1180" s="37"/>
      <c r="I1180" s="79"/>
      <c r="J1180" s="70"/>
      <c r="K1180" s="57"/>
      <c r="L1180" s="11"/>
      <c r="M1180" s="41"/>
      <c r="N1180" s="11"/>
    </row>
    <row r="1181" spans="8:14" x14ac:dyDescent="0.25">
      <c r="H1181" s="37"/>
      <c r="I1181" s="79"/>
      <c r="J1181" s="70"/>
      <c r="K1181" s="57"/>
      <c r="L1181" s="11"/>
      <c r="M1181" s="41"/>
      <c r="N1181" s="11"/>
    </row>
    <row r="1182" spans="8:14" x14ac:dyDescent="0.25">
      <c r="H1182" s="37"/>
      <c r="I1182" s="79"/>
      <c r="J1182" s="70"/>
      <c r="K1182" s="57"/>
      <c r="L1182" s="11"/>
      <c r="M1182" s="41"/>
      <c r="N1182" s="11"/>
    </row>
    <row r="1183" spans="8:14" x14ac:dyDescent="0.25">
      <c r="H1183" s="37"/>
      <c r="I1183" s="79"/>
      <c r="J1183" s="70"/>
      <c r="K1183" s="57"/>
      <c r="L1183" s="11"/>
      <c r="M1183" s="41"/>
      <c r="N1183" s="11"/>
    </row>
    <row r="1184" spans="8:14" x14ac:dyDescent="0.25">
      <c r="H1184" s="37"/>
      <c r="I1184" s="79"/>
      <c r="J1184" s="70"/>
      <c r="K1184" s="57"/>
      <c r="L1184" s="11"/>
      <c r="M1184" s="41"/>
      <c r="N1184" s="11"/>
    </row>
    <row r="1185" spans="8:14" x14ac:dyDescent="0.25">
      <c r="H1185" s="37"/>
      <c r="I1185" s="79"/>
      <c r="J1185" s="70"/>
      <c r="K1185" s="57"/>
      <c r="L1185" s="11"/>
      <c r="M1185" s="41"/>
      <c r="N1185" s="11"/>
    </row>
    <row r="1186" spans="8:14" x14ac:dyDescent="0.25">
      <c r="H1186" s="37"/>
      <c r="I1186" s="79"/>
      <c r="J1186" s="70"/>
      <c r="K1186" s="57"/>
      <c r="L1186" s="11"/>
      <c r="M1186" s="41"/>
      <c r="N1186" s="11"/>
    </row>
    <row r="1187" spans="8:14" x14ac:dyDescent="0.25">
      <c r="H1187" s="37"/>
      <c r="I1187" s="79"/>
      <c r="J1187" s="70"/>
      <c r="K1187" s="57"/>
      <c r="L1187" s="11"/>
      <c r="M1187" s="41"/>
      <c r="N1187" s="11"/>
    </row>
    <row r="1188" spans="8:14" x14ac:dyDescent="0.25">
      <c r="H1188" s="37"/>
      <c r="I1188" s="79"/>
      <c r="J1188" s="70"/>
      <c r="K1188" s="57"/>
      <c r="L1188" s="11"/>
      <c r="M1188" s="41"/>
      <c r="N1188" s="11"/>
    </row>
    <row r="1189" spans="8:14" x14ac:dyDescent="0.25">
      <c r="H1189" s="37"/>
      <c r="I1189" s="79"/>
      <c r="J1189" s="70"/>
      <c r="K1189" s="57"/>
      <c r="L1189" s="11"/>
      <c r="M1189" s="41"/>
      <c r="N1189" s="11"/>
    </row>
    <row r="1190" spans="8:14" x14ac:dyDescent="0.25">
      <c r="H1190" s="37"/>
      <c r="I1190" s="79"/>
      <c r="J1190" s="70"/>
      <c r="K1190" s="57"/>
      <c r="L1190" s="11"/>
      <c r="M1190" s="41"/>
      <c r="N1190" s="11"/>
    </row>
    <row r="1191" spans="8:14" x14ac:dyDescent="0.25">
      <c r="H1191" s="37"/>
      <c r="I1191" s="79"/>
      <c r="J1191" s="70"/>
      <c r="K1191" s="57"/>
      <c r="L1191" s="11"/>
      <c r="M1191" s="41"/>
      <c r="N1191" s="11"/>
    </row>
    <row r="1192" spans="8:14" x14ac:dyDescent="0.25">
      <c r="H1192" s="37"/>
      <c r="I1192" s="79"/>
      <c r="J1192" s="70"/>
      <c r="K1192" s="57"/>
      <c r="L1192" s="11"/>
      <c r="M1192" s="41"/>
      <c r="N1192" s="11"/>
    </row>
    <row r="1193" spans="8:14" x14ac:dyDescent="0.25">
      <c r="H1193" s="37"/>
      <c r="I1193" s="79"/>
      <c r="J1193" s="70"/>
      <c r="K1193" s="57"/>
      <c r="L1193" s="11"/>
      <c r="M1193" s="41"/>
      <c r="N1193" s="11"/>
    </row>
    <row r="1194" spans="8:14" x14ac:dyDescent="0.25">
      <c r="H1194" s="37"/>
      <c r="I1194" s="79"/>
      <c r="J1194" s="70"/>
      <c r="K1194" s="57"/>
      <c r="L1194" s="11"/>
      <c r="M1194" s="41"/>
      <c r="N1194" s="11"/>
    </row>
    <row r="1195" spans="8:14" x14ac:dyDescent="0.25">
      <c r="H1195" s="37"/>
      <c r="I1195" s="79"/>
      <c r="J1195" s="70"/>
      <c r="K1195" s="57"/>
      <c r="L1195" s="11"/>
      <c r="M1195" s="41"/>
      <c r="N1195" s="11"/>
    </row>
    <row r="1196" spans="8:14" x14ac:dyDescent="0.25">
      <c r="H1196" s="37"/>
      <c r="I1196" s="79"/>
      <c r="J1196" s="70"/>
      <c r="K1196" s="57"/>
      <c r="L1196" s="11"/>
      <c r="M1196" s="41"/>
      <c r="N1196" s="11"/>
    </row>
    <row r="1197" spans="8:14" x14ac:dyDescent="0.25">
      <c r="H1197" s="37"/>
      <c r="I1197" s="79"/>
      <c r="J1197" s="70"/>
      <c r="K1197" s="57"/>
      <c r="L1197" s="11"/>
      <c r="M1197" s="41"/>
      <c r="N1197" s="11"/>
    </row>
    <row r="1198" spans="8:14" x14ac:dyDescent="0.25">
      <c r="H1198" s="37"/>
      <c r="I1198" s="79"/>
      <c r="J1198" s="70"/>
      <c r="K1198" s="57"/>
      <c r="L1198" s="11"/>
      <c r="M1198" s="41"/>
      <c r="N1198" s="11"/>
    </row>
    <row r="1199" spans="8:14" x14ac:dyDescent="0.25">
      <c r="H1199" s="37"/>
      <c r="I1199" s="79"/>
      <c r="J1199" s="70"/>
      <c r="K1199" s="57"/>
      <c r="L1199" s="11"/>
      <c r="M1199" s="41"/>
      <c r="N1199" s="11"/>
    </row>
    <row r="1200" spans="8:14" x14ac:dyDescent="0.25">
      <c r="H1200" s="37"/>
      <c r="I1200" s="79"/>
      <c r="J1200" s="70"/>
      <c r="K1200" s="57"/>
      <c r="L1200" s="11"/>
      <c r="M1200" s="41"/>
      <c r="N1200" s="11"/>
    </row>
    <row r="1201" spans="8:14" x14ac:dyDescent="0.25">
      <c r="H1201" s="37"/>
      <c r="I1201" s="79"/>
      <c r="J1201" s="70"/>
      <c r="K1201" s="57"/>
      <c r="L1201" s="11"/>
      <c r="M1201" s="41"/>
      <c r="N1201" s="11"/>
    </row>
    <row r="1202" spans="8:14" x14ac:dyDescent="0.25">
      <c r="H1202" s="37"/>
      <c r="I1202" s="79"/>
      <c r="J1202" s="70"/>
      <c r="K1202" s="57"/>
      <c r="L1202" s="11"/>
      <c r="M1202" s="41"/>
      <c r="N1202" s="11"/>
    </row>
    <row r="1203" spans="8:14" x14ac:dyDescent="0.25">
      <c r="H1203" s="37"/>
      <c r="I1203" s="79"/>
      <c r="J1203" s="70"/>
      <c r="K1203" s="57"/>
      <c r="L1203" s="11"/>
      <c r="M1203" s="41"/>
      <c r="N1203" s="11"/>
    </row>
    <row r="1204" spans="8:14" x14ac:dyDescent="0.25">
      <c r="H1204" s="37"/>
      <c r="I1204" s="79"/>
      <c r="J1204" s="70"/>
      <c r="K1204" s="57"/>
      <c r="L1204" s="11"/>
      <c r="M1204" s="41"/>
      <c r="N1204" s="11"/>
    </row>
    <row r="1205" spans="8:14" x14ac:dyDescent="0.25">
      <c r="H1205" s="37"/>
      <c r="I1205" s="79"/>
      <c r="J1205" s="70"/>
      <c r="K1205" s="57"/>
      <c r="L1205" s="11"/>
      <c r="M1205" s="41"/>
      <c r="N1205" s="11"/>
    </row>
    <row r="1206" spans="8:14" x14ac:dyDescent="0.25">
      <c r="H1206" s="37"/>
      <c r="I1206" s="79"/>
      <c r="J1206" s="70"/>
      <c r="K1206" s="57"/>
      <c r="L1206" s="11"/>
      <c r="M1206" s="41"/>
      <c r="N1206" s="11"/>
    </row>
    <row r="1207" spans="8:14" x14ac:dyDescent="0.25">
      <c r="H1207" s="37"/>
      <c r="I1207" s="79"/>
      <c r="J1207" s="70"/>
      <c r="K1207" s="57"/>
      <c r="L1207" s="11"/>
      <c r="M1207" s="41"/>
      <c r="N1207" s="11"/>
    </row>
    <row r="1208" spans="8:14" x14ac:dyDescent="0.25">
      <c r="H1208" s="37"/>
      <c r="I1208" s="79"/>
      <c r="J1208" s="70"/>
      <c r="K1208" s="57"/>
      <c r="L1208" s="11"/>
      <c r="M1208" s="41"/>
      <c r="N1208" s="11"/>
    </row>
    <row r="1209" spans="8:14" x14ac:dyDescent="0.25">
      <c r="H1209" s="37"/>
      <c r="I1209" s="79"/>
      <c r="J1209" s="70"/>
      <c r="K1209" s="57"/>
      <c r="L1209" s="11"/>
      <c r="M1209" s="41"/>
      <c r="N1209" s="11"/>
    </row>
    <row r="1210" spans="8:14" x14ac:dyDescent="0.25">
      <c r="H1210" s="37"/>
      <c r="I1210" s="79"/>
      <c r="J1210" s="70"/>
      <c r="K1210" s="57"/>
      <c r="L1210" s="11"/>
      <c r="M1210" s="41"/>
      <c r="N1210" s="11"/>
    </row>
    <row r="1211" spans="8:14" x14ac:dyDescent="0.25">
      <c r="H1211" s="37"/>
      <c r="I1211" s="79"/>
      <c r="J1211" s="70"/>
      <c r="K1211" s="57"/>
      <c r="L1211" s="11"/>
      <c r="M1211" s="41"/>
      <c r="N1211" s="11"/>
    </row>
    <row r="1212" spans="8:14" x14ac:dyDescent="0.25">
      <c r="H1212" s="37"/>
      <c r="I1212" s="79"/>
      <c r="J1212" s="70"/>
      <c r="K1212" s="57"/>
      <c r="L1212" s="11"/>
      <c r="M1212" s="41"/>
      <c r="N1212" s="11"/>
    </row>
    <row r="1213" spans="8:14" x14ac:dyDescent="0.25">
      <c r="H1213" s="37"/>
      <c r="I1213" s="79"/>
      <c r="J1213" s="70"/>
      <c r="K1213" s="57"/>
      <c r="L1213" s="11"/>
      <c r="M1213" s="41"/>
      <c r="N1213" s="11"/>
    </row>
    <row r="1214" spans="8:14" x14ac:dyDescent="0.25">
      <c r="H1214" s="37"/>
      <c r="I1214" s="79"/>
      <c r="J1214" s="70"/>
      <c r="K1214" s="57"/>
      <c r="L1214" s="11"/>
      <c r="M1214" s="41"/>
      <c r="N1214" s="11"/>
    </row>
    <row r="1215" spans="8:14" x14ac:dyDescent="0.25">
      <c r="H1215" s="37"/>
      <c r="I1215" s="79"/>
      <c r="J1215" s="70"/>
      <c r="K1215" s="57"/>
      <c r="L1215" s="11"/>
      <c r="M1215" s="41"/>
      <c r="N1215" s="11"/>
    </row>
    <row r="1216" spans="8:14" x14ac:dyDescent="0.25">
      <c r="H1216" s="37"/>
      <c r="I1216" s="79"/>
      <c r="J1216" s="70"/>
      <c r="K1216" s="57"/>
      <c r="L1216" s="11"/>
      <c r="M1216" s="41"/>
      <c r="N1216" s="11"/>
    </row>
    <row r="1217" spans="8:14" x14ac:dyDescent="0.25">
      <c r="H1217" s="37"/>
      <c r="I1217" s="79"/>
      <c r="J1217" s="70"/>
      <c r="K1217" s="57"/>
      <c r="L1217" s="11"/>
      <c r="M1217" s="41"/>
      <c r="N1217" s="11"/>
    </row>
    <row r="1218" spans="8:14" x14ac:dyDescent="0.25">
      <c r="H1218" s="37"/>
      <c r="I1218" s="79"/>
      <c r="J1218" s="70"/>
      <c r="K1218" s="57"/>
      <c r="L1218" s="11"/>
      <c r="M1218" s="41"/>
      <c r="N1218" s="11"/>
    </row>
    <row r="1219" spans="8:14" x14ac:dyDescent="0.25">
      <c r="H1219" s="37"/>
      <c r="I1219" s="79"/>
      <c r="J1219" s="70"/>
      <c r="K1219" s="57"/>
      <c r="L1219" s="11"/>
      <c r="M1219" s="41"/>
      <c r="N1219" s="11"/>
    </row>
    <row r="1220" spans="8:14" x14ac:dyDescent="0.25">
      <c r="H1220" s="37"/>
      <c r="I1220" s="79"/>
      <c r="J1220" s="70"/>
      <c r="K1220" s="57"/>
      <c r="L1220" s="11"/>
      <c r="M1220" s="41"/>
      <c r="N1220" s="11"/>
    </row>
    <row r="1221" spans="8:14" x14ac:dyDescent="0.25">
      <c r="H1221" s="37"/>
      <c r="I1221" s="79"/>
      <c r="J1221" s="70"/>
      <c r="K1221" s="57"/>
      <c r="L1221" s="11"/>
      <c r="M1221" s="41"/>
      <c r="N1221" s="11"/>
    </row>
    <row r="1222" spans="8:14" x14ac:dyDescent="0.25">
      <c r="H1222" s="37"/>
      <c r="I1222" s="79"/>
      <c r="J1222" s="70"/>
      <c r="K1222" s="57"/>
      <c r="L1222" s="11"/>
      <c r="M1222" s="41"/>
      <c r="N1222" s="11"/>
    </row>
    <row r="1223" spans="8:14" x14ac:dyDescent="0.25">
      <c r="H1223" s="37"/>
      <c r="I1223" s="79"/>
      <c r="J1223" s="70"/>
      <c r="K1223" s="57"/>
      <c r="L1223" s="11"/>
      <c r="M1223" s="41"/>
      <c r="N1223" s="11"/>
    </row>
    <row r="1224" spans="8:14" x14ac:dyDescent="0.25">
      <c r="H1224" s="37"/>
      <c r="I1224" s="79"/>
      <c r="J1224" s="70"/>
      <c r="K1224" s="57"/>
      <c r="L1224" s="11"/>
      <c r="M1224" s="41"/>
      <c r="N1224" s="11"/>
    </row>
    <row r="1225" spans="8:14" x14ac:dyDescent="0.25">
      <c r="H1225" s="37"/>
      <c r="I1225" s="79"/>
      <c r="J1225" s="70"/>
      <c r="K1225" s="57"/>
      <c r="L1225" s="11"/>
      <c r="M1225" s="41"/>
      <c r="N1225" s="11"/>
    </row>
    <row r="1226" spans="8:14" x14ac:dyDescent="0.25">
      <c r="H1226" s="37"/>
      <c r="I1226" s="79"/>
      <c r="J1226" s="70"/>
      <c r="K1226" s="57"/>
      <c r="L1226" s="11"/>
      <c r="M1226" s="41"/>
      <c r="N1226" s="11"/>
    </row>
    <row r="1227" spans="8:14" x14ac:dyDescent="0.25">
      <c r="H1227" s="37"/>
      <c r="I1227" s="79"/>
      <c r="J1227" s="70"/>
      <c r="K1227" s="57"/>
      <c r="L1227" s="11"/>
      <c r="M1227" s="41"/>
      <c r="N1227" s="11"/>
    </row>
    <row r="1228" spans="8:14" x14ac:dyDescent="0.25">
      <c r="H1228" s="37"/>
      <c r="I1228" s="79"/>
      <c r="J1228" s="70"/>
      <c r="K1228" s="57"/>
      <c r="L1228" s="11"/>
      <c r="M1228" s="41"/>
      <c r="N1228" s="11"/>
    </row>
    <row r="1229" spans="8:14" x14ac:dyDescent="0.25">
      <c r="H1229" s="37"/>
      <c r="I1229" s="79"/>
      <c r="J1229" s="70"/>
      <c r="K1229" s="57"/>
      <c r="L1229" s="11"/>
      <c r="M1229" s="41"/>
      <c r="N1229" s="11"/>
    </row>
    <row r="1230" spans="8:14" x14ac:dyDescent="0.25">
      <c r="H1230" s="37"/>
      <c r="I1230" s="79"/>
      <c r="J1230" s="70"/>
      <c r="K1230" s="57"/>
      <c r="L1230" s="11"/>
      <c r="M1230" s="41"/>
      <c r="N1230" s="11"/>
    </row>
    <row r="1231" spans="8:14" x14ac:dyDescent="0.25">
      <c r="H1231" s="37"/>
      <c r="I1231" s="79"/>
      <c r="J1231" s="70"/>
      <c r="K1231" s="57"/>
      <c r="L1231" s="11"/>
      <c r="M1231" s="41"/>
      <c r="N1231" s="11"/>
    </row>
    <row r="1232" spans="8:14" x14ac:dyDescent="0.25">
      <c r="H1232" s="37"/>
      <c r="I1232" s="79"/>
      <c r="J1232" s="70"/>
      <c r="K1232" s="57"/>
      <c r="L1232" s="11"/>
      <c r="M1232" s="41"/>
      <c r="N1232" s="11"/>
    </row>
    <row r="1233" spans="8:14" x14ac:dyDescent="0.25">
      <c r="H1233" s="37"/>
      <c r="I1233" s="79"/>
      <c r="J1233" s="70"/>
      <c r="K1233" s="57"/>
      <c r="L1233" s="11"/>
      <c r="M1233" s="41"/>
      <c r="N1233" s="11"/>
    </row>
    <row r="1234" spans="8:14" x14ac:dyDescent="0.25">
      <c r="H1234" s="37"/>
      <c r="I1234" s="79"/>
      <c r="J1234" s="70"/>
      <c r="K1234" s="57"/>
      <c r="L1234" s="11"/>
      <c r="M1234" s="41"/>
      <c r="N1234" s="11"/>
    </row>
    <row r="1235" spans="8:14" x14ac:dyDescent="0.25">
      <c r="H1235" s="37"/>
      <c r="I1235" s="79"/>
      <c r="J1235" s="70"/>
      <c r="K1235" s="57"/>
      <c r="L1235" s="11"/>
      <c r="M1235" s="41"/>
      <c r="N1235" s="11"/>
    </row>
    <row r="1236" spans="8:14" x14ac:dyDescent="0.25">
      <c r="H1236" s="37"/>
      <c r="I1236" s="79"/>
      <c r="J1236" s="70"/>
      <c r="K1236" s="57"/>
      <c r="L1236" s="11"/>
      <c r="M1236" s="41"/>
      <c r="N1236" s="11"/>
    </row>
    <row r="1237" spans="8:14" x14ac:dyDescent="0.25">
      <c r="H1237" s="37"/>
      <c r="I1237" s="79"/>
      <c r="J1237" s="70"/>
      <c r="K1237" s="57"/>
      <c r="L1237" s="11"/>
      <c r="M1237" s="41"/>
      <c r="N1237" s="11"/>
    </row>
    <row r="1238" spans="8:14" x14ac:dyDescent="0.25">
      <c r="H1238" s="37"/>
      <c r="I1238" s="79"/>
      <c r="J1238" s="70"/>
      <c r="K1238" s="57"/>
      <c r="L1238" s="11"/>
      <c r="M1238" s="41"/>
      <c r="N1238" s="11"/>
    </row>
    <row r="1239" spans="8:14" x14ac:dyDescent="0.25">
      <c r="H1239" s="37"/>
      <c r="I1239" s="79"/>
      <c r="J1239" s="70"/>
      <c r="K1239" s="57"/>
      <c r="L1239" s="11"/>
      <c r="M1239" s="41"/>
      <c r="N1239" s="11"/>
    </row>
    <row r="1240" spans="8:14" x14ac:dyDescent="0.25">
      <c r="H1240" s="37"/>
      <c r="I1240" s="79"/>
      <c r="J1240" s="70"/>
      <c r="K1240" s="57"/>
      <c r="L1240" s="11"/>
      <c r="M1240" s="41"/>
      <c r="N1240" s="11"/>
    </row>
    <row r="1241" spans="8:14" x14ac:dyDescent="0.25">
      <c r="H1241" s="37"/>
      <c r="I1241" s="79"/>
      <c r="J1241" s="70"/>
      <c r="K1241" s="57"/>
      <c r="L1241" s="11"/>
      <c r="M1241" s="41"/>
      <c r="N1241" s="11"/>
    </row>
    <row r="1242" spans="8:14" x14ac:dyDescent="0.25">
      <c r="H1242" s="37"/>
      <c r="I1242" s="79"/>
      <c r="J1242" s="70"/>
      <c r="K1242" s="57"/>
      <c r="L1242" s="11"/>
      <c r="M1242" s="41"/>
      <c r="N1242" s="11"/>
    </row>
    <row r="1243" spans="8:14" x14ac:dyDescent="0.25">
      <c r="H1243" s="37"/>
      <c r="I1243" s="79"/>
      <c r="J1243" s="70"/>
      <c r="K1243" s="57"/>
      <c r="L1243" s="11"/>
      <c r="M1243" s="41"/>
      <c r="N1243" s="11"/>
    </row>
    <row r="1244" spans="8:14" x14ac:dyDescent="0.25">
      <c r="H1244" s="37"/>
      <c r="I1244" s="79"/>
      <c r="J1244" s="70"/>
      <c r="K1244" s="57"/>
      <c r="L1244" s="11"/>
      <c r="M1244" s="41"/>
      <c r="N1244" s="11"/>
    </row>
    <row r="1245" spans="8:14" x14ac:dyDescent="0.25">
      <c r="H1245" s="37"/>
      <c r="I1245" s="79"/>
      <c r="J1245" s="70"/>
      <c r="K1245" s="57"/>
      <c r="L1245" s="11"/>
      <c r="M1245" s="41"/>
      <c r="N1245" s="11"/>
    </row>
    <row r="1246" spans="8:14" x14ac:dyDescent="0.25">
      <c r="H1246" s="37"/>
      <c r="I1246" s="79"/>
      <c r="J1246" s="70"/>
      <c r="K1246" s="57"/>
      <c r="L1246" s="11"/>
      <c r="M1246" s="41"/>
      <c r="N1246" s="11"/>
    </row>
    <row r="1247" spans="8:14" x14ac:dyDescent="0.25">
      <c r="H1247" s="37"/>
      <c r="I1247" s="79"/>
      <c r="J1247" s="70"/>
      <c r="K1247" s="57"/>
      <c r="L1247" s="11"/>
      <c r="M1247" s="41"/>
      <c r="N1247" s="11"/>
    </row>
    <row r="1248" spans="8:14" x14ac:dyDescent="0.25">
      <c r="H1248" s="37"/>
      <c r="I1248" s="79"/>
      <c r="J1248" s="70"/>
      <c r="K1248" s="57"/>
      <c r="L1248" s="11"/>
      <c r="M1248" s="41"/>
      <c r="N1248" s="11"/>
    </row>
    <row r="1249" spans="8:14" x14ac:dyDescent="0.25">
      <c r="H1249" s="37"/>
      <c r="I1249" s="79"/>
      <c r="J1249" s="70"/>
      <c r="K1249" s="57"/>
      <c r="L1249" s="11"/>
      <c r="M1249" s="41"/>
      <c r="N1249" s="11"/>
    </row>
    <row r="1250" spans="8:14" x14ac:dyDescent="0.25">
      <c r="H1250" s="37"/>
      <c r="I1250" s="79"/>
      <c r="J1250" s="70"/>
      <c r="K1250" s="57"/>
      <c r="L1250" s="11"/>
      <c r="M1250" s="41"/>
      <c r="N1250" s="11"/>
    </row>
    <row r="1251" spans="8:14" x14ac:dyDescent="0.25">
      <c r="H1251" s="37"/>
      <c r="I1251" s="79"/>
      <c r="J1251" s="70"/>
      <c r="K1251" s="57"/>
      <c r="L1251" s="11"/>
      <c r="M1251" s="41"/>
      <c r="N1251" s="11"/>
    </row>
    <row r="1252" spans="8:14" x14ac:dyDescent="0.25">
      <c r="H1252" s="37"/>
      <c r="I1252" s="79"/>
      <c r="J1252" s="70"/>
      <c r="K1252" s="57"/>
      <c r="L1252" s="11"/>
      <c r="M1252" s="41"/>
      <c r="N1252" s="11"/>
    </row>
    <row r="1253" spans="8:14" x14ac:dyDescent="0.25">
      <c r="H1253" s="37"/>
      <c r="I1253" s="79"/>
      <c r="J1253" s="70"/>
      <c r="K1253" s="57"/>
      <c r="L1253" s="11"/>
      <c r="M1253" s="41"/>
      <c r="N1253" s="11"/>
    </row>
    <row r="1254" spans="8:14" x14ac:dyDescent="0.25">
      <c r="H1254" s="37"/>
      <c r="I1254" s="79"/>
      <c r="J1254" s="70"/>
      <c r="K1254" s="57"/>
      <c r="L1254" s="11"/>
      <c r="M1254" s="41"/>
      <c r="N1254" s="11"/>
    </row>
    <row r="1255" spans="8:14" x14ac:dyDescent="0.25">
      <c r="H1255" s="37"/>
      <c r="I1255" s="79"/>
      <c r="J1255" s="70"/>
      <c r="K1255" s="57"/>
      <c r="L1255" s="11"/>
      <c r="M1255" s="41"/>
      <c r="N1255" s="11"/>
    </row>
    <row r="1256" spans="8:14" x14ac:dyDescent="0.25">
      <c r="H1256" s="37"/>
      <c r="I1256" s="79"/>
      <c r="J1256" s="70"/>
      <c r="K1256" s="57"/>
      <c r="L1256" s="11"/>
      <c r="M1256" s="41"/>
      <c r="N1256" s="11"/>
    </row>
    <row r="1257" spans="8:14" x14ac:dyDescent="0.25">
      <c r="H1257" s="37"/>
      <c r="I1257" s="79"/>
      <c r="J1257" s="70"/>
      <c r="K1257" s="57"/>
      <c r="L1257" s="11"/>
      <c r="M1257" s="41"/>
      <c r="N1257" s="11"/>
    </row>
    <row r="1258" spans="8:14" x14ac:dyDescent="0.25">
      <c r="H1258" s="37"/>
      <c r="I1258" s="79"/>
      <c r="J1258" s="70"/>
      <c r="K1258" s="57"/>
      <c r="L1258" s="11"/>
      <c r="M1258" s="41"/>
      <c r="N1258" s="11"/>
    </row>
    <row r="1259" spans="8:14" x14ac:dyDescent="0.25">
      <c r="H1259" s="37"/>
      <c r="I1259" s="79"/>
      <c r="J1259" s="70"/>
      <c r="K1259" s="57"/>
      <c r="L1259" s="11"/>
      <c r="M1259" s="41"/>
      <c r="N1259" s="11"/>
    </row>
    <row r="1260" spans="8:14" x14ac:dyDescent="0.25">
      <c r="H1260" s="37"/>
      <c r="I1260" s="79"/>
      <c r="J1260" s="70"/>
      <c r="K1260" s="57"/>
      <c r="L1260" s="11"/>
      <c r="M1260" s="41"/>
      <c r="N1260" s="11"/>
    </row>
    <row r="1261" spans="8:14" x14ac:dyDescent="0.25">
      <c r="H1261" s="37"/>
      <c r="I1261" s="79"/>
      <c r="J1261" s="70"/>
      <c r="K1261" s="57"/>
      <c r="L1261" s="11"/>
      <c r="M1261" s="41"/>
      <c r="N1261" s="11"/>
    </row>
    <row r="1262" spans="8:14" x14ac:dyDescent="0.25">
      <c r="H1262" s="37"/>
      <c r="I1262" s="79"/>
      <c r="J1262" s="70"/>
      <c r="K1262" s="57"/>
      <c r="L1262" s="11"/>
      <c r="M1262" s="41"/>
      <c r="N1262" s="11"/>
    </row>
    <row r="1263" spans="8:14" x14ac:dyDescent="0.25">
      <c r="H1263" s="37"/>
      <c r="I1263" s="79"/>
      <c r="J1263" s="70"/>
      <c r="K1263" s="57"/>
      <c r="L1263" s="11"/>
      <c r="M1263" s="41"/>
      <c r="N1263" s="11"/>
    </row>
    <row r="1264" spans="8:14" x14ac:dyDescent="0.25">
      <c r="H1264" s="37"/>
      <c r="I1264" s="79"/>
      <c r="J1264" s="70"/>
      <c r="K1264" s="57"/>
      <c r="L1264" s="11"/>
      <c r="M1264" s="41"/>
      <c r="N1264" s="11"/>
    </row>
    <row r="1265" spans="8:14" x14ac:dyDescent="0.25">
      <c r="H1265" s="37"/>
      <c r="I1265" s="79"/>
      <c r="J1265" s="70"/>
      <c r="K1265" s="57"/>
      <c r="L1265" s="11"/>
      <c r="M1265" s="41"/>
      <c r="N1265" s="11"/>
    </row>
    <row r="1266" spans="8:14" x14ac:dyDescent="0.25">
      <c r="H1266" s="37"/>
      <c r="I1266" s="79"/>
      <c r="J1266" s="70"/>
      <c r="K1266" s="57"/>
      <c r="L1266" s="11"/>
      <c r="M1266" s="41"/>
      <c r="N1266" s="11"/>
    </row>
    <row r="1267" spans="8:14" x14ac:dyDescent="0.25">
      <c r="H1267" s="37"/>
      <c r="I1267" s="79"/>
      <c r="J1267" s="70"/>
      <c r="K1267" s="57"/>
      <c r="L1267" s="11"/>
      <c r="M1267" s="41"/>
      <c r="N1267" s="11"/>
    </row>
    <row r="1268" spans="8:14" x14ac:dyDescent="0.25">
      <c r="H1268" s="37"/>
      <c r="I1268" s="79"/>
      <c r="J1268" s="70"/>
      <c r="K1268" s="57"/>
      <c r="L1268" s="11"/>
      <c r="M1268" s="41"/>
      <c r="N1268" s="11"/>
    </row>
    <row r="1269" spans="8:14" x14ac:dyDescent="0.25">
      <c r="H1269" s="37"/>
      <c r="I1269" s="79"/>
      <c r="J1269" s="70"/>
      <c r="K1269" s="57"/>
      <c r="L1269" s="11"/>
      <c r="M1269" s="41"/>
      <c r="N1269" s="11"/>
    </row>
    <row r="1270" spans="8:14" x14ac:dyDescent="0.25">
      <c r="H1270" s="37"/>
      <c r="I1270" s="79"/>
      <c r="J1270" s="70"/>
      <c r="K1270" s="57"/>
      <c r="L1270" s="11"/>
      <c r="M1270" s="41"/>
      <c r="N1270" s="11"/>
    </row>
    <row r="1271" spans="8:14" x14ac:dyDescent="0.25">
      <c r="H1271" s="37"/>
      <c r="I1271" s="79"/>
      <c r="J1271" s="70"/>
      <c r="K1271" s="57"/>
      <c r="L1271" s="11"/>
      <c r="M1271" s="41"/>
      <c r="N1271" s="11"/>
    </row>
    <row r="1272" spans="8:14" x14ac:dyDescent="0.25">
      <c r="H1272" s="37"/>
      <c r="I1272" s="79"/>
      <c r="J1272" s="70"/>
      <c r="K1272" s="57"/>
      <c r="L1272" s="11"/>
      <c r="M1272" s="41"/>
      <c r="N1272" s="11"/>
    </row>
    <row r="1273" spans="8:14" x14ac:dyDescent="0.25">
      <c r="H1273" s="37"/>
      <c r="I1273" s="79"/>
      <c r="J1273" s="70"/>
      <c r="K1273" s="57"/>
      <c r="L1273" s="11"/>
      <c r="M1273" s="41"/>
      <c r="N1273" s="11"/>
    </row>
    <row r="1274" spans="8:14" x14ac:dyDescent="0.25">
      <c r="H1274" s="37"/>
      <c r="I1274" s="79"/>
      <c r="J1274" s="70"/>
      <c r="K1274" s="57"/>
      <c r="L1274" s="11"/>
      <c r="M1274" s="41"/>
      <c r="N1274" s="11"/>
    </row>
    <row r="1275" spans="8:14" x14ac:dyDescent="0.25">
      <c r="H1275" s="37"/>
      <c r="I1275" s="79"/>
      <c r="J1275" s="70"/>
      <c r="K1275" s="57"/>
      <c r="L1275" s="11"/>
      <c r="M1275" s="41"/>
      <c r="N1275" s="11"/>
    </row>
    <row r="1276" spans="8:14" x14ac:dyDescent="0.25">
      <c r="H1276" s="37"/>
      <c r="I1276" s="79"/>
      <c r="J1276" s="70"/>
      <c r="K1276" s="57"/>
      <c r="L1276" s="11"/>
      <c r="M1276" s="41"/>
      <c r="N1276" s="11"/>
    </row>
    <row r="1277" spans="8:14" x14ac:dyDescent="0.25">
      <c r="H1277" s="37"/>
      <c r="I1277" s="79"/>
      <c r="J1277" s="70"/>
      <c r="K1277" s="57"/>
      <c r="L1277" s="11"/>
      <c r="M1277" s="41"/>
      <c r="N1277" s="11"/>
    </row>
    <row r="1278" spans="8:14" x14ac:dyDescent="0.25">
      <c r="H1278" s="37"/>
      <c r="I1278" s="79"/>
      <c r="J1278" s="70"/>
      <c r="K1278" s="57"/>
      <c r="L1278" s="11"/>
      <c r="M1278" s="41"/>
      <c r="N1278" s="11"/>
    </row>
    <row r="1279" spans="8:14" x14ac:dyDescent="0.25">
      <c r="H1279" s="37"/>
      <c r="I1279" s="79"/>
      <c r="J1279" s="70"/>
      <c r="K1279" s="57"/>
      <c r="L1279" s="11"/>
      <c r="M1279" s="41"/>
      <c r="N1279" s="11"/>
    </row>
    <row r="1280" spans="8:14" x14ac:dyDescent="0.25">
      <c r="H1280" s="37"/>
      <c r="I1280" s="79"/>
      <c r="J1280" s="70"/>
      <c r="K1280" s="57"/>
      <c r="L1280" s="11"/>
      <c r="M1280" s="41"/>
      <c r="N1280" s="11"/>
    </row>
    <row r="1281" spans="8:14" x14ac:dyDescent="0.25">
      <c r="H1281" s="37"/>
      <c r="I1281" s="79"/>
      <c r="J1281" s="70"/>
      <c r="K1281" s="57"/>
      <c r="L1281" s="11"/>
      <c r="M1281" s="41"/>
      <c r="N1281" s="11"/>
    </row>
    <row r="1282" spans="8:14" x14ac:dyDescent="0.25">
      <c r="H1282" s="37"/>
      <c r="I1282" s="79"/>
      <c r="J1282" s="70"/>
      <c r="K1282" s="57"/>
      <c r="L1282" s="11"/>
      <c r="M1282" s="41"/>
      <c r="N1282" s="11"/>
    </row>
    <row r="1283" spans="8:14" x14ac:dyDescent="0.25">
      <c r="H1283" s="37"/>
      <c r="I1283" s="79"/>
      <c r="J1283" s="70"/>
      <c r="K1283" s="57"/>
      <c r="L1283" s="11"/>
      <c r="M1283" s="41"/>
      <c r="N1283" s="11"/>
    </row>
    <row r="1284" spans="8:14" x14ac:dyDescent="0.25">
      <c r="H1284" s="37"/>
      <c r="I1284" s="79"/>
      <c r="J1284" s="70"/>
      <c r="K1284" s="57"/>
      <c r="L1284" s="11"/>
      <c r="M1284" s="41"/>
      <c r="N1284" s="11"/>
    </row>
    <row r="1285" spans="8:14" x14ac:dyDescent="0.25">
      <c r="H1285" s="37"/>
      <c r="I1285" s="79"/>
      <c r="J1285" s="70"/>
      <c r="K1285" s="57"/>
      <c r="L1285" s="11"/>
      <c r="M1285" s="41"/>
      <c r="N1285" s="11"/>
    </row>
    <row r="1286" spans="8:14" x14ac:dyDescent="0.25">
      <c r="H1286" s="37"/>
      <c r="I1286" s="79"/>
      <c r="J1286" s="70"/>
      <c r="K1286" s="57"/>
      <c r="L1286" s="11"/>
      <c r="M1286" s="41"/>
      <c r="N1286" s="11"/>
    </row>
    <row r="1287" spans="8:14" x14ac:dyDescent="0.25">
      <c r="H1287" s="37"/>
      <c r="I1287" s="79"/>
      <c r="J1287" s="70"/>
      <c r="K1287" s="57"/>
      <c r="L1287" s="11"/>
      <c r="M1287" s="41"/>
      <c r="N1287" s="11"/>
    </row>
    <row r="1288" spans="8:14" x14ac:dyDescent="0.25">
      <c r="H1288" s="37"/>
      <c r="I1288" s="79"/>
      <c r="J1288" s="70"/>
      <c r="K1288" s="57"/>
      <c r="L1288" s="11"/>
      <c r="M1288" s="41"/>
      <c r="N1288" s="11"/>
    </row>
    <row r="1289" spans="8:14" x14ac:dyDescent="0.25">
      <c r="H1289" s="37"/>
      <c r="I1289" s="79"/>
      <c r="J1289" s="70"/>
      <c r="K1289" s="57"/>
      <c r="L1289" s="11"/>
      <c r="M1289" s="41"/>
      <c r="N1289" s="11"/>
    </row>
    <row r="1290" spans="8:14" x14ac:dyDescent="0.25">
      <c r="H1290" s="37"/>
      <c r="I1290" s="79"/>
      <c r="J1290" s="70"/>
      <c r="K1290" s="57"/>
      <c r="L1290" s="11"/>
      <c r="M1290" s="41"/>
      <c r="N1290" s="11"/>
    </row>
    <row r="1291" spans="8:14" x14ac:dyDescent="0.25">
      <c r="H1291" s="37"/>
      <c r="I1291" s="79"/>
      <c r="J1291" s="70"/>
      <c r="K1291" s="57"/>
      <c r="L1291" s="11"/>
      <c r="M1291" s="41"/>
      <c r="N1291" s="11"/>
    </row>
    <row r="1292" spans="8:14" x14ac:dyDescent="0.25">
      <c r="H1292" s="37"/>
      <c r="I1292" s="79"/>
      <c r="J1292" s="70"/>
      <c r="K1292" s="57"/>
      <c r="L1292" s="11"/>
      <c r="M1292" s="41"/>
      <c r="N1292" s="11"/>
    </row>
    <row r="1293" spans="8:14" x14ac:dyDescent="0.25">
      <c r="H1293" s="37"/>
      <c r="I1293" s="79"/>
      <c r="J1293" s="70"/>
      <c r="K1293" s="57"/>
      <c r="L1293" s="11"/>
      <c r="M1293" s="41"/>
      <c r="N1293" s="11"/>
    </row>
    <row r="1294" spans="8:14" x14ac:dyDescent="0.25">
      <c r="H1294" s="37"/>
      <c r="I1294" s="79"/>
      <c r="J1294" s="70"/>
      <c r="K1294" s="57"/>
      <c r="L1294" s="11"/>
      <c r="M1294" s="41"/>
      <c r="N1294" s="11"/>
    </row>
    <row r="1295" spans="8:14" x14ac:dyDescent="0.25">
      <c r="H1295" s="37"/>
      <c r="I1295" s="79"/>
      <c r="J1295" s="70"/>
      <c r="K1295" s="57"/>
      <c r="L1295" s="11"/>
      <c r="M1295" s="41"/>
      <c r="N1295" s="11"/>
    </row>
    <row r="1296" spans="8:14" x14ac:dyDescent="0.25">
      <c r="H1296" s="37"/>
      <c r="I1296" s="79"/>
      <c r="J1296" s="70"/>
      <c r="K1296" s="57"/>
      <c r="L1296" s="11"/>
      <c r="M1296" s="41"/>
      <c r="N1296" s="11"/>
    </row>
    <row r="1297" spans="8:14" x14ac:dyDescent="0.25">
      <c r="H1297" s="37"/>
      <c r="I1297" s="79"/>
      <c r="J1297" s="70"/>
      <c r="K1297" s="57"/>
      <c r="L1297" s="11"/>
      <c r="M1297" s="41"/>
      <c r="N1297" s="11"/>
    </row>
    <row r="1298" spans="8:14" x14ac:dyDescent="0.25">
      <c r="H1298" s="37"/>
      <c r="I1298" s="79"/>
      <c r="J1298" s="70"/>
      <c r="K1298" s="57"/>
      <c r="L1298" s="11"/>
      <c r="M1298" s="41"/>
      <c r="N1298" s="11"/>
    </row>
    <row r="1299" spans="8:14" x14ac:dyDescent="0.25">
      <c r="H1299" s="37"/>
      <c r="I1299" s="79"/>
      <c r="J1299" s="70"/>
      <c r="K1299" s="57"/>
      <c r="L1299" s="11"/>
      <c r="M1299" s="41"/>
      <c r="N1299" s="11"/>
    </row>
    <row r="1300" spans="8:14" x14ac:dyDescent="0.25">
      <c r="H1300" s="37"/>
      <c r="I1300" s="79"/>
      <c r="J1300" s="70"/>
      <c r="K1300" s="57"/>
      <c r="L1300" s="11"/>
      <c r="M1300" s="41"/>
      <c r="N1300" s="11"/>
    </row>
    <row r="1301" spans="8:14" x14ac:dyDescent="0.25">
      <c r="H1301" s="37"/>
      <c r="I1301" s="79"/>
      <c r="J1301" s="70"/>
      <c r="K1301" s="57"/>
      <c r="L1301" s="11"/>
      <c r="M1301" s="41"/>
      <c r="N1301" s="11"/>
    </row>
    <row r="1302" spans="8:14" x14ac:dyDescent="0.25">
      <c r="H1302" s="37"/>
      <c r="I1302" s="79"/>
      <c r="J1302" s="70"/>
      <c r="K1302" s="57"/>
      <c r="L1302" s="11"/>
      <c r="M1302" s="41"/>
      <c r="N1302" s="11"/>
    </row>
    <row r="1303" spans="8:14" x14ac:dyDescent="0.25">
      <c r="H1303" s="37"/>
      <c r="I1303" s="79"/>
      <c r="J1303" s="70"/>
      <c r="K1303" s="57"/>
      <c r="L1303" s="11"/>
      <c r="M1303" s="41"/>
      <c r="N1303" s="11"/>
    </row>
    <row r="1304" spans="8:14" x14ac:dyDescent="0.25">
      <c r="H1304" s="37"/>
      <c r="I1304" s="79"/>
      <c r="J1304" s="70"/>
      <c r="K1304" s="57"/>
      <c r="L1304" s="11"/>
      <c r="M1304" s="41"/>
      <c r="N1304" s="11"/>
    </row>
    <row r="1305" spans="8:14" x14ac:dyDescent="0.25">
      <c r="H1305" s="37"/>
      <c r="I1305" s="79"/>
      <c r="J1305" s="70"/>
      <c r="K1305" s="57"/>
      <c r="L1305" s="11"/>
      <c r="M1305" s="41"/>
      <c r="N1305" s="11"/>
    </row>
    <row r="1306" spans="8:14" x14ac:dyDescent="0.25">
      <c r="H1306" s="37"/>
      <c r="I1306" s="79"/>
      <c r="J1306" s="70"/>
      <c r="K1306" s="57"/>
      <c r="L1306" s="11"/>
      <c r="M1306" s="41"/>
      <c r="N1306" s="11"/>
    </row>
    <row r="1307" spans="8:14" x14ac:dyDescent="0.25">
      <c r="H1307" s="37"/>
      <c r="I1307" s="79"/>
      <c r="J1307" s="70"/>
      <c r="K1307" s="57"/>
      <c r="L1307" s="11"/>
      <c r="M1307" s="41"/>
      <c r="N1307" s="11"/>
    </row>
    <row r="1308" spans="8:14" x14ac:dyDescent="0.25">
      <c r="H1308" s="37"/>
      <c r="I1308" s="79"/>
      <c r="J1308" s="70"/>
      <c r="K1308" s="57"/>
      <c r="L1308" s="11"/>
      <c r="M1308" s="41"/>
      <c r="N1308" s="11"/>
    </row>
    <row r="1309" spans="8:14" x14ac:dyDescent="0.25">
      <c r="H1309" s="37"/>
      <c r="I1309" s="79"/>
      <c r="J1309" s="70"/>
      <c r="K1309" s="57"/>
      <c r="L1309" s="11"/>
      <c r="M1309" s="41"/>
      <c r="N1309" s="11"/>
    </row>
    <row r="1310" spans="8:14" x14ac:dyDescent="0.25">
      <c r="H1310" s="37"/>
      <c r="I1310" s="79"/>
      <c r="J1310" s="70"/>
      <c r="K1310" s="57"/>
      <c r="L1310" s="11"/>
      <c r="M1310" s="41"/>
      <c r="N1310" s="11"/>
    </row>
    <row r="1311" spans="8:14" x14ac:dyDescent="0.25">
      <c r="H1311" s="37"/>
      <c r="I1311" s="79"/>
      <c r="J1311" s="70"/>
      <c r="K1311" s="57"/>
      <c r="L1311" s="11"/>
      <c r="M1311" s="41"/>
      <c r="N1311" s="11"/>
    </row>
    <row r="1312" spans="8:14" x14ac:dyDescent="0.25">
      <c r="H1312" s="37"/>
      <c r="I1312" s="79"/>
      <c r="J1312" s="70"/>
      <c r="K1312" s="57"/>
      <c r="L1312" s="11"/>
      <c r="M1312" s="41"/>
      <c r="N1312" s="11"/>
    </row>
    <row r="1313" spans="8:14" x14ac:dyDescent="0.25">
      <c r="H1313" s="37"/>
      <c r="I1313" s="79"/>
      <c r="J1313" s="70"/>
      <c r="K1313" s="57"/>
      <c r="L1313" s="11"/>
      <c r="M1313" s="41"/>
      <c r="N1313" s="11"/>
    </row>
    <row r="1314" spans="8:14" x14ac:dyDescent="0.25">
      <c r="H1314" s="37"/>
      <c r="I1314" s="79"/>
      <c r="J1314" s="70"/>
      <c r="K1314" s="57"/>
      <c r="L1314" s="11"/>
      <c r="M1314" s="41"/>
      <c r="N1314" s="11"/>
    </row>
    <row r="1315" spans="8:14" x14ac:dyDescent="0.25">
      <c r="H1315" s="37"/>
      <c r="I1315" s="79"/>
      <c r="J1315" s="70"/>
      <c r="K1315" s="57"/>
      <c r="L1315" s="11"/>
      <c r="M1315" s="41"/>
      <c r="N1315" s="11"/>
    </row>
    <row r="1316" spans="8:14" x14ac:dyDescent="0.25">
      <c r="H1316" s="37"/>
      <c r="I1316" s="79"/>
      <c r="J1316" s="70"/>
      <c r="K1316" s="57"/>
      <c r="L1316" s="11"/>
      <c r="M1316" s="41"/>
      <c r="N1316" s="11"/>
    </row>
    <row r="1317" spans="8:14" x14ac:dyDescent="0.25">
      <c r="H1317" s="37"/>
      <c r="I1317" s="79"/>
      <c r="J1317" s="70"/>
      <c r="K1317" s="57"/>
      <c r="L1317" s="11"/>
      <c r="M1317" s="41"/>
      <c r="N1317" s="11"/>
    </row>
    <row r="1318" spans="8:14" x14ac:dyDescent="0.25">
      <c r="H1318" s="37"/>
      <c r="I1318" s="79"/>
      <c r="J1318" s="70"/>
      <c r="K1318" s="57"/>
      <c r="L1318" s="11"/>
      <c r="M1318" s="41"/>
      <c r="N1318" s="11"/>
    </row>
    <row r="1319" spans="8:14" x14ac:dyDescent="0.25">
      <c r="H1319" s="37"/>
      <c r="I1319" s="79"/>
      <c r="J1319" s="70"/>
      <c r="K1319" s="57"/>
      <c r="L1319" s="11"/>
      <c r="M1319" s="41"/>
      <c r="N1319" s="11"/>
    </row>
    <row r="1320" spans="8:14" x14ac:dyDescent="0.25">
      <c r="H1320" s="37"/>
      <c r="I1320" s="79"/>
      <c r="J1320" s="70"/>
      <c r="K1320" s="57"/>
      <c r="L1320" s="11"/>
      <c r="M1320" s="41"/>
      <c r="N1320" s="11"/>
    </row>
    <row r="1321" spans="8:14" x14ac:dyDescent="0.25">
      <c r="H1321" s="37"/>
      <c r="I1321" s="79"/>
      <c r="J1321" s="70"/>
      <c r="K1321" s="57"/>
      <c r="L1321" s="11"/>
      <c r="M1321" s="41"/>
      <c r="N1321" s="11"/>
    </row>
    <row r="1322" spans="8:14" x14ac:dyDescent="0.25">
      <c r="H1322" s="37"/>
      <c r="I1322" s="79"/>
      <c r="J1322" s="70"/>
      <c r="K1322" s="57"/>
      <c r="L1322" s="11"/>
      <c r="M1322" s="41"/>
      <c r="N1322" s="11"/>
    </row>
    <row r="1323" spans="8:14" x14ac:dyDescent="0.25">
      <c r="H1323" s="37"/>
      <c r="I1323" s="79"/>
      <c r="J1323" s="70"/>
      <c r="K1323" s="57"/>
      <c r="L1323" s="11"/>
      <c r="M1323" s="41"/>
      <c r="N1323" s="11"/>
    </row>
    <row r="1324" spans="8:14" x14ac:dyDescent="0.25">
      <c r="H1324" s="37"/>
      <c r="I1324" s="79"/>
      <c r="J1324" s="70"/>
      <c r="K1324" s="57"/>
      <c r="L1324" s="11"/>
      <c r="M1324" s="41"/>
      <c r="N1324" s="11"/>
    </row>
    <row r="1325" spans="8:14" x14ac:dyDescent="0.25">
      <c r="H1325" s="37"/>
      <c r="I1325" s="79"/>
      <c r="J1325" s="70"/>
      <c r="K1325" s="57"/>
      <c r="L1325" s="11"/>
      <c r="M1325" s="41"/>
      <c r="N1325" s="11"/>
    </row>
    <row r="1326" spans="8:14" x14ac:dyDescent="0.25">
      <c r="H1326" s="37"/>
      <c r="I1326" s="79"/>
      <c r="J1326" s="70"/>
      <c r="K1326" s="57"/>
      <c r="L1326" s="11"/>
      <c r="M1326" s="41"/>
      <c r="N1326" s="11"/>
    </row>
    <row r="1327" spans="8:14" x14ac:dyDescent="0.25">
      <c r="H1327" s="37"/>
      <c r="I1327" s="79"/>
      <c r="J1327" s="70"/>
      <c r="K1327" s="57"/>
      <c r="L1327" s="11"/>
      <c r="M1327" s="41"/>
      <c r="N1327" s="11"/>
    </row>
    <row r="1328" spans="8:14" x14ac:dyDescent="0.25">
      <c r="H1328" s="37"/>
      <c r="I1328" s="79"/>
      <c r="J1328" s="70"/>
      <c r="K1328" s="57"/>
      <c r="L1328" s="11"/>
      <c r="M1328" s="41"/>
      <c r="N1328" s="11"/>
    </row>
    <row r="1329" spans="8:14" x14ac:dyDescent="0.25">
      <c r="H1329" s="37"/>
      <c r="I1329" s="79"/>
      <c r="J1329" s="70"/>
      <c r="K1329" s="57"/>
      <c r="L1329" s="11"/>
      <c r="M1329" s="41"/>
      <c r="N1329" s="11"/>
    </row>
    <row r="1330" spans="8:14" x14ac:dyDescent="0.25">
      <c r="H1330" s="37"/>
      <c r="I1330" s="79"/>
      <c r="J1330" s="70"/>
      <c r="K1330" s="57"/>
      <c r="L1330" s="11"/>
      <c r="M1330" s="41"/>
      <c r="N1330" s="11"/>
    </row>
    <row r="1331" spans="8:14" x14ac:dyDescent="0.25">
      <c r="H1331" s="37"/>
      <c r="I1331" s="79"/>
      <c r="J1331" s="70"/>
      <c r="K1331" s="57"/>
      <c r="L1331" s="11"/>
      <c r="M1331" s="41"/>
      <c r="N1331" s="11"/>
    </row>
    <row r="1332" spans="8:14" x14ac:dyDescent="0.25">
      <c r="H1332" s="37"/>
      <c r="I1332" s="79"/>
      <c r="J1332" s="70"/>
      <c r="K1332" s="57"/>
      <c r="L1332" s="11"/>
      <c r="M1332" s="41"/>
      <c r="N1332" s="11"/>
    </row>
    <row r="1333" spans="8:14" x14ac:dyDescent="0.25">
      <c r="H1333" s="37"/>
      <c r="I1333" s="79"/>
      <c r="J1333" s="70"/>
      <c r="K1333" s="57"/>
      <c r="L1333" s="11"/>
      <c r="M1333" s="41"/>
      <c r="N1333" s="11"/>
    </row>
    <row r="1334" spans="8:14" x14ac:dyDescent="0.25">
      <c r="H1334" s="37"/>
      <c r="I1334" s="79"/>
      <c r="J1334" s="70"/>
      <c r="K1334" s="57"/>
      <c r="L1334" s="11"/>
      <c r="M1334" s="41"/>
      <c r="N1334" s="11"/>
    </row>
    <row r="1335" spans="8:14" x14ac:dyDescent="0.25">
      <c r="H1335" s="37"/>
      <c r="I1335" s="79"/>
      <c r="J1335" s="70"/>
      <c r="K1335" s="57"/>
      <c r="L1335" s="11"/>
      <c r="M1335" s="41"/>
      <c r="N1335" s="11"/>
    </row>
    <row r="1336" spans="8:14" x14ac:dyDescent="0.25">
      <c r="H1336" s="37"/>
      <c r="I1336" s="79"/>
      <c r="J1336" s="70"/>
      <c r="K1336" s="57"/>
      <c r="L1336" s="11"/>
      <c r="M1336" s="41"/>
      <c r="N1336" s="11"/>
    </row>
    <row r="1337" spans="8:14" x14ac:dyDescent="0.25">
      <c r="H1337" s="37"/>
      <c r="I1337" s="79"/>
      <c r="J1337" s="70"/>
      <c r="K1337" s="57"/>
      <c r="L1337" s="11"/>
      <c r="M1337" s="41"/>
      <c r="N1337" s="11"/>
    </row>
    <row r="1338" spans="8:14" x14ac:dyDescent="0.25">
      <c r="H1338" s="37"/>
      <c r="I1338" s="79"/>
      <c r="J1338" s="70"/>
      <c r="K1338" s="57"/>
      <c r="L1338" s="11"/>
      <c r="M1338" s="41"/>
      <c r="N1338" s="11"/>
    </row>
    <row r="1339" spans="8:14" x14ac:dyDescent="0.25">
      <c r="H1339" s="37"/>
      <c r="I1339" s="79"/>
      <c r="J1339" s="70"/>
      <c r="K1339" s="57"/>
      <c r="L1339" s="11"/>
      <c r="M1339" s="41"/>
      <c r="N1339" s="11"/>
    </row>
    <row r="1340" spans="8:14" x14ac:dyDescent="0.25">
      <c r="H1340" s="37"/>
      <c r="I1340" s="79"/>
      <c r="J1340" s="70"/>
      <c r="K1340" s="57"/>
      <c r="L1340" s="11"/>
      <c r="M1340" s="41"/>
      <c r="N1340" s="11"/>
    </row>
    <row r="1341" spans="8:14" x14ac:dyDescent="0.25">
      <c r="H1341" s="37"/>
      <c r="I1341" s="79"/>
      <c r="J1341" s="70"/>
      <c r="K1341" s="57"/>
      <c r="L1341" s="11"/>
      <c r="M1341" s="41"/>
      <c r="N1341" s="11"/>
    </row>
    <row r="1342" spans="8:14" x14ac:dyDescent="0.25">
      <c r="H1342" s="37"/>
      <c r="I1342" s="79"/>
      <c r="J1342" s="70"/>
      <c r="K1342" s="57"/>
      <c r="L1342" s="11"/>
      <c r="M1342" s="41"/>
      <c r="N1342" s="11"/>
    </row>
    <row r="1343" spans="8:14" x14ac:dyDescent="0.25">
      <c r="H1343" s="37"/>
      <c r="I1343" s="79"/>
      <c r="J1343" s="70"/>
      <c r="K1343" s="57"/>
      <c r="L1343" s="11"/>
      <c r="M1343" s="41"/>
      <c r="N1343" s="11"/>
    </row>
    <row r="1344" spans="8:14" x14ac:dyDescent="0.25">
      <c r="H1344" s="37"/>
      <c r="I1344" s="79"/>
      <c r="J1344" s="70"/>
      <c r="K1344" s="57"/>
      <c r="L1344" s="11"/>
      <c r="M1344" s="41"/>
      <c r="N1344" s="11"/>
    </row>
    <row r="1345" spans="8:14" x14ac:dyDescent="0.25">
      <c r="H1345" s="37"/>
      <c r="I1345" s="79"/>
      <c r="J1345" s="70"/>
      <c r="K1345" s="57"/>
      <c r="L1345" s="11"/>
      <c r="M1345" s="41"/>
      <c r="N1345" s="11"/>
    </row>
    <row r="1346" spans="8:14" x14ac:dyDescent="0.25">
      <c r="H1346" s="37"/>
      <c r="I1346" s="79"/>
      <c r="J1346" s="70"/>
      <c r="K1346" s="57"/>
      <c r="L1346" s="11"/>
      <c r="M1346" s="41"/>
      <c r="N1346" s="11"/>
    </row>
    <row r="1347" spans="8:14" x14ac:dyDescent="0.25">
      <c r="H1347" s="37"/>
      <c r="I1347" s="79"/>
      <c r="J1347" s="70"/>
      <c r="K1347" s="57"/>
      <c r="L1347" s="11"/>
      <c r="M1347" s="41"/>
      <c r="N1347" s="11"/>
    </row>
    <row r="1348" spans="8:14" x14ac:dyDescent="0.25">
      <c r="H1348" s="37"/>
      <c r="I1348" s="79"/>
      <c r="J1348" s="70"/>
      <c r="K1348" s="57"/>
      <c r="L1348" s="11"/>
      <c r="M1348" s="41"/>
      <c r="N1348" s="11"/>
    </row>
    <row r="1349" spans="8:14" x14ac:dyDescent="0.25">
      <c r="H1349" s="37"/>
      <c r="I1349" s="79"/>
      <c r="J1349" s="70"/>
      <c r="K1349" s="57"/>
      <c r="L1349" s="11"/>
      <c r="M1349" s="41"/>
      <c r="N1349" s="11"/>
    </row>
    <row r="1350" spans="8:14" x14ac:dyDescent="0.25">
      <c r="H1350" s="37"/>
      <c r="I1350" s="79"/>
      <c r="J1350" s="70"/>
      <c r="K1350" s="57"/>
      <c r="L1350" s="11"/>
      <c r="M1350" s="41"/>
      <c r="N1350" s="11"/>
    </row>
    <row r="1351" spans="8:14" x14ac:dyDescent="0.25">
      <c r="H1351" s="37"/>
      <c r="I1351" s="79"/>
      <c r="J1351" s="70"/>
      <c r="K1351" s="57"/>
      <c r="L1351" s="11"/>
      <c r="M1351" s="41"/>
      <c r="N1351" s="11"/>
    </row>
    <row r="1352" spans="8:14" x14ac:dyDescent="0.25">
      <c r="H1352" s="37"/>
      <c r="I1352" s="79"/>
      <c r="J1352" s="70"/>
      <c r="K1352" s="57"/>
      <c r="L1352" s="11"/>
      <c r="M1352" s="41"/>
      <c r="N1352" s="11"/>
    </row>
    <row r="1353" spans="8:14" x14ac:dyDescent="0.25">
      <c r="H1353" s="37"/>
      <c r="I1353" s="79"/>
      <c r="J1353" s="70"/>
      <c r="K1353" s="57"/>
      <c r="L1353" s="11"/>
      <c r="M1353" s="41"/>
      <c r="N1353" s="11"/>
    </row>
    <row r="1354" spans="8:14" x14ac:dyDescent="0.25">
      <c r="H1354" s="37"/>
      <c r="I1354" s="79"/>
      <c r="J1354" s="70"/>
      <c r="K1354" s="57"/>
      <c r="L1354" s="11"/>
      <c r="M1354" s="41"/>
      <c r="N1354" s="11"/>
    </row>
    <row r="1355" spans="8:14" x14ac:dyDescent="0.25">
      <c r="H1355" s="37"/>
      <c r="I1355" s="79"/>
      <c r="J1355" s="70"/>
      <c r="K1355" s="57"/>
      <c r="L1355" s="11"/>
      <c r="M1355" s="41"/>
      <c r="N1355" s="11"/>
    </row>
    <row r="1356" spans="8:14" x14ac:dyDescent="0.25">
      <c r="H1356" s="37"/>
      <c r="I1356" s="79"/>
      <c r="J1356" s="70"/>
      <c r="K1356" s="57"/>
      <c r="L1356" s="11"/>
      <c r="M1356" s="41"/>
      <c r="N1356" s="11"/>
    </row>
    <row r="1357" spans="8:14" x14ac:dyDescent="0.25">
      <c r="H1357" s="37"/>
      <c r="I1357" s="79"/>
      <c r="J1357" s="70"/>
      <c r="K1357" s="57"/>
      <c r="L1357" s="11"/>
      <c r="M1357" s="41"/>
      <c r="N1357" s="11"/>
    </row>
    <row r="1358" spans="8:14" x14ac:dyDescent="0.25">
      <c r="H1358" s="37"/>
      <c r="I1358" s="79"/>
      <c r="J1358" s="70"/>
      <c r="K1358" s="57"/>
      <c r="L1358" s="11"/>
      <c r="M1358" s="41"/>
      <c r="N1358" s="11"/>
    </row>
    <row r="1359" spans="8:14" x14ac:dyDescent="0.25">
      <c r="H1359" s="37"/>
      <c r="I1359" s="79"/>
      <c r="J1359" s="70"/>
      <c r="K1359" s="57"/>
      <c r="L1359" s="11"/>
      <c r="M1359" s="41"/>
      <c r="N1359" s="11"/>
    </row>
    <row r="1360" spans="8:14" x14ac:dyDescent="0.25">
      <c r="H1360" s="37"/>
      <c r="I1360" s="79"/>
      <c r="J1360" s="70"/>
      <c r="K1360" s="57"/>
      <c r="L1360" s="11"/>
      <c r="M1360" s="41"/>
      <c r="N1360" s="11"/>
    </row>
    <row r="1361" spans="8:14" x14ac:dyDescent="0.25">
      <c r="H1361" s="37"/>
      <c r="I1361" s="79"/>
      <c r="J1361" s="70"/>
      <c r="K1361" s="57"/>
      <c r="L1361" s="11"/>
      <c r="M1361" s="41"/>
      <c r="N1361" s="11"/>
    </row>
    <row r="1362" spans="8:14" x14ac:dyDescent="0.25">
      <c r="H1362" s="37"/>
      <c r="I1362" s="79"/>
      <c r="J1362" s="70"/>
      <c r="K1362" s="57"/>
      <c r="L1362" s="11"/>
      <c r="M1362" s="41"/>
      <c r="N1362" s="11"/>
    </row>
    <row r="1363" spans="8:14" x14ac:dyDescent="0.25">
      <c r="H1363" s="37"/>
      <c r="I1363" s="79"/>
      <c r="J1363" s="70"/>
      <c r="K1363" s="57"/>
      <c r="L1363" s="11"/>
      <c r="M1363" s="41"/>
      <c r="N1363" s="11"/>
    </row>
    <row r="1364" spans="8:14" x14ac:dyDescent="0.25">
      <c r="H1364" s="37"/>
      <c r="I1364" s="79"/>
      <c r="J1364" s="70"/>
      <c r="K1364" s="57"/>
      <c r="L1364" s="11"/>
      <c r="M1364" s="41"/>
      <c r="N1364" s="11"/>
    </row>
    <row r="1365" spans="8:14" x14ac:dyDescent="0.25">
      <c r="H1365" s="37"/>
      <c r="I1365" s="79"/>
      <c r="J1365" s="70"/>
      <c r="K1365" s="57"/>
      <c r="L1365" s="11"/>
      <c r="M1365" s="41"/>
      <c r="N1365" s="11"/>
    </row>
    <row r="1366" spans="8:14" x14ac:dyDescent="0.25">
      <c r="H1366" s="37"/>
      <c r="I1366" s="79"/>
      <c r="J1366" s="70"/>
      <c r="K1366" s="57"/>
      <c r="L1366" s="11"/>
      <c r="M1366" s="41"/>
      <c r="N1366" s="11"/>
    </row>
    <row r="1367" spans="8:14" x14ac:dyDescent="0.25">
      <c r="H1367" s="37"/>
      <c r="I1367" s="79"/>
      <c r="J1367" s="70"/>
      <c r="K1367" s="57"/>
      <c r="L1367" s="11"/>
      <c r="M1367" s="41"/>
      <c r="N1367" s="11"/>
    </row>
    <row r="1368" spans="8:14" x14ac:dyDescent="0.25">
      <c r="H1368" s="37"/>
      <c r="I1368" s="79"/>
      <c r="J1368" s="70"/>
      <c r="K1368" s="57"/>
      <c r="L1368" s="11"/>
      <c r="M1368" s="41"/>
      <c r="N1368" s="11"/>
    </row>
    <row r="1369" spans="8:14" x14ac:dyDescent="0.25">
      <c r="H1369" s="37"/>
      <c r="I1369" s="79"/>
      <c r="J1369" s="70"/>
      <c r="K1369" s="57"/>
      <c r="L1369" s="11"/>
      <c r="M1369" s="41"/>
      <c r="N1369" s="11"/>
    </row>
    <row r="1370" spans="8:14" x14ac:dyDescent="0.25">
      <c r="H1370" s="37"/>
      <c r="I1370" s="79"/>
      <c r="J1370" s="70"/>
      <c r="K1370" s="57"/>
      <c r="L1370" s="11"/>
      <c r="M1370" s="41"/>
      <c r="N1370" s="11"/>
    </row>
    <row r="1371" spans="8:14" x14ac:dyDescent="0.25">
      <c r="H1371" s="37"/>
      <c r="I1371" s="79"/>
      <c r="J1371" s="70"/>
      <c r="K1371" s="57"/>
      <c r="L1371" s="11"/>
      <c r="M1371" s="41"/>
      <c r="N1371" s="11"/>
    </row>
    <row r="1372" spans="8:14" x14ac:dyDescent="0.25">
      <c r="H1372" s="37"/>
      <c r="I1372" s="79"/>
      <c r="J1372" s="70"/>
      <c r="K1372" s="57"/>
      <c r="L1372" s="11"/>
      <c r="M1372" s="41"/>
      <c r="N1372" s="11"/>
    </row>
    <row r="1373" spans="8:14" x14ac:dyDescent="0.25">
      <c r="H1373" s="37"/>
      <c r="I1373" s="79"/>
      <c r="J1373" s="70"/>
      <c r="K1373" s="57"/>
      <c r="L1373" s="11"/>
      <c r="M1373" s="41"/>
      <c r="N1373" s="11"/>
    </row>
    <row r="1374" spans="8:14" x14ac:dyDescent="0.25">
      <c r="H1374" s="37"/>
      <c r="I1374" s="79"/>
      <c r="J1374" s="70"/>
      <c r="K1374" s="57"/>
      <c r="L1374" s="11"/>
      <c r="M1374" s="41"/>
      <c r="N1374" s="11"/>
    </row>
    <row r="1375" spans="8:14" x14ac:dyDescent="0.25">
      <c r="H1375" s="37"/>
      <c r="I1375" s="79"/>
      <c r="J1375" s="70"/>
      <c r="K1375" s="57"/>
      <c r="L1375" s="11"/>
      <c r="M1375" s="41"/>
      <c r="N1375" s="11"/>
    </row>
    <row r="1376" spans="8:14" x14ac:dyDescent="0.25">
      <c r="H1376" s="37"/>
      <c r="I1376" s="79"/>
      <c r="J1376" s="70"/>
      <c r="K1376" s="57"/>
      <c r="L1376" s="11"/>
      <c r="M1376" s="41"/>
      <c r="N1376" s="11"/>
    </row>
    <row r="1377" spans="8:14" x14ac:dyDescent="0.25">
      <c r="H1377" s="37"/>
      <c r="I1377" s="79"/>
      <c r="J1377" s="70"/>
      <c r="K1377" s="57"/>
      <c r="L1377" s="11"/>
      <c r="M1377" s="41"/>
      <c r="N1377" s="11"/>
    </row>
    <row r="1378" spans="8:14" x14ac:dyDescent="0.25">
      <c r="H1378" s="37"/>
      <c r="I1378" s="79"/>
      <c r="J1378" s="70"/>
      <c r="K1378" s="57"/>
      <c r="L1378" s="11"/>
      <c r="M1378" s="41"/>
      <c r="N1378" s="11"/>
    </row>
    <row r="1379" spans="8:14" x14ac:dyDescent="0.25">
      <c r="H1379" s="37"/>
      <c r="I1379" s="79"/>
      <c r="J1379" s="70"/>
      <c r="K1379" s="57"/>
      <c r="L1379" s="11"/>
      <c r="M1379" s="41"/>
      <c r="N1379" s="11"/>
    </row>
    <row r="1380" spans="8:14" x14ac:dyDescent="0.25">
      <c r="H1380" s="37"/>
      <c r="I1380" s="79"/>
      <c r="J1380" s="70"/>
      <c r="K1380" s="57"/>
      <c r="L1380" s="11"/>
      <c r="M1380" s="41"/>
      <c r="N1380" s="11"/>
    </row>
    <row r="1381" spans="8:14" x14ac:dyDescent="0.25">
      <c r="H1381" s="37"/>
      <c r="I1381" s="79"/>
      <c r="J1381" s="70"/>
      <c r="K1381" s="57"/>
      <c r="L1381" s="11"/>
      <c r="M1381" s="41"/>
      <c r="N1381" s="11"/>
    </row>
    <row r="1382" spans="8:14" x14ac:dyDescent="0.25">
      <c r="H1382" s="37"/>
      <c r="I1382" s="79"/>
      <c r="J1382" s="70"/>
      <c r="K1382" s="57"/>
      <c r="L1382" s="11"/>
      <c r="M1382" s="41"/>
      <c r="N1382" s="11"/>
    </row>
    <row r="1383" spans="8:14" x14ac:dyDescent="0.25">
      <c r="H1383" s="37"/>
      <c r="I1383" s="79"/>
      <c r="J1383" s="70"/>
      <c r="K1383" s="57"/>
      <c r="L1383" s="11"/>
      <c r="M1383" s="41"/>
      <c r="N1383" s="11"/>
    </row>
    <row r="1384" spans="8:14" x14ac:dyDescent="0.25">
      <c r="H1384" s="37"/>
      <c r="I1384" s="79"/>
      <c r="J1384" s="70"/>
      <c r="K1384" s="57"/>
      <c r="L1384" s="11"/>
      <c r="M1384" s="41"/>
      <c r="N1384" s="11"/>
    </row>
    <row r="1385" spans="8:14" x14ac:dyDescent="0.25">
      <c r="H1385" s="37"/>
      <c r="I1385" s="79"/>
      <c r="J1385" s="70"/>
      <c r="K1385" s="57"/>
      <c r="L1385" s="11"/>
      <c r="M1385" s="41"/>
      <c r="N1385" s="11"/>
    </row>
    <row r="1386" spans="8:14" x14ac:dyDescent="0.25">
      <c r="H1386" s="37"/>
      <c r="I1386" s="79"/>
      <c r="J1386" s="70"/>
      <c r="K1386" s="57"/>
      <c r="L1386" s="11"/>
      <c r="M1386" s="41"/>
      <c r="N1386" s="11"/>
    </row>
    <row r="1387" spans="8:14" x14ac:dyDescent="0.25">
      <c r="H1387" s="37"/>
      <c r="I1387" s="79"/>
      <c r="J1387" s="70"/>
      <c r="K1387" s="57"/>
      <c r="L1387" s="11"/>
      <c r="M1387" s="41"/>
      <c r="N1387" s="11"/>
    </row>
    <row r="1388" spans="8:14" x14ac:dyDescent="0.25">
      <c r="H1388" s="37"/>
      <c r="I1388" s="79"/>
      <c r="J1388" s="70"/>
      <c r="K1388" s="57"/>
      <c r="L1388" s="11"/>
      <c r="M1388" s="41"/>
      <c r="N1388" s="11"/>
    </row>
    <row r="1389" spans="8:14" x14ac:dyDescent="0.25">
      <c r="H1389" s="37"/>
      <c r="I1389" s="79"/>
      <c r="J1389" s="70"/>
      <c r="K1389" s="57"/>
      <c r="L1389" s="11"/>
      <c r="M1389" s="41"/>
      <c r="N1389" s="11"/>
    </row>
    <row r="1390" spans="8:14" x14ac:dyDescent="0.25">
      <c r="H1390" s="37"/>
      <c r="I1390" s="79"/>
      <c r="J1390" s="70"/>
      <c r="K1390" s="57"/>
      <c r="L1390" s="11"/>
      <c r="M1390" s="41"/>
      <c r="N1390" s="11"/>
    </row>
    <row r="1391" spans="8:14" x14ac:dyDescent="0.25">
      <c r="H1391" s="37"/>
      <c r="I1391" s="79"/>
      <c r="J1391" s="70"/>
      <c r="K1391" s="57"/>
      <c r="L1391" s="11"/>
      <c r="M1391" s="41"/>
      <c r="N1391" s="11"/>
    </row>
    <row r="1392" spans="8:14" x14ac:dyDescent="0.25">
      <c r="H1392" s="37"/>
      <c r="I1392" s="79"/>
      <c r="J1392" s="70"/>
      <c r="K1392" s="57"/>
      <c r="L1392" s="11"/>
      <c r="M1392" s="41"/>
      <c r="N1392" s="11"/>
    </row>
    <row r="1393" spans="8:14" x14ac:dyDescent="0.25">
      <c r="H1393" s="37"/>
      <c r="I1393" s="79"/>
      <c r="J1393" s="70"/>
      <c r="K1393" s="57"/>
      <c r="L1393" s="11"/>
      <c r="M1393" s="41"/>
      <c r="N1393" s="11"/>
    </row>
    <row r="1394" spans="8:14" x14ac:dyDescent="0.25">
      <c r="H1394" s="37"/>
      <c r="I1394" s="79"/>
      <c r="J1394" s="70"/>
      <c r="K1394" s="57"/>
      <c r="L1394" s="11"/>
      <c r="M1394" s="41"/>
      <c r="N1394" s="11"/>
    </row>
    <row r="1395" spans="8:14" x14ac:dyDescent="0.25">
      <c r="H1395" s="37"/>
      <c r="I1395" s="79"/>
      <c r="J1395" s="70"/>
      <c r="K1395" s="57"/>
      <c r="L1395" s="11"/>
      <c r="M1395" s="41"/>
      <c r="N1395" s="11"/>
    </row>
    <row r="1396" spans="8:14" x14ac:dyDescent="0.25">
      <c r="H1396" s="37"/>
      <c r="I1396" s="79"/>
      <c r="J1396" s="70"/>
      <c r="K1396" s="57"/>
      <c r="L1396" s="11"/>
      <c r="M1396" s="41"/>
      <c r="N1396" s="11"/>
    </row>
    <row r="1397" spans="8:14" x14ac:dyDescent="0.25">
      <c r="H1397" s="37"/>
      <c r="I1397" s="79"/>
      <c r="J1397" s="70"/>
      <c r="K1397" s="57"/>
      <c r="L1397" s="11"/>
      <c r="M1397" s="41"/>
      <c r="N1397" s="11"/>
    </row>
    <row r="1398" spans="8:14" x14ac:dyDescent="0.25">
      <c r="H1398" s="37"/>
      <c r="I1398" s="79"/>
      <c r="J1398" s="70"/>
      <c r="K1398" s="57"/>
      <c r="L1398" s="11"/>
      <c r="M1398" s="41"/>
      <c r="N1398" s="11"/>
    </row>
    <row r="1399" spans="8:14" x14ac:dyDescent="0.25">
      <c r="H1399" s="37"/>
      <c r="I1399" s="79"/>
      <c r="J1399" s="70"/>
      <c r="K1399" s="57"/>
      <c r="L1399" s="11"/>
      <c r="M1399" s="41"/>
      <c r="N1399" s="11"/>
    </row>
    <row r="1400" spans="8:14" x14ac:dyDescent="0.25">
      <c r="H1400" s="37"/>
      <c r="I1400" s="79"/>
      <c r="J1400" s="70"/>
      <c r="K1400" s="57"/>
      <c r="L1400" s="11"/>
      <c r="M1400" s="41"/>
      <c r="N1400" s="11"/>
    </row>
    <row r="1401" spans="8:14" x14ac:dyDescent="0.25">
      <c r="H1401" s="37"/>
      <c r="I1401" s="79"/>
      <c r="J1401" s="70"/>
      <c r="K1401" s="57"/>
      <c r="L1401" s="11"/>
      <c r="M1401" s="41"/>
      <c r="N1401" s="11"/>
    </row>
    <row r="1402" spans="8:14" x14ac:dyDescent="0.25">
      <c r="H1402" s="37"/>
      <c r="I1402" s="79"/>
      <c r="J1402" s="70"/>
      <c r="K1402" s="57"/>
      <c r="L1402" s="11"/>
      <c r="M1402" s="41"/>
      <c r="N1402" s="11"/>
    </row>
    <row r="1403" spans="8:14" x14ac:dyDescent="0.25">
      <c r="H1403" s="37"/>
      <c r="I1403" s="79"/>
      <c r="J1403" s="70"/>
      <c r="K1403" s="57"/>
      <c r="L1403" s="11"/>
      <c r="M1403" s="41"/>
      <c r="N1403" s="11"/>
    </row>
    <row r="1404" spans="8:14" x14ac:dyDescent="0.25">
      <c r="H1404" s="37"/>
      <c r="I1404" s="79"/>
      <c r="J1404" s="70"/>
      <c r="K1404" s="57"/>
      <c r="L1404" s="11"/>
      <c r="M1404" s="41"/>
      <c r="N1404" s="11"/>
    </row>
    <row r="1405" spans="8:14" x14ac:dyDescent="0.25">
      <c r="H1405" s="37"/>
      <c r="I1405" s="79"/>
      <c r="J1405" s="70"/>
      <c r="K1405" s="57"/>
      <c r="L1405" s="11"/>
      <c r="M1405" s="41"/>
      <c r="N1405" s="11"/>
    </row>
    <row r="1406" spans="8:14" x14ac:dyDescent="0.25">
      <c r="H1406" s="37"/>
      <c r="I1406" s="79"/>
      <c r="J1406" s="70"/>
      <c r="K1406" s="57"/>
      <c r="L1406" s="11"/>
      <c r="M1406" s="41"/>
      <c r="N1406" s="11"/>
    </row>
    <row r="1407" spans="8:14" x14ac:dyDescent="0.25">
      <c r="H1407" s="37"/>
      <c r="I1407" s="79"/>
      <c r="J1407" s="70"/>
      <c r="K1407" s="57"/>
      <c r="L1407" s="11"/>
      <c r="M1407" s="41"/>
      <c r="N1407" s="11"/>
    </row>
    <row r="1408" spans="8:14" x14ac:dyDescent="0.25">
      <c r="H1408" s="37"/>
      <c r="I1408" s="79"/>
      <c r="J1408" s="70"/>
      <c r="K1408" s="57"/>
      <c r="L1408" s="11"/>
      <c r="M1408" s="41"/>
      <c r="N1408" s="11"/>
    </row>
    <row r="1409" spans="8:14" x14ac:dyDescent="0.25">
      <c r="H1409" s="37"/>
      <c r="I1409" s="79"/>
      <c r="J1409" s="70"/>
      <c r="K1409" s="57"/>
      <c r="L1409" s="11"/>
      <c r="M1409" s="41"/>
      <c r="N1409" s="11"/>
    </row>
    <row r="1410" spans="8:14" x14ac:dyDescent="0.25">
      <c r="H1410" s="37"/>
      <c r="I1410" s="79"/>
      <c r="J1410" s="70"/>
      <c r="K1410" s="57"/>
      <c r="L1410" s="11"/>
      <c r="M1410" s="41"/>
      <c r="N1410" s="11"/>
    </row>
    <row r="1411" spans="8:14" x14ac:dyDescent="0.25">
      <c r="H1411" s="37"/>
      <c r="I1411" s="79"/>
      <c r="J1411" s="70"/>
      <c r="K1411" s="57"/>
      <c r="L1411" s="11"/>
      <c r="M1411" s="41"/>
      <c r="N1411" s="11"/>
    </row>
    <row r="1412" spans="8:14" x14ac:dyDescent="0.25">
      <c r="H1412" s="37"/>
      <c r="I1412" s="79"/>
      <c r="J1412" s="70"/>
      <c r="K1412" s="57"/>
      <c r="L1412" s="11"/>
      <c r="M1412" s="41"/>
      <c r="N1412" s="11"/>
    </row>
    <row r="1413" spans="8:14" x14ac:dyDescent="0.25">
      <c r="H1413" s="37"/>
      <c r="I1413" s="79"/>
      <c r="J1413" s="70"/>
      <c r="K1413" s="57"/>
      <c r="L1413" s="11"/>
      <c r="M1413" s="41"/>
      <c r="N1413" s="11"/>
    </row>
    <row r="1414" spans="8:14" x14ac:dyDescent="0.25">
      <c r="H1414" s="37"/>
      <c r="I1414" s="79"/>
      <c r="J1414" s="70"/>
      <c r="K1414" s="57"/>
      <c r="L1414" s="11"/>
      <c r="M1414" s="41"/>
      <c r="N1414" s="11"/>
    </row>
    <row r="1415" spans="8:14" x14ac:dyDescent="0.25">
      <c r="H1415" s="37"/>
      <c r="I1415" s="79"/>
      <c r="J1415" s="70"/>
      <c r="K1415" s="57"/>
      <c r="L1415" s="11"/>
      <c r="M1415" s="41"/>
      <c r="N1415" s="11"/>
    </row>
    <row r="1416" spans="8:14" x14ac:dyDescent="0.25">
      <c r="H1416" s="37"/>
      <c r="I1416" s="79"/>
      <c r="J1416" s="70"/>
      <c r="K1416" s="57"/>
      <c r="L1416" s="11"/>
      <c r="M1416" s="41"/>
      <c r="N1416" s="11"/>
    </row>
    <row r="1417" spans="8:14" x14ac:dyDescent="0.25">
      <c r="H1417" s="37"/>
      <c r="I1417" s="79"/>
      <c r="J1417" s="70"/>
      <c r="K1417" s="57"/>
      <c r="L1417" s="11"/>
      <c r="M1417" s="41"/>
      <c r="N1417" s="11"/>
    </row>
    <row r="1418" spans="8:14" x14ac:dyDescent="0.25">
      <c r="H1418" s="37"/>
      <c r="I1418" s="79"/>
      <c r="J1418" s="70"/>
      <c r="K1418" s="57"/>
      <c r="L1418" s="11"/>
      <c r="M1418" s="41"/>
      <c r="N1418" s="11"/>
    </row>
    <row r="1419" spans="8:14" x14ac:dyDescent="0.25">
      <c r="H1419" s="37"/>
      <c r="I1419" s="79"/>
      <c r="J1419" s="70"/>
      <c r="K1419" s="57"/>
      <c r="L1419" s="11"/>
      <c r="M1419" s="41"/>
      <c r="N1419" s="11"/>
    </row>
    <row r="1420" spans="8:14" x14ac:dyDescent="0.25">
      <c r="H1420" s="37"/>
      <c r="I1420" s="79"/>
      <c r="J1420" s="70"/>
      <c r="K1420" s="57"/>
      <c r="L1420" s="11"/>
      <c r="M1420" s="41"/>
      <c r="N1420" s="11"/>
    </row>
    <row r="1421" spans="8:14" x14ac:dyDescent="0.25">
      <c r="H1421" s="37"/>
      <c r="I1421" s="79"/>
      <c r="J1421" s="70"/>
      <c r="K1421" s="57"/>
      <c r="L1421" s="11"/>
      <c r="M1421" s="41"/>
      <c r="N1421" s="11"/>
    </row>
    <row r="1422" spans="8:14" x14ac:dyDescent="0.25">
      <c r="H1422" s="37"/>
      <c r="I1422" s="79"/>
      <c r="J1422" s="70"/>
      <c r="K1422" s="57"/>
      <c r="L1422" s="11"/>
      <c r="M1422" s="41"/>
      <c r="N1422" s="11"/>
    </row>
    <row r="1423" spans="8:14" x14ac:dyDescent="0.25">
      <c r="H1423" s="37"/>
      <c r="I1423" s="79"/>
      <c r="J1423" s="70"/>
      <c r="K1423" s="57"/>
      <c r="L1423" s="11"/>
      <c r="M1423" s="41"/>
      <c r="N1423" s="11"/>
    </row>
    <row r="1424" spans="8:14" x14ac:dyDescent="0.25">
      <c r="H1424" s="37"/>
      <c r="I1424" s="79"/>
      <c r="J1424" s="70"/>
      <c r="K1424" s="57"/>
      <c r="L1424" s="11"/>
      <c r="M1424" s="41"/>
      <c r="N1424" s="11"/>
    </row>
    <row r="1425" spans="8:14" x14ac:dyDescent="0.25">
      <c r="H1425" s="37"/>
      <c r="I1425" s="79"/>
      <c r="J1425" s="70"/>
      <c r="K1425" s="57"/>
      <c r="L1425" s="11"/>
      <c r="M1425" s="41"/>
      <c r="N1425" s="11"/>
    </row>
    <row r="1426" spans="8:14" x14ac:dyDescent="0.25">
      <c r="H1426" s="37"/>
      <c r="I1426" s="79"/>
      <c r="J1426" s="70"/>
      <c r="K1426" s="57"/>
      <c r="L1426" s="11"/>
      <c r="M1426" s="41"/>
      <c r="N1426" s="11"/>
    </row>
    <row r="1427" spans="8:14" x14ac:dyDescent="0.25">
      <c r="H1427" s="37"/>
      <c r="I1427" s="79"/>
      <c r="J1427" s="70"/>
      <c r="K1427" s="57"/>
      <c r="L1427" s="11"/>
      <c r="M1427" s="41"/>
      <c r="N1427" s="11"/>
    </row>
    <row r="1428" spans="8:14" x14ac:dyDescent="0.25">
      <c r="H1428" s="37"/>
      <c r="I1428" s="79"/>
      <c r="J1428" s="70"/>
      <c r="K1428" s="57"/>
      <c r="L1428" s="11"/>
      <c r="M1428" s="41"/>
      <c r="N1428" s="11"/>
    </row>
    <row r="1429" spans="8:14" x14ac:dyDescent="0.25">
      <c r="H1429" s="37"/>
      <c r="I1429" s="79"/>
      <c r="J1429" s="70"/>
      <c r="K1429" s="57"/>
      <c r="L1429" s="11"/>
      <c r="M1429" s="41"/>
      <c r="N1429" s="11"/>
    </row>
    <row r="1430" spans="8:14" x14ac:dyDescent="0.25">
      <c r="H1430" s="37"/>
      <c r="I1430" s="79"/>
      <c r="J1430" s="70"/>
      <c r="K1430" s="57"/>
      <c r="L1430" s="11"/>
      <c r="M1430" s="41"/>
      <c r="N1430" s="11"/>
    </row>
    <row r="1431" spans="8:14" x14ac:dyDescent="0.25">
      <c r="H1431" s="37"/>
      <c r="I1431" s="79"/>
      <c r="J1431" s="70"/>
      <c r="K1431" s="57"/>
      <c r="L1431" s="11"/>
      <c r="M1431" s="41"/>
      <c r="N1431" s="11"/>
    </row>
    <row r="1432" spans="8:14" x14ac:dyDescent="0.25">
      <c r="H1432" s="37"/>
      <c r="I1432" s="79"/>
      <c r="J1432" s="70"/>
      <c r="K1432" s="57"/>
      <c r="L1432" s="11"/>
      <c r="M1432" s="41"/>
      <c r="N1432" s="11"/>
    </row>
    <row r="1433" spans="8:14" x14ac:dyDescent="0.25">
      <c r="H1433" s="37"/>
      <c r="I1433" s="79"/>
      <c r="J1433" s="70"/>
      <c r="K1433" s="57"/>
      <c r="L1433" s="11"/>
      <c r="M1433" s="41"/>
      <c r="N1433" s="11"/>
    </row>
    <row r="1434" spans="8:14" x14ac:dyDescent="0.25">
      <c r="H1434" s="37"/>
      <c r="I1434" s="79"/>
      <c r="J1434" s="70"/>
      <c r="K1434" s="57"/>
      <c r="L1434" s="11"/>
      <c r="M1434" s="41"/>
      <c r="N1434" s="11"/>
    </row>
    <row r="1435" spans="8:14" x14ac:dyDescent="0.25">
      <c r="H1435" s="37"/>
      <c r="I1435" s="79"/>
      <c r="J1435" s="70"/>
      <c r="K1435" s="57"/>
      <c r="L1435" s="11"/>
      <c r="M1435" s="41"/>
      <c r="N1435" s="11"/>
    </row>
    <row r="1436" spans="8:14" x14ac:dyDescent="0.25">
      <c r="H1436" s="37"/>
      <c r="I1436" s="79"/>
      <c r="J1436" s="70"/>
      <c r="K1436" s="57"/>
      <c r="L1436" s="11"/>
      <c r="M1436" s="41"/>
      <c r="N1436" s="11"/>
    </row>
    <row r="1437" spans="8:14" x14ac:dyDescent="0.25">
      <c r="H1437" s="37"/>
      <c r="I1437" s="79"/>
      <c r="J1437" s="70"/>
      <c r="K1437" s="57"/>
      <c r="L1437" s="11"/>
      <c r="M1437" s="41"/>
      <c r="N1437" s="11"/>
    </row>
    <row r="1438" spans="8:14" x14ac:dyDescent="0.25">
      <c r="H1438" s="37"/>
      <c r="I1438" s="79"/>
      <c r="J1438" s="70"/>
      <c r="K1438" s="57"/>
      <c r="L1438" s="11"/>
      <c r="M1438" s="41"/>
      <c r="N1438" s="11"/>
    </row>
    <row r="1439" spans="8:14" x14ac:dyDescent="0.25">
      <c r="H1439" s="37"/>
      <c r="I1439" s="79"/>
      <c r="J1439" s="70"/>
      <c r="K1439" s="57"/>
      <c r="L1439" s="11"/>
      <c r="M1439" s="41"/>
      <c r="N1439" s="11"/>
    </row>
    <row r="1440" spans="8:14" x14ac:dyDescent="0.25">
      <c r="H1440" s="37"/>
      <c r="I1440" s="79"/>
      <c r="J1440" s="70"/>
      <c r="K1440" s="57"/>
      <c r="L1440" s="11"/>
      <c r="M1440" s="41"/>
      <c r="N1440" s="11"/>
    </row>
    <row r="1441" spans="8:14" x14ac:dyDescent="0.25">
      <c r="H1441" s="37"/>
      <c r="I1441" s="79"/>
      <c r="J1441" s="70"/>
      <c r="K1441" s="57"/>
      <c r="L1441" s="11"/>
      <c r="M1441" s="41"/>
      <c r="N1441" s="11"/>
    </row>
    <row r="1442" spans="8:14" x14ac:dyDescent="0.25">
      <c r="H1442" s="37"/>
      <c r="I1442" s="79"/>
      <c r="J1442" s="70"/>
      <c r="K1442" s="57"/>
      <c r="L1442" s="11"/>
      <c r="M1442" s="41"/>
      <c r="N1442" s="11"/>
    </row>
    <row r="1443" spans="8:14" x14ac:dyDescent="0.25">
      <c r="H1443" s="37"/>
      <c r="I1443" s="79"/>
      <c r="J1443" s="70"/>
      <c r="K1443" s="57"/>
      <c r="L1443" s="11"/>
      <c r="M1443" s="41"/>
      <c r="N1443" s="11"/>
    </row>
    <row r="1444" spans="8:14" x14ac:dyDescent="0.25">
      <c r="H1444" s="37"/>
      <c r="I1444" s="79"/>
      <c r="J1444" s="70"/>
      <c r="K1444" s="57"/>
      <c r="L1444" s="11"/>
      <c r="M1444" s="41"/>
      <c r="N1444" s="11"/>
    </row>
    <row r="1445" spans="8:14" x14ac:dyDescent="0.25">
      <c r="H1445" s="37"/>
      <c r="I1445" s="79"/>
      <c r="J1445" s="70"/>
      <c r="K1445" s="57"/>
      <c r="L1445" s="11"/>
      <c r="M1445" s="41"/>
      <c r="N1445" s="11"/>
    </row>
    <row r="1446" spans="8:14" x14ac:dyDescent="0.25">
      <c r="H1446" s="37"/>
      <c r="I1446" s="79"/>
      <c r="J1446" s="70"/>
      <c r="K1446" s="57"/>
      <c r="L1446" s="11"/>
      <c r="M1446" s="41"/>
      <c r="N1446" s="11"/>
    </row>
    <row r="1447" spans="8:14" x14ac:dyDescent="0.25">
      <c r="H1447" s="37"/>
      <c r="I1447" s="79"/>
      <c r="J1447" s="70"/>
      <c r="K1447" s="57"/>
      <c r="L1447" s="11"/>
      <c r="M1447" s="41"/>
      <c r="N1447" s="11"/>
    </row>
    <row r="1448" spans="8:14" x14ac:dyDescent="0.25">
      <c r="H1448" s="37"/>
      <c r="I1448" s="79"/>
      <c r="J1448" s="70"/>
      <c r="K1448" s="57"/>
      <c r="L1448" s="11"/>
      <c r="M1448" s="41"/>
      <c r="N1448" s="11"/>
    </row>
    <row r="1449" spans="8:14" x14ac:dyDescent="0.25">
      <c r="H1449" s="37"/>
      <c r="I1449" s="79"/>
      <c r="J1449" s="70"/>
      <c r="K1449" s="57"/>
      <c r="L1449" s="11"/>
      <c r="M1449" s="41"/>
      <c r="N1449" s="11"/>
    </row>
    <row r="1450" spans="8:14" x14ac:dyDescent="0.25">
      <c r="H1450" s="37"/>
      <c r="I1450" s="79"/>
      <c r="J1450" s="70"/>
      <c r="K1450" s="57"/>
      <c r="L1450" s="11"/>
      <c r="M1450" s="41"/>
      <c r="N1450" s="11"/>
    </row>
    <row r="1451" spans="8:14" x14ac:dyDescent="0.25">
      <c r="H1451" s="37"/>
      <c r="I1451" s="79"/>
      <c r="J1451" s="70"/>
      <c r="K1451" s="57"/>
      <c r="L1451" s="11"/>
      <c r="M1451" s="41"/>
      <c r="N1451" s="11"/>
    </row>
    <row r="1452" spans="8:14" x14ac:dyDescent="0.25">
      <c r="H1452" s="37"/>
      <c r="I1452" s="79"/>
      <c r="J1452" s="70"/>
      <c r="K1452" s="57"/>
      <c r="L1452" s="11"/>
      <c r="M1452" s="41"/>
      <c r="N1452" s="11"/>
    </row>
    <row r="1453" spans="8:14" x14ac:dyDescent="0.25">
      <c r="H1453" s="37"/>
      <c r="I1453" s="79"/>
      <c r="J1453" s="70"/>
      <c r="K1453" s="57"/>
      <c r="L1453" s="11"/>
      <c r="M1453" s="41"/>
      <c r="N1453" s="11"/>
    </row>
    <row r="1454" spans="8:14" x14ac:dyDescent="0.25">
      <c r="H1454" s="37"/>
      <c r="I1454" s="79"/>
      <c r="J1454" s="70"/>
      <c r="K1454" s="57"/>
      <c r="L1454" s="11"/>
      <c r="M1454" s="41"/>
      <c r="N1454" s="11"/>
    </row>
    <row r="1455" spans="8:14" x14ac:dyDescent="0.25">
      <c r="H1455" s="37"/>
      <c r="I1455" s="79"/>
      <c r="J1455" s="70"/>
      <c r="K1455" s="57"/>
      <c r="L1455" s="11"/>
      <c r="M1455" s="41"/>
      <c r="N1455" s="11"/>
    </row>
    <row r="1456" spans="8:14" x14ac:dyDescent="0.25">
      <c r="H1456" s="37"/>
      <c r="I1456" s="79"/>
      <c r="J1456" s="70"/>
      <c r="K1456" s="57"/>
      <c r="L1456" s="11"/>
      <c r="M1456" s="41"/>
      <c r="N1456" s="11"/>
    </row>
    <row r="1457" spans="8:14" x14ac:dyDescent="0.25">
      <c r="H1457" s="37"/>
      <c r="I1457" s="79"/>
      <c r="J1457" s="70"/>
      <c r="K1457" s="57"/>
      <c r="L1457" s="11"/>
      <c r="M1457" s="41"/>
      <c r="N1457" s="11"/>
    </row>
    <row r="1458" spans="8:14" x14ac:dyDescent="0.25">
      <c r="H1458" s="37"/>
      <c r="I1458" s="79"/>
      <c r="J1458" s="70"/>
      <c r="K1458" s="57"/>
      <c r="L1458" s="11"/>
      <c r="M1458" s="41"/>
      <c r="N1458" s="11"/>
    </row>
    <row r="1459" spans="8:14" x14ac:dyDescent="0.25">
      <c r="H1459" s="37"/>
      <c r="I1459" s="79"/>
      <c r="J1459" s="70"/>
      <c r="K1459" s="57"/>
      <c r="L1459" s="11"/>
      <c r="M1459" s="41"/>
      <c r="N1459" s="11"/>
    </row>
    <row r="1460" spans="8:14" x14ac:dyDescent="0.25">
      <c r="H1460" s="37"/>
      <c r="I1460" s="79"/>
      <c r="J1460" s="70"/>
      <c r="K1460" s="57"/>
      <c r="L1460" s="11"/>
      <c r="M1460" s="41"/>
      <c r="N1460" s="11"/>
    </row>
    <row r="1461" spans="8:14" x14ac:dyDescent="0.25">
      <c r="H1461" s="37"/>
      <c r="I1461" s="79"/>
      <c r="J1461" s="70"/>
      <c r="K1461" s="57"/>
      <c r="L1461" s="11"/>
      <c r="M1461" s="41"/>
      <c r="N1461" s="11"/>
    </row>
    <row r="1462" spans="8:14" x14ac:dyDescent="0.25">
      <c r="H1462" s="37"/>
      <c r="I1462" s="79"/>
      <c r="J1462" s="70"/>
      <c r="K1462" s="57"/>
      <c r="L1462" s="11"/>
      <c r="M1462" s="41"/>
      <c r="N1462" s="11"/>
    </row>
    <row r="1463" spans="8:14" x14ac:dyDescent="0.25">
      <c r="H1463" s="37"/>
      <c r="I1463" s="79"/>
      <c r="J1463" s="70"/>
      <c r="K1463" s="57"/>
      <c r="L1463" s="11"/>
      <c r="M1463" s="41"/>
      <c r="N1463" s="11"/>
    </row>
    <row r="1464" spans="8:14" x14ac:dyDescent="0.25">
      <c r="H1464" s="37"/>
      <c r="I1464" s="79"/>
      <c r="J1464" s="70"/>
      <c r="K1464" s="57"/>
      <c r="L1464" s="11"/>
      <c r="M1464" s="41"/>
      <c r="N1464" s="11"/>
    </row>
    <row r="1465" spans="8:14" x14ac:dyDescent="0.25">
      <c r="H1465" s="37"/>
      <c r="I1465" s="79"/>
      <c r="J1465" s="70"/>
      <c r="K1465" s="57"/>
      <c r="L1465" s="11"/>
      <c r="M1465" s="41"/>
      <c r="N1465" s="11"/>
    </row>
    <row r="1466" spans="8:14" x14ac:dyDescent="0.25">
      <c r="H1466" s="37"/>
      <c r="I1466" s="79"/>
      <c r="J1466" s="70"/>
      <c r="K1466" s="57"/>
      <c r="L1466" s="11"/>
      <c r="M1466" s="41"/>
      <c r="N1466" s="11"/>
    </row>
    <row r="1467" spans="8:14" x14ac:dyDescent="0.25">
      <c r="H1467" s="37"/>
      <c r="I1467" s="79"/>
      <c r="J1467" s="70"/>
      <c r="K1467" s="57"/>
      <c r="L1467" s="11"/>
      <c r="M1467" s="41"/>
      <c r="N1467" s="11"/>
    </row>
    <row r="1468" spans="8:14" x14ac:dyDescent="0.25">
      <c r="H1468" s="37"/>
      <c r="I1468" s="79"/>
      <c r="J1468" s="70"/>
      <c r="K1468" s="57"/>
      <c r="L1468" s="11"/>
      <c r="M1468" s="41"/>
      <c r="N1468" s="11"/>
    </row>
    <row r="1469" spans="8:14" x14ac:dyDescent="0.25">
      <c r="H1469" s="37"/>
      <c r="I1469" s="79"/>
      <c r="J1469" s="70"/>
      <c r="K1469" s="57"/>
      <c r="L1469" s="11"/>
      <c r="M1469" s="41"/>
      <c r="N1469" s="11"/>
    </row>
    <row r="1470" spans="8:14" x14ac:dyDescent="0.25">
      <c r="H1470" s="37"/>
      <c r="I1470" s="79"/>
      <c r="J1470" s="70"/>
      <c r="K1470" s="57"/>
      <c r="L1470" s="11"/>
      <c r="M1470" s="41"/>
      <c r="N1470" s="11"/>
    </row>
    <row r="1471" spans="8:14" x14ac:dyDescent="0.25">
      <c r="H1471" s="37"/>
      <c r="I1471" s="79"/>
      <c r="J1471" s="70"/>
      <c r="K1471" s="57"/>
      <c r="L1471" s="11"/>
      <c r="M1471" s="41"/>
      <c r="N1471" s="11"/>
    </row>
    <row r="1472" spans="8:14" x14ac:dyDescent="0.25">
      <c r="H1472" s="37"/>
      <c r="I1472" s="79"/>
      <c r="J1472" s="70"/>
      <c r="K1472" s="57"/>
      <c r="L1472" s="11"/>
      <c r="M1472" s="41"/>
      <c r="N1472" s="11"/>
    </row>
    <row r="1473" spans="8:14" x14ac:dyDescent="0.25">
      <c r="H1473" s="37"/>
      <c r="I1473" s="79"/>
      <c r="J1473" s="70"/>
      <c r="K1473" s="57"/>
      <c r="L1473" s="11"/>
      <c r="M1473" s="41"/>
      <c r="N1473" s="11"/>
    </row>
    <row r="1474" spans="8:14" x14ac:dyDescent="0.25">
      <c r="H1474" s="37"/>
      <c r="I1474" s="79"/>
      <c r="J1474" s="70"/>
      <c r="K1474" s="57"/>
      <c r="L1474" s="11"/>
      <c r="M1474" s="41"/>
      <c r="N1474" s="11"/>
    </row>
    <row r="1475" spans="8:14" x14ac:dyDescent="0.25">
      <c r="H1475" s="37"/>
      <c r="I1475" s="79"/>
      <c r="J1475" s="70"/>
      <c r="K1475" s="57"/>
      <c r="L1475" s="11"/>
      <c r="M1475" s="41"/>
      <c r="N1475" s="11"/>
    </row>
    <row r="1476" spans="8:14" x14ac:dyDescent="0.25">
      <c r="H1476" s="37"/>
      <c r="I1476" s="79"/>
      <c r="J1476" s="70"/>
      <c r="K1476" s="57"/>
      <c r="L1476" s="11"/>
      <c r="M1476" s="41"/>
      <c r="N1476" s="11"/>
    </row>
    <row r="1477" spans="8:14" x14ac:dyDescent="0.25">
      <c r="H1477" s="37"/>
      <c r="I1477" s="79"/>
      <c r="J1477" s="70"/>
      <c r="K1477" s="57"/>
      <c r="L1477" s="11"/>
      <c r="M1477" s="41"/>
      <c r="N1477" s="11"/>
    </row>
    <row r="1478" spans="8:14" x14ac:dyDescent="0.25">
      <c r="H1478" s="37"/>
      <c r="I1478" s="79"/>
      <c r="J1478" s="70"/>
      <c r="K1478" s="57"/>
      <c r="L1478" s="11"/>
      <c r="M1478" s="41"/>
      <c r="N1478" s="11"/>
    </row>
    <row r="1479" spans="8:14" x14ac:dyDescent="0.25">
      <c r="H1479" s="37"/>
      <c r="I1479" s="79"/>
      <c r="J1479" s="70"/>
      <c r="K1479" s="57"/>
      <c r="L1479" s="11"/>
      <c r="M1479" s="41"/>
      <c r="N1479" s="11"/>
    </row>
    <row r="1480" spans="8:14" x14ac:dyDescent="0.25">
      <c r="H1480" s="37"/>
      <c r="I1480" s="79"/>
      <c r="J1480" s="70"/>
      <c r="K1480" s="57"/>
      <c r="L1480" s="11"/>
      <c r="M1480" s="41"/>
      <c r="N1480" s="11"/>
    </row>
    <row r="1481" spans="8:14" x14ac:dyDescent="0.25">
      <c r="H1481" s="37"/>
      <c r="I1481" s="79"/>
      <c r="J1481" s="70"/>
      <c r="K1481" s="57"/>
      <c r="L1481" s="11"/>
      <c r="M1481" s="41"/>
      <c r="N1481" s="11"/>
    </row>
    <row r="1482" spans="8:14" x14ac:dyDescent="0.25">
      <c r="H1482" s="37"/>
      <c r="I1482" s="79"/>
      <c r="J1482" s="70"/>
      <c r="K1482" s="57"/>
      <c r="L1482" s="11"/>
      <c r="M1482" s="41"/>
      <c r="N1482" s="11"/>
    </row>
    <row r="1483" spans="8:14" x14ac:dyDescent="0.25">
      <c r="H1483" s="37"/>
      <c r="I1483" s="79"/>
      <c r="J1483" s="70"/>
      <c r="K1483" s="57"/>
      <c r="L1483" s="11"/>
      <c r="M1483" s="41"/>
      <c r="N1483" s="11"/>
    </row>
    <row r="1484" spans="8:14" x14ac:dyDescent="0.25">
      <c r="H1484" s="37"/>
      <c r="I1484" s="79"/>
      <c r="J1484" s="70"/>
      <c r="K1484" s="57"/>
      <c r="L1484" s="11"/>
      <c r="M1484" s="41"/>
      <c r="N1484" s="11"/>
    </row>
    <row r="1485" spans="8:14" x14ac:dyDescent="0.25">
      <c r="H1485" s="37"/>
      <c r="I1485" s="79"/>
      <c r="J1485" s="70"/>
      <c r="K1485" s="57"/>
      <c r="L1485" s="11"/>
      <c r="M1485" s="41"/>
      <c r="N1485" s="11"/>
    </row>
    <row r="1486" spans="8:14" x14ac:dyDescent="0.25">
      <c r="H1486" s="37"/>
      <c r="I1486" s="79"/>
      <c r="J1486" s="70"/>
      <c r="K1486" s="57"/>
      <c r="L1486" s="11"/>
      <c r="M1486" s="41"/>
      <c r="N1486" s="11"/>
    </row>
    <row r="1487" spans="8:14" x14ac:dyDescent="0.25">
      <c r="H1487" s="37"/>
      <c r="I1487" s="79"/>
      <c r="J1487" s="70"/>
      <c r="K1487" s="57"/>
      <c r="L1487" s="11"/>
      <c r="M1487" s="41"/>
      <c r="N1487" s="11"/>
    </row>
    <row r="1488" spans="8:14" x14ac:dyDescent="0.25">
      <c r="H1488" s="37"/>
      <c r="I1488" s="79"/>
      <c r="J1488" s="70"/>
      <c r="K1488" s="57"/>
      <c r="L1488" s="11"/>
      <c r="M1488" s="41"/>
      <c r="N1488" s="11"/>
    </row>
    <row r="1489" spans="8:14" x14ac:dyDescent="0.25">
      <c r="H1489" s="37"/>
      <c r="I1489" s="79"/>
      <c r="J1489" s="70"/>
      <c r="K1489" s="57"/>
      <c r="L1489" s="11"/>
      <c r="M1489" s="41"/>
      <c r="N1489" s="11"/>
    </row>
    <row r="1490" spans="8:14" x14ac:dyDescent="0.25">
      <c r="H1490" s="37"/>
      <c r="I1490" s="79"/>
      <c r="J1490" s="70"/>
      <c r="K1490" s="57"/>
      <c r="L1490" s="11"/>
      <c r="M1490" s="41"/>
      <c r="N1490" s="11"/>
    </row>
    <row r="1491" spans="8:14" x14ac:dyDescent="0.25">
      <c r="H1491" s="37"/>
      <c r="I1491" s="79"/>
      <c r="J1491" s="70"/>
      <c r="K1491" s="57"/>
      <c r="L1491" s="11"/>
      <c r="M1491" s="41"/>
      <c r="N1491" s="11"/>
    </row>
    <row r="1492" spans="8:14" x14ac:dyDescent="0.25">
      <c r="H1492" s="37"/>
      <c r="I1492" s="79"/>
      <c r="J1492" s="70"/>
      <c r="K1492" s="57"/>
      <c r="L1492" s="11"/>
      <c r="M1492" s="41"/>
      <c r="N1492" s="11"/>
    </row>
    <row r="1493" spans="8:14" x14ac:dyDescent="0.25">
      <c r="H1493" s="37"/>
      <c r="I1493" s="79"/>
      <c r="J1493" s="70"/>
      <c r="K1493" s="57"/>
      <c r="L1493" s="11"/>
      <c r="M1493" s="41"/>
      <c r="N1493" s="11"/>
    </row>
    <row r="1494" spans="8:14" x14ac:dyDescent="0.25">
      <c r="H1494" s="37"/>
      <c r="I1494" s="79"/>
      <c r="J1494" s="70"/>
      <c r="K1494" s="57"/>
      <c r="L1494" s="11"/>
      <c r="M1494" s="41"/>
      <c r="N1494" s="11"/>
    </row>
    <row r="1495" spans="8:14" x14ac:dyDescent="0.25">
      <c r="H1495" s="37"/>
      <c r="I1495" s="79"/>
      <c r="J1495" s="70"/>
      <c r="K1495" s="57"/>
      <c r="L1495" s="11"/>
      <c r="M1495" s="41"/>
      <c r="N1495" s="11"/>
    </row>
    <row r="1496" spans="8:14" x14ac:dyDescent="0.25">
      <c r="H1496" s="37"/>
      <c r="I1496" s="79"/>
      <c r="J1496" s="70"/>
      <c r="K1496" s="57"/>
      <c r="L1496" s="11"/>
      <c r="M1496" s="41"/>
      <c r="N1496" s="11"/>
    </row>
    <row r="1497" spans="8:14" x14ac:dyDescent="0.25">
      <c r="H1497" s="37"/>
      <c r="I1497" s="79"/>
      <c r="J1497" s="70"/>
      <c r="K1497" s="57"/>
      <c r="L1497" s="11"/>
      <c r="M1497" s="41"/>
      <c r="N1497" s="11"/>
    </row>
    <row r="1498" spans="8:14" x14ac:dyDescent="0.25">
      <c r="H1498" s="37"/>
      <c r="I1498" s="79"/>
      <c r="J1498" s="70"/>
      <c r="K1498" s="57"/>
      <c r="L1498" s="11"/>
      <c r="M1498" s="41"/>
      <c r="N1498" s="11"/>
    </row>
    <row r="1499" spans="8:14" x14ac:dyDescent="0.25">
      <c r="H1499" s="37"/>
      <c r="I1499" s="79"/>
      <c r="J1499" s="70"/>
      <c r="K1499" s="57"/>
      <c r="L1499" s="11"/>
      <c r="M1499" s="41"/>
      <c r="N1499" s="11"/>
    </row>
    <row r="1500" spans="8:14" x14ac:dyDescent="0.25">
      <c r="H1500" s="37"/>
      <c r="I1500" s="79"/>
      <c r="J1500" s="70"/>
      <c r="K1500" s="57"/>
      <c r="L1500" s="11"/>
      <c r="M1500" s="41"/>
      <c r="N1500" s="11"/>
    </row>
    <row r="1501" spans="8:14" x14ac:dyDescent="0.25">
      <c r="H1501" s="37"/>
      <c r="I1501" s="79"/>
      <c r="J1501" s="70"/>
      <c r="K1501" s="57"/>
      <c r="L1501" s="11"/>
      <c r="M1501" s="41"/>
      <c r="N1501" s="11"/>
    </row>
    <row r="1502" spans="8:14" x14ac:dyDescent="0.25">
      <c r="H1502" s="37"/>
      <c r="I1502" s="79"/>
      <c r="J1502" s="70"/>
      <c r="K1502" s="57"/>
      <c r="L1502" s="11"/>
      <c r="M1502" s="41"/>
      <c r="N1502" s="11"/>
    </row>
    <row r="1503" spans="8:14" x14ac:dyDescent="0.25">
      <c r="H1503" s="37"/>
      <c r="I1503" s="79"/>
      <c r="J1503" s="70"/>
      <c r="K1503" s="57"/>
      <c r="L1503" s="11"/>
      <c r="M1503" s="41"/>
      <c r="N1503" s="11"/>
    </row>
    <row r="1504" spans="8:14" x14ac:dyDescent="0.25">
      <c r="H1504" s="37"/>
      <c r="I1504" s="79"/>
      <c r="J1504" s="70"/>
      <c r="K1504" s="57"/>
      <c r="L1504" s="11"/>
      <c r="M1504" s="41"/>
      <c r="N1504" s="11"/>
    </row>
    <row r="1505" spans="8:14" x14ac:dyDescent="0.25">
      <c r="H1505" s="37"/>
      <c r="I1505" s="79"/>
      <c r="J1505" s="70"/>
      <c r="K1505" s="57"/>
      <c r="L1505" s="11"/>
      <c r="M1505" s="41"/>
      <c r="N1505" s="11"/>
    </row>
    <row r="1506" spans="8:14" x14ac:dyDescent="0.25">
      <c r="H1506" s="37"/>
      <c r="I1506" s="79"/>
      <c r="J1506" s="70"/>
      <c r="K1506" s="57"/>
      <c r="L1506" s="11"/>
      <c r="M1506" s="41"/>
      <c r="N1506" s="11"/>
    </row>
    <row r="1507" spans="8:14" x14ac:dyDescent="0.25">
      <c r="H1507" s="37"/>
      <c r="I1507" s="79"/>
      <c r="J1507" s="70"/>
      <c r="K1507" s="57"/>
      <c r="L1507" s="11"/>
      <c r="M1507" s="41"/>
      <c r="N1507" s="11"/>
    </row>
    <row r="1508" spans="8:14" x14ac:dyDescent="0.25">
      <c r="H1508" s="37"/>
      <c r="I1508" s="79"/>
      <c r="J1508" s="70"/>
      <c r="K1508" s="57"/>
      <c r="L1508" s="11"/>
      <c r="M1508" s="41"/>
      <c r="N1508" s="11"/>
    </row>
    <row r="1509" spans="8:14" x14ac:dyDescent="0.25">
      <c r="H1509" s="37"/>
      <c r="I1509" s="79"/>
      <c r="J1509" s="70"/>
      <c r="K1509" s="57"/>
      <c r="L1509" s="11"/>
      <c r="M1509" s="41"/>
      <c r="N1509" s="11"/>
    </row>
    <row r="1510" spans="8:14" x14ac:dyDescent="0.25">
      <c r="H1510" s="37"/>
      <c r="I1510" s="79"/>
      <c r="J1510" s="70"/>
      <c r="K1510" s="57"/>
      <c r="L1510" s="11"/>
      <c r="M1510" s="41"/>
      <c r="N1510" s="11"/>
    </row>
    <row r="1511" spans="8:14" x14ac:dyDescent="0.25">
      <c r="H1511" s="37"/>
      <c r="I1511" s="79"/>
      <c r="J1511" s="70"/>
      <c r="K1511" s="57"/>
      <c r="L1511" s="11"/>
      <c r="M1511" s="41"/>
      <c r="N1511" s="11"/>
    </row>
    <row r="1512" spans="8:14" x14ac:dyDescent="0.25">
      <c r="H1512" s="37"/>
      <c r="I1512" s="79"/>
      <c r="J1512" s="70"/>
      <c r="K1512" s="57"/>
      <c r="L1512" s="11"/>
      <c r="M1512" s="41"/>
      <c r="N1512" s="11"/>
    </row>
    <row r="1513" spans="8:14" x14ac:dyDescent="0.25">
      <c r="H1513" s="37"/>
      <c r="I1513" s="79"/>
      <c r="J1513" s="70"/>
      <c r="K1513" s="57"/>
      <c r="L1513" s="11"/>
      <c r="M1513" s="41"/>
      <c r="N1513" s="11"/>
    </row>
    <row r="1514" spans="8:14" x14ac:dyDescent="0.25">
      <c r="H1514" s="37"/>
      <c r="I1514" s="79"/>
      <c r="J1514" s="70"/>
      <c r="K1514" s="57"/>
      <c r="L1514" s="11"/>
      <c r="M1514" s="41"/>
      <c r="N1514" s="11"/>
    </row>
    <row r="1515" spans="8:14" x14ac:dyDescent="0.25">
      <c r="H1515" s="37"/>
      <c r="I1515" s="79"/>
      <c r="J1515" s="70"/>
      <c r="K1515" s="57"/>
      <c r="L1515" s="11"/>
      <c r="M1515" s="41"/>
      <c r="N1515" s="11"/>
    </row>
    <row r="1516" spans="8:14" x14ac:dyDescent="0.25">
      <c r="H1516" s="37"/>
      <c r="I1516" s="79"/>
      <c r="J1516" s="70"/>
      <c r="K1516" s="57"/>
      <c r="L1516" s="11"/>
      <c r="M1516" s="41"/>
      <c r="N1516" s="11"/>
    </row>
    <row r="1517" spans="8:14" x14ac:dyDescent="0.25">
      <c r="H1517" s="37"/>
      <c r="I1517" s="79"/>
      <c r="J1517" s="70"/>
      <c r="K1517" s="57"/>
      <c r="L1517" s="11"/>
      <c r="M1517" s="41"/>
      <c r="N1517" s="11"/>
    </row>
    <row r="1518" spans="8:14" x14ac:dyDescent="0.25">
      <c r="H1518" s="37"/>
      <c r="I1518" s="79"/>
      <c r="J1518" s="70"/>
      <c r="K1518" s="57"/>
      <c r="L1518" s="11"/>
      <c r="M1518" s="41"/>
      <c r="N1518" s="11"/>
    </row>
    <row r="1519" spans="8:14" x14ac:dyDescent="0.25">
      <c r="H1519" s="37"/>
      <c r="I1519" s="79"/>
      <c r="J1519" s="70"/>
      <c r="K1519" s="57"/>
      <c r="L1519" s="11"/>
      <c r="M1519" s="41"/>
      <c r="N1519" s="11"/>
    </row>
    <row r="1520" spans="8:14" x14ac:dyDescent="0.25">
      <c r="H1520" s="37"/>
      <c r="I1520" s="79"/>
      <c r="J1520" s="70"/>
      <c r="K1520" s="57"/>
      <c r="L1520" s="11"/>
      <c r="M1520" s="41"/>
      <c r="N1520" s="11"/>
    </row>
    <row r="1521" spans="8:14" x14ac:dyDescent="0.25">
      <c r="H1521" s="37"/>
      <c r="I1521" s="79"/>
      <c r="J1521" s="70"/>
      <c r="K1521" s="57"/>
      <c r="L1521" s="11"/>
      <c r="M1521" s="41"/>
      <c r="N1521" s="11"/>
    </row>
    <row r="1522" spans="8:14" x14ac:dyDescent="0.25">
      <c r="H1522" s="37"/>
      <c r="I1522" s="79"/>
      <c r="J1522" s="70"/>
      <c r="K1522" s="57"/>
      <c r="L1522" s="11"/>
      <c r="M1522" s="41"/>
      <c r="N1522" s="11"/>
    </row>
    <row r="1523" spans="8:14" x14ac:dyDescent="0.25">
      <c r="H1523" s="37"/>
      <c r="I1523" s="79"/>
      <c r="J1523" s="70"/>
      <c r="K1523" s="57"/>
      <c r="L1523" s="11"/>
      <c r="M1523" s="41"/>
      <c r="N1523" s="11"/>
    </row>
    <row r="1524" spans="8:14" x14ac:dyDescent="0.25">
      <c r="H1524" s="37"/>
      <c r="I1524" s="79"/>
      <c r="J1524" s="70"/>
      <c r="K1524" s="57"/>
      <c r="L1524" s="11"/>
      <c r="M1524" s="41"/>
      <c r="N1524" s="11"/>
    </row>
    <row r="1525" spans="8:14" x14ac:dyDescent="0.25">
      <c r="H1525" s="37"/>
      <c r="I1525" s="79"/>
      <c r="J1525" s="70"/>
      <c r="K1525" s="57"/>
      <c r="L1525" s="11"/>
      <c r="M1525" s="41"/>
      <c r="N1525" s="11"/>
    </row>
    <row r="1526" spans="8:14" x14ac:dyDescent="0.25">
      <c r="H1526" s="37"/>
      <c r="I1526" s="79"/>
      <c r="J1526" s="70"/>
      <c r="K1526" s="57"/>
      <c r="L1526" s="11"/>
      <c r="M1526" s="41"/>
      <c r="N1526" s="11"/>
    </row>
    <row r="1527" spans="8:14" x14ac:dyDescent="0.25">
      <c r="H1527" s="37"/>
      <c r="I1527" s="79"/>
      <c r="J1527" s="70"/>
      <c r="K1527" s="57"/>
      <c r="L1527" s="11"/>
      <c r="M1527" s="41"/>
      <c r="N1527" s="11"/>
    </row>
    <row r="1528" spans="8:14" x14ac:dyDescent="0.25">
      <c r="H1528" s="37"/>
      <c r="I1528" s="79"/>
      <c r="J1528" s="70"/>
      <c r="K1528" s="57"/>
      <c r="L1528" s="11"/>
      <c r="M1528" s="41"/>
      <c r="N1528" s="11"/>
    </row>
    <row r="1529" spans="8:14" x14ac:dyDescent="0.25">
      <c r="H1529" s="37"/>
      <c r="I1529" s="79"/>
      <c r="J1529" s="70"/>
      <c r="K1529" s="57"/>
      <c r="L1529" s="11"/>
      <c r="M1529" s="41"/>
      <c r="N1529" s="11"/>
    </row>
    <row r="1530" spans="8:14" x14ac:dyDescent="0.25">
      <c r="H1530" s="37"/>
      <c r="I1530" s="79"/>
      <c r="J1530" s="70"/>
      <c r="K1530" s="57"/>
      <c r="L1530" s="11"/>
      <c r="M1530" s="41"/>
      <c r="N1530" s="11"/>
    </row>
    <row r="1531" spans="8:14" x14ac:dyDescent="0.25">
      <c r="H1531" s="37"/>
      <c r="I1531" s="79"/>
      <c r="J1531" s="70"/>
      <c r="K1531" s="57"/>
      <c r="L1531" s="11"/>
      <c r="M1531" s="41"/>
      <c r="N1531" s="11"/>
    </row>
    <row r="1532" spans="8:14" x14ac:dyDescent="0.25">
      <c r="H1532" s="37"/>
      <c r="I1532" s="79"/>
      <c r="J1532" s="70"/>
      <c r="K1532" s="57"/>
      <c r="L1532" s="11"/>
      <c r="M1532" s="41"/>
      <c r="N1532" s="11"/>
    </row>
    <row r="1533" spans="8:14" x14ac:dyDescent="0.25">
      <c r="H1533" s="37"/>
      <c r="I1533" s="79"/>
      <c r="J1533" s="70"/>
      <c r="K1533" s="57"/>
      <c r="L1533" s="11"/>
      <c r="M1533" s="41"/>
      <c r="N1533" s="11"/>
    </row>
    <row r="1534" spans="8:14" x14ac:dyDescent="0.25">
      <c r="H1534" s="37"/>
      <c r="I1534" s="79"/>
      <c r="J1534" s="70"/>
      <c r="K1534" s="57"/>
      <c r="L1534" s="11"/>
      <c r="M1534" s="41"/>
      <c r="N1534" s="11"/>
    </row>
    <row r="1535" spans="8:14" x14ac:dyDescent="0.25">
      <c r="H1535" s="37"/>
      <c r="I1535" s="79"/>
      <c r="J1535" s="70"/>
      <c r="K1535" s="57"/>
      <c r="L1535" s="11"/>
      <c r="M1535" s="41"/>
      <c r="N1535" s="11"/>
    </row>
    <row r="1536" spans="8:14" x14ac:dyDescent="0.25">
      <c r="H1536" s="37"/>
      <c r="I1536" s="79"/>
      <c r="J1536" s="70"/>
      <c r="K1536" s="57"/>
      <c r="L1536" s="11"/>
      <c r="M1536" s="41"/>
      <c r="N1536" s="11"/>
    </row>
    <row r="1537" spans="8:14" x14ac:dyDescent="0.25">
      <c r="H1537" s="37"/>
      <c r="I1537" s="79"/>
      <c r="J1537" s="70"/>
      <c r="K1537" s="57"/>
      <c r="L1537" s="11"/>
      <c r="M1537" s="41"/>
      <c r="N1537" s="11"/>
    </row>
    <row r="1538" spans="8:14" x14ac:dyDescent="0.25">
      <c r="H1538" s="37"/>
      <c r="I1538" s="79"/>
      <c r="J1538" s="70"/>
      <c r="K1538" s="57"/>
      <c r="L1538" s="11"/>
      <c r="M1538" s="41"/>
      <c r="N1538" s="11"/>
    </row>
    <row r="1539" spans="8:14" x14ac:dyDescent="0.25">
      <c r="H1539" s="37"/>
      <c r="I1539" s="79"/>
      <c r="J1539" s="70"/>
      <c r="K1539" s="57"/>
      <c r="L1539" s="11"/>
      <c r="M1539" s="41"/>
      <c r="N1539" s="11"/>
    </row>
    <row r="1540" spans="8:14" x14ac:dyDescent="0.25">
      <c r="H1540" s="37"/>
      <c r="I1540" s="79"/>
      <c r="J1540" s="70"/>
      <c r="K1540" s="57"/>
      <c r="L1540" s="11"/>
      <c r="M1540" s="41"/>
      <c r="N1540" s="11"/>
    </row>
    <row r="1541" spans="8:14" x14ac:dyDescent="0.25">
      <c r="H1541" s="37"/>
      <c r="I1541" s="79"/>
      <c r="J1541" s="70"/>
      <c r="K1541" s="57"/>
      <c r="L1541" s="11"/>
      <c r="M1541" s="41"/>
      <c r="N1541" s="11"/>
    </row>
    <row r="1542" spans="8:14" x14ac:dyDescent="0.25">
      <c r="H1542" s="37"/>
      <c r="I1542" s="79"/>
      <c r="J1542" s="70"/>
      <c r="K1542" s="57"/>
      <c r="L1542" s="11"/>
      <c r="M1542" s="41"/>
      <c r="N1542" s="11"/>
    </row>
    <row r="1543" spans="8:14" x14ac:dyDescent="0.25">
      <c r="H1543" s="37"/>
      <c r="I1543" s="79"/>
      <c r="J1543" s="70"/>
      <c r="K1543" s="57"/>
      <c r="L1543" s="11"/>
      <c r="M1543" s="41"/>
      <c r="N1543" s="11"/>
    </row>
    <row r="1544" spans="8:14" x14ac:dyDescent="0.25">
      <c r="H1544" s="37"/>
      <c r="I1544" s="79"/>
      <c r="J1544" s="70"/>
      <c r="K1544" s="57"/>
      <c r="L1544" s="11"/>
      <c r="M1544" s="41"/>
      <c r="N1544" s="11"/>
    </row>
    <row r="1545" spans="8:14" x14ac:dyDescent="0.25">
      <c r="H1545" s="37"/>
      <c r="I1545" s="79"/>
      <c r="J1545" s="70"/>
      <c r="K1545" s="57"/>
      <c r="L1545" s="11"/>
      <c r="M1545" s="41"/>
      <c r="N1545" s="11"/>
    </row>
    <row r="1546" spans="8:14" x14ac:dyDescent="0.25">
      <c r="H1546" s="37"/>
      <c r="I1546" s="79"/>
      <c r="J1546" s="70"/>
      <c r="K1546" s="57"/>
      <c r="L1546" s="11"/>
      <c r="M1546" s="41"/>
      <c r="N1546" s="11"/>
    </row>
    <row r="1547" spans="8:14" x14ac:dyDescent="0.25">
      <c r="H1547" s="37"/>
      <c r="I1547" s="79"/>
      <c r="J1547" s="70"/>
      <c r="K1547" s="57"/>
      <c r="L1547" s="11"/>
      <c r="M1547" s="41"/>
      <c r="N1547" s="11"/>
    </row>
    <row r="1548" spans="8:14" x14ac:dyDescent="0.25">
      <c r="H1548" s="37"/>
      <c r="I1548" s="79"/>
      <c r="J1548" s="70"/>
      <c r="K1548" s="57"/>
      <c r="L1548" s="11"/>
      <c r="M1548" s="41"/>
      <c r="N1548" s="11"/>
    </row>
    <row r="1549" spans="8:14" x14ac:dyDescent="0.25">
      <c r="H1549" s="37"/>
      <c r="I1549" s="79"/>
      <c r="J1549" s="70"/>
      <c r="K1549" s="57"/>
      <c r="L1549" s="11"/>
      <c r="M1549" s="41"/>
      <c r="N1549" s="11"/>
    </row>
    <row r="1550" spans="8:14" x14ac:dyDescent="0.25">
      <c r="H1550" s="37"/>
      <c r="I1550" s="79"/>
      <c r="J1550" s="70"/>
      <c r="K1550" s="57"/>
      <c r="L1550" s="11"/>
      <c r="M1550" s="41"/>
      <c r="N1550" s="11"/>
    </row>
    <row r="1551" spans="8:14" x14ac:dyDescent="0.25">
      <c r="H1551" s="37"/>
      <c r="I1551" s="79"/>
      <c r="J1551" s="70"/>
      <c r="K1551" s="57"/>
      <c r="L1551" s="11"/>
      <c r="M1551" s="41"/>
      <c r="N1551" s="11"/>
    </row>
    <row r="1552" spans="8:14" x14ac:dyDescent="0.25">
      <c r="H1552" s="37"/>
      <c r="I1552" s="79"/>
      <c r="J1552" s="70"/>
      <c r="K1552" s="57"/>
      <c r="L1552" s="11"/>
      <c r="M1552" s="41"/>
      <c r="N1552" s="11"/>
    </row>
    <row r="1553" spans="8:14" x14ac:dyDescent="0.25">
      <c r="H1553" s="37"/>
      <c r="I1553" s="79"/>
      <c r="J1553" s="70"/>
      <c r="K1553" s="57"/>
      <c r="L1553" s="11"/>
      <c r="M1553" s="41"/>
      <c r="N1553" s="11"/>
    </row>
    <row r="1554" spans="8:14" x14ac:dyDescent="0.25">
      <c r="H1554" s="37"/>
      <c r="I1554" s="79"/>
      <c r="J1554" s="70"/>
      <c r="K1554" s="57"/>
      <c r="L1554" s="11"/>
      <c r="M1554" s="41"/>
      <c r="N1554" s="11"/>
    </row>
    <row r="1555" spans="8:14" x14ac:dyDescent="0.25">
      <c r="H1555" s="37"/>
      <c r="I1555" s="79"/>
      <c r="J1555" s="70"/>
      <c r="K1555" s="57"/>
      <c r="L1555" s="11"/>
      <c r="M1555" s="41"/>
      <c r="N1555" s="11"/>
    </row>
    <row r="1556" spans="8:14" x14ac:dyDescent="0.25">
      <c r="H1556" s="37"/>
      <c r="I1556" s="79"/>
      <c r="J1556" s="70"/>
      <c r="K1556" s="57"/>
      <c r="L1556" s="11"/>
      <c r="M1556" s="41"/>
      <c r="N1556" s="11"/>
    </row>
    <row r="1557" spans="8:14" x14ac:dyDescent="0.25">
      <c r="H1557" s="37"/>
      <c r="I1557" s="79"/>
      <c r="J1557" s="70"/>
      <c r="K1557" s="57"/>
      <c r="L1557" s="11"/>
      <c r="M1557" s="41"/>
      <c r="N1557" s="11"/>
    </row>
    <row r="1558" spans="8:14" x14ac:dyDescent="0.25">
      <c r="H1558" s="37"/>
      <c r="I1558" s="79"/>
      <c r="J1558" s="70"/>
      <c r="K1558" s="57"/>
      <c r="L1558" s="11"/>
      <c r="M1558" s="41"/>
      <c r="N1558" s="11"/>
    </row>
    <row r="1559" spans="8:14" x14ac:dyDescent="0.25">
      <c r="H1559" s="37"/>
      <c r="I1559" s="79"/>
      <c r="J1559" s="70"/>
      <c r="K1559" s="57"/>
      <c r="L1559" s="11"/>
      <c r="M1559" s="41"/>
      <c r="N1559" s="11"/>
    </row>
    <row r="1560" spans="8:14" x14ac:dyDescent="0.25">
      <c r="H1560" s="37"/>
      <c r="I1560" s="79"/>
      <c r="J1560" s="70"/>
      <c r="K1560" s="57"/>
      <c r="L1560" s="11"/>
      <c r="M1560" s="41"/>
      <c r="N1560" s="11"/>
    </row>
    <row r="1561" spans="8:14" x14ac:dyDescent="0.25">
      <c r="H1561" s="37"/>
      <c r="I1561" s="79"/>
      <c r="J1561" s="70"/>
      <c r="K1561" s="57"/>
      <c r="L1561" s="11"/>
      <c r="M1561" s="41"/>
      <c r="N1561" s="11"/>
    </row>
    <row r="1562" spans="8:14" x14ac:dyDescent="0.25">
      <c r="H1562" s="37"/>
      <c r="I1562" s="79"/>
      <c r="J1562" s="70"/>
      <c r="K1562" s="57"/>
      <c r="L1562" s="11"/>
      <c r="M1562" s="41"/>
      <c r="N1562" s="11"/>
    </row>
    <row r="1563" spans="8:14" x14ac:dyDescent="0.25">
      <c r="H1563" s="37"/>
      <c r="I1563" s="79"/>
      <c r="J1563" s="70"/>
      <c r="K1563" s="57"/>
      <c r="L1563" s="11"/>
      <c r="M1563" s="41"/>
      <c r="N1563" s="11"/>
    </row>
    <row r="1564" spans="8:14" x14ac:dyDescent="0.25">
      <c r="H1564" s="37"/>
      <c r="I1564" s="79"/>
      <c r="J1564" s="70"/>
      <c r="K1564" s="57"/>
      <c r="L1564" s="11"/>
      <c r="M1564" s="41"/>
      <c r="N1564" s="11"/>
    </row>
    <row r="1565" spans="8:14" x14ac:dyDescent="0.25">
      <c r="H1565" s="37"/>
      <c r="I1565" s="79"/>
      <c r="J1565" s="70"/>
      <c r="K1565" s="57"/>
      <c r="L1565" s="11"/>
      <c r="M1565" s="41"/>
      <c r="N1565" s="11"/>
    </row>
    <row r="1566" spans="8:14" x14ac:dyDescent="0.25">
      <c r="H1566" s="37"/>
      <c r="I1566" s="79"/>
      <c r="J1566" s="70"/>
      <c r="K1566" s="57"/>
      <c r="L1566" s="11"/>
      <c r="M1566" s="41"/>
      <c r="N1566" s="11"/>
    </row>
    <row r="1567" spans="8:14" x14ac:dyDescent="0.25">
      <c r="H1567" s="37"/>
      <c r="I1567" s="79"/>
      <c r="J1567" s="70"/>
      <c r="K1567" s="57"/>
      <c r="L1567" s="11"/>
      <c r="M1567" s="41"/>
      <c r="N1567" s="11"/>
    </row>
    <row r="1568" spans="8:14" x14ac:dyDescent="0.25">
      <c r="H1568" s="37"/>
      <c r="I1568" s="79"/>
      <c r="J1568" s="70"/>
      <c r="K1568" s="57"/>
      <c r="L1568" s="11"/>
      <c r="M1568" s="41"/>
      <c r="N1568" s="11"/>
    </row>
    <row r="1569" spans="8:14" x14ac:dyDescent="0.25">
      <c r="H1569" s="37"/>
      <c r="I1569" s="79"/>
      <c r="J1569" s="70"/>
      <c r="K1569" s="57"/>
      <c r="L1569" s="11"/>
      <c r="M1569" s="41"/>
      <c r="N1569" s="11"/>
    </row>
    <row r="1570" spans="8:14" x14ac:dyDescent="0.25">
      <c r="H1570" s="37"/>
      <c r="I1570" s="79"/>
      <c r="J1570" s="70"/>
      <c r="K1570" s="57"/>
      <c r="L1570" s="11"/>
      <c r="M1570" s="41"/>
      <c r="N1570" s="11"/>
    </row>
    <row r="1571" spans="8:14" x14ac:dyDescent="0.25">
      <c r="H1571" s="37"/>
      <c r="I1571" s="79"/>
      <c r="J1571" s="70"/>
      <c r="K1571" s="57"/>
      <c r="L1571" s="11"/>
      <c r="M1571" s="41"/>
      <c r="N1571" s="11"/>
    </row>
    <row r="1572" spans="8:14" x14ac:dyDescent="0.25">
      <c r="H1572" s="37"/>
      <c r="I1572" s="79"/>
      <c r="J1572" s="70"/>
      <c r="K1572" s="57"/>
      <c r="L1572" s="11"/>
      <c r="M1572" s="41"/>
      <c r="N1572" s="11"/>
    </row>
    <row r="1573" spans="8:14" x14ac:dyDescent="0.25">
      <c r="H1573" s="37"/>
      <c r="I1573" s="79"/>
      <c r="J1573" s="70"/>
      <c r="K1573" s="57"/>
      <c r="L1573" s="11"/>
      <c r="M1573" s="41"/>
      <c r="N1573" s="11"/>
    </row>
    <row r="1574" spans="8:14" x14ac:dyDescent="0.25">
      <c r="H1574" s="37"/>
      <c r="I1574" s="79"/>
      <c r="J1574" s="70"/>
      <c r="K1574" s="57"/>
      <c r="L1574" s="11"/>
      <c r="M1574" s="41"/>
      <c r="N1574" s="11"/>
    </row>
    <row r="1575" spans="8:14" x14ac:dyDescent="0.25">
      <c r="H1575" s="37"/>
      <c r="I1575" s="79"/>
      <c r="J1575" s="70"/>
      <c r="K1575" s="57"/>
      <c r="L1575" s="11"/>
      <c r="M1575" s="41"/>
      <c r="N1575" s="11"/>
    </row>
    <row r="1576" spans="8:14" x14ac:dyDescent="0.25">
      <c r="H1576" s="37"/>
      <c r="I1576" s="79"/>
      <c r="J1576" s="70"/>
      <c r="K1576" s="57"/>
      <c r="L1576" s="11"/>
      <c r="M1576" s="41"/>
      <c r="N1576" s="11"/>
    </row>
    <row r="1577" spans="8:14" x14ac:dyDescent="0.25">
      <c r="H1577" s="37"/>
      <c r="I1577" s="79"/>
      <c r="J1577" s="70"/>
      <c r="K1577" s="57"/>
      <c r="L1577" s="11"/>
      <c r="M1577" s="41"/>
      <c r="N1577" s="11"/>
    </row>
    <row r="1578" spans="8:14" x14ac:dyDescent="0.25">
      <c r="H1578" s="37"/>
      <c r="I1578" s="79"/>
      <c r="J1578" s="70"/>
      <c r="K1578" s="57"/>
      <c r="L1578" s="11"/>
      <c r="M1578" s="41"/>
      <c r="N1578" s="11"/>
    </row>
    <row r="1579" spans="8:14" x14ac:dyDescent="0.25">
      <c r="H1579" s="37"/>
      <c r="I1579" s="79"/>
      <c r="J1579" s="70"/>
      <c r="K1579" s="57"/>
      <c r="L1579" s="11"/>
      <c r="M1579" s="41"/>
      <c r="N1579" s="11"/>
    </row>
    <row r="1580" spans="8:14" x14ac:dyDescent="0.25">
      <c r="H1580" s="37"/>
      <c r="I1580" s="79"/>
      <c r="J1580" s="70"/>
      <c r="K1580" s="57"/>
      <c r="L1580" s="11"/>
      <c r="M1580" s="41"/>
      <c r="N1580" s="11"/>
    </row>
    <row r="1581" spans="8:14" x14ac:dyDescent="0.25">
      <c r="H1581" s="37"/>
      <c r="I1581" s="79"/>
      <c r="J1581" s="70"/>
      <c r="K1581" s="57"/>
      <c r="L1581" s="11"/>
      <c r="M1581" s="41"/>
      <c r="N1581" s="11"/>
    </row>
    <row r="1582" spans="8:14" x14ac:dyDescent="0.25">
      <c r="H1582" s="37"/>
      <c r="I1582" s="79"/>
      <c r="J1582" s="70"/>
      <c r="K1582" s="57"/>
      <c r="L1582" s="11"/>
      <c r="M1582" s="41"/>
      <c r="N1582" s="11"/>
    </row>
    <row r="1583" spans="8:14" x14ac:dyDescent="0.25">
      <c r="H1583" s="37"/>
      <c r="I1583" s="79"/>
      <c r="J1583" s="70"/>
      <c r="K1583" s="57"/>
      <c r="L1583" s="11"/>
      <c r="M1583" s="41"/>
      <c r="N1583" s="11"/>
    </row>
    <row r="1584" spans="8:14" x14ac:dyDescent="0.25">
      <c r="H1584" s="37"/>
      <c r="I1584" s="79"/>
      <c r="J1584" s="70"/>
      <c r="K1584" s="57"/>
      <c r="L1584" s="11"/>
      <c r="M1584" s="41"/>
      <c r="N1584" s="11"/>
    </row>
    <row r="1585" spans="8:14" x14ac:dyDescent="0.25">
      <c r="H1585" s="37"/>
      <c r="I1585" s="79"/>
      <c r="J1585" s="70"/>
      <c r="K1585" s="57"/>
      <c r="L1585" s="11"/>
      <c r="M1585" s="41"/>
      <c r="N1585" s="11"/>
    </row>
    <row r="1586" spans="8:14" x14ac:dyDescent="0.25">
      <c r="H1586" s="37"/>
      <c r="I1586" s="79"/>
      <c r="J1586" s="70"/>
      <c r="K1586" s="57"/>
      <c r="L1586" s="11"/>
      <c r="M1586" s="41"/>
      <c r="N1586" s="11"/>
    </row>
    <row r="1587" spans="8:14" x14ac:dyDescent="0.25">
      <c r="H1587" s="37"/>
      <c r="I1587" s="79"/>
      <c r="J1587" s="70"/>
      <c r="K1587" s="57"/>
      <c r="L1587" s="11"/>
      <c r="M1587" s="41"/>
      <c r="N1587" s="11"/>
    </row>
    <row r="1588" spans="8:14" x14ac:dyDescent="0.25">
      <c r="H1588" s="37"/>
      <c r="I1588" s="79"/>
      <c r="J1588" s="70"/>
      <c r="K1588" s="57"/>
      <c r="L1588" s="11"/>
      <c r="M1588" s="41"/>
      <c r="N1588" s="11"/>
    </row>
    <row r="1589" spans="8:14" x14ac:dyDescent="0.25">
      <c r="H1589" s="37"/>
      <c r="I1589" s="79"/>
      <c r="J1589" s="70"/>
      <c r="K1589" s="57"/>
      <c r="L1589" s="11"/>
      <c r="M1589" s="41"/>
      <c r="N1589" s="11"/>
    </row>
    <row r="1590" spans="8:14" x14ac:dyDescent="0.25">
      <c r="H1590" s="37"/>
      <c r="I1590" s="79"/>
      <c r="J1590" s="70"/>
      <c r="K1590" s="57"/>
      <c r="L1590" s="11"/>
      <c r="M1590" s="41"/>
      <c r="N1590" s="11"/>
    </row>
    <row r="1591" spans="8:14" x14ac:dyDescent="0.25">
      <c r="H1591" s="37"/>
      <c r="I1591" s="79"/>
      <c r="J1591" s="70"/>
      <c r="K1591" s="57"/>
      <c r="L1591" s="11"/>
      <c r="M1591" s="41"/>
      <c r="N1591" s="11"/>
    </row>
    <row r="1592" spans="8:14" x14ac:dyDescent="0.25">
      <c r="H1592" s="37"/>
      <c r="I1592" s="79"/>
      <c r="J1592" s="70"/>
      <c r="K1592" s="57"/>
      <c r="L1592" s="11"/>
      <c r="M1592" s="41"/>
      <c r="N1592" s="11"/>
    </row>
    <row r="1593" spans="8:14" x14ac:dyDescent="0.25">
      <c r="H1593" s="37"/>
      <c r="I1593" s="79"/>
      <c r="J1593" s="70"/>
      <c r="K1593" s="57"/>
      <c r="L1593" s="11"/>
      <c r="M1593" s="41"/>
      <c r="N1593" s="11"/>
    </row>
    <row r="1594" spans="8:14" x14ac:dyDescent="0.25">
      <c r="H1594" s="37"/>
      <c r="I1594" s="79"/>
      <c r="J1594" s="70"/>
      <c r="K1594" s="57"/>
      <c r="L1594" s="11"/>
      <c r="M1594" s="41"/>
      <c r="N1594" s="11"/>
    </row>
    <row r="1595" spans="8:14" x14ac:dyDescent="0.25">
      <c r="H1595" s="37"/>
      <c r="I1595" s="79"/>
      <c r="J1595" s="70"/>
      <c r="K1595" s="57"/>
      <c r="L1595" s="11"/>
      <c r="M1595" s="41"/>
      <c r="N1595" s="11"/>
    </row>
    <row r="1596" spans="8:14" x14ac:dyDescent="0.25">
      <c r="H1596" s="37"/>
      <c r="I1596" s="79"/>
      <c r="J1596" s="70"/>
      <c r="K1596" s="57"/>
      <c r="L1596" s="11"/>
      <c r="M1596" s="41"/>
      <c r="N1596" s="11"/>
    </row>
    <row r="1597" spans="8:14" x14ac:dyDescent="0.25">
      <c r="H1597" s="37"/>
      <c r="I1597" s="79"/>
      <c r="J1597" s="70"/>
      <c r="K1597" s="57"/>
      <c r="L1597" s="11"/>
      <c r="M1597" s="41"/>
      <c r="N1597" s="11"/>
    </row>
    <row r="1598" spans="8:14" x14ac:dyDescent="0.25">
      <c r="H1598" s="37"/>
      <c r="I1598" s="79"/>
      <c r="J1598" s="70"/>
      <c r="K1598" s="57"/>
      <c r="L1598" s="11"/>
      <c r="M1598" s="41"/>
      <c r="N1598" s="11"/>
    </row>
    <row r="1599" spans="8:14" x14ac:dyDescent="0.25">
      <c r="H1599" s="37"/>
      <c r="I1599" s="79"/>
      <c r="J1599" s="70"/>
      <c r="K1599" s="57"/>
      <c r="L1599" s="11"/>
      <c r="M1599" s="41"/>
      <c r="N1599" s="11"/>
    </row>
    <row r="1600" spans="8:14" x14ac:dyDescent="0.25">
      <c r="H1600" s="37"/>
      <c r="I1600" s="79"/>
      <c r="J1600" s="70"/>
      <c r="K1600" s="57"/>
      <c r="L1600" s="11"/>
      <c r="M1600" s="41"/>
      <c r="N1600" s="11"/>
    </row>
    <row r="1601" spans="8:14" x14ac:dyDescent="0.25">
      <c r="H1601" s="37"/>
      <c r="I1601" s="79"/>
      <c r="J1601" s="70"/>
      <c r="K1601" s="57"/>
      <c r="L1601" s="11"/>
      <c r="M1601" s="41"/>
      <c r="N1601" s="11"/>
    </row>
    <row r="1602" spans="8:14" x14ac:dyDescent="0.25">
      <c r="H1602" s="37"/>
      <c r="I1602" s="79"/>
      <c r="J1602" s="70"/>
      <c r="K1602" s="57"/>
      <c r="L1602" s="11"/>
      <c r="M1602" s="41"/>
      <c r="N1602" s="11"/>
    </row>
    <row r="1603" spans="8:14" x14ac:dyDescent="0.25">
      <c r="H1603" s="37"/>
      <c r="I1603" s="79"/>
      <c r="J1603" s="70"/>
      <c r="K1603" s="57"/>
      <c r="L1603" s="11"/>
      <c r="M1603" s="41"/>
      <c r="N1603" s="11"/>
    </row>
    <row r="1604" spans="8:14" x14ac:dyDescent="0.25">
      <c r="H1604" s="37"/>
      <c r="I1604" s="79"/>
      <c r="J1604" s="70"/>
      <c r="K1604" s="57"/>
      <c r="L1604" s="11"/>
      <c r="M1604" s="41"/>
      <c r="N1604" s="11"/>
    </row>
    <row r="1605" spans="8:14" x14ac:dyDescent="0.25">
      <c r="H1605" s="37"/>
      <c r="I1605" s="79"/>
      <c r="J1605" s="70"/>
      <c r="K1605" s="57"/>
      <c r="L1605" s="11"/>
      <c r="M1605" s="41"/>
      <c r="N1605" s="11"/>
    </row>
    <row r="1606" spans="8:14" x14ac:dyDescent="0.25">
      <c r="H1606" s="37"/>
      <c r="I1606" s="79"/>
      <c r="J1606" s="70"/>
      <c r="K1606" s="57"/>
      <c r="L1606" s="11"/>
      <c r="M1606" s="41"/>
      <c r="N1606" s="11"/>
    </row>
    <row r="1607" spans="8:14" x14ac:dyDescent="0.25">
      <c r="H1607" s="37"/>
      <c r="I1607" s="79"/>
      <c r="J1607" s="70"/>
      <c r="K1607" s="57"/>
      <c r="L1607" s="11"/>
      <c r="M1607" s="41"/>
      <c r="N1607" s="11"/>
    </row>
    <row r="1608" spans="8:14" x14ac:dyDescent="0.25">
      <c r="H1608" s="37"/>
      <c r="I1608" s="79"/>
      <c r="J1608" s="70"/>
      <c r="K1608" s="57"/>
      <c r="L1608" s="11"/>
      <c r="M1608" s="41"/>
      <c r="N1608" s="11"/>
    </row>
    <row r="1609" spans="8:14" x14ac:dyDescent="0.25">
      <c r="H1609" s="37"/>
      <c r="I1609" s="79"/>
      <c r="J1609" s="70"/>
      <c r="K1609" s="57"/>
      <c r="L1609" s="11"/>
      <c r="M1609" s="41"/>
      <c r="N1609" s="11"/>
    </row>
    <row r="1610" spans="8:14" x14ac:dyDescent="0.25">
      <c r="H1610" s="37"/>
      <c r="I1610" s="79"/>
      <c r="J1610" s="70"/>
      <c r="K1610" s="57"/>
      <c r="L1610" s="11"/>
      <c r="M1610" s="41"/>
      <c r="N1610" s="11"/>
    </row>
    <row r="1611" spans="8:14" x14ac:dyDescent="0.25">
      <c r="H1611" s="37"/>
      <c r="I1611" s="79"/>
      <c r="J1611" s="70"/>
      <c r="K1611" s="57"/>
      <c r="L1611" s="11"/>
      <c r="M1611" s="41"/>
      <c r="N1611" s="11"/>
    </row>
    <row r="1612" spans="8:14" x14ac:dyDescent="0.25">
      <c r="H1612" s="37"/>
      <c r="I1612" s="79"/>
      <c r="J1612" s="70"/>
      <c r="K1612" s="57"/>
      <c r="L1612" s="11"/>
      <c r="M1612" s="41"/>
      <c r="N1612" s="11"/>
    </row>
    <row r="1613" spans="8:14" x14ac:dyDescent="0.25">
      <c r="H1613" s="37"/>
      <c r="I1613" s="79"/>
      <c r="J1613" s="70"/>
      <c r="K1613" s="57"/>
      <c r="L1613" s="11"/>
      <c r="M1613" s="41"/>
      <c r="N1613" s="11"/>
    </row>
    <row r="1614" spans="8:14" x14ac:dyDescent="0.25">
      <c r="H1614" s="37"/>
      <c r="I1614" s="79"/>
      <c r="J1614" s="70"/>
      <c r="K1614" s="57"/>
      <c r="L1614" s="11"/>
      <c r="M1614" s="41"/>
      <c r="N1614" s="11"/>
    </row>
    <row r="1615" spans="8:14" x14ac:dyDescent="0.25">
      <c r="H1615" s="37"/>
      <c r="I1615" s="79"/>
      <c r="J1615" s="70"/>
      <c r="K1615" s="57"/>
      <c r="L1615" s="11"/>
      <c r="M1615" s="41"/>
      <c r="N1615" s="11"/>
    </row>
    <row r="1616" spans="8:14" x14ac:dyDescent="0.25">
      <c r="H1616" s="37"/>
      <c r="I1616" s="79"/>
      <c r="J1616" s="70"/>
      <c r="K1616" s="57"/>
      <c r="L1616" s="11"/>
      <c r="M1616" s="41"/>
      <c r="N1616" s="11"/>
    </row>
    <row r="1617" spans="8:14" x14ac:dyDescent="0.25">
      <c r="H1617" s="37"/>
      <c r="I1617" s="79"/>
      <c r="J1617" s="70"/>
      <c r="K1617" s="57"/>
      <c r="L1617" s="11"/>
      <c r="M1617" s="41"/>
      <c r="N1617" s="11"/>
    </row>
    <row r="1618" spans="8:14" x14ac:dyDescent="0.25">
      <c r="H1618" s="37"/>
      <c r="I1618" s="79"/>
      <c r="J1618" s="70"/>
      <c r="K1618" s="57"/>
      <c r="L1618" s="11"/>
      <c r="M1618" s="41"/>
      <c r="N1618" s="11"/>
    </row>
    <row r="1619" spans="8:14" x14ac:dyDescent="0.25">
      <c r="H1619" s="37"/>
      <c r="I1619" s="79"/>
      <c r="J1619" s="70"/>
      <c r="K1619" s="57"/>
      <c r="L1619" s="11"/>
      <c r="M1619" s="41"/>
      <c r="N1619" s="11"/>
    </row>
    <row r="1620" spans="8:14" x14ac:dyDescent="0.25">
      <c r="H1620" s="37"/>
      <c r="I1620" s="79"/>
      <c r="J1620" s="70"/>
      <c r="K1620" s="57"/>
      <c r="L1620" s="11"/>
      <c r="M1620" s="41"/>
      <c r="N1620" s="11"/>
    </row>
    <row r="1621" spans="8:14" x14ac:dyDescent="0.25">
      <c r="H1621" s="37"/>
      <c r="I1621" s="79"/>
      <c r="J1621" s="70"/>
      <c r="K1621" s="57"/>
      <c r="L1621" s="11"/>
      <c r="M1621" s="41"/>
      <c r="N1621" s="11"/>
    </row>
    <row r="1622" spans="8:14" x14ac:dyDescent="0.25">
      <c r="H1622" s="37"/>
      <c r="I1622" s="79"/>
      <c r="J1622" s="70"/>
      <c r="K1622" s="57"/>
      <c r="L1622" s="11"/>
      <c r="M1622" s="41"/>
      <c r="N1622" s="11"/>
    </row>
    <row r="1623" spans="8:14" x14ac:dyDescent="0.25">
      <c r="H1623" s="37"/>
      <c r="I1623" s="79"/>
      <c r="J1623" s="70"/>
      <c r="K1623" s="57"/>
      <c r="L1623" s="11"/>
      <c r="M1623" s="41"/>
      <c r="N1623" s="11"/>
    </row>
    <row r="1624" spans="8:14" x14ac:dyDescent="0.25">
      <c r="H1624" s="37"/>
      <c r="I1624" s="79"/>
      <c r="J1624" s="70"/>
      <c r="K1624" s="57"/>
      <c r="L1624" s="11"/>
      <c r="M1624" s="41"/>
      <c r="N1624" s="11"/>
    </row>
    <row r="1625" spans="8:14" x14ac:dyDescent="0.25">
      <c r="H1625" s="37"/>
      <c r="I1625" s="79"/>
      <c r="J1625" s="70"/>
      <c r="K1625" s="57"/>
      <c r="L1625" s="11"/>
      <c r="M1625" s="41"/>
      <c r="N1625" s="11"/>
    </row>
    <row r="1626" spans="8:14" x14ac:dyDescent="0.25">
      <c r="H1626" s="37"/>
      <c r="I1626" s="79"/>
      <c r="J1626" s="70"/>
      <c r="K1626" s="57"/>
      <c r="L1626" s="11"/>
      <c r="M1626" s="41"/>
      <c r="N1626" s="11"/>
    </row>
    <row r="1627" spans="8:14" x14ac:dyDescent="0.25">
      <c r="H1627" s="37"/>
      <c r="I1627" s="79"/>
      <c r="J1627" s="70"/>
      <c r="K1627" s="57"/>
      <c r="L1627" s="11"/>
      <c r="M1627" s="41"/>
      <c r="N1627" s="11"/>
    </row>
    <row r="1628" spans="8:14" x14ac:dyDescent="0.25">
      <c r="H1628" s="37"/>
      <c r="I1628" s="79"/>
      <c r="J1628" s="70"/>
      <c r="K1628" s="57"/>
      <c r="L1628" s="11"/>
      <c r="M1628" s="41"/>
      <c r="N1628" s="11"/>
    </row>
    <row r="1629" spans="8:14" x14ac:dyDescent="0.25">
      <c r="H1629" s="37"/>
      <c r="I1629" s="79"/>
      <c r="J1629" s="70"/>
      <c r="K1629" s="57"/>
      <c r="L1629" s="11"/>
      <c r="M1629" s="41"/>
      <c r="N1629" s="11"/>
    </row>
    <row r="1630" spans="8:14" x14ac:dyDescent="0.25">
      <c r="H1630" s="37"/>
      <c r="I1630" s="79"/>
      <c r="J1630" s="70"/>
      <c r="K1630" s="57"/>
      <c r="L1630" s="11"/>
      <c r="M1630" s="41"/>
      <c r="N1630" s="11"/>
    </row>
    <row r="1631" spans="8:14" x14ac:dyDescent="0.25">
      <c r="H1631" s="37"/>
      <c r="I1631" s="79"/>
      <c r="J1631" s="70"/>
      <c r="K1631" s="57"/>
      <c r="L1631" s="11"/>
      <c r="M1631" s="41"/>
      <c r="N1631" s="11"/>
    </row>
    <row r="1632" spans="8:14" x14ac:dyDescent="0.25">
      <c r="H1632" s="37"/>
      <c r="I1632" s="79"/>
      <c r="J1632" s="70"/>
      <c r="K1632" s="57"/>
      <c r="L1632" s="11"/>
      <c r="M1632" s="41"/>
      <c r="N1632" s="11"/>
    </row>
    <row r="1633" spans="8:14" x14ac:dyDescent="0.25">
      <c r="H1633" s="37"/>
      <c r="I1633" s="79"/>
      <c r="J1633" s="70"/>
      <c r="K1633" s="57"/>
      <c r="L1633" s="11"/>
      <c r="M1633" s="41"/>
      <c r="N1633" s="11"/>
    </row>
    <row r="1634" spans="8:14" x14ac:dyDescent="0.25">
      <c r="H1634" s="37"/>
      <c r="I1634" s="79"/>
      <c r="J1634" s="70"/>
      <c r="K1634" s="57"/>
      <c r="L1634" s="11"/>
      <c r="M1634" s="41"/>
      <c r="N1634" s="11"/>
    </row>
    <row r="1635" spans="8:14" x14ac:dyDescent="0.25">
      <c r="H1635" s="37"/>
      <c r="I1635" s="79"/>
      <c r="J1635" s="70"/>
      <c r="K1635" s="57"/>
      <c r="L1635" s="11"/>
      <c r="M1635" s="41"/>
      <c r="N1635" s="11"/>
    </row>
    <row r="1636" spans="8:14" x14ac:dyDescent="0.25">
      <c r="H1636" s="37"/>
      <c r="I1636" s="79"/>
      <c r="J1636" s="70"/>
      <c r="K1636" s="57"/>
      <c r="L1636" s="11"/>
      <c r="M1636" s="41"/>
      <c r="N1636" s="11"/>
    </row>
    <row r="1637" spans="8:14" x14ac:dyDescent="0.25">
      <c r="H1637" s="37"/>
      <c r="I1637" s="79"/>
      <c r="J1637" s="70"/>
      <c r="K1637" s="57"/>
      <c r="L1637" s="11"/>
      <c r="M1637" s="41"/>
      <c r="N1637" s="11"/>
    </row>
    <row r="1638" spans="8:14" x14ac:dyDescent="0.25">
      <c r="H1638" s="37"/>
      <c r="I1638" s="79"/>
      <c r="J1638" s="70"/>
      <c r="K1638" s="57"/>
      <c r="L1638" s="11"/>
      <c r="M1638" s="41"/>
      <c r="N1638" s="11"/>
    </row>
    <row r="1639" spans="8:14" x14ac:dyDescent="0.25">
      <c r="H1639" s="37"/>
      <c r="I1639" s="79"/>
      <c r="J1639" s="70"/>
      <c r="K1639" s="57"/>
      <c r="L1639" s="11"/>
      <c r="M1639" s="41"/>
      <c r="N1639" s="11"/>
    </row>
    <row r="1640" spans="8:14" x14ac:dyDescent="0.25">
      <c r="H1640" s="37"/>
      <c r="I1640" s="79"/>
      <c r="J1640" s="70"/>
      <c r="K1640" s="57"/>
      <c r="L1640" s="11"/>
      <c r="M1640" s="41"/>
      <c r="N1640" s="11"/>
    </row>
    <row r="1641" spans="8:14" x14ac:dyDescent="0.25">
      <c r="H1641" s="37"/>
      <c r="I1641" s="79"/>
      <c r="J1641" s="70"/>
      <c r="K1641" s="57"/>
      <c r="L1641" s="11"/>
      <c r="M1641" s="41"/>
      <c r="N1641" s="11"/>
    </row>
    <row r="1642" spans="8:14" x14ac:dyDescent="0.25">
      <c r="H1642" s="37"/>
      <c r="I1642" s="79"/>
      <c r="J1642" s="70"/>
      <c r="K1642" s="57"/>
      <c r="L1642" s="11"/>
      <c r="M1642" s="41"/>
      <c r="N1642" s="11"/>
    </row>
    <row r="1643" spans="8:14" x14ac:dyDescent="0.25">
      <c r="H1643" s="37"/>
      <c r="I1643" s="79"/>
      <c r="J1643" s="70"/>
      <c r="K1643" s="57"/>
      <c r="L1643" s="11"/>
      <c r="M1643" s="41"/>
      <c r="N1643" s="11"/>
    </row>
    <row r="1644" spans="8:14" x14ac:dyDescent="0.25">
      <c r="H1644" s="37"/>
      <c r="I1644" s="79"/>
      <c r="J1644" s="70"/>
      <c r="K1644" s="57"/>
      <c r="L1644" s="11"/>
      <c r="M1644" s="41"/>
      <c r="N1644" s="11"/>
    </row>
    <row r="1645" spans="8:14" x14ac:dyDescent="0.25">
      <c r="H1645" s="37"/>
      <c r="I1645" s="79"/>
      <c r="J1645" s="70"/>
      <c r="K1645" s="57"/>
      <c r="L1645" s="11"/>
      <c r="M1645" s="41"/>
      <c r="N1645" s="11"/>
    </row>
    <row r="1646" spans="8:14" x14ac:dyDescent="0.25">
      <c r="H1646" s="37"/>
      <c r="I1646" s="79"/>
      <c r="J1646" s="70"/>
      <c r="K1646" s="57"/>
      <c r="L1646" s="11"/>
      <c r="M1646" s="41"/>
      <c r="N1646" s="11"/>
    </row>
    <row r="1647" spans="8:14" x14ac:dyDescent="0.25">
      <c r="H1647" s="37"/>
      <c r="I1647" s="79"/>
      <c r="J1647" s="70"/>
      <c r="K1647" s="57"/>
      <c r="L1647" s="11"/>
      <c r="M1647" s="41"/>
      <c r="N1647" s="11"/>
    </row>
    <row r="1648" spans="8:14" x14ac:dyDescent="0.25">
      <c r="H1648" s="37"/>
      <c r="I1648" s="79"/>
      <c r="J1648" s="70"/>
      <c r="K1648" s="57"/>
      <c r="L1648" s="11"/>
      <c r="M1648" s="41"/>
      <c r="N1648" s="11"/>
    </row>
    <row r="1649" spans="8:14" x14ac:dyDescent="0.25">
      <c r="H1649" s="37"/>
      <c r="I1649" s="79"/>
      <c r="J1649" s="70"/>
      <c r="K1649" s="57"/>
      <c r="L1649" s="11"/>
      <c r="M1649" s="41"/>
      <c r="N1649" s="11"/>
    </row>
    <row r="1650" spans="8:14" x14ac:dyDescent="0.25">
      <c r="H1650" s="37"/>
      <c r="I1650" s="79"/>
      <c r="J1650" s="70"/>
      <c r="K1650" s="57"/>
      <c r="L1650" s="11"/>
      <c r="M1650" s="41"/>
      <c r="N1650" s="11"/>
    </row>
    <row r="1651" spans="8:14" x14ac:dyDescent="0.25">
      <c r="H1651" s="37"/>
      <c r="I1651" s="79"/>
      <c r="J1651" s="70"/>
      <c r="K1651" s="57"/>
      <c r="L1651" s="11"/>
      <c r="M1651" s="41"/>
      <c r="N1651" s="11"/>
    </row>
    <row r="1652" spans="8:14" x14ac:dyDescent="0.25">
      <c r="H1652" s="37"/>
      <c r="I1652" s="79"/>
      <c r="J1652" s="70"/>
      <c r="K1652" s="57"/>
      <c r="L1652" s="11"/>
      <c r="M1652" s="41"/>
      <c r="N1652" s="11"/>
    </row>
    <row r="1653" spans="8:14" x14ac:dyDescent="0.25">
      <c r="H1653" s="37"/>
      <c r="I1653" s="79"/>
      <c r="J1653" s="70"/>
      <c r="K1653" s="57"/>
      <c r="L1653" s="11"/>
      <c r="M1653" s="41"/>
      <c r="N1653" s="11"/>
    </row>
    <row r="1654" spans="8:14" x14ac:dyDescent="0.25">
      <c r="H1654" s="37"/>
      <c r="I1654" s="79"/>
      <c r="J1654" s="70"/>
      <c r="K1654" s="57"/>
      <c r="L1654" s="11"/>
      <c r="M1654" s="41"/>
      <c r="N1654" s="11"/>
    </row>
    <row r="1655" spans="8:14" x14ac:dyDescent="0.25">
      <c r="H1655" s="37"/>
      <c r="I1655" s="79"/>
      <c r="J1655" s="70"/>
      <c r="K1655" s="57"/>
      <c r="L1655" s="11"/>
      <c r="M1655" s="41"/>
      <c r="N1655" s="11"/>
    </row>
    <row r="1656" spans="8:14" x14ac:dyDescent="0.25">
      <c r="H1656" s="37"/>
      <c r="I1656" s="79"/>
      <c r="J1656" s="70"/>
      <c r="K1656" s="57"/>
      <c r="L1656" s="11"/>
      <c r="M1656" s="41"/>
      <c r="N1656" s="11"/>
    </row>
    <row r="1657" spans="8:14" x14ac:dyDescent="0.25">
      <c r="H1657" s="37"/>
      <c r="I1657" s="79"/>
      <c r="J1657" s="70"/>
      <c r="K1657" s="57"/>
      <c r="L1657" s="11"/>
      <c r="M1657" s="41"/>
      <c r="N1657" s="11"/>
    </row>
    <row r="1658" spans="8:14" x14ac:dyDescent="0.25">
      <c r="H1658" s="37"/>
      <c r="I1658" s="79"/>
      <c r="J1658" s="70"/>
      <c r="K1658" s="57"/>
      <c r="L1658" s="11"/>
      <c r="M1658" s="41"/>
      <c r="N1658" s="11"/>
    </row>
    <row r="1659" spans="8:14" x14ac:dyDescent="0.25">
      <c r="H1659" s="37"/>
      <c r="I1659" s="79"/>
      <c r="J1659" s="70"/>
      <c r="K1659" s="57"/>
      <c r="L1659" s="11"/>
      <c r="M1659" s="41"/>
      <c r="N1659" s="11"/>
    </row>
    <row r="1660" spans="8:14" x14ac:dyDescent="0.25">
      <c r="H1660" s="37"/>
      <c r="I1660" s="79"/>
      <c r="J1660" s="70"/>
      <c r="K1660" s="57"/>
      <c r="L1660" s="11"/>
      <c r="M1660" s="41"/>
      <c r="N1660" s="11"/>
    </row>
    <row r="1661" spans="8:14" x14ac:dyDescent="0.25">
      <c r="H1661" s="37"/>
      <c r="I1661" s="79"/>
      <c r="J1661" s="70"/>
      <c r="K1661" s="57"/>
      <c r="L1661" s="11"/>
      <c r="M1661" s="41"/>
      <c r="N1661" s="11"/>
    </row>
    <row r="1662" spans="8:14" x14ac:dyDescent="0.25">
      <c r="H1662" s="37"/>
      <c r="I1662" s="79"/>
      <c r="J1662" s="70"/>
      <c r="K1662" s="57"/>
      <c r="L1662" s="11"/>
      <c r="M1662" s="41"/>
      <c r="N1662" s="11"/>
    </row>
    <row r="1663" spans="8:14" x14ac:dyDescent="0.25">
      <c r="H1663" s="37"/>
      <c r="I1663" s="79"/>
      <c r="J1663" s="70"/>
      <c r="K1663" s="57"/>
      <c r="L1663" s="11"/>
      <c r="M1663" s="41"/>
      <c r="N1663" s="11"/>
    </row>
    <row r="1664" spans="8:14" x14ac:dyDescent="0.25">
      <c r="H1664" s="37"/>
      <c r="I1664" s="79"/>
      <c r="J1664" s="70"/>
      <c r="K1664" s="57"/>
      <c r="L1664" s="11"/>
      <c r="M1664" s="41"/>
      <c r="N1664" s="11"/>
    </row>
    <row r="1665" spans="8:14" x14ac:dyDescent="0.25">
      <c r="H1665" s="37"/>
      <c r="I1665" s="79"/>
      <c r="J1665" s="70"/>
      <c r="K1665" s="57"/>
      <c r="L1665" s="11"/>
      <c r="M1665" s="41"/>
      <c r="N1665" s="11"/>
    </row>
    <row r="1666" spans="8:14" x14ac:dyDescent="0.25">
      <c r="H1666" s="37"/>
      <c r="I1666" s="79"/>
      <c r="J1666" s="70"/>
      <c r="K1666" s="57"/>
      <c r="L1666" s="11"/>
      <c r="M1666" s="41"/>
      <c r="N1666" s="11"/>
    </row>
    <row r="1667" spans="8:14" x14ac:dyDescent="0.25">
      <c r="H1667" s="37"/>
      <c r="I1667" s="79"/>
      <c r="J1667" s="70"/>
      <c r="K1667" s="57"/>
      <c r="L1667" s="11"/>
      <c r="M1667" s="41"/>
      <c r="N1667" s="11"/>
    </row>
    <row r="1668" spans="8:14" x14ac:dyDescent="0.25">
      <c r="H1668" s="37"/>
      <c r="I1668" s="79"/>
      <c r="J1668" s="70"/>
      <c r="K1668" s="57"/>
      <c r="L1668" s="11"/>
      <c r="M1668" s="41"/>
      <c r="N1668" s="11"/>
    </row>
    <row r="1669" spans="8:14" x14ac:dyDescent="0.25">
      <c r="H1669" s="37"/>
      <c r="I1669" s="79"/>
      <c r="J1669" s="70"/>
      <c r="K1669" s="57"/>
      <c r="L1669" s="11"/>
      <c r="M1669" s="41"/>
      <c r="N1669" s="11"/>
    </row>
    <row r="1670" spans="8:14" x14ac:dyDescent="0.25">
      <c r="H1670" s="37"/>
      <c r="I1670" s="79"/>
      <c r="J1670" s="70"/>
      <c r="K1670" s="57"/>
      <c r="L1670" s="11"/>
      <c r="M1670" s="41"/>
      <c r="N1670" s="11"/>
    </row>
    <row r="1671" spans="8:14" x14ac:dyDescent="0.25">
      <c r="H1671" s="37"/>
      <c r="I1671" s="79"/>
      <c r="J1671" s="70"/>
      <c r="K1671" s="57"/>
      <c r="L1671" s="11"/>
      <c r="M1671" s="41"/>
      <c r="N1671" s="11"/>
    </row>
    <row r="1672" spans="8:14" x14ac:dyDescent="0.25">
      <c r="H1672" s="37"/>
      <c r="I1672" s="79"/>
      <c r="J1672" s="70"/>
      <c r="K1672" s="57"/>
      <c r="L1672" s="11"/>
      <c r="M1672" s="41"/>
      <c r="N1672" s="11"/>
    </row>
    <row r="1673" spans="8:14" x14ac:dyDescent="0.25">
      <c r="H1673" s="37"/>
      <c r="I1673" s="79"/>
      <c r="J1673" s="70"/>
      <c r="K1673" s="57"/>
      <c r="L1673" s="11"/>
      <c r="M1673" s="41"/>
      <c r="N1673" s="11"/>
    </row>
    <row r="1674" spans="8:14" x14ac:dyDescent="0.25">
      <c r="H1674" s="37"/>
      <c r="I1674" s="79"/>
      <c r="J1674" s="70"/>
      <c r="K1674" s="57"/>
      <c r="L1674" s="11"/>
      <c r="M1674" s="41"/>
      <c r="N1674" s="11"/>
    </row>
    <row r="1675" spans="8:14" x14ac:dyDescent="0.25">
      <c r="H1675" s="37"/>
      <c r="I1675" s="79"/>
      <c r="J1675" s="70"/>
      <c r="K1675" s="57"/>
      <c r="L1675" s="11"/>
      <c r="M1675" s="41"/>
      <c r="N1675" s="11"/>
    </row>
    <row r="1676" spans="8:14" x14ac:dyDescent="0.25">
      <c r="H1676" s="37"/>
      <c r="I1676" s="79"/>
      <c r="J1676" s="70"/>
      <c r="K1676" s="57"/>
      <c r="L1676" s="11"/>
      <c r="M1676" s="41"/>
      <c r="N1676" s="11"/>
    </row>
    <row r="1677" spans="8:14" x14ac:dyDescent="0.25">
      <c r="H1677" s="37"/>
      <c r="I1677" s="79"/>
      <c r="J1677" s="70"/>
      <c r="K1677" s="57"/>
      <c r="L1677" s="11"/>
      <c r="M1677" s="41"/>
      <c r="N1677" s="11"/>
    </row>
    <row r="1678" spans="8:14" x14ac:dyDescent="0.25">
      <c r="H1678" s="37"/>
      <c r="I1678" s="79"/>
      <c r="J1678" s="70"/>
      <c r="K1678" s="57"/>
      <c r="L1678" s="11"/>
      <c r="M1678" s="41"/>
      <c r="N1678" s="11"/>
    </row>
    <row r="1679" spans="8:14" x14ac:dyDescent="0.25">
      <c r="H1679" s="37"/>
      <c r="I1679" s="79"/>
      <c r="J1679" s="70"/>
      <c r="K1679" s="57"/>
      <c r="L1679" s="11"/>
      <c r="M1679" s="41"/>
      <c r="N1679" s="11"/>
    </row>
    <row r="1680" spans="8:14" x14ac:dyDescent="0.25">
      <c r="H1680" s="37"/>
      <c r="I1680" s="79"/>
      <c r="J1680" s="70"/>
      <c r="K1680" s="57"/>
      <c r="L1680" s="11"/>
      <c r="M1680" s="41"/>
      <c r="N1680" s="11"/>
    </row>
    <row r="1681" spans="8:14" x14ac:dyDescent="0.25">
      <c r="H1681" s="37"/>
      <c r="I1681" s="79"/>
      <c r="J1681" s="70"/>
      <c r="K1681" s="57"/>
      <c r="L1681" s="11"/>
      <c r="M1681" s="41"/>
      <c r="N1681" s="11"/>
    </row>
    <row r="1682" spans="8:14" x14ac:dyDescent="0.25">
      <c r="H1682" s="37"/>
      <c r="I1682" s="79"/>
      <c r="J1682" s="70"/>
      <c r="K1682" s="57"/>
      <c r="L1682" s="11"/>
      <c r="M1682" s="41"/>
      <c r="N1682" s="11"/>
    </row>
    <row r="1683" spans="8:14" x14ac:dyDescent="0.25">
      <c r="H1683" s="37"/>
      <c r="I1683" s="79"/>
      <c r="J1683" s="70"/>
      <c r="K1683" s="57"/>
      <c r="L1683" s="11"/>
      <c r="M1683" s="41"/>
      <c r="N1683" s="11"/>
    </row>
    <row r="1684" spans="8:14" x14ac:dyDescent="0.25">
      <c r="H1684" s="37"/>
      <c r="I1684" s="79"/>
      <c r="J1684" s="70"/>
      <c r="K1684" s="57"/>
      <c r="L1684" s="11"/>
      <c r="M1684" s="41"/>
      <c r="N1684" s="11"/>
    </row>
    <row r="1685" spans="8:14" x14ac:dyDescent="0.25">
      <c r="H1685" s="37"/>
      <c r="I1685" s="79"/>
      <c r="J1685" s="70"/>
      <c r="K1685" s="57"/>
      <c r="L1685" s="11"/>
      <c r="M1685" s="41"/>
      <c r="N1685" s="11"/>
    </row>
    <row r="1686" spans="8:14" x14ac:dyDescent="0.25">
      <c r="H1686" s="37"/>
      <c r="I1686" s="79"/>
      <c r="J1686" s="70"/>
      <c r="K1686" s="57"/>
      <c r="L1686" s="11"/>
      <c r="M1686" s="41"/>
      <c r="N1686" s="11"/>
    </row>
    <row r="1687" spans="8:14" x14ac:dyDescent="0.25">
      <c r="H1687" s="37"/>
      <c r="I1687" s="79"/>
      <c r="J1687" s="70"/>
      <c r="K1687" s="57"/>
      <c r="L1687" s="11"/>
      <c r="M1687" s="41"/>
      <c r="N1687" s="11"/>
    </row>
    <row r="1688" spans="8:14" x14ac:dyDescent="0.25">
      <c r="H1688" s="37"/>
      <c r="I1688" s="79"/>
      <c r="J1688" s="70"/>
      <c r="K1688" s="57"/>
      <c r="L1688" s="11"/>
      <c r="M1688" s="41"/>
      <c r="N1688" s="11"/>
    </row>
    <row r="1689" spans="8:14" x14ac:dyDescent="0.25">
      <c r="H1689" s="37"/>
      <c r="I1689" s="79"/>
      <c r="J1689" s="70"/>
      <c r="K1689" s="57"/>
      <c r="L1689" s="11"/>
      <c r="M1689" s="41"/>
      <c r="N1689" s="11"/>
    </row>
    <row r="1690" spans="8:14" x14ac:dyDescent="0.25">
      <c r="H1690" s="37"/>
      <c r="I1690" s="79"/>
      <c r="J1690" s="70"/>
      <c r="K1690" s="57"/>
      <c r="L1690" s="11"/>
      <c r="M1690" s="41"/>
      <c r="N1690" s="11"/>
    </row>
    <row r="1691" spans="8:14" x14ac:dyDescent="0.25">
      <c r="H1691" s="37"/>
      <c r="I1691" s="79"/>
      <c r="J1691" s="70"/>
      <c r="K1691" s="57"/>
      <c r="L1691" s="11"/>
      <c r="M1691" s="41"/>
      <c r="N1691" s="11"/>
    </row>
    <row r="1692" spans="8:14" x14ac:dyDescent="0.25">
      <c r="H1692" s="37"/>
      <c r="I1692" s="79"/>
      <c r="J1692" s="70"/>
      <c r="K1692" s="57"/>
      <c r="L1692" s="11"/>
      <c r="M1692" s="41"/>
      <c r="N1692" s="11"/>
    </row>
    <row r="1693" spans="8:14" x14ac:dyDescent="0.25">
      <c r="H1693" s="37"/>
      <c r="I1693" s="79"/>
      <c r="J1693" s="70"/>
      <c r="K1693" s="57"/>
      <c r="L1693" s="11"/>
      <c r="M1693" s="41"/>
      <c r="N1693" s="11"/>
    </row>
    <row r="1694" spans="8:14" x14ac:dyDescent="0.25">
      <c r="H1694" s="37"/>
      <c r="I1694" s="79"/>
      <c r="J1694" s="70"/>
      <c r="K1694" s="57"/>
      <c r="L1694" s="11"/>
      <c r="M1694" s="41"/>
      <c r="N1694" s="11"/>
    </row>
    <row r="1695" spans="8:14" x14ac:dyDescent="0.25">
      <c r="H1695" s="37"/>
      <c r="I1695" s="79"/>
      <c r="J1695" s="70"/>
      <c r="K1695" s="57"/>
      <c r="L1695" s="11"/>
      <c r="M1695" s="41"/>
      <c r="N1695" s="11"/>
    </row>
    <row r="1696" spans="8:14" x14ac:dyDescent="0.25">
      <c r="H1696" s="37"/>
      <c r="I1696" s="79"/>
      <c r="J1696" s="70"/>
      <c r="K1696" s="57"/>
      <c r="L1696" s="11"/>
      <c r="M1696" s="41"/>
      <c r="N1696" s="11"/>
    </row>
    <row r="1697" spans="8:14" x14ac:dyDescent="0.25">
      <c r="H1697" s="37"/>
      <c r="I1697" s="79"/>
      <c r="J1697" s="70"/>
      <c r="K1697" s="57"/>
      <c r="L1697" s="11"/>
      <c r="M1697" s="41"/>
      <c r="N1697" s="11"/>
    </row>
    <row r="1698" spans="8:14" x14ac:dyDescent="0.25">
      <c r="H1698" s="37"/>
      <c r="I1698" s="79"/>
      <c r="J1698" s="70"/>
      <c r="K1698" s="57"/>
      <c r="L1698" s="11"/>
      <c r="M1698" s="41"/>
      <c r="N1698" s="11"/>
    </row>
    <row r="1699" spans="8:14" x14ac:dyDescent="0.25">
      <c r="H1699" s="37"/>
      <c r="I1699" s="79"/>
      <c r="J1699" s="70"/>
      <c r="K1699" s="57"/>
      <c r="L1699" s="11"/>
      <c r="M1699" s="41"/>
      <c r="N1699" s="11"/>
    </row>
    <row r="1700" spans="8:14" x14ac:dyDescent="0.25">
      <c r="H1700" s="37"/>
      <c r="I1700" s="79"/>
      <c r="J1700" s="70"/>
      <c r="K1700" s="57"/>
      <c r="L1700" s="11"/>
      <c r="M1700" s="41"/>
      <c r="N1700" s="11"/>
    </row>
    <row r="1701" spans="8:14" x14ac:dyDescent="0.25">
      <c r="H1701" s="37"/>
      <c r="I1701" s="79"/>
      <c r="J1701" s="70"/>
      <c r="K1701" s="57"/>
      <c r="L1701" s="11"/>
      <c r="M1701" s="41"/>
      <c r="N1701" s="11"/>
    </row>
    <row r="1702" spans="8:14" x14ac:dyDescent="0.25">
      <c r="H1702" s="37"/>
      <c r="I1702" s="79"/>
      <c r="J1702" s="70"/>
      <c r="K1702" s="57"/>
      <c r="L1702" s="11"/>
      <c r="M1702" s="41"/>
      <c r="N1702" s="11"/>
    </row>
    <row r="1703" spans="8:14" x14ac:dyDescent="0.25">
      <c r="H1703" s="37"/>
      <c r="I1703" s="79"/>
      <c r="J1703" s="70"/>
      <c r="K1703" s="57"/>
      <c r="L1703" s="11"/>
      <c r="M1703" s="41"/>
      <c r="N1703" s="11"/>
    </row>
    <row r="1704" spans="8:14" x14ac:dyDescent="0.25">
      <c r="H1704" s="37"/>
      <c r="I1704" s="79"/>
      <c r="J1704" s="70"/>
      <c r="K1704" s="57"/>
      <c r="L1704" s="11"/>
      <c r="M1704" s="41"/>
      <c r="N1704" s="11"/>
    </row>
    <row r="1705" spans="8:14" x14ac:dyDescent="0.25">
      <c r="H1705" s="37"/>
      <c r="I1705" s="79"/>
      <c r="J1705" s="70"/>
      <c r="K1705" s="57"/>
      <c r="L1705" s="11"/>
      <c r="M1705" s="41"/>
      <c r="N1705" s="11"/>
    </row>
    <row r="1706" spans="8:14" x14ac:dyDescent="0.25">
      <c r="H1706" s="37"/>
      <c r="I1706" s="79"/>
      <c r="J1706" s="70"/>
      <c r="K1706" s="57"/>
      <c r="L1706" s="11"/>
      <c r="M1706" s="41"/>
      <c r="N1706" s="11"/>
    </row>
    <row r="1707" spans="8:14" x14ac:dyDescent="0.25">
      <c r="H1707" s="37"/>
      <c r="I1707" s="79"/>
      <c r="J1707" s="70"/>
      <c r="K1707" s="57"/>
      <c r="L1707" s="11"/>
      <c r="M1707" s="41"/>
      <c r="N1707" s="11"/>
    </row>
    <row r="1708" spans="8:14" x14ac:dyDescent="0.25">
      <c r="H1708" s="37"/>
      <c r="I1708" s="79"/>
      <c r="J1708" s="70"/>
      <c r="K1708" s="57"/>
      <c r="L1708" s="11"/>
      <c r="M1708" s="41"/>
      <c r="N1708" s="11"/>
    </row>
    <row r="1709" spans="8:14" x14ac:dyDescent="0.25">
      <c r="H1709" s="37"/>
      <c r="I1709" s="79"/>
      <c r="J1709" s="70"/>
      <c r="K1709" s="57"/>
      <c r="L1709" s="11"/>
      <c r="M1709" s="41"/>
      <c r="N1709" s="11"/>
    </row>
    <row r="1710" spans="8:14" x14ac:dyDescent="0.25">
      <c r="H1710" s="37"/>
      <c r="I1710" s="79"/>
      <c r="J1710" s="70"/>
      <c r="K1710" s="57"/>
      <c r="L1710" s="11"/>
      <c r="M1710" s="41"/>
      <c r="N1710" s="11"/>
    </row>
    <row r="1711" spans="8:14" x14ac:dyDescent="0.25">
      <c r="H1711" s="37"/>
      <c r="I1711" s="79"/>
      <c r="J1711" s="70"/>
      <c r="K1711" s="57"/>
      <c r="L1711" s="11"/>
      <c r="M1711" s="41"/>
      <c r="N1711" s="11"/>
    </row>
    <row r="1712" spans="8:14" x14ac:dyDescent="0.25">
      <c r="H1712" s="37"/>
      <c r="I1712" s="79"/>
      <c r="J1712" s="70"/>
      <c r="K1712" s="57"/>
      <c r="L1712" s="11"/>
      <c r="M1712" s="41"/>
      <c r="N1712" s="11"/>
    </row>
    <row r="1713" spans="8:14" x14ac:dyDescent="0.25">
      <c r="H1713" s="37"/>
      <c r="I1713" s="79"/>
      <c r="J1713" s="70"/>
      <c r="K1713" s="57"/>
      <c r="L1713" s="11"/>
      <c r="M1713" s="41"/>
      <c r="N1713" s="11"/>
    </row>
    <row r="1714" spans="8:14" x14ac:dyDescent="0.25">
      <c r="H1714" s="37"/>
      <c r="I1714" s="79"/>
      <c r="J1714" s="70"/>
      <c r="K1714" s="57"/>
      <c r="L1714" s="11"/>
      <c r="M1714" s="41"/>
      <c r="N1714" s="11"/>
    </row>
    <row r="1715" spans="8:14" x14ac:dyDescent="0.25">
      <c r="H1715" s="37"/>
      <c r="I1715" s="79"/>
      <c r="J1715" s="70"/>
      <c r="K1715" s="57"/>
      <c r="L1715" s="11"/>
      <c r="M1715" s="41"/>
      <c r="N1715" s="11"/>
    </row>
    <row r="1716" spans="8:14" x14ac:dyDescent="0.25">
      <c r="H1716" s="37"/>
      <c r="I1716" s="79"/>
      <c r="J1716" s="70"/>
      <c r="K1716" s="57"/>
      <c r="L1716" s="11"/>
      <c r="M1716" s="41"/>
      <c r="N1716" s="11"/>
    </row>
    <row r="1717" spans="8:14" x14ac:dyDescent="0.25">
      <c r="H1717" s="37"/>
      <c r="I1717" s="79"/>
      <c r="J1717" s="70"/>
      <c r="K1717" s="57"/>
      <c r="L1717" s="11"/>
      <c r="M1717" s="41"/>
      <c r="N1717" s="11"/>
    </row>
    <row r="1718" spans="8:14" x14ac:dyDescent="0.25">
      <c r="H1718" s="37"/>
      <c r="I1718" s="79"/>
      <c r="J1718" s="70"/>
      <c r="K1718" s="57"/>
      <c r="L1718" s="11"/>
      <c r="M1718" s="41"/>
      <c r="N1718" s="11"/>
    </row>
    <row r="1719" spans="8:14" x14ac:dyDescent="0.25">
      <c r="H1719" s="37"/>
      <c r="I1719" s="79"/>
      <c r="J1719" s="70"/>
      <c r="K1719" s="57"/>
      <c r="L1719" s="11"/>
      <c r="M1719" s="41"/>
      <c r="N1719" s="11"/>
    </row>
    <row r="1720" spans="8:14" x14ac:dyDescent="0.25">
      <c r="H1720" s="37"/>
      <c r="I1720" s="79"/>
      <c r="J1720" s="70"/>
      <c r="K1720" s="57"/>
      <c r="L1720" s="11"/>
      <c r="M1720" s="41"/>
      <c r="N1720" s="11"/>
    </row>
    <row r="1721" spans="8:14" x14ac:dyDescent="0.25">
      <c r="H1721" s="37"/>
      <c r="I1721" s="79"/>
      <c r="J1721" s="70"/>
      <c r="K1721" s="57"/>
      <c r="L1721" s="11"/>
      <c r="M1721" s="41"/>
      <c r="N1721" s="11"/>
    </row>
    <row r="1722" spans="8:14" x14ac:dyDescent="0.25">
      <c r="H1722" s="37"/>
      <c r="I1722" s="79"/>
      <c r="J1722" s="70"/>
      <c r="K1722" s="57"/>
      <c r="L1722" s="11"/>
      <c r="M1722" s="41"/>
      <c r="N1722" s="11"/>
    </row>
    <row r="1723" spans="8:14" x14ac:dyDescent="0.25">
      <c r="H1723" s="37"/>
      <c r="I1723" s="79"/>
      <c r="J1723" s="70"/>
      <c r="K1723" s="57"/>
      <c r="L1723" s="11"/>
      <c r="M1723" s="41"/>
      <c r="N1723" s="11"/>
    </row>
    <row r="1724" spans="8:14" x14ac:dyDescent="0.25">
      <c r="H1724" s="37"/>
      <c r="I1724" s="79"/>
      <c r="J1724" s="70"/>
      <c r="K1724" s="57"/>
      <c r="L1724" s="11"/>
      <c r="M1724" s="41"/>
      <c r="N1724" s="11"/>
    </row>
    <row r="1725" spans="8:14" x14ac:dyDescent="0.25">
      <c r="H1725" s="37"/>
      <c r="I1725" s="79"/>
      <c r="J1725" s="70"/>
      <c r="K1725" s="57"/>
      <c r="L1725" s="11"/>
      <c r="M1725" s="41"/>
      <c r="N1725" s="11"/>
    </row>
    <row r="1726" spans="8:14" x14ac:dyDescent="0.25">
      <c r="H1726" s="37"/>
      <c r="I1726" s="79"/>
      <c r="J1726" s="70"/>
      <c r="K1726" s="57"/>
      <c r="L1726" s="11"/>
      <c r="M1726" s="41"/>
      <c r="N1726" s="11"/>
    </row>
    <row r="1727" spans="8:14" x14ac:dyDescent="0.25">
      <c r="H1727" s="37"/>
      <c r="I1727" s="79"/>
      <c r="J1727" s="70"/>
      <c r="K1727" s="57"/>
      <c r="L1727" s="11"/>
      <c r="M1727" s="41"/>
      <c r="N1727" s="11"/>
    </row>
    <row r="1728" spans="8:14" x14ac:dyDescent="0.25">
      <c r="H1728" s="37"/>
      <c r="I1728" s="79"/>
      <c r="J1728" s="70"/>
      <c r="K1728" s="57"/>
      <c r="L1728" s="11"/>
      <c r="M1728" s="41"/>
      <c r="N1728" s="11"/>
    </row>
    <row r="1729" spans="8:14" x14ac:dyDescent="0.25">
      <c r="H1729" s="37"/>
      <c r="I1729" s="79"/>
      <c r="J1729" s="70"/>
      <c r="K1729" s="57"/>
      <c r="L1729" s="11"/>
      <c r="M1729" s="41"/>
      <c r="N1729" s="11"/>
    </row>
    <row r="1730" spans="8:14" x14ac:dyDescent="0.25">
      <c r="H1730" s="37"/>
      <c r="I1730" s="79"/>
      <c r="J1730" s="70"/>
      <c r="K1730" s="57"/>
      <c r="L1730" s="11"/>
      <c r="M1730" s="41"/>
      <c r="N1730" s="11"/>
    </row>
    <row r="1731" spans="8:14" x14ac:dyDescent="0.25">
      <c r="H1731" s="37"/>
      <c r="I1731" s="79"/>
      <c r="J1731" s="70"/>
      <c r="K1731" s="57"/>
      <c r="L1731" s="11"/>
      <c r="M1731" s="41"/>
      <c r="N1731" s="11"/>
    </row>
    <row r="1732" spans="8:14" x14ac:dyDescent="0.25">
      <c r="H1732" s="37"/>
      <c r="I1732" s="79"/>
      <c r="J1732" s="70"/>
      <c r="K1732" s="57"/>
      <c r="L1732" s="11"/>
      <c r="M1732" s="41"/>
      <c r="N1732" s="11"/>
    </row>
    <row r="1733" spans="8:14" x14ac:dyDescent="0.25">
      <c r="H1733" s="37"/>
      <c r="I1733" s="79"/>
      <c r="J1733" s="70"/>
      <c r="K1733" s="57"/>
      <c r="L1733" s="11"/>
      <c r="M1733" s="41"/>
      <c r="N1733" s="11"/>
    </row>
    <row r="1734" spans="8:14" x14ac:dyDescent="0.25">
      <c r="H1734" s="37"/>
      <c r="I1734" s="79"/>
      <c r="J1734" s="70"/>
      <c r="K1734" s="57"/>
      <c r="L1734" s="11"/>
      <c r="M1734" s="41"/>
      <c r="N1734" s="11"/>
    </row>
    <row r="1735" spans="8:14" x14ac:dyDescent="0.25">
      <c r="H1735" s="37"/>
      <c r="I1735" s="79"/>
      <c r="J1735" s="70"/>
      <c r="K1735" s="57"/>
      <c r="L1735" s="11"/>
      <c r="M1735" s="41"/>
      <c r="N1735" s="11"/>
    </row>
    <row r="1736" spans="8:14" x14ac:dyDescent="0.25">
      <c r="H1736" s="37"/>
      <c r="I1736" s="79"/>
      <c r="J1736" s="70"/>
      <c r="K1736" s="57"/>
      <c r="L1736" s="11"/>
      <c r="M1736" s="41"/>
      <c r="N1736" s="11"/>
    </row>
    <row r="1737" spans="8:14" x14ac:dyDescent="0.25">
      <c r="H1737" s="37"/>
      <c r="I1737" s="79"/>
      <c r="J1737" s="70"/>
      <c r="K1737" s="57"/>
      <c r="L1737" s="11"/>
      <c r="M1737" s="41"/>
      <c r="N1737" s="11"/>
    </row>
    <row r="1738" spans="8:14" x14ac:dyDescent="0.25">
      <c r="H1738" s="37"/>
      <c r="I1738" s="79"/>
      <c r="J1738" s="70"/>
      <c r="K1738" s="57"/>
      <c r="L1738" s="11"/>
      <c r="M1738" s="41"/>
      <c r="N1738" s="11"/>
    </row>
    <row r="1739" spans="8:14" x14ac:dyDescent="0.25">
      <c r="H1739" s="37"/>
      <c r="I1739" s="79"/>
      <c r="J1739" s="70"/>
      <c r="K1739" s="57"/>
      <c r="L1739" s="11"/>
      <c r="M1739" s="41"/>
      <c r="N1739" s="11"/>
    </row>
    <row r="1740" spans="8:14" x14ac:dyDescent="0.25">
      <c r="H1740" s="37"/>
      <c r="I1740" s="79"/>
      <c r="J1740" s="70"/>
      <c r="K1740" s="57"/>
      <c r="L1740" s="11"/>
      <c r="M1740" s="41"/>
      <c r="N1740" s="11"/>
    </row>
    <row r="1741" spans="8:14" x14ac:dyDescent="0.25">
      <c r="H1741" s="37"/>
      <c r="I1741" s="79"/>
      <c r="J1741" s="70"/>
      <c r="K1741" s="57"/>
      <c r="L1741" s="11"/>
      <c r="M1741" s="41"/>
      <c r="N1741" s="11"/>
    </row>
    <row r="1742" spans="8:14" x14ac:dyDescent="0.25">
      <c r="H1742" s="37"/>
      <c r="I1742" s="79"/>
      <c r="J1742" s="70"/>
      <c r="K1742" s="57"/>
      <c r="L1742" s="11"/>
      <c r="M1742" s="41"/>
      <c r="N1742" s="11"/>
    </row>
    <row r="1743" spans="8:14" x14ac:dyDescent="0.25">
      <c r="H1743" s="37"/>
      <c r="I1743" s="79"/>
      <c r="J1743" s="70"/>
      <c r="K1743" s="57"/>
      <c r="L1743" s="11"/>
      <c r="M1743" s="41"/>
      <c r="N1743" s="11"/>
    </row>
    <row r="1744" spans="8:14" x14ac:dyDescent="0.25">
      <c r="H1744" s="37"/>
      <c r="I1744" s="79"/>
      <c r="J1744" s="70"/>
      <c r="K1744" s="57"/>
      <c r="L1744" s="11"/>
      <c r="M1744" s="41"/>
      <c r="N1744" s="11"/>
    </row>
    <row r="1745" spans="8:14" x14ac:dyDescent="0.25">
      <c r="H1745" s="37"/>
      <c r="I1745" s="79"/>
      <c r="J1745" s="70"/>
      <c r="K1745" s="57"/>
      <c r="L1745" s="11"/>
      <c r="M1745" s="41"/>
      <c r="N1745" s="11"/>
    </row>
    <row r="1746" spans="8:14" x14ac:dyDescent="0.25">
      <c r="H1746" s="37"/>
      <c r="I1746" s="79"/>
      <c r="J1746" s="70"/>
      <c r="K1746" s="57"/>
      <c r="L1746" s="11"/>
      <c r="M1746" s="41"/>
      <c r="N1746" s="11"/>
    </row>
    <row r="1747" spans="8:14" x14ac:dyDescent="0.25">
      <c r="H1747" s="37"/>
      <c r="I1747" s="79"/>
      <c r="J1747" s="70"/>
      <c r="K1747" s="57"/>
      <c r="L1747" s="11"/>
      <c r="M1747" s="41"/>
      <c r="N1747" s="11"/>
    </row>
    <row r="1748" spans="8:14" x14ac:dyDescent="0.25">
      <c r="H1748" s="37"/>
      <c r="I1748" s="79"/>
      <c r="J1748" s="70"/>
      <c r="K1748" s="57"/>
      <c r="L1748" s="11"/>
      <c r="M1748" s="41"/>
      <c r="N1748" s="11"/>
    </row>
    <row r="1749" spans="8:14" x14ac:dyDescent="0.25">
      <c r="H1749" s="37"/>
      <c r="I1749" s="79"/>
      <c r="J1749" s="70"/>
      <c r="K1749" s="57"/>
      <c r="L1749" s="11"/>
      <c r="M1749" s="41"/>
      <c r="N1749" s="11"/>
    </row>
    <row r="1750" spans="8:14" x14ac:dyDescent="0.25">
      <c r="H1750" s="37"/>
      <c r="I1750" s="79"/>
      <c r="J1750" s="70"/>
      <c r="K1750" s="57"/>
      <c r="L1750" s="11"/>
      <c r="M1750" s="41"/>
      <c r="N1750" s="11"/>
    </row>
    <row r="1751" spans="8:14" x14ac:dyDescent="0.25">
      <c r="H1751" s="37"/>
      <c r="I1751" s="79"/>
      <c r="J1751" s="70"/>
      <c r="K1751" s="57"/>
      <c r="L1751" s="11"/>
      <c r="M1751" s="41"/>
      <c r="N1751" s="11"/>
    </row>
    <row r="1752" spans="8:14" x14ac:dyDescent="0.25">
      <c r="H1752" s="37"/>
      <c r="I1752" s="79"/>
      <c r="J1752" s="70"/>
      <c r="K1752" s="57"/>
      <c r="L1752" s="11"/>
      <c r="M1752" s="41"/>
      <c r="N1752" s="11"/>
    </row>
    <row r="1753" spans="8:14" x14ac:dyDescent="0.25">
      <c r="H1753" s="37"/>
      <c r="I1753" s="79"/>
      <c r="J1753" s="70"/>
      <c r="K1753" s="57"/>
      <c r="L1753" s="11"/>
      <c r="M1753" s="41"/>
      <c r="N1753" s="11"/>
    </row>
    <row r="1754" spans="8:14" x14ac:dyDescent="0.25">
      <c r="H1754" s="37"/>
      <c r="I1754" s="79"/>
      <c r="J1754" s="70"/>
      <c r="K1754" s="57"/>
      <c r="L1754" s="11"/>
      <c r="M1754" s="41"/>
      <c r="N1754" s="11"/>
    </row>
    <row r="1755" spans="8:14" x14ac:dyDescent="0.25">
      <c r="H1755" s="37"/>
      <c r="I1755" s="79"/>
      <c r="J1755" s="70"/>
      <c r="K1755" s="57"/>
      <c r="L1755" s="11"/>
      <c r="M1755" s="41"/>
      <c r="N1755" s="11"/>
    </row>
    <row r="1756" spans="8:14" x14ac:dyDescent="0.25">
      <c r="H1756" s="37"/>
      <c r="I1756" s="79"/>
      <c r="J1756" s="70"/>
      <c r="K1756" s="57"/>
      <c r="L1756" s="11"/>
      <c r="M1756" s="41"/>
      <c r="N1756" s="11"/>
    </row>
    <row r="1757" spans="8:14" x14ac:dyDescent="0.25">
      <c r="H1757" s="37"/>
      <c r="I1757" s="79"/>
      <c r="J1757" s="70"/>
      <c r="K1757" s="57"/>
      <c r="L1757" s="11"/>
      <c r="M1757" s="41"/>
      <c r="N1757" s="11"/>
    </row>
    <row r="1758" spans="8:14" x14ac:dyDescent="0.25">
      <c r="H1758" s="37"/>
      <c r="I1758" s="79"/>
      <c r="J1758" s="70"/>
      <c r="K1758" s="57"/>
      <c r="L1758" s="11"/>
      <c r="M1758" s="41"/>
      <c r="N1758" s="11"/>
    </row>
    <row r="1759" spans="8:14" x14ac:dyDescent="0.25">
      <c r="H1759" s="37"/>
      <c r="I1759" s="79"/>
      <c r="J1759" s="70"/>
      <c r="K1759" s="57"/>
      <c r="L1759" s="11"/>
      <c r="M1759" s="41"/>
      <c r="N1759" s="11"/>
    </row>
    <row r="1760" spans="8:14" x14ac:dyDescent="0.25">
      <c r="H1760" s="37"/>
      <c r="I1760" s="79"/>
      <c r="J1760" s="70"/>
      <c r="K1760" s="57"/>
      <c r="L1760" s="11"/>
      <c r="M1760" s="41"/>
      <c r="N1760" s="11"/>
    </row>
    <row r="1761" spans="8:14" x14ac:dyDescent="0.25">
      <c r="H1761" s="37"/>
      <c r="I1761" s="79"/>
      <c r="J1761" s="70"/>
      <c r="K1761" s="57"/>
      <c r="L1761" s="11"/>
      <c r="M1761" s="41"/>
      <c r="N1761" s="11"/>
    </row>
    <row r="1762" spans="8:14" x14ac:dyDescent="0.25">
      <c r="H1762" s="37"/>
      <c r="I1762" s="79"/>
      <c r="J1762" s="70"/>
      <c r="K1762" s="57"/>
      <c r="L1762" s="11"/>
      <c r="M1762" s="41"/>
      <c r="N1762" s="11"/>
    </row>
    <row r="1763" spans="8:14" x14ac:dyDescent="0.25">
      <c r="H1763" s="37"/>
      <c r="I1763" s="79"/>
      <c r="J1763" s="70"/>
      <c r="K1763" s="57"/>
      <c r="L1763" s="11"/>
      <c r="M1763" s="41"/>
      <c r="N1763" s="11"/>
    </row>
    <row r="1764" spans="8:14" x14ac:dyDescent="0.25">
      <c r="H1764" s="37"/>
      <c r="I1764" s="79"/>
      <c r="J1764" s="70"/>
      <c r="K1764" s="57"/>
      <c r="L1764" s="11"/>
      <c r="M1764" s="41"/>
      <c r="N1764" s="11"/>
    </row>
    <row r="1765" spans="8:14" x14ac:dyDescent="0.25">
      <c r="H1765" s="37"/>
      <c r="I1765" s="79"/>
      <c r="J1765" s="70"/>
      <c r="K1765" s="57"/>
      <c r="L1765" s="11"/>
      <c r="M1765" s="41"/>
      <c r="N1765" s="11"/>
    </row>
    <row r="1766" spans="8:14" x14ac:dyDescent="0.25">
      <c r="H1766" s="37"/>
      <c r="I1766" s="79"/>
      <c r="J1766" s="70"/>
      <c r="K1766" s="57"/>
      <c r="L1766" s="11"/>
      <c r="M1766" s="41"/>
      <c r="N1766" s="11"/>
    </row>
    <row r="1767" spans="8:14" x14ac:dyDescent="0.25">
      <c r="H1767" s="37"/>
      <c r="I1767" s="79"/>
      <c r="J1767" s="70"/>
      <c r="K1767" s="57"/>
      <c r="L1767" s="11"/>
      <c r="M1767" s="41"/>
      <c r="N1767" s="11"/>
    </row>
    <row r="1768" spans="8:14" x14ac:dyDescent="0.25">
      <c r="H1768" s="37"/>
      <c r="I1768" s="79"/>
      <c r="J1768" s="70"/>
      <c r="K1768" s="57"/>
      <c r="L1768" s="11"/>
      <c r="M1768" s="41"/>
      <c r="N1768" s="11"/>
    </row>
    <row r="1769" spans="8:14" x14ac:dyDescent="0.25">
      <c r="H1769" s="37"/>
      <c r="I1769" s="79"/>
      <c r="J1769" s="70"/>
      <c r="K1769" s="57"/>
      <c r="L1769" s="11"/>
      <c r="M1769" s="41"/>
      <c r="N1769" s="11"/>
    </row>
    <row r="1770" spans="8:14" x14ac:dyDescent="0.25">
      <c r="H1770" s="37"/>
      <c r="I1770" s="79"/>
      <c r="J1770" s="70"/>
      <c r="K1770" s="57"/>
      <c r="L1770" s="11"/>
      <c r="M1770" s="41"/>
      <c r="N1770" s="11"/>
    </row>
    <row r="1771" spans="8:14" x14ac:dyDescent="0.25">
      <c r="H1771" s="37"/>
      <c r="I1771" s="79"/>
      <c r="J1771" s="70"/>
      <c r="K1771" s="57"/>
      <c r="L1771" s="11"/>
      <c r="M1771" s="41"/>
      <c r="N1771" s="11"/>
    </row>
    <row r="1772" spans="8:14" x14ac:dyDescent="0.25">
      <c r="H1772" s="37"/>
      <c r="I1772" s="79"/>
      <c r="J1772" s="70"/>
      <c r="K1772" s="57"/>
      <c r="L1772" s="11"/>
      <c r="M1772" s="41"/>
      <c r="N1772" s="11"/>
    </row>
    <row r="1773" spans="8:14" x14ac:dyDescent="0.25">
      <c r="H1773" s="37"/>
      <c r="I1773" s="79"/>
      <c r="J1773" s="70"/>
      <c r="K1773" s="57"/>
      <c r="L1773" s="11"/>
      <c r="M1773" s="41"/>
      <c r="N1773" s="11"/>
    </row>
    <row r="1774" spans="8:14" x14ac:dyDescent="0.25">
      <c r="H1774" s="37"/>
      <c r="I1774" s="79"/>
      <c r="J1774" s="70"/>
      <c r="K1774" s="57"/>
      <c r="L1774" s="11"/>
      <c r="M1774" s="41"/>
      <c r="N1774" s="11"/>
    </row>
    <row r="1775" spans="8:14" x14ac:dyDescent="0.25">
      <c r="H1775" s="37"/>
      <c r="I1775" s="79"/>
      <c r="J1775" s="70"/>
      <c r="K1775" s="57"/>
      <c r="L1775" s="11"/>
      <c r="M1775" s="41"/>
      <c r="N1775" s="11"/>
    </row>
    <row r="1776" spans="8:14" x14ac:dyDescent="0.25">
      <c r="H1776" s="37"/>
      <c r="I1776" s="79"/>
      <c r="J1776" s="70"/>
      <c r="K1776" s="57"/>
      <c r="L1776" s="11"/>
      <c r="M1776" s="41"/>
      <c r="N1776" s="11"/>
    </row>
    <row r="1777" spans="8:14" x14ac:dyDescent="0.25">
      <c r="H1777" s="37"/>
      <c r="I1777" s="79"/>
      <c r="J1777" s="70"/>
      <c r="K1777" s="57"/>
      <c r="L1777" s="11"/>
      <c r="M1777" s="41"/>
      <c r="N1777" s="11"/>
    </row>
    <row r="1778" spans="8:14" x14ac:dyDescent="0.25">
      <c r="H1778" s="37"/>
      <c r="I1778" s="79"/>
      <c r="J1778" s="70"/>
      <c r="K1778" s="57"/>
      <c r="L1778" s="11"/>
      <c r="M1778" s="41"/>
      <c r="N1778" s="11"/>
    </row>
    <row r="1779" spans="8:14" x14ac:dyDescent="0.25">
      <c r="H1779" s="37"/>
      <c r="I1779" s="79"/>
      <c r="J1779" s="70"/>
      <c r="K1779" s="57"/>
      <c r="L1779" s="11"/>
      <c r="M1779" s="41"/>
      <c r="N1779" s="11"/>
    </row>
    <row r="1780" spans="8:14" x14ac:dyDescent="0.25">
      <c r="H1780" s="37"/>
      <c r="I1780" s="79"/>
      <c r="J1780" s="70"/>
      <c r="K1780" s="57"/>
      <c r="L1780" s="11"/>
      <c r="M1780" s="41"/>
      <c r="N1780" s="11"/>
    </row>
    <row r="1781" spans="8:14" x14ac:dyDescent="0.25">
      <c r="H1781" s="37"/>
      <c r="I1781" s="79"/>
      <c r="J1781" s="70"/>
      <c r="K1781" s="57"/>
      <c r="L1781" s="11"/>
      <c r="M1781" s="41"/>
      <c r="N1781" s="11"/>
    </row>
    <row r="1782" spans="8:14" x14ac:dyDescent="0.25">
      <c r="H1782" s="37"/>
      <c r="I1782" s="79"/>
      <c r="J1782" s="70"/>
      <c r="K1782" s="57"/>
      <c r="L1782" s="11"/>
      <c r="M1782" s="41"/>
      <c r="N1782" s="11"/>
    </row>
    <row r="1783" spans="8:14" x14ac:dyDescent="0.25">
      <c r="H1783" s="37"/>
      <c r="I1783" s="79"/>
      <c r="J1783" s="70"/>
      <c r="K1783" s="57"/>
      <c r="L1783" s="11"/>
      <c r="M1783" s="41"/>
      <c r="N1783" s="11"/>
    </row>
    <row r="1784" spans="8:14" x14ac:dyDescent="0.25">
      <c r="H1784" s="37"/>
      <c r="I1784" s="79"/>
      <c r="J1784" s="70"/>
      <c r="K1784" s="57"/>
      <c r="L1784" s="11"/>
      <c r="M1784" s="41"/>
      <c r="N1784" s="11"/>
    </row>
    <row r="1785" spans="8:14" x14ac:dyDescent="0.25">
      <c r="H1785" s="37"/>
      <c r="I1785" s="79"/>
      <c r="J1785" s="70"/>
      <c r="K1785" s="57"/>
      <c r="L1785" s="11"/>
      <c r="M1785" s="41"/>
      <c r="N1785" s="11"/>
    </row>
    <row r="1786" spans="8:14" x14ac:dyDescent="0.25">
      <c r="H1786" s="37"/>
      <c r="I1786" s="79"/>
      <c r="J1786" s="70"/>
      <c r="K1786" s="57"/>
      <c r="L1786" s="11"/>
      <c r="M1786" s="41"/>
      <c r="N1786" s="11"/>
    </row>
    <row r="1787" spans="8:14" x14ac:dyDescent="0.25">
      <c r="H1787" s="37"/>
      <c r="I1787" s="79"/>
      <c r="J1787" s="70"/>
      <c r="K1787" s="57"/>
      <c r="L1787" s="11"/>
      <c r="M1787" s="41"/>
      <c r="N1787" s="11"/>
    </row>
    <row r="1788" spans="8:14" x14ac:dyDescent="0.25">
      <c r="H1788" s="37"/>
      <c r="I1788" s="79"/>
      <c r="J1788" s="70"/>
      <c r="K1788" s="57"/>
      <c r="L1788" s="11"/>
      <c r="M1788" s="41"/>
      <c r="N1788" s="11"/>
    </row>
    <row r="1789" spans="8:14" x14ac:dyDescent="0.25">
      <c r="H1789" s="37"/>
      <c r="I1789" s="79"/>
      <c r="J1789" s="70"/>
      <c r="K1789" s="57"/>
      <c r="L1789" s="11"/>
      <c r="M1789" s="41"/>
      <c r="N1789" s="11"/>
    </row>
    <row r="1790" spans="8:14" x14ac:dyDescent="0.25">
      <c r="H1790" s="37"/>
      <c r="I1790" s="79"/>
      <c r="J1790" s="70"/>
      <c r="K1790" s="57"/>
      <c r="L1790" s="11"/>
      <c r="M1790" s="41"/>
      <c r="N1790" s="11"/>
    </row>
    <row r="1791" spans="8:14" x14ac:dyDescent="0.25">
      <c r="H1791" s="37"/>
      <c r="I1791" s="79"/>
      <c r="J1791" s="70"/>
      <c r="K1791" s="57"/>
      <c r="L1791" s="11"/>
      <c r="M1791" s="41"/>
      <c r="N1791" s="11"/>
    </row>
    <row r="1792" spans="8:14" x14ac:dyDescent="0.25">
      <c r="H1792" s="37"/>
      <c r="I1792" s="79"/>
      <c r="J1792" s="70"/>
      <c r="K1792" s="57"/>
      <c r="L1792" s="11"/>
      <c r="M1792" s="41"/>
      <c r="N1792" s="11"/>
    </row>
    <row r="1793" spans="8:14" x14ac:dyDescent="0.25">
      <c r="H1793" s="37"/>
      <c r="I1793" s="79"/>
      <c r="J1793" s="70"/>
      <c r="K1793" s="57"/>
      <c r="L1793" s="11"/>
      <c r="M1793" s="41"/>
      <c r="N1793" s="11"/>
    </row>
    <row r="1794" spans="8:14" x14ac:dyDescent="0.25">
      <c r="H1794" s="37"/>
      <c r="I1794" s="79"/>
      <c r="J1794" s="70"/>
      <c r="K1794" s="57"/>
      <c r="L1794" s="11"/>
      <c r="M1794" s="41"/>
      <c r="N1794" s="11"/>
    </row>
    <row r="1795" spans="8:14" x14ac:dyDescent="0.25">
      <c r="H1795" s="37"/>
      <c r="I1795" s="79"/>
      <c r="J1795" s="70"/>
      <c r="K1795" s="57"/>
      <c r="L1795" s="11"/>
      <c r="M1795" s="41"/>
      <c r="N1795" s="11"/>
    </row>
    <row r="1796" spans="8:14" x14ac:dyDescent="0.25">
      <c r="H1796" s="37"/>
      <c r="I1796" s="79"/>
      <c r="J1796" s="70"/>
      <c r="K1796" s="57"/>
      <c r="L1796" s="11"/>
      <c r="M1796" s="41"/>
      <c r="N1796" s="11"/>
    </row>
    <row r="1797" spans="8:14" x14ac:dyDescent="0.25">
      <c r="H1797" s="37"/>
      <c r="I1797" s="79"/>
      <c r="J1797" s="70"/>
      <c r="K1797" s="57"/>
      <c r="L1797" s="11"/>
      <c r="M1797" s="41"/>
      <c r="N1797" s="11"/>
    </row>
    <row r="1798" spans="8:14" x14ac:dyDescent="0.25">
      <c r="H1798" s="37"/>
      <c r="I1798" s="79"/>
      <c r="J1798" s="70"/>
      <c r="K1798" s="57"/>
      <c r="L1798" s="11"/>
      <c r="M1798" s="41"/>
      <c r="N1798" s="11"/>
    </row>
    <row r="1799" spans="8:14" x14ac:dyDescent="0.25">
      <c r="H1799" s="37"/>
      <c r="I1799" s="79"/>
      <c r="J1799" s="70"/>
      <c r="K1799" s="57"/>
      <c r="L1799" s="11"/>
      <c r="M1799" s="41"/>
      <c r="N1799" s="11"/>
    </row>
    <row r="1800" spans="8:14" x14ac:dyDescent="0.25">
      <c r="H1800" s="37"/>
      <c r="I1800" s="79"/>
      <c r="J1800" s="70"/>
      <c r="K1800" s="57"/>
      <c r="L1800" s="11"/>
      <c r="M1800" s="41"/>
      <c r="N1800" s="11"/>
    </row>
    <row r="1801" spans="8:14" x14ac:dyDescent="0.25">
      <c r="H1801" s="37"/>
      <c r="I1801" s="79"/>
      <c r="J1801" s="70"/>
      <c r="K1801" s="57"/>
      <c r="L1801" s="11"/>
      <c r="M1801" s="41"/>
      <c r="N1801" s="11"/>
    </row>
    <row r="1802" spans="8:14" x14ac:dyDescent="0.25">
      <c r="H1802" s="37"/>
      <c r="I1802" s="79"/>
      <c r="J1802" s="70"/>
      <c r="K1802" s="57"/>
      <c r="L1802" s="11"/>
      <c r="M1802" s="41"/>
      <c r="N1802" s="11"/>
    </row>
    <row r="1803" spans="8:14" x14ac:dyDescent="0.25">
      <c r="H1803" s="37"/>
      <c r="I1803" s="79"/>
      <c r="J1803" s="70"/>
      <c r="K1803" s="57"/>
      <c r="L1803" s="11"/>
      <c r="M1803" s="41"/>
      <c r="N1803" s="11"/>
    </row>
    <row r="1804" spans="8:14" x14ac:dyDescent="0.25">
      <c r="H1804" s="37"/>
      <c r="I1804" s="79"/>
      <c r="J1804" s="70"/>
      <c r="K1804" s="57"/>
      <c r="L1804" s="11"/>
      <c r="M1804" s="41"/>
      <c r="N1804" s="11"/>
    </row>
    <row r="1805" spans="8:14" x14ac:dyDescent="0.25">
      <c r="H1805" s="37"/>
      <c r="I1805" s="79"/>
      <c r="J1805" s="70"/>
      <c r="K1805" s="57"/>
      <c r="L1805" s="11"/>
      <c r="M1805" s="41"/>
      <c r="N1805" s="11"/>
    </row>
    <row r="1806" spans="8:14" x14ac:dyDescent="0.25">
      <c r="H1806" s="37"/>
      <c r="I1806" s="79"/>
      <c r="J1806" s="70"/>
      <c r="K1806" s="57"/>
      <c r="L1806" s="11"/>
      <c r="M1806" s="41"/>
      <c r="N1806" s="11"/>
    </row>
    <row r="1807" spans="8:14" x14ac:dyDescent="0.25">
      <c r="H1807" s="37"/>
      <c r="I1807" s="79"/>
      <c r="J1807" s="70"/>
      <c r="K1807" s="57"/>
      <c r="L1807" s="11"/>
      <c r="M1807" s="41"/>
      <c r="N1807" s="11"/>
    </row>
    <row r="1808" spans="8:14" x14ac:dyDescent="0.25">
      <c r="H1808" s="37"/>
      <c r="I1808" s="79"/>
      <c r="J1808" s="70"/>
      <c r="K1808" s="57"/>
      <c r="L1808" s="11"/>
      <c r="M1808" s="41"/>
      <c r="N1808" s="11"/>
    </row>
    <row r="1809" spans="8:14" x14ac:dyDescent="0.25">
      <c r="H1809" s="37"/>
      <c r="I1809" s="79"/>
      <c r="J1809" s="70"/>
      <c r="K1809" s="57"/>
      <c r="L1809" s="11"/>
      <c r="M1809" s="41"/>
      <c r="N1809" s="11"/>
    </row>
    <row r="1810" spans="8:14" x14ac:dyDescent="0.25">
      <c r="H1810" s="37"/>
      <c r="I1810" s="79"/>
      <c r="J1810" s="70"/>
      <c r="K1810" s="57"/>
      <c r="L1810" s="11"/>
      <c r="M1810" s="41"/>
      <c r="N1810" s="11"/>
    </row>
    <row r="1811" spans="8:14" x14ac:dyDescent="0.25">
      <c r="H1811" s="37"/>
      <c r="I1811" s="79"/>
      <c r="J1811" s="70"/>
      <c r="K1811" s="57"/>
      <c r="L1811" s="11"/>
      <c r="M1811" s="41"/>
      <c r="N1811" s="11"/>
    </row>
    <row r="1812" spans="8:14" x14ac:dyDescent="0.25">
      <c r="H1812" s="37"/>
      <c r="I1812" s="79"/>
      <c r="J1812" s="70"/>
      <c r="K1812" s="57"/>
      <c r="L1812" s="11"/>
      <c r="M1812" s="41"/>
      <c r="N1812" s="11"/>
    </row>
    <row r="1813" spans="8:14" x14ac:dyDescent="0.25">
      <c r="H1813" s="37"/>
      <c r="I1813" s="79"/>
      <c r="J1813" s="70"/>
      <c r="K1813" s="57"/>
      <c r="L1813" s="11"/>
      <c r="M1813" s="41"/>
      <c r="N1813" s="11"/>
    </row>
    <row r="1814" spans="8:14" x14ac:dyDescent="0.25">
      <c r="H1814" s="37"/>
      <c r="I1814" s="79"/>
      <c r="J1814" s="70"/>
      <c r="K1814" s="57"/>
      <c r="L1814" s="11"/>
      <c r="M1814" s="41"/>
      <c r="N1814" s="11"/>
    </row>
    <row r="1815" spans="8:14" x14ac:dyDescent="0.25">
      <c r="H1815" s="37"/>
      <c r="I1815" s="79"/>
      <c r="J1815" s="70"/>
      <c r="K1815" s="57"/>
      <c r="L1815" s="11"/>
      <c r="M1815" s="41"/>
      <c r="N1815" s="11"/>
    </row>
    <row r="1816" spans="8:14" x14ac:dyDescent="0.25">
      <c r="H1816" s="37"/>
      <c r="I1816" s="79"/>
      <c r="J1816" s="70"/>
      <c r="K1816" s="57"/>
      <c r="L1816" s="11"/>
      <c r="M1816" s="41"/>
      <c r="N1816" s="11"/>
    </row>
    <row r="1817" spans="8:14" x14ac:dyDescent="0.25">
      <c r="H1817" s="37"/>
      <c r="I1817" s="79"/>
      <c r="J1817" s="70"/>
      <c r="K1817" s="57"/>
      <c r="L1817" s="11"/>
      <c r="M1817" s="41"/>
      <c r="N1817" s="11"/>
    </row>
    <row r="1818" spans="8:14" x14ac:dyDescent="0.25">
      <c r="H1818" s="37"/>
      <c r="I1818" s="79"/>
      <c r="J1818" s="70"/>
      <c r="K1818" s="57"/>
      <c r="L1818" s="11"/>
      <c r="M1818" s="41"/>
      <c r="N1818" s="11"/>
    </row>
    <row r="1819" spans="8:14" x14ac:dyDescent="0.25">
      <c r="H1819" s="37"/>
      <c r="I1819" s="79"/>
      <c r="J1819" s="70"/>
      <c r="K1819" s="57"/>
      <c r="L1819" s="11"/>
      <c r="M1819" s="41"/>
      <c r="N1819" s="11"/>
    </row>
    <row r="1820" spans="8:14" x14ac:dyDescent="0.25">
      <c r="H1820" s="37"/>
      <c r="I1820" s="79"/>
      <c r="J1820" s="70"/>
      <c r="K1820" s="57"/>
      <c r="L1820" s="11"/>
      <c r="M1820" s="41"/>
      <c r="N1820" s="11"/>
    </row>
    <row r="1821" spans="8:14" x14ac:dyDescent="0.25">
      <c r="H1821" s="37"/>
      <c r="I1821" s="79"/>
      <c r="J1821" s="70"/>
      <c r="K1821" s="57"/>
      <c r="L1821" s="11"/>
      <c r="M1821" s="41"/>
      <c r="N1821" s="11"/>
    </row>
    <row r="1822" spans="8:14" x14ac:dyDescent="0.25">
      <c r="H1822" s="37"/>
      <c r="I1822" s="79"/>
      <c r="J1822" s="70"/>
      <c r="K1822" s="57"/>
      <c r="L1822" s="11"/>
      <c r="M1822" s="41"/>
      <c r="N1822" s="11"/>
    </row>
    <row r="1823" spans="8:14" x14ac:dyDescent="0.25">
      <c r="H1823" s="37"/>
      <c r="I1823" s="79"/>
      <c r="J1823" s="70"/>
      <c r="K1823" s="57"/>
      <c r="L1823" s="11"/>
      <c r="M1823" s="41"/>
      <c r="N1823" s="11"/>
    </row>
    <row r="1824" spans="8:14" x14ac:dyDescent="0.25">
      <c r="H1824" s="37"/>
      <c r="I1824" s="79"/>
      <c r="J1824" s="70"/>
      <c r="K1824" s="57"/>
      <c r="L1824" s="11"/>
      <c r="M1824" s="41"/>
      <c r="N1824" s="11"/>
    </row>
    <row r="1825" spans="8:14" x14ac:dyDescent="0.25">
      <c r="H1825" s="37"/>
      <c r="I1825" s="79"/>
      <c r="J1825" s="70"/>
      <c r="K1825" s="57"/>
      <c r="L1825" s="11"/>
      <c r="M1825" s="41"/>
      <c r="N1825" s="11"/>
    </row>
    <row r="1826" spans="8:14" x14ac:dyDescent="0.25">
      <c r="H1826" s="37"/>
      <c r="I1826" s="79"/>
      <c r="J1826" s="70"/>
      <c r="K1826" s="57"/>
      <c r="L1826" s="11"/>
      <c r="M1826" s="41"/>
      <c r="N1826" s="11"/>
    </row>
    <row r="1827" spans="8:14" x14ac:dyDescent="0.25">
      <c r="H1827" s="37"/>
      <c r="I1827" s="79"/>
      <c r="J1827" s="70"/>
      <c r="K1827" s="57"/>
      <c r="L1827" s="11"/>
      <c r="M1827" s="41"/>
      <c r="N1827" s="11"/>
    </row>
    <row r="1828" spans="8:14" x14ac:dyDescent="0.25">
      <c r="H1828" s="37"/>
      <c r="I1828" s="79"/>
      <c r="J1828" s="70"/>
      <c r="K1828" s="57"/>
      <c r="L1828" s="11"/>
      <c r="M1828" s="41"/>
      <c r="N1828" s="11"/>
    </row>
    <row r="1829" spans="8:14" x14ac:dyDescent="0.25">
      <c r="H1829" s="37"/>
      <c r="I1829" s="79"/>
      <c r="J1829" s="70"/>
      <c r="K1829" s="57"/>
      <c r="L1829" s="11"/>
      <c r="M1829" s="41"/>
      <c r="N1829" s="11"/>
    </row>
    <row r="1830" spans="8:14" x14ac:dyDescent="0.25">
      <c r="H1830" s="37"/>
      <c r="I1830" s="79"/>
      <c r="J1830" s="70"/>
      <c r="K1830" s="57"/>
      <c r="L1830" s="11"/>
      <c r="M1830" s="41"/>
      <c r="N1830" s="11"/>
    </row>
    <row r="1831" spans="8:14" x14ac:dyDescent="0.25">
      <c r="H1831" s="37"/>
      <c r="I1831" s="79"/>
      <c r="J1831" s="70"/>
      <c r="K1831" s="57"/>
      <c r="L1831" s="11"/>
      <c r="M1831" s="41"/>
      <c r="N1831" s="11"/>
    </row>
    <row r="1832" spans="8:14" x14ac:dyDescent="0.25">
      <c r="H1832" s="37"/>
      <c r="I1832" s="79"/>
      <c r="J1832" s="70"/>
      <c r="K1832" s="57"/>
      <c r="L1832" s="11"/>
      <c r="M1832" s="41"/>
      <c r="N1832" s="11"/>
    </row>
    <row r="1833" spans="8:14" x14ac:dyDescent="0.25">
      <c r="H1833" s="37"/>
      <c r="I1833" s="79"/>
      <c r="J1833" s="70"/>
      <c r="K1833" s="57"/>
      <c r="L1833" s="11"/>
      <c r="M1833" s="41"/>
      <c r="N1833" s="11"/>
    </row>
    <row r="1834" spans="8:14" x14ac:dyDescent="0.25">
      <c r="H1834" s="37"/>
      <c r="I1834" s="79"/>
      <c r="J1834" s="70"/>
      <c r="K1834" s="57"/>
      <c r="L1834" s="11"/>
      <c r="M1834" s="41"/>
      <c r="N1834" s="11"/>
    </row>
    <row r="1835" spans="8:14" x14ac:dyDescent="0.25">
      <c r="H1835" s="37"/>
      <c r="I1835" s="79"/>
      <c r="J1835" s="70"/>
      <c r="K1835" s="57"/>
      <c r="L1835" s="11"/>
      <c r="M1835" s="41"/>
      <c r="N1835" s="11"/>
    </row>
    <row r="1836" spans="8:14" x14ac:dyDescent="0.25">
      <c r="H1836" s="37"/>
      <c r="I1836" s="79"/>
      <c r="J1836" s="70"/>
      <c r="K1836" s="57"/>
      <c r="L1836" s="11"/>
      <c r="M1836" s="41"/>
      <c r="N1836" s="11"/>
    </row>
    <row r="1837" spans="8:14" x14ac:dyDescent="0.25">
      <c r="H1837" s="37"/>
      <c r="I1837" s="79"/>
      <c r="J1837" s="70"/>
      <c r="K1837" s="57"/>
      <c r="L1837" s="11"/>
      <c r="M1837" s="41"/>
      <c r="N1837" s="11"/>
    </row>
    <row r="1838" spans="8:14" x14ac:dyDescent="0.25">
      <c r="H1838" s="37"/>
      <c r="I1838" s="79"/>
      <c r="J1838" s="70"/>
      <c r="K1838" s="57"/>
      <c r="L1838" s="11"/>
      <c r="M1838" s="41"/>
      <c r="N1838" s="11"/>
    </row>
    <row r="1839" spans="8:14" x14ac:dyDescent="0.25">
      <c r="H1839" s="37"/>
      <c r="I1839" s="79"/>
      <c r="J1839" s="70"/>
      <c r="K1839" s="57"/>
      <c r="L1839" s="11"/>
      <c r="M1839" s="41"/>
      <c r="N1839" s="11"/>
    </row>
    <row r="1840" spans="8:14" x14ac:dyDescent="0.25">
      <c r="H1840" s="37"/>
      <c r="I1840" s="79"/>
      <c r="J1840" s="70"/>
      <c r="K1840" s="57"/>
      <c r="L1840" s="11"/>
      <c r="M1840" s="41"/>
      <c r="N1840" s="11"/>
    </row>
    <row r="1841" spans="8:14" x14ac:dyDescent="0.25">
      <c r="H1841" s="37"/>
      <c r="I1841" s="79"/>
      <c r="J1841" s="70"/>
      <c r="K1841" s="57"/>
      <c r="L1841" s="11"/>
      <c r="M1841" s="41"/>
      <c r="N1841" s="11"/>
    </row>
    <row r="1842" spans="8:14" x14ac:dyDescent="0.25">
      <c r="H1842" s="37"/>
      <c r="I1842" s="79"/>
      <c r="J1842" s="70"/>
      <c r="K1842" s="57"/>
      <c r="L1842" s="11"/>
      <c r="M1842" s="41"/>
      <c r="N1842" s="11"/>
    </row>
    <row r="1843" spans="8:14" x14ac:dyDescent="0.25">
      <c r="H1843" s="37"/>
      <c r="I1843" s="79"/>
      <c r="J1843" s="70"/>
      <c r="K1843" s="57"/>
      <c r="L1843" s="11"/>
      <c r="M1843" s="41"/>
      <c r="N1843" s="11"/>
    </row>
    <row r="1844" spans="8:14" x14ac:dyDescent="0.25">
      <c r="H1844" s="37"/>
      <c r="I1844" s="79"/>
      <c r="J1844" s="70"/>
      <c r="K1844" s="57"/>
      <c r="L1844" s="11"/>
      <c r="M1844" s="41"/>
      <c r="N1844" s="11"/>
    </row>
    <row r="1845" spans="8:14" x14ac:dyDescent="0.25">
      <c r="H1845" s="37"/>
      <c r="I1845" s="79"/>
      <c r="J1845" s="70"/>
      <c r="K1845" s="57"/>
      <c r="L1845" s="11"/>
      <c r="M1845" s="41"/>
      <c r="N1845" s="11"/>
    </row>
    <row r="1846" spans="8:14" x14ac:dyDescent="0.25">
      <c r="H1846" s="37"/>
      <c r="I1846" s="79"/>
      <c r="J1846" s="70"/>
      <c r="K1846" s="57"/>
      <c r="L1846" s="11"/>
      <c r="M1846" s="41"/>
      <c r="N1846" s="11"/>
    </row>
    <row r="1847" spans="8:14" x14ac:dyDescent="0.25">
      <c r="H1847" s="37"/>
      <c r="I1847" s="79"/>
      <c r="J1847" s="70"/>
      <c r="K1847" s="57"/>
      <c r="L1847" s="11"/>
      <c r="M1847" s="41"/>
      <c r="N1847" s="11"/>
    </row>
    <row r="1848" spans="8:14" x14ac:dyDescent="0.25">
      <c r="H1848" s="37"/>
      <c r="I1848" s="79"/>
      <c r="J1848" s="70"/>
      <c r="K1848" s="57"/>
      <c r="L1848" s="11"/>
      <c r="M1848" s="41"/>
      <c r="N1848" s="11"/>
    </row>
    <row r="1849" spans="8:14" x14ac:dyDescent="0.25">
      <c r="H1849" s="37"/>
      <c r="I1849" s="79"/>
      <c r="J1849" s="70"/>
      <c r="K1849" s="57"/>
      <c r="L1849" s="11"/>
      <c r="M1849" s="41"/>
      <c r="N1849" s="11"/>
    </row>
    <row r="1850" spans="8:14" x14ac:dyDescent="0.25">
      <c r="H1850" s="37"/>
      <c r="I1850" s="79"/>
      <c r="J1850" s="70"/>
      <c r="K1850" s="57"/>
      <c r="L1850" s="11"/>
      <c r="M1850" s="41"/>
      <c r="N1850" s="11"/>
    </row>
    <row r="1851" spans="8:14" x14ac:dyDescent="0.25">
      <c r="H1851" s="37"/>
      <c r="I1851" s="79"/>
      <c r="J1851" s="70"/>
      <c r="K1851" s="57"/>
      <c r="L1851" s="11"/>
      <c r="M1851" s="41"/>
      <c r="N1851" s="11"/>
    </row>
    <row r="1852" spans="8:14" x14ac:dyDescent="0.25">
      <c r="H1852" s="37"/>
      <c r="I1852" s="79"/>
      <c r="J1852" s="70"/>
      <c r="K1852" s="57"/>
      <c r="L1852" s="11"/>
      <c r="M1852" s="41"/>
      <c r="N1852" s="11"/>
    </row>
    <row r="1853" spans="8:14" x14ac:dyDescent="0.25">
      <c r="H1853" s="37"/>
      <c r="I1853" s="79"/>
      <c r="J1853" s="70"/>
      <c r="K1853" s="57"/>
      <c r="L1853" s="11"/>
      <c r="M1853" s="41"/>
      <c r="N1853" s="11"/>
    </row>
    <row r="1854" spans="8:14" x14ac:dyDescent="0.25">
      <c r="H1854" s="37"/>
      <c r="I1854" s="79"/>
      <c r="J1854" s="70"/>
      <c r="K1854" s="57"/>
      <c r="L1854" s="11"/>
      <c r="M1854" s="41"/>
      <c r="N1854" s="11"/>
    </row>
    <row r="1855" spans="8:14" x14ac:dyDescent="0.25">
      <c r="H1855" s="37"/>
      <c r="I1855" s="79"/>
      <c r="J1855" s="70"/>
      <c r="K1855" s="57"/>
      <c r="L1855" s="11"/>
      <c r="M1855" s="41"/>
      <c r="N1855" s="11"/>
    </row>
    <row r="1856" spans="8:14" x14ac:dyDescent="0.25">
      <c r="H1856" s="37"/>
      <c r="I1856" s="79"/>
      <c r="J1856" s="70"/>
      <c r="K1856" s="57"/>
      <c r="L1856" s="11"/>
      <c r="M1856" s="41"/>
      <c r="N1856" s="11"/>
    </row>
    <row r="1857" spans="8:14" x14ac:dyDescent="0.25">
      <c r="H1857" s="37"/>
      <c r="I1857" s="79"/>
      <c r="J1857" s="70"/>
      <c r="K1857" s="57"/>
      <c r="L1857" s="11"/>
      <c r="M1857" s="41"/>
      <c r="N1857" s="11"/>
    </row>
    <row r="1858" spans="8:14" x14ac:dyDescent="0.25">
      <c r="H1858" s="37"/>
      <c r="I1858" s="79"/>
      <c r="J1858" s="70"/>
      <c r="K1858" s="57"/>
      <c r="L1858" s="11"/>
      <c r="M1858" s="41"/>
      <c r="N1858" s="11"/>
    </row>
    <row r="1859" spans="8:14" x14ac:dyDescent="0.25">
      <c r="H1859" s="37"/>
      <c r="I1859" s="79"/>
      <c r="J1859" s="70"/>
      <c r="K1859" s="57"/>
      <c r="L1859" s="11"/>
      <c r="M1859" s="41"/>
      <c r="N1859" s="11"/>
    </row>
    <row r="1860" spans="8:14" x14ac:dyDescent="0.25">
      <c r="H1860" s="37"/>
      <c r="I1860" s="79"/>
      <c r="J1860" s="70"/>
      <c r="K1860" s="57"/>
      <c r="L1860" s="11"/>
      <c r="M1860" s="41"/>
      <c r="N1860" s="11"/>
    </row>
    <row r="1861" spans="8:14" x14ac:dyDescent="0.25">
      <c r="H1861" s="37"/>
      <c r="I1861" s="79"/>
      <c r="J1861" s="70"/>
      <c r="K1861" s="57"/>
      <c r="L1861" s="11"/>
      <c r="M1861" s="41"/>
      <c r="N1861" s="11"/>
    </row>
    <row r="1862" spans="8:14" x14ac:dyDescent="0.25">
      <c r="H1862" s="37"/>
      <c r="I1862" s="79"/>
      <c r="J1862" s="70"/>
      <c r="K1862" s="57"/>
      <c r="L1862" s="11"/>
      <c r="M1862" s="41"/>
      <c r="N1862" s="11"/>
    </row>
    <row r="1863" spans="8:14" x14ac:dyDescent="0.25">
      <c r="H1863" s="37"/>
      <c r="I1863" s="79"/>
      <c r="J1863" s="70"/>
      <c r="K1863" s="57"/>
      <c r="L1863" s="11"/>
      <c r="M1863" s="41"/>
      <c r="N1863" s="11"/>
    </row>
    <row r="1864" spans="8:14" x14ac:dyDescent="0.25">
      <c r="H1864" s="37"/>
      <c r="I1864" s="79"/>
      <c r="J1864" s="70"/>
      <c r="K1864" s="57"/>
      <c r="L1864" s="11"/>
      <c r="M1864" s="41"/>
      <c r="N1864" s="11"/>
    </row>
    <row r="1865" spans="8:14" x14ac:dyDescent="0.25">
      <c r="H1865" s="37"/>
      <c r="I1865" s="79"/>
      <c r="J1865" s="70"/>
      <c r="K1865" s="57"/>
      <c r="L1865" s="11"/>
      <c r="M1865" s="41"/>
      <c r="N1865" s="11"/>
    </row>
    <row r="1866" spans="8:14" x14ac:dyDescent="0.25">
      <c r="H1866" s="37"/>
      <c r="I1866" s="79"/>
      <c r="J1866" s="70"/>
      <c r="K1866" s="57"/>
      <c r="L1866" s="11"/>
      <c r="M1866" s="41"/>
      <c r="N1866" s="11"/>
    </row>
    <row r="1867" spans="8:14" x14ac:dyDescent="0.25">
      <c r="H1867" s="37"/>
      <c r="I1867" s="79"/>
      <c r="J1867" s="70"/>
      <c r="K1867" s="57"/>
      <c r="L1867" s="11"/>
      <c r="M1867" s="41"/>
      <c r="N1867" s="11"/>
    </row>
    <row r="1868" spans="8:14" x14ac:dyDescent="0.25">
      <c r="H1868" s="37"/>
      <c r="I1868" s="79"/>
      <c r="J1868" s="70"/>
      <c r="K1868" s="57"/>
      <c r="L1868" s="11"/>
      <c r="M1868" s="41"/>
      <c r="N1868" s="11"/>
    </row>
    <row r="1869" spans="8:14" x14ac:dyDescent="0.25">
      <c r="H1869" s="37"/>
      <c r="I1869" s="79"/>
      <c r="J1869" s="70"/>
      <c r="K1869" s="57"/>
      <c r="L1869" s="11"/>
      <c r="M1869" s="41"/>
      <c r="N1869" s="11"/>
    </row>
    <row r="1870" spans="8:14" x14ac:dyDescent="0.25">
      <c r="H1870" s="37"/>
      <c r="I1870" s="79"/>
      <c r="J1870" s="70"/>
      <c r="K1870" s="57"/>
      <c r="L1870" s="11"/>
      <c r="M1870" s="41"/>
      <c r="N1870" s="11"/>
    </row>
    <row r="1871" spans="8:14" x14ac:dyDescent="0.25">
      <c r="H1871" s="37"/>
      <c r="I1871" s="79"/>
      <c r="J1871" s="70"/>
      <c r="K1871" s="57"/>
      <c r="L1871" s="11"/>
      <c r="M1871" s="41"/>
      <c r="N1871" s="11"/>
    </row>
    <row r="1872" spans="8:14" x14ac:dyDescent="0.25">
      <c r="H1872" s="37"/>
      <c r="I1872" s="79"/>
      <c r="J1872" s="70"/>
      <c r="K1872" s="57"/>
      <c r="L1872" s="11"/>
      <c r="M1872" s="41"/>
      <c r="N1872" s="11"/>
    </row>
    <row r="1873" spans="8:14" x14ac:dyDescent="0.25">
      <c r="H1873" s="37"/>
      <c r="I1873" s="79"/>
      <c r="J1873" s="70"/>
      <c r="K1873" s="57"/>
      <c r="L1873" s="11"/>
      <c r="M1873" s="41"/>
      <c r="N1873" s="11"/>
    </row>
    <row r="1874" spans="8:14" x14ac:dyDescent="0.25">
      <c r="H1874" s="37"/>
      <c r="I1874" s="79"/>
      <c r="J1874" s="70"/>
      <c r="K1874" s="57"/>
      <c r="L1874" s="11"/>
      <c r="M1874" s="41"/>
      <c r="N1874" s="11"/>
    </row>
    <row r="1875" spans="8:14" x14ac:dyDescent="0.25">
      <c r="H1875" s="37"/>
      <c r="I1875" s="79"/>
      <c r="J1875" s="70"/>
      <c r="K1875" s="57"/>
      <c r="L1875" s="11"/>
      <c r="M1875" s="41"/>
      <c r="N1875" s="11"/>
    </row>
    <row r="1876" spans="8:14" x14ac:dyDescent="0.25">
      <c r="H1876" s="37"/>
      <c r="I1876" s="79"/>
      <c r="J1876" s="70"/>
      <c r="K1876" s="57"/>
      <c r="L1876" s="11"/>
      <c r="M1876" s="41"/>
      <c r="N1876" s="11"/>
    </row>
    <row r="1877" spans="8:14" x14ac:dyDescent="0.25">
      <c r="H1877" s="37"/>
      <c r="I1877" s="79"/>
      <c r="J1877" s="70"/>
      <c r="K1877" s="57"/>
      <c r="L1877" s="11"/>
      <c r="M1877" s="41"/>
      <c r="N1877" s="11"/>
    </row>
    <row r="1878" spans="8:14" x14ac:dyDescent="0.25">
      <c r="H1878" s="37"/>
      <c r="I1878" s="79"/>
      <c r="J1878" s="70"/>
      <c r="K1878" s="57"/>
      <c r="L1878" s="11"/>
      <c r="M1878" s="41"/>
      <c r="N1878" s="11"/>
    </row>
    <row r="1879" spans="8:14" x14ac:dyDescent="0.25">
      <c r="H1879" s="37"/>
      <c r="I1879" s="79"/>
      <c r="J1879" s="70"/>
      <c r="K1879" s="57"/>
      <c r="L1879" s="11"/>
      <c r="M1879" s="41"/>
      <c r="N1879" s="11"/>
    </row>
    <row r="1880" spans="8:14" x14ac:dyDescent="0.25">
      <c r="H1880" s="37"/>
      <c r="I1880" s="79"/>
      <c r="J1880" s="70"/>
      <c r="K1880" s="57"/>
      <c r="L1880" s="11"/>
      <c r="M1880" s="41"/>
      <c r="N1880" s="11"/>
    </row>
    <row r="1881" spans="8:14" x14ac:dyDescent="0.25">
      <c r="H1881" s="37"/>
      <c r="I1881" s="79"/>
      <c r="J1881" s="70"/>
      <c r="K1881" s="57"/>
      <c r="L1881" s="11"/>
      <c r="M1881" s="41"/>
      <c r="N1881" s="11"/>
    </row>
    <row r="1882" spans="8:14" x14ac:dyDescent="0.25">
      <c r="H1882" s="37"/>
      <c r="I1882" s="79"/>
      <c r="J1882" s="70"/>
      <c r="K1882" s="57"/>
      <c r="L1882" s="11"/>
      <c r="M1882" s="41"/>
      <c r="N1882" s="11"/>
    </row>
    <row r="1883" spans="8:14" x14ac:dyDescent="0.25">
      <c r="H1883" s="37"/>
      <c r="I1883" s="79"/>
      <c r="J1883" s="70"/>
      <c r="K1883" s="57"/>
      <c r="L1883" s="11"/>
      <c r="M1883" s="41"/>
      <c r="N1883" s="11"/>
    </row>
    <row r="1884" spans="8:14" x14ac:dyDescent="0.25">
      <c r="H1884" s="37"/>
      <c r="I1884" s="79"/>
      <c r="J1884" s="70"/>
      <c r="K1884" s="57"/>
      <c r="L1884" s="11"/>
      <c r="M1884" s="41"/>
      <c r="N1884" s="11"/>
    </row>
    <row r="1885" spans="8:14" x14ac:dyDescent="0.25">
      <c r="H1885" s="37"/>
      <c r="I1885" s="79"/>
      <c r="J1885" s="70"/>
      <c r="K1885" s="57"/>
      <c r="L1885" s="11"/>
      <c r="M1885" s="41"/>
      <c r="N1885" s="11"/>
    </row>
    <row r="1886" spans="8:14" x14ac:dyDescent="0.25">
      <c r="H1886" s="37"/>
      <c r="I1886" s="79"/>
      <c r="J1886" s="70"/>
      <c r="K1886" s="57"/>
      <c r="L1886" s="11"/>
      <c r="M1886" s="41"/>
      <c r="N1886" s="11"/>
    </row>
    <row r="1887" spans="8:14" x14ac:dyDescent="0.25">
      <c r="H1887" s="37"/>
      <c r="I1887" s="79"/>
      <c r="J1887" s="70"/>
      <c r="K1887" s="57"/>
      <c r="L1887" s="11"/>
      <c r="M1887" s="41"/>
      <c r="N1887" s="11"/>
    </row>
    <row r="1888" spans="8:14" x14ac:dyDescent="0.25">
      <c r="H1888" s="37"/>
      <c r="I1888" s="79"/>
      <c r="J1888" s="70"/>
      <c r="K1888" s="57"/>
      <c r="L1888" s="11"/>
      <c r="M1888" s="41"/>
      <c r="N1888" s="11"/>
    </row>
    <row r="1889" spans="8:14" x14ac:dyDescent="0.25">
      <c r="H1889" s="37"/>
      <c r="I1889" s="79"/>
      <c r="J1889" s="70"/>
      <c r="K1889" s="57"/>
      <c r="L1889" s="11"/>
      <c r="M1889" s="41"/>
      <c r="N1889" s="11"/>
    </row>
    <row r="1890" spans="8:14" x14ac:dyDescent="0.25">
      <c r="H1890" s="37"/>
      <c r="I1890" s="79"/>
      <c r="J1890" s="70"/>
      <c r="K1890" s="57"/>
      <c r="L1890" s="11"/>
      <c r="M1890" s="41"/>
      <c r="N1890" s="11"/>
    </row>
    <row r="1891" spans="8:14" x14ac:dyDescent="0.25">
      <c r="H1891" s="37"/>
      <c r="I1891" s="79"/>
      <c r="J1891" s="70"/>
      <c r="K1891" s="57"/>
      <c r="L1891" s="11"/>
      <c r="M1891" s="41"/>
      <c r="N1891" s="11"/>
    </row>
    <row r="1892" spans="8:14" x14ac:dyDescent="0.25">
      <c r="H1892" s="37"/>
      <c r="I1892" s="79"/>
      <c r="J1892" s="70"/>
      <c r="K1892" s="57"/>
      <c r="L1892" s="11"/>
      <c r="M1892" s="41"/>
      <c r="N1892" s="11"/>
    </row>
    <row r="1893" spans="8:14" x14ac:dyDescent="0.25">
      <c r="H1893" s="37"/>
      <c r="I1893" s="79"/>
      <c r="J1893" s="70"/>
      <c r="K1893" s="57"/>
      <c r="L1893" s="11"/>
      <c r="M1893" s="41"/>
      <c r="N1893" s="11"/>
    </row>
    <row r="1894" spans="8:14" x14ac:dyDescent="0.25">
      <c r="H1894" s="37"/>
      <c r="I1894" s="79"/>
      <c r="J1894" s="70"/>
      <c r="K1894" s="57"/>
      <c r="L1894" s="11"/>
      <c r="M1894" s="41"/>
      <c r="N1894" s="11"/>
    </row>
    <row r="1895" spans="8:14" x14ac:dyDescent="0.25">
      <c r="H1895" s="37"/>
      <c r="I1895" s="79"/>
      <c r="J1895" s="70"/>
      <c r="K1895" s="57"/>
      <c r="L1895" s="11"/>
      <c r="M1895" s="41"/>
      <c r="N1895" s="11"/>
    </row>
    <row r="1896" spans="8:14" x14ac:dyDescent="0.25">
      <c r="H1896" s="37"/>
      <c r="I1896" s="79"/>
      <c r="J1896" s="70"/>
      <c r="K1896" s="57"/>
      <c r="L1896" s="11"/>
      <c r="M1896" s="41"/>
      <c r="N1896" s="11"/>
    </row>
    <row r="1897" spans="8:14" x14ac:dyDescent="0.25">
      <c r="H1897" s="37"/>
      <c r="I1897" s="79"/>
      <c r="J1897" s="70"/>
      <c r="K1897" s="57"/>
      <c r="L1897" s="11"/>
      <c r="M1897" s="41"/>
      <c r="N1897" s="11"/>
    </row>
    <row r="1898" spans="8:14" x14ac:dyDescent="0.25">
      <c r="H1898" s="37"/>
      <c r="I1898" s="79"/>
      <c r="J1898" s="70"/>
      <c r="K1898" s="57"/>
      <c r="L1898" s="11"/>
      <c r="M1898" s="41"/>
      <c r="N1898" s="11"/>
    </row>
    <row r="1899" spans="8:14" x14ac:dyDescent="0.25">
      <c r="H1899" s="37"/>
      <c r="I1899" s="79"/>
      <c r="J1899" s="70"/>
      <c r="K1899" s="57"/>
      <c r="L1899" s="11"/>
      <c r="M1899" s="41"/>
      <c r="N1899" s="11"/>
    </row>
    <row r="1900" spans="8:14" x14ac:dyDescent="0.25">
      <c r="H1900" s="37"/>
      <c r="I1900" s="79"/>
      <c r="J1900" s="70"/>
      <c r="K1900" s="57"/>
      <c r="L1900" s="11"/>
      <c r="M1900" s="41"/>
      <c r="N1900" s="11"/>
    </row>
    <row r="1901" spans="8:14" x14ac:dyDescent="0.25">
      <c r="H1901" s="37"/>
      <c r="I1901" s="79"/>
      <c r="J1901" s="70"/>
      <c r="K1901" s="57"/>
      <c r="L1901" s="11"/>
      <c r="M1901" s="41"/>
      <c r="N1901" s="11"/>
    </row>
    <row r="1902" spans="8:14" x14ac:dyDescent="0.25">
      <c r="H1902" s="37"/>
      <c r="I1902" s="79"/>
      <c r="J1902" s="70"/>
      <c r="K1902" s="57"/>
      <c r="L1902" s="11"/>
      <c r="M1902" s="41"/>
      <c r="N1902" s="11"/>
    </row>
    <row r="1903" spans="8:14" x14ac:dyDescent="0.25">
      <c r="H1903" s="37"/>
      <c r="I1903" s="79"/>
      <c r="J1903" s="70"/>
      <c r="K1903" s="57"/>
      <c r="L1903" s="11"/>
      <c r="M1903" s="41"/>
      <c r="N1903" s="11"/>
    </row>
    <row r="1904" spans="8:14" x14ac:dyDescent="0.25">
      <c r="H1904" s="37"/>
      <c r="I1904" s="79"/>
      <c r="J1904" s="70"/>
      <c r="K1904" s="57"/>
      <c r="L1904" s="11"/>
      <c r="M1904" s="41"/>
      <c r="N1904" s="11"/>
    </row>
    <row r="1905" spans="8:14" x14ac:dyDescent="0.25">
      <c r="H1905" s="37"/>
      <c r="I1905" s="79"/>
      <c r="J1905" s="70"/>
      <c r="K1905" s="57"/>
      <c r="L1905" s="11"/>
      <c r="M1905" s="41"/>
      <c r="N1905" s="11"/>
    </row>
    <row r="1906" spans="8:14" x14ac:dyDescent="0.25">
      <c r="H1906" s="37"/>
      <c r="I1906" s="79"/>
      <c r="J1906" s="70"/>
      <c r="K1906" s="57"/>
      <c r="L1906" s="11"/>
      <c r="M1906" s="41"/>
      <c r="N1906" s="11"/>
    </row>
    <row r="1907" spans="8:14" x14ac:dyDescent="0.25">
      <c r="H1907" s="37"/>
      <c r="I1907" s="79"/>
      <c r="J1907" s="70"/>
      <c r="K1907" s="57"/>
      <c r="L1907" s="11"/>
      <c r="M1907" s="41"/>
      <c r="N1907" s="11"/>
    </row>
    <row r="1908" spans="8:14" x14ac:dyDescent="0.25">
      <c r="H1908" s="37"/>
      <c r="I1908" s="79"/>
      <c r="J1908" s="70"/>
      <c r="K1908" s="57"/>
      <c r="L1908" s="11"/>
      <c r="M1908" s="41"/>
      <c r="N1908" s="11"/>
    </row>
    <row r="1909" spans="8:14" x14ac:dyDescent="0.25">
      <c r="H1909" s="37"/>
      <c r="I1909" s="79"/>
      <c r="J1909" s="70"/>
      <c r="K1909" s="57"/>
      <c r="L1909" s="11"/>
      <c r="M1909" s="41"/>
      <c r="N1909" s="11"/>
    </row>
    <row r="1910" spans="8:14" x14ac:dyDescent="0.25">
      <c r="H1910" s="37"/>
      <c r="I1910" s="79"/>
      <c r="J1910" s="70"/>
      <c r="K1910" s="57"/>
      <c r="L1910" s="11"/>
      <c r="M1910" s="41"/>
      <c r="N1910" s="11"/>
    </row>
    <row r="1911" spans="8:14" x14ac:dyDescent="0.25">
      <c r="H1911" s="37"/>
      <c r="I1911" s="79"/>
      <c r="J1911" s="70"/>
      <c r="K1911" s="57"/>
      <c r="L1911" s="11"/>
      <c r="M1911" s="41"/>
      <c r="N1911" s="11"/>
    </row>
    <row r="1912" spans="8:14" x14ac:dyDescent="0.25">
      <c r="H1912" s="37"/>
      <c r="I1912" s="79"/>
      <c r="J1912" s="70"/>
      <c r="K1912" s="57"/>
      <c r="L1912" s="11"/>
      <c r="M1912" s="41"/>
      <c r="N1912" s="11"/>
    </row>
    <row r="1913" spans="8:14" x14ac:dyDescent="0.25">
      <c r="H1913" s="37"/>
      <c r="I1913" s="79"/>
      <c r="J1913" s="70"/>
      <c r="K1913" s="57"/>
      <c r="L1913" s="11"/>
      <c r="M1913" s="41"/>
      <c r="N1913" s="11"/>
    </row>
    <row r="1914" spans="8:14" x14ac:dyDescent="0.25">
      <c r="H1914" s="37"/>
      <c r="I1914" s="79"/>
      <c r="J1914" s="70"/>
      <c r="K1914" s="57"/>
      <c r="L1914" s="11"/>
      <c r="M1914" s="41"/>
      <c r="N1914" s="11"/>
    </row>
    <row r="1915" spans="8:14" x14ac:dyDescent="0.25">
      <c r="H1915" s="37"/>
      <c r="I1915" s="79"/>
      <c r="J1915" s="70"/>
      <c r="K1915" s="57"/>
      <c r="L1915" s="11"/>
      <c r="M1915" s="41"/>
      <c r="N1915" s="11"/>
    </row>
    <row r="1916" spans="8:14" x14ac:dyDescent="0.25">
      <c r="H1916" s="37"/>
      <c r="I1916" s="79"/>
      <c r="J1916" s="70"/>
      <c r="K1916" s="57"/>
      <c r="L1916" s="11"/>
      <c r="M1916" s="41"/>
      <c r="N1916" s="11"/>
    </row>
    <row r="1917" spans="8:14" x14ac:dyDescent="0.25">
      <c r="H1917" s="37"/>
      <c r="I1917" s="79"/>
      <c r="J1917" s="70"/>
      <c r="K1917" s="57"/>
      <c r="L1917" s="11"/>
      <c r="M1917" s="41"/>
      <c r="N1917" s="11"/>
    </row>
    <row r="1918" spans="8:14" x14ac:dyDescent="0.25">
      <c r="H1918" s="37"/>
      <c r="I1918" s="79"/>
      <c r="J1918" s="70"/>
      <c r="K1918" s="57"/>
      <c r="L1918" s="11"/>
      <c r="M1918" s="41"/>
      <c r="N1918" s="11"/>
    </row>
    <row r="1919" spans="8:14" x14ac:dyDescent="0.25">
      <c r="H1919" s="37"/>
      <c r="I1919" s="79"/>
      <c r="J1919" s="70"/>
      <c r="K1919" s="57"/>
      <c r="L1919" s="11"/>
      <c r="M1919" s="41"/>
      <c r="N1919" s="11"/>
    </row>
    <row r="1920" spans="8:14" x14ac:dyDescent="0.25">
      <c r="H1920" s="37"/>
      <c r="I1920" s="79"/>
      <c r="J1920" s="70"/>
      <c r="K1920" s="57"/>
      <c r="L1920" s="11"/>
      <c r="M1920" s="41"/>
      <c r="N1920" s="11"/>
    </row>
    <row r="1921" spans="8:14" x14ac:dyDescent="0.25">
      <c r="H1921" s="37"/>
      <c r="I1921" s="79"/>
      <c r="J1921" s="70"/>
      <c r="K1921" s="57"/>
      <c r="L1921" s="11"/>
      <c r="M1921" s="41"/>
      <c r="N1921" s="11"/>
    </row>
    <row r="1922" spans="8:14" x14ac:dyDescent="0.25">
      <c r="H1922" s="37"/>
      <c r="I1922" s="79"/>
      <c r="J1922" s="70"/>
      <c r="K1922" s="57"/>
      <c r="L1922" s="11"/>
      <c r="M1922" s="41"/>
      <c r="N1922" s="11"/>
    </row>
    <row r="1923" spans="8:14" x14ac:dyDescent="0.25">
      <c r="H1923" s="37"/>
      <c r="I1923" s="79"/>
      <c r="J1923" s="70"/>
      <c r="K1923" s="57"/>
      <c r="L1923" s="11"/>
      <c r="M1923" s="41"/>
      <c r="N1923" s="11"/>
    </row>
    <row r="1924" spans="8:14" x14ac:dyDescent="0.25">
      <c r="H1924" s="37"/>
      <c r="I1924" s="79"/>
      <c r="J1924" s="70"/>
      <c r="K1924" s="57"/>
      <c r="L1924" s="11"/>
      <c r="M1924" s="41"/>
      <c r="N1924" s="11"/>
    </row>
    <row r="1925" spans="8:14" x14ac:dyDescent="0.25">
      <c r="H1925" s="37"/>
      <c r="I1925" s="79"/>
      <c r="J1925" s="70"/>
      <c r="K1925" s="57"/>
      <c r="L1925" s="11"/>
      <c r="M1925" s="41"/>
      <c r="N1925" s="11"/>
    </row>
    <row r="1926" spans="8:14" x14ac:dyDescent="0.25">
      <c r="H1926" s="37"/>
      <c r="I1926" s="79"/>
      <c r="J1926" s="70"/>
      <c r="K1926" s="57"/>
      <c r="L1926" s="11"/>
      <c r="M1926" s="41"/>
      <c r="N1926" s="11"/>
    </row>
    <row r="1927" spans="8:14" x14ac:dyDescent="0.25">
      <c r="H1927" s="37"/>
      <c r="I1927" s="79"/>
      <c r="J1927" s="70"/>
      <c r="K1927" s="57"/>
      <c r="L1927" s="11"/>
      <c r="M1927" s="41"/>
      <c r="N1927" s="11"/>
    </row>
    <row r="1928" spans="8:14" x14ac:dyDescent="0.25">
      <c r="H1928" s="37"/>
      <c r="I1928" s="79"/>
      <c r="J1928" s="70"/>
      <c r="K1928" s="57"/>
      <c r="L1928" s="11"/>
      <c r="M1928" s="41"/>
      <c r="N1928" s="11"/>
    </row>
    <row r="1929" spans="8:14" x14ac:dyDescent="0.25">
      <c r="H1929" s="37"/>
      <c r="I1929" s="79"/>
      <c r="J1929" s="70"/>
      <c r="K1929" s="57"/>
      <c r="L1929" s="11"/>
      <c r="M1929" s="41"/>
      <c r="N1929" s="11"/>
    </row>
    <row r="1930" spans="8:14" x14ac:dyDescent="0.25">
      <c r="H1930" s="37"/>
      <c r="I1930" s="79"/>
      <c r="J1930" s="70"/>
      <c r="K1930" s="57"/>
      <c r="L1930" s="11"/>
      <c r="M1930" s="41"/>
      <c r="N1930" s="11"/>
    </row>
    <row r="1931" spans="8:14" x14ac:dyDescent="0.25">
      <c r="H1931" s="37"/>
      <c r="I1931" s="79"/>
      <c r="J1931" s="70"/>
      <c r="K1931" s="57"/>
      <c r="L1931" s="11"/>
      <c r="M1931" s="41"/>
      <c r="N1931" s="11"/>
    </row>
    <row r="1932" spans="8:14" x14ac:dyDescent="0.25">
      <c r="H1932" s="37"/>
      <c r="I1932" s="79"/>
      <c r="J1932" s="70"/>
      <c r="K1932" s="57"/>
      <c r="L1932" s="11"/>
      <c r="M1932" s="41"/>
      <c r="N1932" s="11"/>
    </row>
    <row r="1933" spans="8:14" x14ac:dyDescent="0.25">
      <c r="H1933" s="37"/>
      <c r="I1933" s="79"/>
      <c r="J1933" s="70"/>
      <c r="K1933" s="57"/>
      <c r="L1933" s="11"/>
      <c r="M1933" s="41"/>
      <c r="N1933" s="11"/>
    </row>
    <row r="1934" spans="8:14" x14ac:dyDescent="0.25">
      <c r="H1934" s="37"/>
      <c r="I1934" s="79"/>
      <c r="J1934" s="70"/>
      <c r="K1934" s="57"/>
      <c r="L1934" s="11"/>
      <c r="M1934" s="41"/>
      <c r="N1934" s="11"/>
    </row>
    <row r="1935" spans="8:14" x14ac:dyDescent="0.25">
      <c r="H1935" s="37"/>
      <c r="I1935" s="79"/>
      <c r="J1935" s="70"/>
      <c r="K1935" s="57"/>
      <c r="L1935" s="11"/>
      <c r="M1935" s="41"/>
      <c r="N1935" s="11"/>
    </row>
    <row r="1936" spans="8:14" x14ac:dyDescent="0.25">
      <c r="H1936" s="37"/>
      <c r="I1936" s="79"/>
      <c r="J1936" s="70"/>
      <c r="K1936" s="57"/>
      <c r="L1936" s="11"/>
      <c r="M1936" s="41"/>
      <c r="N1936" s="11"/>
    </row>
    <row r="1937" spans="8:14" x14ac:dyDescent="0.25">
      <c r="H1937" s="37"/>
      <c r="I1937" s="79"/>
      <c r="J1937" s="70"/>
      <c r="K1937" s="57"/>
      <c r="L1937" s="11"/>
      <c r="M1937" s="41"/>
      <c r="N1937" s="11"/>
    </row>
    <row r="1938" spans="8:14" x14ac:dyDescent="0.25">
      <c r="H1938" s="37"/>
      <c r="I1938" s="79"/>
      <c r="J1938" s="70"/>
      <c r="K1938" s="57"/>
      <c r="L1938" s="11"/>
      <c r="M1938" s="41"/>
      <c r="N1938" s="11"/>
    </row>
    <row r="1939" spans="8:14" x14ac:dyDescent="0.25">
      <c r="H1939" s="37"/>
      <c r="I1939" s="79"/>
      <c r="J1939" s="70"/>
      <c r="K1939" s="57"/>
      <c r="L1939" s="11"/>
      <c r="M1939" s="41"/>
      <c r="N1939" s="11"/>
    </row>
    <row r="1940" spans="8:14" x14ac:dyDescent="0.25">
      <c r="H1940" s="37"/>
      <c r="I1940" s="79"/>
      <c r="J1940" s="70"/>
      <c r="K1940" s="57"/>
      <c r="L1940" s="11"/>
      <c r="M1940" s="41"/>
      <c r="N1940" s="11"/>
    </row>
    <row r="1941" spans="8:14" x14ac:dyDescent="0.25">
      <c r="H1941" s="37"/>
      <c r="I1941" s="79"/>
      <c r="J1941" s="70"/>
      <c r="K1941" s="57"/>
      <c r="L1941" s="11"/>
      <c r="M1941" s="41"/>
      <c r="N1941" s="11"/>
    </row>
    <row r="1942" spans="8:14" x14ac:dyDescent="0.25">
      <c r="H1942" s="37"/>
      <c r="I1942" s="79"/>
      <c r="J1942" s="70"/>
      <c r="K1942" s="57"/>
      <c r="L1942" s="11"/>
      <c r="M1942" s="41"/>
      <c r="N1942" s="11"/>
    </row>
    <row r="1943" spans="8:14" x14ac:dyDescent="0.25">
      <c r="H1943" s="37"/>
      <c r="I1943" s="79"/>
      <c r="J1943" s="70"/>
      <c r="K1943" s="57"/>
      <c r="L1943" s="11"/>
      <c r="M1943" s="41"/>
      <c r="N1943" s="11"/>
    </row>
    <row r="1944" spans="8:14" x14ac:dyDescent="0.25">
      <c r="H1944" s="37"/>
      <c r="I1944" s="79"/>
      <c r="J1944" s="70"/>
      <c r="K1944" s="57"/>
      <c r="L1944" s="11"/>
      <c r="M1944" s="41"/>
      <c r="N1944" s="11"/>
    </row>
    <row r="1945" spans="8:14" x14ac:dyDescent="0.25">
      <c r="H1945" s="37"/>
      <c r="I1945" s="79"/>
      <c r="J1945" s="70"/>
      <c r="K1945" s="57"/>
      <c r="L1945" s="11"/>
      <c r="M1945" s="41"/>
      <c r="N1945" s="11"/>
    </row>
    <row r="1946" spans="8:14" x14ac:dyDescent="0.25">
      <c r="H1946" s="37"/>
      <c r="I1946" s="79"/>
      <c r="J1946" s="70"/>
      <c r="K1946" s="57"/>
      <c r="L1946" s="11"/>
      <c r="M1946" s="41"/>
      <c r="N1946" s="11"/>
    </row>
    <row r="1947" spans="8:14" x14ac:dyDescent="0.25">
      <c r="H1947" s="37"/>
      <c r="I1947" s="79"/>
      <c r="J1947" s="70"/>
      <c r="K1947" s="57"/>
      <c r="L1947" s="11"/>
      <c r="M1947" s="41"/>
      <c r="N1947" s="11"/>
    </row>
    <row r="1948" spans="8:14" x14ac:dyDescent="0.25">
      <c r="H1948" s="37"/>
      <c r="I1948" s="79"/>
      <c r="J1948" s="70"/>
      <c r="K1948" s="57"/>
      <c r="L1948" s="11"/>
      <c r="M1948" s="41"/>
      <c r="N1948" s="11"/>
    </row>
    <row r="1949" spans="8:14" x14ac:dyDescent="0.25">
      <c r="H1949" s="37"/>
      <c r="I1949" s="79"/>
      <c r="J1949" s="70"/>
      <c r="K1949" s="57"/>
      <c r="L1949" s="11"/>
      <c r="M1949" s="41"/>
      <c r="N1949" s="11"/>
    </row>
    <row r="1950" spans="8:14" x14ac:dyDescent="0.25">
      <c r="H1950" s="37"/>
      <c r="I1950" s="79"/>
      <c r="J1950" s="70"/>
      <c r="K1950" s="57"/>
      <c r="L1950" s="11"/>
      <c r="M1950" s="41"/>
      <c r="N1950" s="11"/>
    </row>
    <row r="1951" spans="8:14" x14ac:dyDescent="0.25">
      <c r="H1951" s="37"/>
      <c r="I1951" s="79"/>
      <c r="J1951" s="70"/>
      <c r="K1951" s="57"/>
      <c r="L1951" s="11"/>
      <c r="M1951" s="41"/>
      <c r="N1951" s="11"/>
    </row>
    <row r="1952" spans="8:14" x14ac:dyDescent="0.25">
      <c r="H1952" s="37"/>
      <c r="I1952" s="79"/>
      <c r="J1952" s="70"/>
      <c r="K1952" s="57"/>
      <c r="L1952" s="11"/>
      <c r="M1952" s="41"/>
      <c r="N1952" s="11"/>
    </row>
    <row r="1953" spans="8:14" x14ac:dyDescent="0.25">
      <c r="H1953" s="37"/>
      <c r="I1953" s="79"/>
      <c r="J1953" s="70"/>
      <c r="K1953" s="57"/>
      <c r="L1953" s="11"/>
      <c r="M1953" s="41"/>
      <c r="N1953" s="11"/>
    </row>
    <row r="1954" spans="8:14" x14ac:dyDescent="0.25">
      <c r="H1954" s="37"/>
      <c r="I1954" s="79"/>
      <c r="J1954" s="70"/>
      <c r="K1954" s="57"/>
      <c r="L1954" s="11"/>
      <c r="M1954" s="41"/>
      <c r="N1954" s="11"/>
    </row>
    <row r="1955" spans="8:14" x14ac:dyDescent="0.25">
      <c r="H1955" s="37"/>
      <c r="I1955" s="79"/>
      <c r="J1955" s="70"/>
      <c r="K1955" s="57"/>
      <c r="L1955" s="11"/>
      <c r="M1955" s="41"/>
      <c r="N1955" s="11"/>
    </row>
    <row r="1956" spans="8:14" x14ac:dyDescent="0.25">
      <c r="H1956" s="37"/>
      <c r="I1956" s="79"/>
      <c r="J1956" s="70"/>
      <c r="K1956" s="57"/>
      <c r="L1956" s="11"/>
      <c r="M1956" s="41"/>
      <c r="N1956" s="11"/>
    </row>
    <row r="1957" spans="8:14" x14ac:dyDescent="0.25">
      <c r="H1957" s="37"/>
      <c r="I1957" s="79"/>
      <c r="J1957" s="70"/>
      <c r="K1957" s="57"/>
      <c r="L1957" s="11"/>
      <c r="M1957" s="41"/>
      <c r="N1957" s="11"/>
    </row>
    <row r="1958" spans="8:14" x14ac:dyDescent="0.25">
      <c r="H1958" s="37"/>
      <c r="I1958" s="79"/>
      <c r="J1958" s="70"/>
      <c r="K1958" s="57"/>
      <c r="L1958" s="11"/>
      <c r="M1958" s="41"/>
      <c r="N1958" s="11"/>
    </row>
    <row r="1959" spans="8:14" x14ac:dyDescent="0.25">
      <c r="H1959" s="37"/>
      <c r="I1959" s="79"/>
      <c r="J1959" s="70"/>
      <c r="K1959" s="57"/>
      <c r="L1959" s="11"/>
      <c r="M1959" s="41"/>
      <c r="N1959" s="11"/>
    </row>
    <row r="1960" spans="8:14" x14ac:dyDescent="0.25">
      <c r="H1960" s="37"/>
      <c r="I1960" s="79"/>
      <c r="J1960" s="70"/>
      <c r="K1960" s="57"/>
      <c r="L1960" s="11"/>
      <c r="M1960" s="41"/>
      <c r="N1960" s="11"/>
    </row>
    <row r="1961" spans="8:14" x14ac:dyDescent="0.25">
      <c r="H1961" s="37"/>
      <c r="I1961" s="79"/>
      <c r="J1961" s="70"/>
      <c r="K1961" s="57"/>
      <c r="L1961" s="11"/>
      <c r="M1961" s="41"/>
      <c r="N1961" s="11"/>
    </row>
    <row r="1962" spans="8:14" x14ac:dyDescent="0.25">
      <c r="H1962" s="37"/>
      <c r="I1962" s="79"/>
      <c r="J1962" s="70"/>
      <c r="K1962" s="57"/>
      <c r="L1962" s="11"/>
      <c r="M1962" s="41"/>
      <c r="N1962" s="11"/>
    </row>
    <row r="1963" spans="8:14" x14ac:dyDescent="0.25">
      <c r="H1963" s="37"/>
      <c r="I1963" s="79"/>
      <c r="J1963" s="70"/>
      <c r="K1963" s="57"/>
      <c r="L1963" s="11"/>
      <c r="M1963" s="41"/>
      <c r="N1963" s="11"/>
    </row>
    <row r="1964" spans="8:14" x14ac:dyDescent="0.25">
      <c r="H1964" s="37"/>
      <c r="I1964" s="79"/>
      <c r="J1964" s="70"/>
      <c r="K1964" s="57"/>
      <c r="L1964" s="11"/>
      <c r="M1964" s="41"/>
      <c r="N1964" s="11"/>
    </row>
    <row r="1965" spans="8:14" x14ac:dyDescent="0.25">
      <c r="H1965" s="37"/>
      <c r="I1965" s="79"/>
      <c r="J1965" s="70"/>
      <c r="K1965" s="57"/>
      <c r="L1965" s="11"/>
      <c r="M1965" s="41"/>
      <c r="N1965" s="11"/>
    </row>
    <row r="1966" spans="8:14" x14ac:dyDescent="0.25">
      <c r="H1966" s="37"/>
      <c r="I1966" s="79"/>
      <c r="J1966" s="70"/>
      <c r="K1966" s="57"/>
      <c r="L1966" s="11"/>
      <c r="M1966" s="41"/>
      <c r="N1966" s="11"/>
    </row>
    <row r="1967" spans="8:14" x14ac:dyDescent="0.25">
      <c r="H1967" s="37"/>
      <c r="I1967" s="79"/>
      <c r="J1967" s="70"/>
      <c r="K1967" s="57"/>
      <c r="L1967" s="11"/>
      <c r="M1967" s="41"/>
      <c r="N1967" s="11"/>
    </row>
    <row r="1968" spans="8:14" x14ac:dyDescent="0.25">
      <c r="H1968" s="37"/>
      <c r="I1968" s="79"/>
      <c r="J1968" s="70"/>
      <c r="K1968" s="57"/>
      <c r="L1968" s="11"/>
      <c r="M1968" s="41"/>
      <c r="N1968" s="11"/>
    </row>
    <row r="1969" spans="8:14" x14ac:dyDescent="0.25">
      <c r="H1969" s="37"/>
      <c r="I1969" s="79"/>
      <c r="J1969" s="70"/>
      <c r="K1969" s="57"/>
      <c r="L1969" s="11"/>
      <c r="M1969" s="41"/>
      <c r="N1969" s="11"/>
    </row>
    <row r="1970" spans="8:14" x14ac:dyDescent="0.25">
      <c r="H1970" s="37"/>
      <c r="I1970" s="79"/>
      <c r="J1970" s="70"/>
      <c r="K1970" s="57"/>
      <c r="L1970" s="11"/>
      <c r="M1970" s="41"/>
      <c r="N1970" s="11"/>
    </row>
    <row r="1971" spans="8:14" x14ac:dyDescent="0.25">
      <c r="H1971" s="37"/>
      <c r="I1971" s="79"/>
      <c r="J1971" s="70"/>
      <c r="K1971" s="57"/>
      <c r="L1971" s="11"/>
      <c r="M1971" s="41"/>
      <c r="N1971" s="11"/>
    </row>
    <row r="1972" spans="8:14" x14ac:dyDescent="0.25">
      <c r="H1972" s="37"/>
      <c r="I1972" s="79"/>
      <c r="J1972" s="70"/>
      <c r="K1972" s="57"/>
      <c r="L1972" s="11"/>
      <c r="M1972" s="41"/>
      <c r="N1972" s="11"/>
    </row>
    <row r="1973" spans="8:14" x14ac:dyDescent="0.25">
      <c r="H1973" s="37"/>
      <c r="I1973" s="79"/>
      <c r="J1973" s="70"/>
      <c r="K1973" s="57"/>
      <c r="L1973" s="11"/>
      <c r="M1973" s="41"/>
      <c r="N1973" s="11"/>
    </row>
    <row r="1974" spans="8:14" x14ac:dyDescent="0.25">
      <c r="H1974" s="37"/>
      <c r="I1974" s="79"/>
      <c r="J1974" s="70"/>
      <c r="K1974" s="57"/>
      <c r="L1974" s="11"/>
      <c r="M1974" s="41"/>
      <c r="N1974" s="11"/>
    </row>
    <row r="1975" spans="8:14" x14ac:dyDescent="0.25">
      <c r="H1975" s="37"/>
      <c r="I1975" s="79"/>
      <c r="J1975" s="70"/>
      <c r="K1975" s="57"/>
      <c r="L1975" s="11"/>
      <c r="M1975" s="41"/>
      <c r="N1975" s="11"/>
    </row>
    <row r="1976" spans="8:14" x14ac:dyDescent="0.25">
      <c r="H1976" s="37"/>
      <c r="I1976" s="79"/>
      <c r="J1976" s="70"/>
      <c r="K1976" s="57"/>
      <c r="L1976" s="11"/>
      <c r="M1976" s="41"/>
      <c r="N1976" s="11"/>
    </row>
    <row r="1977" spans="8:14" x14ac:dyDescent="0.25">
      <c r="H1977" s="37"/>
      <c r="I1977" s="79"/>
      <c r="J1977" s="70"/>
      <c r="K1977" s="57"/>
      <c r="L1977" s="11"/>
      <c r="M1977" s="41"/>
      <c r="N1977" s="11"/>
    </row>
    <row r="1978" spans="8:14" x14ac:dyDescent="0.25">
      <c r="H1978" s="37"/>
      <c r="I1978" s="79"/>
      <c r="J1978" s="70"/>
      <c r="K1978" s="57"/>
      <c r="L1978" s="11"/>
      <c r="M1978" s="41"/>
      <c r="N1978" s="11"/>
    </row>
    <row r="1979" spans="8:14" x14ac:dyDescent="0.25">
      <c r="H1979" s="37"/>
      <c r="I1979" s="79"/>
      <c r="J1979" s="70"/>
      <c r="K1979" s="57"/>
      <c r="L1979" s="11"/>
      <c r="M1979" s="41"/>
      <c r="N1979" s="11"/>
    </row>
    <row r="1980" spans="8:14" x14ac:dyDescent="0.25">
      <c r="H1980" s="37"/>
      <c r="I1980" s="79"/>
      <c r="J1980" s="70"/>
      <c r="K1980" s="57"/>
      <c r="L1980" s="11"/>
      <c r="M1980" s="41"/>
      <c r="N1980" s="11"/>
    </row>
    <row r="1981" spans="8:14" x14ac:dyDescent="0.25">
      <c r="H1981" s="37"/>
      <c r="I1981" s="79"/>
      <c r="J1981" s="70"/>
      <c r="K1981" s="57"/>
      <c r="L1981" s="11"/>
      <c r="M1981" s="41"/>
      <c r="N1981" s="11"/>
    </row>
    <row r="1982" spans="8:14" x14ac:dyDescent="0.25">
      <c r="H1982" s="37"/>
      <c r="I1982" s="79"/>
      <c r="J1982" s="70"/>
      <c r="K1982" s="57"/>
      <c r="L1982" s="11"/>
      <c r="M1982" s="41"/>
      <c r="N1982" s="11"/>
    </row>
    <row r="1983" spans="8:14" x14ac:dyDescent="0.25">
      <c r="H1983" s="37"/>
      <c r="I1983" s="79"/>
      <c r="J1983" s="70"/>
      <c r="K1983" s="57"/>
      <c r="L1983" s="11"/>
      <c r="M1983" s="41"/>
      <c r="N1983" s="11"/>
    </row>
    <row r="1984" spans="8:14" x14ac:dyDescent="0.25">
      <c r="H1984" s="37"/>
      <c r="I1984" s="79"/>
      <c r="J1984" s="70"/>
      <c r="K1984" s="57"/>
      <c r="L1984" s="11"/>
      <c r="M1984" s="41"/>
      <c r="N1984" s="11"/>
    </row>
    <row r="1985" spans="8:14" x14ac:dyDescent="0.25">
      <c r="H1985" s="37"/>
      <c r="I1985" s="79"/>
      <c r="J1985" s="70"/>
      <c r="K1985" s="57"/>
      <c r="L1985" s="11"/>
      <c r="M1985" s="41"/>
      <c r="N1985" s="11"/>
    </row>
    <row r="1986" spans="8:14" x14ac:dyDescent="0.25">
      <c r="H1986" s="37"/>
      <c r="I1986" s="79"/>
      <c r="J1986" s="70"/>
      <c r="K1986" s="57"/>
      <c r="L1986" s="11"/>
      <c r="M1986" s="41"/>
      <c r="N1986" s="11"/>
    </row>
    <row r="1987" spans="8:14" x14ac:dyDescent="0.25">
      <c r="H1987" s="37"/>
      <c r="I1987" s="79"/>
      <c r="J1987" s="70"/>
      <c r="K1987" s="57"/>
      <c r="L1987" s="11"/>
      <c r="M1987" s="41"/>
      <c r="N1987" s="11"/>
    </row>
    <row r="1988" spans="8:14" x14ac:dyDescent="0.25">
      <c r="H1988" s="37"/>
      <c r="I1988" s="79"/>
      <c r="J1988" s="70"/>
      <c r="K1988" s="57"/>
      <c r="L1988" s="11"/>
      <c r="M1988" s="41"/>
      <c r="N1988" s="11"/>
    </row>
    <row r="1989" spans="8:14" x14ac:dyDescent="0.25">
      <c r="H1989" s="37"/>
      <c r="I1989" s="79"/>
      <c r="J1989" s="70"/>
      <c r="K1989" s="57"/>
      <c r="L1989" s="11"/>
      <c r="M1989" s="41"/>
      <c r="N1989" s="11"/>
    </row>
    <row r="1990" spans="8:14" x14ac:dyDescent="0.25">
      <c r="H1990" s="37"/>
      <c r="I1990" s="79"/>
      <c r="J1990" s="70"/>
      <c r="K1990" s="57"/>
      <c r="L1990" s="11"/>
      <c r="M1990" s="41"/>
      <c r="N1990" s="11"/>
    </row>
    <row r="1991" spans="8:14" x14ac:dyDescent="0.25">
      <c r="H1991" s="37"/>
      <c r="I1991" s="79"/>
      <c r="J1991" s="70"/>
      <c r="K1991" s="57"/>
      <c r="L1991" s="11"/>
      <c r="M1991" s="41"/>
      <c r="N1991" s="11"/>
    </row>
    <row r="1992" spans="8:14" x14ac:dyDescent="0.25">
      <c r="H1992" s="37"/>
      <c r="I1992" s="79"/>
      <c r="J1992" s="70"/>
      <c r="K1992" s="57"/>
      <c r="L1992" s="11"/>
      <c r="M1992" s="41"/>
      <c r="N1992" s="11"/>
    </row>
    <row r="1993" spans="8:14" x14ac:dyDescent="0.25">
      <c r="H1993" s="37"/>
      <c r="I1993" s="79"/>
      <c r="J1993" s="70"/>
      <c r="K1993" s="57"/>
      <c r="L1993" s="11"/>
      <c r="M1993" s="41"/>
      <c r="N1993" s="11"/>
    </row>
    <row r="1994" spans="8:14" x14ac:dyDescent="0.25">
      <c r="H1994" s="37"/>
      <c r="I1994" s="79"/>
      <c r="J1994" s="70"/>
      <c r="K1994" s="57"/>
      <c r="L1994" s="11"/>
      <c r="M1994" s="41"/>
      <c r="N1994" s="11"/>
    </row>
    <row r="1995" spans="8:14" x14ac:dyDescent="0.25">
      <c r="H1995" s="37"/>
      <c r="I1995" s="79"/>
      <c r="J1995" s="70"/>
      <c r="K1995" s="57"/>
      <c r="L1995" s="11"/>
      <c r="M1995" s="41"/>
      <c r="N1995" s="11"/>
    </row>
    <row r="1996" spans="8:14" x14ac:dyDescent="0.25">
      <c r="H1996" s="37"/>
      <c r="I1996" s="79"/>
      <c r="J1996" s="70"/>
      <c r="K1996" s="57"/>
      <c r="L1996" s="11"/>
      <c r="M1996" s="41"/>
      <c r="N1996" s="11"/>
    </row>
    <row r="1997" spans="8:14" x14ac:dyDescent="0.25">
      <c r="H1997" s="37"/>
      <c r="I1997" s="79"/>
      <c r="J1997" s="70"/>
      <c r="K1997" s="57"/>
      <c r="L1997" s="11"/>
      <c r="M1997" s="41"/>
      <c r="N1997" s="11"/>
    </row>
    <row r="1998" spans="8:14" x14ac:dyDescent="0.25">
      <c r="H1998" s="37"/>
      <c r="I1998" s="79"/>
      <c r="J1998" s="70"/>
      <c r="K1998" s="57"/>
      <c r="L1998" s="11"/>
      <c r="M1998" s="41"/>
      <c r="N1998" s="11"/>
    </row>
    <row r="1999" spans="8:14" x14ac:dyDescent="0.25">
      <c r="H1999" s="37"/>
      <c r="I1999" s="79"/>
      <c r="J1999" s="70"/>
      <c r="K1999" s="57"/>
      <c r="L1999" s="11"/>
      <c r="M1999" s="41"/>
      <c r="N1999" s="11"/>
    </row>
    <row r="2000" spans="8:14" x14ac:dyDescent="0.25">
      <c r="H2000" s="37"/>
      <c r="I2000" s="79"/>
      <c r="J2000" s="70"/>
      <c r="K2000" s="57"/>
      <c r="L2000" s="11"/>
      <c r="M2000" s="41"/>
      <c r="N2000" s="11"/>
    </row>
    <row r="2001" spans="8:14" x14ac:dyDescent="0.25">
      <c r="H2001" s="37"/>
      <c r="I2001" s="79"/>
      <c r="J2001" s="70"/>
      <c r="K2001" s="57"/>
      <c r="L2001" s="11"/>
      <c r="M2001" s="41"/>
      <c r="N2001" s="11"/>
    </row>
    <row r="2002" spans="8:14" x14ac:dyDescent="0.25">
      <c r="H2002" s="37"/>
      <c r="I2002" s="79"/>
      <c r="J2002" s="70"/>
      <c r="K2002" s="57"/>
      <c r="L2002" s="11"/>
      <c r="M2002" s="41"/>
      <c r="N2002" s="11"/>
    </row>
    <row r="2003" spans="8:14" x14ac:dyDescent="0.25">
      <c r="H2003" s="37"/>
      <c r="I2003" s="79"/>
      <c r="J2003" s="70"/>
      <c r="K2003" s="57"/>
      <c r="L2003" s="11"/>
      <c r="M2003" s="41"/>
      <c r="N2003" s="11"/>
    </row>
    <row r="2004" spans="8:14" x14ac:dyDescent="0.25">
      <c r="H2004" s="37"/>
      <c r="I2004" s="79"/>
      <c r="J2004" s="70"/>
      <c r="K2004" s="57"/>
      <c r="L2004" s="11"/>
      <c r="M2004" s="41"/>
      <c r="N2004" s="11"/>
    </row>
    <row r="2005" spans="8:14" x14ac:dyDescent="0.25">
      <c r="H2005" s="37"/>
      <c r="I2005" s="79"/>
      <c r="J2005" s="70"/>
      <c r="K2005" s="57"/>
      <c r="L2005" s="11"/>
      <c r="M2005" s="41"/>
      <c r="N2005" s="11"/>
    </row>
    <row r="2006" spans="8:14" x14ac:dyDescent="0.25">
      <c r="H2006" s="37"/>
      <c r="I2006" s="79"/>
      <c r="J2006" s="70"/>
      <c r="K2006" s="57"/>
      <c r="L2006" s="11"/>
      <c r="M2006" s="41"/>
      <c r="N2006" s="11"/>
    </row>
    <row r="2007" spans="8:14" x14ac:dyDescent="0.25">
      <c r="H2007" s="37"/>
      <c r="I2007" s="79"/>
      <c r="J2007" s="70"/>
      <c r="K2007" s="57"/>
      <c r="L2007" s="11"/>
      <c r="M2007" s="41"/>
      <c r="N2007" s="11"/>
    </row>
    <row r="2008" spans="8:14" x14ac:dyDescent="0.25">
      <c r="H2008" s="37"/>
      <c r="I2008" s="79"/>
      <c r="J2008" s="70"/>
      <c r="K2008" s="57"/>
      <c r="L2008" s="11"/>
      <c r="M2008" s="41"/>
      <c r="N2008" s="11"/>
    </row>
    <row r="2009" spans="8:14" x14ac:dyDescent="0.25">
      <c r="H2009" s="37"/>
      <c r="I2009" s="79"/>
      <c r="J2009" s="70"/>
      <c r="K2009" s="57"/>
      <c r="L2009" s="11"/>
      <c r="M2009" s="41"/>
      <c r="N2009" s="11"/>
    </row>
    <row r="2010" spans="8:14" x14ac:dyDescent="0.25">
      <c r="H2010" s="37"/>
      <c r="I2010" s="79"/>
      <c r="J2010" s="70"/>
      <c r="K2010" s="57"/>
      <c r="L2010" s="11"/>
      <c r="M2010" s="41"/>
      <c r="N2010" s="11"/>
    </row>
    <row r="2011" spans="8:14" x14ac:dyDescent="0.25">
      <c r="H2011" s="37"/>
      <c r="I2011" s="79"/>
      <c r="J2011" s="70"/>
      <c r="K2011" s="57"/>
      <c r="L2011" s="11"/>
      <c r="M2011" s="41"/>
      <c r="N2011" s="11"/>
    </row>
    <row r="2012" spans="8:14" x14ac:dyDescent="0.25">
      <c r="H2012" s="37"/>
      <c r="I2012" s="79"/>
      <c r="J2012" s="70"/>
      <c r="K2012" s="57"/>
      <c r="L2012" s="11"/>
      <c r="M2012" s="41"/>
      <c r="N2012" s="11"/>
    </row>
    <row r="2013" spans="8:14" x14ac:dyDescent="0.25">
      <c r="H2013" s="37"/>
      <c r="I2013" s="79"/>
      <c r="J2013" s="70"/>
      <c r="K2013" s="57"/>
      <c r="L2013" s="11"/>
      <c r="M2013" s="41"/>
      <c r="N2013" s="11"/>
    </row>
    <row r="2014" spans="8:14" x14ac:dyDescent="0.25">
      <c r="H2014" s="37"/>
      <c r="I2014" s="79"/>
      <c r="J2014" s="70"/>
      <c r="K2014" s="57"/>
      <c r="L2014" s="11"/>
      <c r="M2014" s="41"/>
      <c r="N2014" s="11"/>
    </row>
    <row r="2015" spans="8:14" x14ac:dyDescent="0.25">
      <c r="H2015" s="37"/>
      <c r="I2015" s="79"/>
      <c r="J2015" s="70"/>
      <c r="K2015" s="57"/>
      <c r="L2015" s="11"/>
      <c r="M2015" s="41"/>
      <c r="N2015" s="11"/>
    </row>
    <row r="2016" spans="8:14" x14ac:dyDescent="0.25">
      <c r="H2016" s="37"/>
      <c r="I2016" s="79"/>
      <c r="J2016" s="70"/>
      <c r="K2016" s="57"/>
      <c r="L2016" s="11"/>
      <c r="M2016" s="41"/>
      <c r="N2016" s="11"/>
    </row>
    <row r="2017" spans="8:14" x14ac:dyDescent="0.25">
      <c r="H2017" s="37"/>
      <c r="I2017" s="79"/>
      <c r="J2017" s="70"/>
      <c r="K2017" s="57"/>
      <c r="L2017" s="11"/>
      <c r="M2017" s="41"/>
      <c r="N2017" s="11"/>
    </row>
    <row r="2018" spans="8:14" x14ac:dyDescent="0.25">
      <c r="H2018" s="37"/>
      <c r="I2018" s="79"/>
      <c r="J2018" s="70"/>
      <c r="K2018" s="57"/>
      <c r="L2018" s="11"/>
      <c r="M2018" s="41"/>
      <c r="N2018" s="11"/>
    </row>
    <row r="2019" spans="8:14" x14ac:dyDescent="0.25">
      <c r="H2019" s="37"/>
      <c r="I2019" s="79"/>
      <c r="J2019" s="70"/>
      <c r="K2019" s="57"/>
      <c r="L2019" s="11"/>
      <c r="M2019" s="41"/>
      <c r="N2019" s="11"/>
    </row>
    <row r="2020" spans="8:14" x14ac:dyDescent="0.25">
      <c r="H2020" s="37"/>
      <c r="I2020" s="79"/>
      <c r="J2020" s="70"/>
      <c r="K2020" s="57"/>
      <c r="L2020" s="11"/>
      <c r="M2020" s="41"/>
      <c r="N2020" s="11"/>
    </row>
    <row r="2021" spans="8:14" x14ac:dyDescent="0.25">
      <c r="H2021" s="37"/>
      <c r="I2021" s="79"/>
      <c r="J2021" s="70"/>
      <c r="K2021" s="57"/>
      <c r="L2021" s="11"/>
      <c r="M2021" s="41"/>
      <c r="N2021" s="11"/>
    </row>
    <row r="2022" spans="8:14" x14ac:dyDescent="0.25">
      <c r="H2022" s="37"/>
      <c r="I2022" s="79"/>
      <c r="J2022" s="70"/>
      <c r="K2022" s="57"/>
      <c r="L2022" s="11"/>
      <c r="M2022" s="41"/>
      <c r="N2022" s="11"/>
    </row>
    <row r="2023" spans="8:14" x14ac:dyDescent="0.25">
      <c r="H2023" s="37"/>
      <c r="I2023" s="79"/>
      <c r="J2023" s="70"/>
      <c r="K2023" s="57"/>
      <c r="L2023" s="11"/>
      <c r="M2023" s="41"/>
      <c r="N2023" s="11"/>
    </row>
    <row r="2024" spans="8:14" x14ac:dyDescent="0.25">
      <c r="H2024" s="37"/>
      <c r="I2024" s="79"/>
      <c r="J2024" s="70"/>
      <c r="K2024" s="57"/>
      <c r="L2024" s="11"/>
      <c r="M2024" s="41"/>
      <c r="N2024" s="11"/>
    </row>
    <row r="2025" spans="8:14" x14ac:dyDescent="0.25">
      <c r="H2025" s="37"/>
      <c r="I2025" s="79"/>
      <c r="J2025" s="70"/>
      <c r="K2025" s="57"/>
      <c r="L2025" s="11"/>
      <c r="M2025" s="41"/>
      <c r="N2025" s="11"/>
    </row>
    <row r="2026" spans="8:14" x14ac:dyDescent="0.25">
      <c r="H2026" s="37"/>
      <c r="I2026" s="79"/>
      <c r="J2026" s="70"/>
      <c r="K2026" s="57"/>
      <c r="L2026" s="11"/>
      <c r="M2026" s="41"/>
      <c r="N2026" s="11"/>
    </row>
    <row r="2027" spans="8:14" x14ac:dyDescent="0.25">
      <c r="H2027" s="37"/>
      <c r="I2027" s="79"/>
      <c r="J2027" s="70"/>
      <c r="K2027" s="57"/>
      <c r="L2027" s="11"/>
      <c r="M2027" s="41"/>
      <c r="N2027" s="11"/>
    </row>
    <row r="2028" spans="8:14" x14ac:dyDescent="0.25">
      <c r="H2028" s="37"/>
      <c r="I2028" s="79"/>
      <c r="J2028" s="70"/>
      <c r="K2028" s="57"/>
      <c r="L2028" s="11"/>
      <c r="M2028" s="41"/>
      <c r="N2028" s="11"/>
    </row>
    <row r="2029" spans="8:14" x14ac:dyDescent="0.25">
      <c r="H2029" s="37"/>
      <c r="I2029" s="79"/>
      <c r="J2029" s="70"/>
      <c r="K2029" s="57"/>
      <c r="L2029" s="11"/>
      <c r="M2029" s="41"/>
      <c r="N2029" s="11"/>
    </row>
    <row r="2030" spans="8:14" x14ac:dyDescent="0.25">
      <c r="H2030" s="37"/>
      <c r="I2030" s="79"/>
      <c r="J2030" s="70"/>
      <c r="K2030" s="57"/>
      <c r="L2030" s="11"/>
      <c r="M2030" s="41"/>
      <c r="N2030" s="11"/>
    </row>
    <row r="2031" spans="8:14" x14ac:dyDescent="0.25">
      <c r="H2031" s="37"/>
      <c r="I2031" s="79"/>
      <c r="J2031" s="70"/>
      <c r="K2031" s="57"/>
      <c r="L2031" s="11"/>
      <c r="M2031" s="41"/>
      <c r="N2031" s="11"/>
    </row>
    <row r="2032" spans="8:14" x14ac:dyDescent="0.25">
      <c r="H2032" s="37"/>
      <c r="I2032" s="79"/>
      <c r="J2032" s="70"/>
      <c r="K2032" s="57"/>
      <c r="L2032" s="11"/>
      <c r="M2032" s="41"/>
      <c r="N2032" s="11"/>
    </row>
    <row r="2033" spans="8:14" x14ac:dyDescent="0.25">
      <c r="H2033" s="37"/>
      <c r="I2033" s="79"/>
      <c r="J2033" s="70"/>
      <c r="K2033" s="57"/>
      <c r="L2033" s="11"/>
      <c r="M2033" s="41"/>
      <c r="N2033" s="11"/>
    </row>
    <row r="2034" spans="8:14" x14ac:dyDescent="0.25">
      <c r="H2034" s="37"/>
      <c r="I2034" s="79"/>
      <c r="J2034" s="70"/>
      <c r="K2034" s="57"/>
      <c r="L2034" s="11"/>
      <c r="M2034" s="41"/>
      <c r="N2034" s="11"/>
    </row>
    <row r="2035" spans="8:14" x14ac:dyDescent="0.25">
      <c r="H2035" s="37"/>
      <c r="I2035" s="79"/>
      <c r="J2035" s="70"/>
      <c r="K2035" s="57"/>
      <c r="L2035" s="11"/>
      <c r="M2035" s="41"/>
      <c r="N2035" s="11"/>
    </row>
    <row r="2036" spans="8:14" x14ac:dyDescent="0.25">
      <c r="H2036" s="37"/>
      <c r="I2036" s="79"/>
      <c r="J2036" s="70"/>
      <c r="K2036" s="57"/>
      <c r="L2036" s="11"/>
      <c r="M2036" s="41"/>
      <c r="N2036" s="11"/>
    </row>
    <row r="2037" spans="8:14" x14ac:dyDescent="0.25">
      <c r="H2037" s="37"/>
      <c r="I2037" s="79"/>
      <c r="J2037" s="70"/>
      <c r="K2037" s="57"/>
      <c r="L2037" s="11"/>
      <c r="M2037" s="41"/>
      <c r="N2037" s="11"/>
    </row>
    <row r="2038" spans="8:14" x14ac:dyDescent="0.25">
      <c r="H2038" s="37"/>
      <c r="I2038" s="79"/>
      <c r="J2038" s="70"/>
      <c r="K2038" s="57"/>
      <c r="L2038" s="11"/>
      <c r="M2038" s="41"/>
      <c r="N2038" s="11"/>
    </row>
    <row r="2039" spans="8:14" x14ac:dyDescent="0.25">
      <c r="H2039" s="37"/>
      <c r="I2039" s="79"/>
      <c r="J2039" s="70"/>
      <c r="K2039" s="57"/>
      <c r="L2039" s="11"/>
      <c r="M2039" s="41"/>
      <c r="N2039" s="11"/>
    </row>
    <row r="2040" spans="8:14" x14ac:dyDescent="0.25">
      <c r="H2040" s="37"/>
      <c r="I2040" s="79"/>
      <c r="J2040" s="70"/>
      <c r="K2040" s="57"/>
      <c r="L2040" s="11"/>
      <c r="M2040" s="41"/>
      <c r="N2040" s="11"/>
    </row>
    <row r="2041" spans="8:14" x14ac:dyDescent="0.25">
      <c r="H2041" s="37"/>
      <c r="I2041" s="79"/>
      <c r="J2041" s="70"/>
      <c r="K2041" s="57"/>
      <c r="L2041" s="11"/>
      <c r="M2041" s="41"/>
      <c r="N2041" s="11"/>
    </row>
    <row r="2042" spans="8:14" x14ac:dyDescent="0.25">
      <c r="H2042" s="37"/>
      <c r="I2042" s="79"/>
      <c r="J2042" s="70"/>
      <c r="K2042" s="57"/>
      <c r="L2042" s="11"/>
      <c r="M2042" s="41"/>
      <c r="N2042" s="11"/>
    </row>
    <row r="2043" spans="8:14" x14ac:dyDescent="0.25">
      <c r="H2043" s="37"/>
      <c r="I2043" s="79"/>
      <c r="J2043" s="70"/>
      <c r="K2043" s="57"/>
      <c r="L2043" s="11"/>
      <c r="M2043" s="41"/>
      <c r="N2043" s="11"/>
    </row>
    <row r="2044" spans="8:14" x14ac:dyDescent="0.25">
      <c r="H2044" s="37"/>
      <c r="I2044" s="79"/>
      <c r="J2044" s="70"/>
      <c r="K2044" s="57"/>
      <c r="L2044" s="11"/>
      <c r="M2044" s="41"/>
      <c r="N2044" s="11"/>
    </row>
    <row r="2045" spans="8:14" x14ac:dyDescent="0.25">
      <c r="H2045" s="37"/>
      <c r="I2045" s="79"/>
      <c r="J2045" s="70"/>
      <c r="K2045" s="57"/>
      <c r="L2045" s="11"/>
      <c r="M2045" s="41"/>
      <c r="N2045" s="11"/>
    </row>
    <row r="2046" spans="8:14" x14ac:dyDescent="0.25">
      <c r="H2046" s="37"/>
      <c r="I2046" s="79"/>
      <c r="J2046" s="70"/>
      <c r="K2046" s="57"/>
      <c r="L2046" s="11"/>
      <c r="M2046" s="41"/>
      <c r="N2046" s="11"/>
    </row>
    <row r="2047" spans="8:14" x14ac:dyDescent="0.25">
      <c r="H2047" s="37"/>
      <c r="I2047" s="79"/>
      <c r="J2047" s="70"/>
      <c r="K2047" s="57"/>
      <c r="L2047" s="11"/>
      <c r="M2047" s="41"/>
      <c r="N2047" s="11"/>
    </row>
    <row r="2048" spans="8:14" x14ac:dyDescent="0.25">
      <c r="H2048" s="37"/>
      <c r="I2048" s="79"/>
      <c r="J2048" s="70"/>
      <c r="K2048" s="57"/>
      <c r="L2048" s="11"/>
      <c r="M2048" s="41"/>
      <c r="N2048" s="11"/>
    </row>
    <row r="2049" spans="8:14" x14ac:dyDescent="0.25">
      <c r="H2049" s="37"/>
      <c r="I2049" s="79"/>
      <c r="J2049" s="70"/>
      <c r="K2049" s="57"/>
      <c r="L2049" s="11"/>
      <c r="M2049" s="41"/>
      <c r="N2049" s="11"/>
    </row>
    <row r="2050" spans="8:14" x14ac:dyDescent="0.25">
      <c r="H2050" s="37"/>
      <c r="I2050" s="79"/>
      <c r="J2050" s="70"/>
      <c r="K2050" s="57"/>
      <c r="L2050" s="11"/>
      <c r="M2050" s="41"/>
      <c r="N2050" s="11"/>
    </row>
    <row r="2051" spans="8:14" x14ac:dyDescent="0.25">
      <c r="H2051" s="37"/>
      <c r="I2051" s="79"/>
      <c r="J2051" s="70"/>
      <c r="K2051" s="57"/>
      <c r="L2051" s="11"/>
      <c r="M2051" s="41"/>
      <c r="N2051" s="11"/>
    </row>
    <row r="2052" spans="8:14" x14ac:dyDescent="0.25">
      <c r="H2052" s="37"/>
      <c r="I2052" s="79"/>
      <c r="J2052" s="70"/>
      <c r="K2052" s="57"/>
      <c r="L2052" s="11"/>
      <c r="M2052" s="41"/>
      <c r="N2052" s="11"/>
    </row>
    <row r="2053" spans="8:14" x14ac:dyDescent="0.25">
      <c r="H2053" s="37"/>
      <c r="I2053" s="79"/>
      <c r="J2053" s="70"/>
      <c r="K2053" s="57"/>
      <c r="L2053" s="11"/>
      <c r="M2053" s="41"/>
      <c r="N2053" s="11"/>
    </row>
    <row r="2054" spans="8:14" x14ac:dyDescent="0.25">
      <c r="H2054" s="37"/>
      <c r="I2054" s="79"/>
      <c r="J2054" s="70"/>
      <c r="K2054" s="57"/>
      <c r="L2054" s="11"/>
      <c r="M2054" s="41"/>
      <c r="N2054" s="11"/>
    </row>
    <row r="2055" spans="8:14" x14ac:dyDescent="0.25">
      <c r="H2055" s="37"/>
      <c r="I2055" s="79"/>
      <c r="J2055" s="70"/>
      <c r="K2055" s="57"/>
      <c r="L2055" s="11"/>
      <c r="M2055" s="41"/>
      <c r="N2055" s="11"/>
    </row>
    <row r="2056" spans="8:14" x14ac:dyDescent="0.25">
      <c r="H2056" s="37"/>
      <c r="I2056" s="79"/>
      <c r="J2056" s="70"/>
      <c r="K2056" s="57"/>
      <c r="L2056" s="11"/>
      <c r="M2056" s="41"/>
      <c r="N2056" s="11"/>
    </row>
    <row r="2057" spans="8:14" x14ac:dyDescent="0.25">
      <c r="H2057" s="37"/>
      <c r="I2057" s="79"/>
      <c r="J2057" s="70"/>
      <c r="K2057" s="57"/>
      <c r="L2057" s="11"/>
      <c r="M2057" s="41"/>
      <c r="N2057" s="11"/>
    </row>
    <row r="2058" spans="8:14" x14ac:dyDescent="0.25">
      <c r="H2058" s="37"/>
      <c r="I2058" s="79"/>
      <c r="J2058" s="70"/>
      <c r="K2058" s="57"/>
      <c r="L2058" s="11"/>
      <c r="M2058" s="41"/>
      <c r="N2058" s="11"/>
    </row>
    <row r="2059" spans="8:14" x14ac:dyDescent="0.25">
      <c r="H2059" s="37"/>
      <c r="I2059" s="79"/>
      <c r="J2059" s="70"/>
      <c r="K2059" s="57"/>
      <c r="L2059" s="11"/>
      <c r="M2059" s="41"/>
      <c r="N2059" s="11"/>
    </row>
    <row r="2060" spans="8:14" x14ac:dyDescent="0.25">
      <c r="H2060" s="37"/>
      <c r="I2060" s="79"/>
      <c r="J2060" s="70"/>
      <c r="K2060" s="57"/>
      <c r="L2060" s="11"/>
      <c r="M2060" s="41"/>
      <c r="N2060" s="11"/>
    </row>
    <row r="2061" spans="8:14" x14ac:dyDescent="0.25">
      <c r="H2061" s="37"/>
      <c r="I2061" s="79"/>
      <c r="J2061" s="70"/>
      <c r="K2061" s="57"/>
      <c r="L2061" s="11"/>
      <c r="M2061" s="41"/>
      <c r="N2061" s="11"/>
    </row>
    <row r="2062" spans="8:14" x14ac:dyDescent="0.25">
      <c r="H2062" s="37"/>
      <c r="I2062" s="79"/>
      <c r="J2062" s="70"/>
      <c r="K2062" s="57"/>
      <c r="L2062" s="11"/>
      <c r="M2062" s="41"/>
      <c r="N2062" s="11"/>
    </row>
    <row r="2063" spans="8:14" x14ac:dyDescent="0.25">
      <c r="H2063" s="37"/>
      <c r="I2063" s="79"/>
      <c r="J2063" s="70"/>
      <c r="K2063" s="57"/>
      <c r="L2063" s="11"/>
      <c r="M2063" s="41"/>
      <c r="N2063" s="11"/>
    </row>
    <row r="2064" spans="8:14" x14ac:dyDescent="0.25">
      <c r="H2064" s="37"/>
      <c r="I2064" s="79"/>
      <c r="J2064" s="70"/>
      <c r="K2064" s="57"/>
      <c r="L2064" s="11"/>
      <c r="M2064" s="41"/>
      <c r="N2064" s="11"/>
    </row>
    <row r="2065" spans="8:14" x14ac:dyDescent="0.25">
      <c r="H2065" s="37"/>
      <c r="I2065" s="79"/>
      <c r="J2065" s="70"/>
      <c r="K2065" s="57"/>
      <c r="L2065" s="11"/>
      <c r="M2065" s="41"/>
      <c r="N2065" s="11"/>
    </row>
    <row r="2066" spans="8:14" x14ac:dyDescent="0.25">
      <c r="H2066" s="37"/>
      <c r="I2066" s="79"/>
      <c r="J2066" s="70"/>
      <c r="K2066" s="57"/>
      <c r="L2066" s="11"/>
      <c r="M2066" s="41"/>
      <c r="N2066" s="11"/>
    </row>
    <row r="2067" spans="8:14" x14ac:dyDescent="0.25">
      <c r="H2067" s="37"/>
      <c r="I2067" s="79"/>
      <c r="J2067" s="70"/>
      <c r="K2067" s="57"/>
      <c r="L2067" s="11"/>
      <c r="M2067" s="41"/>
      <c r="N2067" s="11"/>
    </row>
    <row r="2068" spans="8:14" x14ac:dyDescent="0.25">
      <c r="H2068" s="37"/>
      <c r="I2068" s="79"/>
      <c r="J2068" s="70"/>
      <c r="K2068" s="57"/>
      <c r="L2068" s="11"/>
      <c r="M2068" s="41"/>
      <c r="N2068" s="11"/>
    </row>
    <row r="2069" spans="8:14" x14ac:dyDescent="0.25">
      <c r="H2069" s="37"/>
      <c r="I2069" s="79"/>
      <c r="J2069" s="70"/>
      <c r="K2069" s="57"/>
      <c r="L2069" s="11"/>
      <c r="M2069" s="41"/>
      <c r="N2069" s="11"/>
    </row>
    <row r="2070" spans="8:14" x14ac:dyDescent="0.25">
      <c r="H2070" s="37"/>
      <c r="I2070" s="79"/>
      <c r="J2070" s="70"/>
      <c r="K2070" s="57"/>
      <c r="L2070" s="11"/>
      <c r="M2070" s="41"/>
      <c r="N2070" s="11"/>
    </row>
    <row r="2071" spans="8:14" x14ac:dyDescent="0.25">
      <c r="H2071" s="37"/>
      <c r="I2071" s="79"/>
      <c r="J2071" s="70"/>
      <c r="K2071" s="57"/>
      <c r="L2071" s="11"/>
      <c r="M2071" s="41"/>
      <c r="N2071" s="11"/>
    </row>
    <row r="2072" spans="8:14" x14ac:dyDescent="0.25">
      <c r="H2072" s="37"/>
      <c r="I2072" s="79"/>
      <c r="J2072" s="70"/>
      <c r="K2072" s="57"/>
      <c r="L2072" s="11"/>
      <c r="M2072" s="41"/>
      <c r="N2072" s="11"/>
    </row>
    <row r="2073" spans="8:14" x14ac:dyDescent="0.25">
      <c r="H2073" s="37"/>
      <c r="I2073" s="79"/>
      <c r="J2073" s="70"/>
      <c r="K2073" s="57"/>
      <c r="L2073" s="11"/>
      <c r="M2073" s="41"/>
      <c r="N2073" s="11"/>
    </row>
    <row r="2074" spans="8:14" x14ac:dyDescent="0.25">
      <c r="H2074" s="37"/>
      <c r="I2074" s="79"/>
      <c r="J2074" s="70"/>
      <c r="K2074" s="57"/>
      <c r="L2074" s="11"/>
      <c r="M2074" s="41"/>
      <c r="N2074" s="11"/>
    </row>
    <row r="2075" spans="8:14" x14ac:dyDescent="0.25">
      <c r="H2075" s="37"/>
      <c r="I2075" s="79"/>
      <c r="J2075" s="70"/>
      <c r="K2075" s="57"/>
      <c r="L2075" s="11"/>
      <c r="M2075" s="41"/>
      <c r="N2075" s="11"/>
    </row>
    <row r="2076" spans="8:14" x14ac:dyDescent="0.25">
      <c r="H2076" s="37"/>
      <c r="I2076" s="79"/>
      <c r="J2076" s="70"/>
      <c r="K2076" s="57"/>
      <c r="L2076" s="11"/>
      <c r="M2076" s="41"/>
      <c r="N2076" s="11"/>
    </row>
    <row r="2077" spans="8:14" x14ac:dyDescent="0.25">
      <c r="H2077" s="37"/>
      <c r="I2077" s="79"/>
      <c r="J2077" s="70"/>
      <c r="K2077" s="57"/>
      <c r="L2077" s="11"/>
      <c r="M2077" s="41"/>
      <c r="N2077" s="11"/>
    </row>
    <row r="2078" spans="8:14" x14ac:dyDescent="0.25">
      <c r="H2078" s="37"/>
      <c r="I2078" s="79"/>
      <c r="J2078" s="70"/>
      <c r="K2078" s="57"/>
      <c r="L2078" s="11"/>
      <c r="M2078" s="41"/>
      <c r="N2078" s="11"/>
    </row>
    <row r="2079" spans="8:14" x14ac:dyDescent="0.25">
      <c r="H2079" s="37"/>
      <c r="I2079" s="79"/>
      <c r="J2079" s="70"/>
      <c r="K2079" s="57"/>
      <c r="L2079" s="11"/>
      <c r="M2079" s="41"/>
      <c r="N2079" s="11"/>
    </row>
    <row r="2080" spans="8:14" x14ac:dyDescent="0.25">
      <c r="H2080" s="37"/>
      <c r="I2080" s="79"/>
      <c r="J2080" s="70"/>
      <c r="K2080" s="57"/>
      <c r="L2080" s="11"/>
      <c r="M2080" s="41"/>
      <c r="N2080" s="11"/>
    </row>
    <row r="2081" spans="8:14" x14ac:dyDescent="0.25">
      <c r="H2081" s="37"/>
      <c r="I2081" s="79"/>
      <c r="J2081" s="70"/>
      <c r="K2081" s="57"/>
      <c r="L2081" s="11"/>
      <c r="M2081" s="41"/>
      <c r="N2081" s="11"/>
    </row>
    <row r="2082" spans="8:14" x14ac:dyDescent="0.25">
      <c r="H2082" s="37"/>
      <c r="I2082" s="79"/>
      <c r="J2082" s="70"/>
      <c r="K2082" s="57"/>
      <c r="L2082" s="11"/>
      <c r="M2082" s="41"/>
      <c r="N2082" s="11"/>
    </row>
    <row r="2083" spans="8:14" x14ac:dyDescent="0.25">
      <c r="H2083" s="37"/>
      <c r="I2083" s="79"/>
      <c r="J2083" s="70"/>
      <c r="K2083" s="57"/>
      <c r="L2083" s="11"/>
      <c r="M2083" s="41"/>
      <c r="N2083" s="11"/>
    </row>
    <row r="2084" spans="8:14" x14ac:dyDescent="0.25">
      <c r="H2084" s="37"/>
      <c r="I2084" s="79"/>
      <c r="J2084" s="70"/>
      <c r="K2084" s="57"/>
      <c r="L2084" s="11"/>
      <c r="M2084" s="41"/>
      <c r="N2084" s="11"/>
    </row>
    <row r="2085" spans="8:14" x14ac:dyDescent="0.25">
      <c r="H2085" s="37"/>
      <c r="I2085" s="79"/>
      <c r="J2085" s="70"/>
      <c r="K2085" s="57"/>
      <c r="L2085" s="11"/>
      <c r="M2085" s="41"/>
      <c r="N2085" s="11"/>
    </row>
    <row r="2086" spans="8:14" x14ac:dyDescent="0.25">
      <c r="H2086" s="37"/>
      <c r="I2086" s="79"/>
      <c r="J2086" s="70"/>
      <c r="K2086" s="57"/>
      <c r="L2086" s="11"/>
      <c r="M2086" s="41"/>
      <c r="N2086" s="11"/>
    </row>
    <row r="2087" spans="8:14" x14ac:dyDescent="0.25">
      <c r="H2087" s="37"/>
      <c r="I2087" s="79"/>
      <c r="J2087" s="70"/>
      <c r="K2087" s="57"/>
      <c r="L2087" s="11"/>
      <c r="M2087" s="41"/>
      <c r="N2087" s="11"/>
    </row>
    <row r="2088" spans="8:14" x14ac:dyDescent="0.25">
      <c r="H2088" s="37"/>
      <c r="I2088" s="79"/>
      <c r="J2088" s="70"/>
      <c r="K2088" s="57"/>
      <c r="L2088" s="11"/>
      <c r="M2088" s="41"/>
      <c r="N2088" s="11"/>
    </row>
    <row r="2089" spans="8:14" x14ac:dyDescent="0.25">
      <c r="H2089" s="37"/>
      <c r="I2089" s="79"/>
      <c r="J2089" s="70"/>
      <c r="K2089" s="57"/>
      <c r="L2089" s="11"/>
      <c r="M2089" s="41"/>
      <c r="N2089" s="11"/>
    </row>
    <row r="2090" spans="8:14" x14ac:dyDescent="0.25">
      <c r="H2090" s="37"/>
      <c r="I2090" s="79"/>
      <c r="J2090" s="70"/>
      <c r="K2090" s="57"/>
      <c r="L2090" s="11"/>
      <c r="M2090" s="41"/>
      <c r="N2090" s="11"/>
    </row>
    <row r="2091" spans="8:14" x14ac:dyDescent="0.25">
      <c r="H2091" s="37"/>
      <c r="I2091" s="79"/>
      <c r="J2091" s="70"/>
      <c r="K2091" s="57"/>
      <c r="L2091" s="11"/>
      <c r="M2091" s="41"/>
      <c r="N2091" s="11"/>
    </row>
    <row r="2092" spans="8:14" x14ac:dyDescent="0.25">
      <c r="H2092" s="37"/>
      <c r="I2092" s="79"/>
      <c r="J2092" s="70"/>
      <c r="K2092" s="57"/>
      <c r="L2092" s="11"/>
      <c r="M2092" s="41"/>
      <c r="N2092" s="11"/>
    </row>
    <row r="2093" spans="8:14" x14ac:dyDescent="0.25">
      <c r="H2093" s="37"/>
      <c r="I2093" s="79"/>
      <c r="J2093" s="70"/>
      <c r="K2093" s="57"/>
      <c r="L2093" s="11"/>
      <c r="M2093" s="41"/>
      <c r="N2093" s="11"/>
    </row>
    <row r="2094" spans="8:14" x14ac:dyDescent="0.25">
      <c r="H2094" s="37"/>
      <c r="I2094" s="79"/>
      <c r="J2094" s="70"/>
      <c r="K2094" s="57"/>
      <c r="L2094" s="11"/>
      <c r="M2094" s="41"/>
      <c r="N2094" s="11"/>
    </row>
    <row r="2095" spans="8:14" x14ac:dyDescent="0.25">
      <c r="H2095" s="37"/>
      <c r="I2095" s="79"/>
      <c r="J2095" s="70"/>
      <c r="K2095" s="57"/>
      <c r="L2095" s="11"/>
      <c r="M2095" s="41"/>
      <c r="N2095" s="11"/>
    </row>
    <row r="2096" spans="8:14" x14ac:dyDescent="0.25">
      <c r="H2096" s="37"/>
      <c r="I2096" s="79"/>
      <c r="J2096" s="70"/>
      <c r="K2096" s="57"/>
      <c r="L2096" s="11"/>
      <c r="M2096" s="41"/>
      <c r="N2096" s="11"/>
    </row>
    <row r="2097" spans="8:14" x14ac:dyDescent="0.25">
      <c r="H2097" s="37"/>
      <c r="I2097" s="79"/>
      <c r="J2097" s="70"/>
      <c r="K2097" s="57"/>
      <c r="L2097" s="11"/>
      <c r="M2097" s="41"/>
      <c r="N2097" s="11"/>
    </row>
    <row r="2098" spans="8:14" x14ac:dyDescent="0.25">
      <c r="H2098" s="37"/>
      <c r="I2098" s="79"/>
      <c r="J2098" s="70"/>
      <c r="K2098" s="57"/>
      <c r="L2098" s="11"/>
      <c r="M2098" s="41"/>
      <c r="N2098" s="11"/>
    </row>
    <row r="2099" spans="8:14" x14ac:dyDescent="0.25">
      <c r="H2099" s="37"/>
      <c r="I2099" s="79"/>
      <c r="J2099" s="70"/>
      <c r="K2099" s="57"/>
      <c r="L2099" s="11"/>
      <c r="M2099" s="41"/>
      <c r="N2099" s="11"/>
    </row>
    <row r="2100" spans="8:14" x14ac:dyDescent="0.25">
      <c r="H2100" s="37"/>
      <c r="I2100" s="79"/>
      <c r="J2100" s="70"/>
      <c r="K2100" s="57"/>
      <c r="L2100" s="11"/>
      <c r="M2100" s="41"/>
      <c r="N2100" s="11"/>
    </row>
    <row r="2101" spans="8:14" x14ac:dyDescent="0.25">
      <c r="H2101" s="37"/>
      <c r="I2101" s="79"/>
      <c r="J2101" s="70"/>
      <c r="K2101" s="57"/>
      <c r="L2101" s="11"/>
      <c r="M2101" s="41"/>
      <c r="N2101" s="11"/>
    </row>
    <row r="2102" spans="8:14" x14ac:dyDescent="0.25">
      <c r="H2102" s="37"/>
      <c r="I2102" s="79"/>
      <c r="J2102" s="70"/>
      <c r="K2102" s="57"/>
      <c r="L2102" s="11"/>
      <c r="M2102" s="41"/>
      <c r="N2102" s="11"/>
    </row>
    <row r="2103" spans="8:14" x14ac:dyDescent="0.25">
      <c r="H2103" s="37"/>
      <c r="I2103" s="79"/>
      <c r="J2103" s="70"/>
      <c r="K2103" s="57"/>
      <c r="L2103" s="11"/>
      <c r="M2103" s="41"/>
      <c r="N2103" s="11"/>
    </row>
    <row r="2104" spans="8:14" x14ac:dyDescent="0.25">
      <c r="H2104" s="37"/>
      <c r="I2104" s="79"/>
      <c r="J2104" s="70"/>
      <c r="K2104" s="57"/>
      <c r="L2104" s="11"/>
      <c r="M2104" s="41"/>
      <c r="N2104" s="11"/>
    </row>
    <row r="2105" spans="8:14" x14ac:dyDescent="0.25">
      <c r="H2105" s="37"/>
      <c r="I2105" s="79"/>
      <c r="J2105" s="70"/>
      <c r="K2105" s="57"/>
      <c r="L2105" s="11"/>
      <c r="M2105" s="41"/>
      <c r="N2105" s="11"/>
    </row>
    <row r="2106" spans="8:14" x14ac:dyDescent="0.25">
      <c r="H2106" s="37"/>
      <c r="I2106" s="79"/>
      <c r="J2106" s="70"/>
      <c r="K2106" s="57"/>
      <c r="L2106" s="11"/>
      <c r="M2106" s="41"/>
      <c r="N2106" s="11"/>
    </row>
    <row r="2107" spans="8:14" x14ac:dyDescent="0.25">
      <c r="H2107" s="37"/>
      <c r="I2107" s="79"/>
      <c r="J2107" s="70"/>
      <c r="K2107" s="57"/>
      <c r="L2107" s="11"/>
      <c r="M2107" s="41"/>
      <c r="N2107" s="11"/>
    </row>
    <row r="2108" spans="8:14" x14ac:dyDescent="0.25">
      <c r="H2108" s="37"/>
      <c r="I2108" s="79"/>
      <c r="J2108" s="70"/>
      <c r="K2108" s="57"/>
      <c r="L2108" s="11"/>
      <c r="M2108" s="41"/>
      <c r="N2108" s="11"/>
    </row>
    <row r="2109" spans="8:14" x14ac:dyDescent="0.25">
      <c r="H2109" s="37"/>
      <c r="I2109" s="79"/>
      <c r="J2109" s="70"/>
      <c r="K2109" s="57"/>
      <c r="L2109" s="11"/>
      <c r="M2109" s="41"/>
      <c r="N2109" s="11"/>
    </row>
    <row r="2110" spans="8:14" x14ac:dyDescent="0.25">
      <c r="H2110" s="37"/>
      <c r="I2110" s="79"/>
      <c r="J2110" s="70"/>
      <c r="K2110" s="57"/>
      <c r="L2110" s="11"/>
      <c r="M2110" s="41"/>
      <c r="N2110" s="11"/>
    </row>
    <row r="2111" spans="8:14" x14ac:dyDescent="0.25">
      <c r="H2111" s="37"/>
      <c r="I2111" s="79"/>
      <c r="J2111" s="70"/>
      <c r="K2111" s="57"/>
      <c r="L2111" s="11"/>
      <c r="M2111" s="41"/>
      <c r="N2111" s="11"/>
    </row>
    <row r="2112" spans="8:14" x14ac:dyDescent="0.25">
      <c r="H2112" s="37"/>
      <c r="I2112" s="79"/>
      <c r="J2112" s="70"/>
      <c r="K2112" s="57"/>
      <c r="L2112" s="11"/>
      <c r="M2112" s="41"/>
      <c r="N2112" s="11"/>
    </row>
    <row r="2113" spans="8:14" x14ac:dyDescent="0.25">
      <c r="H2113" s="37"/>
      <c r="I2113" s="79"/>
      <c r="J2113" s="70"/>
      <c r="K2113" s="57"/>
      <c r="L2113" s="11"/>
      <c r="M2113" s="41"/>
      <c r="N2113" s="11"/>
    </row>
    <row r="2114" spans="8:14" x14ac:dyDescent="0.25">
      <c r="H2114" s="37"/>
      <c r="I2114" s="79"/>
      <c r="J2114" s="70"/>
      <c r="K2114" s="57"/>
      <c r="L2114" s="11"/>
      <c r="M2114" s="41"/>
      <c r="N2114" s="11"/>
    </row>
    <row r="2115" spans="8:14" x14ac:dyDescent="0.25">
      <c r="H2115" s="37"/>
      <c r="I2115" s="79"/>
      <c r="J2115" s="70"/>
      <c r="K2115" s="57"/>
      <c r="L2115" s="11"/>
      <c r="M2115" s="41"/>
      <c r="N2115" s="11"/>
    </row>
    <row r="2116" spans="8:14" x14ac:dyDescent="0.25">
      <c r="H2116" s="37"/>
      <c r="I2116" s="79"/>
      <c r="J2116" s="70"/>
      <c r="K2116" s="57"/>
      <c r="L2116" s="11"/>
      <c r="M2116" s="41"/>
      <c r="N2116" s="11"/>
    </row>
    <row r="2117" spans="8:14" x14ac:dyDescent="0.25">
      <c r="H2117" s="37"/>
      <c r="I2117" s="79"/>
      <c r="J2117" s="70"/>
      <c r="K2117" s="57"/>
      <c r="L2117" s="11"/>
      <c r="M2117" s="41"/>
      <c r="N2117" s="11"/>
    </row>
    <row r="2118" spans="8:14" x14ac:dyDescent="0.25">
      <c r="H2118" s="37"/>
      <c r="I2118" s="79"/>
      <c r="J2118" s="70"/>
      <c r="K2118" s="57"/>
      <c r="L2118" s="11"/>
      <c r="M2118" s="41"/>
      <c r="N2118" s="11"/>
    </row>
    <row r="2119" spans="8:14" x14ac:dyDescent="0.25">
      <c r="H2119" s="37"/>
      <c r="I2119" s="79"/>
      <c r="J2119" s="70"/>
      <c r="K2119" s="57"/>
      <c r="L2119" s="11"/>
      <c r="M2119" s="41"/>
      <c r="N2119" s="11"/>
    </row>
    <row r="2120" spans="8:14" x14ac:dyDescent="0.25">
      <c r="H2120" s="37"/>
      <c r="I2120" s="79"/>
      <c r="J2120" s="70"/>
      <c r="K2120" s="57"/>
      <c r="L2120" s="11"/>
      <c r="M2120" s="41"/>
      <c r="N2120" s="11"/>
    </row>
    <row r="2121" spans="8:14" x14ac:dyDescent="0.25">
      <c r="H2121" s="37"/>
      <c r="I2121" s="79"/>
      <c r="J2121" s="70"/>
      <c r="K2121" s="57"/>
      <c r="L2121" s="11"/>
      <c r="M2121" s="41"/>
      <c r="N2121" s="11"/>
    </row>
    <row r="2122" spans="8:14" x14ac:dyDescent="0.25">
      <c r="H2122" s="37"/>
      <c r="I2122" s="79"/>
      <c r="J2122" s="70"/>
      <c r="K2122" s="57"/>
      <c r="L2122" s="11"/>
      <c r="M2122" s="41"/>
      <c r="N2122" s="11"/>
    </row>
    <row r="2123" spans="8:14" x14ac:dyDescent="0.25">
      <c r="H2123" s="37"/>
      <c r="I2123" s="79"/>
      <c r="J2123" s="70"/>
      <c r="K2123" s="57"/>
      <c r="L2123" s="11"/>
      <c r="M2123" s="41"/>
      <c r="N2123" s="11"/>
    </row>
    <row r="2124" spans="8:14" x14ac:dyDescent="0.25">
      <c r="H2124" s="37"/>
      <c r="I2124" s="79"/>
      <c r="J2124" s="70"/>
      <c r="K2124" s="57"/>
      <c r="L2124" s="11"/>
      <c r="M2124" s="41"/>
      <c r="N2124" s="11"/>
    </row>
    <row r="2125" spans="8:14" x14ac:dyDescent="0.25">
      <c r="H2125" s="37"/>
      <c r="I2125" s="79"/>
      <c r="J2125" s="70"/>
      <c r="K2125" s="57"/>
      <c r="L2125" s="11"/>
      <c r="M2125" s="41"/>
      <c r="N2125" s="11"/>
    </row>
    <row r="2126" spans="8:14" x14ac:dyDescent="0.25">
      <c r="H2126" s="37"/>
      <c r="I2126" s="79"/>
      <c r="J2126" s="70"/>
      <c r="K2126" s="57"/>
      <c r="L2126" s="11"/>
      <c r="M2126" s="41"/>
      <c r="N2126" s="11"/>
    </row>
    <row r="2127" spans="8:14" x14ac:dyDescent="0.25">
      <c r="H2127" s="37"/>
      <c r="I2127" s="79"/>
      <c r="J2127" s="70"/>
      <c r="K2127" s="57"/>
      <c r="L2127" s="11"/>
      <c r="M2127" s="41"/>
      <c r="N2127" s="11"/>
    </row>
    <row r="2128" spans="8:14" x14ac:dyDescent="0.25">
      <c r="H2128" s="37"/>
      <c r="I2128" s="79"/>
      <c r="J2128" s="70"/>
      <c r="K2128" s="57"/>
      <c r="L2128" s="11"/>
      <c r="M2128" s="41"/>
      <c r="N2128" s="11"/>
    </row>
    <row r="2129" spans="8:14" x14ac:dyDescent="0.25">
      <c r="H2129" s="37"/>
      <c r="I2129" s="79"/>
      <c r="J2129" s="70"/>
      <c r="K2129" s="57"/>
      <c r="L2129" s="11"/>
      <c r="M2129" s="41"/>
      <c r="N2129" s="11"/>
    </row>
    <row r="2130" spans="8:14" x14ac:dyDescent="0.25">
      <c r="H2130" s="37"/>
      <c r="I2130" s="79"/>
      <c r="J2130" s="70"/>
      <c r="K2130" s="57"/>
      <c r="L2130" s="11"/>
      <c r="M2130" s="41"/>
      <c r="N2130" s="11"/>
    </row>
    <row r="2131" spans="8:14" x14ac:dyDescent="0.25">
      <c r="H2131" s="37"/>
      <c r="I2131" s="79"/>
      <c r="J2131" s="70"/>
      <c r="K2131" s="57"/>
      <c r="L2131" s="11"/>
      <c r="M2131" s="41"/>
      <c r="N2131" s="11"/>
    </row>
    <row r="2132" spans="8:14" x14ac:dyDescent="0.25">
      <c r="H2132" s="37"/>
      <c r="I2132" s="79"/>
      <c r="J2132" s="70"/>
      <c r="K2132" s="57"/>
      <c r="L2132" s="11"/>
      <c r="M2132" s="41"/>
      <c r="N2132" s="11"/>
    </row>
    <row r="2133" spans="8:14" x14ac:dyDescent="0.25">
      <c r="H2133" s="37"/>
      <c r="I2133" s="79"/>
      <c r="J2133" s="70"/>
      <c r="K2133" s="57"/>
      <c r="L2133" s="11"/>
      <c r="M2133" s="41"/>
      <c r="N2133" s="11"/>
    </row>
    <row r="2134" spans="8:14" x14ac:dyDescent="0.25">
      <c r="H2134" s="37"/>
      <c r="I2134" s="79"/>
      <c r="J2134" s="70"/>
      <c r="K2134" s="57"/>
      <c r="L2134" s="11"/>
      <c r="M2134" s="41"/>
      <c r="N2134" s="11"/>
    </row>
    <row r="2135" spans="8:14" x14ac:dyDescent="0.25">
      <c r="H2135" s="37"/>
      <c r="I2135" s="79"/>
      <c r="J2135" s="70"/>
      <c r="K2135" s="57"/>
      <c r="L2135" s="11"/>
      <c r="M2135" s="41"/>
      <c r="N2135" s="11"/>
    </row>
    <row r="2136" spans="8:14" x14ac:dyDescent="0.25">
      <c r="H2136" s="37"/>
      <c r="I2136" s="79"/>
      <c r="J2136" s="70"/>
      <c r="K2136" s="57"/>
      <c r="L2136" s="11"/>
      <c r="M2136" s="41"/>
      <c r="N2136" s="11"/>
    </row>
    <row r="2137" spans="8:14" x14ac:dyDescent="0.25">
      <c r="H2137" s="37"/>
      <c r="I2137" s="79"/>
      <c r="J2137" s="70"/>
      <c r="K2137" s="57"/>
      <c r="L2137" s="11"/>
      <c r="M2137" s="41"/>
      <c r="N2137" s="11"/>
    </row>
    <row r="2138" spans="8:14" x14ac:dyDescent="0.25">
      <c r="H2138" s="37"/>
      <c r="I2138" s="79"/>
      <c r="J2138" s="70"/>
      <c r="K2138" s="57"/>
      <c r="L2138" s="11"/>
      <c r="M2138" s="41"/>
      <c r="N2138" s="11"/>
    </row>
    <row r="2139" spans="8:14" x14ac:dyDescent="0.25">
      <c r="H2139" s="37"/>
      <c r="I2139" s="79"/>
      <c r="J2139" s="70"/>
      <c r="K2139" s="57"/>
      <c r="L2139" s="11"/>
      <c r="M2139" s="41"/>
      <c r="N2139" s="11"/>
    </row>
    <row r="2140" spans="8:14" x14ac:dyDescent="0.25">
      <c r="H2140" s="37"/>
      <c r="I2140" s="79"/>
      <c r="J2140" s="70"/>
      <c r="K2140" s="57"/>
      <c r="L2140" s="11"/>
      <c r="M2140" s="41"/>
      <c r="N2140" s="11"/>
    </row>
    <row r="2141" spans="8:14" x14ac:dyDescent="0.25">
      <c r="H2141" s="37"/>
      <c r="I2141" s="79"/>
      <c r="J2141" s="70"/>
      <c r="K2141" s="57"/>
      <c r="L2141" s="11"/>
      <c r="M2141" s="41"/>
      <c r="N2141" s="11"/>
    </row>
    <row r="2142" spans="8:14" x14ac:dyDescent="0.25">
      <c r="H2142" s="37"/>
      <c r="I2142" s="79"/>
      <c r="J2142" s="70"/>
      <c r="K2142" s="57"/>
      <c r="L2142" s="11"/>
      <c r="M2142" s="41"/>
      <c r="N2142" s="11"/>
    </row>
    <row r="2143" spans="8:14" x14ac:dyDescent="0.25">
      <c r="H2143" s="37"/>
      <c r="I2143" s="79"/>
      <c r="J2143" s="70"/>
      <c r="K2143" s="57"/>
      <c r="L2143" s="11"/>
      <c r="M2143" s="41"/>
      <c r="N2143" s="11"/>
    </row>
    <row r="2144" spans="8:14" x14ac:dyDescent="0.25">
      <c r="H2144" s="37"/>
      <c r="I2144" s="79"/>
      <c r="J2144" s="70"/>
      <c r="K2144" s="57"/>
      <c r="L2144" s="11"/>
      <c r="M2144" s="41"/>
      <c r="N2144" s="11"/>
    </row>
    <row r="2145" spans="8:14" x14ac:dyDescent="0.25">
      <c r="H2145" s="37"/>
      <c r="I2145" s="79"/>
      <c r="J2145" s="70"/>
      <c r="K2145" s="57"/>
      <c r="L2145" s="11"/>
      <c r="M2145" s="41"/>
      <c r="N2145" s="11"/>
    </row>
    <row r="2146" spans="8:14" x14ac:dyDescent="0.25">
      <c r="H2146" s="37"/>
      <c r="I2146" s="79"/>
      <c r="J2146" s="70"/>
      <c r="K2146" s="57"/>
      <c r="L2146" s="11"/>
      <c r="M2146" s="41"/>
      <c r="N2146" s="11"/>
    </row>
    <row r="2147" spans="8:14" x14ac:dyDescent="0.25">
      <c r="H2147" s="37"/>
      <c r="I2147" s="79"/>
      <c r="J2147" s="70"/>
      <c r="K2147" s="57"/>
      <c r="L2147" s="11"/>
      <c r="M2147" s="41"/>
      <c r="N2147" s="11"/>
    </row>
    <row r="2148" spans="8:14" x14ac:dyDescent="0.25">
      <c r="H2148" s="37"/>
      <c r="I2148" s="79"/>
      <c r="J2148" s="70"/>
      <c r="K2148" s="57"/>
      <c r="L2148" s="11"/>
      <c r="M2148" s="41"/>
      <c r="N2148" s="11"/>
    </row>
    <row r="2149" spans="8:14" x14ac:dyDescent="0.25">
      <c r="H2149" s="37"/>
      <c r="I2149" s="79"/>
      <c r="J2149" s="70"/>
      <c r="K2149" s="57"/>
      <c r="L2149" s="11"/>
      <c r="M2149" s="41"/>
      <c r="N2149" s="11"/>
    </row>
    <row r="2150" spans="8:14" x14ac:dyDescent="0.25">
      <c r="H2150" s="37"/>
      <c r="I2150" s="79"/>
      <c r="J2150" s="70"/>
      <c r="K2150" s="57"/>
      <c r="L2150" s="11"/>
      <c r="M2150" s="41"/>
      <c r="N2150" s="11"/>
    </row>
    <row r="2151" spans="8:14" x14ac:dyDescent="0.25">
      <c r="H2151" s="37"/>
      <c r="I2151" s="79"/>
      <c r="J2151" s="70"/>
      <c r="K2151" s="57"/>
      <c r="L2151" s="11"/>
      <c r="M2151" s="41"/>
      <c r="N2151" s="11"/>
    </row>
    <row r="2152" spans="8:14" x14ac:dyDescent="0.25">
      <c r="H2152" s="37"/>
      <c r="I2152" s="79"/>
      <c r="J2152" s="70"/>
      <c r="K2152" s="57"/>
      <c r="L2152" s="11"/>
      <c r="M2152" s="41"/>
      <c r="N2152" s="11"/>
    </row>
    <row r="2153" spans="8:14" x14ac:dyDescent="0.25">
      <c r="H2153" s="37"/>
      <c r="I2153" s="79"/>
      <c r="J2153" s="70"/>
      <c r="K2153" s="57"/>
      <c r="L2153" s="11"/>
      <c r="M2153" s="41"/>
      <c r="N2153" s="11"/>
    </row>
    <row r="2154" spans="8:14" x14ac:dyDescent="0.25">
      <c r="H2154" s="37"/>
      <c r="I2154" s="79"/>
      <c r="J2154" s="70"/>
      <c r="K2154" s="57"/>
      <c r="L2154" s="11"/>
      <c r="M2154" s="41"/>
      <c r="N2154" s="11"/>
    </row>
    <row r="2155" spans="8:14" x14ac:dyDescent="0.25">
      <c r="H2155" s="37"/>
      <c r="I2155" s="79"/>
      <c r="J2155" s="70"/>
      <c r="K2155" s="57"/>
      <c r="L2155" s="11"/>
      <c r="M2155" s="41"/>
      <c r="N2155" s="11"/>
    </row>
    <row r="2156" spans="8:14" x14ac:dyDescent="0.25">
      <c r="H2156" s="37"/>
      <c r="I2156" s="79"/>
      <c r="J2156" s="70"/>
      <c r="K2156" s="57"/>
      <c r="L2156" s="11"/>
      <c r="M2156" s="41"/>
      <c r="N2156" s="11"/>
    </row>
    <row r="2157" spans="8:14" x14ac:dyDescent="0.25">
      <c r="H2157" s="37"/>
      <c r="I2157" s="79"/>
      <c r="J2157" s="70"/>
      <c r="K2157" s="57"/>
      <c r="L2157" s="11"/>
      <c r="M2157" s="41"/>
      <c r="N2157" s="11"/>
    </row>
    <row r="2158" spans="8:14" x14ac:dyDescent="0.25">
      <c r="H2158" s="37"/>
      <c r="I2158" s="79"/>
      <c r="J2158" s="70"/>
      <c r="K2158" s="57"/>
      <c r="L2158" s="11"/>
      <c r="M2158" s="41"/>
      <c r="N2158" s="11"/>
    </row>
    <row r="2159" spans="8:14" x14ac:dyDescent="0.25">
      <c r="H2159" s="37"/>
      <c r="I2159" s="79"/>
      <c r="J2159" s="70"/>
      <c r="K2159" s="57"/>
      <c r="L2159" s="11"/>
      <c r="M2159" s="41"/>
      <c r="N2159" s="11"/>
    </row>
    <row r="2160" spans="8:14" x14ac:dyDescent="0.25">
      <c r="H2160" s="37"/>
      <c r="I2160" s="79"/>
      <c r="J2160" s="70"/>
      <c r="K2160" s="57"/>
      <c r="L2160" s="11"/>
      <c r="M2160" s="41"/>
      <c r="N2160" s="11"/>
    </row>
    <row r="2161" spans="8:14" x14ac:dyDescent="0.25">
      <c r="H2161" s="37"/>
      <c r="I2161" s="79"/>
      <c r="J2161" s="70"/>
      <c r="K2161" s="57"/>
      <c r="L2161" s="11"/>
      <c r="M2161" s="41"/>
      <c r="N2161" s="11"/>
    </row>
    <row r="2162" spans="8:14" x14ac:dyDescent="0.25">
      <c r="H2162" s="37"/>
      <c r="I2162" s="79"/>
      <c r="J2162" s="70"/>
      <c r="K2162" s="57"/>
      <c r="L2162" s="11"/>
      <c r="M2162" s="41"/>
      <c r="N2162" s="11"/>
    </row>
    <row r="2163" spans="8:14" x14ac:dyDescent="0.25">
      <c r="H2163" s="37"/>
      <c r="I2163" s="79"/>
      <c r="J2163" s="70"/>
      <c r="K2163" s="57"/>
      <c r="L2163" s="11"/>
      <c r="M2163" s="41"/>
      <c r="N2163" s="11"/>
    </row>
    <row r="2164" spans="8:14" x14ac:dyDescent="0.25">
      <c r="H2164" s="37"/>
      <c r="I2164" s="79"/>
      <c r="J2164" s="70"/>
      <c r="K2164" s="57"/>
      <c r="L2164" s="11"/>
      <c r="M2164" s="41"/>
      <c r="N2164" s="11"/>
    </row>
    <row r="2165" spans="8:14" x14ac:dyDescent="0.25">
      <c r="H2165" s="37"/>
      <c r="I2165" s="79"/>
      <c r="J2165" s="70"/>
      <c r="K2165" s="57"/>
      <c r="L2165" s="11"/>
      <c r="M2165" s="41"/>
      <c r="N2165" s="11"/>
    </row>
    <row r="2166" spans="8:14" x14ac:dyDescent="0.25">
      <c r="H2166" s="37"/>
      <c r="I2166" s="79"/>
      <c r="J2166" s="70"/>
      <c r="K2166" s="57"/>
      <c r="L2166" s="11"/>
      <c r="M2166" s="41"/>
      <c r="N2166" s="11"/>
    </row>
    <row r="2167" spans="8:14" x14ac:dyDescent="0.25">
      <c r="H2167" s="37"/>
      <c r="I2167" s="79"/>
      <c r="J2167" s="70"/>
      <c r="K2167" s="57"/>
      <c r="L2167" s="11"/>
      <c r="M2167" s="41"/>
      <c r="N2167" s="11"/>
    </row>
    <row r="2168" spans="8:14" x14ac:dyDescent="0.25">
      <c r="H2168" s="37"/>
      <c r="I2168" s="79"/>
      <c r="J2168" s="70"/>
      <c r="K2168" s="57"/>
      <c r="L2168" s="11"/>
      <c r="M2168" s="41"/>
      <c r="N2168" s="11"/>
    </row>
    <row r="2169" spans="8:14" x14ac:dyDescent="0.25">
      <c r="H2169" s="37"/>
      <c r="I2169" s="79"/>
      <c r="J2169" s="70"/>
      <c r="K2169" s="57"/>
      <c r="L2169" s="11"/>
      <c r="M2169" s="41"/>
      <c r="N2169" s="11"/>
    </row>
    <row r="2170" spans="8:14" x14ac:dyDescent="0.25">
      <c r="H2170" s="37"/>
      <c r="I2170" s="79"/>
      <c r="J2170" s="70"/>
      <c r="K2170" s="57"/>
      <c r="L2170" s="11"/>
      <c r="M2170" s="41"/>
      <c r="N2170" s="11"/>
    </row>
    <row r="2171" spans="8:14" x14ac:dyDescent="0.25">
      <c r="H2171" s="37"/>
      <c r="I2171" s="79"/>
      <c r="J2171" s="70"/>
      <c r="K2171" s="57"/>
      <c r="L2171" s="11"/>
      <c r="M2171" s="41"/>
      <c r="N2171" s="11"/>
    </row>
    <row r="2172" spans="8:14" x14ac:dyDescent="0.25">
      <c r="H2172" s="37"/>
      <c r="I2172" s="79"/>
      <c r="J2172" s="70"/>
      <c r="K2172" s="57"/>
      <c r="L2172" s="11"/>
      <c r="M2172" s="41"/>
      <c r="N2172" s="11"/>
    </row>
    <row r="2173" spans="8:14" x14ac:dyDescent="0.25">
      <c r="H2173" s="37"/>
      <c r="I2173" s="79"/>
      <c r="J2173" s="70"/>
      <c r="K2173" s="57"/>
      <c r="L2173" s="11"/>
      <c r="M2173" s="41"/>
      <c r="N2173" s="11"/>
    </row>
    <row r="2174" spans="8:14" x14ac:dyDescent="0.25">
      <c r="H2174" s="37"/>
      <c r="I2174" s="79"/>
      <c r="J2174" s="70"/>
      <c r="K2174" s="57"/>
      <c r="L2174" s="11"/>
      <c r="M2174" s="41"/>
      <c r="N2174" s="11"/>
    </row>
    <row r="2175" spans="8:14" x14ac:dyDescent="0.25">
      <c r="H2175" s="37"/>
      <c r="I2175" s="79"/>
      <c r="J2175" s="70"/>
      <c r="K2175" s="57"/>
      <c r="L2175" s="11"/>
      <c r="M2175" s="41"/>
      <c r="N2175" s="11"/>
    </row>
    <row r="2176" spans="8:14" x14ac:dyDescent="0.25">
      <c r="H2176" s="37"/>
      <c r="I2176" s="79"/>
      <c r="J2176" s="70"/>
      <c r="K2176" s="57"/>
      <c r="L2176" s="11"/>
      <c r="M2176" s="41"/>
      <c r="N2176" s="11"/>
    </row>
    <row r="2177" spans="8:14" x14ac:dyDescent="0.25">
      <c r="H2177" s="37"/>
      <c r="I2177" s="79"/>
      <c r="J2177" s="70"/>
      <c r="K2177" s="57"/>
      <c r="L2177" s="11"/>
      <c r="M2177" s="41"/>
      <c r="N2177" s="11"/>
    </row>
    <row r="2178" spans="8:14" x14ac:dyDescent="0.25">
      <c r="H2178" s="37"/>
      <c r="I2178" s="79"/>
      <c r="J2178" s="70"/>
      <c r="K2178" s="57"/>
      <c r="L2178" s="11"/>
      <c r="M2178" s="41"/>
      <c r="N2178" s="11"/>
    </row>
    <row r="2179" spans="8:14" x14ac:dyDescent="0.25">
      <c r="H2179" s="37"/>
      <c r="I2179" s="79"/>
      <c r="J2179" s="70"/>
      <c r="K2179" s="57"/>
      <c r="L2179" s="11"/>
      <c r="M2179" s="41"/>
      <c r="N2179" s="11"/>
    </row>
    <row r="2180" spans="8:14" x14ac:dyDescent="0.25">
      <c r="H2180" s="37"/>
      <c r="I2180" s="79"/>
      <c r="J2180" s="70"/>
      <c r="K2180" s="57"/>
      <c r="L2180" s="11"/>
      <c r="M2180" s="41"/>
      <c r="N2180" s="11"/>
    </row>
    <row r="2181" spans="8:14" x14ac:dyDescent="0.25">
      <c r="H2181" s="37"/>
      <c r="I2181" s="79"/>
      <c r="J2181" s="70"/>
      <c r="K2181" s="57"/>
      <c r="L2181" s="11"/>
      <c r="M2181" s="41"/>
      <c r="N2181" s="11"/>
    </row>
    <row r="2182" spans="8:14" x14ac:dyDescent="0.25">
      <c r="H2182" s="37"/>
      <c r="I2182" s="79"/>
      <c r="J2182" s="70"/>
      <c r="K2182" s="57"/>
      <c r="L2182" s="11"/>
      <c r="M2182" s="41"/>
      <c r="N2182" s="11"/>
    </row>
    <row r="2183" spans="8:14" x14ac:dyDescent="0.25">
      <c r="H2183" s="37"/>
      <c r="I2183" s="79"/>
      <c r="J2183" s="70"/>
      <c r="K2183" s="57"/>
      <c r="L2183" s="11"/>
      <c r="M2183" s="41"/>
      <c r="N2183" s="11"/>
    </row>
    <row r="2184" spans="8:14" x14ac:dyDescent="0.25">
      <c r="H2184" s="37"/>
      <c r="I2184" s="79"/>
      <c r="J2184" s="70"/>
      <c r="K2184" s="57"/>
      <c r="L2184" s="11"/>
      <c r="M2184" s="41"/>
      <c r="N2184" s="11"/>
    </row>
    <row r="2185" spans="8:14" x14ac:dyDescent="0.25">
      <c r="H2185" s="37"/>
      <c r="I2185" s="79"/>
      <c r="J2185" s="70"/>
      <c r="K2185" s="57"/>
      <c r="L2185" s="11"/>
      <c r="M2185" s="41"/>
      <c r="N2185" s="11"/>
    </row>
    <row r="2186" spans="8:14" x14ac:dyDescent="0.25">
      <c r="H2186" s="37"/>
      <c r="I2186" s="79"/>
      <c r="J2186" s="70"/>
      <c r="K2186" s="57"/>
      <c r="L2186" s="11"/>
      <c r="M2186" s="41"/>
      <c r="N2186" s="11"/>
    </row>
    <row r="2187" spans="8:14" x14ac:dyDescent="0.25">
      <c r="H2187" s="37"/>
      <c r="I2187" s="79"/>
      <c r="J2187" s="70"/>
      <c r="K2187" s="57"/>
      <c r="L2187" s="11"/>
      <c r="M2187" s="41"/>
      <c r="N2187" s="11"/>
    </row>
    <row r="2188" spans="8:14" x14ac:dyDescent="0.25">
      <c r="H2188" s="37"/>
      <c r="I2188" s="79"/>
      <c r="J2188" s="70"/>
      <c r="K2188" s="57"/>
      <c r="L2188" s="11"/>
      <c r="M2188" s="41"/>
      <c r="N2188" s="11"/>
    </row>
    <row r="2189" spans="8:14" x14ac:dyDescent="0.25">
      <c r="H2189" s="37"/>
      <c r="I2189" s="79"/>
      <c r="J2189" s="70"/>
      <c r="K2189" s="57"/>
      <c r="L2189" s="11"/>
      <c r="M2189" s="41"/>
      <c r="N2189" s="11"/>
    </row>
    <row r="2190" spans="8:14" x14ac:dyDescent="0.25">
      <c r="H2190" s="37"/>
      <c r="I2190" s="79"/>
      <c r="J2190" s="70"/>
      <c r="K2190" s="57"/>
      <c r="L2190" s="11"/>
      <c r="M2190" s="41"/>
      <c r="N2190" s="11"/>
    </row>
    <row r="2191" spans="8:14" x14ac:dyDescent="0.25">
      <c r="H2191" s="37"/>
      <c r="I2191" s="79"/>
      <c r="J2191" s="70"/>
      <c r="K2191" s="57"/>
      <c r="L2191" s="11"/>
      <c r="M2191" s="41"/>
      <c r="N2191" s="11"/>
    </row>
    <row r="2192" spans="8:14" x14ac:dyDescent="0.25">
      <c r="H2192" s="37"/>
      <c r="I2192" s="79"/>
      <c r="J2192" s="70"/>
      <c r="K2192" s="57"/>
      <c r="L2192" s="11"/>
      <c r="M2192" s="41"/>
      <c r="N2192" s="11"/>
    </row>
    <row r="2193" spans="8:14" x14ac:dyDescent="0.25">
      <c r="H2193" s="37"/>
      <c r="I2193" s="79"/>
      <c r="J2193" s="70"/>
      <c r="K2193" s="57"/>
      <c r="L2193" s="11"/>
      <c r="M2193" s="41"/>
      <c r="N2193" s="11"/>
    </row>
    <row r="2194" spans="8:14" x14ac:dyDescent="0.25">
      <c r="H2194" s="37"/>
      <c r="I2194" s="79"/>
      <c r="J2194" s="70"/>
      <c r="K2194" s="57"/>
      <c r="L2194" s="11"/>
      <c r="M2194" s="41"/>
      <c r="N2194" s="11"/>
    </row>
    <row r="2195" spans="8:14" x14ac:dyDescent="0.25">
      <c r="H2195" s="37"/>
      <c r="I2195" s="79"/>
      <c r="J2195" s="70"/>
      <c r="K2195" s="57"/>
      <c r="L2195" s="11"/>
      <c r="M2195" s="41"/>
      <c r="N2195" s="11"/>
    </row>
    <row r="2196" spans="8:14" x14ac:dyDescent="0.25">
      <c r="H2196" s="37"/>
      <c r="I2196" s="79"/>
      <c r="J2196" s="70"/>
      <c r="K2196" s="57"/>
      <c r="L2196" s="11"/>
      <c r="M2196" s="41"/>
      <c r="N2196" s="11"/>
    </row>
    <row r="2197" spans="8:14" x14ac:dyDescent="0.25">
      <c r="H2197" s="37"/>
      <c r="I2197" s="79"/>
      <c r="J2197" s="70"/>
      <c r="K2197" s="57"/>
      <c r="L2197" s="11"/>
      <c r="M2197" s="41"/>
      <c r="N2197" s="11"/>
    </row>
    <row r="2198" spans="8:14" x14ac:dyDescent="0.25">
      <c r="H2198" s="37"/>
      <c r="I2198" s="79"/>
      <c r="J2198" s="70"/>
      <c r="K2198" s="57"/>
      <c r="L2198" s="11"/>
      <c r="M2198" s="41"/>
      <c r="N2198" s="11"/>
    </row>
    <row r="2199" spans="8:14" x14ac:dyDescent="0.25">
      <c r="H2199" s="37"/>
      <c r="I2199" s="79"/>
      <c r="J2199" s="70"/>
      <c r="K2199" s="57"/>
      <c r="L2199" s="11"/>
      <c r="M2199" s="41"/>
      <c r="N2199" s="11"/>
    </row>
    <row r="2200" spans="8:14" x14ac:dyDescent="0.25">
      <c r="H2200" s="37"/>
      <c r="I2200" s="79"/>
      <c r="J2200" s="70"/>
      <c r="K2200" s="57"/>
      <c r="L2200" s="11"/>
      <c r="M2200" s="41"/>
      <c r="N2200" s="11"/>
    </row>
    <row r="2201" spans="8:14" x14ac:dyDescent="0.25">
      <c r="H2201" s="37"/>
      <c r="I2201" s="79"/>
      <c r="J2201" s="70"/>
      <c r="K2201" s="57"/>
      <c r="L2201" s="11"/>
      <c r="M2201" s="41"/>
      <c r="N2201" s="11"/>
    </row>
    <row r="2202" spans="8:14" x14ac:dyDescent="0.25">
      <c r="H2202" s="37"/>
      <c r="I2202" s="79"/>
      <c r="J2202" s="70"/>
      <c r="K2202" s="57"/>
      <c r="L2202" s="11"/>
      <c r="M2202" s="41"/>
      <c r="N2202" s="11"/>
    </row>
    <row r="2203" spans="8:14" x14ac:dyDescent="0.25">
      <c r="H2203" s="37"/>
      <c r="I2203" s="79"/>
      <c r="J2203" s="70"/>
      <c r="K2203" s="57"/>
      <c r="L2203" s="11"/>
      <c r="M2203" s="41"/>
      <c r="N2203" s="11"/>
    </row>
    <row r="2204" spans="8:14" x14ac:dyDescent="0.25">
      <c r="H2204" s="37"/>
      <c r="I2204" s="79"/>
      <c r="J2204" s="70"/>
      <c r="K2204" s="57"/>
      <c r="L2204" s="11"/>
      <c r="M2204" s="41"/>
      <c r="N2204" s="11"/>
    </row>
    <row r="2205" spans="8:14" x14ac:dyDescent="0.25">
      <c r="H2205" s="37"/>
      <c r="I2205" s="79"/>
      <c r="J2205" s="70"/>
      <c r="K2205" s="57"/>
      <c r="L2205" s="11"/>
      <c r="M2205" s="41"/>
      <c r="N2205" s="11"/>
    </row>
    <row r="2206" spans="8:14" x14ac:dyDescent="0.25">
      <c r="H2206" s="37"/>
      <c r="I2206" s="79"/>
      <c r="J2206" s="70"/>
      <c r="K2206" s="57"/>
      <c r="L2206" s="11"/>
      <c r="M2206" s="41"/>
      <c r="N2206" s="11"/>
    </row>
    <row r="2207" spans="8:14" x14ac:dyDescent="0.25">
      <c r="H2207" s="37"/>
      <c r="I2207" s="79"/>
      <c r="J2207" s="70"/>
      <c r="K2207" s="57"/>
      <c r="L2207" s="11"/>
      <c r="M2207" s="41"/>
      <c r="N2207" s="11"/>
    </row>
    <row r="2208" spans="8:14" x14ac:dyDescent="0.25">
      <c r="H2208" s="37"/>
      <c r="I2208" s="79"/>
      <c r="J2208" s="70"/>
      <c r="K2208" s="57"/>
      <c r="L2208" s="11"/>
      <c r="M2208" s="41"/>
      <c r="N2208" s="11"/>
    </row>
    <row r="2209" spans="8:14" x14ac:dyDescent="0.25">
      <c r="H2209" s="37"/>
      <c r="I2209" s="79"/>
      <c r="J2209" s="70"/>
      <c r="K2209" s="57"/>
      <c r="L2209" s="11"/>
      <c r="M2209" s="41"/>
      <c r="N2209" s="11"/>
    </row>
    <row r="2210" spans="8:14" x14ac:dyDescent="0.25">
      <c r="H2210" s="37"/>
      <c r="I2210" s="79"/>
      <c r="J2210" s="70"/>
      <c r="K2210" s="57"/>
      <c r="L2210" s="11"/>
      <c r="M2210" s="41"/>
      <c r="N2210" s="11"/>
    </row>
    <row r="2211" spans="8:14" x14ac:dyDescent="0.25">
      <c r="H2211" s="37"/>
      <c r="I2211" s="79"/>
      <c r="J2211" s="70"/>
      <c r="K2211" s="57"/>
      <c r="L2211" s="11"/>
      <c r="M2211" s="41"/>
      <c r="N2211" s="11"/>
    </row>
    <row r="2212" spans="8:14" x14ac:dyDescent="0.25">
      <c r="H2212" s="37"/>
      <c r="I2212" s="79"/>
      <c r="J2212" s="70"/>
      <c r="K2212" s="57"/>
      <c r="L2212" s="11"/>
      <c r="M2212" s="41"/>
      <c r="N2212" s="11"/>
    </row>
    <row r="2213" spans="8:14" x14ac:dyDescent="0.25">
      <c r="H2213" s="37"/>
      <c r="I2213" s="79"/>
      <c r="J2213" s="70"/>
      <c r="K2213" s="57"/>
      <c r="L2213" s="11"/>
      <c r="M2213" s="41"/>
      <c r="N2213" s="11"/>
    </row>
    <row r="2214" spans="8:14" x14ac:dyDescent="0.25">
      <c r="H2214" s="37"/>
      <c r="I2214" s="79"/>
      <c r="J2214" s="70"/>
      <c r="K2214" s="57"/>
      <c r="L2214" s="11"/>
      <c r="M2214" s="41"/>
      <c r="N2214" s="11"/>
    </row>
    <row r="2215" spans="8:14" x14ac:dyDescent="0.25">
      <c r="H2215" s="37"/>
      <c r="I2215" s="79"/>
      <c r="J2215" s="70"/>
      <c r="K2215" s="57"/>
      <c r="L2215" s="11"/>
      <c r="M2215" s="41"/>
      <c r="N2215" s="11"/>
    </row>
    <row r="2216" spans="8:14" x14ac:dyDescent="0.25">
      <c r="H2216" s="37"/>
      <c r="I2216" s="79"/>
      <c r="J2216" s="70"/>
      <c r="K2216" s="57"/>
      <c r="L2216" s="11"/>
      <c r="M2216" s="41"/>
      <c r="N2216" s="11"/>
    </row>
    <row r="2217" spans="8:14" x14ac:dyDescent="0.25">
      <c r="H2217" s="37"/>
      <c r="I2217" s="79"/>
      <c r="J2217" s="70"/>
      <c r="K2217" s="57"/>
      <c r="L2217" s="11"/>
      <c r="M2217" s="41"/>
      <c r="N2217" s="11"/>
    </row>
    <row r="2218" spans="8:14" x14ac:dyDescent="0.25">
      <c r="H2218" s="37"/>
      <c r="I2218" s="79"/>
      <c r="J2218" s="70"/>
      <c r="K2218" s="57"/>
      <c r="L2218" s="11"/>
      <c r="M2218" s="41"/>
      <c r="N2218" s="11"/>
    </row>
    <row r="2219" spans="8:14" x14ac:dyDescent="0.25">
      <c r="H2219" s="37"/>
      <c r="I2219" s="79"/>
      <c r="J2219" s="70"/>
      <c r="K2219" s="57"/>
      <c r="L2219" s="11"/>
      <c r="M2219" s="41"/>
      <c r="N2219" s="11"/>
    </row>
    <row r="2220" spans="8:14" x14ac:dyDescent="0.25">
      <c r="H2220" s="37"/>
      <c r="I2220" s="79"/>
      <c r="J2220" s="70"/>
      <c r="K2220" s="57"/>
      <c r="L2220" s="11"/>
      <c r="M2220" s="41"/>
      <c r="N2220" s="11"/>
    </row>
    <row r="2221" spans="8:14" x14ac:dyDescent="0.25">
      <c r="H2221" s="37"/>
      <c r="I2221" s="79"/>
      <c r="J2221" s="70"/>
      <c r="K2221" s="57"/>
      <c r="L2221" s="11"/>
      <c r="M2221" s="41"/>
      <c r="N2221" s="11"/>
    </row>
    <row r="2222" spans="8:14" x14ac:dyDescent="0.25">
      <c r="H2222" s="37"/>
      <c r="I2222" s="79"/>
      <c r="J2222" s="70"/>
      <c r="K2222" s="57"/>
      <c r="L2222" s="11"/>
      <c r="M2222" s="41"/>
      <c r="N2222" s="11"/>
    </row>
    <row r="2223" spans="8:14" x14ac:dyDescent="0.25">
      <c r="H2223" s="37"/>
      <c r="I2223" s="79"/>
      <c r="J2223" s="70"/>
      <c r="K2223" s="57"/>
      <c r="L2223" s="11"/>
      <c r="M2223" s="41"/>
      <c r="N2223" s="11"/>
    </row>
    <row r="2224" spans="8:14" x14ac:dyDescent="0.25">
      <c r="H2224" s="37"/>
      <c r="I2224" s="79"/>
      <c r="J2224" s="70"/>
      <c r="K2224" s="57"/>
      <c r="L2224" s="11"/>
      <c r="M2224" s="41"/>
      <c r="N2224" s="11"/>
    </row>
    <row r="2225" spans="8:14" x14ac:dyDescent="0.25">
      <c r="H2225" s="37"/>
      <c r="I2225" s="79"/>
      <c r="J2225" s="70"/>
      <c r="K2225" s="57"/>
      <c r="L2225" s="11"/>
      <c r="M2225" s="41"/>
      <c r="N2225" s="11"/>
    </row>
    <row r="2226" spans="8:14" x14ac:dyDescent="0.25">
      <c r="H2226" s="37"/>
      <c r="I2226" s="79"/>
      <c r="J2226" s="70"/>
      <c r="K2226" s="57"/>
      <c r="L2226" s="11"/>
      <c r="M2226" s="41"/>
      <c r="N2226" s="11"/>
    </row>
    <row r="2227" spans="8:14" x14ac:dyDescent="0.25">
      <c r="H2227" s="37"/>
      <c r="I2227" s="79"/>
      <c r="J2227" s="70"/>
      <c r="K2227" s="57"/>
      <c r="L2227" s="11"/>
      <c r="M2227" s="41"/>
      <c r="N2227" s="11"/>
    </row>
    <row r="2228" spans="8:14" x14ac:dyDescent="0.25">
      <c r="H2228" s="37"/>
      <c r="I2228" s="79"/>
      <c r="J2228" s="70"/>
      <c r="K2228" s="57"/>
      <c r="L2228" s="11"/>
      <c r="M2228" s="41"/>
      <c r="N2228" s="11"/>
    </row>
    <row r="2229" spans="8:14" x14ac:dyDescent="0.25">
      <c r="H2229" s="37"/>
      <c r="I2229" s="79"/>
      <c r="J2229" s="70"/>
      <c r="K2229" s="57"/>
      <c r="L2229" s="11"/>
      <c r="M2229" s="41"/>
      <c r="N2229" s="11"/>
    </row>
    <row r="2230" spans="8:14" x14ac:dyDescent="0.25">
      <c r="H2230" s="37"/>
      <c r="I2230" s="79"/>
      <c r="J2230" s="70"/>
      <c r="K2230" s="57"/>
      <c r="L2230" s="11"/>
      <c r="M2230" s="41"/>
      <c r="N2230" s="11"/>
    </row>
    <row r="2231" spans="8:14" x14ac:dyDescent="0.25">
      <c r="H2231" s="37"/>
      <c r="I2231" s="79"/>
      <c r="J2231" s="70"/>
      <c r="K2231" s="57"/>
      <c r="L2231" s="11"/>
      <c r="M2231" s="41"/>
      <c r="N2231" s="11"/>
    </row>
    <row r="2232" spans="8:14" x14ac:dyDescent="0.25">
      <c r="H2232" s="37"/>
      <c r="I2232" s="79"/>
      <c r="J2232" s="70"/>
      <c r="K2232" s="57"/>
      <c r="L2232" s="11"/>
      <c r="M2232" s="41"/>
      <c r="N2232" s="11"/>
    </row>
    <row r="2233" spans="8:14" x14ac:dyDescent="0.25">
      <c r="H2233" s="37"/>
      <c r="I2233" s="79"/>
      <c r="J2233" s="70"/>
      <c r="K2233" s="57"/>
      <c r="L2233" s="11"/>
      <c r="M2233" s="41"/>
      <c r="N2233" s="11"/>
    </row>
    <row r="2234" spans="8:14" x14ac:dyDescent="0.25">
      <c r="H2234" s="37"/>
      <c r="I2234" s="79"/>
      <c r="J2234" s="70"/>
      <c r="K2234" s="57"/>
      <c r="L2234" s="11"/>
      <c r="M2234" s="41"/>
      <c r="N2234" s="11"/>
    </row>
    <row r="2235" spans="8:14" x14ac:dyDescent="0.25">
      <c r="H2235" s="37"/>
      <c r="I2235" s="79"/>
      <c r="J2235" s="70"/>
      <c r="K2235" s="57"/>
      <c r="L2235" s="11"/>
      <c r="M2235" s="41"/>
      <c r="N2235" s="11"/>
    </row>
    <row r="2236" spans="8:14" x14ac:dyDescent="0.25">
      <c r="H2236" s="37"/>
      <c r="I2236" s="79"/>
      <c r="J2236" s="70"/>
      <c r="K2236" s="57"/>
      <c r="L2236" s="11"/>
      <c r="M2236" s="41"/>
      <c r="N2236" s="11"/>
    </row>
    <row r="2237" spans="8:14" x14ac:dyDescent="0.25">
      <c r="H2237" s="37"/>
      <c r="I2237" s="79"/>
      <c r="J2237" s="70"/>
      <c r="K2237" s="57"/>
      <c r="L2237" s="11"/>
      <c r="M2237" s="41"/>
      <c r="N2237" s="11"/>
    </row>
    <row r="2238" spans="8:14" x14ac:dyDescent="0.25">
      <c r="H2238" s="37"/>
      <c r="I2238" s="79"/>
      <c r="J2238" s="70"/>
      <c r="K2238" s="57"/>
      <c r="L2238" s="11"/>
      <c r="M2238" s="41"/>
      <c r="N2238" s="11"/>
    </row>
    <row r="2239" spans="8:14" x14ac:dyDescent="0.25">
      <c r="H2239" s="37"/>
      <c r="I2239" s="79"/>
      <c r="J2239" s="70"/>
      <c r="K2239" s="57"/>
      <c r="L2239" s="11"/>
      <c r="M2239" s="41"/>
      <c r="N2239" s="11"/>
    </row>
    <row r="2240" spans="8:14" x14ac:dyDescent="0.25">
      <c r="H2240" s="37"/>
      <c r="I2240" s="79"/>
      <c r="J2240" s="70"/>
      <c r="K2240" s="57"/>
      <c r="L2240" s="11"/>
      <c r="M2240" s="41"/>
      <c r="N2240" s="11"/>
    </row>
    <row r="2241" spans="8:14" x14ac:dyDescent="0.25">
      <c r="H2241" s="37"/>
      <c r="I2241" s="79"/>
      <c r="J2241" s="70"/>
      <c r="K2241" s="57"/>
      <c r="L2241" s="11"/>
      <c r="M2241" s="41"/>
      <c r="N2241" s="11"/>
    </row>
    <row r="2242" spans="8:14" x14ac:dyDescent="0.25">
      <c r="H2242" s="37"/>
      <c r="I2242" s="79"/>
      <c r="J2242" s="70"/>
      <c r="K2242" s="57"/>
      <c r="L2242" s="11"/>
      <c r="M2242" s="41"/>
      <c r="N2242" s="11"/>
    </row>
    <row r="2243" spans="8:14" x14ac:dyDescent="0.25">
      <c r="H2243" s="37"/>
      <c r="I2243" s="79"/>
      <c r="J2243" s="70"/>
      <c r="K2243" s="57"/>
      <c r="L2243" s="11"/>
      <c r="M2243" s="41"/>
      <c r="N2243" s="11"/>
    </row>
    <row r="2244" spans="8:14" x14ac:dyDescent="0.25">
      <c r="H2244" s="37"/>
      <c r="I2244" s="79"/>
      <c r="J2244" s="70"/>
      <c r="K2244" s="57"/>
      <c r="L2244" s="11"/>
      <c r="M2244" s="41"/>
      <c r="N2244" s="11"/>
    </row>
    <row r="2245" spans="8:14" x14ac:dyDescent="0.25">
      <c r="H2245" s="37"/>
      <c r="I2245" s="79"/>
      <c r="J2245" s="70"/>
      <c r="K2245" s="57"/>
      <c r="L2245" s="11"/>
      <c r="M2245" s="41"/>
      <c r="N2245" s="11"/>
    </row>
    <row r="2246" spans="8:14" x14ac:dyDescent="0.25">
      <c r="H2246" s="37"/>
      <c r="I2246" s="79"/>
      <c r="J2246" s="70"/>
      <c r="K2246" s="57"/>
      <c r="L2246" s="11"/>
      <c r="M2246" s="41"/>
      <c r="N2246" s="11"/>
    </row>
    <row r="2247" spans="8:14" x14ac:dyDescent="0.25">
      <c r="H2247" s="37"/>
      <c r="I2247" s="79"/>
      <c r="J2247" s="70"/>
      <c r="K2247" s="57"/>
      <c r="L2247" s="11"/>
      <c r="M2247" s="41"/>
      <c r="N2247" s="11"/>
    </row>
    <row r="2248" spans="8:14" x14ac:dyDescent="0.25">
      <c r="H2248" s="37"/>
      <c r="I2248" s="79"/>
      <c r="J2248" s="70"/>
      <c r="K2248" s="57"/>
      <c r="L2248" s="11"/>
      <c r="M2248" s="41"/>
      <c r="N2248" s="11"/>
    </row>
    <row r="2249" spans="8:14" x14ac:dyDescent="0.25">
      <c r="H2249" s="37"/>
      <c r="I2249" s="79"/>
      <c r="J2249" s="70"/>
      <c r="K2249" s="57"/>
      <c r="L2249" s="11"/>
      <c r="M2249" s="41"/>
      <c r="N2249" s="11"/>
    </row>
    <row r="2250" spans="8:14" x14ac:dyDescent="0.25">
      <c r="H2250" s="37"/>
      <c r="I2250" s="79"/>
      <c r="J2250" s="70"/>
      <c r="K2250" s="57"/>
      <c r="L2250" s="11"/>
      <c r="M2250" s="41"/>
      <c r="N2250" s="11"/>
    </row>
    <row r="2251" spans="8:14" x14ac:dyDescent="0.25">
      <c r="H2251" s="37"/>
      <c r="I2251" s="79"/>
      <c r="J2251" s="70"/>
      <c r="K2251" s="57"/>
      <c r="L2251" s="11"/>
      <c r="M2251" s="41"/>
      <c r="N2251" s="11"/>
    </row>
    <row r="2252" spans="8:14" x14ac:dyDescent="0.25">
      <c r="H2252" s="37"/>
      <c r="I2252" s="79"/>
      <c r="J2252" s="70"/>
      <c r="K2252" s="57"/>
      <c r="L2252" s="11"/>
      <c r="M2252" s="41"/>
      <c r="N2252" s="11"/>
    </row>
    <row r="2253" spans="8:14" x14ac:dyDescent="0.25">
      <c r="H2253" s="37"/>
      <c r="I2253" s="79"/>
      <c r="J2253" s="70"/>
      <c r="K2253" s="57"/>
      <c r="L2253" s="11"/>
      <c r="M2253" s="41"/>
      <c r="N2253" s="11"/>
    </row>
    <row r="2254" spans="8:14" x14ac:dyDescent="0.25">
      <c r="H2254" s="37"/>
      <c r="I2254" s="79"/>
      <c r="J2254" s="70"/>
      <c r="K2254" s="57"/>
      <c r="L2254" s="11"/>
      <c r="M2254" s="41"/>
      <c r="N2254" s="11"/>
    </row>
    <row r="2255" spans="8:14" x14ac:dyDescent="0.25">
      <c r="H2255" s="37"/>
      <c r="I2255" s="79"/>
      <c r="J2255" s="70"/>
      <c r="K2255" s="57"/>
      <c r="L2255" s="11"/>
      <c r="M2255" s="41"/>
      <c r="N2255" s="11"/>
    </row>
    <row r="2256" spans="8:14" x14ac:dyDescent="0.25">
      <c r="H2256" s="37"/>
      <c r="I2256" s="79"/>
      <c r="J2256" s="70"/>
      <c r="K2256" s="57"/>
      <c r="L2256" s="11"/>
      <c r="M2256" s="41"/>
      <c r="N2256" s="11"/>
    </row>
    <row r="2257" spans="8:14" x14ac:dyDescent="0.25">
      <c r="H2257" s="37"/>
      <c r="I2257" s="79"/>
      <c r="J2257" s="70"/>
      <c r="K2257" s="57"/>
      <c r="L2257" s="11"/>
      <c r="M2257" s="41"/>
      <c r="N2257" s="11"/>
    </row>
    <row r="2258" spans="8:14" x14ac:dyDescent="0.25">
      <c r="H2258" s="37"/>
      <c r="I2258" s="79"/>
      <c r="J2258" s="70"/>
      <c r="K2258" s="57"/>
      <c r="L2258" s="11"/>
      <c r="M2258" s="41"/>
      <c r="N2258" s="11"/>
    </row>
    <row r="2259" spans="8:14" x14ac:dyDescent="0.25">
      <c r="H2259" s="37"/>
      <c r="I2259" s="79"/>
      <c r="J2259" s="70"/>
      <c r="K2259" s="57"/>
      <c r="L2259" s="11"/>
      <c r="M2259" s="41"/>
      <c r="N2259" s="11"/>
    </row>
    <row r="2260" spans="8:14" x14ac:dyDescent="0.25">
      <c r="H2260" s="37"/>
      <c r="I2260" s="79"/>
      <c r="J2260" s="70"/>
      <c r="K2260" s="57"/>
      <c r="L2260" s="11"/>
      <c r="M2260" s="41"/>
      <c r="N2260" s="11"/>
    </row>
    <row r="2261" spans="8:14" x14ac:dyDescent="0.25">
      <c r="H2261" s="37"/>
      <c r="I2261" s="79"/>
      <c r="J2261" s="70"/>
      <c r="K2261" s="57"/>
      <c r="L2261" s="11"/>
      <c r="M2261" s="41"/>
      <c r="N2261" s="11"/>
    </row>
    <row r="2262" spans="8:14" x14ac:dyDescent="0.25">
      <c r="H2262" s="37"/>
      <c r="I2262" s="79"/>
      <c r="J2262" s="70"/>
      <c r="K2262" s="57"/>
      <c r="L2262" s="11"/>
      <c r="M2262" s="41"/>
      <c r="N2262" s="11"/>
    </row>
    <row r="2263" spans="8:14" x14ac:dyDescent="0.25">
      <c r="H2263" s="37"/>
      <c r="I2263" s="79"/>
      <c r="J2263" s="70"/>
      <c r="K2263" s="57"/>
      <c r="L2263" s="11"/>
      <c r="M2263" s="41"/>
      <c r="N2263" s="11"/>
    </row>
    <row r="2264" spans="8:14" x14ac:dyDescent="0.25">
      <c r="H2264" s="37"/>
      <c r="I2264" s="79"/>
      <c r="J2264" s="70"/>
      <c r="K2264" s="57"/>
      <c r="L2264" s="11"/>
      <c r="M2264" s="41"/>
      <c r="N2264" s="11"/>
    </row>
    <row r="2265" spans="8:14" x14ac:dyDescent="0.25">
      <c r="H2265" s="37"/>
      <c r="I2265" s="79"/>
      <c r="J2265" s="70"/>
      <c r="K2265" s="57"/>
      <c r="L2265" s="11"/>
      <c r="M2265" s="41"/>
      <c r="N2265" s="11"/>
    </row>
    <row r="2266" spans="8:14" x14ac:dyDescent="0.25">
      <c r="H2266" s="37"/>
      <c r="I2266" s="79"/>
      <c r="J2266" s="70"/>
      <c r="K2266" s="57"/>
      <c r="L2266" s="11"/>
      <c r="M2266" s="41"/>
      <c r="N2266" s="11"/>
    </row>
    <row r="2267" spans="8:14" x14ac:dyDescent="0.25">
      <c r="H2267" s="37"/>
      <c r="I2267" s="79"/>
      <c r="J2267" s="70"/>
      <c r="K2267" s="57"/>
      <c r="L2267" s="11"/>
      <c r="M2267" s="41"/>
      <c r="N2267" s="11"/>
    </row>
    <row r="2268" spans="8:14" x14ac:dyDescent="0.25">
      <c r="H2268" s="37"/>
      <c r="I2268" s="79"/>
      <c r="J2268" s="70"/>
      <c r="K2268" s="57"/>
      <c r="L2268" s="11"/>
      <c r="M2268" s="41"/>
      <c r="N2268" s="11"/>
    </row>
    <row r="2269" spans="8:14" x14ac:dyDescent="0.25">
      <c r="H2269" s="37"/>
      <c r="I2269" s="79"/>
      <c r="J2269" s="70"/>
      <c r="K2269" s="57"/>
      <c r="L2269" s="11"/>
      <c r="M2269" s="41"/>
      <c r="N2269" s="11"/>
    </row>
    <row r="2270" spans="8:14" x14ac:dyDescent="0.25">
      <c r="H2270" s="37"/>
      <c r="I2270" s="79"/>
      <c r="J2270" s="70"/>
      <c r="K2270" s="57"/>
      <c r="L2270" s="11"/>
      <c r="M2270" s="41"/>
      <c r="N2270" s="11"/>
    </row>
    <row r="2271" spans="8:14" x14ac:dyDescent="0.25">
      <c r="H2271" s="37"/>
      <c r="I2271" s="79"/>
      <c r="J2271" s="70"/>
      <c r="K2271" s="57"/>
      <c r="L2271" s="11"/>
      <c r="M2271" s="41"/>
      <c r="N2271" s="11"/>
    </row>
    <row r="2272" spans="8:14" x14ac:dyDescent="0.25">
      <c r="H2272" s="37"/>
      <c r="I2272" s="79"/>
      <c r="J2272" s="70"/>
      <c r="K2272" s="57"/>
      <c r="L2272" s="11"/>
      <c r="M2272" s="41"/>
      <c r="N2272" s="11"/>
    </row>
    <row r="2273" spans="8:14" x14ac:dyDescent="0.25">
      <c r="H2273" s="37"/>
      <c r="I2273" s="79"/>
      <c r="J2273" s="70"/>
      <c r="K2273" s="57"/>
      <c r="L2273" s="11"/>
      <c r="M2273" s="41"/>
      <c r="N2273" s="11"/>
    </row>
    <row r="2274" spans="8:14" x14ac:dyDescent="0.25">
      <c r="H2274" s="37"/>
      <c r="I2274" s="79"/>
      <c r="J2274" s="70"/>
      <c r="K2274" s="57"/>
      <c r="L2274" s="11"/>
      <c r="M2274" s="41"/>
      <c r="N2274" s="11"/>
    </row>
    <row r="2275" spans="8:14" x14ac:dyDescent="0.25">
      <c r="H2275" s="37"/>
      <c r="I2275" s="79"/>
      <c r="J2275" s="70"/>
      <c r="K2275" s="57"/>
      <c r="L2275" s="11"/>
      <c r="M2275" s="41"/>
      <c r="N2275" s="11"/>
    </row>
    <row r="2276" spans="8:14" x14ac:dyDescent="0.25">
      <c r="H2276" s="37"/>
      <c r="I2276" s="79"/>
      <c r="J2276" s="70"/>
      <c r="K2276" s="57"/>
      <c r="L2276" s="11"/>
      <c r="M2276" s="41"/>
      <c r="N2276" s="11"/>
    </row>
    <row r="2277" spans="8:14" x14ac:dyDescent="0.25">
      <c r="H2277" s="37"/>
      <c r="I2277" s="79"/>
      <c r="J2277" s="70"/>
      <c r="K2277" s="57"/>
      <c r="L2277" s="11"/>
      <c r="M2277" s="41"/>
      <c r="N2277" s="11"/>
    </row>
    <row r="2278" spans="8:14" x14ac:dyDescent="0.25">
      <c r="H2278" s="37"/>
      <c r="I2278" s="79"/>
      <c r="J2278" s="70"/>
      <c r="K2278" s="57"/>
      <c r="L2278" s="11"/>
      <c r="M2278" s="41"/>
      <c r="N2278" s="11"/>
    </row>
    <row r="2279" spans="8:14" x14ac:dyDescent="0.25">
      <c r="H2279" s="37"/>
      <c r="I2279" s="79"/>
      <c r="J2279" s="70"/>
      <c r="K2279" s="57"/>
      <c r="L2279" s="11"/>
      <c r="M2279" s="41"/>
      <c r="N2279" s="11"/>
    </row>
    <row r="2280" spans="8:14" x14ac:dyDescent="0.25">
      <c r="H2280" s="37"/>
      <c r="I2280" s="79"/>
      <c r="J2280" s="70"/>
      <c r="K2280" s="57"/>
      <c r="L2280" s="11"/>
      <c r="M2280" s="41"/>
      <c r="N2280" s="11"/>
    </row>
    <row r="2281" spans="8:14" x14ac:dyDescent="0.25">
      <c r="H2281" s="37"/>
      <c r="I2281" s="79"/>
      <c r="J2281" s="70"/>
      <c r="K2281" s="57"/>
      <c r="L2281" s="11"/>
      <c r="M2281" s="41"/>
      <c r="N2281" s="11"/>
    </row>
    <row r="2282" spans="8:14" x14ac:dyDescent="0.25">
      <c r="H2282" s="37"/>
      <c r="I2282" s="79"/>
      <c r="J2282" s="70"/>
      <c r="K2282" s="57"/>
      <c r="L2282" s="11"/>
      <c r="M2282" s="41"/>
      <c r="N2282" s="11"/>
    </row>
    <row r="2283" spans="8:14" x14ac:dyDescent="0.25">
      <c r="H2283" s="37"/>
      <c r="I2283" s="79"/>
      <c r="J2283" s="70"/>
      <c r="K2283" s="57"/>
      <c r="L2283" s="11"/>
      <c r="M2283" s="41"/>
      <c r="N2283" s="11"/>
    </row>
    <row r="2284" spans="8:14" x14ac:dyDescent="0.25">
      <c r="H2284" s="37"/>
      <c r="I2284" s="79"/>
      <c r="J2284" s="70"/>
      <c r="K2284" s="57"/>
      <c r="L2284" s="11"/>
      <c r="M2284" s="41"/>
      <c r="N2284" s="11"/>
    </row>
    <row r="2285" spans="8:14" x14ac:dyDescent="0.25">
      <c r="H2285" s="37"/>
      <c r="I2285" s="79"/>
      <c r="J2285" s="70"/>
      <c r="K2285" s="57"/>
      <c r="L2285" s="11"/>
      <c r="M2285" s="41"/>
      <c r="N2285" s="11"/>
    </row>
    <row r="2286" spans="8:14" x14ac:dyDescent="0.25">
      <c r="H2286" s="37"/>
      <c r="I2286" s="79"/>
      <c r="J2286" s="70"/>
      <c r="K2286" s="57"/>
      <c r="L2286" s="11"/>
      <c r="M2286" s="41"/>
      <c r="N2286" s="11"/>
    </row>
    <row r="2287" spans="8:14" x14ac:dyDescent="0.25">
      <c r="H2287" s="37"/>
      <c r="I2287" s="79"/>
      <c r="J2287" s="70"/>
      <c r="K2287" s="57"/>
      <c r="L2287" s="11"/>
      <c r="M2287" s="41"/>
      <c r="N2287" s="11"/>
    </row>
    <row r="2288" spans="8:14" x14ac:dyDescent="0.25">
      <c r="H2288" s="37"/>
      <c r="I2288" s="79"/>
      <c r="J2288" s="70"/>
      <c r="K2288" s="57"/>
      <c r="L2288" s="11"/>
      <c r="M2288" s="41"/>
      <c r="N2288" s="11"/>
    </row>
    <row r="2289" spans="8:14" x14ac:dyDescent="0.25">
      <c r="H2289" s="37"/>
      <c r="I2289" s="79"/>
      <c r="J2289" s="70"/>
      <c r="K2289" s="57"/>
      <c r="L2289" s="11"/>
      <c r="M2289" s="41"/>
      <c r="N2289" s="11"/>
    </row>
    <row r="2290" spans="8:14" x14ac:dyDescent="0.25">
      <c r="H2290" s="37"/>
      <c r="I2290" s="79"/>
      <c r="J2290" s="70"/>
      <c r="K2290" s="57"/>
      <c r="L2290" s="11"/>
      <c r="M2290" s="41"/>
      <c r="N2290" s="11"/>
    </row>
    <row r="2291" spans="8:14" x14ac:dyDescent="0.25">
      <c r="H2291" s="37"/>
      <c r="I2291" s="79"/>
      <c r="J2291" s="70"/>
      <c r="K2291" s="57"/>
      <c r="L2291" s="11"/>
      <c r="M2291" s="41"/>
      <c r="N2291" s="11"/>
    </row>
    <row r="2292" spans="8:14" x14ac:dyDescent="0.25">
      <c r="H2292" s="37"/>
      <c r="I2292" s="79"/>
      <c r="J2292" s="70"/>
      <c r="K2292" s="57"/>
      <c r="L2292" s="11"/>
      <c r="M2292" s="41"/>
      <c r="N2292" s="11"/>
    </row>
    <row r="2293" spans="8:14" x14ac:dyDescent="0.25">
      <c r="H2293" s="37"/>
      <c r="I2293" s="79"/>
      <c r="J2293" s="70"/>
      <c r="K2293" s="57"/>
      <c r="L2293" s="11"/>
      <c r="M2293" s="41"/>
      <c r="N2293" s="11"/>
    </row>
    <row r="2294" spans="8:14" x14ac:dyDescent="0.25">
      <c r="H2294" s="37"/>
      <c r="I2294" s="79"/>
      <c r="J2294" s="70"/>
      <c r="K2294" s="57"/>
      <c r="L2294" s="11"/>
      <c r="M2294" s="41"/>
      <c r="N2294" s="11"/>
    </row>
    <row r="2295" spans="8:14" x14ac:dyDescent="0.25">
      <c r="H2295" s="37"/>
      <c r="I2295" s="79"/>
      <c r="J2295" s="70"/>
      <c r="K2295" s="57"/>
      <c r="L2295" s="11"/>
      <c r="M2295" s="41"/>
      <c r="N2295" s="11"/>
    </row>
    <row r="2296" spans="8:14" x14ac:dyDescent="0.25">
      <c r="H2296" s="37"/>
      <c r="I2296" s="79"/>
      <c r="J2296" s="70"/>
      <c r="K2296" s="57"/>
      <c r="L2296" s="11"/>
      <c r="M2296" s="41"/>
      <c r="N2296" s="11"/>
    </row>
    <row r="2297" spans="8:14" x14ac:dyDescent="0.25">
      <c r="H2297" s="37"/>
      <c r="I2297" s="79"/>
      <c r="J2297" s="70"/>
      <c r="K2297" s="57"/>
      <c r="L2297" s="11"/>
      <c r="M2297" s="41"/>
      <c r="N2297" s="11"/>
    </row>
    <row r="2298" spans="8:14" x14ac:dyDescent="0.25">
      <c r="H2298" s="37"/>
      <c r="I2298" s="79"/>
      <c r="J2298" s="70"/>
      <c r="K2298" s="57"/>
      <c r="L2298" s="11"/>
      <c r="M2298" s="41"/>
      <c r="N2298" s="11"/>
    </row>
    <row r="2299" spans="8:14" x14ac:dyDescent="0.25">
      <c r="H2299" s="37"/>
      <c r="I2299" s="79"/>
      <c r="J2299" s="70"/>
      <c r="K2299" s="57"/>
      <c r="L2299" s="11"/>
      <c r="M2299" s="41"/>
      <c r="N2299" s="11"/>
    </row>
    <row r="2300" spans="8:14" x14ac:dyDescent="0.25">
      <c r="H2300" s="37"/>
      <c r="I2300" s="79"/>
      <c r="J2300" s="70"/>
      <c r="K2300" s="57"/>
      <c r="L2300" s="11"/>
      <c r="M2300" s="41"/>
      <c r="N2300" s="11"/>
    </row>
    <row r="2301" spans="8:14" x14ac:dyDescent="0.25">
      <c r="H2301" s="37"/>
      <c r="I2301" s="79"/>
      <c r="J2301" s="70"/>
      <c r="K2301" s="57"/>
      <c r="L2301" s="11"/>
      <c r="M2301" s="41"/>
      <c r="N2301" s="11"/>
    </row>
    <row r="2302" spans="8:14" x14ac:dyDescent="0.25">
      <c r="H2302" s="37"/>
      <c r="I2302" s="79"/>
      <c r="J2302" s="70"/>
      <c r="K2302" s="57"/>
      <c r="L2302" s="11"/>
      <c r="M2302" s="41"/>
      <c r="N2302" s="11"/>
    </row>
    <row r="2303" spans="8:14" x14ac:dyDescent="0.25">
      <c r="H2303" s="37"/>
      <c r="I2303" s="79"/>
      <c r="J2303" s="70"/>
      <c r="K2303" s="57"/>
      <c r="L2303" s="11"/>
      <c r="M2303" s="41"/>
      <c r="N2303" s="11"/>
    </row>
    <row r="2304" spans="8:14" x14ac:dyDescent="0.25">
      <c r="H2304" s="37"/>
      <c r="I2304" s="79"/>
      <c r="J2304" s="70"/>
      <c r="K2304" s="57"/>
      <c r="L2304" s="11"/>
      <c r="M2304" s="41"/>
      <c r="N2304" s="11"/>
    </row>
    <row r="2305" spans="8:14" x14ac:dyDescent="0.25">
      <c r="H2305" s="37"/>
      <c r="I2305" s="79"/>
      <c r="J2305" s="70"/>
      <c r="K2305" s="57"/>
      <c r="L2305" s="11"/>
      <c r="M2305" s="41"/>
      <c r="N2305" s="11"/>
    </row>
    <row r="2306" spans="8:14" x14ac:dyDescent="0.25">
      <c r="H2306" s="37"/>
      <c r="I2306" s="79"/>
      <c r="J2306" s="70"/>
      <c r="K2306" s="57"/>
      <c r="L2306" s="11"/>
      <c r="M2306" s="41"/>
      <c r="N2306" s="11"/>
    </row>
    <row r="2307" spans="8:14" x14ac:dyDescent="0.25">
      <c r="H2307" s="37"/>
      <c r="I2307" s="79"/>
      <c r="J2307" s="70"/>
      <c r="K2307" s="57"/>
      <c r="L2307" s="11"/>
      <c r="M2307" s="41"/>
      <c r="N2307" s="11"/>
    </row>
    <row r="2308" spans="8:14" x14ac:dyDescent="0.25">
      <c r="H2308" s="37"/>
      <c r="I2308" s="79"/>
      <c r="J2308" s="70"/>
      <c r="K2308" s="57"/>
      <c r="L2308" s="11"/>
      <c r="M2308" s="41"/>
      <c r="N2308" s="11"/>
    </row>
    <row r="2309" spans="8:14" x14ac:dyDescent="0.25">
      <c r="H2309" s="37"/>
      <c r="I2309" s="79"/>
      <c r="J2309" s="70"/>
      <c r="K2309" s="57"/>
      <c r="L2309" s="11"/>
      <c r="M2309" s="41"/>
      <c r="N2309" s="11"/>
    </row>
    <row r="2310" spans="8:14" x14ac:dyDescent="0.25">
      <c r="H2310" s="37"/>
      <c r="I2310" s="79"/>
      <c r="J2310" s="70"/>
      <c r="K2310" s="57"/>
      <c r="L2310" s="11"/>
      <c r="M2310" s="41"/>
      <c r="N2310" s="11"/>
    </row>
    <row r="2311" spans="8:14" x14ac:dyDescent="0.25">
      <c r="H2311" s="37"/>
      <c r="I2311" s="79"/>
      <c r="J2311" s="70"/>
      <c r="K2311" s="57"/>
      <c r="L2311" s="11"/>
      <c r="M2311" s="41"/>
      <c r="N2311" s="11"/>
    </row>
    <row r="2312" spans="8:14" x14ac:dyDescent="0.25">
      <c r="H2312" s="37"/>
      <c r="I2312" s="79"/>
      <c r="J2312" s="70"/>
      <c r="K2312" s="57"/>
      <c r="L2312" s="11"/>
      <c r="M2312" s="41"/>
      <c r="N2312" s="11"/>
    </row>
    <row r="2313" spans="8:14" x14ac:dyDescent="0.25">
      <c r="H2313" s="37"/>
      <c r="I2313" s="79"/>
      <c r="J2313" s="70"/>
      <c r="K2313" s="57"/>
      <c r="L2313" s="11"/>
      <c r="M2313" s="41"/>
      <c r="N2313" s="11"/>
    </row>
    <row r="2314" spans="8:14" x14ac:dyDescent="0.25">
      <c r="H2314" s="37"/>
      <c r="I2314" s="79"/>
      <c r="J2314" s="70"/>
      <c r="K2314" s="57"/>
      <c r="L2314" s="11"/>
      <c r="M2314" s="41"/>
      <c r="N2314" s="11"/>
    </row>
    <row r="2315" spans="8:14" x14ac:dyDescent="0.25">
      <c r="H2315" s="37"/>
      <c r="I2315" s="79"/>
      <c r="J2315" s="70"/>
      <c r="K2315" s="57"/>
      <c r="L2315" s="11"/>
      <c r="M2315" s="41"/>
      <c r="N2315" s="11"/>
    </row>
    <row r="2316" spans="8:14" x14ac:dyDescent="0.25">
      <c r="H2316" s="37"/>
      <c r="I2316" s="79"/>
      <c r="J2316" s="70"/>
      <c r="K2316" s="57"/>
      <c r="L2316" s="11"/>
      <c r="M2316" s="41"/>
      <c r="N2316" s="11"/>
    </row>
    <row r="2317" spans="8:14" x14ac:dyDescent="0.25">
      <c r="H2317" s="37"/>
      <c r="I2317" s="79"/>
      <c r="J2317" s="70"/>
      <c r="K2317" s="57"/>
      <c r="L2317" s="11"/>
      <c r="M2317" s="41"/>
      <c r="N2317" s="11"/>
    </row>
    <row r="2318" spans="8:14" x14ac:dyDescent="0.25">
      <c r="H2318" s="37"/>
      <c r="I2318" s="79"/>
      <c r="J2318" s="70"/>
      <c r="K2318" s="57"/>
      <c r="L2318" s="11"/>
      <c r="M2318" s="41"/>
      <c r="N2318" s="11"/>
    </row>
    <row r="2319" spans="8:14" x14ac:dyDescent="0.25">
      <c r="H2319" s="37"/>
      <c r="I2319" s="79"/>
      <c r="J2319" s="70"/>
      <c r="K2319" s="57"/>
      <c r="L2319" s="11"/>
      <c r="M2319" s="41"/>
      <c r="N2319" s="11"/>
    </row>
    <row r="2320" spans="8:14" x14ac:dyDescent="0.25">
      <c r="H2320" s="37"/>
      <c r="I2320" s="79"/>
      <c r="J2320" s="70"/>
      <c r="K2320" s="57"/>
      <c r="L2320" s="11"/>
      <c r="M2320" s="41"/>
      <c r="N2320" s="11"/>
    </row>
    <row r="2321" spans="8:14" x14ac:dyDescent="0.25">
      <c r="H2321" s="37"/>
      <c r="I2321" s="79"/>
      <c r="J2321" s="70"/>
      <c r="K2321" s="57"/>
      <c r="L2321" s="11"/>
      <c r="M2321" s="41"/>
      <c r="N2321" s="11"/>
    </row>
    <row r="2322" spans="8:14" x14ac:dyDescent="0.25">
      <c r="H2322" s="37"/>
      <c r="I2322" s="79"/>
      <c r="J2322" s="70"/>
      <c r="K2322" s="57"/>
      <c r="L2322" s="11"/>
      <c r="M2322" s="41"/>
      <c r="N2322" s="11"/>
    </row>
    <row r="2323" spans="8:14" x14ac:dyDescent="0.25">
      <c r="H2323" s="37"/>
      <c r="I2323" s="79"/>
      <c r="J2323" s="70"/>
      <c r="K2323" s="57"/>
      <c r="L2323" s="11"/>
      <c r="M2323" s="41"/>
      <c r="N2323" s="11"/>
    </row>
    <row r="2324" spans="8:14" x14ac:dyDescent="0.25">
      <c r="H2324" s="37"/>
      <c r="I2324" s="79"/>
      <c r="J2324" s="70"/>
      <c r="K2324" s="57"/>
      <c r="L2324" s="11"/>
      <c r="M2324" s="41"/>
      <c r="N2324" s="11"/>
    </row>
    <row r="2325" spans="8:14" x14ac:dyDescent="0.25">
      <c r="H2325" s="37"/>
      <c r="I2325" s="79"/>
      <c r="J2325" s="70"/>
      <c r="K2325" s="57"/>
      <c r="L2325" s="11"/>
      <c r="M2325" s="41"/>
      <c r="N2325" s="11"/>
    </row>
    <row r="2326" spans="8:14" x14ac:dyDescent="0.25">
      <c r="H2326" s="37"/>
      <c r="I2326" s="79"/>
      <c r="J2326" s="70"/>
      <c r="K2326" s="57"/>
      <c r="L2326" s="11"/>
      <c r="M2326" s="41"/>
      <c r="N2326" s="11"/>
    </row>
    <row r="2327" spans="8:14" x14ac:dyDescent="0.25">
      <c r="H2327" s="37"/>
      <c r="I2327" s="79"/>
      <c r="J2327" s="70"/>
      <c r="K2327" s="57"/>
      <c r="L2327" s="11"/>
      <c r="M2327" s="41"/>
      <c r="N2327" s="11"/>
    </row>
    <row r="2328" spans="8:14" x14ac:dyDescent="0.25">
      <c r="H2328" s="37"/>
      <c r="I2328" s="79"/>
      <c r="J2328" s="70"/>
      <c r="K2328" s="57"/>
      <c r="L2328" s="11"/>
      <c r="M2328" s="41"/>
      <c r="N2328" s="11"/>
    </row>
    <row r="2329" spans="8:14" x14ac:dyDescent="0.25">
      <c r="H2329" s="37"/>
      <c r="I2329" s="79"/>
      <c r="J2329" s="70"/>
      <c r="K2329" s="57"/>
      <c r="L2329" s="11"/>
      <c r="M2329" s="41"/>
      <c r="N2329" s="11"/>
    </row>
    <row r="2330" spans="8:14" x14ac:dyDescent="0.25">
      <c r="H2330" s="37"/>
      <c r="I2330" s="79"/>
      <c r="J2330" s="70"/>
      <c r="K2330" s="57"/>
      <c r="L2330" s="11"/>
      <c r="M2330" s="41"/>
      <c r="N2330" s="11"/>
    </row>
    <row r="2331" spans="8:14" x14ac:dyDescent="0.25">
      <c r="H2331" s="37"/>
      <c r="I2331" s="79"/>
      <c r="J2331" s="70"/>
      <c r="K2331" s="57"/>
      <c r="L2331" s="11"/>
      <c r="M2331" s="41"/>
      <c r="N2331" s="11"/>
    </row>
    <row r="2332" spans="8:14" x14ac:dyDescent="0.25">
      <c r="H2332" s="37"/>
      <c r="I2332" s="79"/>
      <c r="J2332" s="70"/>
      <c r="K2332" s="57"/>
      <c r="L2332" s="11"/>
      <c r="M2332" s="41"/>
      <c r="N2332" s="11"/>
    </row>
    <row r="2333" spans="8:14" x14ac:dyDescent="0.25">
      <c r="H2333" s="37"/>
      <c r="I2333" s="79"/>
      <c r="J2333" s="70"/>
      <c r="K2333" s="57"/>
      <c r="L2333" s="11"/>
      <c r="M2333" s="41"/>
      <c r="N2333" s="11"/>
    </row>
    <row r="2334" spans="8:14" x14ac:dyDescent="0.25">
      <c r="H2334" s="37"/>
      <c r="I2334" s="79"/>
      <c r="J2334" s="70"/>
      <c r="K2334" s="57"/>
      <c r="L2334" s="11"/>
      <c r="M2334" s="41"/>
      <c r="N2334" s="11"/>
    </row>
    <row r="2335" spans="8:14" x14ac:dyDescent="0.25">
      <c r="H2335" s="37"/>
      <c r="I2335" s="79"/>
      <c r="J2335" s="70"/>
      <c r="K2335" s="57"/>
      <c r="L2335" s="11"/>
      <c r="M2335" s="41"/>
      <c r="N2335" s="11"/>
    </row>
    <row r="2336" spans="8:14" x14ac:dyDescent="0.25">
      <c r="H2336" s="37"/>
      <c r="I2336" s="79"/>
      <c r="J2336" s="70"/>
      <c r="K2336" s="57"/>
      <c r="L2336" s="11"/>
      <c r="M2336" s="41"/>
      <c r="N2336" s="11"/>
    </row>
    <row r="2337" spans="8:14" x14ac:dyDescent="0.25">
      <c r="H2337" s="37"/>
      <c r="I2337" s="79"/>
      <c r="J2337" s="70"/>
      <c r="K2337" s="57"/>
      <c r="L2337" s="11"/>
      <c r="M2337" s="41"/>
      <c r="N2337" s="11"/>
    </row>
    <row r="2338" spans="8:14" x14ac:dyDescent="0.25">
      <c r="H2338" s="37"/>
      <c r="I2338" s="79"/>
      <c r="J2338" s="70"/>
      <c r="K2338" s="57"/>
      <c r="L2338" s="11"/>
      <c r="M2338" s="41"/>
      <c r="N2338" s="11"/>
    </row>
    <row r="2339" spans="8:14" x14ac:dyDescent="0.25">
      <c r="H2339" s="37"/>
      <c r="I2339" s="79"/>
      <c r="J2339" s="70"/>
      <c r="K2339" s="57"/>
      <c r="L2339" s="11"/>
      <c r="M2339" s="41"/>
      <c r="N2339" s="11"/>
    </row>
    <row r="2340" spans="8:14" x14ac:dyDescent="0.25">
      <c r="H2340" s="37"/>
      <c r="I2340" s="79"/>
      <c r="J2340" s="70"/>
      <c r="K2340" s="57"/>
      <c r="L2340" s="11"/>
      <c r="M2340" s="41"/>
      <c r="N2340" s="11"/>
    </row>
    <row r="2341" spans="8:14" x14ac:dyDescent="0.25">
      <c r="H2341" s="37"/>
      <c r="I2341" s="79"/>
      <c r="J2341" s="70"/>
      <c r="K2341" s="57"/>
      <c r="L2341" s="11"/>
      <c r="M2341" s="41"/>
      <c r="N2341" s="11"/>
    </row>
    <row r="2342" spans="8:14" x14ac:dyDescent="0.25">
      <c r="H2342" s="37"/>
      <c r="I2342" s="79"/>
      <c r="J2342" s="70"/>
      <c r="K2342" s="57"/>
      <c r="L2342" s="11"/>
      <c r="M2342" s="41"/>
      <c r="N2342" s="11"/>
    </row>
    <row r="2343" spans="8:14" x14ac:dyDescent="0.25">
      <c r="H2343" s="37"/>
      <c r="I2343" s="79"/>
      <c r="J2343" s="70"/>
      <c r="K2343" s="57"/>
      <c r="L2343" s="11"/>
      <c r="M2343" s="41"/>
      <c r="N2343" s="11"/>
    </row>
    <row r="2344" spans="8:14" x14ac:dyDescent="0.25">
      <c r="H2344" s="37"/>
      <c r="I2344" s="79"/>
      <c r="J2344" s="70"/>
      <c r="K2344" s="57"/>
      <c r="L2344" s="11"/>
      <c r="M2344" s="41"/>
      <c r="N2344" s="11"/>
    </row>
    <row r="2345" spans="8:14" x14ac:dyDescent="0.25">
      <c r="H2345" s="37"/>
      <c r="I2345" s="79"/>
      <c r="J2345" s="70"/>
      <c r="K2345" s="57"/>
      <c r="L2345" s="11"/>
      <c r="M2345" s="41"/>
      <c r="N2345" s="11"/>
    </row>
    <row r="2346" spans="8:14" x14ac:dyDescent="0.25">
      <c r="H2346" s="37"/>
      <c r="I2346" s="79"/>
      <c r="J2346" s="70"/>
      <c r="K2346" s="57"/>
      <c r="L2346" s="11"/>
      <c r="M2346" s="41"/>
      <c r="N2346" s="11"/>
    </row>
    <row r="2347" spans="8:14" x14ac:dyDescent="0.25">
      <c r="H2347" s="37"/>
      <c r="I2347" s="79"/>
      <c r="J2347" s="70"/>
      <c r="K2347" s="57"/>
      <c r="L2347" s="11"/>
      <c r="M2347" s="41"/>
      <c r="N2347" s="11"/>
    </row>
    <row r="2348" spans="8:14" x14ac:dyDescent="0.25">
      <c r="H2348" s="37"/>
      <c r="I2348" s="79"/>
      <c r="J2348" s="70"/>
      <c r="K2348" s="57"/>
      <c r="L2348" s="11"/>
      <c r="M2348" s="41"/>
      <c r="N2348" s="11"/>
    </row>
    <row r="2349" spans="8:14" x14ac:dyDescent="0.25">
      <c r="H2349" s="37"/>
      <c r="I2349" s="79"/>
      <c r="J2349" s="70"/>
      <c r="K2349" s="57"/>
      <c r="L2349" s="11"/>
      <c r="M2349" s="41"/>
      <c r="N2349" s="11"/>
    </row>
    <row r="2350" spans="8:14" x14ac:dyDescent="0.25">
      <c r="H2350" s="37"/>
      <c r="I2350" s="79"/>
      <c r="J2350" s="70"/>
      <c r="K2350" s="57"/>
      <c r="L2350" s="11"/>
      <c r="M2350" s="41"/>
      <c r="N2350" s="11"/>
    </row>
    <row r="2351" spans="8:14" x14ac:dyDescent="0.25">
      <c r="H2351" s="37"/>
      <c r="I2351" s="79"/>
      <c r="J2351" s="70"/>
      <c r="K2351" s="57"/>
      <c r="L2351" s="11"/>
      <c r="M2351" s="41"/>
      <c r="N2351" s="11"/>
    </row>
    <row r="2352" spans="8:14" x14ac:dyDescent="0.25">
      <c r="H2352" s="37"/>
      <c r="I2352" s="79"/>
      <c r="J2352" s="70"/>
      <c r="K2352" s="57"/>
      <c r="L2352" s="11"/>
      <c r="M2352" s="41"/>
      <c r="N2352" s="11"/>
    </row>
    <row r="2353" spans="8:14" x14ac:dyDescent="0.25">
      <c r="H2353" s="37"/>
      <c r="I2353" s="79"/>
      <c r="J2353" s="70"/>
      <c r="K2353" s="57"/>
      <c r="L2353" s="11"/>
      <c r="M2353" s="41"/>
      <c r="N2353" s="11"/>
    </row>
    <row r="2354" spans="8:14" x14ac:dyDescent="0.25">
      <c r="H2354" s="37"/>
      <c r="I2354" s="79"/>
      <c r="J2354" s="70"/>
      <c r="K2354" s="57"/>
      <c r="L2354" s="11"/>
      <c r="M2354" s="41"/>
      <c r="N2354" s="11"/>
    </row>
    <row r="2355" spans="8:14" x14ac:dyDescent="0.25">
      <c r="H2355" s="37"/>
      <c r="I2355" s="79"/>
      <c r="J2355" s="70"/>
      <c r="K2355" s="57"/>
      <c r="L2355" s="11"/>
      <c r="M2355" s="41"/>
      <c r="N2355" s="11"/>
    </row>
    <row r="2356" spans="8:14" x14ac:dyDescent="0.25">
      <c r="H2356" s="37"/>
      <c r="I2356" s="79"/>
      <c r="J2356" s="70"/>
      <c r="K2356" s="57"/>
      <c r="L2356" s="11"/>
      <c r="M2356" s="41"/>
      <c r="N2356" s="11"/>
    </row>
    <row r="2357" spans="8:14" x14ac:dyDescent="0.25">
      <c r="H2357" s="37"/>
      <c r="I2357" s="79"/>
      <c r="J2357" s="70"/>
      <c r="K2357" s="57"/>
      <c r="L2357" s="11"/>
      <c r="M2357" s="41"/>
      <c r="N2357" s="11"/>
    </row>
    <row r="2358" spans="8:14" x14ac:dyDescent="0.25">
      <c r="H2358" s="37"/>
      <c r="I2358" s="79"/>
      <c r="J2358" s="70"/>
      <c r="K2358" s="57"/>
      <c r="L2358" s="11"/>
      <c r="M2358" s="41"/>
      <c r="N2358" s="11"/>
    </row>
    <row r="2359" spans="8:14" x14ac:dyDescent="0.25">
      <c r="H2359" s="37"/>
      <c r="I2359" s="79"/>
      <c r="J2359" s="70"/>
      <c r="K2359" s="57"/>
      <c r="L2359" s="11"/>
      <c r="M2359" s="41"/>
      <c r="N2359" s="11"/>
    </row>
    <row r="2360" spans="8:14" x14ac:dyDescent="0.25">
      <c r="H2360" s="37"/>
      <c r="I2360" s="79"/>
      <c r="J2360" s="70"/>
      <c r="K2360" s="57"/>
      <c r="L2360" s="11"/>
      <c r="M2360" s="41"/>
      <c r="N2360" s="11"/>
    </row>
    <row r="2361" spans="8:14" x14ac:dyDescent="0.25">
      <c r="H2361" s="37"/>
      <c r="I2361" s="79"/>
      <c r="J2361" s="70"/>
      <c r="K2361" s="57"/>
      <c r="L2361" s="11"/>
      <c r="M2361" s="41"/>
      <c r="N2361" s="11"/>
    </row>
    <row r="2362" spans="8:14" x14ac:dyDescent="0.25">
      <c r="H2362" s="37"/>
      <c r="I2362" s="79"/>
      <c r="J2362" s="70"/>
      <c r="K2362" s="57"/>
      <c r="L2362" s="11"/>
      <c r="M2362" s="41"/>
      <c r="N2362" s="11"/>
    </row>
    <row r="2363" spans="8:14" x14ac:dyDescent="0.25">
      <c r="H2363" s="37"/>
      <c r="I2363" s="79"/>
      <c r="J2363" s="70"/>
      <c r="K2363" s="57"/>
      <c r="L2363" s="11"/>
      <c r="M2363" s="41"/>
      <c r="N2363" s="11"/>
    </row>
    <row r="2364" spans="8:14" x14ac:dyDescent="0.25">
      <c r="H2364" s="37"/>
      <c r="I2364" s="79"/>
      <c r="J2364" s="70"/>
      <c r="K2364" s="57"/>
      <c r="L2364" s="11"/>
      <c r="M2364" s="41"/>
      <c r="N2364" s="11"/>
    </row>
    <row r="2365" spans="8:14" x14ac:dyDescent="0.25">
      <c r="H2365" s="37"/>
      <c r="I2365" s="79"/>
      <c r="J2365" s="70"/>
      <c r="K2365" s="57"/>
      <c r="L2365" s="11"/>
      <c r="M2365" s="41"/>
      <c r="N2365" s="11"/>
    </row>
    <row r="2366" spans="8:14" x14ac:dyDescent="0.25">
      <c r="H2366" s="37"/>
      <c r="I2366" s="79"/>
      <c r="J2366" s="70"/>
      <c r="K2366" s="57"/>
      <c r="L2366" s="11"/>
      <c r="M2366" s="41"/>
      <c r="N2366" s="11"/>
    </row>
    <row r="2367" spans="8:14" x14ac:dyDescent="0.25">
      <c r="H2367" s="37"/>
      <c r="I2367" s="79"/>
      <c r="J2367" s="70"/>
      <c r="K2367" s="57"/>
      <c r="L2367" s="11"/>
      <c r="M2367" s="41"/>
      <c r="N2367" s="11"/>
    </row>
    <row r="2368" spans="8:14" x14ac:dyDescent="0.25">
      <c r="H2368" s="37"/>
      <c r="I2368" s="79"/>
      <c r="J2368" s="70"/>
      <c r="K2368" s="57"/>
      <c r="L2368" s="11"/>
      <c r="M2368" s="41"/>
      <c r="N2368" s="11"/>
    </row>
    <row r="2369" spans="8:14" x14ac:dyDescent="0.25">
      <c r="H2369" s="37"/>
      <c r="I2369" s="79"/>
      <c r="J2369" s="70"/>
      <c r="K2369" s="57"/>
      <c r="L2369" s="11"/>
      <c r="M2369" s="41"/>
      <c r="N2369" s="11"/>
    </row>
    <row r="2370" spans="8:14" x14ac:dyDescent="0.25">
      <c r="H2370" s="37"/>
      <c r="I2370" s="79"/>
      <c r="J2370" s="70"/>
      <c r="K2370" s="57"/>
      <c r="L2370" s="11"/>
      <c r="M2370" s="41"/>
      <c r="N2370" s="11"/>
    </row>
    <row r="2371" spans="8:14" x14ac:dyDescent="0.25">
      <c r="H2371" s="37"/>
      <c r="I2371" s="79"/>
      <c r="J2371" s="70"/>
      <c r="K2371" s="57"/>
      <c r="L2371" s="11"/>
      <c r="M2371" s="41"/>
      <c r="N2371" s="11"/>
    </row>
    <row r="2372" spans="8:14" x14ac:dyDescent="0.25">
      <c r="H2372" s="37"/>
      <c r="I2372" s="79"/>
      <c r="J2372" s="70"/>
      <c r="K2372" s="57"/>
      <c r="L2372" s="11"/>
      <c r="M2372" s="41"/>
      <c r="N2372" s="11"/>
    </row>
    <row r="2373" spans="8:14" x14ac:dyDescent="0.25">
      <c r="H2373" s="37"/>
      <c r="I2373" s="79"/>
      <c r="J2373" s="70"/>
      <c r="K2373" s="57"/>
      <c r="L2373" s="11"/>
      <c r="M2373" s="41"/>
      <c r="N2373" s="11"/>
    </row>
    <row r="2374" spans="8:14" x14ac:dyDescent="0.25">
      <c r="H2374" s="37"/>
      <c r="I2374" s="79"/>
      <c r="J2374" s="70"/>
      <c r="K2374" s="57"/>
      <c r="L2374" s="11"/>
      <c r="M2374" s="41"/>
      <c r="N2374" s="11"/>
    </row>
    <row r="2375" spans="8:14" x14ac:dyDescent="0.25">
      <c r="H2375" s="37"/>
      <c r="I2375" s="79"/>
      <c r="J2375" s="70"/>
      <c r="K2375" s="57"/>
      <c r="L2375" s="11"/>
      <c r="M2375" s="41"/>
      <c r="N2375" s="11"/>
    </row>
    <row r="2376" spans="8:14" x14ac:dyDescent="0.25">
      <c r="H2376" s="37"/>
      <c r="I2376" s="79"/>
      <c r="J2376" s="70"/>
      <c r="K2376" s="57"/>
      <c r="L2376" s="11"/>
      <c r="M2376" s="41"/>
      <c r="N2376" s="11"/>
    </row>
    <row r="2377" spans="8:14" x14ac:dyDescent="0.25">
      <c r="H2377" s="37"/>
      <c r="I2377" s="79"/>
      <c r="J2377" s="70"/>
      <c r="K2377" s="57"/>
      <c r="L2377" s="11"/>
      <c r="M2377" s="41"/>
      <c r="N2377" s="11"/>
    </row>
    <row r="2378" spans="8:14" x14ac:dyDescent="0.25">
      <c r="H2378" s="37"/>
      <c r="I2378" s="79"/>
      <c r="J2378" s="70"/>
      <c r="K2378" s="57"/>
      <c r="L2378" s="11"/>
      <c r="M2378" s="41"/>
      <c r="N2378" s="11"/>
    </row>
    <row r="2379" spans="8:14" x14ac:dyDescent="0.25">
      <c r="H2379" s="37"/>
      <c r="I2379" s="79"/>
      <c r="J2379" s="70"/>
      <c r="K2379" s="57"/>
      <c r="L2379" s="11"/>
      <c r="M2379" s="41"/>
      <c r="N2379" s="11"/>
    </row>
    <row r="2380" spans="8:14" x14ac:dyDescent="0.25">
      <c r="H2380" s="37"/>
      <c r="I2380" s="79"/>
      <c r="J2380" s="70"/>
      <c r="K2380" s="57"/>
      <c r="L2380" s="11"/>
      <c r="M2380" s="41"/>
      <c r="N2380" s="11"/>
    </row>
    <row r="2381" spans="8:14" x14ac:dyDescent="0.25">
      <c r="H2381" s="37"/>
      <c r="I2381" s="79"/>
      <c r="J2381" s="70"/>
      <c r="K2381" s="57"/>
      <c r="L2381" s="11"/>
      <c r="M2381" s="41"/>
      <c r="N2381" s="11"/>
    </row>
    <row r="2382" spans="8:14" x14ac:dyDescent="0.25">
      <c r="H2382" s="37"/>
      <c r="I2382" s="79"/>
      <c r="J2382" s="70"/>
      <c r="K2382" s="57"/>
      <c r="L2382" s="11"/>
      <c r="M2382" s="41"/>
      <c r="N2382" s="11"/>
    </row>
    <row r="2383" spans="8:14" x14ac:dyDescent="0.25">
      <c r="H2383" s="37"/>
      <c r="I2383" s="79"/>
      <c r="J2383" s="70"/>
      <c r="K2383" s="57"/>
      <c r="L2383" s="11"/>
      <c r="M2383" s="41"/>
      <c r="N2383" s="11"/>
    </row>
    <row r="2384" spans="8:14" x14ac:dyDescent="0.25">
      <c r="H2384" s="37"/>
      <c r="I2384" s="79"/>
      <c r="J2384" s="70"/>
      <c r="K2384" s="57"/>
      <c r="L2384" s="11"/>
      <c r="M2384" s="41"/>
      <c r="N2384" s="11"/>
    </row>
    <row r="2385" spans="8:14" x14ac:dyDescent="0.25">
      <c r="H2385" s="37"/>
      <c r="I2385" s="79"/>
      <c r="J2385" s="70"/>
      <c r="K2385" s="57"/>
      <c r="L2385" s="11"/>
      <c r="M2385" s="41"/>
      <c r="N2385" s="11"/>
    </row>
    <row r="2386" spans="8:14" x14ac:dyDescent="0.25">
      <c r="H2386" s="37"/>
      <c r="I2386" s="79"/>
      <c r="J2386" s="70"/>
      <c r="K2386" s="57"/>
      <c r="L2386" s="11"/>
      <c r="M2386" s="41"/>
      <c r="N2386" s="11"/>
    </row>
    <row r="2387" spans="8:14" x14ac:dyDescent="0.25">
      <c r="H2387" s="37"/>
      <c r="I2387" s="79"/>
      <c r="J2387" s="70"/>
      <c r="K2387" s="57"/>
      <c r="L2387" s="11"/>
      <c r="M2387" s="41"/>
      <c r="N2387" s="11"/>
    </row>
    <row r="2388" spans="8:14" x14ac:dyDescent="0.25">
      <c r="H2388" s="37"/>
      <c r="I2388" s="79"/>
      <c r="J2388" s="70"/>
      <c r="K2388" s="57"/>
      <c r="L2388" s="11"/>
      <c r="M2388" s="41"/>
      <c r="N2388" s="11"/>
    </row>
    <row r="2389" spans="8:14" x14ac:dyDescent="0.25">
      <c r="H2389" s="37"/>
      <c r="I2389" s="79"/>
      <c r="J2389" s="70"/>
      <c r="K2389" s="57"/>
      <c r="L2389" s="11"/>
      <c r="M2389" s="41"/>
      <c r="N2389" s="11"/>
    </row>
    <row r="2390" spans="8:14" x14ac:dyDescent="0.25">
      <c r="H2390" s="37"/>
      <c r="I2390" s="79"/>
      <c r="J2390" s="70"/>
      <c r="K2390" s="57"/>
      <c r="L2390" s="11"/>
      <c r="M2390" s="41"/>
      <c r="N2390" s="11"/>
    </row>
    <row r="2391" spans="8:14" x14ac:dyDescent="0.25">
      <c r="H2391" s="37"/>
      <c r="I2391" s="79"/>
      <c r="J2391" s="70"/>
      <c r="K2391" s="57"/>
      <c r="L2391" s="11"/>
      <c r="M2391" s="41"/>
      <c r="N2391" s="11"/>
    </row>
    <row r="2392" spans="8:14" x14ac:dyDescent="0.25">
      <c r="H2392" s="37"/>
      <c r="I2392" s="79"/>
      <c r="J2392" s="70"/>
      <c r="K2392" s="57"/>
      <c r="L2392" s="11"/>
      <c r="M2392" s="41"/>
      <c r="N2392" s="11"/>
    </row>
    <row r="2393" spans="8:14" x14ac:dyDescent="0.25">
      <c r="H2393" s="37"/>
      <c r="I2393" s="79"/>
      <c r="J2393" s="70"/>
      <c r="K2393" s="57"/>
      <c r="L2393" s="11"/>
      <c r="M2393" s="41"/>
      <c r="N2393" s="11"/>
    </row>
    <row r="2394" spans="8:14" x14ac:dyDescent="0.25">
      <c r="H2394" s="37"/>
      <c r="I2394" s="79"/>
      <c r="J2394" s="70"/>
      <c r="K2394" s="57"/>
      <c r="L2394" s="11"/>
      <c r="M2394" s="41"/>
      <c r="N2394" s="11"/>
    </row>
    <row r="2395" spans="8:14" x14ac:dyDescent="0.25">
      <c r="H2395" s="37"/>
      <c r="I2395" s="79"/>
      <c r="J2395" s="70"/>
      <c r="K2395" s="57"/>
      <c r="L2395" s="11"/>
      <c r="M2395" s="41"/>
      <c r="N2395" s="11"/>
    </row>
    <row r="2396" spans="8:14" x14ac:dyDescent="0.25">
      <c r="H2396" s="37"/>
      <c r="I2396" s="79"/>
      <c r="J2396" s="70"/>
      <c r="K2396" s="57"/>
      <c r="L2396" s="11"/>
      <c r="M2396" s="41"/>
      <c r="N2396" s="11"/>
    </row>
    <row r="2397" spans="8:14" x14ac:dyDescent="0.25">
      <c r="H2397" s="37"/>
      <c r="I2397" s="79"/>
      <c r="J2397" s="70"/>
      <c r="K2397" s="57"/>
      <c r="L2397" s="11"/>
      <c r="M2397" s="41"/>
      <c r="N2397" s="11"/>
    </row>
    <row r="2398" spans="8:14" x14ac:dyDescent="0.25">
      <c r="H2398" s="37"/>
      <c r="I2398" s="79"/>
      <c r="J2398" s="70"/>
      <c r="K2398" s="57"/>
      <c r="L2398" s="11"/>
      <c r="M2398" s="41"/>
      <c r="N2398" s="11"/>
    </row>
    <row r="2399" spans="8:14" x14ac:dyDescent="0.25">
      <c r="H2399" s="37"/>
      <c r="I2399" s="79"/>
      <c r="J2399" s="70"/>
      <c r="K2399" s="57"/>
      <c r="L2399" s="11"/>
      <c r="M2399" s="41"/>
      <c r="N2399" s="11"/>
    </row>
    <row r="2400" spans="8:14" x14ac:dyDescent="0.25">
      <c r="H2400" s="37"/>
      <c r="I2400" s="79"/>
      <c r="J2400" s="70"/>
      <c r="K2400" s="57"/>
      <c r="L2400" s="11"/>
      <c r="M2400" s="41"/>
      <c r="N2400" s="11"/>
    </row>
    <row r="2401" spans="8:14" x14ac:dyDescent="0.25">
      <c r="H2401" s="37"/>
      <c r="I2401" s="79"/>
      <c r="J2401" s="70"/>
      <c r="K2401" s="57"/>
      <c r="L2401" s="11"/>
      <c r="M2401" s="41"/>
      <c r="N2401" s="11"/>
    </row>
    <row r="2402" spans="8:14" x14ac:dyDescent="0.25">
      <c r="H2402" s="37"/>
      <c r="I2402" s="79"/>
      <c r="J2402" s="70"/>
      <c r="K2402" s="57"/>
      <c r="L2402" s="11"/>
      <c r="M2402" s="41"/>
      <c r="N2402" s="11"/>
    </row>
    <row r="2403" spans="8:14" x14ac:dyDescent="0.25">
      <c r="H2403" s="37"/>
      <c r="I2403" s="79"/>
      <c r="J2403" s="70"/>
      <c r="K2403" s="57"/>
      <c r="L2403" s="11"/>
      <c r="M2403" s="41"/>
      <c r="N2403" s="11"/>
    </row>
    <row r="2404" spans="8:14" x14ac:dyDescent="0.25">
      <c r="H2404" s="37"/>
      <c r="I2404" s="79"/>
      <c r="J2404" s="70"/>
      <c r="K2404" s="57"/>
      <c r="L2404" s="11"/>
      <c r="M2404" s="41"/>
      <c r="N2404" s="11"/>
    </row>
    <row r="2405" spans="8:14" x14ac:dyDescent="0.25">
      <c r="H2405" s="37"/>
      <c r="I2405" s="79"/>
      <c r="J2405" s="70"/>
      <c r="K2405" s="57"/>
      <c r="L2405" s="11"/>
      <c r="M2405" s="41"/>
      <c r="N2405" s="11"/>
    </row>
    <row r="2406" spans="8:14" x14ac:dyDescent="0.25">
      <c r="H2406" s="37"/>
      <c r="I2406" s="79"/>
      <c r="J2406" s="70"/>
      <c r="K2406" s="57"/>
      <c r="L2406" s="11"/>
      <c r="M2406" s="41"/>
      <c r="N2406" s="11"/>
    </row>
    <row r="2407" spans="8:14" x14ac:dyDescent="0.25">
      <c r="H2407" s="37"/>
      <c r="I2407" s="79"/>
      <c r="J2407" s="70"/>
      <c r="K2407" s="57"/>
      <c r="L2407" s="11"/>
      <c r="M2407" s="41"/>
      <c r="N2407" s="11"/>
    </row>
    <row r="2408" spans="8:14" x14ac:dyDescent="0.25">
      <c r="H2408" s="37"/>
      <c r="I2408" s="79"/>
      <c r="J2408" s="70"/>
      <c r="K2408" s="57"/>
      <c r="L2408" s="11"/>
      <c r="M2408" s="41"/>
      <c r="N2408" s="11"/>
    </row>
    <row r="2409" spans="8:14" x14ac:dyDescent="0.25">
      <c r="H2409" s="37"/>
      <c r="I2409" s="79"/>
      <c r="J2409" s="70"/>
      <c r="K2409" s="57"/>
      <c r="L2409" s="11"/>
      <c r="M2409" s="41"/>
      <c r="N2409" s="11"/>
    </row>
    <row r="2410" spans="8:14" x14ac:dyDescent="0.25">
      <c r="H2410" s="37"/>
      <c r="I2410" s="79"/>
      <c r="J2410" s="70"/>
      <c r="K2410" s="57"/>
      <c r="L2410" s="11"/>
      <c r="M2410" s="41"/>
      <c r="N2410" s="11"/>
    </row>
    <row r="2411" spans="8:14" x14ac:dyDescent="0.25">
      <c r="H2411" s="37"/>
      <c r="I2411" s="79"/>
      <c r="J2411" s="70"/>
      <c r="K2411" s="57"/>
      <c r="L2411" s="11"/>
      <c r="M2411" s="41"/>
      <c r="N2411" s="11"/>
    </row>
    <row r="2412" spans="8:14" x14ac:dyDescent="0.25">
      <c r="H2412" s="37"/>
      <c r="I2412" s="79"/>
      <c r="J2412" s="70"/>
      <c r="K2412" s="57"/>
      <c r="L2412" s="11"/>
      <c r="M2412" s="41"/>
      <c r="N2412" s="11"/>
    </row>
    <row r="2413" spans="8:14" x14ac:dyDescent="0.25">
      <c r="H2413" s="37"/>
      <c r="I2413" s="79"/>
      <c r="J2413" s="70"/>
      <c r="K2413" s="57"/>
      <c r="L2413" s="11"/>
      <c r="M2413" s="41"/>
      <c r="N2413" s="11"/>
    </row>
    <row r="2414" spans="8:14" x14ac:dyDescent="0.25">
      <c r="H2414" s="37"/>
      <c r="I2414" s="79"/>
      <c r="J2414" s="70"/>
      <c r="K2414" s="57"/>
      <c r="L2414" s="11"/>
      <c r="M2414" s="41"/>
      <c r="N2414" s="11"/>
    </row>
    <row r="2415" spans="8:14" x14ac:dyDescent="0.25">
      <c r="H2415" s="37"/>
      <c r="I2415" s="79"/>
      <c r="J2415" s="70"/>
      <c r="K2415" s="57"/>
      <c r="L2415" s="11"/>
      <c r="M2415" s="41"/>
      <c r="N2415" s="11"/>
    </row>
    <row r="2416" spans="8:14" x14ac:dyDescent="0.25">
      <c r="H2416" s="37"/>
      <c r="I2416" s="79"/>
      <c r="J2416" s="70"/>
      <c r="K2416" s="57"/>
      <c r="L2416" s="11"/>
      <c r="M2416" s="41"/>
      <c r="N2416" s="11"/>
    </row>
    <row r="2417" spans="8:14" x14ac:dyDescent="0.25">
      <c r="H2417" s="37"/>
      <c r="I2417" s="79"/>
      <c r="J2417" s="70"/>
      <c r="K2417" s="57"/>
      <c r="L2417" s="11"/>
      <c r="M2417" s="41"/>
      <c r="N2417" s="11"/>
    </row>
    <row r="2418" spans="8:14" x14ac:dyDescent="0.25">
      <c r="H2418" s="37"/>
      <c r="I2418" s="79"/>
      <c r="J2418" s="70"/>
      <c r="K2418" s="57"/>
      <c r="L2418" s="11"/>
      <c r="M2418" s="41"/>
      <c r="N2418" s="11"/>
    </row>
    <row r="2419" spans="8:14" x14ac:dyDescent="0.25">
      <c r="H2419" s="37"/>
      <c r="I2419" s="79"/>
      <c r="J2419" s="70"/>
      <c r="K2419" s="57"/>
      <c r="L2419" s="11"/>
      <c r="M2419" s="41"/>
      <c r="N2419" s="11"/>
    </row>
    <row r="2420" spans="8:14" x14ac:dyDescent="0.25">
      <c r="H2420" s="37"/>
      <c r="I2420" s="79"/>
      <c r="J2420" s="70"/>
      <c r="K2420" s="57"/>
      <c r="L2420" s="11"/>
      <c r="M2420" s="41"/>
      <c r="N2420" s="11"/>
    </row>
    <row r="2421" spans="8:14" x14ac:dyDescent="0.25">
      <c r="H2421" s="37"/>
      <c r="I2421" s="79"/>
      <c r="J2421" s="70"/>
      <c r="K2421" s="57"/>
      <c r="L2421" s="11"/>
      <c r="M2421" s="41"/>
      <c r="N2421" s="11"/>
    </row>
    <row r="2422" spans="8:14" x14ac:dyDescent="0.25">
      <c r="H2422" s="37"/>
      <c r="I2422" s="79"/>
      <c r="J2422" s="70"/>
      <c r="K2422" s="57"/>
      <c r="L2422" s="11"/>
      <c r="M2422" s="41"/>
      <c r="N2422" s="11"/>
    </row>
    <row r="2423" spans="8:14" x14ac:dyDescent="0.25">
      <c r="H2423" s="37"/>
      <c r="I2423" s="79"/>
      <c r="J2423" s="70"/>
      <c r="K2423" s="57"/>
      <c r="L2423" s="11"/>
      <c r="M2423" s="41"/>
      <c r="N2423" s="11"/>
    </row>
    <row r="2424" spans="8:14" x14ac:dyDescent="0.25">
      <c r="H2424" s="37"/>
      <c r="I2424" s="79"/>
      <c r="J2424" s="70"/>
      <c r="K2424" s="57"/>
      <c r="L2424" s="11"/>
      <c r="M2424" s="41"/>
      <c r="N2424" s="11"/>
    </row>
    <row r="2425" spans="8:14" x14ac:dyDescent="0.25">
      <c r="H2425" s="37"/>
      <c r="I2425" s="79"/>
      <c r="J2425" s="70"/>
      <c r="K2425" s="57"/>
      <c r="L2425" s="11"/>
      <c r="M2425" s="41"/>
      <c r="N2425" s="11"/>
    </row>
    <row r="2426" spans="8:14" x14ac:dyDescent="0.25">
      <c r="H2426" s="37"/>
      <c r="I2426" s="79"/>
      <c r="J2426" s="70"/>
      <c r="K2426" s="57"/>
      <c r="L2426" s="11"/>
      <c r="M2426" s="41"/>
      <c r="N2426" s="11"/>
    </row>
    <row r="2427" spans="8:14" x14ac:dyDescent="0.25">
      <c r="H2427" s="37"/>
      <c r="I2427" s="79"/>
      <c r="J2427" s="70"/>
      <c r="K2427" s="57"/>
      <c r="L2427" s="11"/>
      <c r="M2427" s="41"/>
      <c r="N2427" s="11"/>
    </row>
    <row r="2428" spans="8:14" x14ac:dyDescent="0.25">
      <c r="H2428" s="37"/>
      <c r="I2428" s="79"/>
      <c r="J2428" s="70"/>
      <c r="K2428" s="57"/>
      <c r="L2428" s="11"/>
      <c r="M2428" s="41"/>
      <c r="N2428" s="11"/>
    </row>
    <row r="2429" spans="8:14" x14ac:dyDescent="0.25">
      <c r="H2429" s="37"/>
      <c r="I2429" s="79"/>
      <c r="J2429" s="70"/>
      <c r="K2429" s="57"/>
      <c r="L2429" s="11"/>
      <c r="M2429" s="41"/>
      <c r="N2429" s="11"/>
    </row>
    <row r="2430" spans="8:14" x14ac:dyDescent="0.25">
      <c r="H2430" s="37"/>
      <c r="I2430" s="79"/>
      <c r="J2430" s="70"/>
      <c r="K2430" s="57"/>
      <c r="L2430" s="11"/>
      <c r="M2430" s="41"/>
      <c r="N2430" s="11"/>
    </row>
    <row r="2431" spans="8:14" x14ac:dyDescent="0.25">
      <c r="H2431" s="37"/>
      <c r="I2431" s="79"/>
      <c r="J2431" s="70"/>
      <c r="K2431" s="57"/>
      <c r="L2431" s="11"/>
      <c r="M2431" s="41"/>
      <c r="N2431" s="11"/>
    </row>
    <row r="2432" spans="8:14" x14ac:dyDescent="0.25">
      <c r="H2432" s="37"/>
      <c r="I2432" s="79"/>
      <c r="J2432" s="70"/>
      <c r="K2432" s="57"/>
      <c r="L2432" s="11"/>
      <c r="M2432" s="41"/>
      <c r="N2432" s="11"/>
    </row>
    <row r="2433" spans="8:14" x14ac:dyDescent="0.25">
      <c r="H2433" s="37"/>
      <c r="I2433" s="79"/>
      <c r="J2433" s="70"/>
      <c r="K2433" s="57"/>
      <c r="L2433" s="11"/>
      <c r="M2433" s="41"/>
      <c r="N2433" s="11"/>
    </row>
    <row r="2434" spans="8:14" x14ac:dyDescent="0.25">
      <c r="H2434" s="37"/>
      <c r="I2434" s="79"/>
      <c r="J2434" s="70"/>
      <c r="K2434" s="57"/>
      <c r="L2434" s="11"/>
      <c r="M2434" s="41"/>
      <c r="N2434" s="11"/>
    </row>
    <row r="2435" spans="8:14" x14ac:dyDescent="0.25">
      <c r="H2435" s="37"/>
      <c r="I2435" s="79"/>
      <c r="J2435" s="70"/>
      <c r="K2435" s="57"/>
      <c r="L2435" s="11"/>
      <c r="M2435" s="41"/>
      <c r="N2435" s="11"/>
    </row>
    <row r="2436" spans="8:14" x14ac:dyDescent="0.25">
      <c r="H2436" s="37"/>
      <c r="I2436" s="79"/>
      <c r="J2436" s="70"/>
      <c r="K2436" s="57"/>
      <c r="L2436" s="11"/>
      <c r="M2436" s="41"/>
      <c r="N2436" s="11"/>
    </row>
    <row r="2437" spans="8:14" x14ac:dyDescent="0.25">
      <c r="H2437" s="37"/>
      <c r="I2437" s="79"/>
      <c r="J2437" s="70"/>
      <c r="K2437" s="57"/>
      <c r="L2437" s="11"/>
      <c r="M2437" s="41"/>
      <c r="N2437" s="11"/>
    </row>
    <row r="2438" spans="8:14" x14ac:dyDescent="0.25">
      <c r="H2438" s="37"/>
      <c r="I2438" s="79"/>
      <c r="J2438" s="70"/>
      <c r="K2438" s="57"/>
      <c r="L2438" s="11"/>
      <c r="M2438" s="41"/>
      <c r="N2438" s="11"/>
    </row>
    <row r="2439" spans="8:14" x14ac:dyDescent="0.25">
      <c r="H2439" s="37"/>
      <c r="I2439" s="79"/>
      <c r="J2439" s="70"/>
      <c r="K2439" s="57"/>
      <c r="L2439" s="11"/>
      <c r="M2439" s="41"/>
      <c r="N2439" s="11"/>
    </row>
    <row r="2440" spans="8:14" x14ac:dyDescent="0.25">
      <c r="H2440" s="37"/>
      <c r="I2440" s="79"/>
      <c r="J2440" s="70"/>
      <c r="K2440" s="57"/>
      <c r="L2440" s="11"/>
      <c r="M2440" s="41"/>
      <c r="N2440" s="11"/>
    </row>
    <row r="2441" spans="8:14" x14ac:dyDescent="0.25">
      <c r="H2441" s="37"/>
      <c r="I2441" s="79"/>
      <c r="J2441" s="70"/>
      <c r="K2441" s="57"/>
      <c r="L2441" s="11"/>
      <c r="M2441" s="41"/>
      <c r="N2441" s="11"/>
    </row>
    <row r="2442" spans="8:14" x14ac:dyDescent="0.25">
      <c r="H2442" s="37"/>
      <c r="I2442" s="79"/>
      <c r="J2442" s="70"/>
      <c r="K2442" s="57"/>
      <c r="L2442" s="11"/>
      <c r="M2442" s="41"/>
      <c r="N2442" s="11"/>
    </row>
    <row r="2443" spans="8:14" x14ac:dyDescent="0.25">
      <c r="H2443" s="37"/>
      <c r="I2443" s="79"/>
      <c r="J2443" s="70"/>
      <c r="K2443" s="57"/>
      <c r="L2443" s="11"/>
      <c r="M2443" s="41"/>
      <c r="N2443" s="11"/>
    </row>
    <row r="2444" spans="8:14" x14ac:dyDescent="0.25">
      <c r="H2444" s="37"/>
      <c r="I2444" s="79"/>
      <c r="J2444" s="70"/>
      <c r="K2444" s="57"/>
      <c r="L2444" s="11"/>
      <c r="M2444" s="41"/>
      <c r="N2444" s="11"/>
    </row>
    <row r="2445" spans="8:14" x14ac:dyDescent="0.25">
      <c r="H2445" s="37"/>
      <c r="I2445" s="79"/>
      <c r="J2445" s="70"/>
      <c r="K2445" s="57"/>
      <c r="L2445" s="11"/>
      <c r="M2445" s="41"/>
      <c r="N2445" s="11"/>
    </row>
    <row r="2446" spans="8:14" x14ac:dyDescent="0.25">
      <c r="H2446" s="37"/>
      <c r="I2446" s="79"/>
      <c r="J2446" s="70"/>
      <c r="K2446" s="57"/>
      <c r="L2446" s="11"/>
      <c r="M2446" s="41"/>
      <c r="N2446" s="11"/>
    </row>
    <row r="2447" spans="8:14" x14ac:dyDescent="0.25">
      <c r="H2447" s="37"/>
      <c r="I2447" s="79"/>
      <c r="J2447" s="70"/>
      <c r="K2447" s="57"/>
      <c r="L2447" s="11"/>
      <c r="M2447" s="41"/>
      <c r="N2447" s="11"/>
    </row>
    <row r="2448" spans="8:14" x14ac:dyDescent="0.25">
      <c r="H2448" s="37"/>
      <c r="I2448" s="79"/>
      <c r="J2448" s="70"/>
      <c r="K2448" s="57"/>
      <c r="L2448" s="11"/>
      <c r="M2448" s="41"/>
      <c r="N2448" s="11"/>
    </row>
    <row r="2449" spans="8:14" x14ac:dyDescent="0.25">
      <c r="H2449" s="37"/>
      <c r="I2449" s="79"/>
      <c r="J2449" s="70"/>
      <c r="K2449" s="57"/>
      <c r="L2449" s="11"/>
      <c r="M2449" s="41"/>
      <c r="N2449" s="11"/>
    </row>
    <row r="2450" spans="8:14" x14ac:dyDescent="0.25">
      <c r="H2450" s="37"/>
      <c r="I2450" s="79"/>
      <c r="J2450" s="70"/>
      <c r="K2450" s="57"/>
      <c r="L2450" s="11"/>
      <c r="M2450" s="41"/>
      <c r="N2450" s="11"/>
    </row>
    <row r="2451" spans="8:14" x14ac:dyDescent="0.25">
      <c r="H2451" s="37"/>
      <c r="I2451" s="79"/>
      <c r="J2451" s="70"/>
      <c r="K2451" s="57"/>
      <c r="L2451" s="11"/>
      <c r="M2451" s="41"/>
      <c r="N2451" s="11"/>
    </row>
    <row r="2452" spans="8:14" x14ac:dyDescent="0.25">
      <c r="H2452" s="37"/>
      <c r="I2452" s="79"/>
      <c r="J2452" s="70"/>
      <c r="K2452" s="57"/>
      <c r="L2452" s="11"/>
      <c r="M2452" s="41"/>
      <c r="N2452" s="11"/>
    </row>
    <row r="2453" spans="8:14" x14ac:dyDescent="0.25">
      <c r="H2453" s="37"/>
      <c r="I2453" s="79"/>
      <c r="J2453" s="70"/>
      <c r="K2453" s="57"/>
      <c r="L2453" s="11"/>
      <c r="M2453" s="41"/>
      <c r="N2453" s="11"/>
    </row>
    <row r="2454" spans="8:14" x14ac:dyDescent="0.25">
      <c r="H2454" s="37"/>
      <c r="I2454" s="79"/>
      <c r="J2454" s="70"/>
      <c r="K2454" s="57"/>
      <c r="L2454" s="11"/>
      <c r="M2454" s="41"/>
      <c r="N2454" s="11"/>
    </row>
    <row r="2455" spans="8:14" x14ac:dyDescent="0.25">
      <c r="H2455" s="37"/>
      <c r="I2455" s="79"/>
      <c r="J2455" s="70"/>
      <c r="K2455" s="57"/>
      <c r="L2455" s="11"/>
      <c r="M2455" s="41"/>
      <c r="N2455" s="11"/>
    </row>
    <row r="2456" spans="8:14" x14ac:dyDescent="0.25">
      <c r="H2456" s="37"/>
      <c r="I2456" s="79"/>
      <c r="J2456" s="70"/>
      <c r="K2456" s="57"/>
      <c r="L2456" s="11"/>
      <c r="M2456" s="41"/>
      <c r="N2456" s="11"/>
    </row>
    <row r="2457" spans="8:14" x14ac:dyDescent="0.25">
      <c r="H2457" s="37"/>
      <c r="I2457" s="79"/>
      <c r="J2457" s="70"/>
      <c r="K2457" s="57"/>
      <c r="L2457" s="11"/>
      <c r="M2457" s="41"/>
      <c r="N2457" s="11"/>
    </row>
    <row r="2458" spans="8:14" x14ac:dyDescent="0.25">
      <c r="H2458" s="37"/>
      <c r="I2458" s="79"/>
      <c r="J2458" s="70"/>
      <c r="K2458" s="57"/>
      <c r="L2458" s="11"/>
      <c r="M2458" s="41"/>
      <c r="N2458" s="11"/>
    </row>
    <row r="2459" spans="8:14" x14ac:dyDescent="0.25">
      <c r="H2459" s="37"/>
      <c r="I2459" s="79"/>
      <c r="J2459" s="70"/>
      <c r="K2459" s="57"/>
      <c r="L2459" s="11"/>
      <c r="M2459" s="41"/>
      <c r="N2459" s="11"/>
    </row>
    <row r="2460" spans="8:14" x14ac:dyDescent="0.25">
      <c r="H2460" s="37"/>
      <c r="I2460" s="79"/>
      <c r="J2460" s="70"/>
      <c r="K2460" s="57"/>
      <c r="L2460" s="11"/>
      <c r="M2460" s="41"/>
      <c r="N2460" s="11"/>
    </row>
    <row r="2461" spans="8:14" x14ac:dyDescent="0.25">
      <c r="H2461" s="37"/>
      <c r="I2461" s="79"/>
      <c r="J2461" s="70"/>
      <c r="K2461" s="57"/>
      <c r="L2461" s="11"/>
      <c r="M2461" s="41"/>
      <c r="N2461" s="11"/>
    </row>
    <row r="2462" spans="8:14" x14ac:dyDescent="0.25">
      <c r="H2462" s="37"/>
      <c r="I2462" s="79"/>
      <c r="J2462" s="70"/>
      <c r="K2462" s="57"/>
      <c r="L2462" s="11"/>
      <c r="M2462" s="41"/>
      <c r="N2462" s="11"/>
    </row>
    <row r="2463" spans="8:14" x14ac:dyDescent="0.25">
      <c r="H2463" s="37"/>
      <c r="I2463" s="79"/>
      <c r="J2463" s="70"/>
      <c r="K2463" s="57"/>
      <c r="L2463" s="11"/>
      <c r="M2463" s="41"/>
      <c r="N2463" s="11"/>
    </row>
    <row r="2464" spans="8:14" x14ac:dyDescent="0.25">
      <c r="H2464" s="37"/>
      <c r="I2464" s="79"/>
      <c r="J2464" s="70"/>
      <c r="K2464" s="57"/>
      <c r="L2464" s="11"/>
      <c r="M2464" s="41"/>
      <c r="N2464" s="11"/>
    </row>
    <row r="2465" spans="8:14" x14ac:dyDescent="0.25">
      <c r="H2465" s="37"/>
      <c r="I2465" s="79"/>
      <c r="J2465" s="70"/>
      <c r="K2465" s="57"/>
      <c r="L2465" s="11"/>
      <c r="M2465" s="41"/>
      <c r="N2465" s="11"/>
    </row>
    <row r="2466" spans="8:14" x14ac:dyDescent="0.25">
      <c r="H2466" s="37"/>
      <c r="I2466" s="79"/>
      <c r="J2466" s="70"/>
      <c r="K2466" s="57"/>
      <c r="L2466" s="11"/>
      <c r="M2466" s="41"/>
      <c r="N2466" s="11"/>
    </row>
    <row r="2467" spans="8:14" x14ac:dyDescent="0.25">
      <c r="H2467" s="37"/>
      <c r="I2467" s="79"/>
      <c r="J2467" s="70"/>
      <c r="K2467" s="57"/>
      <c r="L2467" s="11"/>
      <c r="M2467" s="41"/>
      <c r="N2467" s="11"/>
    </row>
    <row r="2468" spans="8:14" x14ac:dyDescent="0.25">
      <c r="H2468" s="37"/>
      <c r="I2468" s="79"/>
      <c r="J2468" s="70"/>
      <c r="K2468" s="57"/>
      <c r="L2468" s="11"/>
      <c r="M2468" s="41"/>
      <c r="N2468" s="11"/>
    </row>
    <row r="2469" spans="8:14" x14ac:dyDescent="0.25">
      <c r="H2469" s="37"/>
      <c r="I2469" s="79"/>
      <c r="J2469" s="70"/>
      <c r="K2469" s="57"/>
      <c r="L2469" s="11"/>
      <c r="M2469" s="41"/>
      <c r="N2469" s="11"/>
    </row>
    <row r="2470" spans="8:14" x14ac:dyDescent="0.25">
      <c r="H2470" s="37"/>
      <c r="I2470" s="79"/>
      <c r="J2470" s="70"/>
      <c r="K2470" s="57"/>
      <c r="L2470" s="11"/>
      <c r="M2470" s="41"/>
      <c r="N2470" s="11"/>
    </row>
    <row r="2471" spans="8:14" x14ac:dyDescent="0.25">
      <c r="H2471" s="37"/>
      <c r="I2471" s="79"/>
      <c r="J2471" s="70"/>
      <c r="K2471" s="57"/>
      <c r="L2471" s="11"/>
      <c r="M2471" s="41"/>
      <c r="N2471" s="11"/>
    </row>
    <row r="2472" spans="8:14" x14ac:dyDescent="0.25">
      <c r="H2472" s="37"/>
      <c r="I2472" s="79"/>
      <c r="J2472" s="70"/>
      <c r="K2472" s="57"/>
      <c r="L2472" s="11"/>
      <c r="M2472" s="41"/>
      <c r="N2472" s="11"/>
    </row>
    <row r="2473" spans="8:14" x14ac:dyDescent="0.25">
      <c r="H2473" s="37"/>
      <c r="I2473" s="79"/>
      <c r="J2473" s="70"/>
      <c r="K2473" s="57"/>
      <c r="L2473" s="11"/>
      <c r="M2473" s="41"/>
      <c r="N2473" s="11"/>
    </row>
    <row r="2474" spans="8:14" x14ac:dyDescent="0.25">
      <c r="H2474" s="37"/>
      <c r="I2474" s="79"/>
      <c r="J2474" s="70"/>
      <c r="K2474" s="57"/>
      <c r="L2474" s="11"/>
      <c r="M2474" s="41"/>
      <c r="N2474" s="11"/>
    </row>
    <row r="2475" spans="8:14" x14ac:dyDescent="0.25">
      <c r="H2475" s="37"/>
      <c r="I2475" s="79"/>
      <c r="J2475" s="70"/>
      <c r="K2475" s="57"/>
      <c r="L2475" s="11"/>
      <c r="M2475" s="41"/>
      <c r="N2475" s="11"/>
    </row>
    <row r="2476" spans="8:14" x14ac:dyDescent="0.25">
      <c r="H2476" s="37"/>
      <c r="I2476" s="79"/>
      <c r="J2476" s="70"/>
      <c r="K2476" s="57"/>
      <c r="L2476" s="11"/>
      <c r="M2476" s="41"/>
      <c r="N2476" s="11"/>
    </row>
    <row r="2477" spans="8:14" x14ac:dyDescent="0.25">
      <c r="H2477" s="37"/>
      <c r="I2477" s="79"/>
      <c r="J2477" s="70"/>
      <c r="K2477" s="57"/>
      <c r="L2477" s="11"/>
      <c r="M2477" s="41"/>
      <c r="N2477" s="11"/>
    </row>
    <row r="2478" spans="8:14" x14ac:dyDescent="0.25">
      <c r="H2478" s="37"/>
      <c r="I2478" s="79"/>
      <c r="J2478" s="70"/>
      <c r="K2478" s="57"/>
      <c r="L2478" s="11"/>
      <c r="M2478" s="41"/>
      <c r="N2478" s="11"/>
    </row>
    <row r="2479" spans="8:14" x14ac:dyDescent="0.25">
      <c r="H2479" s="37"/>
      <c r="I2479" s="79"/>
      <c r="J2479" s="70"/>
      <c r="K2479" s="57"/>
      <c r="L2479" s="11"/>
      <c r="M2479" s="41"/>
      <c r="N2479" s="11"/>
    </row>
    <row r="2480" spans="8:14" x14ac:dyDescent="0.25">
      <c r="H2480" s="37"/>
      <c r="I2480" s="79"/>
      <c r="J2480" s="70"/>
      <c r="K2480" s="57"/>
      <c r="L2480" s="11"/>
      <c r="M2480" s="41"/>
      <c r="N2480" s="11"/>
    </row>
    <row r="2481" spans="8:14" x14ac:dyDescent="0.25">
      <c r="H2481" s="37"/>
      <c r="I2481" s="79"/>
      <c r="J2481" s="70"/>
      <c r="K2481" s="57"/>
      <c r="L2481" s="11"/>
      <c r="M2481" s="41"/>
      <c r="N2481" s="11"/>
    </row>
    <row r="2482" spans="8:14" x14ac:dyDescent="0.25">
      <c r="H2482" s="37"/>
      <c r="I2482" s="79"/>
      <c r="J2482" s="70"/>
      <c r="K2482" s="57"/>
      <c r="L2482" s="11"/>
      <c r="M2482" s="41"/>
      <c r="N2482" s="11"/>
    </row>
    <row r="2483" spans="8:14" x14ac:dyDescent="0.25">
      <c r="H2483" s="37"/>
      <c r="I2483" s="79"/>
      <c r="J2483" s="70"/>
      <c r="K2483" s="57"/>
      <c r="L2483" s="11"/>
      <c r="M2483" s="41"/>
      <c r="N2483" s="11"/>
    </row>
    <row r="2484" spans="8:14" x14ac:dyDescent="0.25">
      <c r="H2484" s="37"/>
      <c r="I2484" s="79"/>
      <c r="J2484" s="70"/>
      <c r="K2484" s="57"/>
      <c r="L2484" s="11"/>
      <c r="M2484" s="41"/>
      <c r="N2484" s="11"/>
    </row>
    <row r="2485" spans="8:14" x14ac:dyDescent="0.25">
      <c r="H2485" s="37"/>
      <c r="I2485" s="79"/>
      <c r="J2485" s="70"/>
      <c r="K2485" s="57"/>
      <c r="L2485" s="11"/>
      <c r="M2485" s="41"/>
      <c r="N2485" s="11"/>
    </row>
    <row r="2486" spans="8:14" x14ac:dyDescent="0.25">
      <c r="H2486" s="37"/>
      <c r="I2486" s="79"/>
      <c r="J2486" s="70"/>
      <c r="K2486" s="57"/>
      <c r="L2486" s="11"/>
      <c r="M2486" s="41"/>
      <c r="N2486" s="11"/>
    </row>
    <row r="2487" spans="8:14" x14ac:dyDescent="0.25">
      <c r="H2487" s="37"/>
      <c r="I2487" s="79"/>
      <c r="J2487" s="70"/>
      <c r="K2487" s="57"/>
      <c r="L2487" s="11"/>
      <c r="M2487" s="41"/>
      <c r="N2487" s="11"/>
    </row>
    <row r="2488" spans="8:14" x14ac:dyDescent="0.25">
      <c r="H2488" s="37"/>
      <c r="I2488" s="79"/>
      <c r="J2488" s="70"/>
      <c r="K2488" s="57"/>
      <c r="L2488" s="11"/>
      <c r="M2488" s="41"/>
      <c r="N2488" s="11"/>
    </row>
    <row r="2489" spans="8:14" x14ac:dyDescent="0.25">
      <c r="H2489" s="37"/>
      <c r="I2489" s="79"/>
      <c r="J2489" s="70"/>
      <c r="K2489" s="57"/>
      <c r="L2489" s="11"/>
      <c r="M2489" s="41"/>
      <c r="N2489" s="11"/>
    </row>
    <row r="2490" spans="8:14" x14ac:dyDescent="0.25">
      <c r="H2490" s="37"/>
      <c r="I2490" s="79"/>
      <c r="J2490" s="70"/>
      <c r="K2490" s="57"/>
      <c r="L2490" s="11"/>
      <c r="M2490" s="41"/>
      <c r="N2490" s="11"/>
    </row>
    <row r="2491" spans="8:14" x14ac:dyDescent="0.25">
      <c r="H2491" s="37"/>
      <c r="I2491" s="79"/>
      <c r="J2491" s="70"/>
      <c r="K2491" s="57"/>
      <c r="L2491" s="11"/>
      <c r="M2491" s="41"/>
      <c r="N2491" s="11"/>
    </row>
    <row r="2492" spans="8:14" x14ac:dyDescent="0.25">
      <c r="H2492" s="37"/>
      <c r="I2492" s="79"/>
      <c r="J2492" s="70"/>
      <c r="K2492" s="57"/>
      <c r="L2492" s="11"/>
      <c r="M2492" s="41"/>
      <c r="N2492" s="11"/>
    </row>
    <row r="2493" spans="8:14" x14ac:dyDescent="0.25">
      <c r="H2493" s="37"/>
      <c r="I2493" s="79"/>
      <c r="J2493" s="70"/>
      <c r="K2493" s="57"/>
      <c r="L2493" s="11"/>
      <c r="M2493" s="41"/>
      <c r="N2493" s="11"/>
    </row>
    <row r="2494" spans="8:14" x14ac:dyDescent="0.25">
      <c r="H2494" s="37"/>
      <c r="I2494" s="79"/>
      <c r="J2494" s="70"/>
      <c r="K2494" s="57"/>
      <c r="L2494" s="11"/>
      <c r="M2494" s="41"/>
      <c r="N2494" s="11"/>
    </row>
    <row r="2495" spans="8:14" x14ac:dyDescent="0.25">
      <c r="H2495" s="37"/>
      <c r="I2495" s="79"/>
      <c r="J2495" s="70"/>
      <c r="K2495" s="57"/>
      <c r="L2495" s="11"/>
      <c r="M2495" s="41"/>
      <c r="N2495" s="11"/>
    </row>
    <row r="2496" spans="8:14" x14ac:dyDescent="0.25">
      <c r="H2496" s="37"/>
      <c r="I2496" s="79"/>
      <c r="J2496" s="70"/>
      <c r="K2496" s="57"/>
      <c r="L2496" s="11"/>
      <c r="M2496" s="41"/>
      <c r="N2496" s="11"/>
    </row>
    <row r="2497" spans="8:14" x14ac:dyDescent="0.25">
      <c r="H2497" s="37"/>
      <c r="I2497" s="79"/>
      <c r="J2497" s="70"/>
      <c r="K2497" s="57"/>
      <c r="L2497" s="11"/>
      <c r="M2497" s="41"/>
      <c r="N2497" s="11"/>
    </row>
    <row r="2498" spans="8:14" x14ac:dyDescent="0.25">
      <c r="H2498" s="37"/>
      <c r="I2498" s="79"/>
      <c r="J2498" s="70"/>
      <c r="K2498" s="57"/>
      <c r="L2498" s="11"/>
      <c r="M2498" s="41"/>
      <c r="N2498" s="11"/>
    </row>
    <row r="2499" spans="8:14" x14ac:dyDescent="0.25">
      <c r="H2499" s="37"/>
      <c r="I2499" s="79"/>
      <c r="J2499" s="70"/>
      <c r="K2499" s="57"/>
      <c r="L2499" s="11"/>
      <c r="M2499" s="41"/>
      <c r="N2499" s="11"/>
    </row>
    <row r="2500" spans="8:14" x14ac:dyDescent="0.25">
      <c r="H2500" s="37"/>
      <c r="I2500" s="79"/>
      <c r="J2500" s="70"/>
      <c r="K2500" s="57"/>
      <c r="L2500" s="11"/>
      <c r="M2500" s="41"/>
      <c r="N2500" s="11"/>
    </row>
    <row r="2501" spans="8:14" x14ac:dyDescent="0.25">
      <c r="H2501" s="37"/>
      <c r="I2501" s="79"/>
      <c r="J2501" s="70"/>
      <c r="K2501" s="57"/>
      <c r="L2501" s="11"/>
      <c r="M2501" s="41"/>
      <c r="N2501" s="11"/>
    </row>
    <row r="2502" spans="8:14" x14ac:dyDescent="0.25">
      <c r="H2502" s="37"/>
      <c r="I2502" s="79"/>
      <c r="J2502" s="70"/>
      <c r="K2502" s="57"/>
      <c r="L2502" s="11"/>
      <c r="M2502" s="41"/>
      <c r="N2502" s="11"/>
    </row>
    <row r="2503" spans="8:14" x14ac:dyDescent="0.25">
      <c r="H2503" s="37"/>
      <c r="I2503" s="79"/>
      <c r="J2503" s="70"/>
      <c r="K2503" s="57"/>
      <c r="L2503" s="11"/>
      <c r="M2503" s="41"/>
      <c r="N2503" s="11"/>
    </row>
    <row r="2504" spans="8:14" x14ac:dyDescent="0.25">
      <c r="H2504" s="37"/>
      <c r="I2504" s="79"/>
      <c r="J2504" s="70"/>
      <c r="K2504" s="57"/>
      <c r="L2504" s="11"/>
      <c r="M2504" s="41"/>
      <c r="N2504" s="11"/>
    </row>
    <row r="2505" spans="8:14" x14ac:dyDescent="0.25">
      <c r="H2505" s="37"/>
      <c r="I2505" s="79"/>
      <c r="J2505" s="70"/>
      <c r="K2505" s="57"/>
      <c r="L2505" s="11"/>
      <c r="M2505" s="41"/>
      <c r="N2505" s="11"/>
    </row>
    <row r="2506" spans="8:14" x14ac:dyDescent="0.25">
      <c r="H2506" s="37"/>
      <c r="I2506" s="79"/>
      <c r="J2506" s="70"/>
      <c r="K2506" s="57"/>
      <c r="L2506" s="11"/>
      <c r="M2506" s="41"/>
      <c r="N2506" s="11"/>
    </row>
    <row r="2507" spans="8:14" x14ac:dyDescent="0.25">
      <c r="H2507" s="37"/>
      <c r="I2507" s="79"/>
      <c r="J2507" s="70"/>
      <c r="K2507" s="57"/>
      <c r="L2507" s="11"/>
      <c r="M2507" s="41"/>
      <c r="N2507" s="11"/>
    </row>
    <row r="2508" spans="8:14" x14ac:dyDescent="0.25">
      <c r="H2508" s="37"/>
      <c r="I2508" s="79"/>
      <c r="J2508" s="70"/>
      <c r="K2508" s="57"/>
      <c r="L2508" s="11"/>
      <c r="M2508" s="41"/>
      <c r="N2508" s="11"/>
    </row>
    <row r="2509" spans="8:14" x14ac:dyDescent="0.25">
      <c r="H2509" s="37"/>
      <c r="I2509" s="79"/>
      <c r="J2509" s="70"/>
      <c r="K2509" s="57"/>
      <c r="L2509" s="11"/>
      <c r="M2509" s="41"/>
      <c r="N2509" s="11"/>
    </row>
    <row r="2510" spans="8:14" x14ac:dyDescent="0.25">
      <c r="H2510" s="37"/>
      <c r="I2510" s="79"/>
      <c r="J2510" s="70"/>
      <c r="K2510" s="57"/>
      <c r="L2510" s="11"/>
      <c r="M2510" s="41"/>
      <c r="N2510" s="11"/>
    </row>
    <row r="2511" spans="8:14" x14ac:dyDescent="0.25">
      <c r="H2511" s="37"/>
      <c r="I2511" s="79"/>
      <c r="J2511" s="70"/>
      <c r="K2511" s="57"/>
      <c r="L2511" s="11"/>
      <c r="M2511" s="41"/>
      <c r="N2511" s="11"/>
    </row>
    <row r="2512" spans="8:14" x14ac:dyDescent="0.25">
      <c r="H2512" s="37"/>
      <c r="I2512" s="79"/>
      <c r="J2512" s="70"/>
      <c r="K2512" s="57"/>
      <c r="L2512" s="11"/>
      <c r="M2512" s="41"/>
      <c r="N2512" s="11"/>
    </row>
    <row r="2513" spans="8:14" x14ac:dyDescent="0.25">
      <c r="H2513" s="37"/>
      <c r="I2513" s="79"/>
      <c r="J2513" s="70"/>
      <c r="K2513" s="57"/>
      <c r="L2513" s="11"/>
      <c r="M2513" s="41"/>
      <c r="N2513" s="11"/>
    </row>
    <row r="2514" spans="8:14" x14ac:dyDescent="0.25">
      <c r="H2514" s="37"/>
      <c r="I2514" s="79"/>
      <c r="J2514" s="70"/>
      <c r="K2514" s="57"/>
      <c r="L2514" s="11"/>
      <c r="M2514" s="41"/>
      <c r="N2514" s="11"/>
    </row>
    <row r="2515" spans="8:14" x14ac:dyDescent="0.25">
      <c r="H2515" s="37"/>
      <c r="I2515" s="79"/>
      <c r="J2515" s="70"/>
      <c r="K2515" s="57"/>
      <c r="L2515" s="11"/>
      <c r="M2515" s="41"/>
      <c r="N2515" s="11"/>
    </row>
    <row r="2516" spans="8:14" x14ac:dyDescent="0.25">
      <c r="H2516" s="37"/>
      <c r="I2516" s="79"/>
      <c r="J2516" s="70"/>
      <c r="K2516" s="57"/>
      <c r="L2516" s="11"/>
      <c r="M2516" s="41"/>
      <c r="N2516" s="11"/>
    </row>
    <row r="2517" spans="8:14" x14ac:dyDescent="0.25">
      <c r="H2517" s="37"/>
      <c r="I2517" s="79"/>
      <c r="J2517" s="70"/>
      <c r="K2517" s="57"/>
      <c r="L2517" s="11"/>
      <c r="M2517" s="41"/>
      <c r="N2517" s="11"/>
    </row>
    <row r="2518" spans="8:14" x14ac:dyDescent="0.25">
      <c r="H2518" s="37"/>
      <c r="I2518" s="79"/>
      <c r="J2518" s="70"/>
      <c r="K2518" s="57"/>
      <c r="L2518" s="11"/>
      <c r="M2518" s="41"/>
      <c r="N2518" s="11"/>
    </row>
    <row r="2519" spans="8:14" x14ac:dyDescent="0.25">
      <c r="H2519" s="37"/>
      <c r="I2519" s="79"/>
      <c r="J2519" s="70"/>
      <c r="K2519" s="57"/>
      <c r="L2519" s="11"/>
      <c r="M2519" s="41"/>
      <c r="N2519" s="11"/>
    </row>
    <row r="2520" spans="8:14" x14ac:dyDescent="0.25">
      <c r="H2520" s="37"/>
      <c r="I2520" s="79"/>
      <c r="J2520" s="70"/>
      <c r="K2520" s="57"/>
      <c r="L2520" s="11"/>
      <c r="M2520" s="41"/>
      <c r="N2520" s="11"/>
    </row>
    <row r="2521" spans="8:14" x14ac:dyDescent="0.25">
      <c r="H2521" s="37"/>
      <c r="I2521" s="79"/>
      <c r="J2521" s="70"/>
      <c r="K2521" s="57"/>
      <c r="L2521" s="11"/>
      <c r="M2521" s="41"/>
      <c r="N2521" s="11"/>
    </row>
    <row r="2522" spans="8:14" x14ac:dyDescent="0.25">
      <c r="H2522" s="37"/>
      <c r="I2522" s="79"/>
      <c r="J2522" s="70"/>
      <c r="K2522" s="57"/>
      <c r="L2522" s="11"/>
      <c r="M2522" s="41"/>
      <c r="N2522" s="11"/>
    </row>
    <row r="2523" spans="8:14" x14ac:dyDescent="0.25">
      <c r="H2523" s="37"/>
      <c r="I2523" s="79"/>
      <c r="J2523" s="70"/>
      <c r="K2523" s="57"/>
      <c r="L2523" s="11"/>
      <c r="M2523" s="41"/>
      <c r="N2523" s="11"/>
    </row>
    <row r="2524" spans="8:14" x14ac:dyDescent="0.25">
      <c r="H2524" s="37"/>
      <c r="I2524" s="79"/>
      <c r="J2524" s="70"/>
      <c r="K2524" s="57"/>
      <c r="L2524" s="11"/>
      <c r="M2524" s="41"/>
      <c r="N2524" s="11"/>
    </row>
    <row r="2525" spans="8:14" x14ac:dyDescent="0.25">
      <c r="H2525" s="37"/>
      <c r="I2525" s="79"/>
      <c r="J2525" s="70"/>
      <c r="K2525" s="57"/>
      <c r="L2525" s="11"/>
      <c r="M2525" s="41"/>
      <c r="N2525" s="11"/>
    </row>
    <row r="2526" spans="8:14" x14ac:dyDescent="0.25">
      <c r="H2526" s="37"/>
      <c r="I2526" s="79"/>
      <c r="J2526" s="70"/>
      <c r="K2526" s="57"/>
      <c r="L2526" s="11"/>
      <c r="M2526" s="41"/>
      <c r="N2526" s="11"/>
    </row>
    <row r="2527" spans="8:14" x14ac:dyDescent="0.25">
      <c r="H2527" s="37"/>
      <c r="I2527" s="79"/>
      <c r="J2527" s="70"/>
      <c r="K2527" s="57"/>
      <c r="L2527" s="11"/>
      <c r="M2527" s="41"/>
      <c r="N2527" s="11"/>
    </row>
    <row r="2528" spans="8:14" x14ac:dyDescent="0.25">
      <c r="H2528" s="37"/>
      <c r="I2528" s="79"/>
      <c r="J2528" s="70"/>
      <c r="K2528" s="57"/>
      <c r="L2528" s="11"/>
      <c r="M2528" s="41"/>
      <c r="N2528" s="11"/>
    </row>
    <row r="2529" spans="8:14" x14ac:dyDescent="0.25">
      <c r="H2529" s="37"/>
      <c r="I2529" s="79"/>
      <c r="J2529" s="70"/>
      <c r="K2529" s="57"/>
      <c r="L2529" s="11"/>
      <c r="M2529" s="41"/>
      <c r="N2529" s="11"/>
    </row>
    <row r="2530" spans="8:14" x14ac:dyDescent="0.25">
      <c r="H2530" s="37"/>
      <c r="I2530" s="79"/>
      <c r="J2530" s="70"/>
      <c r="K2530" s="57"/>
      <c r="L2530" s="11"/>
      <c r="M2530" s="41"/>
      <c r="N2530" s="11"/>
    </row>
    <row r="2531" spans="8:14" x14ac:dyDescent="0.25">
      <c r="H2531" s="37"/>
      <c r="I2531" s="79"/>
      <c r="J2531" s="70"/>
      <c r="K2531" s="57"/>
      <c r="L2531" s="11"/>
      <c r="M2531" s="41"/>
      <c r="N2531" s="11"/>
    </row>
    <row r="2532" spans="8:14" x14ac:dyDescent="0.25">
      <c r="H2532" s="37"/>
      <c r="I2532" s="79"/>
      <c r="J2532" s="70"/>
      <c r="K2532" s="57"/>
      <c r="L2532" s="11"/>
      <c r="M2532" s="41"/>
      <c r="N2532" s="11"/>
    </row>
    <row r="2533" spans="8:14" x14ac:dyDescent="0.25">
      <c r="H2533" s="37"/>
      <c r="I2533" s="79"/>
      <c r="J2533" s="70"/>
      <c r="K2533" s="57"/>
      <c r="L2533" s="11"/>
      <c r="M2533" s="41"/>
      <c r="N2533" s="11"/>
    </row>
    <row r="2534" spans="8:14" x14ac:dyDescent="0.25">
      <c r="H2534" s="37"/>
      <c r="I2534" s="79"/>
      <c r="J2534" s="70"/>
      <c r="K2534" s="57"/>
      <c r="L2534" s="11"/>
      <c r="M2534" s="41"/>
      <c r="N2534" s="11"/>
    </row>
    <row r="2535" spans="8:14" x14ac:dyDescent="0.25">
      <c r="H2535" s="37"/>
      <c r="I2535" s="79"/>
      <c r="J2535" s="70"/>
      <c r="K2535" s="57"/>
      <c r="L2535" s="11"/>
      <c r="M2535" s="41"/>
      <c r="N2535" s="11"/>
    </row>
    <row r="2536" spans="8:14" x14ac:dyDescent="0.25">
      <c r="H2536" s="37"/>
      <c r="I2536" s="79"/>
      <c r="J2536" s="70"/>
      <c r="K2536" s="57"/>
      <c r="L2536" s="11"/>
      <c r="M2536" s="41"/>
      <c r="N2536" s="11"/>
    </row>
    <row r="2537" spans="8:14" x14ac:dyDescent="0.25">
      <c r="H2537" s="37"/>
      <c r="I2537" s="79"/>
      <c r="J2537" s="70"/>
      <c r="K2537" s="57"/>
      <c r="L2537" s="11"/>
      <c r="M2537" s="41"/>
      <c r="N2537" s="11"/>
    </row>
    <row r="2538" spans="8:14" x14ac:dyDescent="0.25">
      <c r="H2538" s="37"/>
      <c r="I2538" s="79"/>
      <c r="J2538" s="70"/>
      <c r="K2538" s="57"/>
      <c r="L2538" s="11"/>
      <c r="M2538" s="41"/>
      <c r="N2538" s="11"/>
    </row>
    <row r="2539" spans="8:14" x14ac:dyDescent="0.25">
      <c r="H2539" s="37"/>
      <c r="I2539" s="79"/>
      <c r="J2539" s="70"/>
      <c r="K2539" s="57"/>
      <c r="L2539" s="11"/>
      <c r="M2539" s="41"/>
      <c r="N2539" s="11"/>
    </row>
    <row r="2540" spans="8:14" x14ac:dyDescent="0.25">
      <c r="H2540" s="37"/>
      <c r="I2540" s="79"/>
      <c r="J2540" s="70"/>
      <c r="K2540" s="57"/>
      <c r="L2540" s="11"/>
      <c r="M2540" s="41"/>
      <c r="N2540" s="11"/>
    </row>
    <row r="2541" spans="8:14" x14ac:dyDescent="0.25">
      <c r="H2541" s="37"/>
      <c r="I2541" s="79"/>
      <c r="J2541" s="70"/>
      <c r="K2541" s="57"/>
      <c r="L2541" s="11"/>
      <c r="M2541" s="41"/>
      <c r="N2541" s="11"/>
    </row>
    <row r="2542" spans="8:14" x14ac:dyDescent="0.25">
      <c r="H2542" s="37"/>
      <c r="I2542" s="79"/>
      <c r="J2542" s="70"/>
      <c r="K2542" s="57"/>
      <c r="L2542" s="11"/>
      <c r="M2542" s="41"/>
      <c r="N2542" s="11"/>
    </row>
    <row r="2543" spans="8:14" x14ac:dyDescent="0.25">
      <c r="H2543" s="37"/>
      <c r="I2543" s="79"/>
      <c r="J2543" s="70"/>
      <c r="K2543" s="57"/>
      <c r="L2543" s="11"/>
      <c r="M2543" s="41"/>
      <c r="N2543" s="11"/>
    </row>
    <row r="2544" spans="8:14" x14ac:dyDescent="0.25">
      <c r="H2544" s="37"/>
      <c r="I2544" s="79"/>
      <c r="J2544" s="70"/>
      <c r="K2544" s="57"/>
      <c r="L2544" s="11"/>
      <c r="M2544" s="41"/>
      <c r="N2544" s="11"/>
    </row>
    <row r="2545" spans="8:14" x14ac:dyDescent="0.25">
      <c r="H2545" s="37"/>
      <c r="I2545" s="79"/>
      <c r="J2545" s="70"/>
      <c r="K2545" s="57"/>
      <c r="L2545" s="11"/>
      <c r="M2545" s="41"/>
      <c r="N2545" s="11"/>
    </row>
    <row r="2546" spans="8:14" x14ac:dyDescent="0.25">
      <c r="H2546" s="37"/>
      <c r="I2546" s="79"/>
      <c r="J2546" s="70"/>
      <c r="K2546" s="57"/>
      <c r="L2546" s="11"/>
      <c r="M2546" s="41"/>
      <c r="N2546" s="11"/>
    </row>
    <row r="2547" spans="8:14" x14ac:dyDescent="0.25">
      <c r="H2547" s="37"/>
      <c r="I2547" s="79"/>
      <c r="J2547" s="70"/>
      <c r="K2547" s="57"/>
      <c r="L2547" s="11"/>
      <c r="M2547" s="41"/>
      <c r="N2547" s="11"/>
    </row>
    <row r="2548" spans="8:14" x14ac:dyDescent="0.25">
      <c r="H2548" s="37"/>
      <c r="I2548" s="79"/>
      <c r="J2548" s="70"/>
      <c r="K2548" s="57"/>
      <c r="L2548" s="11"/>
      <c r="M2548" s="41"/>
      <c r="N2548" s="11"/>
    </row>
    <row r="2549" spans="8:14" x14ac:dyDescent="0.25">
      <c r="H2549" s="37"/>
      <c r="I2549" s="79"/>
      <c r="J2549" s="70"/>
      <c r="K2549" s="57"/>
      <c r="L2549" s="11"/>
      <c r="M2549" s="41"/>
      <c r="N2549" s="11"/>
    </row>
    <row r="2550" spans="8:14" x14ac:dyDescent="0.25">
      <c r="H2550" s="37"/>
      <c r="I2550" s="79"/>
      <c r="J2550" s="70"/>
      <c r="K2550" s="57"/>
      <c r="L2550" s="11"/>
      <c r="M2550" s="41"/>
      <c r="N2550" s="11"/>
    </row>
    <row r="2551" spans="8:14" x14ac:dyDescent="0.25">
      <c r="H2551" s="37"/>
      <c r="I2551" s="79"/>
      <c r="J2551" s="70"/>
      <c r="K2551" s="57"/>
      <c r="L2551" s="11"/>
      <c r="M2551" s="41"/>
      <c r="N2551" s="11"/>
    </row>
    <row r="2552" spans="8:14" x14ac:dyDescent="0.25">
      <c r="H2552" s="37"/>
      <c r="I2552" s="79"/>
      <c r="J2552" s="70"/>
      <c r="K2552" s="57"/>
      <c r="L2552" s="11"/>
      <c r="M2552" s="41"/>
      <c r="N2552" s="11"/>
    </row>
    <row r="2553" spans="8:14" x14ac:dyDescent="0.25">
      <c r="H2553" s="37"/>
      <c r="I2553" s="79"/>
      <c r="J2553" s="70"/>
      <c r="K2553" s="57"/>
      <c r="L2553" s="11"/>
      <c r="M2553" s="41"/>
      <c r="N2553" s="11"/>
    </row>
    <row r="2554" spans="8:14" x14ac:dyDescent="0.25">
      <c r="H2554" s="37"/>
      <c r="I2554" s="79"/>
      <c r="J2554" s="70"/>
      <c r="K2554" s="57"/>
      <c r="L2554" s="11"/>
      <c r="M2554" s="41"/>
      <c r="N2554" s="11"/>
    </row>
    <row r="2555" spans="8:14" x14ac:dyDescent="0.25">
      <c r="H2555" s="37"/>
      <c r="I2555" s="79"/>
      <c r="J2555" s="70"/>
      <c r="K2555" s="57"/>
      <c r="L2555" s="11"/>
      <c r="M2555" s="41"/>
      <c r="N2555" s="11"/>
    </row>
    <row r="2556" spans="8:14" x14ac:dyDescent="0.25">
      <c r="H2556" s="37"/>
      <c r="I2556" s="79"/>
      <c r="J2556" s="70"/>
      <c r="K2556" s="57"/>
      <c r="L2556" s="11"/>
      <c r="M2556" s="41"/>
      <c r="N2556" s="11"/>
    </row>
    <row r="2557" spans="8:14" x14ac:dyDescent="0.25">
      <c r="H2557" s="37"/>
      <c r="I2557" s="79"/>
      <c r="J2557" s="70"/>
      <c r="K2557" s="57"/>
      <c r="L2557" s="11"/>
      <c r="M2557" s="41"/>
      <c r="N2557" s="11"/>
    </row>
    <row r="2558" spans="8:14" x14ac:dyDescent="0.25">
      <c r="H2558" s="37"/>
      <c r="I2558" s="79"/>
      <c r="J2558" s="70"/>
      <c r="K2558" s="57"/>
      <c r="L2558" s="11"/>
      <c r="M2558" s="41"/>
      <c r="N2558" s="11"/>
    </row>
    <row r="2559" spans="8:14" x14ac:dyDescent="0.25">
      <c r="H2559" s="37"/>
      <c r="I2559" s="79"/>
      <c r="J2559" s="70"/>
      <c r="K2559" s="57"/>
      <c r="L2559" s="11"/>
      <c r="M2559" s="41"/>
      <c r="N2559" s="11"/>
    </row>
    <row r="2560" spans="8:14" x14ac:dyDescent="0.25">
      <c r="H2560" s="37"/>
      <c r="I2560" s="79"/>
      <c r="J2560" s="70"/>
      <c r="K2560" s="57"/>
      <c r="L2560" s="11"/>
      <c r="M2560" s="41"/>
      <c r="N2560" s="11"/>
    </row>
    <row r="2561" spans="8:14" x14ac:dyDescent="0.25">
      <c r="H2561" s="37"/>
      <c r="I2561" s="79"/>
      <c r="J2561" s="70"/>
      <c r="K2561" s="57"/>
      <c r="L2561" s="11"/>
      <c r="M2561" s="41"/>
      <c r="N2561" s="11"/>
    </row>
    <row r="2562" spans="8:14" x14ac:dyDescent="0.25">
      <c r="H2562" s="37"/>
      <c r="I2562" s="79"/>
      <c r="J2562" s="70"/>
      <c r="K2562" s="57"/>
      <c r="L2562" s="11"/>
      <c r="M2562" s="41"/>
      <c r="N2562" s="11"/>
    </row>
    <row r="2563" spans="8:14" x14ac:dyDescent="0.25">
      <c r="H2563" s="37"/>
      <c r="I2563" s="79"/>
      <c r="J2563" s="70"/>
      <c r="K2563" s="57"/>
      <c r="L2563" s="11"/>
      <c r="M2563" s="41"/>
      <c r="N2563" s="11"/>
    </row>
    <row r="2564" spans="8:14" x14ac:dyDescent="0.25">
      <c r="H2564" s="37"/>
      <c r="I2564" s="79"/>
      <c r="J2564" s="70"/>
      <c r="K2564" s="57"/>
      <c r="L2564" s="11"/>
      <c r="M2564" s="41"/>
      <c r="N2564" s="11"/>
    </row>
    <row r="2565" spans="8:14" x14ac:dyDescent="0.25">
      <c r="H2565" s="37"/>
      <c r="I2565" s="79"/>
      <c r="J2565" s="70"/>
      <c r="K2565" s="57"/>
      <c r="L2565" s="11"/>
      <c r="M2565" s="41"/>
      <c r="N2565" s="11"/>
    </row>
    <row r="2566" spans="8:14" x14ac:dyDescent="0.25">
      <c r="H2566" s="37"/>
      <c r="I2566" s="79"/>
      <c r="J2566" s="70"/>
      <c r="K2566" s="57"/>
      <c r="L2566" s="11"/>
      <c r="M2566" s="41"/>
      <c r="N2566" s="11"/>
    </row>
    <row r="2567" spans="8:14" x14ac:dyDescent="0.25">
      <c r="H2567" s="37"/>
      <c r="I2567" s="79"/>
      <c r="J2567" s="70"/>
      <c r="K2567" s="57"/>
      <c r="L2567" s="11"/>
      <c r="M2567" s="41"/>
      <c r="N2567" s="11"/>
    </row>
    <row r="2568" spans="8:14" x14ac:dyDescent="0.25">
      <c r="H2568" s="37"/>
      <c r="I2568" s="79"/>
      <c r="J2568" s="70"/>
      <c r="K2568" s="57"/>
      <c r="L2568" s="11"/>
      <c r="M2568" s="41"/>
      <c r="N2568" s="11"/>
    </row>
    <row r="2569" spans="8:14" x14ac:dyDescent="0.25">
      <c r="H2569" s="37"/>
      <c r="I2569" s="79"/>
      <c r="J2569" s="70"/>
      <c r="K2569" s="57"/>
      <c r="L2569" s="11"/>
      <c r="M2569" s="41"/>
      <c r="N2569" s="11"/>
    </row>
    <row r="2570" spans="8:14" x14ac:dyDescent="0.25">
      <c r="H2570" s="37"/>
      <c r="I2570" s="79"/>
      <c r="J2570" s="70"/>
      <c r="K2570" s="57"/>
      <c r="L2570" s="11"/>
      <c r="M2570" s="41"/>
      <c r="N2570" s="11"/>
    </row>
    <row r="2571" spans="8:14" x14ac:dyDescent="0.25">
      <c r="H2571" s="37"/>
      <c r="I2571" s="79"/>
      <c r="J2571" s="70"/>
      <c r="K2571" s="57"/>
      <c r="L2571" s="11"/>
      <c r="M2571" s="41"/>
      <c r="N2571" s="11"/>
    </row>
    <row r="2572" spans="8:14" x14ac:dyDescent="0.25">
      <c r="H2572" s="37"/>
      <c r="I2572" s="79"/>
      <c r="J2572" s="70"/>
      <c r="K2572" s="57"/>
      <c r="L2572" s="11"/>
      <c r="M2572" s="41"/>
      <c r="N2572" s="11"/>
    </row>
    <row r="2573" spans="8:14" x14ac:dyDescent="0.25">
      <c r="H2573" s="37"/>
      <c r="I2573" s="79"/>
      <c r="J2573" s="70"/>
      <c r="K2573" s="57"/>
      <c r="L2573" s="11"/>
      <c r="M2573" s="41"/>
      <c r="N2573" s="11"/>
    </row>
    <row r="2574" spans="8:14" x14ac:dyDescent="0.25">
      <c r="H2574" s="37"/>
      <c r="I2574" s="79"/>
      <c r="J2574" s="70"/>
      <c r="K2574" s="57"/>
      <c r="L2574" s="11"/>
      <c r="M2574" s="41"/>
      <c r="N2574" s="11"/>
    </row>
    <row r="2575" spans="8:14" x14ac:dyDescent="0.25">
      <c r="H2575" s="37"/>
      <c r="I2575" s="79"/>
      <c r="J2575" s="70"/>
      <c r="K2575" s="57"/>
      <c r="L2575" s="11"/>
      <c r="M2575" s="41"/>
      <c r="N2575" s="11"/>
    </row>
    <row r="2576" spans="8:14" x14ac:dyDescent="0.25">
      <c r="H2576" s="37"/>
      <c r="I2576" s="79"/>
      <c r="J2576" s="70"/>
      <c r="K2576" s="57"/>
      <c r="L2576" s="11"/>
      <c r="M2576" s="41"/>
      <c r="N2576" s="11"/>
    </row>
    <row r="2577" spans="8:14" x14ac:dyDescent="0.25">
      <c r="H2577" s="37"/>
      <c r="I2577" s="79"/>
      <c r="J2577" s="70"/>
      <c r="K2577" s="57"/>
      <c r="L2577" s="11"/>
      <c r="M2577" s="41"/>
      <c r="N2577" s="11"/>
    </row>
    <row r="2578" spans="8:14" x14ac:dyDescent="0.25">
      <c r="H2578" s="37"/>
      <c r="I2578" s="79"/>
      <c r="J2578" s="70"/>
      <c r="K2578" s="57"/>
      <c r="L2578" s="11"/>
      <c r="M2578" s="41"/>
      <c r="N2578" s="11"/>
    </row>
    <row r="2579" spans="8:14" x14ac:dyDescent="0.25">
      <c r="H2579" s="37"/>
      <c r="I2579" s="79"/>
      <c r="J2579" s="70"/>
      <c r="K2579" s="57"/>
      <c r="L2579" s="11"/>
      <c r="M2579" s="41"/>
      <c r="N2579" s="11"/>
    </row>
    <row r="2580" spans="8:14" x14ac:dyDescent="0.25">
      <c r="H2580" s="37"/>
      <c r="I2580" s="79"/>
      <c r="J2580" s="70"/>
      <c r="K2580" s="57"/>
      <c r="L2580" s="11"/>
      <c r="M2580" s="41"/>
      <c r="N2580" s="11"/>
    </row>
    <row r="2581" spans="8:14" x14ac:dyDescent="0.25">
      <c r="H2581" s="37"/>
      <c r="I2581" s="79"/>
      <c r="J2581" s="70"/>
      <c r="K2581" s="57"/>
      <c r="L2581" s="11"/>
      <c r="M2581" s="41"/>
      <c r="N2581" s="11"/>
    </row>
    <row r="2582" spans="8:14" x14ac:dyDescent="0.25">
      <c r="H2582" s="37"/>
      <c r="I2582" s="79"/>
      <c r="J2582" s="70"/>
      <c r="K2582" s="57"/>
      <c r="L2582" s="11"/>
      <c r="M2582" s="41"/>
      <c r="N2582" s="11"/>
    </row>
    <row r="2583" spans="8:14" x14ac:dyDescent="0.25">
      <c r="H2583" s="37"/>
      <c r="I2583" s="79"/>
      <c r="J2583" s="70"/>
      <c r="K2583" s="57"/>
      <c r="L2583" s="11"/>
      <c r="M2583" s="41"/>
      <c r="N2583" s="11"/>
    </row>
    <row r="2584" spans="8:14" x14ac:dyDescent="0.25">
      <c r="H2584" s="37"/>
      <c r="I2584" s="79"/>
      <c r="J2584" s="70"/>
      <c r="K2584" s="57"/>
      <c r="L2584" s="11"/>
      <c r="M2584" s="41"/>
      <c r="N2584" s="11"/>
    </row>
    <row r="2585" spans="8:14" x14ac:dyDescent="0.25">
      <c r="H2585" s="37"/>
      <c r="I2585" s="79"/>
      <c r="J2585" s="70"/>
      <c r="K2585" s="57"/>
      <c r="L2585" s="11"/>
      <c r="M2585" s="41"/>
      <c r="N2585" s="11"/>
    </row>
    <row r="2586" spans="8:14" x14ac:dyDescent="0.25">
      <c r="H2586" s="37"/>
      <c r="I2586" s="79"/>
      <c r="J2586" s="70"/>
      <c r="K2586" s="57"/>
      <c r="L2586" s="11"/>
      <c r="M2586" s="41"/>
      <c r="N2586" s="11"/>
    </row>
    <row r="2587" spans="8:14" x14ac:dyDescent="0.25">
      <c r="H2587" s="37"/>
      <c r="I2587" s="79"/>
      <c r="J2587" s="70"/>
      <c r="K2587" s="57"/>
      <c r="L2587" s="11"/>
      <c r="M2587" s="41"/>
      <c r="N2587" s="11"/>
    </row>
    <row r="2588" spans="8:14" x14ac:dyDescent="0.25">
      <c r="H2588" s="37"/>
      <c r="I2588" s="79"/>
      <c r="J2588" s="70"/>
      <c r="K2588" s="57"/>
      <c r="L2588" s="11"/>
      <c r="M2588" s="41"/>
      <c r="N2588" s="11"/>
    </row>
    <row r="2589" spans="8:14" x14ac:dyDescent="0.25">
      <c r="H2589" s="37"/>
      <c r="I2589" s="79"/>
      <c r="J2589" s="70"/>
      <c r="K2589" s="57"/>
      <c r="L2589" s="11"/>
      <c r="M2589" s="41"/>
      <c r="N2589" s="11"/>
    </row>
    <row r="2590" spans="8:14" x14ac:dyDescent="0.25">
      <c r="H2590" s="37"/>
      <c r="I2590" s="79"/>
      <c r="J2590" s="70"/>
      <c r="K2590" s="57"/>
      <c r="L2590" s="11"/>
      <c r="M2590" s="41"/>
      <c r="N2590" s="11"/>
    </row>
    <row r="2591" spans="8:14" x14ac:dyDescent="0.25">
      <c r="H2591" s="37"/>
      <c r="I2591" s="79"/>
      <c r="J2591" s="70"/>
      <c r="K2591" s="57"/>
      <c r="L2591" s="11"/>
      <c r="M2591" s="41"/>
      <c r="N2591" s="11"/>
    </row>
    <row r="2592" spans="8:14" x14ac:dyDescent="0.25">
      <c r="H2592" s="37"/>
      <c r="I2592" s="79"/>
      <c r="J2592" s="70"/>
      <c r="K2592" s="57"/>
      <c r="L2592" s="11"/>
      <c r="M2592" s="41"/>
      <c r="N2592" s="11"/>
    </row>
    <row r="2593" spans="8:14" x14ac:dyDescent="0.25">
      <c r="H2593" s="37"/>
      <c r="I2593" s="79"/>
      <c r="J2593" s="70"/>
      <c r="K2593" s="57"/>
      <c r="L2593" s="11"/>
      <c r="M2593" s="41"/>
      <c r="N2593" s="11"/>
    </row>
    <row r="2594" spans="8:14" x14ac:dyDescent="0.25">
      <c r="H2594" s="37"/>
      <c r="I2594" s="79"/>
      <c r="J2594" s="70"/>
      <c r="K2594" s="57"/>
      <c r="L2594" s="11"/>
      <c r="M2594" s="41"/>
      <c r="N2594" s="11"/>
    </row>
    <row r="2595" spans="8:14" x14ac:dyDescent="0.25">
      <c r="H2595" s="37"/>
      <c r="I2595" s="79"/>
      <c r="J2595" s="70"/>
      <c r="K2595" s="57"/>
      <c r="L2595" s="11"/>
      <c r="M2595" s="41"/>
      <c r="N2595" s="11"/>
    </row>
    <row r="2596" spans="8:14" x14ac:dyDescent="0.25">
      <c r="H2596" s="37"/>
      <c r="I2596" s="79"/>
      <c r="J2596" s="70"/>
      <c r="K2596" s="57"/>
      <c r="L2596" s="11"/>
      <c r="M2596" s="41"/>
      <c r="N2596" s="11"/>
    </row>
    <row r="2597" spans="8:14" x14ac:dyDescent="0.25">
      <c r="H2597" s="37"/>
      <c r="I2597" s="79"/>
      <c r="J2597" s="70"/>
      <c r="K2597" s="57"/>
      <c r="L2597" s="11"/>
      <c r="M2597" s="41"/>
      <c r="N2597" s="11"/>
    </row>
    <row r="2598" spans="8:14" x14ac:dyDescent="0.25">
      <c r="H2598" s="37"/>
      <c r="I2598" s="79"/>
      <c r="J2598" s="70"/>
      <c r="K2598" s="57"/>
      <c r="L2598" s="11"/>
      <c r="M2598" s="41"/>
      <c r="N2598" s="11"/>
    </row>
    <row r="2599" spans="8:14" x14ac:dyDescent="0.25">
      <c r="H2599" s="37"/>
      <c r="I2599" s="79"/>
      <c r="J2599" s="70"/>
      <c r="K2599" s="57"/>
      <c r="L2599" s="11"/>
      <c r="M2599" s="41"/>
      <c r="N2599" s="11"/>
    </row>
    <row r="2600" spans="8:14" x14ac:dyDescent="0.25">
      <c r="H2600" s="37"/>
      <c r="I2600" s="79"/>
      <c r="J2600" s="70"/>
      <c r="K2600" s="57"/>
      <c r="L2600" s="11"/>
      <c r="M2600" s="41"/>
      <c r="N2600" s="11"/>
    </row>
    <row r="2601" spans="8:14" x14ac:dyDescent="0.25">
      <c r="H2601" s="37"/>
      <c r="I2601" s="79"/>
      <c r="J2601" s="70"/>
      <c r="K2601" s="57"/>
      <c r="L2601" s="11"/>
      <c r="M2601" s="41"/>
      <c r="N2601" s="11"/>
    </row>
    <row r="2602" spans="8:14" x14ac:dyDescent="0.25">
      <c r="H2602" s="37"/>
      <c r="I2602" s="79"/>
      <c r="J2602" s="70"/>
      <c r="K2602" s="57"/>
      <c r="L2602" s="11"/>
      <c r="M2602" s="41"/>
      <c r="N2602" s="11"/>
    </row>
    <row r="2603" spans="8:14" x14ac:dyDescent="0.25">
      <c r="H2603" s="37"/>
      <c r="I2603" s="79"/>
      <c r="J2603" s="70"/>
      <c r="K2603" s="57"/>
      <c r="L2603" s="11"/>
      <c r="M2603" s="41"/>
      <c r="N2603" s="11"/>
    </row>
    <row r="2604" spans="8:14" x14ac:dyDescent="0.25">
      <c r="H2604" s="37"/>
      <c r="I2604" s="79"/>
      <c r="J2604" s="70"/>
      <c r="K2604" s="57"/>
      <c r="L2604" s="11"/>
      <c r="M2604" s="41"/>
      <c r="N2604" s="11"/>
    </row>
    <row r="2605" spans="8:14" x14ac:dyDescent="0.25">
      <c r="H2605" s="37"/>
      <c r="I2605" s="79"/>
      <c r="J2605" s="70"/>
      <c r="K2605" s="57"/>
      <c r="L2605" s="11"/>
      <c r="M2605" s="41"/>
      <c r="N2605" s="11"/>
    </row>
    <row r="2606" spans="8:14" x14ac:dyDescent="0.25">
      <c r="H2606" s="37"/>
      <c r="I2606" s="79"/>
      <c r="J2606" s="70"/>
      <c r="K2606" s="57"/>
      <c r="L2606" s="11"/>
      <c r="M2606" s="41"/>
      <c r="N2606" s="11"/>
    </row>
    <row r="2607" spans="8:14" x14ac:dyDescent="0.25">
      <c r="H2607" s="37"/>
      <c r="I2607" s="79"/>
      <c r="J2607" s="70"/>
      <c r="K2607" s="57"/>
      <c r="L2607" s="11"/>
      <c r="M2607" s="41"/>
      <c r="N2607" s="11"/>
    </row>
    <row r="2608" spans="8:14" x14ac:dyDescent="0.25">
      <c r="H2608" s="37"/>
      <c r="I2608" s="79"/>
      <c r="J2608" s="70"/>
      <c r="K2608" s="57"/>
      <c r="L2608" s="11"/>
      <c r="M2608" s="41"/>
      <c r="N2608" s="11"/>
    </row>
    <row r="2609" spans="8:14" x14ac:dyDescent="0.25">
      <c r="H2609" s="37"/>
      <c r="I2609" s="79"/>
      <c r="J2609" s="70"/>
      <c r="K2609" s="57"/>
      <c r="L2609" s="11"/>
      <c r="M2609" s="41"/>
      <c r="N2609" s="11"/>
    </row>
    <row r="2610" spans="8:14" x14ac:dyDescent="0.25">
      <c r="H2610" s="37"/>
      <c r="I2610" s="79"/>
      <c r="J2610" s="70"/>
      <c r="K2610" s="57"/>
      <c r="L2610" s="11"/>
      <c r="M2610" s="41"/>
      <c r="N2610" s="11"/>
    </row>
    <row r="2611" spans="8:14" x14ac:dyDescent="0.25">
      <c r="H2611" s="37"/>
      <c r="I2611" s="79"/>
      <c r="J2611" s="70"/>
      <c r="K2611" s="57"/>
      <c r="L2611" s="11"/>
      <c r="M2611" s="41"/>
      <c r="N2611" s="11"/>
    </row>
    <row r="2612" spans="8:14" x14ac:dyDescent="0.25">
      <c r="H2612" s="37"/>
      <c r="I2612" s="79"/>
      <c r="J2612" s="70"/>
      <c r="K2612" s="57"/>
      <c r="L2612" s="11"/>
      <c r="M2612" s="41"/>
      <c r="N2612" s="11"/>
    </row>
    <row r="2613" spans="8:14" x14ac:dyDescent="0.25">
      <c r="H2613" s="37"/>
      <c r="I2613" s="79"/>
      <c r="J2613" s="70"/>
      <c r="K2613" s="57"/>
      <c r="L2613" s="11"/>
      <c r="M2613" s="41"/>
      <c r="N2613" s="11"/>
    </row>
    <row r="2614" spans="8:14" x14ac:dyDescent="0.25">
      <c r="H2614" s="37"/>
      <c r="I2614" s="79"/>
      <c r="J2614" s="70"/>
      <c r="K2614" s="57"/>
      <c r="L2614" s="11"/>
      <c r="M2614" s="41"/>
      <c r="N2614" s="11"/>
    </row>
    <row r="2615" spans="8:14" x14ac:dyDescent="0.25">
      <c r="H2615" s="37"/>
      <c r="I2615" s="79"/>
      <c r="J2615" s="70"/>
      <c r="K2615" s="57"/>
      <c r="L2615" s="11"/>
      <c r="M2615" s="41"/>
      <c r="N2615" s="11"/>
    </row>
    <row r="2616" spans="8:14" x14ac:dyDescent="0.25">
      <c r="H2616" s="37"/>
      <c r="I2616" s="79"/>
      <c r="J2616" s="70"/>
      <c r="K2616" s="57"/>
      <c r="L2616" s="11"/>
      <c r="M2616" s="41"/>
      <c r="N2616" s="11"/>
    </row>
    <row r="2617" spans="8:14" x14ac:dyDescent="0.25">
      <c r="H2617" s="37"/>
      <c r="I2617" s="79"/>
      <c r="J2617" s="70"/>
      <c r="K2617" s="57"/>
      <c r="L2617" s="11"/>
      <c r="M2617" s="41"/>
      <c r="N2617" s="11"/>
    </row>
    <row r="2618" spans="8:14" x14ac:dyDescent="0.25">
      <c r="H2618" s="37"/>
      <c r="I2618" s="79"/>
      <c r="J2618" s="70"/>
      <c r="K2618" s="57"/>
      <c r="L2618" s="11"/>
      <c r="M2618" s="41"/>
      <c r="N2618" s="11"/>
    </row>
    <row r="2619" spans="8:14" x14ac:dyDescent="0.25">
      <c r="H2619" s="37"/>
      <c r="I2619" s="79"/>
      <c r="J2619" s="70"/>
      <c r="K2619" s="57"/>
      <c r="L2619" s="11"/>
      <c r="M2619" s="41"/>
      <c r="N2619" s="11"/>
    </row>
    <row r="2620" spans="8:14" x14ac:dyDescent="0.25">
      <c r="H2620" s="37"/>
      <c r="I2620" s="79"/>
      <c r="J2620" s="70"/>
      <c r="K2620" s="57"/>
      <c r="L2620" s="11"/>
      <c r="M2620" s="41"/>
      <c r="N2620" s="11"/>
    </row>
    <row r="2621" spans="8:14" x14ac:dyDescent="0.25">
      <c r="H2621" s="37"/>
      <c r="I2621" s="79"/>
      <c r="J2621" s="70"/>
      <c r="K2621" s="57"/>
      <c r="L2621" s="11"/>
      <c r="M2621" s="41"/>
      <c r="N2621" s="11"/>
    </row>
    <row r="2622" spans="8:14" x14ac:dyDescent="0.25">
      <c r="H2622" s="37"/>
      <c r="I2622" s="79"/>
      <c r="J2622" s="70"/>
      <c r="K2622" s="57"/>
      <c r="L2622" s="11"/>
      <c r="M2622" s="41"/>
      <c r="N2622" s="11"/>
    </row>
    <row r="2623" spans="8:14" x14ac:dyDescent="0.25">
      <c r="H2623" s="37"/>
      <c r="I2623" s="79"/>
      <c r="J2623" s="70"/>
      <c r="K2623" s="57"/>
      <c r="L2623" s="11"/>
      <c r="M2623" s="41"/>
      <c r="N2623" s="11"/>
    </row>
    <row r="2624" spans="8:14" x14ac:dyDescent="0.25">
      <c r="H2624" s="37"/>
      <c r="I2624" s="79"/>
      <c r="J2624" s="70"/>
      <c r="K2624" s="57"/>
      <c r="L2624" s="11"/>
      <c r="M2624" s="41"/>
      <c r="N2624" s="11"/>
    </row>
    <row r="2625" spans="8:14" x14ac:dyDescent="0.25">
      <c r="H2625" s="37"/>
      <c r="I2625" s="79"/>
      <c r="J2625" s="70"/>
      <c r="K2625" s="57"/>
      <c r="L2625" s="11"/>
      <c r="M2625" s="41"/>
      <c r="N2625" s="11"/>
    </row>
    <row r="2626" spans="8:14" x14ac:dyDescent="0.25">
      <c r="H2626" s="37"/>
      <c r="I2626" s="79"/>
      <c r="J2626" s="70"/>
      <c r="K2626" s="57"/>
      <c r="L2626" s="11"/>
      <c r="M2626" s="41"/>
      <c r="N2626" s="11"/>
    </row>
    <row r="2627" spans="8:14" x14ac:dyDescent="0.25">
      <c r="H2627" s="37"/>
      <c r="I2627" s="79"/>
      <c r="J2627" s="70"/>
      <c r="K2627" s="57"/>
      <c r="L2627" s="11"/>
      <c r="M2627" s="41"/>
      <c r="N2627" s="11"/>
    </row>
    <row r="2628" spans="8:14" x14ac:dyDescent="0.25">
      <c r="H2628" s="37"/>
      <c r="I2628" s="79"/>
      <c r="J2628" s="70"/>
      <c r="K2628" s="57"/>
      <c r="L2628" s="11"/>
      <c r="M2628" s="41"/>
      <c r="N2628" s="11"/>
    </row>
    <row r="2629" spans="8:14" x14ac:dyDescent="0.25">
      <c r="H2629" s="37"/>
      <c r="I2629" s="79"/>
      <c r="J2629" s="70"/>
      <c r="K2629" s="57"/>
      <c r="L2629" s="11"/>
      <c r="M2629" s="41"/>
      <c r="N2629" s="11"/>
    </row>
    <row r="2630" spans="8:14" x14ac:dyDescent="0.25">
      <c r="H2630" s="37"/>
      <c r="I2630" s="79"/>
      <c r="J2630" s="70"/>
      <c r="K2630" s="57"/>
      <c r="L2630" s="11"/>
      <c r="M2630" s="41"/>
      <c r="N2630" s="11"/>
    </row>
    <row r="2631" spans="8:14" x14ac:dyDescent="0.25">
      <c r="H2631" s="37"/>
      <c r="I2631" s="79"/>
      <c r="J2631" s="70"/>
      <c r="K2631" s="57"/>
      <c r="L2631" s="11"/>
      <c r="M2631" s="41"/>
      <c r="N2631" s="11"/>
    </row>
    <row r="2632" spans="8:14" x14ac:dyDescent="0.25">
      <c r="H2632" s="37"/>
      <c r="I2632" s="79"/>
      <c r="J2632" s="70"/>
      <c r="K2632" s="57"/>
      <c r="L2632" s="11"/>
      <c r="M2632" s="41"/>
      <c r="N2632" s="11"/>
    </row>
    <row r="2633" spans="8:14" x14ac:dyDescent="0.25">
      <c r="H2633" s="37"/>
      <c r="I2633" s="79"/>
      <c r="J2633" s="70"/>
      <c r="K2633" s="57"/>
      <c r="L2633" s="11"/>
      <c r="M2633" s="41"/>
      <c r="N2633" s="11"/>
    </row>
    <row r="2634" spans="8:14" x14ac:dyDescent="0.25">
      <c r="H2634" s="37"/>
      <c r="I2634" s="79"/>
      <c r="J2634" s="70"/>
      <c r="K2634" s="57"/>
      <c r="L2634" s="11"/>
      <c r="M2634" s="41"/>
      <c r="N2634" s="11"/>
    </row>
    <row r="2635" spans="8:14" x14ac:dyDescent="0.25">
      <c r="H2635" s="37"/>
      <c r="I2635" s="79"/>
      <c r="J2635" s="70"/>
      <c r="K2635" s="57"/>
      <c r="L2635" s="11"/>
      <c r="M2635" s="41"/>
      <c r="N2635" s="11"/>
    </row>
    <row r="2636" spans="8:14" x14ac:dyDescent="0.25">
      <c r="H2636" s="37"/>
      <c r="I2636" s="79"/>
      <c r="J2636" s="70"/>
      <c r="K2636" s="57"/>
      <c r="L2636" s="11"/>
      <c r="M2636" s="41"/>
      <c r="N2636" s="11"/>
    </row>
    <row r="2637" spans="8:14" x14ac:dyDescent="0.25">
      <c r="H2637" s="37"/>
      <c r="I2637" s="79"/>
      <c r="J2637" s="70"/>
      <c r="K2637" s="57"/>
      <c r="L2637" s="11"/>
      <c r="M2637" s="41"/>
      <c r="N2637" s="11"/>
    </row>
    <row r="2638" spans="8:14" x14ac:dyDescent="0.25">
      <c r="H2638" s="37"/>
      <c r="I2638" s="79"/>
      <c r="J2638" s="70"/>
      <c r="K2638" s="57"/>
      <c r="L2638" s="11"/>
      <c r="M2638" s="41"/>
      <c r="N2638" s="11"/>
    </row>
    <row r="2639" spans="8:14" x14ac:dyDescent="0.25">
      <c r="H2639" s="37"/>
      <c r="I2639" s="79"/>
      <c r="J2639" s="70"/>
      <c r="K2639" s="57"/>
      <c r="L2639" s="11"/>
      <c r="M2639" s="41"/>
      <c r="N2639" s="11"/>
    </row>
    <row r="2640" spans="8:14" x14ac:dyDescent="0.25">
      <c r="H2640" s="37"/>
      <c r="I2640" s="79"/>
      <c r="J2640" s="70"/>
      <c r="K2640" s="57"/>
      <c r="L2640" s="11"/>
      <c r="M2640" s="41"/>
      <c r="N2640" s="11"/>
    </row>
    <row r="2641" spans="8:14" x14ac:dyDescent="0.25">
      <c r="H2641" s="37"/>
      <c r="I2641" s="79"/>
      <c r="J2641" s="70"/>
      <c r="K2641" s="57"/>
      <c r="L2641" s="11"/>
      <c r="M2641" s="41"/>
      <c r="N2641" s="11"/>
    </row>
    <row r="2642" spans="8:14" x14ac:dyDescent="0.25">
      <c r="H2642" s="37"/>
      <c r="I2642" s="79"/>
      <c r="J2642" s="70"/>
      <c r="K2642" s="57"/>
      <c r="L2642" s="11"/>
      <c r="M2642" s="41"/>
      <c r="N2642" s="11"/>
    </row>
    <row r="2643" spans="8:14" x14ac:dyDescent="0.25">
      <c r="H2643" s="37"/>
      <c r="I2643" s="79"/>
      <c r="J2643" s="70"/>
      <c r="K2643" s="57"/>
      <c r="L2643" s="11"/>
      <c r="M2643" s="41"/>
      <c r="N2643" s="11"/>
    </row>
    <row r="2644" spans="8:14" x14ac:dyDescent="0.25">
      <c r="H2644" s="37"/>
      <c r="I2644" s="79"/>
      <c r="J2644" s="70"/>
      <c r="K2644" s="57"/>
      <c r="L2644" s="11"/>
      <c r="M2644" s="41"/>
      <c r="N2644" s="11"/>
    </row>
    <row r="2645" spans="8:14" x14ac:dyDescent="0.25">
      <c r="H2645" s="37"/>
      <c r="I2645" s="79"/>
      <c r="J2645" s="70"/>
      <c r="K2645" s="57"/>
      <c r="L2645" s="11"/>
      <c r="M2645" s="41"/>
      <c r="N2645" s="11"/>
    </row>
    <row r="2646" spans="8:14" x14ac:dyDescent="0.25">
      <c r="H2646" s="37"/>
      <c r="I2646" s="79"/>
      <c r="J2646" s="70"/>
      <c r="K2646" s="57"/>
      <c r="L2646" s="11"/>
      <c r="M2646" s="41"/>
      <c r="N2646" s="11"/>
    </row>
    <row r="2647" spans="8:14" x14ac:dyDescent="0.25">
      <c r="H2647" s="37"/>
      <c r="I2647" s="79"/>
      <c r="J2647" s="70"/>
      <c r="K2647" s="57"/>
      <c r="L2647" s="11"/>
      <c r="M2647" s="41"/>
      <c r="N2647" s="11"/>
    </row>
    <row r="2648" spans="8:14" x14ac:dyDescent="0.25">
      <c r="H2648" s="37"/>
      <c r="I2648" s="79"/>
      <c r="J2648" s="70"/>
      <c r="K2648" s="57"/>
      <c r="L2648" s="11"/>
      <c r="M2648" s="41"/>
      <c r="N2648" s="11"/>
    </row>
    <row r="2649" spans="8:14" x14ac:dyDescent="0.25">
      <c r="H2649" s="37"/>
      <c r="I2649" s="79"/>
      <c r="J2649" s="70"/>
      <c r="K2649" s="57"/>
      <c r="L2649" s="11"/>
      <c r="M2649" s="41"/>
      <c r="N2649" s="11"/>
    </row>
    <row r="2650" spans="8:14" x14ac:dyDescent="0.25">
      <c r="H2650" s="37"/>
      <c r="I2650" s="79"/>
      <c r="J2650" s="70"/>
      <c r="K2650" s="57"/>
      <c r="L2650" s="11"/>
      <c r="M2650" s="41"/>
      <c r="N2650" s="11"/>
    </row>
    <row r="2651" spans="8:14" x14ac:dyDescent="0.25">
      <c r="H2651" s="37"/>
      <c r="I2651" s="79"/>
      <c r="J2651" s="70"/>
      <c r="K2651" s="57"/>
      <c r="L2651" s="11"/>
      <c r="M2651" s="41"/>
      <c r="N2651" s="11"/>
    </row>
    <row r="2652" spans="8:14" x14ac:dyDescent="0.25">
      <c r="H2652" s="37"/>
      <c r="I2652" s="79"/>
      <c r="J2652" s="70"/>
      <c r="K2652" s="57"/>
      <c r="L2652" s="11"/>
      <c r="M2652" s="41"/>
      <c r="N2652" s="11"/>
    </row>
    <row r="2653" spans="8:14" x14ac:dyDescent="0.25">
      <c r="H2653" s="37"/>
      <c r="I2653" s="79"/>
      <c r="J2653" s="70"/>
      <c r="K2653" s="57"/>
      <c r="L2653" s="11"/>
      <c r="M2653" s="41"/>
      <c r="N2653" s="11"/>
    </row>
    <row r="2654" spans="8:14" x14ac:dyDescent="0.25">
      <c r="H2654" s="37"/>
      <c r="I2654" s="79"/>
      <c r="J2654" s="70"/>
      <c r="K2654" s="57"/>
      <c r="L2654" s="11"/>
      <c r="M2654" s="41"/>
      <c r="N2654" s="11"/>
    </row>
    <row r="2655" spans="8:14" x14ac:dyDescent="0.25">
      <c r="H2655" s="37"/>
      <c r="I2655" s="79"/>
      <c r="J2655" s="70"/>
      <c r="K2655" s="57"/>
      <c r="L2655" s="11"/>
      <c r="M2655" s="41"/>
      <c r="N2655" s="11"/>
    </row>
    <row r="2656" spans="8:14" x14ac:dyDescent="0.25">
      <c r="H2656" s="37"/>
      <c r="I2656" s="79"/>
      <c r="J2656" s="70"/>
      <c r="K2656" s="57"/>
      <c r="L2656" s="11"/>
      <c r="M2656" s="41"/>
      <c r="N2656" s="11"/>
    </row>
    <row r="2657" spans="8:14" x14ac:dyDescent="0.25">
      <c r="H2657" s="37"/>
      <c r="I2657" s="79"/>
      <c r="J2657" s="70"/>
      <c r="K2657" s="57"/>
      <c r="L2657" s="11"/>
      <c r="M2657" s="41"/>
      <c r="N2657" s="11"/>
    </row>
    <row r="2658" spans="8:14" x14ac:dyDescent="0.25">
      <c r="H2658" s="37"/>
      <c r="I2658" s="79"/>
      <c r="J2658" s="70"/>
      <c r="K2658" s="57"/>
      <c r="L2658" s="11"/>
      <c r="M2658" s="41"/>
      <c r="N2658" s="11"/>
    </row>
    <row r="2659" spans="8:14" x14ac:dyDescent="0.25">
      <c r="H2659" s="37"/>
      <c r="I2659" s="79"/>
      <c r="J2659" s="70"/>
      <c r="K2659" s="57"/>
      <c r="L2659" s="11"/>
      <c r="M2659" s="41"/>
      <c r="N2659" s="11"/>
    </row>
    <row r="2660" spans="8:14" x14ac:dyDescent="0.25">
      <c r="H2660" s="37"/>
      <c r="I2660" s="79"/>
      <c r="J2660" s="70"/>
      <c r="K2660" s="57"/>
      <c r="L2660" s="11"/>
      <c r="M2660" s="41"/>
      <c r="N2660" s="11"/>
    </row>
    <row r="2661" spans="8:14" x14ac:dyDescent="0.25">
      <c r="H2661" s="37"/>
      <c r="I2661" s="79"/>
      <c r="J2661" s="70"/>
      <c r="K2661" s="57"/>
      <c r="L2661" s="11"/>
      <c r="M2661" s="41"/>
      <c r="N2661" s="11"/>
    </row>
    <row r="2662" spans="8:14" x14ac:dyDescent="0.25">
      <c r="H2662" s="37"/>
      <c r="I2662" s="79"/>
      <c r="J2662" s="70"/>
      <c r="K2662" s="57"/>
      <c r="L2662" s="11"/>
      <c r="M2662" s="41"/>
      <c r="N2662" s="11"/>
    </row>
    <row r="2663" spans="8:14" x14ac:dyDescent="0.25">
      <c r="H2663" s="37"/>
      <c r="I2663" s="79"/>
      <c r="J2663" s="70"/>
      <c r="K2663" s="57"/>
      <c r="L2663" s="11"/>
      <c r="M2663" s="41"/>
      <c r="N2663" s="11"/>
    </row>
    <row r="2664" spans="8:14" x14ac:dyDescent="0.25">
      <c r="H2664" s="37"/>
      <c r="I2664" s="79"/>
      <c r="J2664" s="70"/>
      <c r="K2664" s="57"/>
      <c r="L2664" s="11"/>
      <c r="M2664" s="41"/>
      <c r="N2664" s="11"/>
    </row>
    <row r="2665" spans="8:14" x14ac:dyDescent="0.25">
      <c r="H2665" s="37"/>
      <c r="I2665" s="79"/>
      <c r="J2665" s="70"/>
      <c r="K2665" s="57"/>
      <c r="L2665" s="11"/>
      <c r="M2665" s="41"/>
      <c r="N2665" s="11"/>
    </row>
    <row r="2666" spans="8:14" x14ac:dyDescent="0.25">
      <c r="H2666" s="37"/>
      <c r="I2666" s="79"/>
      <c r="J2666" s="70"/>
      <c r="K2666" s="57"/>
      <c r="L2666" s="11"/>
      <c r="M2666" s="41"/>
      <c r="N2666" s="11"/>
    </row>
    <row r="2667" spans="8:14" x14ac:dyDescent="0.25">
      <c r="H2667" s="37"/>
      <c r="I2667" s="79"/>
      <c r="J2667" s="70"/>
      <c r="K2667" s="57"/>
      <c r="L2667" s="11"/>
      <c r="M2667" s="41"/>
      <c r="N2667" s="11"/>
    </row>
    <row r="2668" spans="8:14" x14ac:dyDescent="0.25">
      <c r="H2668" s="37"/>
      <c r="I2668" s="79"/>
      <c r="J2668" s="70"/>
      <c r="K2668" s="57"/>
      <c r="L2668" s="11"/>
      <c r="M2668" s="41"/>
      <c r="N2668" s="11"/>
    </row>
    <row r="2669" spans="8:14" x14ac:dyDescent="0.25">
      <c r="H2669" s="37"/>
      <c r="I2669" s="79"/>
      <c r="J2669" s="70"/>
      <c r="K2669" s="57"/>
      <c r="L2669" s="11"/>
      <c r="M2669" s="41"/>
      <c r="N2669" s="11"/>
    </row>
    <row r="2670" spans="8:14" x14ac:dyDescent="0.25">
      <c r="H2670" s="37"/>
      <c r="I2670" s="79"/>
      <c r="J2670" s="70"/>
      <c r="K2670" s="57"/>
      <c r="L2670" s="11"/>
      <c r="M2670" s="41"/>
      <c r="N2670" s="11"/>
    </row>
    <row r="2671" spans="8:14" x14ac:dyDescent="0.25">
      <c r="H2671" s="37"/>
      <c r="I2671" s="79"/>
      <c r="J2671" s="70"/>
      <c r="K2671" s="57"/>
      <c r="L2671" s="11"/>
      <c r="M2671" s="41"/>
      <c r="N2671" s="11"/>
    </row>
    <row r="2672" spans="8:14" x14ac:dyDescent="0.25">
      <c r="H2672" s="37"/>
      <c r="I2672" s="79"/>
      <c r="J2672" s="70"/>
      <c r="K2672" s="57"/>
      <c r="L2672" s="11"/>
      <c r="M2672" s="41"/>
      <c r="N2672" s="11"/>
    </row>
    <row r="2673" spans="8:14" x14ac:dyDescent="0.25">
      <c r="H2673" s="37"/>
      <c r="I2673" s="79"/>
      <c r="J2673" s="70"/>
      <c r="K2673" s="57"/>
      <c r="L2673" s="11"/>
      <c r="M2673" s="41"/>
      <c r="N2673" s="11"/>
    </row>
    <row r="2674" spans="8:14" x14ac:dyDescent="0.25">
      <c r="H2674" s="37"/>
      <c r="I2674" s="79"/>
      <c r="J2674" s="70"/>
      <c r="K2674" s="57"/>
      <c r="L2674" s="11"/>
      <c r="M2674" s="41"/>
      <c r="N2674" s="11"/>
    </row>
    <row r="2675" spans="8:14" x14ac:dyDescent="0.25">
      <c r="H2675" s="37"/>
      <c r="I2675" s="79"/>
      <c r="J2675" s="70"/>
      <c r="K2675" s="57"/>
      <c r="L2675" s="11"/>
      <c r="M2675" s="41"/>
      <c r="N2675" s="11"/>
    </row>
    <row r="2676" spans="8:14" x14ac:dyDescent="0.25">
      <c r="H2676" s="37"/>
      <c r="I2676" s="79"/>
      <c r="J2676" s="70"/>
      <c r="K2676" s="57"/>
      <c r="L2676" s="11"/>
      <c r="M2676" s="41"/>
      <c r="N2676" s="11"/>
    </row>
    <row r="2677" spans="8:14" x14ac:dyDescent="0.25">
      <c r="H2677" s="37"/>
      <c r="I2677" s="79"/>
      <c r="J2677" s="70"/>
      <c r="K2677" s="57"/>
      <c r="L2677" s="11"/>
      <c r="M2677" s="41"/>
      <c r="N2677" s="11"/>
    </row>
    <row r="2678" spans="8:14" x14ac:dyDescent="0.25">
      <c r="H2678" s="37"/>
      <c r="I2678" s="79"/>
      <c r="J2678" s="70"/>
      <c r="K2678" s="57"/>
      <c r="L2678" s="11"/>
      <c r="M2678" s="41"/>
      <c r="N2678" s="11"/>
    </row>
    <row r="2679" spans="8:14" x14ac:dyDescent="0.25">
      <c r="H2679" s="37"/>
      <c r="I2679" s="79"/>
      <c r="J2679" s="70"/>
      <c r="K2679" s="57"/>
      <c r="L2679" s="11"/>
      <c r="M2679" s="41"/>
      <c r="N2679" s="11"/>
    </row>
    <row r="2680" spans="8:14" x14ac:dyDescent="0.25">
      <c r="H2680" s="37"/>
      <c r="I2680" s="79"/>
      <c r="J2680" s="70"/>
      <c r="K2680" s="57"/>
      <c r="L2680" s="11"/>
      <c r="M2680" s="41"/>
      <c r="N2680" s="11"/>
    </row>
    <row r="2681" spans="8:14" x14ac:dyDescent="0.25">
      <c r="H2681" s="37"/>
      <c r="I2681" s="79"/>
      <c r="J2681" s="70"/>
      <c r="K2681" s="57"/>
      <c r="L2681" s="11"/>
      <c r="M2681" s="41"/>
      <c r="N2681" s="11"/>
    </row>
    <row r="2682" spans="8:14" x14ac:dyDescent="0.25">
      <c r="H2682" s="37"/>
      <c r="I2682" s="79"/>
      <c r="J2682" s="70"/>
      <c r="K2682" s="57"/>
      <c r="L2682" s="11"/>
      <c r="M2682" s="41"/>
      <c r="N2682" s="11"/>
    </row>
    <row r="2683" spans="8:14" x14ac:dyDescent="0.25">
      <c r="H2683" s="37"/>
      <c r="I2683" s="79"/>
      <c r="J2683" s="70"/>
      <c r="K2683" s="57"/>
      <c r="L2683" s="11"/>
      <c r="M2683" s="41"/>
      <c r="N2683" s="11"/>
    </row>
    <row r="2684" spans="8:14" x14ac:dyDescent="0.25">
      <c r="H2684" s="37"/>
      <c r="I2684" s="79"/>
      <c r="J2684" s="70"/>
      <c r="K2684" s="57"/>
      <c r="L2684" s="11"/>
      <c r="M2684" s="41"/>
      <c r="N2684" s="11"/>
    </row>
    <row r="2685" spans="8:14" x14ac:dyDescent="0.25">
      <c r="H2685" s="37"/>
      <c r="I2685" s="79"/>
      <c r="J2685" s="70"/>
      <c r="K2685" s="57"/>
      <c r="L2685" s="11"/>
      <c r="M2685" s="41"/>
      <c r="N2685" s="11"/>
    </row>
    <row r="2686" spans="8:14" x14ac:dyDescent="0.25">
      <c r="H2686" s="37"/>
      <c r="I2686" s="79"/>
      <c r="J2686" s="70"/>
      <c r="K2686" s="57"/>
      <c r="L2686" s="11"/>
      <c r="M2686" s="41"/>
      <c r="N2686" s="11"/>
    </row>
    <row r="2687" spans="8:14" x14ac:dyDescent="0.25">
      <c r="H2687" s="37"/>
      <c r="I2687" s="79"/>
      <c r="J2687" s="70"/>
      <c r="K2687" s="57"/>
      <c r="L2687" s="11"/>
      <c r="M2687" s="41"/>
      <c r="N2687" s="11"/>
    </row>
    <row r="2688" spans="8:14" x14ac:dyDescent="0.25">
      <c r="H2688" s="37"/>
      <c r="I2688" s="79"/>
      <c r="J2688" s="70"/>
      <c r="K2688" s="57"/>
      <c r="L2688" s="11"/>
      <c r="M2688" s="41"/>
      <c r="N2688" s="11"/>
    </row>
    <row r="2689" spans="8:14" x14ac:dyDescent="0.25">
      <c r="H2689" s="37"/>
      <c r="I2689" s="79"/>
      <c r="J2689" s="70"/>
      <c r="K2689" s="57"/>
      <c r="L2689" s="11"/>
      <c r="M2689" s="41"/>
      <c r="N2689" s="11"/>
    </row>
    <row r="2690" spans="8:14" x14ac:dyDescent="0.25">
      <c r="H2690" s="37"/>
      <c r="I2690" s="79"/>
      <c r="J2690" s="70"/>
      <c r="K2690" s="57"/>
      <c r="L2690" s="11"/>
      <c r="M2690" s="41"/>
      <c r="N2690" s="11"/>
    </row>
    <row r="2691" spans="8:14" x14ac:dyDescent="0.25">
      <c r="H2691" s="37"/>
      <c r="I2691" s="79"/>
      <c r="J2691" s="70"/>
      <c r="K2691" s="57"/>
      <c r="L2691" s="11"/>
      <c r="M2691" s="41"/>
      <c r="N2691" s="11"/>
    </row>
    <row r="2692" spans="8:14" x14ac:dyDescent="0.25">
      <c r="H2692" s="37"/>
      <c r="I2692" s="79"/>
      <c r="J2692" s="70"/>
      <c r="K2692" s="57"/>
      <c r="L2692" s="11"/>
      <c r="M2692" s="41"/>
      <c r="N2692" s="11"/>
    </row>
    <row r="2693" spans="8:14" x14ac:dyDescent="0.25">
      <c r="H2693" s="37"/>
      <c r="I2693" s="79"/>
      <c r="J2693" s="70"/>
      <c r="K2693" s="57"/>
      <c r="L2693" s="11"/>
      <c r="M2693" s="41"/>
      <c r="N2693" s="11"/>
    </row>
    <row r="2694" spans="8:14" x14ac:dyDescent="0.25">
      <c r="H2694" s="37"/>
      <c r="I2694" s="79"/>
      <c r="J2694" s="70"/>
      <c r="K2694" s="57"/>
      <c r="L2694" s="11"/>
      <c r="M2694" s="41"/>
      <c r="N2694" s="11"/>
    </row>
    <row r="2695" spans="8:14" x14ac:dyDescent="0.25">
      <c r="H2695" s="37"/>
      <c r="I2695" s="79"/>
      <c r="J2695" s="70"/>
      <c r="K2695" s="57"/>
      <c r="L2695" s="11"/>
      <c r="M2695" s="41"/>
      <c r="N2695" s="11"/>
    </row>
    <row r="2696" spans="8:14" x14ac:dyDescent="0.25">
      <c r="H2696" s="37"/>
      <c r="I2696" s="79"/>
      <c r="J2696" s="70"/>
      <c r="K2696" s="57"/>
      <c r="L2696" s="11"/>
      <c r="M2696" s="41"/>
      <c r="N2696" s="11"/>
    </row>
    <row r="2697" spans="8:14" x14ac:dyDescent="0.25">
      <c r="H2697" s="37"/>
      <c r="I2697" s="79"/>
      <c r="J2697" s="70"/>
      <c r="K2697" s="57"/>
      <c r="L2697" s="11"/>
      <c r="M2697" s="41"/>
      <c r="N2697" s="11"/>
    </row>
    <row r="2698" spans="8:14" x14ac:dyDescent="0.25">
      <c r="H2698" s="37"/>
      <c r="I2698" s="79"/>
      <c r="J2698" s="70"/>
      <c r="K2698" s="57"/>
      <c r="L2698" s="11"/>
      <c r="M2698" s="41"/>
      <c r="N2698" s="11"/>
    </row>
    <row r="2699" spans="8:14" x14ac:dyDescent="0.25">
      <c r="H2699" s="37"/>
      <c r="I2699" s="79"/>
      <c r="J2699" s="70"/>
      <c r="K2699" s="57"/>
      <c r="L2699" s="11"/>
      <c r="M2699" s="41"/>
      <c r="N2699" s="11"/>
    </row>
    <row r="2700" spans="8:14" x14ac:dyDescent="0.25">
      <c r="H2700" s="37"/>
      <c r="I2700" s="79"/>
      <c r="J2700" s="70"/>
      <c r="K2700" s="57"/>
      <c r="L2700" s="11"/>
      <c r="M2700" s="41"/>
      <c r="N2700" s="11"/>
    </row>
    <row r="2701" spans="8:14" x14ac:dyDescent="0.25">
      <c r="H2701" s="37"/>
      <c r="I2701" s="79"/>
      <c r="J2701" s="70"/>
      <c r="K2701" s="57"/>
      <c r="L2701" s="11"/>
      <c r="M2701" s="41"/>
      <c r="N2701" s="11"/>
    </row>
    <row r="2702" spans="8:14" x14ac:dyDescent="0.25">
      <c r="H2702" s="37"/>
      <c r="I2702" s="79"/>
      <c r="J2702" s="70"/>
      <c r="K2702" s="57"/>
      <c r="L2702" s="11"/>
      <c r="M2702" s="41"/>
      <c r="N2702" s="11"/>
    </row>
    <row r="2703" spans="8:14" x14ac:dyDescent="0.25">
      <c r="H2703" s="37"/>
      <c r="I2703" s="79"/>
      <c r="J2703" s="70"/>
      <c r="K2703" s="57"/>
      <c r="L2703" s="11"/>
      <c r="M2703" s="41"/>
      <c r="N2703" s="11"/>
    </row>
    <row r="2704" spans="8:14" x14ac:dyDescent="0.25">
      <c r="H2704" s="37"/>
      <c r="I2704" s="79"/>
      <c r="J2704" s="70"/>
      <c r="K2704" s="57"/>
      <c r="L2704" s="11"/>
      <c r="M2704" s="41"/>
      <c r="N2704" s="11"/>
    </row>
    <row r="2705" spans="8:14" x14ac:dyDescent="0.25">
      <c r="H2705" s="37"/>
      <c r="I2705" s="79"/>
      <c r="J2705" s="70"/>
      <c r="K2705" s="57"/>
      <c r="L2705" s="11"/>
      <c r="M2705" s="41"/>
      <c r="N2705" s="11"/>
    </row>
    <row r="2706" spans="8:14" x14ac:dyDescent="0.25">
      <c r="H2706" s="37"/>
      <c r="I2706" s="79"/>
      <c r="J2706" s="70"/>
      <c r="K2706" s="57"/>
      <c r="L2706" s="11"/>
      <c r="M2706" s="41"/>
      <c r="N2706" s="11"/>
    </row>
    <row r="2707" spans="8:14" x14ac:dyDescent="0.25">
      <c r="H2707" s="37"/>
      <c r="I2707" s="79"/>
      <c r="J2707" s="70"/>
      <c r="K2707" s="57"/>
      <c r="L2707" s="11"/>
      <c r="M2707" s="41"/>
      <c r="N2707" s="11"/>
    </row>
    <row r="2708" spans="8:14" x14ac:dyDescent="0.25">
      <c r="H2708" s="37"/>
      <c r="I2708" s="79"/>
      <c r="J2708" s="70"/>
      <c r="K2708" s="57"/>
      <c r="L2708" s="11"/>
      <c r="M2708" s="41"/>
      <c r="N2708" s="11"/>
    </row>
    <row r="2709" spans="8:14" x14ac:dyDescent="0.25">
      <c r="H2709" s="37"/>
      <c r="I2709" s="79"/>
      <c r="J2709" s="70"/>
      <c r="K2709" s="57"/>
      <c r="L2709" s="11"/>
      <c r="M2709" s="41"/>
      <c r="N2709" s="11"/>
    </row>
    <row r="2710" spans="8:14" x14ac:dyDescent="0.25">
      <c r="H2710" s="37"/>
      <c r="I2710" s="79"/>
      <c r="J2710" s="70"/>
      <c r="K2710" s="57"/>
      <c r="L2710" s="11"/>
      <c r="M2710" s="41"/>
      <c r="N2710" s="11"/>
    </row>
    <row r="2711" spans="8:14" x14ac:dyDescent="0.25">
      <c r="H2711" s="37"/>
      <c r="I2711" s="79"/>
      <c r="J2711" s="70"/>
      <c r="K2711" s="57"/>
      <c r="L2711" s="11"/>
      <c r="M2711" s="41"/>
      <c r="N2711" s="11"/>
    </row>
    <row r="2712" spans="8:14" x14ac:dyDescent="0.25">
      <c r="H2712" s="37"/>
      <c r="I2712" s="79"/>
      <c r="J2712" s="70"/>
      <c r="K2712" s="57"/>
      <c r="L2712" s="11"/>
      <c r="M2712" s="41"/>
      <c r="N2712" s="11"/>
    </row>
    <row r="2713" spans="8:14" x14ac:dyDescent="0.25">
      <c r="H2713" s="37"/>
      <c r="I2713" s="79"/>
      <c r="J2713" s="70"/>
      <c r="K2713" s="57"/>
      <c r="L2713" s="11"/>
      <c r="M2713" s="41"/>
      <c r="N2713" s="11"/>
    </row>
    <row r="2714" spans="8:14" x14ac:dyDescent="0.25">
      <c r="H2714" s="37"/>
      <c r="I2714" s="79"/>
      <c r="J2714" s="70"/>
      <c r="K2714" s="57"/>
      <c r="L2714" s="11"/>
      <c r="M2714" s="41"/>
      <c r="N2714" s="11"/>
    </row>
    <row r="2715" spans="8:14" x14ac:dyDescent="0.25">
      <c r="H2715" s="37"/>
      <c r="I2715" s="79"/>
      <c r="J2715" s="70"/>
      <c r="K2715" s="57"/>
      <c r="L2715" s="11"/>
      <c r="M2715" s="41"/>
      <c r="N2715" s="11"/>
    </row>
    <row r="2716" spans="8:14" x14ac:dyDescent="0.25">
      <c r="H2716" s="37"/>
      <c r="I2716" s="79"/>
      <c r="J2716" s="70"/>
      <c r="K2716" s="57"/>
      <c r="L2716" s="11"/>
      <c r="M2716" s="41"/>
      <c r="N2716" s="11"/>
    </row>
    <row r="2717" spans="8:14" x14ac:dyDescent="0.25">
      <c r="H2717" s="37"/>
      <c r="I2717" s="79"/>
      <c r="J2717" s="70"/>
      <c r="K2717" s="57"/>
      <c r="L2717" s="11"/>
      <c r="M2717" s="41"/>
      <c r="N2717" s="11"/>
    </row>
    <row r="2718" spans="8:14" x14ac:dyDescent="0.25">
      <c r="H2718" s="37"/>
      <c r="I2718" s="79"/>
      <c r="J2718" s="70"/>
      <c r="K2718" s="57"/>
      <c r="L2718" s="11"/>
      <c r="M2718" s="41"/>
      <c r="N2718" s="11"/>
    </row>
    <row r="2719" spans="8:14" x14ac:dyDescent="0.25">
      <c r="H2719" s="37"/>
      <c r="I2719" s="79"/>
      <c r="J2719" s="70"/>
      <c r="K2719" s="57"/>
      <c r="L2719" s="11"/>
      <c r="M2719" s="41"/>
      <c r="N2719" s="11"/>
    </row>
    <row r="2720" spans="8:14" x14ac:dyDescent="0.25">
      <c r="H2720" s="37"/>
      <c r="I2720" s="79"/>
      <c r="J2720" s="70"/>
      <c r="K2720" s="57"/>
      <c r="L2720" s="11"/>
      <c r="M2720" s="41"/>
      <c r="N2720" s="11"/>
    </row>
    <row r="2721" spans="8:14" x14ac:dyDescent="0.25">
      <c r="H2721" s="37"/>
      <c r="I2721" s="79"/>
      <c r="J2721" s="70"/>
      <c r="K2721" s="57"/>
      <c r="L2721" s="11"/>
      <c r="M2721" s="41"/>
      <c r="N2721" s="11"/>
    </row>
    <row r="2722" spans="8:14" x14ac:dyDescent="0.25">
      <c r="H2722" s="37"/>
      <c r="I2722" s="79"/>
      <c r="J2722" s="70"/>
      <c r="K2722" s="57"/>
      <c r="L2722" s="11"/>
      <c r="M2722" s="41"/>
      <c r="N2722" s="11"/>
    </row>
    <row r="2723" spans="8:14" x14ac:dyDescent="0.25">
      <c r="H2723" s="37"/>
      <c r="I2723" s="79"/>
      <c r="J2723" s="70"/>
      <c r="K2723" s="57"/>
      <c r="L2723" s="11"/>
      <c r="M2723" s="41"/>
      <c r="N2723" s="11"/>
    </row>
    <row r="2724" spans="8:14" x14ac:dyDescent="0.25">
      <c r="H2724" s="37"/>
      <c r="I2724" s="79"/>
      <c r="J2724" s="70"/>
      <c r="K2724" s="57"/>
      <c r="L2724" s="11"/>
      <c r="M2724" s="41"/>
      <c r="N2724" s="11"/>
    </row>
    <row r="2725" spans="8:14" x14ac:dyDescent="0.25">
      <c r="H2725" s="37"/>
      <c r="I2725" s="79"/>
      <c r="J2725" s="70"/>
      <c r="K2725" s="57"/>
      <c r="L2725" s="11"/>
      <c r="M2725" s="41"/>
      <c r="N2725" s="11"/>
    </row>
    <row r="2726" spans="8:14" x14ac:dyDescent="0.25">
      <c r="H2726" s="37"/>
      <c r="I2726" s="79"/>
      <c r="J2726" s="70"/>
      <c r="K2726" s="57"/>
      <c r="L2726" s="11"/>
      <c r="M2726" s="41"/>
      <c r="N2726" s="11"/>
    </row>
    <row r="2727" spans="8:14" x14ac:dyDescent="0.25">
      <c r="H2727" s="37"/>
      <c r="I2727" s="79"/>
      <c r="J2727" s="70"/>
      <c r="K2727" s="57"/>
      <c r="L2727" s="11"/>
      <c r="M2727" s="41"/>
      <c r="N2727" s="11"/>
    </row>
    <row r="2728" spans="8:14" x14ac:dyDescent="0.25">
      <c r="H2728" s="37"/>
      <c r="I2728" s="79"/>
      <c r="J2728" s="70"/>
      <c r="K2728" s="57"/>
      <c r="L2728" s="11"/>
      <c r="M2728" s="41"/>
      <c r="N2728" s="11"/>
    </row>
    <row r="2729" spans="8:14" x14ac:dyDescent="0.25">
      <c r="H2729" s="37"/>
      <c r="I2729" s="79"/>
      <c r="J2729" s="70"/>
      <c r="K2729" s="57"/>
      <c r="L2729" s="11"/>
      <c r="M2729" s="41"/>
      <c r="N2729" s="11"/>
    </row>
    <row r="2730" spans="8:14" x14ac:dyDescent="0.25">
      <c r="H2730" s="37"/>
      <c r="I2730" s="79"/>
      <c r="J2730" s="70"/>
      <c r="K2730" s="57"/>
      <c r="L2730" s="11"/>
      <c r="M2730" s="41"/>
      <c r="N2730" s="11"/>
    </row>
    <row r="2731" spans="8:14" x14ac:dyDescent="0.25">
      <c r="H2731" s="37"/>
      <c r="I2731" s="79"/>
      <c r="J2731" s="70"/>
      <c r="K2731" s="57"/>
      <c r="L2731" s="11"/>
      <c r="M2731" s="41"/>
      <c r="N2731" s="11"/>
    </row>
    <row r="2732" spans="8:14" x14ac:dyDescent="0.25">
      <c r="H2732" s="37"/>
      <c r="I2732" s="79"/>
      <c r="J2732" s="70"/>
      <c r="K2732" s="57"/>
      <c r="L2732" s="11"/>
      <c r="M2732" s="41"/>
      <c r="N2732" s="11"/>
    </row>
    <row r="2733" spans="8:14" x14ac:dyDescent="0.25">
      <c r="H2733" s="37"/>
      <c r="I2733" s="79"/>
      <c r="J2733" s="70"/>
      <c r="K2733" s="57"/>
      <c r="L2733" s="11"/>
      <c r="M2733" s="41"/>
      <c r="N2733" s="11"/>
    </row>
    <row r="2734" spans="8:14" x14ac:dyDescent="0.25">
      <c r="H2734" s="37"/>
      <c r="I2734" s="79"/>
      <c r="J2734" s="70"/>
      <c r="K2734" s="57"/>
      <c r="L2734" s="11"/>
      <c r="M2734" s="41"/>
      <c r="N2734" s="11"/>
    </row>
    <row r="2735" spans="8:14" x14ac:dyDescent="0.25">
      <c r="H2735" s="37"/>
      <c r="I2735" s="79"/>
      <c r="J2735" s="70"/>
      <c r="K2735" s="57"/>
      <c r="L2735" s="11"/>
      <c r="M2735" s="41"/>
      <c r="N2735" s="11"/>
    </row>
    <row r="2736" spans="8:14" x14ac:dyDescent="0.25">
      <c r="H2736" s="37"/>
      <c r="I2736" s="79"/>
      <c r="J2736" s="70"/>
      <c r="K2736" s="57"/>
      <c r="L2736" s="11"/>
      <c r="M2736" s="41"/>
      <c r="N2736" s="11"/>
    </row>
    <row r="2737" spans="8:14" x14ac:dyDescent="0.25">
      <c r="H2737" s="37"/>
      <c r="I2737" s="79"/>
      <c r="J2737" s="70"/>
      <c r="K2737" s="57"/>
      <c r="L2737" s="11"/>
      <c r="M2737" s="41"/>
      <c r="N2737" s="11"/>
    </row>
    <row r="2738" spans="8:14" x14ac:dyDescent="0.25">
      <c r="H2738" s="37"/>
      <c r="I2738" s="79"/>
      <c r="J2738" s="70"/>
      <c r="K2738" s="57"/>
      <c r="L2738" s="11"/>
      <c r="M2738" s="41"/>
      <c r="N2738" s="11"/>
    </row>
    <row r="2739" spans="8:14" x14ac:dyDescent="0.25">
      <c r="H2739" s="37"/>
      <c r="I2739" s="79"/>
      <c r="J2739" s="70"/>
      <c r="K2739" s="57"/>
      <c r="L2739" s="11"/>
      <c r="M2739" s="41"/>
      <c r="N2739" s="11"/>
    </row>
    <row r="2740" spans="8:14" x14ac:dyDescent="0.25">
      <c r="H2740" s="37"/>
      <c r="I2740" s="79"/>
      <c r="J2740" s="70"/>
      <c r="K2740" s="57"/>
      <c r="L2740" s="11"/>
      <c r="M2740" s="41"/>
      <c r="N2740" s="11"/>
    </row>
    <row r="2741" spans="8:14" x14ac:dyDescent="0.25">
      <c r="H2741" s="37"/>
      <c r="I2741" s="79"/>
      <c r="J2741" s="70"/>
      <c r="K2741" s="57"/>
      <c r="L2741" s="11"/>
      <c r="M2741" s="41"/>
      <c r="N2741" s="11"/>
    </row>
    <row r="2742" spans="8:14" x14ac:dyDescent="0.25">
      <c r="H2742" s="37"/>
      <c r="I2742" s="79"/>
      <c r="J2742" s="70"/>
      <c r="K2742" s="57"/>
      <c r="L2742" s="11"/>
      <c r="M2742" s="41"/>
      <c r="N2742" s="11"/>
    </row>
    <row r="2743" spans="8:14" x14ac:dyDescent="0.25">
      <c r="H2743" s="37"/>
      <c r="I2743" s="79"/>
      <c r="J2743" s="70"/>
      <c r="K2743" s="57"/>
      <c r="L2743" s="11"/>
      <c r="M2743" s="41"/>
      <c r="N2743" s="11"/>
    </row>
    <row r="2744" spans="8:14" x14ac:dyDescent="0.25">
      <c r="H2744" s="37"/>
      <c r="I2744" s="79"/>
      <c r="J2744" s="70"/>
      <c r="K2744" s="57"/>
      <c r="L2744" s="11"/>
      <c r="M2744" s="41"/>
      <c r="N2744" s="11"/>
    </row>
    <row r="2745" spans="8:14" x14ac:dyDescent="0.25">
      <c r="H2745" s="37"/>
      <c r="I2745" s="79"/>
      <c r="J2745" s="70"/>
      <c r="K2745" s="57"/>
      <c r="L2745" s="11"/>
      <c r="M2745" s="41"/>
      <c r="N2745" s="11"/>
    </row>
    <row r="2746" spans="8:14" x14ac:dyDescent="0.25">
      <c r="H2746" s="37"/>
      <c r="I2746" s="79"/>
      <c r="J2746" s="70"/>
      <c r="K2746" s="57"/>
      <c r="L2746" s="11"/>
      <c r="M2746" s="41"/>
      <c r="N2746" s="11"/>
    </row>
    <row r="2747" spans="8:14" x14ac:dyDescent="0.25">
      <c r="H2747" s="37"/>
      <c r="I2747" s="79"/>
      <c r="J2747" s="70"/>
      <c r="K2747" s="57"/>
      <c r="L2747" s="11"/>
      <c r="M2747" s="41"/>
      <c r="N2747" s="11"/>
    </row>
    <row r="2748" spans="8:14" x14ac:dyDescent="0.25">
      <c r="H2748" s="37"/>
      <c r="I2748" s="79"/>
      <c r="J2748" s="70"/>
      <c r="K2748" s="57"/>
      <c r="L2748" s="11"/>
      <c r="M2748" s="41"/>
      <c r="N2748" s="11"/>
    </row>
    <row r="2749" spans="8:14" x14ac:dyDescent="0.25">
      <c r="H2749" s="37"/>
      <c r="I2749" s="79"/>
      <c r="J2749" s="70"/>
      <c r="K2749" s="57"/>
      <c r="L2749" s="11"/>
      <c r="M2749" s="41"/>
      <c r="N2749" s="11"/>
    </row>
    <row r="2750" spans="8:14" x14ac:dyDescent="0.25">
      <c r="H2750" s="37"/>
      <c r="I2750" s="79"/>
      <c r="J2750" s="70"/>
      <c r="K2750" s="57"/>
      <c r="L2750" s="11"/>
      <c r="M2750" s="41"/>
      <c r="N2750" s="11"/>
    </row>
    <row r="2751" spans="8:14" x14ac:dyDescent="0.25">
      <c r="H2751" s="37"/>
      <c r="I2751" s="79"/>
      <c r="J2751" s="70"/>
      <c r="K2751" s="57"/>
      <c r="L2751" s="11"/>
      <c r="M2751" s="41"/>
      <c r="N2751" s="11"/>
    </row>
    <row r="2752" spans="8:14" x14ac:dyDescent="0.25">
      <c r="H2752" s="37"/>
      <c r="I2752" s="79"/>
      <c r="J2752" s="70"/>
      <c r="K2752" s="57"/>
      <c r="L2752" s="11"/>
      <c r="M2752" s="41"/>
      <c r="N2752" s="11"/>
    </row>
    <row r="2753" spans="8:14" x14ac:dyDescent="0.25">
      <c r="H2753" s="37"/>
      <c r="I2753" s="79"/>
      <c r="J2753" s="70"/>
      <c r="K2753" s="57"/>
      <c r="L2753" s="11"/>
      <c r="M2753" s="41"/>
      <c r="N2753" s="11"/>
    </row>
    <row r="2754" spans="8:14" x14ac:dyDescent="0.25">
      <c r="H2754" s="37"/>
      <c r="I2754" s="79"/>
      <c r="J2754" s="70"/>
      <c r="K2754" s="57"/>
      <c r="L2754" s="11"/>
      <c r="M2754" s="41"/>
      <c r="N2754" s="11"/>
    </row>
    <row r="2755" spans="8:14" x14ac:dyDescent="0.25">
      <c r="H2755" s="37"/>
      <c r="I2755" s="79"/>
      <c r="J2755" s="70"/>
      <c r="K2755" s="57"/>
      <c r="L2755" s="11"/>
      <c r="M2755" s="41"/>
      <c r="N2755" s="11"/>
    </row>
    <row r="2756" spans="8:14" x14ac:dyDescent="0.25">
      <c r="H2756" s="37"/>
      <c r="I2756" s="79"/>
      <c r="J2756" s="70"/>
      <c r="K2756" s="57"/>
      <c r="L2756" s="11"/>
      <c r="M2756" s="41"/>
      <c r="N2756" s="11"/>
    </row>
    <row r="2757" spans="8:14" x14ac:dyDescent="0.25">
      <c r="H2757" s="37"/>
      <c r="I2757" s="79"/>
      <c r="J2757" s="70"/>
      <c r="K2757" s="57"/>
      <c r="L2757" s="11"/>
      <c r="M2757" s="41"/>
      <c r="N2757" s="11"/>
    </row>
    <row r="2758" spans="8:14" x14ac:dyDescent="0.25">
      <c r="H2758" s="37"/>
      <c r="I2758" s="79"/>
      <c r="J2758" s="70"/>
      <c r="K2758" s="57"/>
      <c r="L2758" s="11"/>
      <c r="M2758" s="41"/>
      <c r="N2758" s="11"/>
    </row>
    <row r="2759" spans="8:14" x14ac:dyDescent="0.25">
      <c r="H2759" s="37"/>
      <c r="I2759" s="79"/>
      <c r="J2759" s="70"/>
      <c r="K2759" s="57"/>
      <c r="L2759" s="11"/>
      <c r="M2759" s="41"/>
      <c r="N2759" s="11"/>
    </row>
    <row r="2760" spans="8:14" x14ac:dyDescent="0.25">
      <c r="H2760" s="37"/>
      <c r="I2760" s="79"/>
      <c r="J2760" s="70"/>
      <c r="K2760" s="57"/>
      <c r="L2760" s="11"/>
      <c r="M2760" s="41"/>
      <c r="N2760" s="11"/>
    </row>
    <row r="2761" spans="8:14" x14ac:dyDescent="0.25">
      <c r="H2761" s="37"/>
      <c r="I2761" s="79"/>
      <c r="J2761" s="70"/>
      <c r="K2761" s="57"/>
      <c r="L2761" s="11"/>
      <c r="M2761" s="41"/>
      <c r="N2761" s="11"/>
    </row>
    <row r="2762" spans="8:14" x14ac:dyDescent="0.25">
      <c r="H2762" s="37"/>
      <c r="I2762" s="79"/>
      <c r="J2762" s="70"/>
      <c r="K2762" s="57"/>
      <c r="L2762" s="11"/>
      <c r="M2762" s="41"/>
      <c r="N2762" s="11"/>
    </row>
    <row r="2763" spans="8:14" x14ac:dyDescent="0.25">
      <c r="H2763" s="37"/>
      <c r="I2763" s="79"/>
      <c r="J2763" s="70"/>
      <c r="K2763" s="57"/>
      <c r="L2763" s="11"/>
      <c r="M2763" s="41"/>
      <c r="N2763" s="11"/>
    </row>
    <row r="2764" spans="8:14" x14ac:dyDescent="0.25">
      <c r="H2764" s="37"/>
      <c r="I2764" s="79"/>
      <c r="J2764" s="70"/>
      <c r="K2764" s="57"/>
      <c r="L2764" s="11"/>
      <c r="M2764" s="41"/>
      <c r="N2764" s="11"/>
    </row>
    <row r="2765" spans="8:14" x14ac:dyDescent="0.25">
      <c r="H2765" s="37"/>
      <c r="I2765" s="79"/>
      <c r="J2765" s="70"/>
      <c r="K2765" s="57"/>
      <c r="L2765" s="11"/>
      <c r="M2765" s="41"/>
      <c r="N2765" s="11"/>
    </row>
    <row r="2766" spans="8:14" x14ac:dyDescent="0.25">
      <c r="H2766" s="37"/>
      <c r="I2766" s="79"/>
      <c r="J2766" s="70"/>
      <c r="K2766" s="57"/>
      <c r="L2766" s="11"/>
      <c r="M2766" s="41"/>
      <c r="N2766" s="11"/>
    </row>
    <row r="2767" spans="8:14" x14ac:dyDescent="0.25">
      <c r="H2767" s="37"/>
      <c r="I2767" s="79"/>
      <c r="J2767" s="70"/>
      <c r="K2767" s="57"/>
      <c r="L2767" s="11"/>
      <c r="M2767" s="41"/>
      <c r="N2767" s="11"/>
    </row>
    <row r="2768" spans="8:14" x14ac:dyDescent="0.25">
      <c r="H2768" s="37"/>
      <c r="I2768" s="79"/>
      <c r="J2768" s="70"/>
      <c r="K2768" s="57"/>
      <c r="L2768" s="11"/>
      <c r="M2768" s="41"/>
      <c r="N2768" s="11"/>
    </row>
    <row r="2769" spans="8:14" x14ac:dyDescent="0.25">
      <c r="H2769" s="37"/>
      <c r="I2769" s="79"/>
      <c r="J2769" s="70"/>
      <c r="K2769" s="57"/>
      <c r="L2769" s="11"/>
      <c r="M2769" s="41"/>
      <c r="N2769" s="11"/>
    </row>
    <row r="2770" spans="8:14" x14ac:dyDescent="0.25">
      <c r="H2770" s="37"/>
      <c r="I2770" s="79"/>
      <c r="J2770" s="70"/>
      <c r="K2770" s="57"/>
      <c r="L2770" s="11"/>
      <c r="M2770" s="41"/>
      <c r="N2770" s="11"/>
    </row>
    <row r="2771" spans="8:14" x14ac:dyDescent="0.25">
      <c r="H2771" s="37"/>
      <c r="I2771" s="79"/>
      <c r="J2771" s="70"/>
      <c r="K2771" s="57"/>
      <c r="L2771" s="11"/>
      <c r="M2771" s="41"/>
      <c r="N2771" s="11"/>
    </row>
    <row r="2772" spans="8:14" x14ac:dyDescent="0.25">
      <c r="H2772" s="37"/>
      <c r="I2772" s="79"/>
      <c r="J2772" s="70"/>
      <c r="K2772" s="57"/>
      <c r="L2772" s="11"/>
      <c r="M2772" s="41"/>
      <c r="N2772" s="11"/>
    </row>
    <row r="2773" spans="8:14" x14ac:dyDescent="0.25">
      <c r="H2773" s="37"/>
      <c r="I2773" s="79"/>
      <c r="J2773" s="70"/>
      <c r="K2773" s="57"/>
      <c r="L2773" s="11"/>
      <c r="M2773" s="41"/>
      <c r="N2773" s="11"/>
    </row>
    <row r="2774" spans="8:14" x14ac:dyDescent="0.25">
      <c r="H2774" s="37"/>
      <c r="I2774" s="79"/>
      <c r="J2774" s="70"/>
      <c r="K2774" s="57"/>
      <c r="L2774" s="11"/>
      <c r="M2774" s="41"/>
      <c r="N2774" s="11"/>
    </row>
    <row r="2775" spans="8:14" x14ac:dyDescent="0.25">
      <c r="H2775" s="37"/>
      <c r="I2775" s="79"/>
      <c r="J2775" s="70"/>
      <c r="K2775" s="57"/>
      <c r="L2775" s="11"/>
      <c r="M2775" s="41"/>
      <c r="N2775" s="11"/>
    </row>
    <row r="2776" spans="8:14" x14ac:dyDescent="0.25">
      <c r="H2776" s="37"/>
      <c r="I2776" s="79"/>
      <c r="J2776" s="70"/>
      <c r="K2776" s="57"/>
      <c r="L2776" s="11"/>
      <c r="M2776" s="41"/>
      <c r="N2776" s="11"/>
    </row>
    <row r="2777" spans="8:14" x14ac:dyDescent="0.25">
      <c r="H2777" s="37"/>
      <c r="I2777" s="79"/>
      <c r="J2777" s="70"/>
      <c r="K2777" s="57"/>
      <c r="L2777" s="11"/>
      <c r="M2777" s="41"/>
      <c r="N2777" s="11"/>
    </row>
    <row r="2778" spans="8:14" x14ac:dyDescent="0.25">
      <c r="H2778" s="37"/>
      <c r="I2778" s="79"/>
      <c r="J2778" s="70"/>
      <c r="K2778" s="57"/>
      <c r="L2778" s="11"/>
      <c r="M2778" s="41"/>
      <c r="N2778" s="11"/>
    </row>
    <row r="2779" spans="8:14" x14ac:dyDescent="0.25">
      <c r="H2779" s="37"/>
      <c r="I2779" s="79"/>
      <c r="J2779" s="70"/>
      <c r="K2779" s="57"/>
      <c r="L2779" s="11"/>
      <c r="M2779" s="41"/>
      <c r="N2779" s="11"/>
    </row>
    <row r="2780" spans="8:14" x14ac:dyDescent="0.25">
      <c r="H2780" s="37"/>
      <c r="I2780" s="79"/>
      <c r="J2780" s="70"/>
      <c r="K2780" s="57"/>
      <c r="L2780" s="11"/>
      <c r="M2780" s="41"/>
      <c r="N2780" s="11"/>
    </row>
    <row r="2781" spans="8:14" x14ac:dyDescent="0.25">
      <c r="H2781" s="37"/>
      <c r="I2781" s="79"/>
      <c r="J2781" s="70"/>
      <c r="K2781" s="57"/>
      <c r="L2781" s="11"/>
      <c r="M2781" s="41"/>
      <c r="N2781" s="11"/>
    </row>
    <row r="2782" spans="8:14" x14ac:dyDescent="0.25">
      <c r="H2782" s="37"/>
      <c r="I2782" s="79"/>
      <c r="J2782" s="70"/>
      <c r="K2782" s="57"/>
      <c r="L2782" s="11"/>
      <c r="M2782" s="41"/>
      <c r="N2782" s="11"/>
    </row>
    <row r="2783" spans="8:14" x14ac:dyDescent="0.25">
      <c r="H2783" s="37"/>
      <c r="I2783" s="79"/>
      <c r="J2783" s="70"/>
      <c r="K2783" s="57"/>
      <c r="L2783" s="11"/>
      <c r="M2783" s="41"/>
      <c r="N2783" s="11"/>
    </row>
    <row r="2784" spans="8:14" x14ac:dyDescent="0.25">
      <c r="H2784" s="37"/>
      <c r="I2784" s="79"/>
      <c r="J2784" s="70"/>
      <c r="K2784" s="57"/>
      <c r="L2784" s="11"/>
      <c r="M2784" s="41"/>
      <c r="N2784" s="11"/>
    </row>
    <row r="2785" spans="8:14" x14ac:dyDescent="0.25">
      <c r="H2785" s="37"/>
      <c r="I2785" s="79"/>
      <c r="J2785" s="70"/>
      <c r="K2785" s="57"/>
      <c r="L2785" s="11"/>
      <c r="M2785" s="41"/>
      <c r="N2785" s="11"/>
    </row>
    <row r="2786" spans="8:14" x14ac:dyDescent="0.25">
      <c r="H2786" s="37"/>
      <c r="I2786" s="79"/>
      <c r="J2786" s="70"/>
      <c r="K2786" s="57"/>
      <c r="L2786" s="11"/>
      <c r="M2786" s="41"/>
      <c r="N2786" s="11"/>
    </row>
    <row r="2787" spans="8:14" x14ac:dyDescent="0.25">
      <c r="H2787" s="37"/>
      <c r="I2787" s="79"/>
      <c r="J2787" s="70"/>
      <c r="K2787" s="57"/>
      <c r="L2787" s="11"/>
      <c r="M2787" s="41"/>
      <c r="N2787" s="11"/>
    </row>
    <row r="2788" spans="8:14" x14ac:dyDescent="0.25">
      <c r="H2788" s="37"/>
      <c r="I2788" s="79"/>
      <c r="J2788" s="70"/>
      <c r="K2788" s="57"/>
      <c r="L2788" s="11"/>
      <c r="M2788" s="41"/>
      <c r="N2788" s="11"/>
    </row>
    <row r="2789" spans="8:14" x14ac:dyDescent="0.25">
      <c r="H2789" s="37"/>
      <c r="I2789" s="79"/>
      <c r="J2789" s="70"/>
      <c r="K2789" s="57"/>
      <c r="L2789" s="11"/>
      <c r="M2789" s="41"/>
      <c r="N2789" s="11"/>
    </row>
    <row r="2790" spans="8:14" x14ac:dyDescent="0.25">
      <c r="H2790" s="37"/>
      <c r="I2790" s="79"/>
      <c r="J2790" s="70"/>
      <c r="K2790" s="57"/>
      <c r="L2790" s="11"/>
      <c r="M2790" s="41"/>
      <c r="N2790" s="11"/>
    </row>
    <row r="2791" spans="8:14" x14ac:dyDescent="0.25">
      <c r="H2791" s="37"/>
      <c r="I2791" s="79"/>
      <c r="J2791" s="70"/>
      <c r="K2791" s="57"/>
      <c r="L2791" s="11"/>
      <c r="M2791" s="41"/>
      <c r="N2791" s="11"/>
    </row>
    <row r="2792" spans="8:14" x14ac:dyDescent="0.25">
      <c r="H2792" s="37"/>
      <c r="I2792" s="79"/>
      <c r="J2792" s="70"/>
      <c r="K2792" s="57"/>
      <c r="L2792" s="11"/>
      <c r="M2792" s="41"/>
      <c r="N2792" s="11"/>
    </row>
    <row r="2793" spans="8:14" x14ac:dyDescent="0.25">
      <c r="H2793" s="37"/>
      <c r="I2793" s="79"/>
      <c r="J2793" s="70"/>
      <c r="K2793" s="57"/>
      <c r="L2793" s="11"/>
      <c r="M2793" s="41"/>
      <c r="N2793" s="11"/>
    </row>
    <row r="2794" spans="8:14" x14ac:dyDescent="0.25">
      <c r="H2794" s="37"/>
      <c r="I2794" s="79"/>
      <c r="J2794" s="70"/>
      <c r="K2794" s="57"/>
      <c r="L2794" s="11"/>
      <c r="M2794" s="41"/>
      <c r="N2794" s="11"/>
    </row>
    <row r="2795" spans="8:14" x14ac:dyDescent="0.25">
      <c r="H2795" s="37"/>
      <c r="I2795" s="79"/>
      <c r="J2795" s="70"/>
      <c r="K2795" s="57"/>
      <c r="L2795" s="11"/>
      <c r="M2795" s="41"/>
      <c r="N2795" s="11"/>
    </row>
    <row r="2796" spans="8:14" x14ac:dyDescent="0.25">
      <c r="H2796" s="37"/>
      <c r="I2796" s="79"/>
      <c r="J2796" s="70"/>
      <c r="K2796" s="57"/>
      <c r="L2796" s="11"/>
      <c r="M2796" s="41"/>
      <c r="N2796" s="11"/>
    </row>
    <row r="2797" spans="8:14" x14ac:dyDescent="0.25">
      <c r="H2797" s="37"/>
      <c r="I2797" s="79"/>
      <c r="J2797" s="70"/>
      <c r="K2797" s="57"/>
      <c r="L2797" s="11"/>
      <c r="M2797" s="41"/>
      <c r="N2797" s="11"/>
    </row>
    <row r="2798" spans="8:14" x14ac:dyDescent="0.25">
      <c r="H2798" s="37"/>
      <c r="I2798" s="79"/>
      <c r="J2798" s="70"/>
      <c r="K2798" s="57"/>
      <c r="L2798" s="11"/>
      <c r="M2798" s="41"/>
      <c r="N2798" s="11"/>
    </row>
    <row r="2799" spans="8:14" x14ac:dyDescent="0.25">
      <c r="H2799" s="37"/>
      <c r="I2799" s="79"/>
      <c r="J2799" s="70"/>
      <c r="K2799" s="57"/>
      <c r="L2799" s="11"/>
      <c r="M2799" s="41"/>
      <c r="N2799" s="11"/>
    </row>
    <row r="2800" spans="8:14" x14ac:dyDescent="0.25">
      <c r="H2800" s="37"/>
      <c r="I2800" s="79"/>
      <c r="J2800" s="70"/>
      <c r="K2800" s="57"/>
      <c r="L2800" s="11"/>
      <c r="M2800" s="41"/>
      <c r="N2800" s="11"/>
    </row>
    <row r="2801" spans="8:14" x14ac:dyDescent="0.25">
      <c r="H2801" s="37"/>
      <c r="I2801" s="79"/>
      <c r="J2801" s="70"/>
      <c r="K2801" s="57"/>
      <c r="L2801" s="11"/>
      <c r="M2801" s="41"/>
      <c r="N2801" s="11"/>
    </row>
    <row r="2802" spans="8:14" x14ac:dyDescent="0.25">
      <c r="H2802" s="37"/>
      <c r="I2802" s="79"/>
      <c r="J2802" s="70"/>
      <c r="K2802" s="57"/>
      <c r="L2802" s="11"/>
      <c r="M2802" s="41"/>
      <c r="N2802" s="11"/>
    </row>
    <row r="2803" spans="8:14" x14ac:dyDescent="0.25">
      <c r="H2803" s="37"/>
      <c r="I2803" s="79"/>
      <c r="J2803" s="70"/>
      <c r="K2803" s="57"/>
      <c r="L2803" s="11"/>
      <c r="M2803" s="41"/>
      <c r="N2803" s="11"/>
    </row>
    <row r="2804" spans="8:14" x14ac:dyDescent="0.25">
      <c r="H2804" s="37"/>
      <c r="I2804" s="79"/>
      <c r="J2804" s="70"/>
      <c r="K2804" s="57"/>
      <c r="L2804" s="11"/>
      <c r="M2804" s="41"/>
      <c r="N2804" s="11"/>
    </row>
    <row r="2805" spans="8:14" x14ac:dyDescent="0.25">
      <c r="H2805" s="37"/>
      <c r="I2805" s="79"/>
      <c r="J2805" s="70"/>
      <c r="K2805" s="57"/>
      <c r="L2805" s="11"/>
      <c r="M2805" s="41"/>
      <c r="N2805" s="11"/>
    </row>
    <row r="2806" spans="8:14" x14ac:dyDescent="0.25">
      <c r="H2806" s="37"/>
      <c r="I2806" s="79"/>
      <c r="J2806" s="70"/>
      <c r="K2806" s="57"/>
      <c r="L2806" s="11"/>
      <c r="M2806" s="41"/>
      <c r="N2806" s="11"/>
    </row>
    <row r="2807" spans="8:14" x14ac:dyDescent="0.25">
      <c r="H2807" s="37"/>
      <c r="I2807" s="79"/>
      <c r="J2807" s="70"/>
      <c r="K2807" s="57"/>
      <c r="L2807" s="11"/>
      <c r="M2807" s="41"/>
      <c r="N2807" s="11"/>
    </row>
    <row r="2808" spans="8:14" x14ac:dyDescent="0.25">
      <c r="H2808" s="37"/>
      <c r="I2808" s="79"/>
      <c r="J2808" s="70"/>
      <c r="K2808" s="57"/>
      <c r="L2808" s="11"/>
      <c r="M2808" s="41"/>
      <c r="N2808" s="11"/>
    </row>
    <row r="2809" spans="8:14" x14ac:dyDescent="0.25">
      <c r="H2809" s="37"/>
      <c r="I2809" s="79"/>
      <c r="J2809" s="70"/>
      <c r="K2809" s="57"/>
      <c r="L2809" s="11"/>
      <c r="M2809" s="41"/>
      <c r="N2809" s="11"/>
    </row>
    <row r="2810" spans="8:14" x14ac:dyDescent="0.25">
      <c r="H2810" s="37"/>
      <c r="I2810" s="79"/>
      <c r="J2810" s="70"/>
      <c r="K2810" s="57"/>
      <c r="L2810" s="11"/>
      <c r="M2810" s="41"/>
      <c r="N2810" s="11"/>
    </row>
    <row r="2811" spans="8:14" x14ac:dyDescent="0.25">
      <c r="H2811" s="37"/>
      <c r="I2811" s="79"/>
      <c r="J2811" s="70"/>
      <c r="K2811" s="57"/>
      <c r="L2811" s="11"/>
      <c r="M2811" s="41"/>
      <c r="N2811" s="11"/>
    </row>
    <row r="2812" spans="8:14" x14ac:dyDescent="0.25">
      <c r="H2812" s="37"/>
      <c r="I2812" s="79"/>
      <c r="J2812" s="70"/>
      <c r="K2812" s="57"/>
      <c r="L2812" s="11"/>
      <c r="M2812" s="41"/>
      <c r="N2812" s="11"/>
    </row>
    <row r="2813" spans="8:14" x14ac:dyDescent="0.25">
      <c r="H2813" s="37"/>
      <c r="I2813" s="79"/>
      <c r="J2813" s="70"/>
      <c r="K2813" s="57"/>
      <c r="L2813" s="11"/>
      <c r="M2813" s="41"/>
      <c r="N2813" s="11"/>
    </row>
    <row r="2814" spans="8:14" x14ac:dyDescent="0.25">
      <c r="H2814" s="37"/>
      <c r="I2814" s="79"/>
      <c r="J2814" s="70"/>
      <c r="K2814" s="57"/>
      <c r="L2814" s="11"/>
      <c r="M2814" s="41"/>
      <c r="N2814" s="11"/>
    </row>
    <row r="2815" spans="8:14" x14ac:dyDescent="0.25">
      <c r="H2815" s="37"/>
      <c r="I2815" s="79"/>
      <c r="J2815" s="70"/>
      <c r="K2815" s="57"/>
      <c r="L2815" s="11"/>
      <c r="M2815" s="41"/>
      <c r="N2815" s="11"/>
    </row>
    <row r="2816" spans="8:14" x14ac:dyDescent="0.25">
      <c r="H2816" s="37"/>
      <c r="I2816" s="79"/>
      <c r="J2816" s="70"/>
      <c r="K2816" s="57"/>
      <c r="L2816" s="11"/>
      <c r="M2816" s="41"/>
      <c r="N2816" s="11"/>
    </row>
    <row r="2817" spans="8:14" x14ac:dyDescent="0.25">
      <c r="H2817" s="37"/>
      <c r="I2817" s="79"/>
      <c r="J2817" s="70"/>
      <c r="K2817" s="57"/>
      <c r="L2817" s="11"/>
      <c r="M2817" s="41"/>
      <c r="N2817" s="11"/>
    </row>
    <row r="2818" spans="8:14" x14ac:dyDescent="0.25">
      <c r="H2818" s="37"/>
      <c r="I2818" s="79"/>
      <c r="J2818" s="70"/>
      <c r="K2818" s="57"/>
      <c r="L2818" s="11"/>
      <c r="M2818" s="41"/>
      <c r="N2818" s="11"/>
    </row>
    <row r="2819" spans="8:14" x14ac:dyDescent="0.25">
      <c r="H2819" s="37"/>
      <c r="I2819" s="79"/>
      <c r="J2819" s="70"/>
      <c r="K2819" s="57"/>
      <c r="L2819" s="11"/>
      <c r="M2819" s="41"/>
      <c r="N2819" s="11"/>
    </row>
    <row r="2820" spans="8:14" x14ac:dyDescent="0.25">
      <c r="H2820" s="37"/>
      <c r="I2820" s="79"/>
      <c r="J2820" s="70"/>
      <c r="K2820" s="57"/>
      <c r="L2820" s="11"/>
      <c r="M2820" s="41"/>
      <c r="N2820" s="11"/>
    </row>
    <row r="2821" spans="8:14" x14ac:dyDescent="0.25">
      <c r="H2821" s="37"/>
      <c r="I2821" s="79"/>
      <c r="J2821" s="70"/>
      <c r="K2821" s="57"/>
      <c r="L2821" s="11"/>
      <c r="M2821" s="41"/>
      <c r="N2821" s="11"/>
    </row>
    <row r="2822" spans="8:14" x14ac:dyDescent="0.25">
      <c r="H2822" s="37"/>
      <c r="I2822" s="79"/>
      <c r="J2822" s="70"/>
      <c r="K2822" s="57"/>
      <c r="L2822" s="11"/>
      <c r="M2822" s="41"/>
      <c r="N2822" s="11"/>
    </row>
    <row r="2823" spans="8:14" x14ac:dyDescent="0.25">
      <c r="H2823" s="37"/>
      <c r="I2823" s="79"/>
      <c r="J2823" s="70"/>
      <c r="K2823" s="57"/>
      <c r="L2823" s="11"/>
      <c r="M2823" s="41"/>
      <c r="N2823" s="11"/>
    </row>
    <row r="2824" spans="8:14" x14ac:dyDescent="0.25">
      <c r="H2824" s="37"/>
      <c r="I2824" s="79"/>
      <c r="J2824" s="70"/>
      <c r="K2824" s="57"/>
      <c r="L2824" s="11"/>
      <c r="M2824" s="41"/>
      <c r="N2824" s="11"/>
    </row>
    <row r="2825" spans="8:14" x14ac:dyDescent="0.25">
      <c r="H2825" s="37"/>
      <c r="I2825" s="79"/>
      <c r="J2825" s="70"/>
      <c r="K2825" s="57"/>
      <c r="L2825" s="11"/>
      <c r="M2825" s="41"/>
      <c r="N2825" s="11"/>
    </row>
    <row r="2826" spans="8:14" x14ac:dyDescent="0.25">
      <c r="H2826" s="37"/>
      <c r="I2826" s="79"/>
      <c r="J2826" s="70"/>
      <c r="K2826" s="57"/>
      <c r="L2826" s="11"/>
      <c r="M2826" s="41"/>
      <c r="N2826" s="11"/>
    </row>
    <row r="2827" spans="8:14" x14ac:dyDescent="0.25">
      <c r="H2827" s="37"/>
      <c r="I2827" s="79"/>
      <c r="J2827" s="70"/>
      <c r="K2827" s="57"/>
      <c r="L2827" s="11"/>
      <c r="M2827" s="41"/>
      <c r="N2827" s="11"/>
    </row>
    <row r="2828" spans="8:14" x14ac:dyDescent="0.25">
      <c r="H2828" s="37"/>
      <c r="I2828" s="79"/>
      <c r="J2828" s="70"/>
      <c r="K2828" s="57"/>
      <c r="L2828" s="11"/>
      <c r="M2828" s="41"/>
      <c r="N2828" s="11"/>
    </row>
    <row r="2829" spans="8:14" x14ac:dyDescent="0.25">
      <c r="H2829" s="37"/>
      <c r="I2829" s="79"/>
      <c r="J2829" s="70"/>
      <c r="K2829" s="57"/>
      <c r="L2829" s="11"/>
      <c r="M2829" s="41"/>
      <c r="N2829" s="11"/>
    </row>
    <row r="2830" spans="8:14" x14ac:dyDescent="0.25">
      <c r="H2830" s="37"/>
      <c r="I2830" s="79"/>
      <c r="J2830" s="70"/>
      <c r="K2830" s="57"/>
      <c r="L2830" s="11"/>
      <c r="M2830" s="41"/>
      <c r="N2830" s="11"/>
    </row>
    <row r="2831" spans="8:14" x14ac:dyDescent="0.25">
      <c r="H2831" s="37"/>
      <c r="I2831" s="79"/>
      <c r="J2831" s="70"/>
      <c r="K2831" s="57"/>
      <c r="L2831" s="11"/>
      <c r="M2831" s="41"/>
      <c r="N2831" s="11"/>
    </row>
    <row r="2832" spans="8:14" x14ac:dyDescent="0.25">
      <c r="H2832" s="37"/>
      <c r="I2832" s="79"/>
      <c r="J2832" s="70"/>
      <c r="K2832" s="57"/>
      <c r="L2832" s="11"/>
      <c r="M2832" s="41"/>
      <c r="N2832" s="11"/>
    </row>
    <row r="2833" spans="8:14" x14ac:dyDescent="0.25">
      <c r="H2833" s="37"/>
      <c r="I2833" s="79"/>
      <c r="J2833" s="70"/>
      <c r="K2833" s="57"/>
      <c r="L2833" s="11"/>
      <c r="M2833" s="41"/>
      <c r="N2833" s="11"/>
    </row>
    <row r="2834" spans="8:14" x14ac:dyDescent="0.25">
      <c r="H2834" s="37"/>
      <c r="I2834" s="79"/>
      <c r="J2834" s="70"/>
      <c r="K2834" s="57"/>
      <c r="L2834" s="11"/>
      <c r="M2834" s="41"/>
      <c r="N2834" s="11"/>
    </row>
    <row r="2835" spans="8:14" x14ac:dyDescent="0.25">
      <c r="H2835" s="37"/>
      <c r="I2835" s="79"/>
      <c r="J2835" s="70"/>
      <c r="K2835" s="57"/>
      <c r="L2835" s="11"/>
      <c r="M2835" s="41"/>
      <c r="N2835" s="11"/>
    </row>
    <row r="2836" spans="8:14" x14ac:dyDescent="0.25">
      <c r="H2836" s="37"/>
      <c r="I2836" s="79"/>
      <c r="J2836" s="70"/>
      <c r="K2836" s="57"/>
      <c r="L2836" s="11"/>
      <c r="M2836" s="41"/>
      <c r="N2836" s="11"/>
    </row>
    <row r="2837" spans="8:14" x14ac:dyDescent="0.25">
      <c r="H2837" s="37"/>
      <c r="I2837" s="79"/>
      <c r="J2837" s="70"/>
      <c r="K2837" s="57"/>
      <c r="L2837" s="11"/>
      <c r="M2837" s="41"/>
      <c r="N2837" s="11"/>
    </row>
    <row r="2838" spans="8:14" x14ac:dyDescent="0.25">
      <c r="H2838" s="37"/>
      <c r="I2838" s="79"/>
      <c r="J2838" s="70"/>
      <c r="K2838" s="57"/>
      <c r="L2838" s="11"/>
      <c r="M2838" s="41"/>
      <c r="N2838" s="11"/>
    </row>
    <row r="2839" spans="8:14" x14ac:dyDescent="0.25">
      <c r="H2839" s="37"/>
      <c r="I2839" s="79"/>
      <c r="J2839" s="70"/>
      <c r="K2839" s="57"/>
      <c r="L2839" s="11"/>
      <c r="M2839" s="41"/>
      <c r="N2839" s="11"/>
    </row>
    <row r="2840" spans="8:14" x14ac:dyDescent="0.25">
      <c r="H2840" s="37"/>
      <c r="I2840" s="79"/>
      <c r="J2840" s="70"/>
      <c r="K2840" s="57"/>
      <c r="L2840" s="11"/>
      <c r="M2840" s="41"/>
      <c r="N2840" s="11"/>
    </row>
    <row r="2841" spans="8:14" x14ac:dyDescent="0.25">
      <c r="H2841" s="37"/>
      <c r="I2841" s="79"/>
      <c r="J2841" s="70"/>
      <c r="K2841" s="57"/>
      <c r="L2841" s="11"/>
      <c r="M2841" s="41"/>
      <c r="N2841" s="11"/>
    </row>
    <row r="2842" spans="8:14" x14ac:dyDescent="0.25">
      <c r="H2842" s="37"/>
      <c r="I2842" s="79"/>
      <c r="J2842" s="70"/>
      <c r="K2842" s="57"/>
      <c r="L2842" s="11"/>
      <c r="M2842" s="41"/>
      <c r="N2842" s="11"/>
    </row>
    <row r="2843" spans="8:14" x14ac:dyDescent="0.25">
      <c r="H2843" s="37"/>
      <c r="I2843" s="79"/>
      <c r="J2843" s="70"/>
      <c r="K2843" s="57"/>
      <c r="L2843" s="11"/>
      <c r="M2843" s="41"/>
      <c r="N2843" s="11"/>
    </row>
    <row r="2844" spans="8:14" x14ac:dyDescent="0.25">
      <c r="H2844" s="37"/>
      <c r="I2844" s="79"/>
      <c r="J2844" s="70"/>
      <c r="K2844" s="57"/>
      <c r="L2844" s="11"/>
      <c r="M2844" s="41"/>
      <c r="N2844" s="11"/>
    </row>
    <row r="2845" spans="8:14" x14ac:dyDescent="0.25">
      <c r="H2845" s="37"/>
      <c r="I2845" s="79"/>
      <c r="J2845" s="70"/>
      <c r="K2845" s="57"/>
      <c r="L2845" s="11"/>
      <c r="M2845" s="41"/>
      <c r="N2845" s="11"/>
    </row>
    <row r="2846" spans="8:14" x14ac:dyDescent="0.25">
      <c r="H2846" s="37"/>
      <c r="I2846" s="79"/>
      <c r="J2846" s="70"/>
      <c r="K2846" s="57"/>
      <c r="L2846" s="11"/>
      <c r="M2846" s="41"/>
      <c r="N2846" s="11"/>
    </row>
    <row r="2847" spans="8:14" x14ac:dyDescent="0.25">
      <c r="H2847" s="37"/>
      <c r="I2847" s="79"/>
      <c r="J2847" s="70"/>
      <c r="K2847" s="57"/>
      <c r="L2847" s="11"/>
      <c r="M2847" s="41"/>
      <c r="N2847" s="11"/>
    </row>
    <row r="2848" spans="8:14" x14ac:dyDescent="0.25">
      <c r="H2848" s="37"/>
      <c r="I2848" s="79"/>
      <c r="J2848" s="70"/>
      <c r="K2848" s="57"/>
      <c r="L2848" s="11"/>
      <c r="M2848" s="41"/>
      <c r="N2848" s="11"/>
    </row>
    <row r="2849" spans="8:14" x14ac:dyDescent="0.25">
      <c r="H2849" s="37"/>
      <c r="I2849" s="79"/>
      <c r="J2849" s="70"/>
      <c r="K2849" s="57"/>
      <c r="L2849" s="11"/>
      <c r="M2849" s="41"/>
      <c r="N2849" s="11"/>
    </row>
    <row r="2850" spans="8:14" x14ac:dyDescent="0.25">
      <c r="H2850" s="37"/>
      <c r="I2850" s="79"/>
      <c r="J2850" s="70"/>
      <c r="K2850" s="57"/>
      <c r="L2850" s="11"/>
      <c r="M2850" s="41"/>
      <c r="N2850" s="11"/>
    </row>
    <row r="2851" spans="8:14" x14ac:dyDescent="0.25">
      <c r="H2851" s="37"/>
      <c r="I2851" s="79"/>
      <c r="J2851" s="70"/>
      <c r="K2851" s="57"/>
      <c r="L2851" s="11"/>
      <c r="M2851" s="41"/>
      <c r="N2851" s="11"/>
    </row>
    <row r="2852" spans="8:14" x14ac:dyDescent="0.25">
      <c r="H2852" s="37"/>
      <c r="I2852" s="79"/>
      <c r="J2852" s="70"/>
      <c r="K2852" s="57"/>
      <c r="L2852" s="11"/>
      <c r="M2852" s="41"/>
      <c r="N2852" s="11"/>
    </row>
    <row r="2853" spans="8:14" x14ac:dyDescent="0.25">
      <c r="H2853" s="37"/>
      <c r="I2853" s="79"/>
      <c r="J2853" s="70"/>
      <c r="K2853" s="57"/>
      <c r="L2853" s="11"/>
      <c r="M2853" s="41"/>
      <c r="N2853" s="11"/>
    </row>
    <row r="2854" spans="8:14" x14ac:dyDescent="0.25">
      <c r="H2854" s="37"/>
      <c r="I2854" s="79"/>
      <c r="J2854" s="70"/>
      <c r="K2854" s="57"/>
      <c r="L2854" s="11"/>
      <c r="M2854" s="41"/>
      <c r="N2854" s="11"/>
    </row>
    <row r="2855" spans="8:14" x14ac:dyDescent="0.25">
      <c r="H2855" s="37"/>
      <c r="I2855" s="79"/>
      <c r="J2855" s="70"/>
      <c r="K2855" s="57"/>
      <c r="L2855" s="11"/>
      <c r="M2855" s="41"/>
      <c r="N2855" s="11"/>
    </row>
    <row r="2856" spans="8:14" x14ac:dyDescent="0.25">
      <c r="H2856" s="37"/>
      <c r="I2856" s="79"/>
      <c r="J2856" s="70"/>
      <c r="K2856" s="57"/>
      <c r="L2856" s="11"/>
      <c r="M2856" s="41"/>
      <c r="N2856" s="11"/>
    </row>
    <row r="2857" spans="8:14" x14ac:dyDescent="0.25">
      <c r="H2857" s="37"/>
      <c r="I2857" s="79"/>
      <c r="J2857" s="70"/>
      <c r="K2857" s="57"/>
      <c r="L2857" s="11"/>
      <c r="M2857" s="41"/>
      <c r="N2857" s="11"/>
    </row>
    <row r="2858" spans="8:14" x14ac:dyDescent="0.25">
      <c r="H2858" s="37"/>
      <c r="I2858" s="79"/>
      <c r="J2858" s="70"/>
      <c r="K2858" s="57"/>
      <c r="L2858" s="11"/>
      <c r="M2858" s="41"/>
      <c r="N2858" s="11"/>
    </row>
    <row r="2859" spans="8:14" x14ac:dyDescent="0.25">
      <c r="H2859" s="37"/>
      <c r="I2859" s="79"/>
      <c r="J2859" s="70"/>
      <c r="K2859" s="57"/>
      <c r="L2859" s="11"/>
      <c r="M2859" s="41"/>
      <c r="N2859" s="11"/>
    </row>
    <row r="2860" spans="8:14" x14ac:dyDescent="0.25">
      <c r="H2860" s="37"/>
      <c r="I2860" s="79"/>
      <c r="J2860" s="70"/>
      <c r="K2860" s="57"/>
      <c r="L2860" s="11"/>
      <c r="M2860" s="41"/>
      <c r="N2860" s="11"/>
    </row>
    <row r="2861" spans="8:14" x14ac:dyDescent="0.25">
      <c r="H2861" s="37"/>
      <c r="I2861" s="79"/>
      <c r="J2861" s="70"/>
      <c r="K2861" s="57"/>
      <c r="L2861" s="11"/>
      <c r="M2861" s="41"/>
      <c r="N2861" s="11"/>
    </row>
    <row r="2862" spans="8:14" x14ac:dyDescent="0.25">
      <c r="H2862" s="37"/>
      <c r="I2862" s="79"/>
      <c r="J2862" s="70"/>
      <c r="K2862" s="57"/>
      <c r="L2862" s="11"/>
      <c r="M2862" s="41"/>
      <c r="N2862" s="11"/>
    </row>
    <row r="2863" spans="8:14" x14ac:dyDescent="0.25">
      <c r="H2863" s="37"/>
      <c r="I2863" s="79"/>
      <c r="J2863" s="70"/>
      <c r="K2863" s="57"/>
      <c r="L2863" s="11"/>
      <c r="M2863" s="41"/>
      <c r="N2863" s="11"/>
    </row>
    <row r="2864" spans="8:14" x14ac:dyDescent="0.25">
      <c r="H2864" s="37"/>
      <c r="I2864" s="79"/>
      <c r="J2864" s="70"/>
      <c r="K2864" s="57"/>
      <c r="L2864" s="11"/>
      <c r="M2864" s="41"/>
      <c r="N2864" s="11"/>
    </row>
    <row r="2865" spans="8:14" x14ac:dyDescent="0.25">
      <c r="H2865" s="37"/>
      <c r="I2865" s="79"/>
      <c r="J2865" s="70"/>
      <c r="K2865" s="57"/>
      <c r="L2865" s="11"/>
      <c r="M2865" s="41"/>
      <c r="N2865" s="11"/>
    </row>
    <row r="2866" spans="8:14" x14ac:dyDescent="0.25">
      <c r="H2866" s="37"/>
      <c r="I2866" s="79"/>
      <c r="J2866" s="70"/>
      <c r="K2866" s="57"/>
      <c r="L2866" s="11"/>
      <c r="M2866" s="41"/>
      <c r="N2866" s="11"/>
    </row>
    <row r="2867" spans="8:14" x14ac:dyDescent="0.25">
      <c r="H2867" s="37"/>
      <c r="I2867" s="79"/>
      <c r="J2867" s="70"/>
      <c r="K2867" s="57"/>
      <c r="L2867" s="11"/>
      <c r="M2867" s="41"/>
      <c r="N2867" s="11"/>
    </row>
    <row r="2868" spans="8:14" x14ac:dyDescent="0.25">
      <c r="H2868" s="37"/>
      <c r="I2868" s="79"/>
      <c r="J2868" s="70"/>
      <c r="K2868" s="57"/>
      <c r="L2868" s="11"/>
      <c r="M2868" s="41"/>
      <c r="N2868" s="11"/>
    </row>
    <row r="2869" spans="8:14" x14ac:dyDescent="0.25">
      <c r="H2869" s="37"/>
      <c r="I2869" s="79"/>
      <c r="J2869" s="70"/>
      <c r="K2869" s="57"/>
      <c r="L2869" s="11"/>
      <c r="M2869" s="41"/>
      <c r="N2869" s="11"/>
    </row>
    <row r="2870" spans="8:14" x14ac:dyDescent="0.25">
      <c r="H2870" s="37"/>
      <c r="I2870" s="79"/>
      <c r="J2870" s="70"/>
      <c r="K2870" s="57"/>
      <c r="L2870" s="11"/>
      <c r="M2870" s="41"/>
      <c r="N2870" s="11"/>
    </row>
    <row r="2871" spans="8:14" x14ac:dyDescent="0.25">
      <c r="H2871" s="37"/>
      <c r="I2871" s="79"/>
      <c r="J2871" s="70"/>
      <c r="K2871" s="57"/>
      <c r="L2871" s="11"/>
      <c r="M2871" s="41"/>
      <c r="N2871" s="11"/>
    </row>
    <row r="2872" spans="8:14" x14ac:dyDescent="0.25">
      <c r="H2872" s="37"/>
      <c r="I2872" s="79"/>
      <c r="J2872" s="70"/>
      <c r="K2872" s="57"/>
      <c r="L2872" s="11"/>
      <c r="M2872" s="41"/>
      <c r="N2872" s="11"/>
    </row>
    <row r="2873" spans="8:14" x14ac:dyDescent="0.25">
      <c r="H2873" s="37"/>
      <c r="I2873" s="79"/>
      <c r="J2873" s="70"/>
      <c r="K2873" s="57"/>
      <c r="L2873" s="11"/>
      <c r="M2873" s="41"/>
      <c r="N2873" s="11"/>
    </row>
    <row r="2874" spans="8:14" x14ac:dyDescent="0.25">
      <c r="H2874" s="37"/>
      <c r="I2874" s="79"/>
      <c r="J2874" s="70"/>
      <c r="K2874" s="57"/>
      <c r="L2874" s="11"/>
      <c r="M2874" s="41"/>
      <c r="N2874" s="11"/>
    </row>
    <row r="2875" spans="8:14" x14ac:dyDescent="0.25">
      <c r="H2875" s="37"/>
      <c r="I2875" s="79"/>
      <c r="J2875" s="70"/>
      <c r="K2875" s="57"/>
      <c r="L2875" s="11"/>
      <c r="M2875" s="41"/>
      <c r="N2875" s="11"/>
    </row>
    <row r="2876" spans="8:14" x14ac:dyDescent="0.25">
      <c r="H2876" s="37"/>
      <c r="I2876" s="79"/>
      <c r="J2876" s="70"/>
      <c r="K2876" s="57"/>
      <c r="L2876" s="11"/>
      <c r="M2876" s="41"/>
      <c r="N2876" s="11"/>
    </row>
    <row r="2877" spans="8:14" x14ac:dyDescent="0.25">
      <c r="H2877" s="37"/>
      <c r="I2877" s="79"/>
      <c r="J2877" s="70"/>
      <c r="K2877" s="57"/>
      <c r="L2877" s="11"/>
      <c r="M2877" s="41"/>
      <c r="N2877" s="11"/>
    </row>
    <row r="2878" spans="8:14" x14ac:dyDescent="0.25">
      <c r="H2878" s="37"/>
      <c r="I2878" s="79"/>
      <c r="J2878" s="70"/>
      <c r="K2878" s="57"/>
      <c r="L2878" s="11"/>
      <c r="M2878" s="41"/>
      <c r="N2878" s="11"/>
    </row>
    <row r="2879" spans="8:14" x14ac:dyDescent="0.25">
      <c r="H2879" s="37"/>
      <c r="I2879" s="79"/>
      <c r="J2879" s="70"/>
      <c r="K2879" s="57"/>
      <c r="L2879" s="11"/>
      <c r="M2879" s="41"/>
      <c r="N2879" s="11"/>
    </row>
    <row r="2880" spans="8:14" x14ac:dyDescent="0.25">
      <c r="H2880" s="37"/>
      <c r="I2880" s="79"/>
      <c r="J2880" s="70"/>
      <c r="K2880" s="57"/>
      <c r="L2880" s="11"/>
      <c r="M2880" s="41"/>
      <c r="N2880" s="11"/>
    </row>
    <row r="2881" spans="8:14" x14ac:dyDescent="0.25">
      <c r="H2881" s="37"/>
      <c r="I2881" s="79"/>
      <c r="J2881" s="70"/>
      <c r="K2881" s="57"/>
      <c r="L2881" s="11"/>
      <c r="M2881" s="41"/>
      <c r="N2881" s="11"/>
    </row>
    <row r="2882" spans="8:14" x14ac:dyDescent="0.25">
      <c r="H2882" s="37"/>
      <c r="I2882" s="79"/>
      <c r="J2882" s="70"/>
      <c r="K2882" s="57"/>
      <c r="L2882" s="11"/>
      <c r="M2882" s="41"/>
      <c r="N2882" s="11"/>
    </row>
    <row r="2883" spans="8:14" x14ac:dyDescent="0.25">
      <c r="H2883" s="37"/>
      <c r="I2883" s="79"/>
      <c r="J2883" s="70"/>
      <c r="K2883" s="57"/>
      <c r="L2883" s="11"/>
      <c r="M2883" s="41"/>
      <c r="N2883" s="11"/>
    </row>
    <row r="2884" spans="8:14" x14ac:dyDescent="0.25">
      <c r="H2884" s="37"/>
      <c r="I2884" s="79"/>
      <c r="J2884" s="70"/>
      <c r="K2884" s="57"/>
      <c r="L2884" s="11"/>
      <c r="M2884" s="41"/>
      <c r="N2884" s="11"/>
    </row>
    <row r="2885" spans="8:14" x14ac:dyDescent="0.25">
      <c r="H2885" s="37"/>
      <c r="I2885" s="79"/>
      <c r="J2885" s="70"/>
      <c r="K2885" s="57"/>
      <c r="L2885" s="11"/>
      <c r="M2885" s="41"/>
      <c r="N2885" s="11"/>
    </row>
    <row r="2886" spans="8:14" x14ac:dyDescent="0.25">
      <c r="H2886" s="37"/>
      <c r="I2886" s="79"/>
      <c r="J2886" s="70"/>
      <c r="K2886" s="57"/>
      <c r="L2886" s="11"/>
      <c r="M2886" s="41"/>
      <c r="N2886" s="11"/>
    </row>
    <row r="2887" spans="8:14" x14ac:dyDescent="0.25">
      <c r="H2887" s="37"/>
      <c r="I2887" s="79"/>
      <c r="J2887" s="70"/>
      <c r="K2887" s="57"/>
      <c r="L2887" s="11"/>
      <c r="M2887" s="41"/>
      <c r="N2887" s="11"/>
    </row>
    <row r="2888" spans="8:14" x14ac:dyDescent="0.25">
      <c r="H2888" s="37"/>
      <c r="I2888" s="79"/>
      <c r="J2888" s="70"/>
      <c r="K2888" s="57"/>
      <c r="L2888" s="11"/>
      <c r="M2888" s="41"/>
      <c r="N2888" s="11"/>
    </row>
    <row r="2889" spans="8:14" x14ac:dyDescent="0.25">
      <c r="H2889" s="37"/>
      <c r="I2889" s="79"/>
      <c r="J2889" s="70"/>
      <c r="K2889" s="57"/>
      <c r="L2889" s="11"/>
      <c r="M2889" s="41"/>
      <c r="N2889" s="11"/>
    </row>
    <row r="2890" spans="8:14" x14ac:dyDescent="0.25">
      <c r="H2890" s="37"/>
      <c r="I2890" s="79"/>
      <c r="J2890" s="70"/>
      <c r="K2890" s="57"/>
      <c r="L2890" s="11"/>
      <c r="M2890" s="41"/>
      <c r="N2890" s="11"/>
    </row>
    <row r="2891" spans="8:14" x14ac:dyDescent="0.25">
      <c r="H2891" s="37"/>
      <c r="I2891" s="79"/>
      <c r="J2891" s="70"/>
      <c r="K2891" s="57"/>
      <c r="L2891" s="11"/>
      <c r="M2891" s="41"/>
      <c r="N2891" s="11"/>
    </row>
    <row r="2892" spans="8:14" x14ac:dyDescent="0.25">
      <c r="H2892" s="37"/>
      <c r="I2892" s="79"/>
      <c r="J2892" s="70"/>
      <c r="K2892" s="57"/>
      <c r="L2892" s="11"/>
      <c r="M2892" s="41"/>
      <c r="N2892" s="11"/>
    </row>
    <row r="2893" spans="8:14" x14ac:dyDescent="0.25">
      <c r="H2893" s="37"/>
      <c r="I2893" s="79"/>
      <c r="J2893" s="70"/>
      <c r="K2893" s="57"/>
      <c r="L2893" s="11"/>
      <c r="M2893" s="41"/>
      <c r="N2893" s="11"/>
    </row>
    <row r="2894" spans="8:14" x14ac:dyDescent="0.25">
      <c r="H2894" s="37"/>
      <c r="I2894" s="79"/>
      <c r="J2894" s="70"/>
      <c r="K2894" s="57"/>
      <c r="L2894" s="11"/>
      <c r="M2894" s="41"/>
      <c r="N2894" s="11"/>
    </row>
    <row r="2895" spans="8:14" x14ac:dyDescent="0.25">
      <c r="H2895" s="37"/>
      <c r="I2895" s="79"/>
      <c r="J2895" s="70"/>
      <c r="K2895" s="57"/>
      <c r="L2895" s="11"/>
      <c r="M2895" s="41"/>
      <c r="N2895" s="11"/>
    </row>
    <row r="2896" spans="8:14" x14ac:dyDescent="0.25">
      <c r="H2896" s="37"/>
      <c r="I2896" s="79"/>
      <c r="J2896" s="70"/>
      <c r="K2896" s="57"/>
      <c r="L2896" s="11"/>
      <c r="M2896" s="41"/>
      <c r="N2896" s="11"/>
    </row>
    <row r="2897" spans="8:14" x14ac:dyDescent="0.25">
      <c r="H2897" s="37"/>
      <c r="I2897" s="79"/>
      <c r="J2897" s="70"/>
      <c r="K2897" s="57"/>
      <c r="L2897" s="11"/>
      <c r="M2897" s="41"/>
      <c r="N2897" s="11"/>
    </row>
    <row r="2898" spans="8:14" x14ac:dyDescent="0.25">
      <c r="H2898" s="37"/>
      <c r="I2898" s="79"/>
      <c r="J2898" s="70"/>
      <c r="K2898" s="57"/>
      <c r="L2898" s="11"/>
      <c r="M2898" s="41"/>
      <c r="N2898" s="11"/>
    </row>
    <row r="2899" spans="8:14" x14ac:dyDescent="0.25">
      <c r="H2899" s="37"/>
      <c r="I2899" s="79"/>
      <c r="J2899" s="70"/>
      <c r="K2899" s="57"/>
      <c r="L2899" s="11"/>
      <c r="M2899" s="41"/>
      <c r="N2899" s="11"/>
    </row>
    <row r="2900" spans="8:14" x14ac:dyDescent="0.25">
      <c r="H2900" s="37"/>
      <c r="I2900" s="79"/>
      <c r="J2900" s="70"/>
      <c r="K2900" s="57"/>
      <c r="L2900" s="11"/>
      <c r="M2900" s="41"/>
      <c r="N2900" s="11"/>
    </row>
    <row r="2901" spans="8:14" x14ac:dyDescent="0.25">
      <c r="H2901" s="37"/>
      <c r="I2901" s="79"/>
      <c r="J2901" s="70"/>
      <c r="K2901" s="57"/>
      <c r="L2901" s="11"/>
      <c r="M2901" s="41"/>
      <c r="N2901" s="11"/>
    </row>
    <row r="2902" spans="8:14" x14ac:dyDescent="0.25">
      <c r="H2902" s="37"/>
      <c r="I2902" s="79"/>
      <c r="J2902" s="70"/>
      <c r="K2902" s="57"/>
      <c r="L2902" s="11"/>
      <c r="M2902" s="41"/>
      <c r="N2902" s="11"/>
    </row>
    <row r="2903" spans="8:14" x14ac:dyDescent="0.25">
      <c r="H2903" s="37"/>
      <c r="I2903" s="79"/>
      <c r="J2903" s="70"/>
      <c r="K2903" s="57"/>
      <c r="L2903" s="11"/>
      <c r="M2903" s="41"/>
      <c r="N2903" s="11"/>
    </row>
    <row r="2904" spans="8:14" x14ac:dyDescent="0.25">
      <c r="H2904" s="37"/>
      <c r="I2904" s="79"/>
      <c r="J2904" s="70"/>
      <c r="K2904" s="57"/>
      <c r="L2904" s="11"/>
      <c r="M2904" s="41"/>
      <c r="N2904" s="11"/>
    </row>
    <row r="2905" spans="8:14" x14ac:dyDescent="0.25">
      <c r="H2905" s="37"/>
      <c r="I2905" s="79"/>
      <c r="J2905" s="70"/>
      <c r="K2905" s="57"/>
      <c r="L2905" s="11"/>
      <c r="M2905" s="41"/>
      <c r="N2905" s="11"/>
    </row>
    <row r="2906" spans="8:14" x14ac:dyDescent="0.25">
      <c r="H2906" s="37"/>
      <c r="I2906" s="79"/>
      <c r="J2906" s="70"/>
      <c r="K2906" s="57"/>
      <c r="L2906" s="11"/>
      <c r="M2906" s="41"/>
      <c r="N2906" s="11"/>
    </row>
    <row r="2907" spans="8:14" x14ac:dyDescent="0.25">
      <c r="H2907" s="37"/>
      <c r="I2907" s="79"/>
      <c r="J2907" s="70"/>
      <c r="K2907" s="57"/>
      <c r="L2907" s="11"/>
      <c r="M2907" s="41"/>
      <c r="N2907" s="11"/>
    </row>
    <row r="2908" spans="8:14" x14ac:dyDescent="0.25">
      <c r="H2908" s="37"/>
      <c r="I2908" s="79"/>
      <c r="J2908" s="70"/>
      <c r="K2908" s="57"/>
      <c r="L2908" s="11"/>
      <c r="M2908" s="41"/>
      <c r="N2908" s="11"/>
    </row>
    <row r="2909" spans="8:14" x14ac:dyDescent="0.25">
      <c r="H2909" s="37"/>
      <c r="I2909" s="79"/>
      <c r="J2909" s="70"/>
      <c r="K2909" s="57"/>
      <c r="L2909" s="11"/>
      <c r="M2909" s="41"/>
      <c r="N2909" s="11"/>
    </row>
    <row r="2910" spans="8:14" x14ac:dyDescent="0.25">
      <c r="H2910" s="37"/>
      <c r="I2910" s="79"/>
      <c r="J2910" s="70"/>
      <c r="K2910" s="57"/>
      <c r="L2910" s="11"/>
      <c r="M2910" s="41"/>
      <c r="N2910" s="11"/>
    </row>
    <row r="2911" spans="8:14" x14ac:dyDescent="0.25">
      <c r="H2911" s="37"/>
      <c r="I2911" s="79"/>
      <c r="J2911" s="70"/>
      <c r="K2911" s="57"/>
      <c r="L2911" s="11"/>
      <c r="M2911" s="41"/>
      <c r="N2911" s="11"/>
    </row>
    <row r="2912" spans="8:14" x14ac:dyDescent="0.25">
      <c r="H2912" s="37"/>
      <c r="I2912" s="79"/>
      <c r="J2912" s="70"/>
      <c r="K2912" s="57"/>
      <c r="L2912" s="11"/>
      <c r="M2912" s="41"/>
      <c r="N2912" s="11"/>
    </row>
    <row r="2913" spans="8:14" x14ac:dyDescent="0.25">
      <c r="H2913" s="37"/>
      <c r="I2913" s="79"/>
      <c r="J2913" s="70"/>
      <c r="K2913" s="57"/>
      <c r="L2913" s="11"/>
      <c r="M2913" s="41"/>
      <c r="N2913" s="11"/>
    </row>
    <row r="2914" spans="8:14" x14ac:dyDescent="0.25">
      <c r="H2914" s="37"/>
      <c r="I2914" s="79"/>
      <c r="J2914" s="70"/>
      <c r="K2914" s="57"/>
      <c r="L2914" s="11"/>
      <c r="M2914" s="41"/>
      <c r="N2914" s="11"/>
    </row>
    <row r="2915" spans="8:14" x14ac:dyDescent="0.25">
      <c r="H2915" s="37"/>
      <c r="I2915" s="79"/>
      <c r="J2915" s="70"/>
      <c r="K2915" s="57"/>
      <c r="L2915" s="11"/>
      <c r="M2915" s="41"/>
      <c r="N2915" s="11"/>
    </row>
    <row r="2916" spans="8:14" x14ac:dyDescent="0.25">
      <c r="H2916" s="37"/>
      <c r="I2916" s="79"/>
      <c r="J2916" s="70"/>
      <c r="K2916" s="57"/>
      <c r="L2916" s="11"/>
      <c r="M2916" s="41"/>
      <c r="N2916" s="11"/>
    </row>
    <row r="2917" spans="8:14" x14ac:dyDescent="0.25">
      <c r="H2917" s="37"/>
      <c r="I2917" s="79"/>
      <c r="J2917" s="70"/>
      <c r="K2917" s="57"/>
      <c r="L2917" s="11"/>
      <c r="M2917" s="41"/>
      <c r="N2917" s="11"/>
    </row>
    <row r="2918" spans="8:14" x14ac:dyDescent="0.25">
      <c r="H2918" s="37"/>
      <c r="I2918" s="79"/>
      <c r="J2918" s="70"/>
      <c r="K2918" s="57"/>
      <c r="L2918" s="11"/>
      <c r="M2918" s="41"/>
      <c r="N2918" s="11"/>
    </row>
    <row r="2919" spans="8:14" x14ac:dyDescent="0.25">
      <c r="H2919" s="37"/>
      <c r="I2919" s="79"/>
      <c r="J2919" s="70"/>
      <c r="K2919" s="57"/>
      <c r="L2919" s="11"/>
      <c r="M2919" s="41"/>
      <c r="N2919" s="11"/>
    </row>
    <row r="2920" spans="8:14" x14ac:dyDescent="0.25">
      <c r="H2920" s="37"/>
      <c r="I2920" s="79"/>
      <c r="J2920" s="70"/>
      <c r="K2920" s="57"/>
      <c r="L2920" s="11"/>
      <c r="M2920" s="41"/>
      <c r="N2920" s="11"/>
    </row>
    <row r="2921" spans="8:14" x14ac:dyDescent="0.25">
      <c r="H2921" s="37"/>
      <c r="I2921" s="79"/>
      <c r="J2921" s="70"/>
      <c r="K2921" s="57"/>
      <c r="L2921" s="11"/>
      <c r="M2921" s="41"/>
      <c r="N2921" s="11"/>
    </row>
    <row r="2922" spans="8:14" x14ac:dyDescent="0.25">
      <c r="H2922" s="37"/>
      <c r="I2922" s="79"/>
      <c r="J2922" s="70"/>
      <c r="K2922" s="57"/>
      <c r="L2922" s="11"/>
      <c r="M2922" s="41"/>
      <c r="N2922" s="11"/>
    </row>
    <row r="2923" spans="8:14" x14ac:dyDescent="0.25">
      <c r="H2923" s="37"/>
      <c r="I2923" s="79"/>
      <c r="J2923" s="70"/>
      <c r="K2923" s="57"/>
      <c r="L2923" s="11"/>
      <c r="M2923" s="41"/>
      <c r="N2923" s="11"/>
    </row>
    <row r="2924" spans="8:14" x14ac:dyDescent="0.25">
      <c r="H2924" s="37"/>
      <c r="I2924" s="79"/>
      <c r="J2924" s="70"/>
      <c r="K2924" s="57"/>
      <c r="L2924" s="11"/>
      <c r="M2924" s="41"/>
      <c r="N2924" s="11"/>
    </row>
    <row r="2925" spans="8:14" x14ac:dyDescent="0.25">
      <c r="H2925" s="37"/>
      <c r="I2925" s="79"/>
      <c r="J2925" s="70"/>
      <c r="K2925" s="57"/>
      <c r="L2925" s="11"/>
      <c r="M2925" s="41"/>
      <c r="N2925" s="11"/>
    </row>
    <row r="2926" spans="8:14" x14ac:dyDescent="0.25">
      <c r="H2926" s="37"/>
      <c r="I2926" s="79"/>
      <c r="J2926" s="70"/>
      <c r="K2926" s="57"/>
      <c r="L2926" s="11"/>
      <c r="M2926" s="41"/>
      <c r="N2926" s="11"/>
    </row>
    <row r="2927" spans="8:14" x14ac:dyDescent="0.25">
      <c r="H2927" s="37"/>
      <c r="I2927" s="79"/>
      <c r="J2927" s="70"/>
      <c r="K2927" s="57"/>
      <c r="L2927" s="11"/>
      <c r="M2927" s="41"/>
      <c r="N2927" s="11"/>
    </row>
    <row r="2928" spans="8:14" x14ac:dyDescent="0.25">
      <c r="H2928" s="37"/>
      <c r="I2928" s="79"/>
      <c r="J2928" s="70"/>
      <c r="K2928" s="57"/>
      <c r="L2928" s="11"/>
      <c r="M2928" s="41"/>
      <c r="N2928" s="11"/>
    </row>
    <row r="2929" spans="8:14" x14ac:dyDescent="0.25">
      <c r="H2929" s="37"/>
      <c r="I2929" s="79"/>
      <c r="J2929" s="70"/>
      <c r="K2929" s="57"/>
      <c r="L2929" s="11"/>
      <c r="M2929" s="41"/>
      <c r="N2929" s="11"/>
    </row>
    <row r="2930" spans="8:14" x14ac:dyDescent="0.25">
      <c r="H2930" s="37"/>
      <c r="I2930" s="79"/>
      <c r="J2930" s="70"/>
      <c r="K2930" s="57"/>
      <c r="L2930" s="11"/>
      <c r="M2930" s="41"/>
      <c r="N2930" s="11"/>
    </row>
    <row r="2931" spans="8:14" x14ac:dyDescent="0.25">
      <c r="H2931" s="37"/>
      <c r="I2931" s="79"/>
      <c r="J2931" s="70"/>
      <c r="K2931" s="57"/>
      <c r="L2931" s="11"/>
      <c r="M2931" s="41"/>
      <c r="N2931" s="11"/>
    </row>
    <row r="2932" spans="8:14" x14ac:dyDescent="0.25">
      <c r="H2932" s="37"/>
      <c r="I2932" s="79"/>
      <c r="J2932" s="70"/>
      <c r="K2932" s="57"/>
      <c r="L2932" s="11"/>
      <c r="M2932" s="41"/>
      <c r="N2932" s="11"/>
    </row>
    <row r="2933" spans="8:14" x14ac:dyDescent="0.25">
      <c r="H2933" s="37"/>
      <c r="I2933" s="79"/>
      <c r="J2933" s="70"/>
      <c r="K2933" s="57"/>
      <c r="L2933" s="11"/>
      <c r="M2933" s="41"/>
      <c r="N2933" s="11"/>
    </row>
    <row r="2934" spans="8:14" x14ac:dyDescent="0.25">
      <c r="H2934" s="37"/>
      <c r="I2934" s="79"/>
      <c r="J2934" s="70"/>
      <c r="K2934" s="57"/>
      <c r="L2934" s="11"/>
      <c r="M2934" s="41"/>
      <c r="N2934" s="11"/>
    </row>
    <row r="2935" spans="8:14" x14ac:dyDescent="0.25">
      <c r="H2935" s="37"/>
      <c r="I2935" s="79"/>
      <c r="J2935" s="70"/>
      <c r="K2935" s="57"/>
      <c r="L2935" s="11"/>
      <c r="M2935" s="41"/>
      <c r="N2935" s="11"/>
    </row>
    <row r="2936" spans="8:14" x14ac:dyDescent="0.25">
      <c r="H2936" s="37"/>
      <c r="I2936" s="79"/>
      <c r="J2936" s="70"/>
      <c r="K2936" s="57"/>
      <c r="L2936" s="11"/>
      <c r="M2936" s="41"/>
      <c r="N2936" s="11"/>
    </row>
    <row r="2937" spans="8:14" x14ac:dyDescent="0.25">
      <c r="H2937" s="37"/>
      <c r="I2937" s="79"/>
      <c r="J2937" s="70"/>
      <c r="K2937" s="57"/>
      <c r="L2937" s="11"/>
      <c r="M2937" s="41"/>
      <c r="N2937" s="11"/>
    </row>
    <row r="2938" spans="8:14" x14ac:dyDescent="0.25">
      <c r="H2938" s="37"/>
      <c r="I2938" s="79"/>
      <c r="J2938" s="70"/>
      <c r="K2938" s="57"/>
      <c r="L2938" s="11"/>
      <c r="M2938" s="41"/>
      <c r="N2938" s="11"/>
    </row>
    <row r="2939" spans="8:14" x14ac:dyDescent="0.25">
      <c r="H2939" s="37"/>
      <c r="I2939" s="79"/>
      <c r="J2939" s="70"/>
      <c r="K2939" s="57"/>
      <c r="L2939" s="11"/>
      <c r="M2939" s="41"/>
      <c r="N2939" s="11"/>
    </row>
    <row r="2940" spans="8:14" x14ac:dyDescent="0.25">
      <c r="H2940" s="37"/>
      <c r="I2940" s="79"/>
      <c r="J2940" s="70"/>
      <c r="K2940" s="57"/>
      <c r="L2940" s="11"/>
      <c r="M2940" s="41"/>
      <c r="N2940" s="11"/>
    </row>
    <row r="2941" spans="8:14" x14ac:dyDescent="0.25">
      <c r="H2941" s="37"/>
      <c r="I2941" s="79"/>
      <c r="J2941" s="70"/>
      <c r="K2941" s="57"/>
      <c r="L2941" s="11"/>
      <c r="M2941" s="41"/>
      <c r="N2941" s="11"/>
    </row>
    <row r="2942" spans="8:14" x14ac:dyDescent="0.25">
      <c r="H2942" s="37"/>
      <c r="I2942" s="79"/>
      <c r="J2942" s="70"/>
      <c r="K2942" s="57"/>
      <c r="L2942" s="11"/>
      <c r="M2942" s="41"/>
      <c r="N2942" s="11"/>
    </row>
    <row r="2943" spans="8:14" x14ac:dyDescent="0.25">
      <c r="H2943" s="37"/>
      <c r="I2943" s="79"/>
      <c r="J2943" s="70"/>
      <c r="K2943" s="57"/>
      <c r="L2943" s="11"/>
      <c r="M2943" s="41"/>
      <c r="N2943" s="11"/>
    </row>
    <row r="2944" spans="8:14" x14ac:dyDescent="0.25">
      <c r="H2944" s="37"/>
      <c r="I2944" s="79"/>
      <c r="J2944" s="70"/>
      <c r="K2944" s="57"/>
      <c r="L2944" s="11"/>
      <c r="M2944" s="41"/>
      <c r="N2944" s="11"/>
    </row>
    <row r="2945" spans="8:14" x14ac:dyDescent="0.25">
      <c r="H2945" s="37"/>
      <c r="I2945" s="79"/>
      <c r="J2945" s="70"/>
      <c r="K2945" s="57"/>
      <c r="L2945" s="11"/>
      <c r="M2945" s="41"/>
      <c r="N2945" s="11"/>
    </row>
    <row r="2946" spans="8:14" x14ac:dyDescent="0.25">
      <c r="H2946" s="37"/>
      <c r="I2946" s="79"/>
      <c r="J2946" s="70"/>
      <c r="K2946" s="57"/>
      <c r="L2946" s="11"/>
      <c r="M2946" s="41"/>
      <c r="N2946" s="11"/>
    </row>
    <row r="2947" spans="8:14" x14ac:dyDescent="0.25">
      <c r="H2947" s="37"/>
      <c r="I2947" s="79"/>
      <c r="J2947" s="70"/>
      <c r="K2947" s="57"/>
      <c r="L2947" s="11"/>
      <c r="M2947" s="41"/>
      <c r="N2947" s="11"/>
    </row>
    <row r="2948" spans="8:14" x14ac:dyDescent="0.25">
      <c r="H2948" s="37"/>
      <c r="I2948" s="79"/>
      <c r="J2948" s="70"/>
      <c r="K2948" s="57"/>
      <c r="L2948" s="11"/>
      <c r="M2948" s="41"/>
      <c r="N2948" s="11"/>
    </row>
    <row r="2949" spans="8:14" x14ac:dyDescent="0.25">
      <c r="H2949" s="37"/>
      <c r="I2949" s="79"/>
      <c r="J2949" s="70"/>
      <c r="K2949" s="57"/>
      <c r="L2949" s="11"/>
      <c r="M2949" s="41"/>
      <c r="N2949" s="11"/>
    </row>
    <row r="2950" spans="8:14" x14ac:dyDescent="0.25">
      <c r="H2950" s="37"/>
      <c r="I2950" s="79"/>
      <c r="J2950" s="70"/>
      <c r="K2950" s="57"/>
      <c r="L2950" s="11"/>
      <c r="M2950" s="41"/>
      <c r="N2950" s="11"/>
    </row>
    <row r="2951" spans="8:14" x14ac:dyDescent="0.25">
      <c r="H2951" s="37"/>
      <c r="I2951" s="79"/>
      <c r="J2951" s="70"/>
      <c r="K2951" s="57"/>
      <c r="L2951" s="11"/>
      <c r="M2951" s="41"/>
      <c r="N2951" s="11"/>
    </row>
    <row r="2952" spans="8:14" x14ac:dyDescent="0.25">
      <c r="H2952" s="37"/>
      <c r="I2952" s="79"/>
      <c r="J2952" s="70"/>
      <c r="K2952" s="57"/>
      <c r="L2952" s="11"/>
      <c r="M2952" s="41"/>
      <c r="N2952" s="11"/>
    </row>
    <row r="2953" spans="8:14" x14ac:dyDescent="0.25">
      <c r="H2953" s="37"/>
      <c r="I2953" s="79"/>
      <c r="J2953" s="70"/>
      <c r="K2953" s="57"/>
      <c r="L2953" s="11"/>
      <c r="M2953" s="41"/>
      <c r="N2953" s="11"/>
    </row>
    <row r="2954" spans="8:14" x14ac:dyDescent="0.25">
      <c r="H2954" s="37"/>
      <c r="I2954" s="79"/>
      <c r="J2954" s="70"/>
      <c r="K2954" s="57"/>
      <c r="L2954" s="11"/>
      <c r="M2954" s="41"/>
      <c r="N2954" s="11"/>
    </row>
    <row r="2955" spans="8:14" x14ac:dyDescent="0.25">
      <c r="H2955" s="37"/>
      <c r="I2955" s="79"/>
      <c r="J2955" s="70"/>
      <c r="K2955" s="57"/>
      <c r="L2955" s="11"/>
      <c r="M2955" s="41"/>
      <c r="N2955" s="11"/>
    </row>
    <row r="2956" spans="8:14" x14ac:dyDescent="0.25">
      <c r="H2956" s="37"/>
      <c r="I2956" s="79"/>
      <c r="J2956" s="70"/>
      <c r="K2956" s="57"/>
      <c r="L2956" s="11"/>
      <c r="M2956" s="41"/>
      <c r="N2956" s="11"/>
    </row>
    <row r="2957" spans="8:14" x14ac:dyDescent="0.25">
      <c r="H2957" s="37"/>
      <c r="I2957" s="79"/>
      <c r="J2957" s="70"/>
      <c r="K2957" s="57"/>
      <c r="L2957" s="11"/>
      <c r="M2957" s="41"/>
      <c r="N2957" s="11"/>
    </row>
    <row r="2958" spans="8:14" x14ac:dyDescent="0.25">
      <c r="H2958" s="37"/>
      <c r="I2958" s="79"/>
      <c r="J2958" s="70"/>
      <c r="K2958" s="57"/>
      <c r="L2958" s="11"/>
      <c r="M2958" s="41"/>
      <c r="N2958" s="11"/>
    </row>
    <row r="2959" spans="8:14" x14ac:dyDescent="0.25">
      <c r="H2959" s="37"/>
      <c r="I2959" s="79"/>
      <c r="J2959" s="70"/>
      <c r="K2959" s="57"/>
      <c r="L2959" s="11"/>
      <c r="M2959" s="41"/>
      <c r="N2959" s="11"/>
    </row>
    <row r="2960" spans="8:14" x14ac:dyDescent="0.25">
      <c r="H2960" s="37"/>
      <c r="I2960" s="79"/>
      <c r="J2960" s="70"/>
      <c r="K2960" s="57"/>
      <c r="L2960" s="11"/>
      <c r="M2960" s="41"/>
      <c r="N2960" s="11"/>
    </row>
    <row r="2961" spans="8:14" x14ac:dyDescent="0.25">
      <c r="H2961" s="37"/>
      <c r="I2961" s="79"/>
      <c r="J2961" s="70"/>
      <c r="K2961" s="57"/>
      <c r="L2961" s="11"/>
      <c r="M2961" s="41"/>
      <c r="N2961" s="11"/>
    </row>
    <row r="2962" spans="8:14" x14ac:dyDescent="0.25">
      <c r="H2962" s="37"/>
      <c r="I2962" s="79"/>
      <c r="J2962" s="70"/>
      <c r="K2962" s="57"/>
      <c r="L2962" s="11"/>
      <c r="M2962" s="41"/>
      <c r="N2962" s="11"/>
    </row>
    <row r="2963" spans="8:14" x14ac:dyDescent="0.25">
      <c r="H2963" s="37"/>
      <c r="I2963" s="79"/>
      <c r="J2963" s="70"/>
      <c r="K2963" s="57"/>
      <c r="L2963" s="11"/>
      <c r="M2963" s="41"/>
      <c r="N2963" s="11"/>
    </row>
    <row r="2964" spans="8:14" x14ac:dyDescent="0.25">
      <c r="H2964" s="37"/>
      <c r="I2964" s="79"/>
      <c r="J2964" s="70"/>
      <c r="K2964" s="57"/>
      <c r="L2964" s="11"/>
      <c r="M2964" s="41"/>
      <c r="N2964" s="11"/>
    </row>
    <row r="2965" spans="8:14" x14ac:dyDescent="0.25">
      <c r="H2965" s="37"/>
      <c r="I2965" s="79"/>
      <c r="J2965" s="70"/>
      <c r="K2965" s="57"/>
      <c r="L2965" s="11"/>
      <c r="M2965" s="41"/>
      <c r="N2965" s="11"/>
    </row>
    <row r="2966" spans="8:14" x14ac:dyDescent="0.25">
      <c r="H2966" s="37"/>
      <c r="I2966" s="79"/>
      <c r="J2966" s="70"/>
      <c r="K2966" s="57"/>
      <c r="L2966" s="11"/>
      <c r="M2966" s="41"/>
      <c r="N2966" s="11"/>
    </row>
    <row r="2967" spans="8:14" x14ac:dyDescent="0.25">
      <c r="H2967" s="37"/>
      <c r="I2967" s="79"/>
      <c r="J2967" s="70"/>
      <c r="K2967" s="57"/>
      <c r="L2967" s="11"/>
      <c r="M2967" s="41"/>
      <c r="N2967" s="11"/>
    </row>
    <row r="2968" spans="8:14" x14ac:dyDescent="0.25">
      <c r="H2968" s="37"/>
      <c r="I2968" s="79"/>
      <c r="J2968" s="70"/>
      <c r="K2968" s="57"/>
      <c r="L2968" s="11"/>
      <c r="M2968" s="41"/>
      <c r="N2968" s="11"/>
    </row>
    <row r="2969" spans="8:14" x14ac:dyDescent="0.25">
      <c r="H2969" s="37"/>
      <c r="I2969" s="79"/>
      <c r="J2969" s="70"/>
      <c r="K2969" s="57"/>
      <c r="L2969" s="11"/>
      <c r="M2969" s="41"/>
      <c r="N2969" s="11"/>
    </row>
    <row r="2970" spans="8:14" x14ac:dyDescent="0.25">
      <c r="H2970" s="37"/>
      <c r="I2970" s="79"/>
      <c r="J2970" s="70"/>
      <c r="K2970" s="57"/>
      <c r="L2970" s="11"/>
      <c r="M2970" s="41"/>
      <c r="N2970" s="11"/>
    </row>
    <row r="2971" spans="8:14" x14ac:dyDescent="0.25">
      <c r="H2971" s="37"/>
      <c r="I2971" s="79"/>
      <c r="J2971" s="70"/>
      <c r="K2971" s="57"/>
      <c r="L2971" s="11"/>
      <c r="M2971" s="41"/>
      <c r="N2971" s="11"/>
    </row>
    <row r="2972" spans="8:14" x14ac:dyDescent="0.25">
      <c r="H2972" s="37"/>
      <c r="I2972" s="79"/>
      <c r="J2972" s="70"/>
      <c r="K2972" s="57"/>
      <c r="L2972" s="11"/>
      <c r="M2972" s="41"/>
      <c r="N2972" s="11"/>
    </row>
    <row r="2973" spans="8:14" x14ac:dyDescent="0.25">
      <c r="H2973" s="37"/>
      <c r="I2973" s="79"/>
      <c r="J2973" s="70"/>
      <c r="K2973" s="57"/>
      <c r="L2973" s="11"/>
      <c r="M2973" s="41"/>
      <c r="N2973" s="11"/>
    </row>
    <row r="2974" spans="8:14" x14ac:dyDescent="0.25">
      <c r="H2974" s="37"/>
      <c r="I2974" s="79"/>
      <c r="J2974" s="70"/>
      <c r="K2974" s="57"/>
      <c r="L2974" s="11"/>
      <c r="M2974" s="41"/>
      <c r="N2974" s="11"/>
    </row>
    <row r="2975" spans="8:14" x14ac:dyDescent="0.25">
      <c r="H2975" s="37"/>
      <c r="I2975" s="79"/>
      <c r="J2975" s="70"/>
      <c r="K2975" s="57"/>
      <c r="L2975" s="11"/>
      <c r="M2975" s="41"/>
      <c r="N2975" s="11"/>
    </row>
    <row r="2976" spans="8:14" x14ac:dyDescent="0.25">
      <c r="H2976" s="37"/>
      <c r="I2976" s="79"/>
      <c r="J2976" s="70"/>
      <c r="K2976" s="57"/>
      <c r="L2976" s="11"/>
      <c r="M2976" s="41"/>
      <c r="N2976" s="11"/>
    </row>
    <row r="2977" spans="8:14" x14ac:dyDescent="0.25">
      <c r="H2977" s="37"/>
      <c r="I2977" s="79"/>
      <c r="J2977" s="70"/>
      <c r="K2977" s="57"/>
      <c r="L2977" s="11"/>
      <c r="M2977" s="41"/>
      <c r="N2977" s="11"/>
    </row>
    <row r="2978" spans="8:14" x14ac:dyDescent="0.25">
      <c r="H2978" s="37"/>
      <c r="I2978" s="79"/>
      <c r="J2978" s="70"/>
      <c r="K2978" s="57"/>
      <c r="L2978" s="11"/>
      <c r="M2978" s="41"/>
      <c r="N2978" s="11"/>
    </row>
    <row r="2979" spans="8:14" x14ac:dyDescent="0.25">
      <c r="H2979" s="37"/>
      <c r="I2979" s="79"/>
      <c r="J2979" s="70"/>
      <c r="K2979" s="57"/>
      <c r="L2979" s="11"/>
      <c r="M2979" s="41"/>
      <c r="N2979" s="11"/>
    </row>
    <row r="2980" spans="8:14" x14ac:dyDescent="0.25">
      <c r="H2980" s="37"/>
      <c r="I2980" s="79"/>
      <c r="J2980" s="70"/>
      <c r="K2980" s="57"/>
      <c r="L2980" s="11"/>
      <c r="M2980" s="41"/>
      <c r="N2980" s="11"/>
    </row>
    <row r="2981" spans="8:14" x14ac:dyDescent="0.25">
      <c r="H2981" s="37"/>
      <c r="I2981" s="79"/>
      <c r="J2981" s="70"/>
      <c r="K2981" s="57"/>
      <c r="L2981" s="11"/>
      <c r="M2981" s="41"/>
      <c r="N2981" s="11"/>
    </row>
    <row r="2982" spans="8:14" x14ac:dyDescent="0.25">
      <c r="H2982" s="37"/>
      <c r="I2982" s="79"/>
      <c r="J2982" s="70"/>
      <c r="K2982" s="57"/>
      <c r="L2982" s="11"/>
      <c r="M2982" s="41"/>
      <c r="N2982" s="11"/>
    </row>
    <row r="2983" spans="8:14" x14ac:dyDescent="0.25">
      <c r="H2983" s="37"/>
      <c r="I2983" s="79"/>
      <c r="J2983" s="70"/>
      <c r="K2983" s="57"/>
      <c r="L2983" s="11"/>
      <c r="M2983" s="41"/>
      <c r="N2983" s="11"/>
    </row>
    <row r="2984" spans="8:14" x14ac:dyDescent="0.25">
      <c r="H2984" s="37"/>
      <c r="I2984" s="79"/>
      <c r="J2984" s="70"/>
      <c r="K2984" s="57"/>
      <c r="L2984" s="11"/>
      <c r="M2984" s="41"/>
      <c r="N2984" s="11"/>
    </row>
    <row r="2985" spans="8:14" x14ac:dyDescent="0.25">
      <c r="H2985" s="37"/>
      <c r="I2985" s="79"/>
      <c r="J2985" s="70"/>
      <c r="K2985" s="57"/>
      <c r="L2985" s="11"/>
      <c r="M2985" s="41"/>
      <c r="N2985" s="11"/>
    </row>
    <row r="2986" spans="8:14" x14ac:dyDescent="0.25">
      <c r="H2986" s="37"/>
      <c r="I2986" s="79"/>
      <c r="J2986" s="70"/>
      <c r="K2986" s="57"/>
      <c r="L2986" s="11"/>
      <c r="M2986" s="41"/>
      <c r="N2986" s="11"/>
    </row>
    <row r="2987" spans="8:14" x14ac:dyDescent="0.25">
      <c r="H2987" s="37"/>
      <c r="I2987" s="79"/>
      <c r="J2987" s="70"/>
      <c r="K2987" s="57"/>
      <c r="L2987" s="11"/>
      <c r="M2987" s="41"/>
      <c r="N2987" s="11"/>
    </row>
    <row r="2988" spans="8:14" x14ac:dyDescent="0.25">
      <c r="H2988" s="37"/>
      <c r="I2988" s="79"/>
      <c r="J2988" s="70"/>
      <c r="K2988" s="57"/>
      <c r="L2988" s="11"/>
      <c r="M2988" s="41"/>
      <c r="N2988" s="11"/>
    </row>
    <row r="2989" spans="8:14" x14ac:dyDescent="0.25">
      <c r="H2989" s="37"/>
      <c r="I2989" s="79"/>
      <c r="J2989" s="70"/>
      <c r="K2989" s="57"/>
      <c r="L2989" s="11"/>
      <c r="M2989" s="41"/>
      <c r="N2989" s="11"/>
    </row>
    <row r="2990" spans="8:14" x14ac:dyDescent="0.25">
      <c r="H2990" s="37"/>
      <c r="I2990" s="79"/>
      <c r="J2990" s="70"/>
      <c r="K2990" s="57"/>
      <c r="L2990" s="11"/>
      <c r="M2990" s="41"/>
      <c r="N2990" s="11"/>
    </row>
    <row r="2991" spans="8:14" x14ac:dyDescent="0.25">
      <c r="H2991" s="37"/>
      <c r="I2991" s="79"/>
      <c r="J2991" s="70"/>
      <c r="K2991" s="57"/>
      <c r="L2991" s="11"/>
      <c r="M2991" s="41"/>
      <c r="N2991" s="11"/>
    </row>
    <row r="2992" spans="8:14" x14ac:dyDescent="0.25">
      <c r="H2992" s="37"/>
      <c r="I2992" s="79"/>
      <c r="J2992" s="70"/>
      <c r="K2992" s="57"/>
      <c r="L2992" s="11"/>
      <c r="M2992" s="41"/>
      <c r="N2992" s="11"/>
    </row>
    <row r="2993" spans="8:14" x14ac:dyDescent="0.25">
      <c r="H2993" s="37"/>
      <c r="I2993" s="79"/>
      <c r="J2993" s="70"/>
      <c r="K2993" s="57"/>
      <c r="L2993" s="11"/>
      <c r="M2993" s="41"/>
      <c r="N2993" s="11"/>
    </row>
    <row r="2994" spans="8:14" x14ac:dyDescent="0.25">
      <c r="H2994" s="37"/>
      <c r="I2994" s="79"/>
      <c r="J2994" s="70"/>
      <c r="K2994" s="57"/>
      <c r="L2994" s="11"/>
      <c r="M2994" s="41"/>
      <c r="N2994" s="11"/>
    </row>
    <row r="2995" spans="8:14" x14ac:dyDescent="0.25">
      <c r="H2995" s="37"/>
      <c r="I2995" s="79"/>
      <c r="J2995" s="70"/>
      <c r="K2995" s="57"/>
      <c r="L2995" s="11"/>
      <c r="M2995" s="41"/>
      <c r="N2995" s="11"/>
    </row>
    <row r="2996" spans="8:14" x14ac:dyDescent="0.25">
      <c r="H2996" s="37"/>
      <c r="I2996" s="79"/>
      <c r="J2996" s="70"/>
      <c r="K2996" s="57"/>
      <c r="L2996" s="11"/>
      <c r="M2996" s="41"/>
      <c r="N2996" s="11"/>
    </row>
    <row r="2997" spans="8:14" x14ac:dyDescent="0.25">
      <c r="H2997" s="37"/>
      <c r="I2997" s="79"/>
      <c r="J2997" s="70"/>
      <c r="K2997" s="57"/>
      <c r="L2997" s="11"/>
      <c r="M2997" s="41"/>
      <c r="N2997" s="11"/>
    </row>
    <row r="2998" spans="8:14" x14ac:dyDescent="0.25">
      <c r="H2998" s="37"/>
      <c r="I2998" s="79"/>
      <c r="J2998" s="70"/>
      <c r="K2998" s="57"/>
      <c r="L2998" s="11"/>
      <c r="M2998" s="41"/>
      <c r="N2998" s="11"/>
    </row>
    <row r="2999" spans="8:14" x14ac:dyDescent="0.25">
      <c r="H2999" s="37"/>
      <c r="I2999" s="79"/>
      <c r="J2999" s="70"/>
      <c r="K2999" s="57"/>
      <c r="L2999" s="11"/>
      <c r="M2999" s="41"/>
      <c r="N2999" s="11"/>
    </row>
    <row r="3000" spans="8:14" x14ac:dyDescent="0.25">
      <c r="H3000" s="37"/>
      <c r="I3000" s="79"/>
      <c r="J3000" s="70"/>
      <c r="K3000" s="57"/>
      <c r="L3000" s="11"/>
      <c r="M3000" s="41"/>
      <c r="N3000" s="11"/>
    </row>
    <row r="3001" spans="8:14" x14ac:dyDescent="0.25">
      <c r="H3001" s="37"/>
      <c r="I3001" s="79"/>
      <c r="J3001" s="70"/>
      <c r="K3001" s="57"/>
      <c r="L3001" s="11"/>
      <c r="M3001" s="41"/>
      <c r="N3001" s="11"/>
    </row>
    <row r="3002" spans="8:14" x14ac:dyDescent="0.25">
      <c r="H3002" s="37"/>
      <c r="I3002" s="79"/>
      <c r="J3002" s="70"/>
      <c r="K3002" s="57"/>
      <c r="L3002" s="11"/>
      <c r="M3002" s="41"/>
      <c r="N3002" s="11"/>
    </row>
    <row r="3003" spans="8:14" x14ac:dyDescent="0.25">
      <c r="H3003" s="37"/>
      <c r="I3003" s="79"/>
      <c r="J3003" s="70"/>
      <c r="K3003" s="57"/>
      <c r="L3003" s="11"/>
      <c r="M3003" s="41"/>
      <c r="N3003" s="11"/>
    </row>
    <row r="3004" spans="8:14" x14ac:dyDescent="0.25">
      <c r="H3004" s="37"/>
      <c r="I3004" s="79"/>
      <c r="J3004" s="70"/>
      <c r="K3004" s="57"/>
      <c r="L3004" s="11"/>
      <c r="M3004" s="41"/>
      <c r="N3004" s="11"/>
    </row>
    <row r="3005" spans="8:14" x14ac:dyDescent="0.25">
      <c r="H3005" s="37"/>
      <c r="I3005" s="79"/>
      <c r="J3005" s="70"/>
      <c r="K3005" s="57"/>
      <c r="L3005" s="11"/>
      <c r="M3005" s="41"/>
      <c r="N3005" s="11"/>
    </row>
    <row r="3006" spans="8:14" x14ac:dyDescent="0.25">
      <c r="H3006" s="37"/>
      <c r="I3006" s="79"/>
      <c r="J3006" s="70"/>
      <c r="K3006" s="57"/>
      <c r="L3006" s="11"/>
      <c r="M3006" s="41"/>
      <c r="N3006" s="11"/>
    </row>
    <row r="3007" spans="8:14" x14ac:dyDescent="0.25">
      <c r="H3007" s="37"/>
      <c r="I3007" s="79"/>
      <c r="J3007" s="70"/>
      <c r="K3007" s="57"/>
      <c r="L3007" s="11"/>
      <c r="M3007" s="41"/>
      <c r="N3007" s="11"/>
    </row>
    <row r="3008" spans="8:14" x14ac:dyDescent="0.25">
      <c r="H3008" s="37"/>
      <c r="I3008" s="79"/>
      <c r="J3008" s="70"/>
      <c r="K3008" s="57"/>
      <c r="L3008" s="11"/>
      <c r="M3008" s="41"/>
      <c r="N3008" s="11"/>
    </row>
    <row r="3009" spans="8:14" x14ac:dyDescent="0.25">
      <c r="H3009" s="37"/>
      <c r="I3009" s="79"/>
      <c r="J3009" s="70"/>
      <c r="K3009" s="57"/>
      <c r="L3009" s="11"/>
      <c r="M3009" s="41"/>
      <c r="N3009" s="11"/>
    </row>
    <row r="3010" spans="8:14" x14ac:dyDescent="0.25">
      <c r="H3010" s="37"/>
      <c r="I3010" s="79"/>
      <c r="J3010" s="70"/>
      <c r="K3010" s="57"/>
      <c r="L3010" s="11"/>
      <c r="M3010" s="41"/>
      <c r="N3010" s="11"/>
    </row>
    <row r="3011" spans="8:14" x14ac:dyDescent="0.25">
      <c r="H3011" s="37"/>
      <c r="I3011" s="79"/>
      <c r="J3011" s="70"/>
      <c r="K3011" s="57"/>
      <c r="L3011" s="11"/>
      <c r="M3011" s="41"/>
      <c r="N3011" s="11"/>
    </row>
    <row r="3012" spans="8:14" x14ac:dyDescent="0.25">
      <c r="H3012" s="37"/>
      <c r="I3012" s="79"/>
      <c r="J3012" s="70"/>
      <c r="K3012" s="57"/>
      <c r="L3012" s="11"/>
      <c r="M3012" s="41"/>
      <c r="N3012" s="11"/>
    </row>
    <row r="3013" spans="8:14" x14ac:dyDescent="0.25">
      <c r="H3013" s="37"/>
      <c r="I3013" s="79"/>
      <c r="J3013" s="70"/>
      <c r="K3013" s="57"/>
      <c r="L3013" s="11"/>
      <c r="M3013" s="41"/>
      <c r="N3013" s="11"/>
    </row>
    <row r="3014" spans="8:14" x14ac:dyDescent="0.25">
      <c r="H3014" s="37"/>
      <c r="I3014" s="79"/>
      <c r="J3014" s="70"/>
      <c r="K3014" s="57"/>
      <c r="L3014" s="11"/>
      <c r="M3014" s="41"/>
      <c r="N3014" s="11"/>
    </row>
    <row r="3015" spans="8:14" x14ac:dyDescent="0.25">
      <c r="H3015" s="37"/>
      <c r="I3015" s="79"/>
      <c r="J3015" s="70"/>
      <c r="K3015" s="57"/>
      <c r="L3015" s="11"/>
      <c r="M3015" s="41"/>
      <c r="N3015" s="11"/>
    </row>
    <row r="3016" spans="8:14" x14ac:dyDescent="0.25">
      <c r="H3016" s="37"/>
      <c r="I3016" s="79"/>
      <c r="J3016" s="70"/>
      <c r="K3016" s="57"/>
      <c r="L3016" s="11"/>
      <c r="M3016" s="41"/>
      <c r="N3016" s="11"/>
    </row>
    <row r="3017" spans="8:14" x14ac:dyDescent="0.25">
      <c r="H3017" s="37"/>
      <c r="I3017" s="79"/>
      <c r="J3017" s="70"/>
      <c r="K3017" s="57"/>
      <c r="L3017" s="11"/>
      <c r="M3017" s="41"/>
      <c r="N3017" s="11"/>
    </row>
    <row r="3018" spans="8:14" x14ac:dyDescent="0.25">
      <c r="H3018" s="37"/>
      <c r="I3018" s="79"/>
      <c r="J3018" s="70"/>
      <c r="K3018" s="57"/>
      <c r="L3018" s="11"/>
      <c r="M3018" s="41"/>
      <c r="N3018" s="11"/>
    </row>
    <row r="3019" spans="8:14" x14ac:dyDescent="0.25">
      <c r="H3019" s="37"/>
      <c r="I3019" s="79"/>
      <c r="J3019" s="70"/>
      <c r="K3019" s="57"/>
      <c r="L3019" s="11"/>
      <c r="M3019" s="41"/>
      <c r="N3019" s="11"/>
    </row>
    <row r="3020" spans="8:14" x14ac:dyDescent="0.25">
      <c r="H3020" s="37"/>
      <c r="I3020" s="79"/>
      <c r="J3020" s="70"/>
      <c r="K3020" s="57"/>
      <c r="L3020" s="11"/>
      <c r="M3020" s="41"/>
      <c r="N3020" s="11"/>
    </row>
    <row r="3021" spans="8:14" x14ac:dyDescent="0.25">
      <c r="H3021" s="37"/>
      <c r="I3021" s="79"/>
      <c r="J3021" s="70"/>
      <c r="K3021" s="57"/>
      <c r="L3021" s="11"/>
      <c r="M3021" s="41"/>
      <c r="N3021" s="11"/>
    </row>
    <row r="3022" spans="8:14" x14ac:dyDescent="0.25">
      <c r="H3022" s="37"/>
      <c r="I3022" s="79"/>
      <c r="J3022" s="70"/>
      <c r="K3022" s="57"/>
      <c r="L3022" s="11"/>
      <c r="M3022" s="41"/>
      <c r="N3022" s="11"/>
    </row>
    <row r="3023" spans="8:14" x14ac:dyDescent="0.25">
      <c r="H3023" s="37"/>
      <c r="I3023" s="79"/>
      <c r="J3023" s="70"/>
      <c r="K3023" s="57"/>
      <c r="L3023" s="11"/>
      <c r="M3023" s="41"/>
      <c r="N3023" s="11"/>
    </row>
    <row r="3024" spans="8:14" x14ac:dyDescent="0.25">
      <c r="H3024" s="37"/>
      <c r="I3024" s="79"/>
      <c r="J3024" s="70"/>
      <c r="K3024" s="57"/>
      <c r="L3024" s="11"/>
      <c r="M3024" s="41"/>
      <c r="N3024" s="11"/>
    </row>
    <row r="3025" spans="8:14" x14ac:dyDescent="0.25">
      <c r="H3025" s="37"/>
      <c r="I3025" s="79"/>
      <c r="J3025" s="70"/>
      <c r="K3025" s="57"/>
      <c r="L3025" s="11"/>
      <c r="M3025" s="41"/>
      <c r="N3025" s="11"/>
    </row>
    <row r="3026" spans="8:14" x14ac:dyDescent="0.25">
      <c r="H3026" s="37"/>
      <c r="I3026" s="79"/>
      <c r="J3026" s="70"/>
      <c r="K3026" s="57"/>
      <c r="L3026" s="11"/>
      <c r="M3026" s="41"/>
      <c r="N3026" s="11"/>
    </row>
    <row r="3027" spans="8:14" x14ac:dyDescent="0.25">
      <c r="H3027" s="37"/>
      <c r="I3027" s="79"/>
      <c r="J3027" s="70"/>
      <c r="K3027" s="57"/>
      <c r="L3027" s="11"/>
      <c r="M3027" s="41"/>
      <c r="N3027" s="11"/>
    </row>
    <row r="3028" spans="8:14" x14ac:dyDescent="0.25">
      <c r="H3028" s="37"/>
      <c r="I3028" s="79"/>
      <c r="J3028" s="70"/>
      <c r="K3028" s="57"/>
      <c r="L3028" s="11"/>
      <c r="M3028" s="41"/>
      <c r="N3028" s="11"/>
    </row>
    <row r="3029" spans="8:14" x14ac:dyDescent="0.25">
      <c r="H3029" s="37"/>
      <c r="I3029" s="79"/>
      <c r="J3029" s="70"/>
      <c r="K3029" s="57"/>
      <c r="L3029" s="11"/>
      <c r="M3029" s="41"/>
      <c r="N3029" s="11"/>
    </row>
    <row r="3030" spans="8:14" x14ac:dyDescent="0.25">
      <c r="H3030" s="37"/>
      <c r="I3030" s="79"/>
      <c r="J3030" s="70"/>
      <c r="K3030" s="57"/>
      <c r="L3030" s="11"/>
      <c r="M3030" s="41"/>
      <c r="N3030" s="11"/>
    </row>
    <row r="3031" spans="8:14" x14ac:dyDescent="0.25">
      <c r="H3031" s="37"/>
      <c r="I3031" s="79"/>
      <c r="J3031" s="70"/>
      <c r="K3031" s="57"/>
      <c r="L3031" s="11"/>
      <c r="M3031" s="41"/>
      <c r="N3031" s="11"/>
    </row>
    <row r="3032" spans="8:14" x14ac:dyDescent="0.25">
      <c r="H3032" s="37"/>
      <c r="I3032" s="79"/>
      <c r="J3032" s="70"/>
      <c r="K3032" s="57"/>
      <c r="L3032" s="11"/>
      <c r="M3032" s="41"/>
      <c r="N3032" s="11"/>
    </row>
    <row r="3033" spans="8:14" x14ac:dyDescent="0.25">
      <c r="H3033" s="37"/>
      <c r="I3033" s="79"/>
      <c r="J3033" s="70"/>
      <c r="K3033" s="57"/>
      <c r="L3033" s="11"/>
      <c r="M3033" s="41"/>
      <c r="N3033" s="11"/>
    </row>
    <row r="3034" spans="8:14" x14ac:dyDescent="0.25">
      <c r="H3034" s="37"/>
      <c r="I3034" s="79"/>
      <c r="J3034" s="70"/>
      <c r="K3034" s="57"/>
      <c r="L3034" s="11"/>
      <c r="M3034" s="41"/>
      <c r="N3034" s="11"/>
    </row>
    <row r="3035" spans="8:14" x14ac:dyDescent="0.25">
      <c r="H3035" s="37"/>
      <c r="I3035" s="79"/>
      <c r="J3035" s="70"/>
      <c r="K3035" s="57"/>
      <c r="L3035" s="11"/>
      <c r="M3035" s="41"/>
      <c r="N3035" s="11"/>
    </row>
    <row r="3036" spans="8:14" x14ac:dyDescent="0.25">
      <c r="H3036" s="37"/>
      <c r="I3036" s="79"/>
      <c r="J3036" s="70"/>
      <c r="K3036" s="57"/>
      <c r="L3036" s="11"/>
      <c r="M3036" s="41"/>
      <c r="N3036" s="11"/>
    </row>
    <row r="3037" spans="8:14" x14ac:dyDescent="0.25">
      <c r="H3037" s="37"/>
      <c r="I3037" s="79"/>
      <c r="J3037" s="70"/>
      <c r="K3037" s="57"/>
      <c r="L3037" s="11"/>
      <c r="M3037" s="41"/>
      <c r="N3037" s="11"/>
    </row>
    <row r="3038" spans="8:14" x14ac:dyDescent="0.25">
      <c r="H3038" s="37"/>
      <c r="I3038" s="79"/>
      <c r="J3038" s="70"/>
      <c r="K3038" s="57"/>
      <c r="L3038" s="11"/>
      <c r="M3038" s="41"/>
      <c r="N3038" s="11"/>
    </row>
    <row r="3039" spans="8:14" x14ac:dyDescent="0.25">
      <c r="H3039" s="37"/>
      <c r="I3039" s="79"/>
      <c r="J3039" s="70"/>
      <c r="K3039" s="57"/>
      <c r="L3039" s="11"/>
      <c r="M3039" s="41"/>
      <c r="N3039" s="11"/>
    </row>
    <row r="3040" spans="8:14" x14ac:dyDescent="0.25">
      <c r="H3040" s="37"/>
      <c r="I3040" s="79"/>
      <c r="J3040" s="70"/>
      <c r="K3040" s="57"/>
      <c r="L3040" s="11"/>
      <c r="M3040" s="41"/>
      <c r="N3040" s="11"/>
    </row>
    <row r="3041" spans="8:14" x14ac:dyDescent="0.25">
      <c r="H3041" s="37"/>
      <c r="I3041" s="79"/>
      <c r="J3041" s="70"/>
      <c r="K3041" s="57"/>
      <c r="L3041" s="11"/>
      <c r="M3041" s="41"/>
      <c r="N3041" s="11"/>
    </row>
    <row r="3042" spans="8:14" x14ac:dyDescent="0.25">
      <c r="H3042" s="37"/>
      <c r="I3042" s="79"/>
      <c r="J3042" s="70"/>
      <c r="K3042" s="57"/>
      <c r="L3042" s="11"/>
      <c r="M3042" s="41"/>
      <c r="N3042" s="11"/>
    </row>
    <row r="3043" spans="8:14" x14ac:dyDescent="0.25">
      <c r="H3043" s="37"/>
      <c r="I3043" s="79"/>
      <c r="J3043" s="70"/>
      <c r="K3043" s="57"/>
      <c r="L3043" s="11"/>
      <c r="M3043" s="41"/>
      <c r="N3043" s="11"/>
    </row>
    <row r="3044" spans="8:14" x14ac:dyDescent="0.25">
      <c r="H3044" s="37"/>
      <c r="I3044" s="79"/>
      <c r="J3044" s="70"/>
      <c r="K3044" s="57"/>
      <c r="L3044" s="11"/>
      <c r="M3044" s="41"/>
      <c r="N3044" s="11"/>
    </row>
    <row r="3045" spans="8:14" x14ac:dyDescent="0.25">
      <c r="H3045" s="37"/>
      <c r="I3045" s="79"/>
      <c r="J3045" s="70"/>
      <c r="K3045" s="57"/>
      <c r="L3045" s="11"/>
      <c r="M3045" s="41"/>
      <c r="N3045" s="11"/>
    </row>
    <row r="3046" spans="8:14" x14ac:dyDescent="0.25">
      <c r="H3046" s="37"/>
      <c r="I3046" s="79"/>
      <c r="J3046" s="70"/>
      <c r="K3046" s="57"/>
      <c r="L3046" s="11"/>
      <c r="M3046" s="41"/>
      <c r="N3046" s="11"/>
    </row>
    <row r="3047" spans="8:14" x14ac:dyDescent="0.25">
      <c r="H3047" s="37"/>
      <c r="I3047" s="79"/>
      <c r="J3047" s="70"/>
      <c r="K3047" s="57"/>
      <c r="L3047" s="11"/>
      <c r="M3047" s="41"/>
      <c r="N3047" s="11"/>
    </row>
    <row r="3048" spans="8:14" x14ac:dyDescent="0.25">
      <c r="H3048" s="37"/>
      <c r="I3048" s="79"/>
      <c r="J3048" s="70"/>
      <c r="K3048" s="57"/>
      <c r="L3048" s="11"/>
      <c r="M3048" s="41"/>
      <c r="N3048" s="11"/>
    </row>
    <row r="3049" spans="8:14" x14ac:dyDescent="0.25">
      <c r="H3049" s="37"/>
      <c r="I3049" s="79"/>
      <c r="J3049" s="70"/>
      <c r="K3049" s="57"/>
      <c r="L3049" s="11"/>
      <c r="M3049" s="41"/>
      <c r="N3049" s="11"/>
    </row>
    <row r="3050" spans="8:14" x14ac:dyDescent="0.25">
      <c r="H3050" s="37"/>
      <c r="I3050" s="79"/>
      <c r="J3050" s="70"/>
      <c r="K3050" s="57"/>
      <c r="L3050" s="11"/>
      <c r="M3050" s="41"/>
      <c r="N3050" s="11"/>
    </row>
    <row r="3051" spans="8:14" x14ac:dyDescent="0.25">
      <c r="H3051" s="37"/>
      <c r="I3051" s="79"/>
      <c r="J3051" s="70"/>
      <c r="K3051" s="57"/>
      <c r="L3051" s="11"/>
      <c r="M3051" s="41"/>
      <c r="N3051" s="11"/>
    </row>
    <row r="3052" spans="8:14" x14ac:dyDescent="0.25">
      <c r="H3052" s="37"/>
      <c r="I3052" s="79"/>
      <c r="J3052" s="70"/>
      <c r="K3052" s="57"/>
      <c r="L3052" s="11"/>
      <c r="M3052" s="41"/>
      <c r="N3052" s="11"/>
    </row>
    <row r="3053" spans="8:14" x14ac:dyDescent="0.25">
      <c r="H3053" s="37"/>
      <c r="I3053" s="79"/>
      <c r="J3053" s="70"/>
      <c r="K3053" s="57"/>
      <c r="L3053" s="11"/>
      <c r="M3053" s="41"/>
      <c r="N3053" s="11"/>
    </row>
    <row r="3054" spans="8:14" x14ac:dyDescent="0.25">
      <c r="H3054" s="37"/>
      <c r="I3054" s="79"/>
      <c r="J3054" s="70"/>
      <c r="K3054" s="57"/>
      <c r="L3054" s="11"/>
      <c r="M3054" s="41"/>
      <c r="N3054" s="11"/>
    </row>
    <row r="3055" spans="8:14" x14ac:dyDescent="0.25">
      <c r="H3055" s="37"/>
      <c r="I3055" s="79"/>
      <c r="J3055" s="70"/>
      <c r="K3055" s="57"/>
      <c r="L3055" s="11"/>
      <c r="M3055" s="41"/>
      <c r="N3055" s="11"/>
    </row>
    <row r="3056" spans="8:14" x14ac:dyDescent="0.25">
      <c r="H3056" s="37"/>
      <c r="I3056" s="79"/>
      <c r="J3056" s="70"/>
      <c r="K3056" s="57"/>
      <c r="L3056" s="11"/>
      <c r="M3056" s="41"/>
      <c r="N3056" s="11"/>
    </row>
    <row r="3057" spans="8:14" x14ac:dyDescent="0.25">
      <c r="H3057" s="37"/>
      <c r="I3057" s="79"/>
      <c r="J3057" s="70"/>
      <c r="K3057" s="57"/>
      <c r="L3057" s="11"/>
      <c r="M3057" s="41"/>
      <c r="N3057" s="11"/>
    </row>
    <row r="3058" spans="8:14" x14ac:dyDescent="0.25">
      <c r="H3058" s="37"/>
      <c r="I3058" s="79"/>
      <c r="J3058" s="70"/>
      <c r="K3058" s="57"/>
      <c r="L3058" s="11"/>
      <c r="M3058" s="41"/>
      <c r="N3058" s="11"/>
    </row>
    <row r="3059" spans="8:14" x14ac:dyDescent="0.25">
      <c r="H3059" s="37"/>
      <c r="I3059" s="79"/>
      <c r="J3059" s="70"/>
      <c r="K3059" s="57"/>
      <c r="L3059" s="11"/>
      <c r="M3059" s="41"/>
      <c r="N3059" s="11"/>
    </row>
    <row r="3060" spans="8:14" x14ac:dyDescent="0.25">
      <c r="H3060" s="37"/>
      <c r="I3060" s="79"/>
      <c r="J3060" s="70"/>
      <c r="K3060" s="57"/>
      <c r="L3060" s="11"/>
      <c r="M3060" s="41"/>
      <c r="N3060" s="11"/>
    </row>
    <row r="3061" spans="8:14" x14ac:dyDescent="0.25">
      <c r="H3061" s="37"/>
      <c r="I3061" s="79"/>
      <c r="J3061" s="70"/>
      <c r="K3061" s="57"/>
      <c r="L3061" s="11"/>
      <c r="M3061" s="41"/>
      <c r="N3061" s="11"/>
    </row>
    <row r="3062" spans="8:14" x14ac:dyDescent="0.25">
      <c r="H3062" s="37"/>
      <c r="I3062" s="79"/>
      <c r="J3062" s="70"/>
      <c r="K3062" s="57"/>
      <c r="L3062" s="11"/>
      <c r="M3062" s="41"/>
      <c r="N3062" s="11"/>
    </row>
    <row r="3063" spans="8:14" x14ac:dyDescent="0.25">
      <c r="H3063" s="37"/>
      <c r="I3063" s="79"/>
      <c r="J3063" s="70"/>
      <c r="K3063" s="57"/>
      <c r="L3063" s="11"/>
      <c r="M3063" s="41"/>
      <c r="N3063" s="11"/>
    </row>
    <row r="3064" spans="8:14" x14ac:dyDescent="0.25">
      <c r="H3064" s="37"/>
      <c r="I3064" s="79"/>
      <c r="J3064" s="70"/>
      <c r="K3064" s="57"/>
      <c r="L3064" s="11"/>
      <c r="M3064" s="41"/>
      <c r="N3064" s="11"/>
    </row>
    <row r="3065" spans="8:14" x14ac:dyDescent="0.25">
      <c r="H3065" s="37"/>
      <c r="I3065" s="79"/>
      <c r="J3065" s="70"/>
      <c r="K3065" s="57"/>
      <c r="L3065" s="11"/>
      <c r="M3065" s="41"/>
      <c r="N3065" s="11"/>
    </row>
    <row r="3066" spans="8:14" x14ac:dyDescent="0.25">
      <c r="H3066" s="37"/>
      <c r="I3066" s="79"/>
      <c r="J3066" s="70"/>
      <c r="K3066" s="57"/>
      <c r="L3066" s="11"/>
      <c r="M3066" s="41"/>
      <c r="N3066" s="11"/>
    </row>
    <row r="3067" spans="8:14" x14ac:dyDescent="0.25">
      <c r="H3067" s="37"/>
      <c r="I3067" s="79"/>
      <c r="J3067" s="70"/>
      <c r="K3067" s="57"/>
      <c r="L3067" s="11"/>
      <c r="M3067" s="41"/>
      <c r="N3067" s="11"/>
    </row>
    <row r="3068" spans="8:14" x14ac:dyDescent="0.25">
      <c r="H3068" s="37"/>
      <c r="I3068" s="79"/>
      <c r="J3068" s="70"/>
      <c r="K3068" s="57"/>
      <c r="L3068" s="11"/>
      <c r="M3068" s="41"/>
      <c r="N3068" s="11"/>
    </row>
    <row r="3069" spans="8:14" x14ac:dyDescent="0.25">
      <c r="H3069" s="37"/>
      <c r="I3069" s="79"/>
      <c r="J3069" s="70"/>
      <c r="K3069" s="57"/>
      <c r="L3069" s="11"/>
      <c r="M3069" s="41"/>
      <c r="N3069" s="11"/>
    </row>
    <row r="3070" spans="8:14" x14ac:dyDescent="0.25">
      <c r="H3070" s="37"/>
      <c r="I3070" s="79"/>
      <c r="J3070" s="70"/>
      <c r="K3070" s="57"/>
      <c r="L3070" s="11"/>
      <c r="M3070" s="41"/>
      <c r="N3070" s="11"/>
    </row>
    <row r="3071" spans="8:14" x14ac:dyDescent="0.25">
      <c r="H3071" s="37"/>
      <c r="I3071" s="79"/>
      <c r="J3071" s="70"/>
      <c r="K3071" s="57"/>
      <c r="L3071" s="11"/>
      <c r="M3071" s="41"/>
      <c r="N3071" s="11"/>
    </row>
    <row r="3072" spans="8:14" x14ac:dyDescent="0.25">
      <c r="H3072" s="37"/>
      <c r="I3072" s="79"/>
      <c r="J3072" s="70"/>
      <c r="K3072" s="57"/>
      <c r="L3072" s="11"/>
      <c r="M3072" s="41"/>
      <c r="N3072" s="11"/>
    </row>
    <row r="3073" spans="8:14" x14ac:dyDescent="0.25">
      <c r="H3073" s="37"/>
      <c r="I3073" s="79"/>
      <c r="J3073" s="70"/>
      <c r="K3073" s="57"/>
      <c r="L3073" s="11"/>
      <c r="M3073" s="41"/>
      <c r="N3073" s="11"/>
    </row>
    <row r="3074" spans="8:14" x14ac:dyDescent="0.25">
      <c r="H3074" s="37"/>
      <c r="I3074" s="79"/>
      <c r="J3074" s="70"/>
      <c r="K3074" s="57"/>
      <c r="L3074" s="11"/>
      <c r="M3074" s="41"/>
      <c r="N3074" s="11"/>
    </row>
    <row r="3075" spans="8:14" x14ac:dyDescent="0.25">
      <c r="H3075" s="37"/>
      <c r="I3075" s="79"/>
      <c r="J3075" s="70"/>
      <c r="K3075" s="57"/>
      <c r="L3075" s="11"/>
      <c r="M3075" s="41"/>
      <c r="N3075" s="11"/>
    </row>
    <row r="3076" spans="8:14" x14ac:dyDescent="0.25">
      <c r="H3076" s="37"/>
      <c r="I3076" s="79"/>
      <c r="J3076" s="70"/>
      <c r="K3076" s="57"/>
      <c r="L3076" s="11"/>
      <c r="M3076" s="41"/>
      <c r="N3076" s="11"/>
    </row>
    <row r="3077" spans="8:14" x14ac:dyDescent="0.25">
      <c r="H3077" s="37"/>
      <c r="I3077" s="79"/>
      <c r="J3077" s="70"/>
      <c r="K3077" s="57"/>
      <c r="L3077" s="11"/>
      <c r="M3077" s="41"/>
      <c r="N3077" s="11"/>
    </row>
    <row r="3078" spans="8:14" x14ac:dyDescent="0.25">
      <c r="H3078" s="37"/>
      <c r="I3078" s="79"/>
      <c r="J3078" s="70"/>
      <c r="K3078" s="57"/>
      <c r="L3078" s="11"/>
      <c r="M3078" s="41"/>
      <c r="N3078" s="11"/>
    </row>
    <row r="3079" spans="8:14" x14ac:dyDescent="0.25">
      <c r="H3079" s="37"/>
      <c r="I3079" s="79"/>
      <c r="J3079" s="70"/>
      <c r="K3079" s="57"/>
      <c r="L3079" s="11"/>
      <c r="M3079" s="41"/>
      <c r="N3079" s="11"/>
    </row>
    <row r="3080" spans="8:14" x14ac:dyDescent="0.25">
      <c r="H3080" s="37"/>
      <c r="I3080" s="79"/>
      <c r="J3080" s="70"/>
      <c r="K3080" s="57"/>
      <c r="L3080" s="11"/>
      <c r="M3080" s="41"/>
      <c r="N3080" s="11"/>
    </row>
    <row r="3081" spans="8:14" x14ac:dyDescent="0.25">
      <c r="H3081" s="37"/>
      <c r="I3081" s="79"/>
      <c r="J3081" s="70"/>
      <c r="K3081" s="57"/>
      <c r="L3081" s="11"/>
      <c r="M3081" s="41"/>
      <c r="N3081" s="11"/>
    </row>
    <row r="3082" spans="8:14" x14ac:dyDescent="0.25">
      <c r="H3082" s="37"/>
      <c r="I3082" s="79"/>
      <c r="J3082" s="70"/>
      <c r="K3082" s="57"/>
      <c r="L3082" s="11"/>
      <c r="M3082" s="41"/>
      <c r="N3082" s="11"/>
    </row>
    <row r="3083" spans="8:14" x14ac:dyDescent="0.25">
      <c r="H3083" s="37"/>
      <c r="I3083" s="79"/>
      <c r="J3083" s="70"/>
      <c r="K3083" s="57"/>
      <c r="L3083" s="11"/>
      <c r="M3083" s="41"/>
      <c r="N3083" s="11"/>
    </row>
    <row r="3084" spans="8:14" x14ac:dyDescent="0.25">
      <c r="H3084" s="37"/>
      <c r="I3084" s="79"/>
      <c r="J3084" s="70"/>
      <c r="K3084" s="57"/>
      <c r="L3084" s="11"/>
      <c r="M3084" s="41"/>
      <c r="N3084" s="11"/>
    </row>
    <row r="3085" spans="8:14" x14ac:dyDescent="0.25">
      <c r="H3085" s="37"/>
      <c r="I3085" s="79"/>
      <c r="J3085" s="70"/>
      <c r="K3085" s="57"/>
      <c r="L3085" s="11"/>
      <c r="M3085" s="41"/>
      <c r="N3085" s="11"/>
    </row>
    <row r="3086" spans="8:14" x14ac:dyDescent="0.25">
      <c r="H3086" s="37"/>
      <c r="I3086" s="79"/>
      <c r="J3086" s="70"/>
      <c r="K3086" s="57"/>
      <c r="L3086" s="11"/>
      <c r="M3086" s="41"/>
      <c r="N3086" s="11"/>
    </row>
    <row r="3087" spans="8:14" x14ac:dyDescent="0.25">
      <c r="H3087" s="37"/>
      <c r="I3087" s="79"/>
      <c r="J3087" s="70"/>
      <c r="K3087" s="57"/>
      <c r="L3087" s="11"/>
      <c r="M3087" s="41"/>
      <c r="N3087" s="11"/>
    </row>
    <row r="3088" spans="8:14" x14ac:dyDescent="0.25">
      <c r="H3088" s="37"/>
      <c r="I3088" s="79"/>
      <c r="J3088" s="70"/>
      <c r="K3088" s="57"/>
      <c r="L3088" s="11"/>
      <c r="M3088" s="41"/>
      <c r="N3088" s="11"/>
    </row>
    <row r="3089" spans="8:14" x14ac:dyDescent="0.25">
      <c r="H3089" s="37"/>
      <c r="I3089" s="79"/>
      <c r="J3089" s="70"/>
      <c r="K3089" s="57"/>
      <c r="L3089" s="11"/>
      <c r="M3089" s="41"/>
      <c r="N3089" s="11"/>
    </row>
    <row r="3090" spans="8:14" x14ac:dyDescent="0.25">
      <c r="H3090" s="37"/>
      <c r="I3090" s="79"/>
      <c r="J3090" s="70"/>
      <c r="K3090" s="57"/>
      <c r="L3090" s="11"/>
      <c r="M3090" s="41"/>
      <c r="N3090" s="11"/>
    </row>
    <row r="3091" spans="8:14" x14ac:dyDescent="0.25">
      <c r="H3091" s="37"/>
      <c r="I3091" s="79"/>
      <c r="J3091" s="70"/>
      <c r="K3091" s="57"/>
      <c r="L3091" s="11"/>
      <c r="M3091" s="41"/>
      <c r="N3091" s="11"/>
    </row>
    <row r="3092" spans="8:14" x14ac:dyDescent="0.25">
      <c r="H3092" s="37"/>
      <c r="I3092" s="79"/>
      <c r="J3092" s="70"/>
      <c r="K3092" s="57"/>
      <c r="L3092" s="11"/>
      <c r="M3092" s="41"/>
      <c r="N3092" s="11"/>
    </row>
    <row r="3093" spans="8:14" x14ac:dyDescent="0.25">
      <c r="H3093" s="37"/>
      <c r="I3093" s="79"/>
      <c r="J3093" s="70"/>
      <c r="K3093" s="57"/>
      <c r="L3093" s="11"/>
      <c r="M3093" s="41"/>
      <c r="N3093" s="11"/>
    </row>
    <row r="3094" spans="8:14" x14ac:dyDescent="0.25">
      <c r="H3094" s="37"/>
      <c r="I3094" s="79"/>
      <c r="J3094" s="70"/>
      <c r="K3094" s="57"/>
      <c r="L3094" s="11"/>
      <c r="M3094" s="41"/>
      <c r="N3094" s="11"/>
    </row>
    <row r="3095" spans="8:14" x14ac:dyDescent="0.25">
      <c r="H3095" s="37"/>
      <c r="I3095" s="79"/>
      <c r="J3095" s="70"/>
      <c r="K3095" s="57"/>
      <c r="L3095" s="11"/>
      <c r="M3095" s="41"/>
      <c r="N3095" s="11"/>
    </row>
    <row r="3096" spans="8:14" x14ac:dyDescent="0.25">
      <c r="H3096" s="37"/>
      <c r="I3096" s="79"/>
      <c r="J3096" s="70"/>
      <c r="K3096" s="57"/>
      <c r="L3096" s="11"/>
      <c r="M3096" s="41"/>
      <c r="N3096" s="11"/>
    </row>
    <row r="3097" spans="8:14" x14ac:dyDescent="0.25">
      <c r="H3097" s="37"/>
      <c r="I3097" s="79"/>
      <c r="J3097" s="70"/>
      <c r="K3097" s="57"/>
      <c r="L3097" s="11"/>
      <c r="M3097" s="41"/>
      <c r="N3097" s="11"/>
    </row>
    <row r="3098" spans="8:14" x14ac:dyDescent="0.25">
      <c r="H3098" s="37"/>
      <c r="I3098" s="79"/>
      <c r="J3098" s="70"/>
      <c r="K3098" s="57"/>
      <c r="L3098" s="11"/>
      <c r="M3098" s="41"/>
      <c r="N3098" s="11"/>
    </row>
    <row r="3099" spans="8:14" x14ac:dyDescent="0.25">
      <c r="H3099" s="37"/>
      <c r="I3099" s="79"/>
      <c r="J3099" s="70"/>
      <c r="K3099" s="57"/>
      <c r="L3099" s="11"/>
      <c r="M3099" s="41"/>
      <c r="N3099" s="11"/>
    </row>
    <row r="3100" spans="8:14" x14ac:dyDescent="0.25">
      <c r="H3100" s="37"/>
      <c r="I3100" s="79"/>
      <c r="J3100" s="70"/>
      <c r="K3100" s="57"/>
      <c r="L3100" s="11"/>
      <c r="M3100" s="41"/>
      <c r="N3100" s="11"/>
    </row>
    <row r="3101" spans="8:14" x14ac:dyDescent="0.25">
      <c r="H3101" s="37"/>
      <c r="I3101" s="79"/>
      <c r="J3101" s="70"/>
      <c r="K3101" s="57"/>
      <c r="L3101" s="11"/>
      <c r="M3101" s="41"/>
      <c r="N3101" s="11"/>
    </row>
    <row r="3102" spans="8:14" x14ac:dyDescent="0.25">
      <c r="H3102" s="37"/>
      <c r="I3102" s="79"/>
      <c r="J3102" s="70"/>
      <c r="K3102" s="57"/>
      <c r="L3102" s="11"/>
      <c r="M3102" s="41"/>
      <c r="N3102" s="11"/>
    </row>
    <row r="3103" spans="8:14" x14ac:dyDescent="0.25">
      <c r="H3103" s="37"/>
      <c r="I3103" s="79"/>
      <c r="J3103" s="70"/>
      <c r="K3103" s="57"/>
      <c r="L3103" s="11"/>
      <c r="M3103" s="41"/>
      <c r="N3103" s="11"/>
    </row>
    <row r="3104" spans="8:14" x14ac:dyDescent="0.25">
      <c r="H3104" s="37"/>
      <c r="I3104" s="79"/>
      <c r="J3104" s="70"/>
      <c r="K3104" s="57"/>
      <c r="L3104" s="11"/>
      <c r="M3104" s="41"/>
      <c r="N3104" s="11"/>
    </row>
    <row r="3105" spans="8:14" x14ac:dyDescent="0.25">
      <c r="H3105" s="37"/>
      <c r="I3105" s="79"/>
      <c r="J3105" s="70"/>
      <c r="K3105" s="57"/>
      <c r="L3105" s="11"/>
      <c r="M3105" s="41"/>
      <c r="N3105" s="11"/>
    </row>
    <row r="3106" spans="8:14" x14ac:dyDescent="0.25">
      <c r="H3106" s="37"/>
      <c r="I3106" s="79"/>
      <c r="J3106" s="70"/>
      <c r="K3106" s="57"/>
      <c r="L3106" s="11"/>
      <c r="M3106" s="41"/>
      <c r="N3106" s="11"/>
    </row>
    <row r="3107" spans="8:14" x14ac:dyDescent="0.25">
      <c r="H3107" s="37"/>
      <c r="I3107" s="79"/>
      <c r="J3107" s="70"/>
      <c r="K3107" s="57"/>
      <c r="L3107" s="11"/>
      <c r="M3107" s="41"/>
      <c r="N3107" s="11"/>
    </row>
    <row r="3108" spans="8:14" x14ac:dyDescent="0.25">
      <c r="H3108" s="37"/>
      <c r="I3108" s="79"/>
      <c r="J3108" s="70"/>
      <c r="K3108" s="57"/>
      <c r="L3108" s="11"/>
      <c r="M3108" s="41"/>
      <c r="N3108" s="11"/>
    </row>
    <row r="3109" spans="8:14" x14ac:dyDescent="0.25">
      <c r="H3109" s="37"/>
      <c r="I3109" s="79"/>
      <c r="J3109" s="70"/>
      <c r="K3109" s="57"/>
      <c r="L3109" s="11"/>
      <c r="M3109" s="41"/>
      <c r="N3109" s="11"/>
    </row>
    <row r="3110" spans="8:14" x14ac:dyDescent="0.25">
      <c r="H3110" s="37"/>
      <c r="I3110" s="79"/>
      <c r="J3110" s="70"/>
      <c r="K3110" s="57"/>
      <c r="L3110" s="11"/>
      <c r="M3110" s="41"/>
      <c r="N3110" s="11"/>
    </row>
    <row r="3111" spans="8:14" x14ac:dyDescent="0.25">
      <c r="H3111" s="37"/>
      <c r="I3111" s="79"/>
      <c r="J3111" s="70"/>
      <c r="K3111" s="57"/>
      <c r="L3111" s="11"/>
      <c r="M3111" s="41"/>
      <c r="N3111" s="11"/>
    </row>
    <row r="3112" spans="8:14" x14ac:dyDescent="0.25">
      <c r="H3112" s="37"/>
      <c r="I3112" s="79"/>
      <c r="J3112" s="70"/>
      <c r="K3112" s="57"/>
      <c r="L3112" s="11"/>
      <c r="M3112" s="41"/>
      <c r="N3112" s="11"/>
    </row>
    <row r="3113" spans="8:14" x14ac:dyDescent="0.25">
      <c r="H3113" s="37"/>
      <c r="I3113" s="79"/>
      <c r="J3113" s="70"/>
      <c r="K3113" s="57"/>
      <c r="L3113" s="11"/>
      <c r="M3113" s="41"/>
      <c r="N3113" s="11"/>
    </row>
    <row r="3114" spans="8:14" x14ac:dyDescent="0.25">
      <c r="H3114" s="37"/>
      <c r="I3114" s="79"/>
      <c r="J3114" s="70"/>
      <c r="K3114" s="57"/>
      <c r="L3114" s="11"/>
      <c r="M3114" s="41"/>
      <c r="N3114" s="11"/>
    </row>
    <row r="3115" spans="8:14" x14ac:dyDescent="0.25">
      <c r="H3115" s="37"/>
      <c r="I3115" s="79"/>
      <c r="J3115" s="70"/>
      <c r="K3115" s="57"/>
      <c r="L3115" s="11"/>
      <c r="M3115" s="41"/>
      <c r="N3115" s="11"/>
    </row>
    <row r="3116" spans="8:14" x14ac:dyDescent="0.25">
      <c r="H3116" s="37"/>
      <c r="I3116" s="79"/>
      <c r="J3116" s="70"/>
      <c r="K3116" s="57"/>
      <c r="L3116" s="11"/>
      <c r="M3116" s="41"/>
      <c r="N3116" s="11"/>
    </row>
    <row r="3117" spans="8:14" x14ac:dyDescent="0.25">
      <c r="H3117" s="37"/>
      <c r="I3117" s="79"/>
      <c r="J3117" s="70"/>
      <c r="K3117" s="57"/>
      <c r="L3117" s="11"/>
      <c r="M3117" s="41"/>
      <c r="N3117" s="11"/>
    </row>
    <row r="3118" spans="8:14" x14ac:dyDescent="0.25">
      <c r="H3118" s="37"/>
      <c r="I3118" s="79"/>
      <c r="J3118" s="70"/>
      <c r="K3118" s="57"/>
      <c r="L3118" s="11"/>
      <c r="M3118" s="41"/>
      <c r="N3118" s="11"/>
    </row>
    <row r="3119" spans="8:14" x14ac:dyDescent="0.25">
      <c r="H3119" s="37"/>
      <c r="I3119" s="79"/>
      <c r="J3119" s="70"/>
      <c r="K3119" s="57"/>
      <c r="L3119" s="11"/>
      <c r="M3119" s="41"/>
      <c r="N3119" s="11"/>
    </row>
    <row r="3120" spans="8:14" x14ac:dyDescent="0.25">
      <c r="H3120" s="37"/>
      <c r="I3120" s="79"/>
      <c r="J3120" s="70"/>
      <c r="K3120" s="57"/>
      <c r="L3120" s="11"/>
      <c r="M3120" s="41"/>
      <c r="N3120" s="11"/>
    </row>
    <row r="3121" spans="8:14" x14ac:dyDescent="0.25">
      <c r="H3121" s="37"/>
      <c r="I3121" s="79"/>
      <c r="J3121" s="70"/>
      <c r="K3121" s="57"/>
      <c r="L3121" s="11"/>
      <c r="M3121" s="41"/>
      <c r="N3121" s="11"/>
    </row>
    <row r="3122" spans="8:14" x14ac:dyDescent="0.25">
      <c r="H3122" s="37"/>
      <c r="I3122" s="79"/>
      <c r="J3122" s="70"/>
      <c r="K3122" s="57"/>
      <c r="L3122" s="11"/>
      <c r="M3122" s="41"/>
      <c r="N3122" s="11"/>
    </row>
    <row r="3123" spans="8:14" x14ac:dyDescent="0.25">
      <c r="H3123" s="37"/>
      <c r="I3123" s="79"/>
      <c r="J3123" s="70"/>
      <c r="K3123" s="57"/>
      <c r="L3123" s="11"/>
      <c r="M3123" s="41"/>
      <c r="N3123" s="11"/>
    </row>
    <row r="3124" spans="8:14" x14ac:dyDescent="0.25">
      <c r="H3124" s="37"/>
      <c r="I3124" s="79"/>
      <c r="J3124" s="70"/>
      <c r="K3124" s="57"/>
      <c r="L3124" s="11"/>
      <c r="M3124" s="41"/>
      <c r="N3124" s="11"/>
    </row>
    <row r="3125" spans="8:14" x14ac:dyDescent="0.25">
      <c r="H3125" s="37"/>
      <c r="I3125" s="79"/>
      <c r="J3125" s="70"/>
      <c r="K3125" s="57"/>
      <c r="L3125" s="11"/>
      <c r="M3125" s="41"/>
      <c r="N3125" s="11"/>
    </row>
    <row r="3126" spans="8:14" x14ac:dyDescent="0.25">
      <c r="H3126" s="37"/>
      <c r="I3126" s="79"/>
      <c r="J3126" s="70"/>
      <c r="K3126" s="57"/>
      <c r="L3126" s="11"/>
      <c r="M3126" s="41"/>
      <c r="N3126" s="11"/>
    </row>
    <row r="3127" spans="8:14" x14ac:dyDescent="0.25">
      <c r="H3127" s="37"/>
      <c r="I3127" s="79"/>
      <c r="J3127" s="70"/>
      <c r="K3127" s="57"/>
      <c r="L3127" s="11"/>
      <c r="M3127" s="41"/>
      <c r="N3127" s="11"/>
    </row>
    <row r="3128" spans="8:14" x14ac:dyDescent="0.25">
      <c r="H3128" s="37"/>
      <c r="I3128" s="79"/>
      <c r="J3128" s="70"/>
      <c r="K3128" s="57"/>
      <c r="L3128" s="11"/>
      <c r="M3128" s="41"/>
      <c r="N3128" s="11"/>
    </row>
    <row r="3129" spans="8:14" x14ac:dyDescent="0.25">
      <c r="H3129" s="37"/>
      <c r="I3129" s="79"/>
      <c r="J3129" s="70"/>
      <c r="K3129" s="57"/>
      <c r="L3129" s="11"/>
      <c r="M3129" s="41"/>
      <c r="N3129" s="11"/>
    </row>
    <row r="3130" spans="8:14" x14ac:dyDescent="0.25">
      <c r="H3130" s="37"/>
      <c r="I3130" s="79"/>
      <c r="J3130" s="70"/>
      <c r="K3130" s="57"/>
      <c r="L3130" s="11"/>
      <c r="M3130" s="41"/>
      <c r="N3130" s="11"/>
    </row>
    <row r="3131" spans="8:14" x14ac:dyDescent="0.25">
      <c r="H3131" s="37"/>
      <c r="I3131" s="79"/>
      <c r="J3131" s="70"/>
      <c r="K3131" s="57"/>
      <c r="L3131" s="11"/>
      <c r="M3131" s="41"/>
      <c r="N3131" s="11"/>
    </row>
    <row r="3132" spans="8:14" x14ac:dyDescent="0.25">
      <c r="H3132" s="37"/>
      <c r="I3132" s="79"/>
      <c r="J3132" s="70"/>
      <c r="K3132" s="57"/>
      <c r="L3132" s="11"/>
      <c r="M3132" s="41"/>
      <c r="N3132" s="11"/>
    </row>
    <row r="3133" spans="8:14" x14ac:dyDescent="0.25">
      <c r="H3133" s="37"/>
      <c r="I3133" s="79"/>
      <c r="J3133" s="70"/>
      <c r="K3133" s="57"/>
      <c r="L3133" s="11"/>
      <c r="M3133" s="41"/>
      <c r="N3133" s="11"/>
    </row>
    <row r="3134" spans="8:14" x14ac:dyDescent="0.25">
      <c r="H3134" s="37"/>
      <c r="I3134" s="79"/>
      <c r="J3134" s="70"/>
      <c r="K3134" s="57"/>
      <c r="L3134" s="11"/>
      <c r="M3134" s="41"/>
      <c r="N3134" s="11"/>
    </row>
    <row r="3135" spans="8:14" x14ac:dyDescent="0.25">
      <c r="H3135" s="37"/>
      <c r="I3135" s="79"/>
      <c r="J3135" s="70"/>
      <c r="K3135" s="57"/>
      <c r="L3135" s="11"/>
      <c r="M3135" s="41"/>
      <c r="N3135" s="11"/>
    </row>
    <row r="3136" spans="8:14" x14ac:dyDescent="0.25">
      <c r="H3136" s="37"/>
      <c r="I3136" s="79"/>
      <c r="J3136" s="70"/>
      <c r="K3136" s="57"/>
      <c r="L3136" s="11"/>
      <c r="M3136" s="41"/>
      <c r="N3136" s="11"/>
    </row>
    <row r="3137" spans="8:14" x14ac:dyDescent="0.25">
      <c r="H3137" s="37"/>
      <c r="I3137" s="79"/>
      <c r="J3137" s="70"/>
      <c r="K3137" s="57"/>
      <c r="L3137" s="11"/>
      <c r="M3137" s="41"/>
      <c r="N3137" s="11"/>
    </row>
    <row r="3138" spans="8:14" x14ac:dyDescent="0.25">
      <c r="H3138" s="37"/>
      <c r="I3138" s="79"/>
      <c r="J3138" s="70"/>
      <c r="K3138" s="57"/>
      <c r="L3138" s="11"/>
      <c r="M3138" s="41"/>
      <c r="N3138" s="11"/>
    </row>
    <row r="3139" spans="8:14" x14ac:dyDescent="0.25">
      <c r="H3139" s="37"/>
      <c r="I3139" s="79"/>
      <c r="J3139" s="70"/>
      <c r="K3139" s="57"/>
      <c r="L3139" s="11"/>
      <c r="M3139" s="41"/>
      <c r="N3139" s="11"/>
    </row>
    <row r="3140" spans="8:14" x14ac:dyDescent="0.25">
      <c r="H3140" s="37"/>
      <c r="I3140" s="79"/>
      <c r="J3140" s="70"/>
      <c r="K3140" s="57"/>
      <c r="L3140" s="11"/>
      <c r="M3140" s="41"/>
      <c r="N3140" s="11"/>
    </row>
    <row r="3141" spans="8:14" x14ac:dyDescent="0.25">
      <c r="H3141" s="37"/>
      <c r="I3141" s="79"/>
      <c r="J3141" s="70"/>
      <c r="K3141" s="57"/>
      <c r="L3141" s="11"/>
      <c r="M3141" s="41"/>
      <c r="N3141" s="11"/>
    </row>
    <row r="3142" spans="8:14" x14ac:dyDescent="0.25">
      <c r="H3142" s="37"/>
      <c r="I3142" s="79"/>
      <c r="J3142" s="70"/>
      <c r="K3142" s="57"/>
      <c r="L3142" s="11"/>
      <c r="M3142" s="41"/>
      <c r="N3142" s="11"/>
    </row>
    <row r="3143" spans="8:14" x14ac:dyDescent="0.25">
      <c r="H3143" s="37"/>
      <c r="I3143" s="79"/>
      <c r="J3143" s="70"/>
      <c r="K3143" s="57"/>
      <c r="L3143" s="11"/>
      <c r="M3143" s="41"/>
      <c r="N3143" s="11"/>
    </row>
    <row r="3144" spans="8:14" x14ac:dyDescent="0.25">
      <c r="H3144" s="37"/>
      <c r="I3144" s="79"/>
      <c r="J3144" s="70"/>
      <c r="K3144" s="57"/>
      <c r="L3144" s="11"/>
      <c r="M3144" s="41"/>
      <c r="N3144" s="11"/>
    </row>
    <row r="3145" spans="8:14" x14ac:dyDescent="0.25">
      <c r="H3145" s="37"/>
      <c r="I3145" s="79"/>
      <c r="J3145" s="70"/>
      <c r="K3145" s="57"/>
      <c r="L3145" s="11"/>
      <c r="M3145" s="41"/>
      <c r="N3145" s="11"/>
    </row>
    <row r="3146" spans="8:14" x14ac:dyDescent="0.25">
      <c r="H3146" s="37"/>
      <c r="I3146" s="79"/>
      <c r="J3146" s="70"/>
      <c r="K3146" s="57"/>
      <c r="L3146" s="11"/>
      <c r="M3146" s="41"/>
      <c r="N3146" s="11"/>
    </row>
    <row r="3147" spans="8:14" x14ac:dyDescent="0.25">
      <c r="H3147" s="37"/>
      <c r="I3147" s="79"/>
      <c r="J3147" s="70"/>
      <c r="K3147" s="57"/>
      <c r="L3147" s="11"/>
      <c r="M3147" s="41"/>
      <c r="N3147" s="11"/>
    </row>
    <row r="3148" spans="8:14" x14ac:dyDescent="0.25">
      <c r="H3148" s="37"/>
      <c r="I3148" s="79"/>
      <c r="J3148" s="70"/>
      <c r="K3148" s="57"/>
      <c r="L3148" s="11"/>
      <c r="M3148" s="41"/>
      <c r="N3148" s="11"/>
    </row>
    <row r="3149" spans="8:14" x14ac:dyDescent="0.25">
      <c r="H3149" s="37"/>
      <c r="I3149" s="79"/>
      <c r="J3149" s="70"/>
      <c r="K3149" s="57"/>
      <c r="L3149" s="11"/>
      <c r="M3149" s="41"/>
      <c r="N3149" s="11"/>
    </row>
    <row r="3150" spans="8:14" x14ac:dyDescent="0.25">
      <c r="H3150" s="37"/>
      <c r="I3150" s="79"/>
      <c r="J3150" s="70"/>
      <c r="K3150" s="57"/>
      <c r="L3150" s="11"/>
      <c r="M3150" s="41"/>
      <c r="N3150" s="11"/>
    </row>
    <row r="3151" spans="8:14" x14ac:dyDescent="0.25">
      <c r="H3151" s="37"/>
      <c r="I3151" s="79"/>
      <c r="J3151" s="70"/>
      <c r="K3151" s="57"/>
      <c r="L3151" s="11"/>
      <c r="M3151" s="41"/>
      <c r="N3151" s="11"/>
    </row>
    <row r="3152" spans="8:14" x14ac:dyDescent="0.25">
      <c r="H3152" s="37"/>
      <c r="I3152" s="79"/>
      <c r="J3152" s="70"/>
      <c r="K3152" s="57"/>
      <c r="L3152" s="11"/>
      <c r="M3152" s="41"/>
      <c r="N3152" s="11"/>
    </row>
    <row r="3153" spans="8:14" x14ac:dyDescent="0.25">
      <c r="H3153" s="37"/>
      <c r="I3153" s="79"/>
      <c r="J3153" s="70"/>
      <c r="K3153" s="57"/>
      <c r="L3153" s="11"/>
      <c r="M3153" s="41"/>
      <c r="N3153" s="11"/>
    </row>
    <row r="3154" spans="8:14" x14ac:dyDescent="0.25">
      <c r="H3154" s="37"/>
      <c r="I3154" s="79"/>
      <c r="J3154" s="70"/>
      <c r="K3154" s="57"/>
      <c r="L3154" s="11"/>
      <c r="M3154" s="41"/>
      <c r="N3154" s="11"/>
    </row>
    <row r="3155" spans="8:14" x14ac:dyDescent="0.25">
      <c r="H3155" s="37"/>
      <c r="I3155" s="79"/>
      <c r="J3155" s="70"/>
      <c r="K3155" s="57"/>
      <c r="L3155" s="11"/>
      <c r="M3155" s="41"/>
      <c r="N3155" s="11"/>
    </row>
    <row r="3156" spans="8:14" x14ac:dyDescent="0.25">
      <c r="H3156" s="37"/>
      <c r="I3156" s="79"/>
      <c r="J3156" s="70"/>
      <c r="K3156" s="57"/>
      <c r="L3156" s="11"/>
      <c r="M3156" s="41"/>
      <c r="N3156" s="11"/>
    </row>
    <row r="3157" spans="8:14" x14ac:dyDescent="0.25">
      <c r="H3157" s="37"/>
      <c r="I3157" s="79"/>
      <c r="J3157" s="70"/>
      <c r="K3157" s="57"/>
      <c r="L3157" s="11"/>
      <c r="M3157" s="41"/>
      <c r="N3157" s="11"/>
    </row>
    <row r="3158" spans="8:14" x14ac:dyDescent="0.25">
      <c r="H3158" s="37"/>
      <c r="I3158" s="79"/>
      <c r="J3158" s="70"/>
      <c r="K3158" s="57"/>
      <c r="L3158" s="11"/>
      <c r="M3158" s="41"/>
      <c r="N3158" s="11"/>
    </row>
    <row r="3159" spans="8:14" x14ac:dyDescent="0.25">
      <c r="H3159" s="37"/>
      <c r="I3159" s="79"/>
      <c r="J3159" s="70"/>
      <c r="K3159" s="57"/>
      <c r="L3159" s="11"/>
      <c r="M3159" s="41"/>
      <c r="N3159" s="11"/>
    </row>
    <row r="3160" spans="8:14" x14ac:dyDescent="0.25">
      <c r="H3160" s="37"/>
      <c r="I3160" s="79"/>
      <c r="J3160" s="70"/>
      <c r="K3160" s="57"/>
      <c r="L3160" s="11"/>
      <c r="M3160" s="41"/>
      <c r="N3160" s="11"/>
    </row>
    <row r="3161" spans="8:14" x14ac:dyDescent="0.25">
      <c r="H3161" s="37"/>
      <c r="I3161" s="79"/>
      <c r="J3161" s="70"/>
      <c r="K3161" s="57"/>
      <c r="L3161" s="11"/>
      <c r="M3161" s="41"/>
      <c r="N3161" s="11"/>
    </row>
    <row r="3162" spans="8:14" x14ac:dyDescent="0.25">
      <c r="H3162" s="37"/>
      <c r="I3162" s="79"/>
      <c r="J3162" s="70"/>
      <c r="K3162" s="57"/>
      <c r="L3162" s="11"/>
      <c r="M3162" s="41"/>
      <c r="N3162" s="11"/>
    </row>
    <row r="3163" spans="8:14" x14ac:dyDescent="0.25">
      <c r="H3163" s="37"/>
      <c r="I3163" s="79"/>
      <c r="J3163" s="70"/>
      <c r="K3163" s="57"/>
      <c r="L3163" s="11"/>
      <c r="M3163" s="41"/>
      <c r="N3163" s="11"/>
    </row>
    <row r="3164" spans="8:14" x14ac:dyDescent="0.25">
      <c r="H3164" s="37"/>
      <c r="I3164" s="79"/>
      <c r="J3164" s="70"/>
      <c r="K3164" s="57"/>
      <c r="L3164" s="11"/>
      <c r="M3164" s="41"/>
      <c r="N3164" s="11"/>
    </row>
    <row r="3165" spans="8:14" x14ac:dyDescent="0.25">
      <c r="H3165" s="37"/>
      <c r="I3165" s="79"/>
      <c r="J3165" s="70"/>
      <c r="K3165" s="57"/>
      <c r="L3165" s="11"/>
      <c r="M3165" s="41"/>
      <c r="N3165" s="11"/>
    </row>
    <row r="3166" spans="8:14" x14ac:dyDescent="0.25">
      <c r="H3166" s="37"/>
      <c r="I3166" s="79"/>
      <c r="J3166" s="70"/>
      <c r="K3166" s="57"/>
      <c r="L3166" s="11"/>
      <c r="M3166" s="41"/>
      <c r="N3166" s="11"/>
    </row>
    <row r="3167" spans="8:14" x14ac:dyDescent="0.25">
      <c r="H3167" s="37"/>
      <c r="I3167" s="79"/>
      <c r="J3167" s="70"/>
      <c r="K3167" s="57"/>
      <c r="L3167" s="11"/>
      <c r="M3167" s="41"/>
      <c r="N3167" s="11"/>
    </row>
    <row r="3168" spans="8:14" x14ac:dyDescent="0.25">
      <c r="H3168" s="37"/>
      <c r="I3168" s="79"/>
      <c r="J3168" s="70"/>
      <c r="K3168" s="57"/>
      <c r="L3168" s="11"/>
      <c r="M3168" s="41"/>
      <c r="N3168" s="11"/>
    </row>
    <row r="3169" spans="8:14" x14ac:dyDescent="0.25">
      <c r="H3169" s="37"/>
      <c r="I3169" s="79"/>
      <c r="J3169" s="70"/>
      <c r="K3169" s="57"/>
      <c r="L3169" s="11"/>
      <c r="M3169" s="41"/>
      <c r="N3169" s="11"/>
    </row>
    <row r="3170" spans="8:14" x14ac:dyDescent="0.25">
      <c r="H3170" s="37"/>
      <c r="I3170" s="79"/>
      <c r="J3170" s="70"/>
      <c r="K3170" s="57"/>
      <c r="L3170" s="11"/>
      <c r="M3170" s="41"/>
      <c r="N3170" s="11"/>
    </row>
    <row r="3171" spans="8:14" x14ac:dyDescent="0.25">
      <c r="H3171" s="37"/>
      <c r="I3171" s="79"/>
      <c r="J3171" s="70"/>
      <c r="K3171" s="57"/>
      <c r="L3171" s="11"/>
      <c r="M3171" s="41"/>
      <c r="N3171" s="11"/>
    </row>
    <row r="3172" spans="8:14" x14ac:dyDescent="0.25">
      <c r="H3172" s="37"/>
      <c r="I3172" s="79"/>
      <c r="J3172" s="70"/>
      <c r="K3172" s="57"/>
      <c r="L3172" s="11"/>
      <c r="M3172" s="41"/>
      <c r="N3172" s="11"/>
    </row>
    <row r="3173" spans="8:14" x14ac:dyDescent="0.25">
      <c r="H3173" s="37"/>
      <c r="I3173" s="79"/>
      <c r="J3173" s="70"/>
      <c r="K3173" s="57"/>
      <c r="L3173" s="11"/>
      <c r="M3173" s="41"/>
      <c r="N3173" s="11"/>
    </row>
    <row r="3174" spans="8:14" x14ac:dyDescent="0.25">
      <c r="H3174" s="37"/>
      <c r="I3174" s="79"/>
      <c r="J3174" s="70"/>
      <c r="K3174" s="57"/>
      <c r="L3174" s="11"/>
      <c r="M3174" s="41"/>
      <c r="N3174" s="11"/>
    </row>
    <row r="3175" spans="8:14" x14ac:dyDescent="0.25">
      <c r="H3175" s="37"/>
      <c r="I3175" s="79"/>
      <c r="J3175" s="70"/>
      <c r="K3175" s="57"/>
      <c r="L3175" s="11"/>
      <c r="M3175" s="41"/>
      <c r="N3175" s="11"/>
    </row>
    <row r="3176" spans="8:14" x14ac:dyDescent="0.25">
      <c r="H3176" s="37"/>
      <c r="I3176" s="79"/>
      <c r="J3176" s="70"/>
      <c r="K3176" s="57"/>
      <c r="L3176" s="11"/>
      <c r="M3176" s="41"/>
      <c r="N3176" s="11"/>
    </row>
    <row r="3177" spans="8:14" x14ac:dyDescent="0.25">
      <c r="H3177" s="37"/>
      <c r="I3177" s="79"/>
      <c r="J3177" s="70"/>
      <c r="K3177" s="57"/>
      <c r="L3177" s="11"/>
      <c r="M3177" s="41"/>
      <c r="N3177" s="11"/>
    </row>
    <row r="3178" spans="8:14" x14ac:dyDescent="0.25">
      <c r="H3178" s="37"/>
      <c r="I3178" s="79"/>
      <c r="J3178" s="70"/>
      <c r="K3178" s="57"/>
      <c r="L3178" s="11"/>
      <c r="M3178" s="41"/>
      <c r="N3178" s="11"/>
    </row>
    <row r="3179" spans="8:14" x14ac:dyDescent="0.25">
      <c r="H3179" s="37"/>
      <c r="I3179" s="79"/>
      <c r="J3179" s="70"/>
      <c r="K3179" s="57"/>
      <c r="L3179" s="11"/>
      <c r="M3179" s="41"/>
      <c r="N3179" s="11"/>
    </row>
    <row r="3180" spans="8:14" x14ac:dyDescent="0.25">
      <c r="H3180" s="37"/>
      <c r="I3180" s="79"/>
      <c r="J3180" s="70"/>
      <c r="K3180" s="57"/>
      <c r="L3180" s="11"/>
      <c r="M3180" s="41"/>
      <c r="N3180" s="11"/>
    </row>
    <row r="3181" spans="8:14" x14ac:dyDescent="0.25">
      <c r="H3181" s="37"/>
      <c r="I3181" s="79"/>
      <c r="J3181" s="70"/>
      <c r="K3181" s="57"/>
      <c r="L3181" s="11"/>
      <c r="M3181" s="41"/>
      <c r="N3181" s="11"/>
    </row>
    <row r="3182" spans="8:14" x14ac:dyDescent="0.25">
      <c r="H3182" s="37"/>
      <c r="I3182" s="79"/>
      <c r="J3182" s="70"/>
      <c r="K3182" s="57"/>
      <c r="L3182" s="11"/>
      <c r="M3182" s="41"/>
      <c r="N3182" s="11"/>
    </row>
    <row r="3183" spans="8:14" x14ac:dyDescent="0.25">
      <c r="H3183" s="37"/>
      <c r="I3183" s="79"/>
      <c r="J3183" s="70"/>
      <c r="K3183" s="57"/>
      <c r="L3183" s="11"/>
      <c r="M3183" s="41"/>
      <c r="N3183" s="11"/>
    </row>
    <row r="3184" spans="8:14" x14ac:dyDescent="0.25">
      <c r="H3184" s="37"/>
      <c r="I3184" s="79"/>
      <c r="J3184" s="70"/>
      <c r="K3184" s="57"/>
      <c r="L3184" s="11"/>
      <c r="M3184" s="41"/>
      <c r="N3184" s="11"/>
    </row>
    <row r="3185" spans="8:14" x14ac:dyDescent="0.25">
      <c r="H3185" s="37"/>
      <c r="I3185" s="79"/>
      <c r="J3185" s="70"/>
      <c r="K3185" s="57"/>
      <c r="L3185" s="11"/>
      <c r="M3185" s="41"/>
      <c r="N3185" s="11"/>
    </row>
    <row r="3186" spans="8:14" x14ac:dyDescent="0.25">
      <c r="H3186" s="37"/>
      <c r="I3186" s="79"/>
      <c r="J3186" s="70"/>
      <c r="K3186" s="57"/>
      <c r="L3186" s="11"/>
      <c r="M3186" s="41"/>
      <c r="N3186" s="11"/>
    </row>
    <row r="3187" spans="8:14" x14ac:dyDescent="0.25">
      <c r="H3187" s="37"/>
      <c r="I3187" s="79"/>
      <c r="J3187" s="70"/>
      <c r="K3187" s="57"/>
      <c r="L3187" s="11"/>
      <c r="M3187" s="41"/>
      <c r="N3187" s="11"/>
    </row>
    <row r="3188" spans="8:14" x14ac:dyDescent="0.25">
      <c r="H3188" s="37"/>
      <c r="I3188" s="79"/>
      <c r="J3188" s="70"/>
      <c r="K3188" s="57"/>
      <c r="L3188" s="11"/>
      <c r="M3188" s="41"/>
      <c r="N3188" s="11"/>
    </row>
    <row r="3189" spans="8:14" x14ac:dyDescent="0.25">
      <c r="H3189" s="37"/>
      <c r="I3189" s="79"/>
      <c r="J3189" s="70"/>
      <c r="K3189" s="57"/>
      <c r="L3189" s="11"/>
      <c r="M3189" s="41"/>
      <c r="N3189" s="11"/>
    </row>
    <row r="3190" spans="8:14" x14ac:dyDescent="0.25">
      <c r="H3190" s="37"/>
      <c r="I3190" s="79"/>
      <c r="J3190" s="70"/>
      <c r="K3190" s="57"/>
      <c r="L3190" s="11"/>
      <c r="M3190" s="41"/>
      <c r="N3190" s="11"/>
    </row>
    <row r="3191" spans="8:14" x14ac:dyDescent="0.25">
      <c r="H3191" s="37"/>
      <c r="I3191" s="79"/>
      <c r="J3191" s="70"/>
      <c r="K3191" s="57"/>
      <c r="L3191" s="11"/>
      <c r="M3191" s="41"/>
      <c r="N3191" s="11"/>
    </row>
    <row r="3192" spans="8:14" x14ac:dyDescent="0.25">
      <c r="H3192" s="37"/>
      <c r="I3192" s="79"/>
      <c r="J3192" s="70"/>
      <c r="K3192" s="57"/>
      <c r="L3192" s="11"/>
      <c r="M3192" s="41"/>
      <c r="N3192" s="11"/>
    </row>
    <row r="3193" spans="8:14" x14ac:dyDescent="0.25">
      <c r="H3193" s="37"/>
      <c r="I3193" s="79"/>
      <c r="J3193" s="70"/>
      <c r="K3193" s="57"/>
      <c r="L3193" s="11"/>
      <c r="M3193" s="41"/>
      <c r="N3193" s="11"/>
    </row>
    <row r="3194" spans="8:14" x14ac:dyDescent="0.25">
      <c r="H3194" s="37"/>
      <c r="I3194" s="79"/>
      <c r="J3194" s="70"/>
      <c r="K3194" s="57"/>
      <c r="L3194" s="11"/>
      <c r="M3194" s="41"/>
      <c r="N3194" s="11"/>
    </row>
    <row r="3195" spans="8:14" x14ac:dyDescent="0.25">
      <c r="H3195" s="37"/>
      <c r="I3195" s="79"/>
      <c r="J3195" s="70"/>
      <c r="K3195" s="57"/>
      <c r="L3195" s="11"/>
      <c r="M3195" s="41"/>
      <c r="N3195" s="11"/>
    </row>
    <row r="3196" spans="8:14" x14ac:dyDescent="0.25">
      <c r="H3196" s="37"/>
      <c r="I3196" s="79"/>
      <c r="J3196" s="70"/>
      <c r="K3196" s="57"/>
      <c r="L3196" s="11"/>
      <c r="M3196" s="41"/>
      <c r="N3196" s="11"/>
    </row>
    <row r="3197" spans="8:14" x14ac:dyDescent="0.25">
      <c r="H3197" s="37"/>
      <c r="I3197" s="79"/>
      <c r="J3197" s="70"/>
      <c r="K3197" s="57"/>
      <c r="L3197" s="11"/>
      <c r="M3197" s="41"/>
      <c r="N3197" s="11"/>
    </row>
    <row r="3198" spans="8:14" x14ac:dyDescent="0.25">
      <c r="H3198" s="37"/>
      <c r="I3198" s="79"/>
      <c r="J3198" s="70"/>
      <c r="K3198" s="57"/>
      <c r="L3198" s="11"/>
      <c r="M3198" s="41"/>
      <c r="N3198" s="11"/>
    </row>
    <row r="3199" spans="8:14" x14ac:dyDescent="0.25">
      <c r="H3199" s="37"/>
      <c r="I3199" s="79"/>
      <c r="J3199" s="70"/>
      <c r="K3199" s="57"/>
      <c r="L3199" s="11"/>
      <c r="M3199" s="41"/>
      <c r="N3199" s="11"/>
    </row>
    <row r="3200" spans="8:14" x14ac:dyDescent="0.25">
      <c r="H3200" s="37"/>
      <c r="I3200" s="79"/>
      <c r="J3200" s="70"/>
      <c r="K3200" s="57"/>
      <c r="L3200" s="11"/>
      <c r="M3200" s="41"/>
      <c r="N3200" s="11"/>
    </row>
    <row r="3201" spans="8:14" x14ac:dyDescent="0.25">
      <c r="H3201" s="37"/>
      <c r="I3201" s="79"/>
      <c r="J3201" s="70"/>
      <c r="K3201" s="57"/>
      <c r="L3201" s="11"/>
      <c r="M3201" s="41"/>
      <c r="N3201" s="11"/>
    </row>
    <row r="3202" spans="8:14" x14ac:dyDescent="0.25">
      <c r="H3202" s="37"/>
      <c r="I3202" s="79"/>
      <c r="J3202" s="70"/>
      <c r="K3202" s="57"/>
      <c r="L3202" s="11"/>
      <c r="M3202" s="41"/>
      <c r="N3202" s="11"/>
    </row>
    <row r="3203" spans="8:14" x14ac:dyDescent="0.25">
      <c r="H3203" s="37"/>
      <c r="I3203" s="79"/>
      <c r="J3203" s="70"/>
      <c r="K3203" s="57"/>
      <c r="L3203" s="11"/>
      <c r="M3203" s="41"/>
      <c r="N3203" s="11"/>
    </row>
    <row r="3204" spans="8:14" x14ac:dyDescent="0.25">
      <c r="H3204" s="37"/>
      <c r="I3204" s="79"/>
      <c r="J3204" s="70"/>
      <c r="K3204" s="57"/>
      <c r="L3204" s="11"/>
      <c r="M3204" s="41"/>
      <c r="N3204" s="11"/>
    </row>
    <row r="3205" spans="8:14" x14ac:dyDescent="0.25">
      <c r="H3205" s="37"/>
      <c r="I3205" s="79"/>
      <c r="J3205" s="70"/>
      <c r="K3205" s="57"/>
      <c r="L3205" s="11"/>
      <c r="M3205" s="41"/>
      <c r="N3205" s="11"/>
    </row>
    <row r="3206" spans="8:14" x14ac:dyDescent="0.25">
      <c r="H3206" s="37"/>
      <c r="I3206" s="79"/>
      <c r="J3206" s="70"/>
      <c r="K3206" s="57"/>
      <c r="L3206" s="11"/>
      <c r="M3206" s="41"/>
      <c r="N3206" s="11"/>
    </row>
    <row r="3207" spans="8:14" x14ac:dyDescent="0.25">
      <c r="H3207" s="37"/>
      <c r="I3207" s="79"/>
      <c r="J3207" s="70"/>
      <c r="K3207" s="57"/>
      <c r="L3207" s="11"/>
      <c r="M3207" s="41"/>
      <c r="N3207" s="11"/>
    </row>
    <row r="3208" spans="8:14" x14ac:dyDescent="0.25">
      <c r="H3208" s="37"/>
      <c r="I3208" s="79"/>
      <c r="J3208" s="70"/>
      <c r="K3208" s="57"/>
      <c r="L3208" s="11"/>
      <c r="M3208" s="41"/>
      <c r="N3208" s="11"/>
    </row>
    <row r="3209" spans="8:14" x14ac:dyDescent="0.25">
      <c r="H3209" s="37"/>
      <c r="I3209" s="79"/>
      <c r="J3209" s="70"/>
      <c r="K3209" s="57"/>
      <c r="L3209" s="11"/>
      <c r="M3209" s="41"/>
      <c r="N3209" s="11"/>
    </row>
    <row r="3210" spans="8:14" x14ac:dyDescent="0.25">
      <c r="H3210" s="37"/>
      <c r="I3210" s="79"/>
      <c r="J3210" s="70"/>
      <c r="K3210" s="57"/>
      <c r="L3210" s="11"/>
      <c r="M3210" s="41"/>
      <c r="N3210" s="11"/>
    </row>
    <row r="3211" spans="8:14" x14ac:dyDescent="0.25">
      <c r="H3211" s="37"/>
      <c r="I3211" s="79"/>
      <c r="J3211" s="70"/>
      <c r="K3211" s="57"/>
      <c r="L3211" s="11"/>
      <c r="M3211" s="41"/>
      <c r="N3211" s="11"/>
    </row>
    <row r="3212" spans="8:14" x14ac:dyDescent="0.25">
      <c r="H3212" s="37"/>
      <c r="I3212" s="79"/>
      <c r="J3212" s="70"/>
      <c r="K3212" s="57"/>
      <c r="L3212" s="11"/>
      <c r="M3212" s="41"/>
      <c r="N3212" s="11"/>
    </row>
    <row r="3213" spans="8:14" x14ac:dyDescent="0.25">
      <c r="H3213" s="37"/>
      <c r="I3213" s="79"/>
      <c r="J3213" s="70"/>
      <c r="K3213" s="57"/>
      <c r="L3213" s="11"/>
      <c r="M3213" s="41"/>
      <c r="N3213" s="11"/>
    </row>
    <row r="3214" spans="8:14" x14ac:dyDescent="0.25">
      <c r="H3214" s="37"/>
      <c r="I3214" s="79"/>
      <c r="J3214" s="70"/>
      <c r="K3214" s="57"/>
      <c r="L3214" s="11"/>
      <c r="M3214" s="41"/>
      <c r="N3214" s="11"/>
    </row>
    <row r="3215" spans="8:14" x14ac:dyDescent="0.25">
      <c r="H3215" s="37"/>
      <c r="I3215" s="79"/>
      <c r="J3215" s="70"/>
      <c r="K3215" s="57"/>
      <c r="L3215" s="11"/>
      <c r="M3215" s="41"/>
      <c r="N3215" s="11"/>
    </row>
    <row r="3216" spans="8:14" x14ac:dyDescent="0.25">
      <c r="H3216" s="37"/>
      <c r="I3216" s="79"/>
      <c r="J3216" s="70"/>
      <c r="K3216" s="57"/>
      <c r="L3216" s="11"/>
      <c r="M3216" s="41"/>
      <c r="N3216" s="11"/>
    </row>
    <row r="3217" spans="8:14" x14ac:dyDescent="0.25">
      <c r="H3217" s="37"/>
      <c r="I3217" s="79"/>
      <c r="J3217" s="70"/>
      <c r="K3217" s="57"/>
      <c r="L3217" s="11"/>
      <c r="M3217" s="41"/>
      <c r="N3217" s="11"/>
    </row>
    <row r="3218" spans="8:14" x14ac:dyDescent="0.25">
      <c r="H3218" s="37"/>
      <c r="I3218" s="79"/>
      <c r="J3218" s="70"/>
      <c r="K3218" s="57"/>
      <c r="L3218" s="11"/>
      <c r="M3218" s="41"/>
      <c r="N3218" s="11"/>
    </row>
    <row r="3219" spans="8:14" x14ac:dyDescent="0.25">
      <c r="H3219" s="37"/>
      <c r="I3219" s="79"/>
      <c r="J3219" s="70"/>
      <c r="K3219" s="57"/>
      <c r="L3219" s="11"/>
      <c r="M3219" s="41"/>
      <c r="N3219" s="11"/>
    </row>
    <row r="3220" spans="8:14" x14ac:dyDescent="0.25">
      <c r="H3220" s="37"/>
      <c r="I3220" s="79"/>
      <c r="J3220" s="70"/>
      <c r="K3220" s="57"/>
      <c r="L3220" s="11"/>
      <c r="M3220" s="41"/>
      <c r="N3220" s="11"/>
    </row>
    <row r="3221" spans="8:14" x14ac:dyDescent="0.25">
      <c r="H3221" s="37"/>
      <c r="I3221" s="79"/>
      <c r="J3221" s="70"/>
      <c r="K3221" s="57"/>
      <c r="L3221" s="11"/>
      <c r="M3221" s="41"/>
      <c r="N3221" s="11"/>
    </row>
    <row r="3222" spans="8:14" x14ac:dyDescent="0.25">
      <c r="H3222" s="37"/>
      <c r="I3222" s="79"/>
      <c r="J3222" s="70"/>
      <c r="K3222" s="57"/>
      <c r="L3222" s="11"/>
      <c r="M3222" s="41"/>
      <c r="N3222" s="11"/>
    </row>
    <row r="3223" spans="8:14" x14ac:dyDescent="0.25">
      <c r="H3223" s="37"/>
      <c r="I3223" s="79"/>
      <c r="J3223" s="70"/>
      <c r="K3223" s="57"/>
      <c r="L3223" s="11"/>
      <c r="M3223" s="41"/>
      <c r="N3223" s="11"/>
    </row>
    <row r="3224" spans="8:14" x14ac:dyDescent="0.25">
      <c r="H3224" s="37"/>
      <c r="I3224" s="79"/>
      <c r="J3224" s="70"/>
      <c r="K3224" s="57"/>
      <c r="L3224" s="11"/>
      <c r="M3224" s="41"/>
      <c r="N3224" s="11"/>
    </row>
    <row r="3225" spans="8:14" x14ac:dyDescent="0.25">
      <c r="H3225" s="37"/>
      <c r="I3225" s="79"/>
      <c r="J3225" s="70"/>
      <c r="K3225" s="57"/>
      <c r="L3225" s="11"/>
      <c r="M3225" s="41"/>
      <c r="N3225" s="11"/>
    </row>
    <row r="3226" spans="8:14" x14ac:dyDescent="0.25">
      <c r="H3226" s="37"/>
      <c r="I3226" s="79"/>
      <c r="J3226" s="70"/>
      <c r="K3226" s="57"/>
      <c r="L3226" s="11"/>
      <c r="M3226" s="41"/>
      <c r="N3226" s="11"/>
    </row>
    <row r="3227" spans="8:14" x14ac:dyDescent="0.25">
      <c r="H3227" s="37"/>
      <c r="I3227" s="79"/>
      <c r="J3227" s="70"/>
      <c r="K3227" s="57"/>
      <c r="L3227" s="11"/>
      <c r="M3227" s="41"/>
      <c r="N3227" s="11"/>
    </row>
    <row r="3228" spans="8:14" x14ac:dyDescent="0.25">
      <c r="H3228" s="37"/>
      <c r="I3228" s="79"/>
      <c r="J3228" s="70"/>
      <c r="K3228" s="57"/>
      <c r="L3228" s="11"/>
      <c r="M3228" s="41"/>
      <c r="N3228" s="11"/>
    </row>
    <row r="3229" spans="8:14" x14ac:dyDescent="0.25">
      <c r="H3229" s="37"/>
      <c r="I3229" s="79"/>
      <c r="J3229" s="70"/>
      <c r="K3229" s="57"/>
      <c r="L3229" s="11"/>
      <c r="M3229" s="41"/>
      <c r="N3229" s="11"/>
    </row>
    <row r="3230" spans="8:14" x14ac:dyDescent="0.25">
      <c r="H3230" s="37"/>
      <c r="I3230" s="79"/>
      <c r="J3230" s="70"/>
      <c r="K3230" s="57"/>
      <c r="L3230" s="11"/>
      <c r="M3230" s="41"/>
      <c r="N3230" s="11"/>
    </row>
    <row r="3231" spans="8:14" x14ac:dyDescent="0.25">
      <c r="H3231" s="37"/>
      <c r="I3231" s="79"/>
      <c r="J3231" s="70"/>
      <c r="K3231" s="57"/>
      <c r="L3231" s="11"/>
      <c r="M3231" s="41"/>
      <c r="N3231" s="11"/>
    </row>
    <row r="3232" spans="8:14" x14ac:dyDescent="0.25">
      <c r="H3232" s="37"/>
      <c r="I3232" s="79"/>
      <c r="J3232" s="70"/>
      <c r="K3232" s="57"/>
      <c r="L3232" s="11"/>
      <c r="M3232" s="41"/>
      <c r="N3232" s="11"/>
    </row>
    <row r="3233" spans="8:14" x14ac:dyDescent="0.25">
      <c r="H3233" s="37"/>
      <c r="I3233" s="79"/>
      <c r="J3233" s="70"/>
      <c r="K3233" s="57"/>
      <c r="L3233" s="11"/>
      <c r="M3233" s="41"/>
      <c r="N3233" s="11"/>
    </row>
    <row r="3234" spans="8:14" x14ac:dyDescent="0.25">
      <c r="H3234" s="37"/>
      <c r="I3234" s="79"/>
      <c r="J3234" s="70"/>
      <c r="K3234" s="57"/>
      <c r="L3234" s="11"/>
      <c r="M3234" s="41"/>
      <c r="N3234" s="11"/>
    </row>
    <row r="3235" spans="8:14" x14ac:dyDescent="0.25">
      <c r="H3235" s="37"/>
      <c r="I3235" s="79"/>
      <c r="J3235" s="70"/>
      <c r="K3235" s="57"/>
      <c r="L3235" s="11"/>
      <c r="M3235" s="41"/>
      <c r="N3235" s="11"/>
    </row>
    <row r="3236" spans="8:14" x14ac:dyDescent="0.25">
      <c r="H3236" s="37"/>
      <c r="I3236" s="79"/>
      <c r="J3236" s="70"/>
      <c r="K3236" s="57"/>
      <c r="L3236" s="11"/>
      <c r="M3236" s="41"/>
      <c r="N3236" s="11"/>
    </row>
    <row r="3237" spans="8:14" x14ac:dyDescent="0.25">
      <c r="H3237" s="37"/>
      <c r="I3237" s="79"/>
      <c r="J3237" s="70"/>
      <c r="K3237" s="57"/>
      <c r="L3237" s="11"/>
      <c r="M3237" s="41"/>
      <c r="N3237" s="11"/>
    </row>
    <row r="3238" spans="8:14" x14ac:dyDescent="0.25">
      <c r="H3238" s="37"/>
      <c r="I3238" s="79"/>
      <c r="J3238" s="70"/>
      <c r="K3238" s="57"/>
      <c r="L3238" s="11"/>
      <c r="M3238" s="41"/>
      <c r="N3238" s="11"/>
    </row>
    <row r="3239" spans="8:14" x14ac:dyDescent="0.25">
      <c r="H3239" s="37"/>
      <c r="I3239" s="79"/>
      <c r="J3239" s="70"/>
      <c r="K3239" s="57"/>
      <c r="L3239" s="11"/>
      <c r="M3239" s="41"/>
      <c r="N3239" s="11"/>
    </row>
    <row r="3240" spans="8:14" x14ac:dyDescent="0.25">
      <c r="H3240" s="37"/>
      <c r="I3240" s="79"/>
      <c r="J3240" s="70"/>
      <c r="K3240" s="57"/>
      <c r="L3240" s="11"/>
      <c r="M3240" s="41"/>
      <c r="N3240" s="11"/>
    </row>
    <row r="3241" spans="8:14" x14ac:dyDescent="0.25">
      <c r="H3241" s="37"/>
      <c r="I3241" s="79"/>
      <c r="J3241" s="70"/>
      <c r="K3241" s="57"/>
      <c r="L3241" s="11"/>
      <c r="M3241" s="41"/>
      <c r="N3241" s="11"/>
    </row>
    <row r="3242" spans="8:14" x14ac:dyDescent="0.25">
      <c r="H3242" s="37"/>
      <c r="I3242" s="79"/>
      <c r="J3242" s="70"/>
      <c r="K3242" s="57"/>
      <c r="L3242" s="11"/>
      <c r="M3242" s="41"/>
      <c r="N3242" s="11"/>
    </row>
    <row r="3243" spans="8:14" x14ac:dyDescent="0.25">
      <c r="H3243" s="37"/>
      <c r="I3243" s="79"/>
      <c r="J3243" s="70"/>
      <c r="K3243" s="57"/>
      <c r="L3243" s="11"/>
      <c r="M3243" s="41"/>
      <c r="N3243" s="11"/>
    </row>
    <row r="3244" spans="8:14" x14ac:dyDescent="0.25">
      <c r="H3244" s="37"/>
      <c r="I3244" s="79"/>
      <c r="J3244" s="70"/>
      <c r="K3244" s="57"/>
      <c r="L3244" s="11"/>
      <c r="M3244" s="41"/>
      <c r="N3244" s="11"/>
    </row>
    <row r="3245" spans="8:14" x14ac:dyDescent="0.25">
      <c r="H3245" s="37"/>
      <c r="I3245" s="79"/>
      <c r="J3245" s="70"/>
      <c r="K3245" s="57"/>
      <c r="L3245" s="11"/>
      <c r="M3245" s="41"/>
      <c r="N3245" s="11"/>
    </row>
    <row r="3246" spans="8:14" x14ac:dyDescent="0.25">
      <c r="H3246" s="37"/>
      <c r="I3246" s="79"/>
      <c r="J3246" s="70"/>
      <c r="K3246" s="57"/>
      <c r="L3246" s="11"/>
      <c r="M3246" s="41"/>
      <c r="N3246" s="11"/>
    </row>
    <row r="3247" spans="8:14" x14ac:dyDescent="0.25">
      <c r="H3247" s="37"/>
      <c r="I3247" s="79"/>
      <c r="J3247" s="70"/>
      <c r="K3247" s="57"/>
      <c r="L3247" s="11"/>
      <c r="M3247" s="41"/>
      <c r="N3247" s="11"/>
    </row>
    <row r="3248" spans="8:14" x14ac:dyDescent="0.25">
      <c r="H3248" s="37"/>
      <c r="I3248" s="79"/>
      <c r="J3248" s="70"/>
      <c r="K3248" s="57"/>
      <c r="L3248" s="11"/>
      <c r="M3248" s="41"/>
      <c r="N3248" s="11"/>
    </row>
    <row r="3249" spans="8:14" x14ac:dyDescent="0.25">
      <c r="H3249" s="37"/>
      <c r="I3249" s="79"/>
      <c r="J3249" s="70"/>
      <c r="K3249" s="57"/>
      <c r="L3249" s="11"/>
      <c r="M3249" s="41"/>
      <c r="N3249" s="11"/>
    </row>
    <row r="3250" spans="8:14" x14ac:dyDescent="0.25">
      <c r="H3250" s="37"/>
      <c r="I3250" s="79"/>
      <c r="J3250" s="70"/>
      <c r="K3250" s="57"/>
      <c r="L3250" s="11"/>
      <c r="M3250" s="41"/>
      <c r="N3250" s="11"/>
    </row>
    <row r="3251" spans="8:14" x14ac:dyDescent="0.25">
      <c r="H3251" s="37"/>
      <c r="I3251" s="79"/>
      <c r="J3251" s="70"/>
      <c r="K3251" s="57"/>
      <c r="L3251" s="11"/>
      <c r="M3251" s="41"/>
      <c r="N3251" s="11"/>
    </row>
    <row r="3252" spans="8:14" x14ac:dyDescent="0.25">
      <c r="H3252" s="37"/>
      <c r="I3252" s="79"/>
      <c r="J3252" s="70"/>
      <c r="K3252" s="57"/>
      <c r="L3252" s="11"/>
      <c r="M3252" s="41"/>
      <c r="N3252" s="11"/>
    </row>
    <row r="3253" spans="8:14" x14ac:dyDescent="0.25">
      <c r="H3253" s="37"/>
      <c r="I3253" s="79"/>
      <c r="J3253" s="70"/>
      <c r="K3253" s="57"/>
      <c r="L3253" s="11"/>
      <c r="M3253" s="41"/>
      <c r="N3253" s="11"/>
    </row>
    <row r="3254" spans="8:14" x14ac:dyDescent="0.25">
      <c r="H3254" s="37"/>
      <c r="I3254" s="79"/>
      <c r="J3254" s="70"/>
      <c r="K3254" s="57"/>
      <c r="L3254" s="11"/>
      <c r="M3254" s="41"/>
      <c r="N3254" s="11"/>
    </row>
    <row r="3255" spans="8:14" x14ac:dyDescent="0.25">
      <c r="H3255" s="37"/>
      <c r="I3255" s="79"/>
      <c r="J3255" s="70"/>
      <c r="K3255" s="57"/>
      <c r="L3255" s="11"/>
      <c r="M3255" s="41"/>
      <c r="N3255" s="11"/>
    </row>
    <row r="3256" spans="8:14" x14ac:dyDescent="0.25">
      <c r="H3256" s="37"/>
      <c r="I3256" s="79"/>
      <c r="J3256" s="70"/>
      <c r="K3256" s="57"/>
      <c r="L3256" s="11"/>
      <c r="M3256" s="41"/>
      <c r="N3256" s="11"/>
    </row>
    <row r="3257" spans="8:14" x14ac:dyDescent="0.25">
      <c r="H3257" s="37"/>
      <c r="I3257" s="79"/>
      <c r="J3257" s="70"/>
      <c r="K3257" s="57"/>
      <c r="L3257" s="11"/>
      <c r="M3257" s="41"/>
      <c r="N3257" s="11"/>
    </row>
    <row r="3258" spans="8:14" x14ac:dyDescent="0.25">
      <c r="H3258" s="37"/>
      <c r="I3258" s="79"/>
      <c r="J3258" s="70"/>
      <c r="K3258" s="57"/>
      <c r="L3258" s="11"/>
      <c r="M3258" s="41"/>
      <c r="N3258" s="11"/>
    </row>
    <row r="3259" spans="8:14" x14ac:dyDescent="0.25">
      <c r="H3259" s="37"/>
      <c r="I3259" s="79"/>
      <c r="J3259" s="70"/>
      <c r="K3259" s="57"/>
      <c r="L3259" s="11"/>
      <c r="M3259" s="41"/>
      <c r="N3259" s="11"/>
    </row>
    <row r="3260" spans="8:14" x14ac:dyDescent="0.25">
      <c r="H3260" s="37"/>
      <c r="I3260" s="79"/>
      <c r="J3260" s="70"/>
      <c r="K3260" s="57"/>
      <c r="L3260" s="11"/>
      <c r="M3260" s="41"/>
      <c r="N3260" s="11"/>
    </row>
    <row r="3261" spans="8:14" x14ac:dyDescent="0.25">
      <c r="H3261" s="37"/>
      <c r="I3261" s="79"/>
      <c r="J3261" s="70"/>
      <c r="K3261" s="57"/>
      <c r="L3261" s="11"/>
      <c r="M3261" s="41"/>
      <c r="N3261" s="11"/>
    </row>
    <row r="3262" spans="8:14" x14ac:dyDescent="0.25">
      <c r="H3262" s="37"/>
      <c r="I3262" s="79"/>
      <c r="J3262" s="70"/>
      <c r="K3262" s="57"/>
      <c r="L3262" s="11"/>
      <c r="M3262" s="41"/>
      <c r="N3262" s="11"/>
    </row>
    <row r="3263" spans="8:14" x14ac:dyDescent="0.25">
      <c r="H3263" s="37"/>
      <c r="I3263" s="79"/>
      <c r="J3263" s="70"/>
      <c r="K3263" s="57"/>
      <c r="L3263" s="11"/>
      <c r="M3263" s="41"/>
      <c r="N3263" s="11"/>
    </row>
    <row r="3264" spans="8:14" x14ac:dyDescent="0.25">
      <c r="H3264" s="37"/>
      <c r="I3264" s="79"/>
      <c r="J3264" s="70"/>
      <c r="K3264" s="57"/>
      <c r="L3264" s="11"/>
      <c r="M3264" s="41"/>
      <c r="N3264" s="11"/>
    </row>
    <row r="3265" spans="8:14" x14ac:dyDescent="0.25">
      <c r="H3265" s="37"/>
      <c r="I3265" s="79"/>
      <c r="J3265" s="70"/>
      <c r="K3265" s="57"/>
      <c r="L3265" s="11"/>
      <c r="M3265" s="41"/>
      <c r="N3265" s="11"/>
    </row>
    <row r="3266" spans="8:14" x14ac:dyDescent="0.25">
      <c r="H3266" s="37"/>
      <c r="I3266" s="79"/>
      <c r="J3266" s="70"/>
      <c r="K3266" s="57"/>
      <c r="L3266" s="11"/>
      <c r="M3266" s="41"/>
      <c r="N3266" s="11"/>
    </row>
    <row r="3267" spans="8:14" x14ac:dyDescent="0.25">
      <c r="H3267" s="37"/>
      <c r="I3267" s="79"/>
      <c r="J3267" s="70"/>
      <c r="K3267" s="57"/>
      <c r="L3267" s="11"/>
      <c r="M3267" s="41"/>
      <c r="N3267" s="11"/>
    </row>
    <row r="3268" spans="8:14" x14ac:dyDescent="0.25">
      <c r="H3268" s="37"/>
      <c r="I3268" s="79"/>
      <c r="J3268" s="70"/>
      <c r="K3268" s="57"/>
      <c r="L3268" s="11"/>
      <c r="M3268" s="41"/>
      <c r="N3268" s="11"/>
    </row>
    <row r="3269" spans="8:14" x14ac:dyDescent="0.25">
      <c r="H3269" s="37"/>
      <c r="I3269" s="79"/>
      <c r="J3269" s="70"/>
      <c r="K3269" s="57"/>
      <c r="L3269" s="11"/>
      <c r="M3269" s="41"/>
      <c r="N3269" s="11"/>
    </row>
    <row r="3270" spans="8:14" x14ac:dyDescent="0.25">
      <c r="H3270" s="37"/>
      <c r="I3270" s="79"/>
      <c r="J3270" s="70"/>
      <c r="K3270" s="57"/>
      <c r="L3270" s="11"/>
      <c r="M3270" s="41"/>
      <c r="N3270" s="11"/>
    </row>
    <row r="3271" spans="8:14" x14ac:dyDescent="0.25">
      <c r="H3271" s="37"/>
      <c r="I3271" s="79"/>
      <c r="J3271" s="70"/>
      <c r="K3271" s="57"/>
      <c r="L3271" s="11"/>
      <c r="M3271" s="41"/>
      <c r="N3271" s="11"/>
    </row>
    <row r="3272" spans="8:14" x14ac:dyDescent="0.25">
      <c r="H3272" s="37"/>
      <c r="I3272" s="79"/>
      <c r="J3272" s="70"/>
      <c r="K3272" s="57"/>
      <c r="L3272" s="11"/>
      <c r="M3272" s="41"/>
      <c r="N3272" s="11"/>
    </row>
    <row r="3273" spans="8:14" x14ac:dyDescent="0.25">
      <c r="H3273" s="37"/>
      <c r="I3273" s="79"/>
      <c r="J3273" s="70"/>
      <c r="K3273" s="57"/>
      <c r="L3273" s="11"/>
      <c r="M3273" s="41"/>
      <c r="N3273" s="11"/>
    </row>
    <row r="3274" spans="8:14" x14ac:dyDescent="0.25">
      <c r="H3274" s="37"/>
      <c r="I3274" s="79"/>
      <c r="J3274" s="70"/>
      <c r="K3274" s="57"/>
      <c r="L3274" s="11"/>
      <c r="M3274" s="41"/>
      <c r="N3274" s="11"/>
    </row>
    <row r="3275" spans="8:14" x14ac:dyDescent="0.25">
      <c r="H3275" s="37"/>
      <c r="I3275" s="79"/>
      <c r="J3275" s="70"/>
      <c r="K3275" s="57"/>
      <c r="L3275" s="11"/>
      <c r="M3275" s="41"/>
      <c r="N3275" s="11"/>
    </row>
    <row r="3276" spans="8:14" x14ac:dyDescent="0.25">
      <c r="H3276" s="37"/>
      <c r="I3276" s="79"/>
      <c r="J3276" s="70"/>
      <c r="K3276" s="57"/>
      <c r="L3276" s="11"/>
      <c r="M3276" s="41"/>
      <c r="N3276" s="11"/>
    </row>
    <row r="3277" spans="8:14" x14ac:dyDescent="0.25">
      <c r="H3277" s="37"/>
      <c r="I3277" s="79"/>
      <c r="J3277" s="70"/>
      <c r="K3277" s="57"/>
      <c r="L3277" s="11"/>
      <c r="M3277" s="41"/>
      <c r="N3277" s="11"/>
    </row>
    <row r="3278" spans="8:14" x14ac:dyDescent="0.25">
      <c r="H3278" s="37"/>
      <c r="I3278" s="79"/>
      <c r="J3278" s="70"/>
      <c r="K3278" s="57"/>
      <c r="L3278" s="11"/>
      <c r="M3278" s="41"/>
      <c r="N3278" s="11"/>
    </row>
    <row r="3279" spans="8:14" x14ac:dyDescent="0.25">
      <c r="H3279" s="37"/>
      <c r="I3279" s="79"/>
      <c r="J3279" s="70"/>
      <c r="K3279" s="57"/>
      <c r="L3279" s="11"/>
      <c r="M3279" s="41"/>
      <c r="N3279" s="11"/>
    </row>
    <row r="3280" spans="8:14" x14ac:dyDescent="0.25">
      <c r="H3280" s="37"/>
      <c r="I3280" s="79"/>
      <c r="J3280" s="70"/>
      <c r="K3280" s="57"/>
      <c r="L3280" s="11"/>
      <c r="M3280" s="41"/>
      <c r="N3280" s="11"/>
    </row>
    <row r="3281" spans="8:14" x14ac:dyDescent="0.25">
      <c r="H3281" s="37"/>
      <c r="I3281" s="79"/>
      <c r="J3281" s="70"/>
      <c r="K3281" s="57"/>
      <c r="L3281" s="11"/>
      <c r="M3281" s="41"/>
      <c r="N3281" s="11"/>
    </row>
    <row r="3282" spans="8:14" x14ac:dyDescent="0.25">
      <c r="H3282" s="37"/>
      <c r="I3282" s="79"/>
      <c r="J3282" s="70"/>
      <c r="K3282" s="57"/>
      <c r="L3282" s="11"/>
      <c r="M3282" s="41"/>
      <c r="N3282" s="11"/>
    </row>
    <row r="3283" spans="8:14" x14ac:dyDescent="0.25">
      <c r="H3283" s="37"/>
      <c r="I3283" s="79"/>
      <c r="J3283" s="70"/>
      <c r="K3283" s="57"/>
      <c r="L3283" s="11"/>
      <c r="M3283" s="41"/>
      <c r="N3283" s="11"/>
    </row>
    <row r="3284" spans="8:14" x14ac:dyDescent="0.25">
      <c r="H3284" s="37"/>
      <c r="I3284" s="79"/>
      <c r="J3284" s="70"/>
      <c r="K3284" s="57"/>
      <c r="L3284" s="11"/>
      <c r="M3284" s="41"/>
      <c r="N3284" s="11"/>
    </row>
    <row r="3285" spans="8:14" x14ac:dyDescent="0.25">
      <c r="H3285" s="37"/>
      <c r="I3285" s="79"/>
      <c r="J3285" s="70"/>
      <c r="K3285" s="57"/>
      <c r="L3285" s="11"/>
      <c r="M3285" s="41"/>
      <c r="N3285" s="11"/>
    </row>
    <row r="3286" spans="8:14" x14ac:dyDescent="0.25">
      <c r="H3286" s="37"/>
      <c r="I3286" s="79"/>
      <c r="J3286" s="70"/>
      <c r="K3286" s="57"/>
      <c r="L3286" s="11"/>
      <c r="M3286" s="41"/>
      <c r="N3286" s="11"/>
    </row>
    <row r="3287" spans="8:14" x14ac:dyDescent="0.25">
      <c r="H3287" s="37"/>
      <c r="I3287" s="79"/>
      <c r="J3287" s="70"/>
      <c r="K3287" s="57"/>
      <c r="L3287" s="11"/>
      <c r="M3287" s="41"/>
      <c r="N3287" s="11"/>
    </row>
    <row r="3288" spans="8:14" x14ac:dyDescent="0.25">
      <c r="H3288" s="37"/>
      <c r="I3288" s="79"/>
      <c r="J3288" s="70"/>
      <c r="K3288" s="57"/>
      <c r="L3288" s="11"/>
      <c r="M3288" s="41"/>
      <c r="N3288" s="11"/>
    </row>
    <row r="3289" spans="8:14" x14ac:dyDescent="0.25">
      <c r="H3289" s="37"/>
      <c r="I3289" s="79"/>
      <c r="J3289" s="70"/>
      <c r="K3289" s="57"/>
      <c r="L3289" s="11"/>
      <c r="M3289" s="41"/>
      <c r="N3289" s="11"/>
    </row>
    <row r="3290" spans="8:14" x14ac:dyDescent="0.25">
      <c r="H3290" s="37"/>
      <c r="I3290" s="79"/>
      <c r="J3290" s="70"/>
      <c r="K3290" s="57"/>
      <c r="L3290" s="11"/>
      <c r="M3290" s="41"/>
      <c r="N3290" s="11"/>
    </row>
    <row r="3291" spans="8:14" x14ac:dyDescent="0.25">
      <c r="H3291" s="37"/>
      <c r="I3291" s="79"/>
      <c r="J3291" s="70"/>
      <c r="K3291" s="57"/>
      <c r="L3291" s="11"/>
      <c r="M3291" s="41"/>
      <c r="N3291" s="11"/>
    </row>
    <row r="3292" spans="8:14" x14ac:dyDescent="0.25">
      <c r="H3292" s="37"/>
      <c r="I3292" s="79"/>
      <c r="J3292" s="70"/>
      <c r="K3292" s="57"/>
      <c r="L3292" s="11"/>
      <c r="M3292" s="41"/>
      <c r="N3292" s="11"/>
    </row>
    <row r="3293" spans="8:14" x14ac:dyDescent="0.25">
      <c r="H3293" s="37"/>
      <c r="I3293" s="79"/>
      <c r="J3293" s="70"/>
      <c r="K3293" s="57"/>
      <c r="L3293" s="11"/>
      <c r="M3293" s="41"/>
      <c r="N3293" s="11"/>
    </row>
    <row r="3294" spans="8:14" x14ac:dyDescent="0.25">
      <c r="H3294" s="37"/>
      <c r="I3294" s="79"/>
      <c r="J3294" s="70"/>
      <c r="K3294" s="57"/>
      <c r="L3294" s="11"/>
      <c r="M3294" s="41"/>
      <c r="N3294" s="11"/>
    </row>
    <row r="3295" spans="8:14" x14ac:dyDescent="0.25">
      <c r="H3295" s="37"/>
      <c r="I3295" s="79"/>
      <c r="J3295" s="70"/>
      <c r="K3295" s="57"/>
      <c r="L3295" s="11"/>
      <c r="M3295" s="41"/>
      <c r="N3295" s="11"/>
    </row>
    <row r="3296" spans="8:14" x14ac:dyDescent="0.25">
      <c r="H3296" s="37"/>
      <c r="I3296" s="79"/>
      <c r="J3296" s="70"/>
      <c r="K3296" s="57"/>
      <c r="L3296" s="11"/>
      <c r="M3296" s="41"/>
      <c r="N3296" s="11"/>
    </row>
    <row r="3297" spans="8:14" x14ac:dyDescent="0.25">
      <c r="H3297" s="37"/>
      <c r="I3297" s="79"/>
      <c r="J3297" s="70"/>
      <c r="K3297" s="57"/>
      <c r="L3297" s="11"/>
      <c r="M3297" s="41"/>
      <c r="N3297" s="11"/>
    </row>
    <row r="3298" spans="8:14" x14ac:dyDescent="0.25">
      <c r="H3298" s="37"/>
      <c r="I3298" s="79"/>
      <c r="J3298" s="70"/>
      <c r="K3298" s="57"/>
      <c r="L3298" s="11"/>
      <c r="M3298" s="41"/>
      <c r="N3298" s="11"/>
    </row>
    <row r="3299" spans="8:14" x14ac:dyDescent="0.25">
      <c r="H3299" s="37"/>
      <c r="I3299" s="79"/>
      <c r="J3299" s="70"/>
      <c r="K3299" s="57"/>
      <c r="L3299" s="11"/>
      <c r="M3299" s="41"/>
      <c r="N3299" s="11"/>
    </row>
    <row r="3300" spans="8:14" x14ac:dyDescent="0.25">
      <c r="H3300" s="37"/>
      <c r="I3300" s="79"/>
      <c r="J3300" s="70"/>
      <c r="K3300" s="57"/>
      <c r="L3300" s="11"/>
      <c r="M3300" s="41"/>
      <c r="N3300" s="11"/>
    </row>
    <row r="3301" spans="8:14" x14ac:dyDescent="0.25">
      <c r="H3301" s="37"/>
      <c r="I3301" s="79"/>
      <c r="J3301" s="70"/>
      <c r="K3301" s="57"/>
      <c r="L3301" s="11"/>
      <c r="M3301" s="41"/>
      <c r="N3301" s="11"/>
    </row>
    <row r="3302" spans="8:14" x14ac:dyDescent="0.25">
      <c r="H3302" s="37"/>
      <c r="I3302" s="79"/>
      <c r="J3302" s="70"/>
      <c r="K3302" s="57"/>
      <c r="L3302" s="11"/>
      <c r="M3302" s="41"/>
      <c r="N3302" s="11"/>
    </row>
    <row r="3303" spans="8:14" x14ac:dyDescent="0.25">
      <c r="H3303" s="37"/>
      <c r="I3303" s="79"/>
      <c r="J3303" s="70"/>
      <c r="K3303" s="57"/>
      <c r="L3303" s="11"/>
      <c r="M3303" s="41"/>
      <c r="N3303" s="11"/>
    </row>
    <row r="3304" spans="8:14" x14ac:dyDescent="0.25">
      <c r="H3304" s="37"/>
      <c r="I3304" s="79"/>
      <c r="J3304" s="70"/>
      <c r="K3304" s="57"/>
      <c r="L3304" s="11"/>
      <c r="M3304" s="41"/>
      <c r="N3304" s="11"/>
    </row>
    <row r="3305" spans="8:14" x14ac:dyDescent="0.25">
      <c r="H3305" s="37"/>
      <c r="I3305" s="79"/>
      <c r="J3305" s="70"/>
      <c r="K3305" s="57"/>
      <c r="L3305" s="11"/>
      <c r="M3305" s="41"/>
      <c r="N3305" s="11"/>
    </row>
    <row r="3306" spans="8:14" x14ac:dyDescent="0.25">
      <c r="H3306" s="37"/>
      <c r="I3306" s="79"/>
      <c r="J3306" s="70"/>
      <c r="K3306" s="57"/>
      <c r="L3306" s="11"/>
      <c r="M3306" s="41"/>
      <c r="N3306" s="11"/>
    </row>
    <row r="3307" spans="8:14" x14ac:dyDescent="0.25">
      <c r="H3307" s="37"/>
      <c r="I3307" s="79"/>
      <c r="J3307" s="70"/>
      <c r="K3307" s="57"/>
      <c r="L3307" s="11"/>
      <c r="M3307" s="41"/>
      <c r="N3307" s="11"/>
    </row>
    <row r="3308" spans="8:14" x14ac:dyDescent="0.25">
      <c r="H3308" s="37"/>
      <c r="I3308" s="79"/>
      <c r="J3308" s="70"/>
      <c r="K3308" s="57"/>
      <c r="L3308" s="11"/>
      <c r="M3308" s="41"/>
      <c r="N3308" s="11"/>
    </row>
    <row r="3309" spans="8:14" x14ac:dyDescent="0.25">
      <c r="H3309" s="37"/>
      <c r="I3309" s="79"/>
      <c r="J3309" s="70"/>
      <c r="K3309" s="57"/>
      <c r="L3309" s="11"/>
      <c r="M3309" s="41"/>
      <c r="N3309" s="11"/>
    </row>
    <row r="3310" spans="8:14" x14ac:dyDescent="0.25">
      <c r="H3310" s="37"/>
      <c r="I3310" s="79"/>
      <c r="J3310" s="70"/>
      <c r="K3310" s="57"/>
      <c r="L3310" s="11"/>
      <c r="M3310" s="41"/>
      <c r="N3310" s="11"/>
    </row>
    <row r="3311" spans="8:14" x14ac:dyDescent="0.25">
      <c r="H3311" s="37"/>
      <c r="I3311" s="79"/>
      <c r="J3311" s="70"/>
      <c r="K3311" s="57"/>
      <c r="L3311" s="11"/>
      <c r="M3311" s="41"/>
      <c r="N3311" s="11"/>
    </row>
    <row r="3312" spans="8:14" x14ac:dyDescent="0.25">
      <c r="H3312" s="37"/>
      <c r="I3312" s="79"/>
      <c r="J3312" s="70"/>
      <c r="K3312" s="57"/>
      <c r="L3312" s="11"/>
      <c r="M3312" s="41"/>
      <c r="N3312" s="11"/>
    </row>
    <row r="3313" spans="8:14" x14ac:dyDescent="0.25">
      <c r="H3313" s="37"/>
      <c r="I3313" s="79"/>
      <c r="J3313" s="70"/>
      <c r="K3313" s="57"/>
      <c r="L3313" s="11"/>
      <c r="M3313" s="41"/>
      <c r="N3313" s="11"/>
    </row>
    <row r="3314" spans="8:14" x14ac:dyDescent="0.25">
      <c r="H3314" s="37"/>
      <c r="I3314" s="79"/>
      <c r="J3314" s="70"/>
      <c r="K3314" s="57"/>
      <c r="L3314" s="11"/>
      <c r="M3314" s="41"/>
      <c r="N3314" s="11"/>
    </row>
    <row r="3315" spans="8:14" x14ac:dyDescent="0.25">
      <c r="H3315" s="37"/>
      <c r="I3315" s="79"/>
      <c r="J3315" s="70"/>
      <c r="K3315" s="57"/>
      <c r="L3315" s="11"/>
      <c r="M3315" s="41"/>
      <c r="N3315" s="11"/>
    </row>
    <row r="3316" spans="8:14" x14ac:dyDescent="0.25">
      <c r="H3316" s="37"/>
      <c r="I3316" s="79"/>
      <c r="J3316" s="70"/>
      <c r="K3316" s="57"/>
      <c r="L3316" s="11"/>
      <c r="M3316" s="41"/>
      <c r="N3316" s="11"/>
    </row>
    <row r="3317" spans="8:14" x14ac:dyDescent="0.25">
      <c r="H3317" s="37"/>
      <c r="I3317" s="79"/>
      <c r="J3317" s="70"/>
      <c r="K3317" s="57"/>
      <c r="L3317" s="11"/>
      <c r="M3317" s="41"/>
      <c r="N3317" s="11"/>
    </row>
    <row r="3318" spans="8:14" x14ac:dyDescent="0.25">
      <c r="H3318" s="37"/>
      <c r="I3318" s="79"/>
      <c r="J3318" s="70"/>
      <c r="K3318" s="57"/>
      <c r="L3318" s="11"/>
      <c r="M3318" s="41"/>
      <c r="N3318" s="11"/>
    </row>
    <row r="3319" spans="8:14" x14ac:dyDescent="0.25">
      <c r="H3319" s="37"/>
      <c r="I3319" s="79"/>
      <c r="J3319" s="70"/>
      <c r="K3319" s="57"/>
      <c r="L3319" s="11"/>
      <c r="M3319" s="41"/>
      <c r="N3319" s="11"/>
    </row>
    <row r="3320" spans="8:14" x14ac:dyDescent="0.25">
      <c r="H3320" s="37"/>
      <c r="I3320" s="79"/>
      <c r="J3320" s="70"/>
      <c r="K3320" s="57"/>
      <c r="L3320" s="11"/>
      <c r="M3320" s="41"/>
      <c r="N3320" s="11"/>
    </row>
    <row r="3321" spans="8:14" x14ac:dyDescent="0.25">
      <c r="H3321" s="37"/>
      <c r="I3321" s="79"/>
      <c r="J3321" s="70"/>
      <c r="K3321" s="57"/>
      <c r="L3321" s="11"/>
      <c r="M3321" s="41"/>
      <c r="N3321" s="11"/>
    </row>
    <row r="3322" spans="8:14" x14ac:dyDescent="0.25">
      <c r="H3322" s="37"/>
      <c r="I3322" s="79"/>
      <c r="J3322" s="70"/>
      <c r="K3322" s="57"/>
      <c r="L3322" s="11"/>
      <c r="M3322" s="41"/>
      <c r="N3322" s="11"/>
    </row>
    <row r="3323" spans="8:14" x14ac:dyDescent="0.25">
      <c r="H3323" s="37"/>
      <c r="I3323" s="79"/>
      <c r="J3323" s="70"/>
      <c r="K3323" s="57"/>
      <c r="L3323" s="11"/>
      <c r="M3323" s="41"/>
      <c r="N3323" s="11"/>
    </row>
    <row r="3324" spans="8:14" x14ac:dyDescent="0.25">
      <c r="H3324" s="37"/>
      <c r="I3324" s="79"/>
      <c r="J3324" s="70"/>
      <c r="K3324" s="57"/>
      <c r="L3324" s="11"/>
      <c r="M3324" s="41"/>
      <c r="N3324" s="11"/>
    </row>
    <row r="3325" spans="8:14" x14ac:dyDescent="0.25">
      <c r="H3325" s="37"/>
      <c r="I3325" s="79"/>
      <c r="J3325" s="70"/>
      <c r="K3325" s="57"/>
      <c r="L3325" s="11"/>
      <c r="M3325" s="41"/>
      <c r="N3325" s="11"/>
    </row>
    <row r="3326" spans="8:14" x14ac:dyDescent="0.25">
      <c r="H3326" s="37"/>
      <c r="I3326" s="79"/>
      <c r="J3326" s="70"/>
      <c r="K3326" s="57"/>
      <c r="L3326" s="11"/>
      <c r="M3326" s="41"/>
      <c r="N3326" s="11"/>
    </row>
    <row r="3327" spans="8:14" x14ac:dyDescent="0.25">
      <c r="H3327" s="37"/>
      <c r="I3327" s="79"/>
      <c r="J3327" s="70"/>
      <c r="K3327" s="57"/>
      <c r="L3327" s="11"/>
      <c r="M3327" s="41"/>
      <c r="N3327" s="11"/>
    </row>
    <row r="3328" spans="8:14" x14ac:dyDescent="0.25">
      <c r="H3328" s="37"/>
      <c r="I3328" s="79"/>
      <c r="J3328" s="70"/>
      <c r="K3328" s="57"/>
      <c r="L3328" s="11"/>
      <c r="M3328" s="41"/>
      <c r="N3328" s="11"/>
    </row>
    <row r="3329" spans="8:14" x14ac:dyDescent="0.25">
      <c r="H3329" s="37"/>
      <c r="I3329" s="79"/>
      <c r="J3329" s="70"/>
      <c r="K3329" s="57"/>
      <c r="L3329" s="11"/>
      <c r="M3329" s="41"/>
      <c r="N3329" s="11"/>
    </row>
    <row r="3330" spans="8:14" x14ac:dyDescent="0.25">
      <c r="H3330" s="37"/>
      <c r="I3330" s="79"/>
      <c r="J3330" s="70"/>
      <c r="K3330" s="57"/>
      <c r="L3330" s="11"/>
      <c r="M3330" s="41"/>
      <c r="N3330" s="11"/>
    </row>
    <row r="3331" spans="8:14" x14ac:dyDescent="0.25">
      <c r="H3331" s="37"/>
      <c r="I3331" s="79"/>
      <c r="J3331" s="70"/>
      <c r="K3331" s="57"/>
      <c r="L3331" s="11"/>
      <c r="M3331" s="41"/>
      <c r="N3331" s="11"/>
    </row>
    <row r="3332" spans="8:14" x14ac:dyDescent="0.25">
      <c r="H3332" s="37"/>
      <c r="I3332" s="79"/>
      <c r="J3332" s="70"/>
      <c r="K3332" s="57"/>
      <c r="L3332" s="11"/>
      <c r="M3332" s="41"/>
      <c r="N3332" s="11"/>
    </row>
    <row r="3333" spans="8:14" x14ac:dyDescent="0.25">
      <c r="H3333" s="37"/>
      <c r="I3333" s="79"/>
      <c r="J3333" s="70"/>
      <c r="K3333" s="57"/>
      <c r="L3333" s="11"/>
      <c r="M3333" s="41"/>
      <c r="N3333" s="11"/>
    </row>
    <row r="3334" spans="8:14" x14ac:dyDescent="0.25">
      <c r="H3334" s="37"/>
      <c r="I3334" s="79"/>
      <c r="J3334" s="70"/>
      <c r="K3334" s="57"/>
      <c r="L3334" s="11"/>
      <c r="M3334" s="41"/>
      <c r="N3334" s="11"/>
    </row>
    <row r="3335" spans="8:14" x14ac:dyDescent="0.25">
      <c r="H3335" s="37"/>
      <c r="I3335" s="79"/>
      <c r="J3335" s="70"/>
      <c r="K3335" s="57"/>
      <c r="L3335" s="11"/>
      <c r="M3335" s="41"/>
      <c r="N3335" s="11"/>
    </row>
    <row r="3336" spans="8:14" x14ac:dyDescent="0.25">
      <c r="H3336" s="37"/>
      <c r="I3336" s="79"/>
      <c r="J3336" s="70"/>
      <c r="K3336" s="57"/>
      <c r="L3336" s="11"/>
      <c r="M3336" s="41"/>
      <c r="N3336" s="11"/>
    </row>
    <row r="3337" spans="8:14" x14ac:dyDescent="0.25">
      <c r="H3337" s="37"/>
      <c r="I3337" s="79"/>
      <c r="J3337" s="70"/>
      <c r="K3337" s="57"/>
      <c r="L3337" s="11"/>
      <c r="M3337" s="41"/>
      <c r="N3337" s="11"/>
    </row>
    <row r="3338" spans="8:14" x14ac:dyDescent="0.25">
      <c r="H3338" s="37"/>
      <c r="I3338" s="79"/>
      <c r="J3338" s="70"/>
      <c r="K3338" s="57"/>
      <c r="L3338" s="11"/>
      <c r="M3338" s="41"/>
      <c r="N3338" s="11"/>
    </row>
    <row r="3339" spans="8:14" x14ac:dyDescent="0.25">
      <c r="H3339" s="37"/>
      <c r="I3339" s="79"/>
      <c r="J3339" s="70"/>
      <c r="K3339" s="57"/>
      <c r="L3339" s="11"/>
      <c r="M3339" s="41"/>
      <c r="N3339" s="11"/>
    </row>
    <row r="3340" spans="8:14" x14ac:dyDescent="0.25">
      <c r="H3340" s="37"/>
      <c r="I3340" s="79"/>
      <c r="J3340" s="70"/>
      <c r="K3340" s="57"/>
      <c r="L3340" s="11"/>
      <c r="M3340" s="41"/>
      <c r="N3340" s="11"/>
    </row>
    <row r="3341" spans="8:14" x14ac:dyDescent="0.25">
      <c r="H3341" s="37"/>
      <c r="I3341" s="79"/>
      <c r="J3341" s="70"/>
      <c r="K3341" s="57"/>
      <c r="L3341" s="11"/>
      <c r="M3341" s="41"/>
      <c r="N3341" s="11"/>
    </row>
    <row r="3342" spans="8:14" x14ac:dyDescent="0.25">
      <c r="H3342" s="37"/>
      <c r="I3342" s="79"/>
      <c r="J3342" s="70"/>
      <c r="K3342" s="57"/>
      <c r="L3342" s="11"/>
      <c r="M3342" s="41"/>
      <c r="N3342" s="11"/>
    </row>
    <row r="3343" spans="8:14" x14ac:dyDescent="0.25">
      <c r="H3343" s="37"/>
      <c r="I3343" s="79"/>
      <c r="J3343" s="70"/>
      <c r="K3343" s="57"/>
      <c r="L3343" s="11"/>
      <c r="M3343" s="41"/>
      <c r="N3343" s="11"/>
    </row>
    <row r="3344" spans="8:14" x14ac:dyDescent="0.25">
      <c r="H3344" s="37"/>
      <c r="I3344" s="79"/>
      <c r="J3344" s="70"/>
      <c r="K3344" s="57"/>
      <c r="L3344" s="11"/>
      <c r="M3344" s="41"/>
      <c r="N3344" s="11"/>
    </row>
    <row r="3345" spans="8:14" x14ac:dyDescent="0.25">
      <c r="H3345" s="37"/>
      <c r="I3345" s="79"/>
      <c r="J3345" s="70"/>
      <c r="K3345" s="57"/>
      <c r="L3345" s="11"/>
      <c r="M3345" s="41"/>
      <c r="N3345" s="11"/>
    </row>
    <row r="3346" spans="8:14" x14ac:dyDescent="0.25">
      <c r="H3346" s="37"/>
      <c r="I3346" s="79"/>
      <c r="J3346" s="70"/>
      <c r="K3346" s="57"/>
      <c r="L3346" s="11"/>
      <c r="M3346" s="41"/>
      <c r="N3346" s="11"/>
    </row>
    <row r="3347" spans="8:14" x14ac:dyDescent="0.25">
      <c r="H3347" s="37"/>
      <c r="I3347" s="79"/>
      <c r="J3347" s="70"/>
      <c r="K3347" s="57"/>
      <c r="L3347" s="11"/>
      <c r="M3347" s="41"/>
      <c r="N3347" s="11"/>
    </row>
    <row r="3348" spans="8:14" x14ac:dyDescent="0.25">
      <c r="H3348" s="37"/>
      <c r="I3348" s="79"/>
      <c r="J3348" s="70"/>
      <c r="K3348" s="57"/>
      <c r="L3348" s="11"/>
      <c r="M3348" s="41"/>
      <c r="N3348" s="11"/>
    </row>
    <row r="3349" spans="8:14" x14ac:dyDescent="0.25">
      <c r="H3349" s="37"/>
      <c r="I3349" s="79"/>
      <c r="J3349" s="70"/>
      <c r="K3349" s="57"/>
      <c r="L3349" s="11"/>
      <c r="M3349" s="41"/>
      <c r="N3349" s="11"/>
    </row>
    <row r="3350" spans="8:14" x14ac:dyDescent="0.25">
      <c r="H3350" s="37"/>
      <c r="I3350" s="79"/>
      <c r="J3350" s="70"/>
      <c r="K3350" s="57"/>
      <c r="L3350" s="11"/>
      <c r="M3350" s="41"/>
      <c r="N3350" s="11"/>
    </row>
    <row r="3351" spans="8:14" x14ac:dyDescent="0.25">
      <c r="H3351" s="37"/>
      <c r="I3351" s="79"/>
      <c r="J3351" s="70"/>
      <c r="K3351" s="57"/>
      <c r="L3351" s="11"/>
      <c r="M3351" s="41"/>
      <c r="N3351" s="11"/>
    </row>
    <row r="3352" spans="8:14" x14ac:dyDescent="0.25">
      <c r="H3352" s="37"/>
      <c r="I3352" s="79"/>
      <c r="J3352" s="70"/>
      <c r="K3352" s="57"/>
      <c r="L3352" s="11"/>
      <c r="M3352" s="41"/>
      <c r="N3352" s="11"/>
    </row>
    <row r="3353" spans="8:14" x14ac:dyDescent="0.25">
      <c r="H3353" s="37"/>
      <c r="I3353" s="79"/>
      <c r="J3353" s="70"/>
      <c r="K3353" s="57"/>
      <c r="L3353" s="11"/>
      <c r="M3353" s="41"/>
      <c r="N3353" s="11"/>
    </row>
    <row r="3354" spans="8:14" x14ac:dyDescent="0.25">
      <c r="H3354" s="37"/>
      <c r="I3354" s="79"/>
      <c r="J3354" s="70"/>
      <c r="K3354" s="57"/>
      <c r="L3354" s="11"/>
      <c r="M3354" s="41"/>
      <c r="N3354" s="11"/>
    </row>
    <row r="3355" spans="8:14" x14ac:dyDescent="0.25">
      <c r="H3355" s="37"/>
      <c r="I3355" s="79"/>
      <c r="J3355" s="70"/>
      <c r="K3355" s="57"/>
      <c r="L3355" s="11"/>
      <c r="M3355" s="41"/>
      <c r="N3355" s="11"/>
    </row>
    <row r="3356" spans="8:14" x14ac:dyDescent="0.25">
      <c r="H3356" s="37"/>
      <c r="I3356" s="79"/>
      <c r="J3356" s="70"/>
      <c r="K3356" s="57"/>
      <c r="L3356" s="11"/>
      <c r="M3356" s="41"/>
      <c r="N3356" s="11"/>
    </row>
    <row r="3357" spans="8:14" x14ac:dyDescent="0.25">
      <c r="H3357" s="37"/>
      <c r="I3357" s="79"/>
      <c r="J3357" s="70"/>
      <c r="K3357" s="57"/>
      <c r="L3357" s="11"/>
      <c r="M3357" s="41"/>
      <c r="N3357" s="11"/>
    </row>
    <row r="3358" spans="8:14" x14ac:dyDescent="0.25">
      <c r="H3358" s="37"/>
      <c r="I3358" s="79"/>
      <c r="J3358" s="70"/>
      <c r="K3358" s="57"/>
      <c r="L3358" s="11"/>
      <c r="M3358" s="41"/>
      <c r="N3358" s="11"/>
    </row>
    <row r="3359" spans="8:14" x14ac:dyDescent="0.25">
      <c r="H3359" s="37"/>
      <c r="I3359" s="79"/>
      <c r="J3359" s="70"/>
      <c r="K3359" s="57"/>
      <c r="L3359" s="11"/>
      <c r="M3359" s="41"/>
      <c r="N3359" s="11"/>
    </row>
    <row r="3360" spans="8:14" x14ac:dyDescent="0.25">
      <c r="H3360" s="37"/>
      <c r="I3360" s="79"/>
      <c r="J3360" s="70"/>
      <c r="K3360" s="57"/>
      <c r="L3360" s="11"/>
      <c r="M3360" s="41"/>
      <c r="N3360" s="11"/>
    </row>
    <row r="3361" spans="8:14" x14ac:dyDescent="0.25">
      <c r="H3361" s="37"/>
      <c r="I3361" s="79"/>
      <c r="J3361" s="70"/>
      <c r="K3361" s="57"/>
      <c r="L3361" s="11"/>
      <c r="M3361" s="41"/>
      <c r="N3361" s="11"/>
    </row>
    <row r="3362" spans="8:14" x14ac:dyDescent="0.25">
      <c r="H3362" s="37"/>
      <c r="I3362" s="79"/>
      <c r="J3362" s="70"/>
      <c r="K3362" s="57"/>
      <c r="L3362" s="11"/>
      <c r="M3362" s="41"/>
      <c r="N3362" s="11"/>
    </row>
    <row r="3363" spans="8:14" x14ac:dyDescent="0.25">
      <c r="H3363" s="37"/>
      <c r="I3363" s="79"/>
      <c r="J3363" s="70"/>
      <c r="K3363" s="57"/>
      <c r="L3363" s="11"/>
      <c r="M3363" s="41"/>
      <c r="N3363" s="11"/>
    </row>
    <row r="3364" spans="8:14" x14ac:dyDescent="0.25">
      <c r="H3364" s="37"/>
      <c r="I3364" s="79"/>
      <c r="J3364" s="70"/>
      <c r="K3364" s="57"/>
      <c r="L3364" s="11"/>
      <c r="M3364" s="41"/>
      <c r="N3364" s="11"/>
    </row>
    <row r="3365" spans="8:14" x14ac:dyDescent="0.25">
      <c r="H3365" s="37"/>
      <c r="I3365" s="79"/>
      <c r="J3365" s="70"/>
      <c r="K3365" s="57"/>
      <c r="L3365" s="11"/>
      <c r="M3365" s="41"/>
      <c r="N3365" s="11"/>
    </row>
    <row r="3366" spans="8:14" x14ac:dyDescent="0.25">
      <c r="H3366" s="37"/>
      <c r="I3366" s="79"/>
      <c r="J3366" s="70"/>
      <c r="K3366" s="57"/>
      <c r="L3366" s="11"/>
      <c r="M3366" s="41"/>
      <c r="N3366" s="11"/>
    </row>
    <row r="3367" spans="8:14" x14ac:dyDescent="0.25">
      <c r="H3367" s="37"/>
      <c r="I3367" s="79"/>
      <c r="J3367" s="70"/>
      <c r="K3367" s="57"/>
      <c r="L3367" s="11"/>
      <c r="M3367" s="41"/>
      <c r="N3367" s="11"/>
    </row>
    <row r="3368" spans="8:14" x14ac:dyDescent="0.25">
      <c r="H3368" s="37"/>
      <c r="I3368" s="79"/>
      <c r="J3368" s="70"/>
      <c r="K3368" s="57"/>
      <c r="L3368" s="11"/>
      <c r="M3368" s="41"/>
      <c r="N3368" s="11"/>
    </row>
    <row r="3369" spans="8:14" x14ac:dyDescent="0.25">
      <c r="H3369" s="37"/>
      <c r="I3369" s="79"/>
      <c r="J3369" s="70"/>
      <c r="K3369" s="57"/>
      <c r="L3369" s="11"/>
      <c r="M3369" s="41"/>
      <c r="N3369" s="11"/>
    </row>
    <row r="3370" spans="8:14" x14ac:dyDescent="0.25">
      <c r="H3370" s="37"/>
      <c r="I3370" s="79"/>
      <c r="J3370" s="70"/>
      <c r="K3370" s="57"/>
      <c r="L3370" s="11"/>
      <c r="M3370" s="41"/>
      <c r="N3370" s="11"/>
    </row>
    <row r="3371" spans="8:14" x14ac:dyDescent="0.25">
      <c r="H3371" s="37"/>
      <c r="I3371" s="79"/>
      <c r="J3371" s="70"/>
      <c r="K3371" s="57"/>
      <c r="L3371" s="11"/>
      <c r="M3371" s="41"/>
      <c r="N3371" s="11"/>
    </row>
    <row r="3372" spans="8:14" x14ac:dyDescent="0.25">
      <c r="H3372" s="37"/>
      <c r="I3372" s="79"/>
      <c r="J3372" s="70"/>
      <c r="K3372" s="57"/>
      <c r="L3372" s="11"/>
      <c r="M3372" s="41"/>
      <c r="N3372" s="11"/>
    </row>
    <row r="3373" spans="8:14" x14ac:dyDescent="0.25">
      <c r="H3373" s="37"/>
      <c r="I3373" s="79"/>
      <c r="J3373" s="70"/>
      <c r="K3373" s="57"/>
      <c r="L3373" s="11"/>
      <c r="M3373" s="41"/>
      <c r="N3373" s="11"/>
    </row>
    <row r="3374" spans="8:14" x14ac:dyDescent="0.25">
      <c r="H3374" s="37"/>
      <c r="I3374" s="79"/>
      <c r="J3374" s="70"/>
      <c r="K3374" s="57"/>
      <c r="L3374" s="11"/>
      <c r="M3374" s="41"/>
      <c r="N3374" s="11"/>
    </row>
    <row r="3375" spans="8:14" x14ac:dyDescent="0.25">
      <c r="H3375" s="37"/>
      <c r="I3375" s="79"/>
      <c r="J3375" s="70"/>
      <c r="K3375" s="57"/>
      <c r="L3375" s="11"/>
      <c r="M3375" s="41"/>
      <c r="N3375" s="11"/>
    </row>
    <row r="3376" spans="8:14" x14ac:dyDescent="0.25">
      <c r="H3376" s="37"/>
      <c r="I3376" s="79"/>
      <c r="J3376" s="70"/>
      <c r="K3376" s="57"/>
      <c r="L3376" s="11"/>
      <c r="M3376" s="41"/>
      <c r="N3376" s="11"/>
    </row>
    <row r="3377" spans="8:14" x14ac:dyDescent="0.25">
      <c r="H3377" s="37"/>
      <c r="I3377" s="79"/>
      <c r="J3377" s="70"/>
      <c r="K3377" s="57"/>
      <c r="L3377" s="11"/>
      <c r="M3377" s="41"/>
      <c r="N3377" s="11"/>
    </row>
    <row r="3378" spans="8:14" x14ac:dyDescent="0.25">
      <c r="H3378" s="37"/>
      <c r="I3378" s="79"/>
      <c r="J3378" s="70"/>
      <c r="K3378" s="57"/>
      <c r="L3378" s="11"/>
      <c r="M3378" s="41"/>
      <c r="N3378" s="11"/>
    </row>
    <row r="3379" spans="8:14" x14ac:dyDescent="0.25">
      <c r="H3379" s="37"/>
      <c r="I3379" s="79"/>
      <c r="J3379" s="70"/>
      <c r="K3379" s="57"/>
      <c r="L3379" s="11"/>
      <c r="M3379" s="41"/>
      <c r="N3379" s="11"/>
    </row>
    <row r="3380" spans="8:14" x14ac:dyDescent="0.25">
      <c r="H3380" s="37"/>
      <c r="I3380" s="79"/>
      <c r="J3380" s="70"/>
      <c r="K3380" s="57"/>
      <c r="L3380" s="11"/>
      <c r="M3380" s="41"/>
      <c r="N3380" s="11"/>
    </row>
    <row r="3381" spans="8:14" x14ac:dyDescent="0.25">
      <c r="H3381" s="37"/>
      <c r="I3381" s="79"/>
      <c r="J3381" s="70"/>
      <c r="K3381" s="57"/>
      <c r="L3381" s="11"/>
      <c r="M3381" s="41"/>
      <c r="N3381" s="11"/>
    </row>
    <row r="3382" spans="8:14" x14ac:dyDescent="0.25">
      <c r="H3382" s="37"/>
      <c r="I3382" s="79"/>
      <c r="J3382" s="70"/>
      <c r="K3382" s="57"/>
      <c r="L3382" s="11"/>
      <c r="M3382" s="41"/>
      <c r="N3382" s="11"/>
    </row>
    <row r="3383" spans="8:14" x14ac:dyDescent="0.25">
      <c r="H3383" s="37"/>
      <c r="I3383" s="79"/>
      <c r="J3383" s="70"/>
      <c r="K3383" s="57"/>
      <c r="L3383" s="11"/>
      <c r="M3383" s="41"/>
      <c r="N3383" s="11"/>
    </row>
    <row r="3384" spans="8:14" x14ac:dyDescent="0.25">
      <c r="H3384" s="37"/>
      <c r="I3384" s="79"/>
      <c r="J3384" s="70"/>
      <c r="K3384" s="57"/>
      <c r="L3384" s="11"/>
      <c r="M3384" s="41"/>
      <c r="N3384" s="11"/>
    </row>
    <row r="3385" spans="8:14" x14ac:dyDescent="0.25">
      <c r="H3385" s="37"/>
      <c r="I3385" s="79"/>
      <c r="J3385" s="70"/>
      <c r="K3385" s="57"/>
      <c r="L3385" s="11"/>
      <c r="M3385" s="41"/>
      <c r="N3385" s="11"/>
    </row>
    <row r="3386" spans="8:14" x14ac:dyDescent="0.25">
      <c r="H3386" s="37"/>
      <c r="I3386" s="79"/>
      <c r="J3386" s="70"/>
      <c r="K3386" s="57"/>
      <c r="L3386" s="11"/>
      <c r="M3386" s="41"/>
      <c r="N3386" s="11"/>
    </row>
    <row r="3387" spans="8:14" x14ac:dyDescent="0.25">
      <c r="H3387" s="37"/>
      <c r="I3387" s="79"/>
      <c r="J3387" s="70"/>
      <c r="K3387" s="57"/>
      <c r="L3387" s="11"/>
      <c r="M3387" s="41"/>
      <c r="N3387" s="11"/>
    </row>
    <row r="3388" spans="8:14" x14ac:dyDescent="0.25">
      <c r="H3388" s="37"/>
      <c r="I3388" s="79"/>
      <c r="J3388" s="70"/>
      <c r="K3388" s="57"/>
      <c r="L3388" s="11"/>
      <c r="M3388" s="41"/>
      <c r="N3388" s="11"/>
    </row>
    <row r="3389" spans="8:14" x14ac:dyDescent="0.25">
      <c r="H3389" s="37"/>
      <c r="I3389" s="79"/>
      <c r="J3389" s="70"/>
      <c r="K3389" s="57"/>
      <c r="L3389" s="11"/>
      <c r="M3389" s="41"/>
      <c r="N3389" s="11"/>
    </row>
    <row r="3390" spans="8:14" x14ac:dyDescent="0.25">
      <c r="H3390" s="37"/>
      <c r="I3390" s="79"/>
      <c r="J3390" s="70"/>
      <c r="K3390" s="57"/>
      <c r="L3390" s="11"/>
      <c r="M3390" s="41"/>
      <c r="N3390" s="11"/>
    </row>
    <row r="3391" spans="8:14" x14ac:dyDescent="0.25">
      <c r="H3391" s="37"/>
      <c r="I3391" s="79"/>
      <c r="J3391" s="70"/>
      <c r="K3391" s="57"/>
      <c r="L3391" s="11"/>
      <c r="M3391" s="41"/>
      <c r="N3391" s="11"/>
    </row>
    <row r="3392" spans="8:14" x14ac:dyDescent="0.25">
      <c r="H3392" s="37"/>
      <c r="I3392" s="79"/>
      <c r="J3392" s="70"/>
      <c r="K3392" s="57"/>
      <c r="L3392" s="11"/>
      <c r="M3392" s="41"/>
      <c r="N3392" s="11"/>
    </row>
    <row r="3393" spans="8:14" x14ac:dyDescent="0.25">
      <c r="H3393" s="37"/>
      <c r="I3393" s="79"/>
      <c r="J3393" s="70"/>
      <c r="K3393" s="57"/>
      <c r="L3393" s="11"/>
      <c r="M3393" s="41"/>
      <c r="N3393" s="11"/>
    </row>
    <row r="3394" spans="8:14" x14ac:dyDescent="0.25">
      <c r="H3394" s="37"/>
      <c r="I3394" s="79"/>
      <c r="J3394" s="70"/>
      <c r="K3394" s="57"/>
      <c r="L3394" s="11"/>
      <c r="M3394" s="41"/>
      <c r="N3394" s="11"/>
    </row>
    <row r="3395" spans="8:14" x14ac:dyDescent="0.25">
      <c r="H3395" s="37"/>
      <c r="I3395" s="79"/>
      <c r="J3395" s="70"/>
      <c r="K3395" s="57"/>
      <c r="L3395" s="11"/>
      <c r="M3395" s="41"/>
      <c r="N3395" s="11"/>
    </row>
    <row r="3396" spans="8:14" x14ac:dyDescent="0.25">
      <c r="H3396" s="37"/>
      <c r="I3396" s="79"/>
      <c r="J3396" s="70"/>
      <c r="K3396" s="57"/>
      <c r="L3396" s="11"/>
      <c r="M3396" s="41"/>
      <c r="N3396" s="11"/>
    </row>
    <row r="3397" spans="8:14" x14ac:dyDescent="0.25">
      <c r="H3397" s="37"/>
      <c r="I3397" s="79"/>
      <c r="J3397" s="70"/>
      <c r="K3397" s="57"/>
      <c r="L3397" s="11"/>
      <c r="M3397" s="41"/>
      <c r="N3397" s="11"/>
    </row>
    <row r="3398" spans="8:14" x14ac:dyDescent="0.25">
      <c r="H3398" s="37"/>
      <c r="I3398" s="79"/>
      <c r="J3398" s="70"/>
      <c r="K3398" s="57"/>
      <c r="L3398" s="11"/>
      <c r="M3398" s="41"/>
      <c r="N3398" s="11"/>
    </row>
    <row r="3399" spans="8:14" x14ac:dyDescent="0.25">
      <c r="H3399" s="37"/>
      <c r="I3399" s="79"/>
      <c r="J3399" s="70"/>
      <c r="K3399" s="57"/>
      <c r="L3399" s="11"/>
      <c r="M3399" s="41"/>
      <c r="N3399" s="11"/>
    </row>
    <row r="3400" spans="8:14" x14ac:dyDescent="0.25">
      <c r="H3400" s="37"/>
      <c r="I3400" s="79"/>
      <c r="J3400" s="70"/>
      <c r="K3400" s="57"/>
      <c r="L3400" s="11"/>
      <c r="M3400" s="41"/>
      <c r="N3400" s="11"/>
    </row>
    <row r="3401" spans="8:14" x14ac:dyDescent="0.25">
      <c r="H3401" s="37"/>
      <c r="I3401" s="79"/>
      <c r="J3401" s="70"/>
      <c r="K3401" s="57"/>
      <c r="L3401" s="11"/>
      <c r="M3401" s="41"/>
      <c r="N3401" s="11"/>
    </row>
    <row r="3402" spans="8:14" x14ac:dyDescent="0.25">
      <c r="H3402" s="37"/>
      <c r="I3402" s="79"/>
      <c r="J3402" s="70"/>
      <c r="K3402" s="57"/>
      <c r="L3402" s="11"/>
      <c r="M3402" s="41"/>
      <c r="N3402" s="11"/>
    </row>
    <row r="3403" spans="8:14" x14ac:dyDescent="0.25">
      <c r="H3403" s="37"/>
      <c r="I3403" s="79"/>
      <c r="J3403" s="70"/>
      <c r="K3403" s="57"/>
      <c r="L3403" s="11"/>
      <c r="M3403" s="41"/>
      <c r="N3403" s="11"/>
    </row>
    <row r="3404" spans="8:14" x14ac:dyDescent="0.25">
      <c r="H3404" s="37"/>
      <c r="I3404" s="79"/>
      <c r="J3404" s="70"/>
      <c r="K3404" s="57"/>
      <c r="L3404" s="11"/>
      <c r="M3404" s="41"/>
      <c r="N3404" s="11"/>
    </row>
    <row r="3405" spans="8:14" x14ac:dyDescent="0.25">
      <c r="H3405" s="37"/>
      <c r="I3405" s="79"/>
      <c r="J3405" s="70"/>
      <c r="K3405" s="57"/>
      <c r="L3405" s="11"/>
      <c r="M3405" s="41"/>
      <c r="N3405" s="11"/>
    </row>
    <row r="3406" spans="8:14" x14ac:dyDescent="0.25">
      <c r="H3406" s="37"/>
      <c r="I3406" s="79"/>
      <c r="J3406" s="70"/>
      <c r="K3406" s="57"/>
      <c r="L3406" s="11"/>
      <c r="M3406" s="41"/>
      <c r="N3406" s="11"/>
    </row>
    <row r="3407" spans="8:14" x14ac:dyDescent="0.25">
      <c r="H3407" s="37"/>
      <c r="I3407" s="79"/>
      <c r="J3407" s="70"/>
      <c r="K3407" s="57"/>
      <c r="L3407" s="11"/>
      <c r="M3407" s="41"/>
      <c r="N3407" s="11"/>
    </row>
    <row r="3408" spans="8:14" x14ac:dyDescent="0.25">
      <c r="H3408" s="37"/>
      <c r="I3408" s="79"/>
      <c r="J3408" s="70"/>
      <c r="K3408" s="57"/>
      <c r="L3408" s="11"/>
      <c r="M3408" s="41"/>
      <c r="N3408" s="11"/>
    </row>
    <row r="3409" spans="8:14" x14ac:dyDescent="0.25">
      <c r="H3409" s="37"/>
      <c r="I3409" s="79"/>
      <c r="J3409" s="70"/>
      <c r="K3409" s="57"/>
      <c r="L3409" s="11"/>
      <c r="M3409" s="41"/>
      <c r="N3409" s="11"/>
    </row>
    <row r="3410" spans="8:14" x14ac:dyDescent="0.25">
      <c r="H3410" s="37"/>
      <c r="I3410" s="79"/>
      <c r="J3410" s="70"/>
      <c r="K3410" s="57"/>
      <c r="L3410" s="11"/>
      <c r="M3410" s="41"/>
      <c r="N3410" s="11"/>
    </row>
    <row r="3411" spans="8:14" x14ac:dyDescent="0.25">
      <c r="H3411" s="37"/>
      <c r="I3411" s="79"/>
      <c r="J3411" s="70"/>
      <c r="K3411" s="57"/>
      <c r="L3411" s="11"/>
      <c r="M3411" s="41"/>
      <c r="N3411" s="11"/>
    </row>
    <row r="3412" spans="8:14" x14ac:dyDescent="0.25">
      <c r="H3412" s="37"/>
      <c r="I3412" s="79"/>
      <c r="J3412" s="70"/>
      <c r="K3412" s="57"/>
      <c r="L3412" s="11"/>
      <c r="M3412" s="41"/>
      <c r="N3412" s="11"/>
    </row>
    <row r="3413" spans="8:14" x14ac:dyDescent="0.25">
      <c r="H3413" s="37"/>
      <c r="I3413" s="79"/>
      <c r="J3413" s="70"/>
      <c r="K3413" s="57"/>
      <c r="L3413" s="11"/>
      <c r="M3413" s="41"/>
      <c r="N3413" s="11"/>
    </row>
    <row r="3414" spans="8:14" x14ac:dyDescent="0.25">
      <c r="H3414" s="37"/>
      <c r="I3414" s="79"/>
      <c r="J3414" s="70"/>
      <c r="K3414" s="57"/>
      <c r="L3414" s="11"/>
      <c r="M3414" s="41"/>
      <c r="N3414" s="11"/>
    </row>
    <row r="3415" spans="8:14" x14ac:dyDescent="0.25">
      <c r="H3415" s="37"/>
      <c r="I3415" s="79"/>
      <c r="J3415" s="70"/>
      <c r="K3415" s="57"/>
      <c r="L3415" s="11"/>
      <c r="M3415" s="41"/>
      <c r="N3415" s="11"/>
    </row>
    <row r="3416" spans="8:14" x14ac:dyDescent="0.25">
      <c r="H3416" s="37"/>
      <c r="I3416" s="79"/>
      <c r="J3416" s="70"/>
      <c r="K3416" s="57"/>
      <c r="L3416" s="11"/>
      <c r="M3416" s="41"/>
      <c r="N3416" s="11"/>
    </row>
    <row r="3417" spans="8:14" x14ac:dyDescent="0.25">
      <c r="H3417" s="37"/>
      <c r="I3417" s="79"/>
      <c r="J3417" s="70"/>
      <c r="K3417" s="57"/>
      <c r="L3417" s="11"/>
      <c r="M3417" s="41"/>
      <c r="N3417" s="11"/>
    </row>
    <row r="3418" spans="8:14" x14ac:dyDescent="0.25">
      <c r="H3418" s="37"/>
      <c r="I3418" s="79"/>
      <c r="J3418" s="70"/>
      <c r="K3418" s="57"/>
      <c r="L3418" s="11"/>
      <c r="M3418" s="41"/>
      <c r="N3418" s="11"/>
    </row>
    <row r="3419" spans="8:14" x14ac:dyDescent="0.25">
      <c r="H3419" s="37"/>
      <c r="I3419" s="79"/>
      <c r="J3419" s="70"/>
      <c r="K3419" s="57"/>
      <c r="L3419" s="11"/>
      <c r="M3419" s="41"/>
      <c r="N3419" s="11"/>
    </row>
    <row r="3420" spans="8:14" x14ac:dyDescent="0.25">
      <c r="H3420" s="37"/>
      <c r="I3420" s="79"/>
      <c r="J3420" s="70"/>
      <c r="K3420" s="57"/>
      <c r="L3420" s="11"/>
      <c r="M3420" s="41"/>
      <c r="N3420" s="11"/>
    </row>
    <row r="3421" spans="8:14" x14ac:dyDescent="0.25">
      <c r="H3421" s="37"/>
      <c r="I3421" s="79"/>
      <c r="J3421" s="70"/>
      <c r="K3421" s="57"/>
      <c r="L3421" s="11"/>
      <c r="M3421" s="41"/>
      <c r="N3421" s="11"/>
    </row>
    <row r="3422" spans="8:14" x14ac:dyDescent="0.25">
      <c r="H3422" s="37"/>
      <c r="I3422" s="79"/>
      <c r="J3422" s="70"/>
      <c r="K3422" s="57"/>
      <c r="L3422" s="11"/>
      <c r="M3422" s="41"/>
      <c r="N3422" s="11"/>
    </row>
    <row r="3423" spans="8:14" x14ac:dyDescent="0.25">
      <c r="H3423" s="37"/>
      <c r="I3423" s="79"/>
      <c r="J3423" s="70"/>
      <c r="K3423" s="57"/>
      <c r="L3423" s="11"/>
      <c r="M3423" s="41"/>
      <c r="N3423" s="11"/>
    </row>
    <row r="3424" spans="8:14" x14ac:dyDescent="0.25">
      <c r="H3424" s="37"/>
      <c r="I3424" s="79"/>
      <c r="J3424" s="70"/>
      <c r="K3424" s="57"/>
      <c r="L3424" s="11"/>
      <c r="M3424" s="41"/>
      <c r="N3424" s="11"/>
    </row>
    <row r="3425" spans="8:14" x14ac:dyDescent="0.25">
      <c r="H3425" s="37"/>
      <c r="I3425" s="79"/>
      <c r="J3425" s="70"/>
      <c r="K3425" s="57"/>
      <c r="L3425" s="11"/>
      <c r="M3425" s="41"/>
      <c r="N3425" s="11"/>
    </row>
    <row r="3426" spans="8:14" x14ac:dyDescent="0.25">
      <c r="H3426" s="37"/>
      <c r="I3426" s="79"/>
      <c r="J3426" s="70"/>
      <c r="K3426" s="57"/>
      <c r="L3426" s="11"/>
      <c r="M3426" s="41"/>
      <c r="N3426" s="11"/>
    </row>
    <row r="3427" spans="8:14" x14ac:dyDescent="0.25">
      <c r="H3427" s="37"/>
      <c r="I3427" s="79"/>
      <c r="J3427" s="70"/>
      <c r="K3427" s="57"/>
      <c r="L3427" s="11"/>
      <c r="M3427" s="41"/>
      <c r="N3427" s="11"/>
    </row>
    <row r="3428" spans="8:14" x14ac:dyDescent="0.25">
      <c r="H3428" s="37"/>
      <c r="I3428" s="79"/>
      <c r="J3428" s="70"/>
      <c r="K3428" s="57"/>
      <c r="L3428" s="11"/>
      <c r="M3428" s="41"/>
      <c r="N3428" s="11"/>
    </row>
    <row r="3429" spans="8:14" x14ac:dyDescent="0.25">
      <c r="H3429" s="37"/>
      <c r="I3429" s="79"/>
      <c r="J3429" s="70"/>
      <c r="K3429" s="57"/>
      <c r="L3429" s="11"/>
      <c r="M3429" s="41"/>
      <c r="N3429" s="11"/>
    </row>
    <row r="3430" spans="8:14" x14ac:dyDescent="0.25">
      <c r="H3430" s="37"/>
      <c r="I3430" s="79"/>
      <c r="J3430" s="70"/>
      <c r="K3430" s="57"/>
      <c r="L3430" s="11"/>
      <c r="M3430" s="41"/>
      <c r="N3430" s="11"/>
    </row>
    <row r="3431" spans="8:14" x14ac:dyDescent="0.25">
      <c r="H3431" s="37"/>
      <c r="I3431" s="79"/>
      <c r="J3431" s="70"/>
      <c r="K3431" s="57"/>
      <c r="L3431" s="11"/>
      <c r="M3431" s="41"/>
      <c r="N3431" s="11"/>
    </row>
    <row r="3432" spans="8:14" x14ac:dyDescent="0.25">
      <c r="H3432" s="37"/>
      <c r="I3432" s="79"/>
      <c r="J3432" s="70"/>
      <c r="K3432" s="57"/>
      <c r="L3432" s="11"/>
      <c r="M3432" s="41"/>
      <c r="N3432" s="11"/>
    </row>
    <row r="3433" spans="8:14" x14ac:dyDescent="0.25">
      <c r="H3433" s="37"/>
      <c r="I3433" s="79"/>
      <c r="J3433" s="70"/>
      <c r="K3433" s="57"/>
      <c r="L3433" s="11"/>
      <c r="M3433" s="41"/>
      <c r="N3433" s="11"/>
    </row>
    <row r="3434" spans="8:14" x14ac:dyDescent="0.25">
      <c r="H3434" s="37"/>
      <c r="I3434" s="79"/>
      <c r="J3434" s="70"/>
      <c r="K3434" s="57"/>
      <c r="L3434" s="11"/>
      <c r="M3434" s="41"/>
      <c r="N3434" s="11"/>
    </row>
    <row r="3435" spans="8:14" x14ac:dyDescent="0.25">
      <c r="H3435" s="37"/>
      <c r="I3435" s="79"/>
      <c r="J3435" s="70"/>
      <c r="K3435" s="57"/>
      <c r="L3435" s="11"/>
      <c r="M3435" s="41"/>
      <c r="N3435" s="11"/>
    </row>
    <row r="3436" spans="8:14" x14ac:dyDescent="0.25">
      <c r="H3436" s="37"/>
      <c r="I3436" s="79"/>
      <c r="J3436" s="70"/>
      <c r="K3436" s="57"/>
      <c r="L3436" s="11"/>
      <c r="M3436" s="41"/>
      <c r="N3436" s="11"/>
    </row>
    <row r="3437" spans="8:14" x14ac:dyDescent="0.25">
      <c r="H3437" s="37"/>
      <c r="I3437" s="79"/>
      <c r="J3437" s="70"/>
      <c r="K3437" s="57"/>
      <c r="L3437" s="11"/>
      <c r="M3437" s="41"/>
      <c r="N3437" s="11"/>
    </row>
    <row r="3438" spans="8:14" x14ac:dyDescent="0.25">
      <c r="H3438" s="37"/>
      <c r="I3438" s="79"/>
      <c r="J3438" s="70"/>
      <c r="K3438" s="57"/>
      <c r="L3438" s="11"/>
      <c r="M3438" s="41"/>
      <c r="N3438" s="11"/>
    </row>
    <row r="3439" spans="8:14" x14ac:dyDescent="0.25">
      <c r="H3439" s="37"/>
      <c r="I3439" s="79"/>
      <c r="J3439" s="70"/>
      <c r="K3439" s="57"/>
      <c r="L3439" s="11"/>
      <c r="M3439" s="41"/>
      <c r="N3439" s="11"/>
    </row>
    <row r="3440" spans="8:14" x14ac:dyDescent="0.25">
      <c r="H3440" s="37"/>
      <c r="I3440" s="79"/>
      <c r="J3440" s="70"/>
      <c r="K3440" s="57"/>
      <c r="L3440" s="11"/>
      <c r="M3440" s="41"/>
      <c r="N3440" s="11"/>
    </row>
    <row r="3441" spans="8:14" x14ac:dyDescent="0.25">
      <c r="H3441" s="37"/>
      <c r="I3441" s="79"/>
      <c r="J3441" s="70"/>
      <c r="K3441" s="57"/>
      <c r="L3441" s="11"/>
      <c r="M3441" s="41"/>
      <c r="N3441" s="11"/>
    </row>
    <row r="3442" spans="8:14" x14ac:dyDescent="0.25">
      <c r="H3442" s="37"/>
      <c r="I3442" s="79"/>
      <c r="J3442" s="70"/>
      <c r="K3442" s="57"/>
      <c r="L3442" s="11"/>
      <c r="M3442" s="41"/>
      <c r="N3442" s="11"/>
    </row>
    <row r="3443" spans="8:14" x14ac:dyDescent="0.25">
      <c r="H3443" s="37"/>
      <c r="I3443" s="79"/>
      <c r="J3443" s="70"/>
      <c r="K3443" s="57"/>
      <c r="L3443" s="11"/>
      <c r="M3443" s="41"/>
      <c r="N3443" s="11"/>
    </row>
    <row r="3444" spans="8:14" x14ac:dyDescent="0.25">
      <c r="H3444" s="37"/>
      <c r="I3444" s="79"/>
      <c r="J3444" s="70"/>
      <c r="K3444" s="57"/>
      <c r="L3444" s="11"/>
      <c r="M3444" s="41"/>
      <c r="N3444" s="11"/>
    </row>
    <row r="3445" spans="8:14" x14ac:dyDescent="0.25">
      <c r="H3445" s="37"/>
      <c r="I3445" s="79"/>
      <c r="J3445" s="70"/>
      <c r="K3445" s="57"/>
      <c r="L3445" s="11"/>
      <c r="M3445" s="41"/>
      <c r="N3445" s="11"/>
    </row>
    <row r="3446" spans="8:14" x14ac:dyDescent="0.25">
      <c r="H3446" s="37"/>
      <c r="I3446" s="79"/>
      <c r="J3446" s="70"/>
      <c r="K3446" s="57"/>
      <c r="L3446" s="11"/>
      <c r="M3446" s="41"/>
      <c r="N3446" s="11"/>
    </row>
    <row r="3447" spans="8:14" x14ac:dyDescent="0.25">
      <c r="H3447" s="37"/>
      <c r="I3447" s="79"/>
      <c r="J3447" s="70"/>
      <c r="K3447" s="57"/>
      <c r="L3447" s="11"/>
      <c r="M3447" s="41"/>
      <c r="N3447" s="11"/>
    </row>
    <row r="3448" spans="8:14" x14ac:dyDescent="0.25">
      <c r="H3448" s="37"/>
      <c r="I3448" s="79"/>
      <c r="J3448" s="70"/>
      <c r="K3448" s="57"/>
      <c r="L3448" s="11"/>
      <c r="M3448" s="41"/>
      <c r="N3448" s="11"/>
    </row>
    <row r="3449" spans="8:14" x14ac:dyDescent="0.25">
      <c r="H3449" s="37"/>
      <c r="I3449" s="79"/>
      <c r="J3449" s="70"/>
      <c r="K3449" s="57"/>
      <c r="L3449" s="11"/>
      <c r="M3449" s="41"/>
      <c r="N3449" s="11"/>
    </row>
    <row r="3450" spans="8:14" x14ac:dyDescent="0.25">
      <c r="H3450" s="37"/>
      <c r="I3450" s="79"/>
      <c r="J3450" s="70"/>
      <c r="K3450" s="57"/>
      <c r="L3450" s="11"/>
      <c r="M3450" s="41"/>
      <c r="N3450" s="11"/>
    </row>
    <row r="3451" spans="8:14" x14ac:dyDescent="0.25">
      <c r="H3451" s="37"/>
      <c r="I3451" s="79"/>
      <c r="J3451" s="70"/>
      <c r="K3451" s="57"/>
      <c r="L3451" s="11"/>
      <c r="M3451" s="41"/>
      <c r="N3451" s="11"/>
    </row>
    <row r="3452" spans="8:14" x14ac:dyDescent="0.25">
      <c r="H3452" s="37"/>
      <c r="I3452" s="79"/>
      <c r="J3452" s="70"/>
      <c r="K3452" s="57"/>
      <c r="L3452" s="11"/>
      <c r="M3452" s="41"/>
      <c r="N3452" s="11"/>
    </row>
    <row r="3453" spans="8:14" x14ac:dyDescent="0.25">
      <c r="H3453" s="37"/>
      <c r="I3453" s="79"/>
      <c r="J3453" s="70"/>
      <c r="K3453" s="57"/>
      <c r="L3453" s="11"/>
      <c r="M3453" s="41"/>
      <c r="N3453" s="11"/>
    </row>
    <row r="3454" spans="8:14" x14ac:dyDescent="0.25">
      <c r="H3454" s="37"/>
      <c r="I3454" s="79"/>
      <c r="J3454" s="70"/>
      <c r="K3454" s="57"/>
      <c r="L3454" s="11"/>
      <c r="M3454" s="41"/>
      <c r="N3454" s="11"/>
    </row>
    <row r="3455" spans="8:14" x14ac:dyDescent="0.25">
      <c r="H3455" s="37"/>
      <c r="I3455" s="79"/>
      <c r="J3455" s="70"/>
      <c r="K3455" s="57"/>
      <c r="L3455" s="11"/>
      <c r="M3455" s="41"/>
      <c r="N3455" s="11"/>
    </row>
    <row r="3456" spans="8:14" x14ac:dyDescent="0.25">
      <c r="H3456" s="37"/>
      <c r="I3456" s="79"/>
      <c r="J3456" s="70"/>
      <c r="K3456" s="57"/>
      <c r="L3456" s="11"/>
      <c r="M3456" s="41"/>
      <c r="N3456" s="11"/>
    </row>
    <row r="3457" spans="8:14" x14ac:dyDescent="0.25">
      <c r="H3457" s="37"/>
      <c r="I3457" s="79"/>
      <c r="J3457" s="70"/>
      <c r="K3457" s="57"/>
      <c r="L3457" s="11"/>
      <c r="M3457" s="41"/>
      <c r="N3457" s="11"/>
    </row>
    <row r="3458" spans="8:14" x14ac:dyDescent="0.25">
      <c r="H3458" s="37"/>
      <c r="I3458" s="79"/>
      <c r="J3458" s="70"/>
      <c r="K3458" s="57"/>
      <c r="L3458" s="11"/>
      <c r="M3458" s="41"/>
      <c r="N3458" s="11"/>
    </row>
    <row r="3459" spans="8:14" x14ac:dyDescent="0.25">
      <c r="H3459" s="37"/>
      <c r="I3459" s="79"/>
      <c r="J3459" s="70"/>
      <c r="K3459" s="57"/>
      <c r="L3459" s="11"/>
      <c r="M3459" s="41"/>
      <c r="N3459" s="11"/>
    </row>
    <row r="3460" spans="8:14" x14ac:dyDescent="0.25">
      <c r="H3460" s="37"/>
      <c r="I3460" s="79"/>
      <c r="J3460" s="70"/>
      <c r="K3460" s="57"/>
      <c r="L3460" s="11"/>
      <c r="M3460" s="41"/>
      <c r="N3460" s="11"/>
    </row>
    <row r="3461" spans="8:14" x14ac:dyDescent="0.25">
      <c r="H3461" s="37"/>
      <c r="I3461" s="79"/>
      <c r="J3461" s="70"/>
      <c r="K3461" s="57"/>
      <c r="L3461" s="11"/>
      <c r="M3461" s="41"/>
      <c r="N3461" s="11"/>
    </row>
    <row r="3462" spans="8:14" x14ac:dyDescent="0.25">
      <c r="H3462" s="37"/>
      <c r="I3462" s="79"/>
      <c r="J3462" s="70"/>
      <c r="K3462" s="57"/>
      <c r="L3462" s="11"/>
      <c r="M3462" s="41"/>
      <c r="N3462" s="11"/>
    </row>
    <row r="3463" spans="8:14" x14ac:dyDescent="0.25">
      <c r="H3463" s="37"/>
      <c r="I3463" s="79"/>
      <c r="J3463" s="70"/>
      <c r="K3463" s="57"/>
      <c r="L3463" s="11"/>
      <c r="M3463" s="41"/>
      <c r="N3463" s="11"/>
    </row>
    <row r="3464" spans="8:14" x14ac:dyDescent="0.25">
      <c r="H3464" s="37"/>
      <c r="I3464" s="79"/>
      <c r="J3464" s="70"/>
      <c r="K3464" s="57"/>
      <c r="L3464" s="11"/>
      <c r="M3464" s="41"/>
      <c r="N3464" s="11"/>
    </row>
    <row r="3465" spans="8:14" x14ac:dyDescent="0.25">
      <c r="H3465" s="37"/>
      <c r="I3465" s="79"/>
      <c r="J3465" s="70"/>
      <c r="K3465" s="57"/>
      <c r="L3465" s="11"/>
      <c r="M3465" s="41"/>
      <c r="N3465" s="11"/>
    </row>
    <row r="3466" spans="8:14" x14ac:dyDescent="0.25">
      <c r="H3466" s="37"/>
      <c r="I3466" s="79"/>
      <c r="J3466" s="70"/>
      <c r="K3466" s="57"/>
      <c r="L3466" s="11"/>
      <c r="M3466" s="41"/>
      <c r="N3466" s="11"/>
    </row>
    <row r="3467" spans="8:14" x14ac:dyDescent="0.25">
      <c r="H3467" s="37"/>
      <c r="I3467" s="79"/>
      <c r="J3467" s="70"/>
      <c r="K3467" s="57"/>
      <c r="L3467" s="11"/>
      <c r="M3467" s="41"/>
      <c r="N3467" s="11"/>
    </row>
    <row r="3468" spans="8:14" x14ac:dyDescent="0.25">
      <c r="H3468" s="37"/>
      <c r="I3468" s="79"/>
      <c r="J3468" s="70"/>
      <c r="K3468" s="57"/>
      <c r="L3468" s="11"/>
      <c r="M3468" s="41"/>
      <c r="N3468" s="11"/>
    </row>
    <row r="3469" spans="8:14" x14ac:dyDescent="0.25">
      <c r="H3469" s="37"/>
      <c r="I3469" s="79"/>
      <c r="J3469" s="70"/>
      <c r="K3469" s="57"/>
      <c r="L3469" s="11"/>
      <c r="M3469" s="41"/>
      <c r="N3469" s="11"/>
    </row>
    <row r="3470" spans="8:14" x14ac:dyDescent="0.25">
      <c r="H3470" s="37"/>
      <c r="I3470" s="79"/>
      <c r="J3470" s="70"/>
      <c r="K3470" s="57"/>
      <c r="L3470" s="11"/>
      <c r="M3470" s="41"/>
      <c r="N3470" s="11"/>
    </row>
    <row r="3471" spans="8:14" x14ac:dyDescent="0.25">
      <c r="H3471" s="37"/>
      <c r="I3471" s="79"/>
      <c r="J3471" s="70"/>
      <c r="K3471" s="57"/>
      <c r="L3471" s="11"/>
      <c r="M3471" s="41"/>
      <c r="N3471" s="11"/>
    </row>
    <row r="3472" spans="8:14" x14ac:dyDescent="0.25">
      <c r="H3472" s="37"/>
      <c r="I3472" s="79"/>
      <c r="J3472" s="70"/>
      <c r="K3472" s="57"/>
      <c r="L3472" s="11"/>
      <c r="M3472" s="41"/>
      <c r="N3472" s="11"/>
    </row>
    <row r="3473" spans="8:14" x14ac:dyDescent="0.25">
      <c r="H3473" s="37"/>
      <c r="I3473" s="79"/>
      <c r="J3473" s="70"/>
      <c r="K3473" s="57"/>
      <c r="L3473" s="11"/>
      <c r="M3473" s="41"/>
      <c r="N3473" s="11"/>
    </row>
    <row r="3474" spans="8:14" x14ac:dyDescent="0.25">
      <c r="H3474" s="37"/>
      <c r="I3474" s="79"/>
      <c r="J3474" s="70"/>
      <c r="K3474" s="57"/>
      <c r="L3474" s="11"/>
      <c r="M3474" s="41"/>
      <c r="N3474" s="11"/>
    </row>
    <row r="3475" spans="8:14" x14ac:dyDescent="0.25">
      <c r="H3475" s="37"/>
      <c r="I3475" s="79"/>
      <c r="J3475" s="70"/>
      <c r="K3475" s="57"/>
      <c r="L3475" s="11"/>
      <c r="M3475" s="41"/>
      <c r="N3475" s="11"/>
    </row>
    <row r="3476" spans="8:14" x14ac:dyDescent="0.25">
      <c r="H3476" s="37"/>
      <c r="I3476" s="79"/>
      <c r="J3476" s="70"/>
      <c r="K3476" s="57"/>
      <c r="L3476" s="11"/>
      <c r="M3476" s="41"/>
      <c r="N3476" s="11"/>
    </row>
    <row r="3477" spans="8:14" x14ac:dyDescent="0.25">
      <c r="H3477" s="37"/>
      <c r="I3477" s="79"/>
      <c r="J3477" s="70"/>
      <c r="K3477" s="57"/>
      <c r="L3477" s="11"/>
      <c r="M3477" s="41"/>
      <c r="N3477" s="11"/>
    </row>
    <row r="3478" spans="8:14" x14ac:dyDescent="0.25">
      <c r="H3478" s="37"/>
      <c r="I3478" s="79"/>
      <c r="J3478" s="70"/>
      <c r="K3478" s="57"/>
      <c r="L3478" s="11"/>
      <c r="M3478" s="41"/>
      <c r="N3478" s="11"/>
    </row>
    <row r="3479" spans="8:14" x14ac:dyDescent="0.25">
      <c r="H3479" s="37"/>
      <c r="I3479" s="79"/>
      <c r="J3479" s="70"/>
      <c r="K3479" s="57"/>
      <c r="L3479" s="11"/>
      <c r="M3479" s="41"/>
      <c r="N3479" s="11"/>
    </row>
    <row r="3480" spans="8:14" x14ac:dyDescent="0.25">
      <c r="H3480" s="37"/>
      <c r="I3480" s="79"/>
      <c r="J3480" s="70"/>
      <c r="K3480" s="57"/>
      <c r="L3480" s="11"/>
      <c r="M3480" s="41"/>
      <c r="N3480" s="11"/>
    </row>
    <row r="3481" spans="8:14" x14ac:dyDescent="0.25">
      <c r="H3481" s="37"/>
      <c r="I3481" s="79"/>
      <c r="J3481" s="70"/>
      <c r="K3481" s="57"/>
      <c r="L3481" s="11"/>
      <c r="M3481" s="41"/>
      <c r="N3481" s="11"/>
    </row>
    <row r="3482" spans="8:14" x14ac:dyDescent="0.25">
      <c r="H3482" s="37"/>
      <c r="I3482" s="79"/>
      <c r="J3482" s="70"/>
      <c r="K3482" s="57"/>
      <c r="L3482" s="11"/>
      <c r="M3482" s="41"/>
      <c r="N3482" s="11"/>
    </row>
    <row r="3483" spans="8:14" x14ac:dyDescent="0.25">
      <c r="H3483" s="37"/>
      <c r="I3483" s="79"/>
      <c r="J3483" s="70"/>
      <c r="K3483" s="57"/>
      <c r="L3483" s="11"/>
      <c r="M3483" s="41"/>
      <c r="N3483" s="11"/>
    </row>
    <row r="3484" spans="8:14" x14ac:dyDescent="0.25">
      <c r="H3484" s="37"/>
      <c r="I3484" s="79"/>
      <c r="J3484" s="70"/>
      <c r="K3484" s="57"/>
      <c r="L3484" s="11"/>
      <c r="M3484" s="41"/>
      <c r="N3484" s="11"/>
    </row>
    <row r="3485" spans="8:14" x14ac:dyDescent="0.25">
      <c r="H3485" s="37"/>
      <c r="I3485" s="79"/>
      <c r="J3485" s="70"/>
      <c r="K3485" s="57"/>
      <c r="L3485" s="11"/>
      <c r="M3485" s="41"/>
      <c r="N3485" s="11"/>
    </row>
    <row r="3486" spans="8:14" x14ac:dyDescent="0.25">
      <c r="H3486" s="37"/>
      <c r="I3486" s="79"/>
      <c r="J3486" s="70"/>
      <c r="K3486" s="57"/>
      <c r="L3486" s="11"/>
      <c r="M3486" s="41"/>
      <c r="N3486" s="11"/>
    </row>
    <row r="3487" spans="8:14" x14ac:dyDescent="0.25">
      <c r="H3487" s="37"/>
      <c r="I3487" s="79"/>
      <c r="J3487" s="70"/>
      <c r="K3487" s="57"/>
      <c r="L3487" s="11"/>
      <c r="M3487" s="41"/>
      <c r="N3487" s="11"/>
    </row>
    <row r="3488" spans="8:14" x14ac:dyDescent="0.25">
      <c r="H3488" s="37"/>
      <c r="I3488" s="79"/>
      <c r="J3488" s="70"/>
      <c r="K3488" s="57"/>
      <c r="L3488" s="11"/>
      <c r="M3488" s="41"/>
      <c r="N3488" s="11"/>
    </row>
    <row r="3489" spans="8:14" x14ac:dyDescent="0.25">
      <c r="H3489" s="37"/>
      <c r="I3489" s="79"/>
      <c r="J3489" s="70"/>
      <c r="K3489" s="57"/>
      <c r="L3489" s="11"/>
      <c r="M3489" s="41"/>
      <c r="N3489" s="11"/>
    </row>
    <row r="3490" spans="8:14" x14ac:dyDescent="0.25">
      <c r="H3490" s="37"/>
      <c r="I3490" s="79"/>
      <c r="J3490" s="70"/>
      <c r="K3490" s="57"/>
      <c r="L3490" s="11"/>
      <c r="M3490" s="41"/>
      <c r="N3490" s="11"/>
    </row>
    <row r="3491" spans="8:14" x14ac:dyDescent="0.25">
      <c r="H3491" s="37"/>
      <c r="I3491" s="79"/>
      <c r="J3491" s="70"/>
      <c r="K3491" s="57"/>
      <c r="L3491" s="11"/>
      <c r="M3491" s="41"/>
      <c r="N3491" s="11"/>
    </row>
    <row r="3492" spans="8:14" x14ac:dyDescent="0.25">
      <c r="H3492" s="37"/>
      <c r="I3492" s="79"/>
      <c r="J3492" s="70"/>
      <c r="K3492" s="57"/>
      <c r="L3492" s="11"/>
      <c r="M3492" s="41"/>
      <c r="N3492" s="11"/>
    </row>
    <row r="3493" spans="8:14" x14ac:dyDescent="0.25">
      <c r="H3493" s="37"/>
      <c r="I3493" s="79"/>
      <c r="J3493" s="70"/>
      <c r="K3493" s="57"/>
      <c r="L3493" s="11"/>
      <c r="M3493" s="41"/>
      <c r="N3493" s="11"/>
    </row>
    <row r="3494" spans="8:14" x14ac:dyDescent="0.25">
      <c r="H3494" s="37"/>
      <c r="I3494" s="79"/>
      <c r="J3494" s="70"/>
      <c r="K3494" s="57"/>
      <c r="L3494" s="11"/>
      <c r="M3494" s="41"/>
      <c r="N3494" s="11"/>
    </row>
    <row r="3495" spans="8:14" x14ac:dyDescent="0.25">
      <c r="H3495" s="37"/>
      <c r="I3495" s="79"/>
      <c r="J3495" s="70"/>
      <c r="K3495" s="57"/>
      <c r="L3495" s="11"/>
      <c r="M3495" s="41"/>
      <c r="N3495" s="11"/>
    </row>
    <row r="3496" spans="8:14" x14ac:dyDescent="0.25">
      <c r="H3496" s="37"/>
      <c r="I3496" s="79"/>
      <c r="J3496" s="70"/>
      <c r="K3496" s="57"/>
      <c r="L3496" s="11"/>
      <c r="M3496" s="41"/>
      <c r="N3496" s="11"/>
    </row>
    <row r="3497" spans="8:14" x14ac:dyDescent="0.25">
      <c r="H3497" s="37"/>
      <c r="I3497" s="79"/>
      <c r="J3497" s="70"/>
      <c r="K3497" s="57"/>
      <c r="L3497" s="11"/>
      <c r="M3497" s="41"/>
      <c r="N3497" s="11"/>
    </row>
    <row r="3498" spans="8:14" x14ac:dyDescent="0.25">
      <c r="H3498" s="37"/>
      <c r="I3498" s="79"/>
      <c r="J3498" s="70"/>
      <c r="K3498" s="57"/>
      <c r="L3498" s="11"/>
      <c r="M3498" s="41"/>
      <c r="N3498" s="11"/>
    </row>
    <row r="3499" spans="8:14" x14ac:dyDescent="0.25">
      <c r="H3499" s="37"/>
      <c r="I3499" s="79"/>
      <c r="J3499" s="70"/>
      <c r="K3499" s="57"/>
      <c r="L3499" s="11"/>
      <c r="M3499" s="41"/>
      <c r="N3499" s="11"/>
    </row>
    <row r="3500" spans="8:14" x14ac:dyDescent="0.25">
      <c r="H3500" s="37"/>
      <c r="I3500" s="79"/>
      <c r="J3500" s="70"/>
      <c r="K3500" s="57"/>
      <c r="L3500" s="11"/>
      <c r="M3500" s="41"/>
      <c r="N3500" s="11"/>
    </row>
    <row r="3501" spans="8:14" x14ac:dyDescent="0.25">
      <c r="H3501" s="37"/>
      <c r="I3501" s="79"/>
      <c r="J3501" s="70"/>
      <c r="K3501" s="57"/>
      <c r="L3501" s="11"/>
      <c r="M3501" s="41"/>
      <c r="N3501" s="11"/>
    </row>
    <row r="3502" spans="8:14" x14ac:dyDescent="0.25">
      <c r="H3502" s="37"/>
      <c r="I3502" s="79"/>
      <c r="J3502" s="70"/>
      <c r="K3502" s="57"/>
      <c r="L3502" s="11"/>
      <c r="M3502" s="41"/>
      <c r="N3502" s="11"/>
    </row>
    <row r="3503" spans="8:14" x14ac:dyDescent="0.25">
      <c r="H3503" s="37"/>
      <c r="I3503" s="79"/>
      <c r="J3503" s="70"/>
      <c r="K3503" s="57"/>
      <c r="L3503" s="11"/>
      <c r="M3503" s="41"/>
      <c r="N3503" s="11"/>
    </row>
    <row r="3504" spans="8:14" x14ac:dyDescent="0.25">
      <c r="H3504" s="37"/>
      <c r="I3504" s="79"/>
      <c r="J3504" s="70"/>
      <c r="K3504" s="57"/>
      <c r="L3504" s="11"/>
      <c r="M3504" s="41"/>
      <c r="N3504" s="11"/>
    </row>
    <row r="3505" spans="8:14" x14ac:dyDescent="0.25">
      <c r="H3505" s="37"/>
      <c r="I3505" s="79"/>
      <c r="J3505" s="70"/>
      <c r="K3505" s="57"/>
      <c r="L3505" s="11"/>
      <c r="M3505" s="41"/>
      <c r="N3505" s="11"/>
    </row>
    <row r="3506" spans="8:14" x14ac:dyDescent="0.25">
      <c r="H3506" s="37"/>
      <c r="I3506" s="79"/>
      <c r="J3506" s="70"/>
      <c r="K3506" s="57"/>
      <c r="L3506" s="11"/>
      <c r="M3506" s="41"/>
      <c r="N3506" s="11"/>
    </row>
    <row r="3507" spans="8:14" x14ac:dyDescent="0.25">
      <c r="H3507" s="37"/>
      <c r="I3507" s="79"/>
      <c r="J3507" s="70"/>
      <c r="K3507" s="57"/>
      <c r="L3507" s="11"/>
      <c r="M3507" s="41"/>
      <c r="N3507" s="11"/>
    </row>
    <row r="3508" spans="8:14" x14ac:dyDescent="0.25">
      <c r="H3508" s="37"/>
      <c r="I3508" s="79"/>
      <c r="J3508" s="70"/>
      <c r="K3508" s="57"/>
      <c r="L3508" s="11"/>
      <c r="M3508" s="41"/>
      <c r="N3508" s="11"/>
    </row>
    <row r="3509" spans="8:14" x14ac:dyDescent="0.25">
      <c r="H3509" s="37"/>
      <c r="I3509" s="79"/>
      <c r="J3509" s="70"/>
      <c r="K3509" s="57"/>
      <c r="L3509" s="11"/>
      <c r="M3509" s="41"/>
      <c r="N3509" s="11"/>
    </row>
    <row r="3510" spans="8:14" x14ac:dyDescent="0.25">
      <c r="H3510" s="37"/>
      <c r="I3510" s="79"/>
      <c r="J3510" s="70"/>
      <c r="K3510" s="57"/>
      <c r="L3510" s="11"/>
      <c r="M3510" s="41"/>
      <c r="N3510" s="11"/>
    </row>
    <row r="3511" spans="8:14" x14ac:dyDescent="0.25">
      <c r="H3511" s="37"/>
      <c r="I3511" s="79"/>
      <c r="J3511" s="70"/>
      <c r="K3511" s="57"/>
      <c r="L3511" s="11"/>
      <c r="M3511" s="41"/>
      <c r="N3511" s="11"/>
    </row>
    <row r="3512" spans="8:14" x14ac:dyDescent="0.25">
      <c r="H3512" s="37"/>
      <c r="I3512" s="79"/>
      <c r="J3512" s="70"/>
      <c r="K3512" s="57"/>
      <c r="L3512" s="11"/>
      <c r="M3512" s="41"/>
      <c r="N3512" s="11"/>
    </row>
    <row r="3513" spans="8:14" x14ac:dyDescent="0.25">
      <c r="H3513" s="37"/>
      <c r="I3513" s="79"/>
      <c r="J3513" s="70"/>
      <c r="K3513" s="57"/>
      <c r="L3513" s="11"/>
      <c r="M3513" s="41"/>
      <c r="N3513" s="11"/>
    </row>
    <row r="3514" spans="8:14" x14ac:dyDescent="0.25">
      <c r="H3514" s="37"/>
      <c r="I3514" s="79"/>
      <c r="J3514" s="70"/>
      <c r="K3514" s="57"/>
      <c r="L3514" s="11"/>
      <c r="M3514" s="41"/>
      <c r="N3514" s="11"/>
    </row>
    <row r="3515" spans="8:14" x14ac:dyDescent="0.25">
      <c r="H3515" s="37"/>
      <c r="I3515" s="79"/>
      <c r="J3515" s="70"/>
      <c r="K3515" s="57"/>
      <c r="L3515" s="11"/>
      <c r="M3515" s="41"/>
      <c r="N3515" s="11"/>
    </row>
    <row r="3516" spans="8:14" x14ac:dyDescent="0.25">
      <c r="H3516" s="37"/>
      <c r="I3516" s="79"/>
      <c r="J3516" s="70"/>
      <c r="K3516" s="57"/>
      <c r="L3516" s="11"/>
      <c r="M3516" s="41"/>
      <c r="N3516" s="11"/>
    </row>
    <row r="3517" spans="8:14" x14ac:dyDescent="0.25">
      <c r="H3517" s="37"/>
      <c r="I3517" s="79"/>
      <c r="J3517" s="70"/>
      <c r="K3517" s="57"/>
      <c r="L3517" s="11"/>
      <c r="M3517" s="41"/>
      <c r="N3517" s="11"/>
    </row>
    <row r="3518" spans="8:14" x14ac:dyDescent="0.25">
      <c r="H3518" s="37"/>
      <c r="I3518" s="79"/>
      <c r="J3518" s="70"/>
      <c r="K3518" s="57"/>
      <c r="L3518" s="11"/>
      <c r="M3518" s="41"/>
      <c r="N3518" s="11"/>
    </row>
    <row r="3519" spans="8:14" x14ac:dyDescent="0.25">
      <c r="H3519" s="37"/>
      <c r="I3519" s="79"/>
      <c r="J3519" s="70"/>
      <c r="K3519" s="57"/>
      <c r="L3519" s="11"/>
      <c r="M3519" s="41"/>
      <c r="N3519" s="11"/>
    </row>
    <row r="3520" spans="8:14" x14ac:dyDescent="0.25">
      <c r="H3520" s="37"/>
      <c r="I3520" s="79"/>
      <c r="J3520" s="70"/>
      <c r="K3520" s="57"/>
      <c r="L3520" s="11"/>
      <c r="M3520" s="41"/>
      <c r="N3520" s="11"/>
    </row>
    <row r="3521" spans="8:14" x14ac:dyDescent="0.25">
      <c r="H3521" s="37"/>
      <c r="I3521" s="79"/>
      <c r="J3521" s="70"/>
      <c r="K3521" s="57"/>
      <c r="L3521" s="11"/>
      <c r="M3521" s="41"/>
      <c r="N3521" s="11"/>
    </row>
    <row r="3522" spans="8:14" x14ac:dyDescent="0.25">
      <c r="H3522" s="37"/>
      <c r="I3522" s="79"/>
      <c r="J3522" s="70"/>
      <c r="K3522" s="57"/>
      <c r="L3522" s="11"/>
      <c r="M3522" s="41"/>
      <c r="N3522" s="11"/>
    </row>
    <row r="3523" spans="8:14" x14ac:dyDescent="0.25">
      <c r="H3523" s="37"/>
      <c r="I3523" s="79"/>
      <c r="J3523" s="70"/>
      <c r="K3523" s="57"/>
      <c r="L3523" s="11"/>
      <c r="M3523" s="41"/>
      <c r="N3523" s="11"/>
    </row>
    <row r="3524" spans="8:14" x14ac:dyDescent="0.25">
      <c r="H3524" s="37"/>
      <c r="I3524" s="79"/>
      <c r="J3524" s="70"/>
      <c r="K3524" s="57"/>
      <c r="L3524" s="11"/>
      <c r="M3524" s="41"/>
      <c r="N3524" s="11"/>
    </row>
    <row r="3525" spans="8:14" x14ac:dyDescent="0.25">
      <c r="H3525" s="37"/>
      <c r="I3525" s="79"/>
      <c r="J3525" s="70"/>
      <c r="K3525" s="57"/>
      <c r="L3525" s="11"/>
      <c r="M3525" s="41"/>
      <c r="N3525" s="11"/>
    </row>
    <row r="3526" spans="8:14" x14ac:dyDescent="0.25">
      <c r="H3526" s="37"/>
      <c r="I3526" s="79"/>
      <c r="J3526" s="70"/>
      <c r="K3526" s="57"/>
      <c r="L3526" s="11"/>
      <c r="M3526" s="41"/>
      <c r="N3526" s="11"/>
    </row>
    <row r="3527" spans="8:14" x14ac:dyDescent="0.25">
      <c r="H3527" s="37"/>
      <c r="I3527" s="79"/>
      <c r="J3527" s="70"/>
      <c r="K3527" s="57"/>
      <c r="L3527" s="11"/>
      <c r="M3527" s="41"/>
      <c r="N3527" s="11"/>
    </row>
    <row r="3528" spans="8:14" x14ac:dyDescent="0.25">
      <c r="H3528" s="37"/>
      <c r="I3528" s="79"/>
      <c r="J3528" s="70"/>
      <c r="K3528" s="57"/>
      <c r="L3528" s="11"/>
      <c r="M3528" s="41"/>
      <c r="N3528" s="11"/>
    </row>
    <row r="3529" spans="8:14" x14ac:dyDescent="0.25">
      <c r="H3529" s="37"/>
      <c r="I3529" s="79"/>
      <c r="J3529" s="70"/>
      <c r="K3529" s="57"/>
      <c r="L3529" s="11"/>
      <c r="M3529" s="41"/>
      <c r="N3529" s="11"/>
    </row>
    <row r="3530" spans="8:14" x14ac:dyDescent="0.25">
      <c r="H3530" s="37"/>
      <c r="I3530" s="79"/>
      <c r="J3530" s="70"/>
      <c r="K3530" s="57"/>
      <c r="L3530" s="11"/>
      <c r="M3530" s="41"/>
      <c r="N3530" s="11"/>
    </row>
    <row r="3531" spans="8:14" x14ac:dyDescent="0.25">
      <c r="H3531" s="37"/>
      <c r="I3531" s="79"/>
      <c r="J3531" s="70"/>
      <c r="K3531" s="57"/>
      <c r="L3531" s="11"/>
      <c r="M3531" s="41"/>
      <c r="N3531" s="11"/>
    </row>
    <row r="3532" spans="8:14" x14ac:dyDescent="0.25">
      <c r="H3532" s="37"/>
      <c r="I3532" s="79"/>
      <c r="J3532" s="70"/>
      <c r="K3532" s="57"/>
      <c r="L3532" s="11"/>
      <c r="M3532" s="41"/>
      <c r="N3532" s="11"/>
    </row>
    <row r="3533" spans="8:14" x14ac:dyDescent="0.25">
      <c r="H3533" s="37"/>
      <c r="I3533" s="79"/>
      <c r="J3533" s="70"/>
      <c r="K3533" s="57"/>
      <c r="L3533" s="11"/>
      <c r="M3533" s="41"/>
      <c r="N3533" s="11"/>
    </row>
    <row r="3534" spans="8:14" x14ac:dyDescent="0.25">
      <c r="H3534" s="37"/>
      <c r="I3534" s="79"/>
      <c r="J3534" s="70"/>
      <c r="K3534" s="57"/>
      <c r="L3534" s="11"/>
      <c r="M3534" s="41"/>
      <c r="N3534" s="11"/>
    </row>
    <row r="3535" spans="8:14" x14ac:dyDescent="0.25">
      <c r="H3535" s="37"/>
      <c r="I3535" s="79"/>
      <c r="J3535" s="70"/>
      <c r="K3535" s="57"/>
      <c r="L3535" s="11"/>
      <c r="M3535" s="41"/>
      <c r="N3535" s="11"/>
    </row>
    <row r="3536" spans="8:14" x14ac:dyDescent="0.25">
      <c r="H3536" s="37"/>
      <c r="I3536" s="79"/>
      <c r="J3536" s="70"/>
      <c r="K3536" s="57"/>
      <c r="L3536" s="11"/>
      <c r="M3536" s="41"/>
      <c r="N3536" s="11"/>
    </row>
    <row r="3537" spans="8:14" x14ac:dyDescent="0.25">
      <c r="H3537" s="37"/>
      <c r="I3537" s="79"/>
      <c r="J3537" s="70"/>
      <c r="K3537" s="57"/>
      <c r="L3537" s="11"/>
      <c r="M3537" s="41"/>
      <c r="N3537" s="11"/>
    </row>
    <row r="3538" spans="8:14" x14ac:dyDescent="0.25">
      <c r="H3538" s="37"/>
      <c r="I3538" s="79"/>
      <c r="J3538" s="70"/>
      <c r="K3538" s="57"/>
      <c r="L3538" s="11"/>
      <c r="M3538" s="41"/>
      <c r="N3538" s="11"/>
    </row>
    <row r="3539" spans="8:14" x14ac:dyDescent="0.25">
      <c r="H3539" s="37"/>
      <c r="I3539" s="79"/>
      <c r="J3539" s="70"/>
      <c r="K3539" s="57"/>
      <c r="L3539" s="11"/>
      <c r="M3539" s="41"/>
      <c r="N3539" s="11"/>
    </row>
    <row r="3540" spans="8:14" x14ac:dyDescent="0.25">
      <c r="H3540" s="37"/>
      <c r="I3540" s="79"/>
      <c r="J3540" s="70"/>
      <c r="K3540" s="57"/>
      <c r="L3540" s="11"/>
      <c r="M3540" s="41"/>
      <c r="N3540" s="11"/>
    </row>
    <row r="3541" spans="8:14" x14ac:dyDescent="0.25">
      <c r="H3541" s="37"/>
      <c r="I3541" s="79"/>
      <c r="J3541" s="70"/>
      <c r="K3541" s="57"/>
      <c r="L3541" s="11"/>
      <c r="M3541" s="41"/>
      <c r="N3541" s="11"/>
    </row>
    <row r="3542" spans="8:14" x14ac:dyDescent="0.25">
      <c r="H3542" s="37"/>
      <c r="I3542" s="79"/>
      <c r="J3542" s="70"/>
      <c r="K3542" s="57"/>
      <c r="L3542" s="11"/>
      <c r="M3542" s="41"/>
      <c r="N3542" s="11"/>
    </row>
    <row r="3543" spans="8:14" x14ac:dyDescent="0.25">
      <c r="H3543" s="37"/>
      <c r="I3543" s="79"/>
      <c r="J3543" s="70"/>
      <c r="K3543" s="57"/>
      <c r="L3543" s="11"/>
      <c r="M3543" s="41"/>
      <c r="N3543" s="11"/>
    </row>
    <row r="3544" spans="8:14" x14ac:dyDescent="0.25">
      <c r="H3544" s="37"/>
      <c r="I3544" s="79"/>
      <c r="J3544" s="70"/>
      <c r="K3544" s="57"/>
      <c r="L3544" s="11"/>
      <c r="M3544" s="41"/>
      <c r="N3544" s="11"/>
    </row>
    <row r="3545" spans="8:14" x14ac:dyDescent="0.25">
      <c r="H3545" s="37"/>
      <c r="I3545" s="79"/>
      <c r="J3545" s="70"/>
      <c r="K3545" s="57"/>
      <c r="L3545" s="11"/>
      <c r="M3545" s="41"/>
      <c r="N3545" s="11"/>
    </row>
    <row r="3546" spans="8:14" x14ac:dyDescent="0.25">
      <c r="H3546" s="37"/>
      <c r="I3546" s="79"/>
      <c r="J3546" s="70"/>
      <c r="K3546" s="57"/>
      <c r="L3546" s="11"/>
      <c r="M3546" s="41"/>
      <c r="N3546" s="11"/>
    </row>
    <row r="3547" spans="8:14" x14ac:dyDescent="0.25">
      <c r="H3547" s="37"/>
      <c r="I3547" s="79"/>
      <c r="J3547" s="70"/>
      <c r="K3547" s="57"/>
      <c r="L3547" s="11"/>
      <c r="M3547" s="41"/>
      <c r="N3547" s="11"/>
    </row>
    <row r="3548" spans="8:14" x14ac:dyDescent="0.25">
      <c r="H3548" s="37"/>
      <c r="I3548" s="79"/>
      <c r="J3548" s="70"/>
      <c r="K3548" s="57"/>
      <c r="L3548" s="11"/>
      <c r="M3548" s="41"/>
      <c r="N3548" s="11"/>
    </row>
    <row r="3549" spans="8:14" x14ac:dyDescent="0.25">
      <c r="H3549" s="37"/>
      <c r="I3549" s="79"/>
      <c r="J3549" s="70"/>
      <c r="K3549" s="57"/>
      <c r="L3549" s="11"/>
      <c r="M3549" s="41"/>
      <c r="N3549" s="11"/>
    </row>
    <row r="3550" spans="8:14" x14ac:dyDescent="0.25">
      <c r="H3550" s="37"/>
      <c r="I3550" s="79"/>
      <c r="J3550" s="70"/>
      <c r="K3550" s="57"/>
      <c r="L3550" s="11"/>
      <c r="M3550" s="41"/>
      <c r="N3550" s="11"/>
    </row>
    <row r="3551" spans="8:14" x14ac:dyDescent="0.25">
      <c r="H3551" s="37"/>
      <c r="I3551" s="79"/>
      <c r="J3551" s="70"/>
      <c r="K3551" s="57"/>
      <c r="L3551" s="11"/>
      <c r="M3551" s="41"/>
      <c r="N3551" s="11"/>
    </row>
    <row r="3552" spans="8:14" x14ac:dyDescent="0.25">
      <c r="H3552" s="37"/>
      <c r="I3552" s="79"/>
      <c r="J3552" s="70"/>
      <c r="K3552" s="57"/>
      <c r="L3552" s="11"/>
      <c r="M3552" s="41"/>
      <c r="N3552" s="11"/>
    </row>
    <row r="3553" spans="8:14" x14ac:dyDescent="0.25">
      <c r="H3553" s="37"/>
      <c r="I3553" s="79"/>
      <c r="J3553" s="70"/>
      <c r="K3553" s="57"/>
      <c r="L3553" s="11"/>
      <c r="M3553" s="41"/>
      <c r="N3553" s="11"/>
    </row>
    <row r="3554" spans="8:14" x14ac:dyDescent="0.25">
      <c r="H3554" s="37"/>
      <c r="I3554" s="79"/>
      <c r="J3554" s="70"/>
      <c r="K3554" s="57"/>
      <c r="L3554" s="11"/>
      <c r="M3554" s="41"/>
      <c r="N3554" s="11"/>
    </row>
    <row r="3555" spans="8:14" x14ac:dyDescent="0.25">
      <c r="H3555" s="37"/>
      <c r="I3555" s="79"/>
      <c r="J3555" s="70"/>
      <c r="K3555" s="57"/>
      <c r="L3555" s="11"/>
      <c r="M3555" s="41"/>
      <c r="N3555" s="11"/>
    </row>
    <row r="3556" spans="8:14" x14ac:dyDescent="0.25">
      <c r="H3556" s="37"/>
      <c r="I3556" s="79"/>
      <c r="J3556" s="70"/>
      <c r="K3556" s="57"/>
      <c r="L3556" s="11"/>
      <c r="M3556" s="41"/>
      <c r="N3556" s="11"/>
    </row>
    <row r="3557" spans="8:14" x14ac:dyDescent="0.25">
      <c r="H3557" s="37"/>
      <c r="I3557" s="79"/>
      <c r="J3557" s="70"/>
      <c r="K3557" s="57"/>
      <c r="L3557" s="11"/>
      <c r="M3557" s="41"/>
      <c r="N3557" s="11"/>
    </row>
    <row r="3558" spans="8:14" x14ac:dyDescent="0.25">
      <c r="H3558" s="37"/>
      <c r="I3558" s="79"/>
      <c r="J3558" s="70"/>
      <c r="K3558" s="57"/>
      <c r="L3558" s="11"/>
      <c r="M3558" s="41"/>
      <c r="N3558" s="11"/>
    </row>
    <row r="3559" spans="8:14" x14ac:dyDescent="0.25">
      <c r="H3559" s="37"/>
      <c r="I3559" s="79"/>
      <c r="J3559" s="70"/>
      <c r="K3559" s="57"/>
      <c r="L3559" s="11"/>
      <c r="M3559" s="41"/>
      <c r="N3559" s="11"/>
    </row>
    <row r="3560" spans="8:14" x14ac:dyDescent="0.25">
      <c r="H3560" s="37"/>
      <c r="I3560" s="79"/>
      <c r="J3560" s="70"/>
      <c r="K3560" s="57"/>
      <c r="L3560" s="11"/>
      <c r="M3560" s="41"/>
      <c r="N3560" s="11"/>
    </row>
    <row r="3561" spans="8:14" x14ac:dyDescent="0.25">
      <c r="H3561" s="37"/>
      <c r="I3561" s="79"/>
      <c r="J3561" s="70"/>
      <c r="K3561" s="57"/>
      <c r="L3561" s="11"/>
      <c r="M3561" s="41"/>
      <c r="N3561" s="11"/>
    </row>
    <row r="3562" spans="8:14" x14ac:dyDescent="0.25">
      <c r="H3562" s="37"/>
      <c r="I3562" s="79"/>
      <c r="J3562" s="70"/>
      <c r="K3562" s="57"/>
      <c r="L3562" s="11"/>
      <c r="M3562" s="41"/>
      <c r="N3562" s="11"/>
    </row>
    <row r="3563" spans="8:14" x14ac:dyDescent="0.25">
      <c r="H3563" s="37"/>
      <c r="I3563" s="79"/>
      <c r="J3563" s="70"/>
      <c r="K3563" s="57"/>
      <c r="L3563" s="11"/>
      <c r="M3563" s="41"/>
      <c r="N3563" s="11"/>
    </row>
    <row r="3564" spans="8:14" x14ac:dyDescent="0.25">
      <c r="H3564" s="37"/>
      <c r="I3564" s="79"/>
      <c r="J3564" s="70"/>
      <c r="K3564" s="57"/>
      <c r="L3564" s="11"/>
      <c r="M3564" s="41"/>
      <c r="N3564" s="11"/>
    </row>
    <row r="3565" spans="8:14" x14ac:dyDescent="0.25">
      <c r="H3565" s="37"/>
      <c r="I3565" s="79"/>
      <c r="J3565" s="70"/>
      <c r="K3565" s="57"/>
      <c r="L3565" s="11"/>
      <c r="M3565" s="41"/>
      <c r="N3565" s="11"/>
    </row>
    <row r="3566" spans="8:14" x14ac:dyDescent="0.25">
      <c r="H3566" s="37"/>
      <c r="I3566" s="79"/>
      <c r="J3566" s="70"/>
      <c r="K3566" s="57"/>
      <c r="L3566" s="11"/>
      <c r="M3566" s="41"/>
      <c r="N3566" s="11"/>
    </row>
    <row r="3567" spans="8:14" x14ac:dyDescent="0.25">
      <c r="H3567" s="37"/>
      <c r="I3567" s="79"/>
      <c r="J3567" s="70"/>
      <c r="K3567" s="57"/>
      <c r="L3567" s="11"/>
      <c r="M3567" s="41"/>
      <c r="N3567" s="11"/>
    </row>
    <row r="3568" spans="8:14" x14ac:dyDescent="0.25">
      <c r="H3568" s="37"/>
      <c r="I3568" s="79"/>
      <c r="J3568" s="70"/>
      <c r="K3568" s="57"/>
      <c r="L3568" s="11"/>
      <c r="M3568" s="41"/>
      <c r="N3568" s="11"/>
    </row>
    <row r="3569" spans="8:14" x14ac:dyDescent="0.25">
      <c r="H3569" s="37"/>
      <c r="I3569" s="79"/>
      <c r="J3569" s="70"/>
      <c r="K3569" s="57"/>
      <c r="L3569" s="11"/>
      <c r="M3569" s="41"/>
      <c r="N3569" s="11"/>
    </row>
    <row r="3570" spans="8:14" x14ac:dyDescent="0.25">
      <c r="H3570" s="37"/>
      <c r="I3570" s="79"/>
      <c r="J3570" s="70"/>
      <c r="K3570" s="57"/>
      <c r="L3570" s="11"/>
      <c r="M3570" s="41"/>
      <c r="N3570" s="11"/>
    </row>
    <row r="3571" spans="8:14" x14ac:dyDescent="0.25">
      <c r="H3571" s="37"/>
      <c r="I3571" s="79"/>
      <c r="J3571" s="70"/>
      <c r="K3571" s="57"/>
      <c r="L3571" s="11"/>
      <c r="M3571" s="41"/>
      <c r="N3571" s="11"/>
    </row>
    <row r="3572" spans="8:14" x14ac:dyDescent="0.25">
      <c r="H3572" s="37"/>
      <c r="I3572" s="79"/>
      <c r="J3572" s="70"/>
      <c r="K3572" s="57"/>
      <c r="L3572" s="11"/>
      <c r="M3572" s="41"/>
      <c r="N3572" s="11"/>
    </row>
    <row r="3573" spans="8:14" x14ac:dyDescent="0.25">
      <c r="H3573" s="37"/>
      <c r="I3573" s="79"/>
      <c r="J3573" s="70"/>
      <c r="K3573" s="57"/>
      <c r="L3573" s="11"/>
      <c r="M3573" s="41"/>
      <c r="N3573" s="11"/>
    </row>
    <row r="3574" spans="8:14" x14ac:dyDescent="0.25">
      <c r="H3574" s="37"/>
      <c r="I3574" s="79"/>
      <c r="J3574" s="70"/>
      <c r="K3574" s="57"/>
      <c r="L3574" s="11"/>
      <c r="M3574" s="41"/>
      <c r="N3574" s="11"/>
    </row>
    <row r="3575" spans="8:14" x14ac:dyDescent="0.25">
      <c r="H3575" s="37"/>
      <c r="I3575" s="79"/>
      <c r="J3575" s="70"/>
      <c r="K3575" s="57"/>
      <c r="L3575" s="11"/>
      <c r="M3575" s="41"/>
      <c r="N3575" s="11"/>
    </row>
    <row r="3576" spans="8:14" x14ac:dyDescent="0.25">
      <c r="H3576" s="37"/>
      <c r="I3576" s="79"/>
      <c r="J3576" s="70"/>
      <c r="K3576" s="57"/>
      <c r="L3576" s="11"/>
      <c r="M3576" s="41"/>
      <c r="N3576" s="11"/>
    </row>
    <row r="3577" spans="8:14" x14ac:dyDescent="0.25">
      <c r="H3577" s="37"/>
      <c r="I3577" s="79"/>
      <c r="J3577" s="70"/>
      <c r="K3577" s="57"/>
      <c r="L3577" s="11"/>
      <c r="M3577" s="41"/>
      <c r="N3577" s="11"/>
    </row>
    <row r="3578" spans="8:14" x14ac:dyDescent="0.25">
      <c r="H3578" s="37"/>
      <c r="I3578" s="79"/>
      <c r="J3578" s="70"/>
      <c r="K3578" s="57"/>
      <c r="L3578" s="11"/>
      <c r="M3578" s="41"/>
      <c r="N3578" s="11"/>
    </row>
    <row r="3579" spans="8:14" x14ac:dyDescent="0.25">
      <c r="H3579" s="37"/>
      <c r="I3579" s="79"/>
      <c r="J3579" s="70"/>
      <c r="K3579" s="57"/>
      <c r="L3579" s="11"/>
      <c r="M3579" s="41"/>
      <c r="N3579" s="11"/>
    </row>
    <row r="3580" spans="8:14" x14ac:dyDescent="0.25">
      <c r="H3580" s="37"/>
      <c r="I3580" s="79"/>
      <c r="J3580" s="70"/>
      <c r="K3580" s="57"/>
      <c r="L3580" s="11"/>
      <c r="M3580" s="41"/>
      <c r="N3580" s="11"/>
    </row>
    <row r="3581" spans="8:14" x14ac:dyDescent="0.25">
      <c r="H3581" s="37"/>
      <c r="I3581" s="79"/>
      <c r="J3581" s="70"/>
      <c r="K3581" s="57"/>
      <c r="L3581" s="11"/>
      <c r="M3581" s="41"/>
      <c r="N3581" s="11"/>
    </row>
    <row r="3582" spans="8:14" x14ac:dyDescent="0.25">
      <c r="H3582" s="37"/>
      <c r="I3582" s="79"/>
      <c r="J3582" s="70"/>
      <c r="K3582" s="57"/>
      <c r="L3582" s="11"/>
      <c r="M3582" s="41"/>
      <c r="N3582" s="11"/>
    </row>
    <row r="3583" spans="8:14" x14ac:dyDescent="0.25">
      <c r="H3583" s="37"/>
      <c r="I3583" s="79"/>
      <c r="J3583" s="70"/>
      <c r="K3583" s="57"/>
      <c r="L3583" s="11"/>
      <c r="M3583" s="41"/>
      <c r="N3583" s="11"/>
    </row>
    <row r="3584" spans="8:14" x14ac:dyDescent="0.25">
      <c r="H3584" s="37"/>
      <c r="I3584" s="79"/>
      <c r="J3584" s="70"/>
      <c r="K3584" s="57"/>
      <c r="L3584" s="11"/>
      <c r="M3584" s="41"/>
      <c r="N3584" s="11"/>
    </row>
    <row r="3585" spans="8:14" x14ac:dyDescent="0.25">
      <c r="H3585" s="37"/>
      <c r="I3585" s="79"/>
      <c r="J3585" s="70"/>
      <c r="K3585" s="57"/>
      <c r="L3585" s="11"/>
      <c r="M3585" s="41"/>
      <c r="N3585" s="11"/>
    </row>
    <row r="3586" spans="8:14" x14ac:dyDescent="0.25">
      <c r="H3586" s="37"/>
      <c r="I3586" s="79"/>
      <c r="J3586" s="70"/>
      <c r="K3586" s="57"/>
      <c r="L3586" s="11"/>
      <c r="M3586" s="41"/>
      <c r="N3586" s="11"/>
    </row>
    <row r="3587" spans="8:14" x14ac:dyDescent="0.25">
      <c r="H3587" s="37"/>
      <c r="I3587" s="79"/>
      <c r="J3587" s="70"/>
      <c r="K3587" s="57"/>
      <c r="L3587" s="11"/>
      <c r="M3587" s="41"/>
      <c r="N3587" s="11"/>
    </row>
    <row r="3588" spans="8:14" x14ac:dyDescent="0.25">
      <c r="H3588" s="37"/>
      <c r="I3588" s="79"/>
      <c r="J3588" s="70"/>
      <c r="K3588" s="57"/>
      <c r="L3588" s="11"/>
      <c r="M3588" s="41"/>
      <c r="N3588" s="11"/>
    </row>
    <row r="3589" spans="8:14" x14ac:dyDescent="0.25">
      <c r="H3589" s="37"/>
      <c r="I3589" s="79"/>
      <c r="J3589" s="70"/>
      <c r="K3589" s="57"/>
      <c r="L3589" s="11"/>
      <c r="M3589" s="41"/>
      <c r="N3589" s="11"/>
    </row>
    <row r="3590" spans="8:14" x14ac:dyDescent="0.25">
      <c r="H3590" s="37"/>
      <c r="I3590" s="79"/>
      <c r="J3590" s="70"/>
      <c r="K3590" s="57"/>
      <c r="L3590" s="11"/>
      <c r="M3590" s="41"/>
      <c r="N3590" s="11"/>
    </row>
    <row r="3591" spans="8:14" x14ac:dyDescent="0.25">
      <c r="H3591" s="37"/>
      <c r="I3591" s="79"/>
      <c r="J3591" s="70"/>
      <c r="K3591" s="57"/>
      <c r="L3591" s="11"/>
      <c r="M3591" s="41"/>
      <c r="N3591" s="11"/>
    </row>
    <row r="3592" spans="8:14" x14ac:dyDescent="0.25">
      <c r="H3592" s="37"/>
      <c r="I3592" s="79"/>
      <c r="J3592" s="70"/>
      <c r="K3592" s="57"/>
      <c r="L3592" s="11"/>
      <c r="M3592" s="41"/>
      <c r="N3592" s="11"/>
    </row>
    <row r="3593" spans="8:14" x14ac:dyDescent="0.25">
      <c r="H3593" s="37"/>
      <c r="I3593" s="79"/>
      <c r="J3593" s="70"/>
      <c r="K3593" s="57"/>
      <c r="L3593" s="11"/>
      <c r="M3593" s="41"/>
      <c r="N3593" s="11"/>
    </row>
    <row r="3594" spans="8:14" x14ac:dyDescent="0.25">
      <c r="H3594" s="37"/>
      <c r="I3594" s="79"/>
      <c r="J3594" s="70"/>
      <c r="K3594" s="57"/>
      <c r="L3594" s="11"/>
      <c r="M3594" s="41"/>
      <c r="N3594" s="11"/>
    </row>
    <row r="3595" spans="8:14" x14ac:dyDescent="0.25">
      <c r="H3595" s="37"/>
      <c r="I3595" s="79"/>
      <c r="J3595" s="70"/>
      <c r="K3595" s="57"/>
      <c r="L3595" s="11"/>
      <c r="M3595" s="41"/>
      <c r="N3595" s="11"/>
    </row>
    <row r="3596" spans="8:14" x14ac:dyDescent="0.25">
      <c r="H3596" s="37"/>
      <c r="I3596" s="79"/>
      <c r="J3596" s="70"/>
      <c r="K3596" s="57"/>
      <c r="L3596" s="11"/>
      <c r="M3596" s="41"/>
      <c r="N3596" s="11"/>
    </row>
    <row r="3597" spans="8:14" x14ac:dyDescent="0.25">
      <c r="H3597" s="37"/>
      <c r="I3597" s="79"/>
      <c r="J3597" s="70"/>
      <c r="K3597" s="57"/>
      <c r="L3597" s="11"/>
      <c r="M3597" s="41"/>
      <c r="N3597" s="11"/>
    </row>
    <row r="3598" spans="8:14" x14ac:dyDescent="0.25">
      <c r="H3598" s="37"/>
      <c r="I3598" s="79"/>
      <c r="J3598" s="70"/>
      <c r="K3598" s="57"/>
      <c r="L3598" s="11"/>
      <c r="M3598" s="41"/>
      <c r="N3598" s="11"/>
    </row>
    <row r="3599" spans="8:14" x14ac:dyDescent="0.25">
      <c r="H3599" s="37"/>
      <c r="I3599" s="79"/>
      <c r="J3599" s="70"/>
      <c r="K3599" s="57"/>
      <c r="L3599" s="11"/>
      <c r="M3599" s="41"/>
      <c r="N3599" s="11"/>
    </row>
    <row r="3600" spans="8:14" x14ac:dyDescent="0.25">
      <c r="H3600" s="37"/>
      <c r="I3600" s="79"/>
      <c r="J3600" s="70"/>
      <c r="K3600" s="57"/>
      <c r="L3600" s="11"/>
      <c r="M3600" s="41"/>
      <c r="N3600" s="11"/>
    </row>
    <row r="3601" spans="8:14" x14ac:dyDescent="0.25">
      <c r="H3601" s="37"/>
      <c r="I3601" s="79"/>
      <c r="J3601" s="70"/>
      <c r="K3601" s="57"/>
      <c r="L3601" s="11"/>
      <c r="M3601" s="41"/>
      <c r="N3601" s="11"/>
    </row>
    <row r="3602" spans="8:14" x14ac:dyDescent="0.25">
      <c r="H3602" s="37"/>
      <c r="I3602" s="79"/>
      <c r="J3602" s="70"/>
      <c r="K3602" s="57"/>
      <c r="L3602" s="11"/>
      <c r="M3602" s="41"/>
      <c r="N3602" s="11"/>
    </row>
    <row r="3603" spans="8:14" x14ac:dyDescent="0.25">
      <c r="H3603" s="37"/>
      <c r="I3603" s="79"/>
      <c r="J3603" s="70"/>
      <c r="K3603" s="57"/>
      <c r="L3603" s="11"/>
      <c r="M3603" s="41"/>
      <c r="N3603" s="11"/>
    </row>
    <row r="3604" spans="8:14" x14ac:dyDescent="0.25">
      <c r="H3604" s="37"/>
      <c r="I3604" s="79"/>
      <c r="J3604" s="70"/>
      <c r="K3604" s="57"/>
      <c r="L3604" s="11"/>
      <c r="M3604" s="41"/>
      <c r="N3604" s="11"/>
    </row>
    <row r="3605" spans="8:14" x14ac:dyDescent="0.25">
      <c r="H3605" s="37"/>
      <c r="I3605" s="79"/>
      <c r="J3605" s="70"/>
      <c r="K3605" s="57"/>
      <c r="L3605" s="11"/>
      <c r="M3605" s="41"/>
      <c r="N3605" s="11"/>
    </row>
    <row r="3606" spans="8:14" x14ac:dyDescent="0.25">
      <c r="H3606" s="37"/>
      <c r="I3606" s="79"/>
      <c r="J3606" s="70"/>
      <c r="K3606" s="57"/>
      <c r="L3606" s="11"/>
      <c r="M3606" s="41"/>
      <c r="N3606" s="11"/>
    </row>
    <row r="3607" spans="8:14" x14ac:dyDescent="0.25">
      <c r="H3607" s="37"/>
      <c r="I3607" s="79"/>
      <c r="J3607" s="70"/>
      <c r="K3607" s="57"/>
      <c r="L3607" s="11"/>
      <c r="M3607" s="41"/>
      <c r="N3607" s="11"/>
    </row>
    <row r="3608" spans="8:14" x14ac:dyDescent="0.25">
      <c r="H3608" s="37"/>
      <c r="I3608" s="79"/>
      <c r="J3608" s="70"/>
      <c r="K3608" s="57"/>
      <c r="L3608" s="11"/>
      <c r="M3608" s="41"/>
      <c r="N3608" s="11"/>
    </row>
    <row r="3609" spans="8:14" x14ac:dyDescent="0.25">
      <c r="H3609" s="37"/>
      <c r="I3609" s="79"/>
      <c r="J3609" s="70"/>
      <c r="K3609" s="57"/>
      <c r="L3609" s="11"/>
      <c r="M3609" s="41"/>
      <c r="N3609" s="11"/>
    </row>
    <row r="3610" spans="8:14" x14ac:dyDescent="0.25">
      <c r="H3610" s="37"/>
      <c r="I3610" s="79"/>
      <c r="J3610" s="70"/>
      <c r="K3610" s="57"/>
      <c r="L3610" s="11"/>
      <c r="M3610" s="41"/>
      <c r="N3610" s="11"/>
    </row>
    <row r="3611" spans="8:14" x14ac:dyDescent="0.25">
      <c r="H3611" s="37"/>
      <c r="I3611" s="79"/>
      <c r="J3611" s="70"/>
      <c r="K3611" s="57"/>
      <c r="L3611" s="11"/>
      <c r="M3611" s="41"/>
      <c r="N3611" s="11"/>
    </row>
    <row r="3612" spans="8:14" x14ac:dyDescent="0.25">
      <c r="H3612" s="37"/>
      <c r="I3612" s="79"/>
      <c r="J3612" s="70"/>
      <c r="K3612" s="57"/>
      <c r="L3612" s="11"/>
      <c r="M3612" s="41"/>
      <c r="N3612" s="11"/>
    </row>
    <row r="3613" spans="8:14" x14ac:dyDescent="0.25">
      <c r="H3613" s="37"/>
      <c r="I3613" s="79"/>
      <c r="J3613" s="70"/>
      <c r="K3613" s="57"/>
      <c r="L3613" s="11"/>
      <c r="M3613" s="41"/>
      <c r="N3613" s="11"/>
    </row>
    <row r="3614" spans="8:14" x14ac:dyDescent="0.25">
      <c r="H3614" s="37"/>
      <c r="I3614" s="79"/>
      <c r="J3614" s="70"/>
      <c r="K3614" s="57"/>
      <c r="L3614" s="11"/>
      <c r="M3614" s="41"/>
      <c r="N3614" s="11"/>
    </row>
    <row r="3615" spans="8:14" x14ac:dyDescent="0.25">
      <c r="H3615" s="37"/>
      <c r="I3615" s="79"/>
      <c r="J3615" s="70"/>
      <c r="K3615" s="57"/>
      <c r="L3615" s="11"/>
      <c r="M3615" s="41"/>
      <c r="N3615" s="11"/>
    </row>
    <row r="3616" spans="8:14" x14ac:dyDescent="0.25">
      <c r="H3616" s="37"/>
      <c r="I3616" s="79"/>
      <c r="J3616" s="70"/>
      <c r="K3616" s="57"/>
      <c r="L3616" s="11"/>
      <c r="M3616" s="41"/>
      <c r="N3616" s="11"/>
    </row>
    <row r="3617" spans="8:14" x14ac:dyDescent="0.25">
      <c r="H3617" s="37"/>
      <c r="I3617" s="79"/>
      <c r="J3617" s="70"/>
      <c r="K3617" s="57"/>
      <c r="L3617" s="11"/>
      <c r="M3617" s="41"/>
      <c r="N3617" s="11"/>
    </row>
    <row r="3618" spans="8:14" x14ac:dyDescent="0.25">
      <c r="H3618" s="37"/>
      <c r="I3618" s="79"/>
      <c r="J3618" s="70"/>
      <c r="K3618" s="57"/>
      <c r="L3618" s="11"/>
      <c r="M3618" s="41"/>
      <c r="N3618" s="11"/>
    </row>
    <row r="3619" spans="8:14" x14ac:dyDescent="0.25">
      <c r="H3619" s="37"/>
      <c r="I3619" s="79"/>
      <c r="J3619" s="70"/>
      <c r="K3619" s="57"/>
      <c r="L3619" s="11"/>
      <c r="M3619" s="41"/>
      <c r="N3619" s="11"/>
    </row>
    <row r="3620" spans="8:14" x14ac:dyDescent="0.25">
      <c r="H3620" s="37"/>
      <c r="I3620" s="79"/>
      <c r="J3620" s="70"/>
      <c r="K3620" s="57"/>
      <c r="L3620" s="11"/>
      <c r="M3620" s="41"/>
      <c r="N3620" s="11"/>
    </row>
    <row r="3621" spans="8:14" x14ac:dyDescent="0.25">
      <c r="H3621" s="37"/>
      <c r="I3621" s="79"/>
      <c r="J3621" s="70"/>
      <c r="K3621" s="57"/>
      <c r="L3621" s="11"/>
      <c r="M3621" s="41"/>
      <c r="N3621" s="11"/>
    </row>
    <row r="3622" spans="8:14" x14ac:dyDescent="0.25">
      <c r="H3622" s="37"/>
      <c r="I3622" s="79"/>
      <c r="J3622" s="70"/>
      <c r="K3622" s="57"/>
      <c r="L3622" s="11"/>
      <c r="M3622" s="41"/>
      <c r="N3622" s="11"/>
    </row>
    <row r="3623" spans="8:14" x14ac:dyDescent="0.25">
      <c r="H3623" s="37"/>
      <c r="I3623" s="79"/>
      <c r="J3623" s="70"/>
      <c r="K3623" s="57"/>
      <c r="L3623" s="11"/>
      <c r="M3623" s="41"/>
      <c r="N3623" s="11"/>
    </row>
    <row r="3624" spans="8:14" x14ac:dyDescent="0.25">
      <c r="H3624" s="37"/>
      <c r="I3624" s="79"/>
      <c r="J3624" s="70"/>
      <c r="K3624" s="57"/>
      <c r="L3624" s="11"/>
      <c r="M3624" s="41"/>
      <c r="N3624" s="11"/>
    </row>
    <row r="3625" spans="8:14" x14ac:dyDescent="0.25">
      <c r="H3625" s="37"/>
      <c r="I3625" s="79"/>
      <c r="J3625" s="70"/>
      <c r="K3625" s="57"/>
      <c r="L3625" s="11"/>
      <c r="M3625" s="41"/>
      <c r="N3625" s="11"/>
    </row>
    <row r="3626" spans="8:14" x14ac:dyDescent="0.25">
      <c r="H3626" s="37"/>
      <c r="I3626" s="79"/>
      <c r="J3626" s="70"/>
      <c r="K3626" s="57"/>
      <c r="L3626" s="11"/>
      <c r="M3626" s="41"/>
      <c r="N3626" s="11"/>
    </row>
    <row r="3627" spans="8:14" x14ac:dyDescent="0.25">
      <c r="H3627" s="37"/>
      <c r="I3627" s="79"/>
      <c r="J3627" s="70"/>
      <c r="K3627" s="57"/>
      <c r="L3627" s="11"/>
      <c r="M3627" s="41"/>
      <c r="N3627" s="11"/>
    </row>
    <row r="3628" spans="8:14" x14ac:dyDescent="0.25">
      <c r="H3628" s="37"/>
      <c r="I3628" s="79"/>
      <c r="J3628" s="70"/>
      <c r="K3628" s="57"/>
      <c r="L3628" s="11"/>
      <c r="M3628" s="41"/>
      <c r="N3628" s="11"/>
    </row>
    <row r="3629" spans="8:14" x14ac:dyDescent="0.25">
      <c r="H3629" s="37"/>
      <c r="I3629" s="79"/>
      <c r="J3629" s="70"/>
      <c r="K3629" s="57"/>
      <c r="L3629" s="11"/>
      <c r="M3629" s="41"/>
      <c r="N3629" s="11"/>
    </row>
    <row r="3630" spans="8:14" x14ac:dyDescent="0.25">
      <c r="H3630" s="37"/>
      <c r="I3630" s="79"/>
      <c r="J3630" s="70"/>
      <c r="K3630" s="57"/>
      <c r="L3630" s="11"/>
      <c r="M3630" s="41"/>
      <c r="N3630" s="11"/>
    </row>
    <row r="3631" spans="8:14" x14ac:dyDescent="0.25">
      <c r="H3631" s="37"/>
      <c r="I3631" s="79"/>
      <c r="J3631" s="70"/>
      <c r="K3631" s="57"/>
      <c r="L3631" s="11"/>
      <c r="M3631" s="41"/>
      <c r="N3631" s="11"/>
    </row>
    <row r="3632" spans="8:14" x14ac:dyDescent="0.25">
      <c r="H3632" s="37"/>
      <c r="I3632" s="79"/>
      <c r="J3632" s="70"/>
      <c r="K3632" s="57"/>
      <c r="L3632" s="11"/>
      <c r="M3632" s="41"/>
      <c r="N3632" s="11"/>
    </row>
    <row r="3633" spans="8:14" x14ac:dyDescent="0.25">
      <c r="H3633" s="37"/>
      <c r="I3633" s="79"/>
      <c r="J3633" s="70"/>
      <c r="K3633" s="57"/>
      <c r="L3633" s="11"/>
      <c r="M3633" s="41"/>
      <c r="N3633" s="11"/>
    </row>
    <row r="3634" spans="8:14" x14ac:dyDescent="0.25">
      <c r="H3634" s="37"/>
      <c r="I3634" s="79"/>
      <c r="J3634" s="70"/>
      <c r="K3634" s="57"/>
      <c r="L3634" s="11"/>
      <c r="M3634" s="41"/>
      <c r="N3634" s="11"/>
    </row>
    <row r="3635" spans="8:14" x14ac:dyDescent="0.25">
      <c r="H3635" s="37"/>
      <c r="I3635" s="79"/>
      <c r="J3635" s="70"/>
      <c r="K3635" s="57"/>
      <c r="L3635" s="11"/>
      <c r="M3635" s="41"/>
      <c r="N3635" s="11"/>
    </row>
    <row r="3636" spans="8:14" x14ac:dyDescent="0.25">
      <c r="H3636" s="37"/>
      <c r="I3636" s="79"/>
      <c r="J3636" s="70"/>
      <c r="K3636" s="57"/>
      <c r="L3636" s="11"/>
      <c r="M3636" s="41"/>
      <c r="N3636" s="11"/>
    </row>
    <row r="3637" spans="8:14" x14ac:dyDescent="0.25">
      <c r="H3637" s="37"/>
      <c r="I3637" s="79"/>
      <c r="J3637" s="70"/>
      <c r="K3637" s="57"/>
      <c r="L3637" s="11"/>
      <c r="M3637" s="41"/>
      <c r="N3637" s="11"/>
    </row>
    <row r="3638" spans="8:14" x14ac:dyDescent="0.25">
      <c r="H3638" s="37"/>
      <c r="I3638" s="79"/>
      <c r="J3638" s="70"/>
      <c r="K3638" s="57"/>
      <c r="L3638" s="11"/>
      <c r="M3638" s="41"/>
      <c r="N3638" s="11"/>
    </row>
    <row r="3639" spans="8:14" x14ac:dyDescent="0.25">
      <c r="H3639" s="37"/>
      <c r="I3639" s="79"/>
      <c r="J3639" s="70"/>
      <c r="K3639" s="57"/>
      <c r="L3639" s="11"/>
      <c r="M3639" s="41"/>
      <c r="N3639" s="11"/>
    </row>
    <row r="3640" spans="8:14" x14ac:dyDescent="0.25">
      <c r="H3640" s="37"/>
      <c r="I3640" s="79"/>
      <c r="J3640" s="70"/>
      <c r="K3640" s="57"/>
      <c r="L3640" s="11"/>
      <c r="M3640" s="41"/>
      <c r="N3640" s="11"/>
    </row>
    <row r="3641" spans="8:14" x14ac:dyDescent="0.25">
      <c r="H3641" s="37"/>
      <c r="I3641" s="79"/>
      <c r="J3641" s="70"/>
      <c r="K3641" s="57"/>
      <c r="L3641" s="11"/>
      <c r="M3641" s="41"/>
      <c r="N3641" s="11"/>
    </row>
    <row r="3642" spans="8:14" x14ac:dyDescent="0.25">
      <c r="H3642" s="37"/>
      <c r="I3642" s="79"/>
      <c r="J3642" s="70"/>
      <c r="K3642" s="57"/>
      <c r="L3642" s="11"/>
      <c r="M3642" s="41"/>
      <c r="N3642" s="11"/>
    </row>
    <row r="3643" spans="8:14" x14ac:dyDescent="0.25">
      <c r="H3643" s="37"/>
      <c r="I3643" s="79"/>
      <c r="J3643" s="70"/>
      <c r="K3643" s="57"/>
      <c r="L3643" s="11"/>
      <c r="M3643" s="41"/>
      <c r="N3643" s="11"/>
    </row>
    <row r="3644" spans="8:14" x14ac:dyDescent="0.25">
      <c r="H3644" s="37"/>
      <c r="I3644" s="79"/>
      <c r="J3644" s="70"/>
      <c r="K3644" s="57"/>
      <c r="L3644" s="11"/>
      <c r="M3644" s="41"/>
      <c r="N3644" s="11"/>
    </row>
    <row r="3645" spans="8:14" x14ac:dyDescent="0.25">
      <c r="H3645" s="37"/>
      <c r="I3645" s="79"/>
      <c r="J3645" s="70"/>
      <c r="K3645" s="57"/>
      <c r="L3645" s="11"/>
      <c r="M3645" s="41"/>
      <c r="N3645" s="11"/>
    </row>
    <row r="3646" spans="8:14" x14ac:dyDescent="0.25">
      <c r="H3646" s="37"/>
      <c r="I3646" s="79"/>
      <c r="J3646" s="70"/>
      <c r="K3646" s="57"/>
      <c r="L3646" s="11"/>
      <c r="M3646" s="41"/>
      <c r="N3646" s="11"/>
    </row>
    <row r="3647" spans="8:14" x14ac:dyDescent="0.25">
      <c r="H3647" s="37"/>
      <c r="I3647" s="79"/>
      <c r="J3647" s="70"/>
      <c r="K3647" s="57"/>
      <c r="L3647" s="11"/>
      <c r="M3647" s="41"/>
      <c r="N3647" s="11"/>
    </row>
    <row r="3648" spans="8:14" x14ac:dyDescent="0.25">
      <c r="H3648" s="37"/>
      <c r="I3648" s="79"/>
      <c r="J3648" s="70"/>
      <c r="K3648" s="57"/>
      <c r="L3648" s="11"/>
      <c r="M3648" s="41"/>
      <c r="N3648" s="11"/>
    </row>
    <row r="3649" spans="8:14" x14ac:dyDescent="0.25">
      <c r="H3649" s="37"/>
      <c r="I3649" s="79"/>
      <c r="J3649" s="70"/>
      <c r="K3649" s="57"/>
      <c r="L3649" s="11"/>
      <c r="M3649" s="41"/>
      <c r="N3649" s="11"/>
    </row>
    <row r="3650" spans="8:14" x14ac:dyDescent="0.25">
      <c r="H3650" s="37"/>
      <c r="I3650" s="79"/>
      <c r="J3650" s="70"/>
      <c r="K3650" s="57"/>
      <c r="L3650" s="11"/>
      <c r="M3650" s="41"/>
      <c r="N3650" s="11"/>
    </row>
    <row r="3651" spans="8:14" x14ac:dyDescent="0.25">
      <c r="H3651" s="37"/>
      <c r="I3651" s="79"/>
      <c r="J3651" s="70"/>
      <c r="K3651" s="57"/>
      <c r="L3651" s="11"/>
      <c r="M3651" s="41"/>
      <c r="N3651" s="11"/>
    </row>
    <row r="3652" spans="8:14" x14ac:dyDescent="0.25">
      <c r="H3652" s="37"/>
      <c r="I3652" s="79"/>
      <c r="J3652" s="70"/>
      <c r="K3652" s="57"/>
      <c r="L3652" s="11"/>
      <c r="M3652" s="41"/>
      <c r="N3652" s="11"/>
    </row>
    <row r="3653" spans="8:14" x14ac:dyDescent="0.25">
      <c r="H3653" s="37"/>
      <c r="I3653" s="79"/>
      <c r="J3653" s="70"/>
      <c r="K3653" s="57"/>
      <c r="L3653" s="11"/>
      <c r="M3653" s="41"/>
      <c r="N3653" s="11"/>
    </row>
    <row r="3654" spans="8:14" x14ac:dyDescent="0.25">
      <c r="H3654" s="37"/>
      <c r="I3654" s="79"/>
      <c r="J3654" s="70"/>
      <c r="K3654" s="57"/>
      <c r="L3654" s="11"/>
      <c r="M3654" s="41"/>
      <c r="N3654" s="11"/>
    </row>
    <row r="3655" spans="8:14" x14ac:dyDescent="0.25">
      <c r="H3655" s="37"/>
      <c r="I3655" s="79"/>
      <c r="J3655" s="70"/>
      <c r="K3655" s="57"/>
      <c r="L3655" s="11"/>
      <c r="M3655" s="41"/>
      <c r="N3655" s="11"/>
    </row>
    <row r="3656" spans="8:14" x14ac:dyDescent="0.25">
      <c r="H3656" s="37"/>
      <c r="I3656" s="79"/>
      <c r="J3656" s="70"/>
      <c r="K3656" s="57"/>
      <c r="L3656" s="11"/>
      <c r="M3656" s="41"/>
      <c r="N3656" s="11"/>
    </row>
    <row r="3657" spans="8:14" x14ac:dyDescent="0.25">
      <c r="H3657" s="37"/>
      <c r="I3657" s="79"/>
      <c r="J3657" s="70"/>
      <c r="K3657" s="57"/>
      <c r="L3657" s="11"/>
      <c r="M3657" s="41"/>
      <c r="N3657" s="11"/>
    </row>
    <row r="3658" spans="8:14" x14ac:dyDescent="0.25">
      <c r="H3658" s="37"/>
      <c r="I3658" s="79"/>
      <c r="J3658" s="70"/>
      <c r="K3658" s="57"/>
      <c r="L3658" s="11"/>
      <c r="M3658" s="41"/>
      <c r="N3658" s="11"/>
    </row>
    <row r="3659" spans="8:14" x14ac:dyDescent="0.25">
      <c r="H3659" s="37"/>
      <c r="I3659" s="79"/>
      <c r="J3659" s="70"/>
      <c r="K3659" s="57"/>
      <c r="L3659" s="11"/>
      <c r="M3659" s="41"/>
      <c r="N3659" s="11"/>
    </row>
    <row r="3660" spans="8:14" x14ac:dyDescent="0.25">
      <c r="H3660" s="37"/>
      <c r="I3660" s="79"/>
      <c r="J3660" s="70"/>
      <c r="K3660" s="57"/>
      <c r="L3660" s="11"/>
      <c r="M3660" s="41"/>
      <c r="N3660" s="11"/>
    </row>
    <row r="3661" spans="8:14" x14ac:dyDescent="0.25">
      <c r="H3661" s="37"/>
      <c r="I3661" s="79"/>
      <c r="J3661" s="70"/>
      <c r="K3661" s="57"/>
      <c r="L3661" s="11"/>
      <c r="M3661" s="41"/>
      <c r="N3661" s="11"/>
    </row>
    <row r="3662" spans="8:14" x14ac:dyDescent="0.25">
      <c r="H3662" s="37"/>
      <c r="I3662" s="79"/>
      <c r="J3662" s="70"/>
      <c r="K3662" s="57"/>
      <c r="L3662" s="11"/>
      <c r="M3662" s="41"/>
      <c r="N3662" s="11"/>
    </row>
    <row r="3663" spans="8:14" x14ac:dyDescent="0.25">
      <c r="H3663" s="37"/>
      <c r="I3663" s="79"/>
      <c r="J3663" s="70"/>
      <c r="K3663" s="57"/>
      <c r="L3663" s="11"/>
      <c r="M3663" s="41"/>
      <c r="N3663" s="11"/>
    </row>
    <row r="3664" spans="8:14" x14ac:dyDescent="0.25">
      <c r="H3664" s="37"/>
      <c r="I3664" s="79"/>
      <c r="J3664" s="70"/>
      <c r="K3664" s="57"/>
      <c r="L3664" s="11"/>
      <c r="M3664" s="41"/>
      <c r="N3664" s="11"/>
    </row>
    <row r="3665" spans="8:13" x14ac:dyDescent="0.25">
      <c r="H3665" s="37"/>
      <c r="I3665" s="79"/>
      <c r="J3665" s="70"/>
      <c r="K3665" s="57"/>
      <c r="L3665" s="11"/>
      <c r="M3665" s="41"/>
    </row>
    <row r="3666" spans="8:13" x14ac:dyDescent="0.25">
      <c r="H3666" s="37"/>
      <c r="I3666" s="79"/>
      <c r="J3666" s="70"/>
      <c r="K3666" s="57"/>
      <c r="L3666" s="11"/>
      <c r="M3666" s="41"/>
    </row>
    <row r="3667" spans="8:13" x14ac:dyDescent="0.25">
      <c r="H3667" s="37"/>
      <c r="I3667" s="79"/>
      <c r="J3667" s="70"/>
      <c r="K3667" s="57"/>
      <c r="L3667" s="11"/>
      <c r="M3667" s="41"/>
    </row>
    <row r="3668" spans="8:13" x14ac:dyDescent="0.25">
      <c r="H3668" s="37"/>
      <c r="I3668" s="79"/>
      <c r="J3668" s="70"/>
      <c r="K3668" s="57"/>
      <c r="L3668" s="11"/>
      <c r="M3668" s="41"/>
    </row>
    <row r="3669" spans="8:13" x14ac:dyDescent="0.25">
      <c r="H3669" s="37"/>
      <c r="I3669" s="79"/>
      <c r="J3669" s="70"/>
      <c r="K3669" s="57"/>
      <c r="L3669" s="11"/>
      <c r="M3669" s="41"/>
    </row>
    <row r="3670" spans="8:13" x14ac:dyDescent="0.25">
      <c r="H3670" s="37"/>
      <c r="I3670" s="79"/>
      <c r="J3670" s="70"/>
      <c r="K3670" s="57"/>
      <c r="L3670" s="11"/>
      <c r="M3670" s="41"/>
    </row>
    <row r="3671" spans="8:13" x14ac:dyDescent="0.25">
      <c r="H3671" s="37"/>
      <c r="I3671" s="79"/>
      <c r="J3671" s="70"/>
      <c r="K3671" s="57"/>
      <c r="L3671" s="11"/>
      <c r="M3671" s="41"/>
    </row>
    <row r="3672" spans="8:13" x14ac:dyDescent="0.25">
      <c r="H3672" s="37"/>
      <c r="I3672" s="79"/>
      <c r="J3672" s="70"/>
      <c r="K3672" s="57"/>
      <c r="L3672" s="11"/>
      <c r="M3672" s="41"/>
    </row>
    <row r="3673" spans="8:13" x14ac:dyDescent="0.25">
      <c r="H3673" s="37"/>
      <c r="I3673" s="79"/>
      <c r="J3673" s="70"/>
      <c r="K3673" s="57"/>
      <c r="L3673" s="11"/>
      <c r="M3673" s="41"/>
    </row>
    <row r="3674" spans="8:13" x14ac:dyDescent="0.25">
      <c r="H3674" s="37"/>
      <c r="I3674" s="79"/>
      <c r="J3674" s="70"/>
      <c r="K3674" s="57"/>
      <c r="L3674" s="11"/>
      <c r="M3674" s="41"/>
    </row>
    <row r="3675" spans="8:13" x14ac:dyDescent="0.25">
      <c r="H3675" s="37"/>
      <c r="I3675" s="79"/>
      <c r="J3675" s="70"/>
      <c r="K3675" s="57"/>
      <c r="L3675" s="11"/>
      <c r="M3675" s="41"/>
    </row>
    <row r="3676" spans="8:13" x14ac:dyDescent="0.25">
      <c r="H3676" s="37"/>
      <c r="I3676" s="79"/>
      <c r="J3676" s="70"/>
      <c r="K3676" s="57"/>
      <c r="L3676" s="11"/>
      <c r="M3676" s="41"/>
    </row>
    <row r="3677" spans="8:13" x14ac:dyDescent="0.25">
      <c r="H3677" s="37"/>
      <c r="I3677" s="79"/>
      <c r="J3677" s="70"/>
      <c r="K3677" s="57"/>
      <c r="L3677" s="11"/>
      <c r="M3677" s="41"/>
    </row>
    <row r="3678" spans="8:13" x14ac:dyDescent="0.25">
      <c r="H3678" s="37"/>
      <c r="I3678" s="79"/>
      <c r="J3678" s="70"/>
      <c r="K3678" s="57"/>
      <c r="L3678" s="11"/>
      <c r="M3678" s="41"/>
    </row>
    <row r="3679" spans="8:13" x14ac:dyDescent="0.25">
      <c r="H3679" s="37"/>
      <c r="I3679" s="79"/>
      <c r="J3679" s="70"/>
      <c r="K3679" s="57"/>
      <c r="L3679" s="11"/>
      <c r="M3679" s="41"/>
    </row>
    <row r="3680" spans="8:13" x14ac:dyDescent="0.25">
      <c r="H3680" s="37"/>
      <c r="I3680" s="79"/>
      <c r="J3680" s="70"/>
      <c r="K3680" s="57"/>
      <c r="L3680" s="11"/>
      <c r="M3680" s="41"/>
    </row>
    <row r="3681" spans="8:13" x14ac:dyDescent="0.25">
      <c r="H3681" s="37"/>
      <c r="I3681" s="79"/>
      <c r="J3681" s="70"/>
      <c r="K3681" s="57"/>
      <c r="L3681" s="11"/>
      <c r="M3681" s="41"/>
    </row>
    <row r="3682" spans="8:13" x14ac:dyDescent="0.25">
      <c r="H3682" s="37"/>
      <c r="I3682" s="79"/>
      <c r="J3682" s="70"/>
      <c r="K3682" s="57"/>
      <c r="L3682" s="11"/>
      <c r="M3682" s="41"/>
    </row>
    <row r="3683" spans="8:13" x14ac:dyDescent="0.25">
      <c r="H3683" s="37"/>
      <c r="I3683" s="79"/>
      <c r="J3683" s="70"/>
      <c r="K3683" s="57"/>
      <c r="L3683" s="11"/>
      <c r="M3683" s="41"/>
    </row>
    <row r="3684" spans="8:13" x14ac:dyDescent="0.25">
      <c r="H3684" s="37"/>
      <c r="I3684" s="79"/>
      <c r="J3684" s="70"/>
      <c r="K3684" s="57"/>
      <c r="L3684" s="11"/>
      <c r="M3684" s="41"/>
    </row>
    <row r="3685" spans="8:13" x14ac:dyDescent="0.25">
      <c r="H3685" s="37"/>
      <c r="I3685" s="79"/>
      <c r="J3685" s="70"/>
      <c r="K3685" s="57"/>
      <c r="L3685" s="11"/>
      <c r="M3685" s="41"/>
    </row>
    <row r="3686" spans="8:13" x14ac:dyDescent="0.25">
      <c r="H3686" s="37"/>
      <c r="I3686" s="79"/>
      <c r="J3686" s="70"/>
      <c r="K3686" s="57"/>
      <c r="L3686" s="11"/>
      <c r="M3686" s="41"/>
    </row>
    <row r="3687" spans="8:13" x14ac:dyDescent="0.25">
      <c r="H3687" s="37"/>
      <c r="I3687" s="79"/>
      <c r="J3687" s="70"/>
      <c r="K3687" s="57"/>
      <c r="L3687" s="11"/>
      <c r="M3687" s="41"/>
    </row>
    <row r="3688" spans="8:13" x14ac:dyDescent="0.25">
      <c r="H3688" s="37"/>
      <c r="I3688" s="79"/>
      <c r="J3688" s="70"/>
      <c r="K3688" s="57"/>
      <c r="L3688" s="11"/>
      <c r="M3688" s="41"/>
    </row>
    <row r="3689" spans="8:13" x14ac:dyDescent="0.25">
      <c r="H3689" s="37"/>
      <c r="I3689" s="79"/>
      <c r="J3689" s="70"/>
      <c r="K3689" s="57"/>
      <c r="L3689" s="11"/>
      <c r="M3689" s="41"/>
    </row>
    <row r="3690" spans="8:13" x14ac:dyDescent="0.25">
      <c r="H3690" s="37"/>
      <c r="I3690" s="79"/>
      <c r="J3690" s="70"/>
      <c r="K3690" s="57"/>
      <c r="L3690" s="11"/>
      <c r="M3690" s="41"/>
    </row>
    <row r="3691" spans="8:13" x14ac:dyDescent="0.25">
      <c r="H3691" s="37"/>
      <c r="I3691" s="79"/>
      <c r="J3691" s="70"/>
      <c r="K3691" s="57"/>
      <c r="L3691" s="11"/>
      <c r="M3691" s="41"/>
    </row>
    <row r="3692" spans="8:13" x14ac:dyDescent="0.25">
      <c r="H3692" s="37"/>
      <c r="I3692" s="79"/>
      <c r="J3692" s="70"/>
      <c r="K3692" s="57"/>
      <c r="L3692" s="11"/>
      <c r="M3692" s="41"/>
    </row>
    <row r="3693" spans="8:13" x14ac:dyDescent="0.25">
      <c r="H3693" s="37"/>
      <c r="I3693" s="79"/>
      <c r="J3693" s="70"/>
      <c r="K3693" s="57"/>
      <c r="L3693" s="11"/>
      <c r="M3693" s="41"/>
    </row>
    <row r="3694" spans="8:13" x14ac:dyDescent="0.25">
      <c r="H3694" s="37"/>
      <c r="I3694" s="79"/>
      <c r="J3694" s="70"/>
      <c r="K3694" s="57"/>
      <c r="L3694" s="11"/>
      <c r="M3694" s="41"/>
    </row>
    <row r="3695" spans="8:13" x14ac:dyDescent="0.25">
      <c r="H3695" s="37"/>
      <c r="I3695" s="79"/>
      <c r="J3695" s="70"/>
      <c r="K3695" s="57"/>
      <c r="L3695" s="11"/>
      <c r="M3695" s="41"/>
    </row>
    <row r="3696" spans="8:13" x14ac:dyDescent="0.25">
      <c r="H3696" s="37"/>
      <c r="I3696" s="79"/>
      <c r="J3696" s="70"/>
      <c r="K3696" s="57"/>
      <c r="L3696" s="11"/>
      <c r="M3696" s="41"/>
    </row>
    <row r="3697" spans="8:13" x14ac:dyDescent="0.25">
      <c r="H3697" s="37"/>
      <c r="I3697" s="79"/>
      <c r="J3697" s="70"/>
      <c r="K3697" s="57"/>
      <c r="L3697" s="11"/>
      <c r="M3697" s="41"/>
    </row>
    <row r="3698" spans="8:13" x14ac:dyDescent="0.25">
      <c r="H3698" s="37"/>
      <c r="I3698" s="79"/>
      <c r="J3698" s="70"/>
      <c r="K3698" s="57"/>
      <c r="L3698" s="11"/>
      <c r="M3698" s="41"/>
    </row>
    <row r="3699" spans="8:13" x14ac:dyDescent="0.25">
      <c r="H3699" s="37"/>
      <c r="I3699" s="79"/>
      <c r="J3699" s="70"/>
      <c r="K3699" s="57"/>
      <c r="L3699" s="11"/>
      <c r="M3699" s="41"/>
    </row>
    <row r="3700" spans="8:13" x14ac:dyDescent="0.25">
      <c r="M3700" s="41"/>
    </row>
    <row r="3701" spans="8:13" x14ac:dyDescent="0.25">
      <c r="M3701" s="41"/>
    </row>
    <row r="3702" spans="8:13" x14ac:dyDescent="0.25">
      <c r="M3702" s="41"/>
    </row>
    <row r="3703" spans="8:13" x14ac:dyDescent="0.25">
      <c r="M3703" s="41"/>
    </row>
    <row r="3704" spans="8:13" x14ac:dyDescent="0.25">
      <c r="M3704" s="41"/>
    </row>
    <row r="3705" spans="8:13" x14ac:dyDescent="0.25">
      <c r="M3705" s="41"/>
    </row>
    <row r="3706" spans="8:13" x14ac:dyDescent="0.25">
      <c r="M3706" s="41"/>
    </row>
    <row r="3707" spans="8:13" x14ac:dyDescent="0.25">
      <c r="M3707" s="41"/>
    </row>
    <row r="3708" spans="8:13" x14ac:dyDescent="0.25">
      <c r="M3708" s="41"/>
    </row>
    <row r="3709" spans="8:13" x14ac:dyDescent="0.25">
      <c r="M3709" s="41"/>
    </row>
    <row r="3710" spans="8:13" x14ac:dyDescent="0.25">
      <c r="M3710" s="41"/>
    </row>
    <row r="3711" spans="8:13" x14ac:dyDescent="0.25">
      <c r="M3711" s="41"/>
    </row>
    <row r="3712" spans="8:13" x14ac:dyDescent="0.25">
      <c r="M3712" s="41"/>
    </row>
    <row r="3713" spans="13:13" x14ac:dyDescent="0.25">
      <c r="M3713" s="41"/>
    </row>
    <row r="3714" spans="13:13" x14ac:dyDescent="0.25">
      <c r="M3714" s="41"/>
    </row>
    <row r="3715" spans="13:13" x14ac:dyDescent="0.25">
      <c r="M3715" s="41"/>
    </row>
    <row r="3716" spans="13:13" x14ac:dyDescent="0.25">
      <c r="M3716" s="41"/>
    </row>
  </sheetData>
  <autoFilter ref="A2:O55" xr:uid="{C05F9277-E941-4F8C-B88B-7443D998D414}"/>
  <conditionalFormatting sqref="I39:J3699 J3700:K1048576">
    <cfRule type="containsText" dxfId="122" priority="17" operator="containsText" text="ไม่พบ">
      <formula>NOT(ISERROR(SEARCH("ไม่พบ",I39)))</formula>
    </cfRule>
  </conditionalFormatting>
  <conditionalFormatting sqref="J1">
    <cfRule type="containsText" dxfId="121" priority="4" operator="containsText" text="ไม่พบ">
      <formula>NOT(ISERROR(SEARCH("ไม่พบ",J1)))</formula>
    </cfRule>
  </conditionalFormatting>
  <conditionalFormatting sqref="J2:L2">
    <cfRule type="containsText" dxfId="120" priority="16" operator="containsText" text="ไม่พบ">
      <formula>NOT(ISERROR(SEARCH("ไม่พบ",J2)))</formula>
    </cfRule>
  </conditionalFormatting>
  <conditionalFormatting sqref="N2">
    <cfRule type="duplicateValues" dxfId="119" priority="3"/>
  </conditionalFormatting>
  <conditionalFormatting sqref="N3665:N1047259 N1">
    <cfRule type="duplicateValues" dxfId="118" priority="12"/>
    <cfRule type="duplicateValues" dxfId="117" priority="13"/>
  </conditionalFormatting>
  <conditionalFormatting sqref="N1047260:N1048576 M56:M3716">
    <cfRule type="duplicateValues" dxfId="116" priority="14"/>
    <cfRule type="duplicateValues" dxfId="115" priority="15"/>
  </conditionalFormatting>
  <conditionalFormatting sqref="O2">
    <cfRule type="duplicateValues" dxfId="114" priority="1"/>
    <cfRule type="duplicateValues" dxfId="113" priority="2"/>
  </conditionalFormatting>
  <dataValidations count="2">
    <dataValidation type="list" allowBlank="1" showInputMessage="1" showErrorMessage="1" sqref="L1:L2 K2 L3700:L1048576 K39:K3699" xr:uid="{C7173CC7-0FFE-4D6E-8E5E-DF123DC03F3D}">
      <formula1>#REF!</formula1>
    </dataValidation>
    <dataValidation type="list" allowBlank="1" showInputMessage="1" showErrorMessage="1" sqref="K1" xr:uid="{68F72070-D23F-4EF6-8A2C-2E71D9A6C3E3}">
      <formula1>$M$3:$M$35</formula1>
    </dataValidation>
  </dataValidations>
  <pageMargins left="0.25" right="0.25" top="0.42" bottom="0.75" header="0.3" footer="0.3"/>
  <pageSetup paperSize="9" scale="1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A65B-6FE4-43EA-B99B-DC03E1557FE0}">
  <sheetPr>
    <tabColor rgb="FF00B0F0"/>
  </sheetPr>
  <dimension ref="A1:N109"/>
  <sheetViews>
    <sheetView zoomScale="55" zoomScaleNormal="55" workbookViewId="0">
      <pane xSplit="4" ySplit="2" topLeftCell="E3" activePane="bottomRight" state="frozen"/>
      <selection activeCell="A2" sqref="A2"/>
      <selection pane="topRight" activeCell="A2" sqref="A2"/>
      <selection pane="bottomLeft" activeCell="A2" sqref="A2"/>
      <selection pane="bottomRight" activeCell="F14" sqref="F14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2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941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/>
      <c r="C3" s="1"/>
      <c r="D3" s="1"/>
      <c r="E3" s="1"/>
      <c r="F3" s="1"/>
      <c r="G3" s="1"/>
      <c r="H3" s="23"/>
      <c r="I3" s="53"/>
      <c r="J3" s="30"/>
      <c r="M3" s="30"/>
    </row>
    <row r="4" spans="1:13" s="31" customFormat="1" ht="23.4" x14ac:dyDescent="0.6">
      <c r="A4" s="9">
        <v>2</v>
      </c>
      <c r="B4" s="1"/>
      <c r="C4" s="1"/>
      <c r="D4" s="1"/>
      <c r="E4" s="1"/>
      <c r="F4" s="1"/>
      <c r="G4" s="1"/>
      <c r="H4" s="53"/>
      <c r="I4" s="53"/>
      <c r="L4" s="30"/>
    </row>
    <row r="5" spans="1:13" s="31" customFormat="1" ht="23.4" x14ac:dyDescent="0.6">
      <c r="A5" s="9">
        <v>3</v>
      </c>
      <c r="B5" s="1"/>
      <c r="C5" s="1"/>
      <c r="D5" s="1"/>
      <c r="E5" s="1"/>
      <c r="F5" s="1"/>
      <c r="G5" s="1"/>
      <c r="H5" s="53"/>
      <c r="I5" s="53"/>
      <c r="L5" s="30"/>
    </row>
    <row r="6" spans="1:13" s="31" customFormat="1" ht="23.4" x14ac:dyDescent="0.6">
      <c r="A6" s="9">
        <v>4</v>
      </c>
      <c r="B6" s="1"/>
      <c r="C6" s="1"/>
      <c r="D6" s="1"/>
      <c r="E6" s="1"/>
      <c r="F6" s="1"/>
      <c r="G6" s="1"/>
      <c r="H6" s="53"/>
      <c r="I6" s="53"/>
      <c r="L6" s="30"/>
    </row>
    <row r="7" spans="1:13" s="31" customFormat="1" ht="23.4" x14ac:dyDescent="0.6">
      <c r="A7" s="9">
        <v>5</v>
      </c>
      <c r="B7" s="1"/>
      <c r="C7" s="1"/>
      <c r="D7" s="1"/>
      <c r="E7" s="1"/>
      <c r="F7" s="1"/>
      <c r="G7" s="1"/>
      <c r="H7" s="53"/>
      <c r="I7" s="53"/>
      <c r="L7" s="30"/>
    </row>
    <row r="8" spans="1:13" s="31" customFormat="1" ht="23.4" x14ac:dyDescent="0.6">
      <c r="A8" s="9">
        <v>6</v>
      </c>
      <c r="B8" s="1"/>
      <c r="C8" s="1"/>
      <c r="D8" s="1"/>
      <c r="E8" s="1"/>
      <c r="F8" s="1"/>
      <c r="G8" s="1"/>
      <c r="H8" s="53"/>
      <c r="I8" s="53"/>
      <c r="L8" s="30"/>
    </row>
    <row r="9" spans="1:13" s="31" customFormat="1" ht="23.4" x14ac:dyDescent="0.6">
      <c r="A9" s="9">
        <v>7</v>
      </c>
      <c r="B9" s="1"/>
      <c r="C9" s="1"/>
      <c r="D9" s="1"/>
      <c r="E9" s="1"/>
      <c r="F9" s="1"/>
      <c r="G9" s="1"/>
      <c r="H9" s="53"/>
      <c r="I9" s="53"/>
      <c r="L9" s="30"/>
    </row>
    <row r="10" spans="1:13" s="31" customFormat="1" ht="23.4" x14ac:dyDescent="0.6">
      <c r="A10" s="9">
        <v>8</v>
      </c>
      <c r="B10" s="54"/>
      <c r="C10" s="54"/>
      <c r="D10" s="54"/>
      <c r="E10" s="54"/>
      <c r="F10" s="54"/>
      <c r="G10" s="54"/>
      <c r="H10" s="53"/>
      <c r="I10" s="53"/>
      <c r="L10" s="30"/>
    </row>
    <row r="11" spans="1:13" s="31" customFormat="1" ht="23.4" x14ac:dyDescent="0.6">
      <c r="A11" s="9">
        <v>9</v>
      </c>
      <c r="B11" s="54"/>
      <c r="C11" s="54"/>
      <c r="D11" s="54"/>
      <c r="E11" s="54"/>
      <c r="F11" s="54"/>
      <c r="G11" s="54"/>
      <c r="H11" s="53"/>
      <c r="I11" s="53"/>
      <c r="L11" s="30"/>
    </row>
    <row r="12" spans="1:13" s="31" customFormat="1" ht="23.4" x14ac:dyDescent="0.6">
      <c r="A12" s="9">
        <v>10</v>
      </c>
      <c r="B12" s="54"/>
      <c r="C12" s="54"/>
      <c r="D12" s="54"/>
      <c r="E12" s="54"/>
      <c r="F12" s="54"/>
      <c r="G12" s="54"/>
      <c r="H12" s="53"/>
      <c r="I12" s="53"/>
      <c r="L12" s="30"/>
    </row>
    <row r="13" spans="1:13" s="31" customFormat="1" ht="23.4" x14ac:dyDescent="0.6">
      <c r="A13" s="9">
        <v>11</v>
      </c>
      <c r="B13" s="54"/>
      <c r="C13" s="54"/>
      <c r="D13" s="54"/>
      <c r="E13" s="54"/>
      <c r="F13" s="54"/>
      <c r="G13" s="54"/>
      <c r="H13" s="53"/>
      <c r="I13" s="53"/>
      <c r="L13" s="30"/>
    </row>
    <row r="14" spans="1:13" s="31" customFormat="1" ht="23.4" x14ac:dyDescent="0.6">
      <c r="A14" s="9">
        <v>12</v>
      </c>
      <c r="B14" s="54"/>
      <c r="C14" s="54"/>
      <c r="D14" s="54"/>
      <c r="E14" s="54"/>
      <c r="F14" s="54"/>
      <c r="G14" s="54"/>
      <c r="H14" s="53"/>
      <c r="I14" s="53"/>
      <c r="L14" s="30"/>
    </row>
    <row r="15" spans="1:13" s="31" customFormat="1" ht="23.4" x14ac:dyDescent="0.6">
      <c r="A15" s="9">
        <v>13</v>
      </c>
      <c r="B15" s="54"/>
      <c r="C15" s="54"/>
      <c r="D15" s="54"/>
      <c r="E15" s="54"/>
      <c r="F15" s="54"/>
      <c r="G15" s="54"/>
      <c r="H15" s="53"/>
      <c r="I15" s="53"/>
      <c r="L15" s="30"/>
    </row>
    <row r="16" spans="1:13" s="31" customFormat="1" ht="23.4" x14ac:dyDescent="0.6">
      <c r="A16" s="9">
        <v>14</v>
      </c>
      <c r="B16" s="54"/>
      <c r="C16" s="54"/>
      <c r="D16" s="54"/>
      <c r="E16" s="54"/>
      <c r="F16" s="54"/>
      <c r="G16" s="54"/>
      <c r="H16" s="53"/>
      <c r="I16" s="53"/>
      <c r="L16" s="30"/>
    </row>
    <row r="17" spans="1:12" s="31" customFormat="1" ht="23.4" x14ac:dyDescent="0.6">
      <c r="A17" s="9">
        <v>15</v>
      </c>
      <c r="B17" s="54"/>
      <c r="C17" s="54"/>
      <c r="D17" s="54"/>
      <c r="E17" s="54"/>
      <c r="F17" s="54"/>
      <c r="G17" s="54"/>
      <c r="H17" s="53"/>
      <c r="I17" s="53"/>
      <c r="L17" s="30"/>
    </row>
    <row r="18" spans="1:12" s="31" customFormat="1" ht="23.4" x14ac:dyDescent="0.6">
      <c r="A18" s="9">
        <v>16</v>
      </c>
      <c r="B18" s="54"/>
      <c r="C18" s="54"/>
      <c r="D18" s="54"/>
      <c r="E18" s="54"/>
      <c r="F18" s="54"/>
      <c r="G18" s="54"/>
      <c r="H18" s="53"/>
      <c r="I18" s="53"/>
      <c r="L18" s="30"/>
    </row>
    <row r="19" spans="1:12" s="31" customFormat="1" ht="23.4" x14ac:dyDescent="0.6">
      <c r="A19" s="9">
        <v>17</v>
      </c>
      <c r="B19" s="54"/>
      <c r="C19" s="54"/>
      <c r="D19" s="54"/>
      <c r="E19" s="54"/>
      <c r="F19" s="54"/>
      <c r="G19" s="54"/>
      <c r="H19" s="55"/>
      <c r="I19" s="53"/>
      <c r="L19" s="30"/>
    </row>
    <row r="20" spans="1:12" s="31" customFormat="1" ht="23.4" x14ac:dyDescent="0.6">
      <c r="A20" s="9">
        <v>18</v>
      </c>
      <c r="B20" s="54"/>
      <c r="C20" s="54"/>
      <c r="D20" s="54"/>
      <c r="E20" s="54"/>
      <c r="F20" s="54"/>
      <c r="G20" s="54"/>
      <c r="H20" s="53"/>
      <c r="I20" s="53"/>
      <c r="L20" s="30"/>
    </row>
    <row r="21" spans="1:12" s="31" customFormat="1" ht="23.4" x14ac:dyDescent="0.6">
      <c r="A21" s="9">
        <v>19</v>
      </c>
      <c r="B21" s="54"/>
      <c r="C21" s="54"/>
      <c r="D21" s="54"/>
      <c r="E21" s="54"/>
      <c r="F21" s="54"/>
      <c r="G21" s="54"/>
      <c r="H21" s="53"/>
      <c r="I21" s="53"/>
      <c r="L21" s="30"/>
    </row>
    <row r="22" spans="1:12" s="31" customFormat="1" ht="23.4" x14ac:dyDescent="0.6">
      <c r="A22" s="9">
        <v>20</v>
      </c>
      <c r="B22" s="54"/>
      <c r="C22" s="54"/>
      <c r="D22" s="54"/>
      <c r="E22" s="54"/>
      <c r="F22" s="54"/>
      <c r="G22" s="54"/>
      <c r="H22" s="53"/>
      <c r="I22" s="53"/>
      <c r="L22" s="30"/>
    </row>
    <row r="23" spans="1:12" s="31" customFormat="1" ht="23.4" x14ac:dyDescent="0.6">
      <c r="A23" s="9">
        <v>21</v>
      </c>
      <c r="B23" s="54"/>
      <c r="C23" s="54"/>
      <c r="D23" s="54"/>
      <c r="E23" s="54"/>
      <c r="F23" s="54"/>
      <c r="G23" s="54"/>
      <c r="H23" s="53"/>
      <c r="I23" s="53"/>
      <c r="L23" s="30"/>
    </row>
    <row r="24" spans="1:12" s="31" customFormat="1" ht="22.95" customHeight="1" x14ac:dyDescent="0.6">
      <c r="A24" s="9">
        <v>22</v>
      </c>
      <c r="B24" s="54"/>
      <c r="C24" s="54"/>
      <c r="D24" s="54"/>
      <c r="E24" s="54"/>
      <c r="F24" s="54"/>
      <c r="G24" s="54"/>
      <c r="H24" s="53"/>
      <c r="I24" s="53"/>
      <c r="L24" s="30"/>
    </row>
    <row r="25" spans="1:12" s="31" customFormat="1" ht="23.4" x14ac:dyDescent="0.6">
      <c r="A25" s="9">
        <v>23</v>
      </c>
      <c r="B25" s="54"/>
      <c r="C25" s="54"/>
      <c r="D25" s="54"/>
      <c r="E25" s="54"/>
      <c r="F25" s="54"/>
      <c r="G25" s="54"/>
      <c r="H25" s="53"/>
      <c r="I25" s="53"/>
      <c r="L25" s="30"/>
    </row>
    <row r="26" spans="1:12" s="31" customFormat="1" ht="23.4" x14ac:dyDescent="0.6">
      <c r="A26" s="9">
        <v>24</v>
      </c>
      <c r="B26" s="54"/>
      <c r="C26" s="54"/>
      <c r="D26" s="54"/>
      <c r="E26" s="54"/>
      <c r="F26" s="54"/>
      <c r="G26" s="54"/>
      <c r="H26" s="53"/>
      <c r="I26" s="53"/>
      <c r="K26" s="30"/>
    </row>
    <row r="27" spans="1:12" s="31" customFormat="1" ht="23.4" x14ac:dyDescent="0.6">
      <c r="A27" s="9">
        <v>25</v>
      </c>
      <c r="B27" s="54"/>
      <c r="C27" s="54"/>
      <c r="D27" s="54"/>
      <c r="E27" s="54"/>
      <c r="F27" s="54"/>
      <c r="G27" s="54"/>
      <c r="H27" s="53"/>
      <c r="I27" s="53"/>
      <c r="K27" s="30"/>
    </row>
    <row r="28" spans="1:12" s="31" customFormat="1" ht="23.4" x14ac:dyDescent="0.6">
      <c r="A28" s="9">
        <v>26</v>
      </c>
      <c r="B28" s="54"/>
      <c r="C28" s="54"/>
      <c r="D28" s="54"/>
      <c r="E28" s="54"/>
      <c r="F28" s="54"/>
      <c r="G28" s="54"/>
      <c r="H28" s="53"/>
      <c r="I28" s="53"/>
      <c r="K28" s="30"/>
    </row>
    <row r="29" spans="1:12" s="31" customFormat="1" ht="23.4" x14ac:dyDescent="0.6">
      <c r="A29" s="9">
        <v>27</v>
      </c>
      <c r="B29" s="54"/>
      <c r="C29" s="54"/>
      <c r="D29" s="54"/>
      <c r="E29" s="54"/>
      <c r="F29" s="54"/>
      <c r="G29" s="54"/>
      <c r="H29" s="53"/>
      <c r="I29" s="53"/>
      <c r="K29" s="30"/>
    </row>
    <row r="30" spans="1:12" s="31" customFormat="1" ht="23.4" x14ac:dyDescent="0.6">
      <c r="A30" s="9">
        <v>28</v>
      </c>
      <c r="B30" s="54"/>
      <c r="C30" s="54"/>
      <c r="D30" s="54"/>
      <c r="E30" s="54"/>
      <c r="F30" s="54"/>
      <c r="G30" s="54"/>
      <c r="H30" s="53"/>
      <c r="I30" s="53"/>
      <c r="K30" s="30"/>
    </row>
    <row r="31" spans="1:12" s="31" customFormat="1" ht="23.4" x14ac:dyDescent="0.6">
      <c r="A31" s="9">
        <v>29</v>
      </c>
      <c r="B31" s="54"/>
      <c r="C31" s="54"/>
      <c r="D31" s="54"/>
      <c r="E31" s="54"/>
      <c r="F31" s="54"/>
      <c r="G31" s="54"/>
      <c r="H31" s="53"/>
      <c r="I31" s="53"/>
      <c r="K31" s="30"/>
    </row>
    <row r="32" spans="1:12" s="31" customFormat="1" ht="23.4" x14ac:dyDescent="0.6">
      <c r="A32" s="9">
        <v>30</v>
      </c>
      <c r="B32" s="54"/>
      <c r="C32" s="54"/>
      <c r="D32" s="54"/>
      <c r="E32" s="54"/>
      <c r="F32" s="54"/>
      <c r="G32" s="54"/>
      <c r="H32" s="53"/>
      <c r="I32" s="53"/>
      <c r="K32" s="30"/>
    </row>
    <row r="33" spans="1:14" s="31" customFormat="1" ht="23.4" x14ac:dyDescent="0.6">
      <c r="A33" s="9">
        <v>31</v>
      </c>
      <c r="B33" s="54"/>
      <c r="C33" s="54"/>
      <c r="D33" s="54"/>
      <c r="E33" s="54"/>
      <c r="F33" s="54"/>
      <c r="G33" s="54"/>
      <c r="H33" s="53"/>
      <c r="I33" s="53"/>
      <c r="K33" s="30"/>
    </row>
    <row r="34" spans="1:14" s="31" customFormat="1" ht="23.4" x14ac:dyDescent="0.6">
      <c r="A34" s="9">
        <v>32</v>
      </c>
      <c r="B34" s="54"/>
      <c r="C34" s="54"/>
      <c r="D34" s="54"/>
      <c r="E34" s="54"/>
      <c r="F34" s="54"/>
      <c r="G34" s="54"/>
      <c r="H34" s="53"/>
      <c r="I34" s="53"/>
      <c r="K34" s="30"/>
    </row>
    <row r="35" spans="1:14" s="31" customFormat="1" ht="23.4" x14ac:dyDescent="0.6">
      <c r="A35" s="9">
        <v>33</v>
      </c>
      <c r="B35" s="54"/>
      <c r="C35" s="54"/>
      <c r="D35" s="54"/>
      <c r="E35" s="54"/>
      <c r="F35" s="54"/>
      <c r="G35" s="54"/>
      <c r="H35" s="53"/>
      <c r="I35" s="53"/>
      <c r="K35" s="30"/>
    </row>
    <row r="36" spans="1:14" s="31" customFormat="1" ht="23.4" x14ac:dyDescent="0.6">
      <c r="A36" s="9">
        <v>34</v>
      </c>
      <c r="B36" s="54"/>
      <c r="C36" s="54"/>
      <c r="D36" s="54"/>
      <c r="E36" s="54"/>
      <c r="F36" s="54"/>
      <c r="G36" s="54"/>
      <c r="H36" s="53"/>
      <c r="I36" s="53"/>
      <c r="K36" s="30"/>
      <c r="L36" s="31">
        <v>5</v>
      </c>
      <c r="M36" s="31">
        <v>0</v>
      </c>
      <c r="N36" s="31" t="s">
        <v>857</v>
      </c>
    </row>
    <row r="37" spans="1:14" s="31" customFormat="1" ht="23.4" x14ac:dyDescent="0.6">
      <c r="A37" s="9">
        <v>35</v>
      </c>
      <c r="B37" s="54"/>
      <c r="C37" s="54"/>
      <c r="D37" s="54"/>
      <c r="E37" s="54"/>
      <c r="F37" s="54"/>
      <c r="G37" s="54"/>
      <c r="H37" s="53"/>
      <c r="I37" s="53"/>
      <c r="K37" s="30"/>
      <c r="L37" s="31">
        <v>0</v>
      </c>
      <c r="M37" s="31">
        <v>0</v>
      </c>
      <c r="N37" s="31" t="s">
        <v>858</v>
      </c>
    </row>
    <row r="38" spans="1:14" s="31" customFormat="1" ht="23.4" x14ac:dyDescent="0.6">
      <c r="A38" s="9">
        <v>36</v>
      </c>
      <c r="B38" s="54"/>
      <c r="C38" s="54"/>
      <c r="D38" s="54"/>
      <c r="E38" s="54"/>
      <c r="F38" s="54"/>
      <c r="G38" s="54"/>
      <c r="H38" s="53"/>
      <c r="I38" s="53"/>
      <c r="K38" s="30"/>
      <c r="L38" s="31">
        <v>0</v>
      </c>
      <c r="M38" s="31">
        <v>0</v>
      </c>
      <c r="N38" s="31" t="s">
        <v>859</v>
      </c>
    </row>
    <row r="39" spans="1:14" s="31" customFormat="1" ht="23.4" x14ac:dyDescent="0.6">
      <c r="A39" s="9">
        <v>37</v>
      </c>
      <c r="B39" s="54"/>
      <c r="C39" s="54"/>
      <c r="D39" s="54"/>
      <c r="E39" s="54"/>
      <c r="F39" s="54"/>
      <c r="G39" s="54"/>
      <c r="H39" s="53"/>
      <c r="I39" s="53"/>
      <c r="K39" s="30"/>
      <c r="L39" s="31">
        <v>29</v>
      </c>
      <c r="M39" s="31">
        <v>0</v>
      </c>
      <c r="N39" s="31" t="s">
        <v>860</v>
      </c>
    </row>
    <row r="40" spans="1:14" s="31" customFormat="1" ht="23.4" x14ac:dyDescent="0.6">
      <c r="A40" s="9">
        <v>38</v>
      </c>
      <c r="B40" s="54"/>
      <c r="C40" s="54"/>
      <c r="D40" s="54"/>
      <c r="E40" s="54"/>
      <c r="F40" s="54"/>
      <c r="G40" s="54"/>
      <c r="H40" s="53"/>
      <c r="I40" s="53"/>
      <c r="K40" s="30"/>
      <c r="L40" s="31">
        <v>6</v>
      </c>
      <c r="M40" s="31">
        <v>0</v>
      </c>
      <c r="N40" s="31" t="s">
        <v>861</v>
      </c>
    </row>
    <row r="41" spans="1:14" s="31" customFormat="1" ht="23.4" x14ac:dyDescent="0.6">
      <c r="A41" s="9">
        <v>39</v>
      </c>
      <c r="B41" s="54"/>
      <c r="C41" s="54"/>
      <c r="D41" s="54"/>
      <c r="E41" s="54"/>
      <c r="F41" s="54"/>
      <c r="G41" s="54"/>
      <c r="H41" s="53"/>
      <c r="I41" s="53"/>
      <c r="K41" s="30"/>
      <c r="L41" s="31">
        <v>0</v>
      </c>
      <c r="M41" s="31">
        <v>0</v>
      </c>
      <c r="N41" s="31" t="s">
        <v>862</v>
      </c>
    </row>
    <row r="42" spans="1:14" s="31" customFormat="1" ht="23.4" x14ac:dyDescent="0.6">
      <c r="A42" s="9">
        <v>40</v>
      </c>
      <c r="B42" s="54"/>
      <c r="C42" s="54"/>
      <c r="D42" s="54"/>
      <c r="E42" s="54"/>
      <c r="F42" s="54"/>
      <c r="G42" s="54"/>
      <c r="H42" s="53"/>
      <c r="I42" s="53"/>
      <c r="K42" s="30"/>
      <c r="L42" s="31">
        <v>38</v>
      </c>
      <c r="M42" s="31">
        <v>36</v>
      </c>
      <c r="N42" s="31" t="s">
        <v>863</v>
      </c>
    </row>
    <row r="43" spans="1:14" s="31" customFormat="1" ht="23.4" x14ac:dyDescent="0.6">
      <c r="A43" s="9">
        <v>41</v>
      </c>
      <c r="B43" s="54"/>
      <c r="C43" s="54"/>
      <c r="D43" s="54"/>
      <c r="E43" s="54"/>
      <c r="F43" s="54"/>
      <c r="G43" s="54"/>
      <c r="H43" s="53"/>
      <c r="I43" s="53"/>
      <c r="K43" s="30"/>
      <c r="L43" s="31">
        <v>45</v>
      </c>
      <c r="M43" s="31">
        <v>0</v>
      </c>
      <c r="N43" s="31" t="s">
        <v>864</v>
      </c>
    </row>
    <row r="44" spans="1:14" s="31" customFormat="1" ht="23.4" x14ac:dyDescent="0.6">
      <c r="A44" s="9">
        <v>42</v>
      </c>
      <c r="B44" s="54"/>
      <c r="C44" s="54"/>
      <c r="D44" s="54"/>
      <c r="E44" s="54"/>
      <c r="F44" s="54"/>
      <c r="G44" s="54"/>
      <c r="H44" s="53"/>
      <c r="I44" s="53"/>
      <c r="K44" s="30"/>
      <c r="L44" s="31">
        <v>45</v>
      </c>
      <c r="M44" s="31">
        <v>0</v>
      </c>
      <c r="N44" s="31" t="s">
        <v>865</v>
      </c>
    </row>
    <row r="45" spans="1:14" s="31" customFormat="1" ht="23.4" x14ac:dyDescent="0.6">
      <c r="A45" s="9">
        <v>43</v>
      </c>
      <c r="B45" s="54"/>
      <c r="C45" s="54"/>
      <c r="D45" s="54"/>
      <c r="E45" s="54"/>
      <c r="F45" s="54"/>
      <c r="G45" s="54"/>
      <c r="H45" s="53"/>
      <c r="I45" s="53"/>
      <c r="K45" s="30"/>
      <c r="L45" s="31">
        <v>29</v>
      </c>
      <c r="M45" s="31">
        <v>45</v>
      </c>
      <c r="N45" s="31" t="s">
        <v>866</v>
      </c>
    </row>
    <row r="46" spans="1:14" s="31" customFormat="1" ht="23.4" x14ac:dyDescent="0.6">
      <c r="A46" s="9">
        <v>44</v>
      </c>
      <c r="B46" s="54"/>
      <c r="C46" s="54"/>
      <c r="D46" s="54"/>
      <c r="E46" s="54"/>
      <c r="F46" s="54"/>
      <c r="G46" s="54"/>
      <c r="H46" s="53"/>
      <c r="I46" s="53"/>
      <c r="K46" s="30"/>
      <c r="L46" s="31">
        <v>4</v>
      </c>
      <c r="M46" s="31">
        <v>0</v>
      </c>
      <c r="N46" s="31" t="s">
        <v>867</v>
      </c>
    </row>
    <row r="47" spans="1:14" s="31" customFormat="1" ht="23.4" x14ac:dyDescent="0.6">
      <c r="A47" s="9">
        <v>45</v>
      </c>
      <c r="B47" s="54"/>
      <c r="C47" s="54"/>
      <c r="D47" s="54"/>
      <c r="E47" s="54"/>
      <c r="F47" s="54"/>
      <c r="G47" s="54"/>
      <c r="H47" s="53"/>
      <c r="I47" s="53"/>
      <c r="K47" s="30"/>
      <c r="L47" s="31">
        <v>5</v>
      </c>
      <c r="M47" s="31">
        <v>0</v>
      </c>
      <c r="N47" s="31" t="s">
        <v>868</v>
      </c>
    </row>
    <row r="48" spans="1:14" s="31" customFormat="1" ht="23.4" x14ac:dyDescent="0.6">
      <c r="A48" s="9">
        <v>46</v>
      </c>
      <c r="B48" s="54"/>
      <c r="C48" s="54"/>
      <c r="D48" s="54"/>
      <c r="E48" s="54"/>
      <c r="F48" s="54"/>
      <c r="G48" s="54"/>
      <c r="H48" s="53"/>
      <c r="I48" s="53"/>
      <c r="K48" s="30"/>
      <c r="L48" s="31">
        <v>29</v>
      </c>
      <c r="M48" s="31">
        <v>0</v>
      </c>
      <c r="N48" s="31" t="s">
        <v>869</v>
      </c>
    </row>
    <row r="49" spans="1:14" s="31" customFormat="1" ht="23.4" x14ac:dyDescent="0.6">
      <c r="A49" s="9">
        <v>47</v>
      </c>
      <c r="B49" s="54"/>
      <c r="C49" s="54"/>
      <c r="D49" s="54"/>
      <c r="E49" s="54"/>
      <c r="F49" s="54"/>
      <c r="G49" s="54"/>
      <c r="H49" s="53"/>
      <c r="I49" s="53"/>
      <c r="K49" s="30"/>
      <c r="L49" s="31">
        <v>38</v>
      </c>
      <c r="M49" s="31">
        <v>59</v>
      </c>
      <c r="N49" s="31" t="s">
        <v>870</v>
      </c>
    </row>
    <row r="50" spans="1:14" s="31" customFormat="1" ht="23.4" x14ac:dyDescent="0.6">
      <c r="A50" s="9">
        <v>48</v>
      </c>
      <c r="B50" s="54"/>
      <c r="C50" s="54"/>
      <c r="D50" s="54"/>
      <c r="E50" s="54"/>
      <c r="F50" s="54"/>
      <c r="G50" s="54"/>
      <c r="H50" s="53"/>
      <c r="I50" s="53"/>
      <c r="K50" s="30"/>
      <c r="L50" s="31">
        <v>29</v>
      </c>
      <c r="M50" s="31">
        <v>22</v>
      </c>
      <c r="N50" s="31" t="s">
        <v>871</v>
      </c>
    </row>
    <row r="51" spans="1:14" s="31" customFormat="1" ht="23.4" x14ac:dyDescent="0.6">
      <c r="A51" s="9">
        <v>49</v>
      </c>
      <c r="B51" s="54"/>
      <c r="C51" s="54"/>
      <c r="D51" s="54"/>
      <c r="E51" s="54"/>
      <c r="F51" s="54"/>
      <c r="G51" s="54"/>
      <c r="H51" s="53"/>
      <c r="I51" s="53"/>
      <c r="K51" s="30"/>
      <c r="L51" s="31">
        <v>0</v>
      </c>
      <c r="M51" s="31">
        <v>32</v>
      </c>
      <c r="N51" s="31" t="s">
        <v>872</v>
      </c>
    </row>
    <row r="52" spans="1:14" s="31" customFormat="1" ht="23.4" x14ac:dyDescent="0.6">
      <c r="A52" s="9">
        <v>50</v>
      </c>
      <c r="B52" s="54"/>
      <c r="C52" s="54"/>
      <c r="D52" s="54"/>
      <c r="E52" s="54"/>
      <c r="F52" s="54"/>
      <c r="G52" s="54"/>
      <c r="H52" s="53"/>
      <c r="I52" s="53"/>
      <c r="K52" s="30"/>
      <c r="L52" s="31">
        <v>64</v>
      </c>
      <c r="M52" s="31">
        <v>0</v>
      </c>
      <c r="N52" s="31" t="s">
        <v>873</v>
      </c>
    </row>
    <row r="53" spans="1:14" s="31" customFormat="1" ht="23.4" x14ac:dyDescent="0.6">
      <c r="A53" s="9">
        <v>51</v>
      </c>
      <c r="B53" s="54"/>
      <c r="C53" s="54"/>
      <c r="D53" s="54"/>
      <c r="E53" s="54"/>
      <c r="F53" s="54"/>
      <c r="G53" s="54"/>
      <c r="H53" s="53"/>
      <c r="I53" s="53"/>
      <c r="K53" s="30"/>
      <c r="L53" s="31">
        <v>64</v>
      </c>
      <c r="M53" s="31">
        <v>0</v>
      </c>
      <c r="N53" s="31" t="s">
        <v>874</v>
      </c>
    </row>
    <row r="54" spans="1:14" s="31" customFormat="1" ht="23.4" x14ac:dyDescent="0.6">
      <c r="A54" s="9">
        <v>52</v>
      </c>
      <c r="B54" s="54"/>
      <c r="C54" s="54"/>
      <c r="D54" s="54"/>
      <c r="E54" s="54"/>
      <c r="F54" s="54"/>
      <c r="G54" s="54"/>
      <c r="H54" s="53"/>
      <c r="I54" s="53"/>
      <c r="K54" s="30"/>
      <c r="L54" s="31">
        <v>5</v>
      </c>
      <c r="M54" s="31">
        <v>0</v>
      </c>
      <c r="N54" s="31" t="s">
        <v>875</v>
      </c>
    </row>
    <row r="55" spans="1:14" s="31" customFormat="1" ht="23.4" x14ac:dyDescent="0.6">
      <c r="A55" s="9">
        <v>53</v>
      </c>
      <c r="B55" s="54"/>
      <c r="C55" s="54"/>
      <c r="D55" s="54"/>
      <c r="E55" s="54"/>
      <c r="F55" s="54"/>
      <c r="G55" s="54"/>
      <c r="H55" s="53"/>
      <c r="I55" s="53"/>
      <c r="K55" s="30"/>
      <c r="L55" s="31">
        <v>0</v>
      </c>
      <c r="M55" s="31">
        <v>0</v>
      </c>
      <c r="N55" s="31" t="s">
        <v>876</v>
      </c>
    </row>
    <row r="56" spans="1:14" s="31" customFormat="1" ht="23.4" x14ac:dyDescent="0.6">
      <c r="A56" s="9">
        <v>54</v>
      </c>
      <c r="B56" s="54"/>
      <c r="C56" s="54"/>
      <c r="D56" s="54"/>
      <c r="E56" s="54"/>
      <c r="F56" s="54"/>
      <c r="G56" s="54"/>
      <c r="H56" s="53"/>
      <c r="I56" s="53"/>
      <c r="K56" s="30"/>
      <c r="L56" s="31">
        <v>0</v>
      </c>
      <c r="M56" s="31">
        <v>0</v>
      </c>
      <c r="N56" s="31" t="s">
        <v>877</v>
      </c>
    </row>
    <row r="57" spans="1:14" s="31" customFormat="1" ht="23.4" x14ac:dyDescent="0.6">
      <c r="A57" s="9">
        <v>55</v>
      </c>
      <c r="B57" s="54"/>
      <c r="C57" s="54"/>
      <c r="D57" s="54"/>
      <c r="E57" s="54"/>
      <c r="F57" s="54"/>
      <c r="G57" s="54"/>
      <c r="H57" s="53"/>
      <c r="I57" s="53"/>
      <c r="K57" s="30"/>
      <c r="L57" s="31">
        <v>29</v>
      </c>
      <c r="M57" s="31">
        <v>31</v>
      </c>
      <c r="N57" s="31" t="s">
        <v>878</v>
      </c>
    </row>
    <row r="58" spans="1:14" s="31" customFormat="1" ht="23.4" x14ac:dyDescent="0.6">
      <c r="A58" s="9">
        <v>56</v>
      </c>
      <c r="B58" s="54"/>
      <c r="C58" s="54"/>
      <c r="D58" s="54"/>
      <c r="E58" s="54"/>
      <c r="F58" s="54"/>
      <c r="G58" s="54"/>
      <c r="H58" s="53"/>
      <c r="I58" s="53"/>
      <c r="K58" s="30"/>
      <c r="L58" s="31">
        <v>0</v>
      </c>
      <c r="M58" s="31">
        <v>31</v>
      </c>
      <c r="N58" s="31" t="s">
        <v>879</v>
      </c>
    </row>
    <row r="59" spans="1:14" s="31" customFormat="1" ht="23.4" x14ac:dyDescent="0.6">
      <c r="A59" s="9">
        <v>57</v>
      </c>
      <c r="B59" s="54"/>
      <c r="C59" s="54"/>
      <c r="D59" s="54"/>
      <c r="E59" s="54"/>
      <c r="F59" s="54"/>
      <c r="G59" s="54"/>
      <c r="H59" s="53"/>
      <c r="I59" s="53"/>
      <c r="K59" s="30"/>
      <c r="L59" s="31">
        <v>0</v>
      </c>
      <c r="M59" s="31">
        <v>0</v>
      </c>
      <c r="N59" s="31" t="s">
        <v>880</v>
      </c>
    </row>
    <row r="60" spans="1:14" s="31" customFormat="1" ht="23.4" x14ac:dyDescent="0.6">
      <c r="A60" s="9">
        <v>58</v>
      </c>
      <c r="B60" s="54"/>
      <c r="C60" s="54"/>
      <c r="D60" s="54"/>
      <c r="E60" s="54"/>
      <c r="F60" s="54"/>
      <c r="G60" s="54"/>
      <c r="H60" s="53"/>
      <c r="I60" s="53"/>
      <c r="K60" s="30"/>
      <c r="L60" s="31">
        <v>5</v>
      </c>
      <c r="M60" s="31">
        <v>0</v>
      </c>
      <c r="N60" s="31" t="s">
        <v>881</v>
      </c>
    </row>
    <row r="61" spans="1:14" s="31" customFormat="1" ht="23.4" x14ac:dyDescent="0.6">
      <c r="A61" s="9">
        <v>59</v>
      </c>
      <c r="B61" s="54"/>
      <c r="C61" s="54"/>
      <c r="D61" s="54"/>
      <c r="E61" s="54"/>
      <c r="F61" s="54"/>
      <c r="G61" s="54"/>
      <c r="H61" s="53"/>
      <c r="I61" s="53"/>
      <c r="K61" s="30"/>
      <c r="L61" s="31">
        <v>48</v>
      </c>
      <c r="M61" s="31">
        <v>45</v>
      </c>
      <c r="N61" s="31" t="s">
        <v>882</v>
      </c>
    </row>
    <row r="62" spans="1:14" s="31" customFormat="1" ht="23.4" x14ac:dyDescent="0.6">
      <c r="A62" s="9">
        <v>60</v>
      </c>
      <c r="B62" s="54"/>
      <c r="C62" s="54"/>
      <c r="D62" s="54"/>
      <c r="E62" s="54"/>
      <c r="F62" s="54"/>
      <c r="G62" s="54"/>
      <c r="H62" s="53"/>
      <c r="I62" s="53"/>
      <c r="K62" s="30"/>
      <c r="L62" s="31">
        <v>48</v>
      </c>
      <c r="M62" s="31">
        <v>35</v>
      </c>
      <c r="N62" s="31" t="s">
        <v>883</v>
      </c>
    </row>
    <row r="63" spans="1:14" s="31" customFormat="1" ht="23.4" x14ac:dyDescent="0.6">
      <c r="A63" s="9">
        <v>61</v>
      </c>
      <c r="B63" s="54"/>
      <c r="C63" s="54"/>
      <c r="D63" s="54"/>
      <c r="E63" s="54"/>
      <c r="F63" s="54"/>
      <c r="G63" s="54"/>
      <c r="H63" s="53"/>
      <c r="I63" s="53"/>
      <c r="K63" s="30"/>
      <c r="L63" s="31">
        <v>5</v>
      </c>
      <c r="M63" s="31">
        <v>0</v>
      </c>
      <c r="N63" s="31" t="s">
        <v>884</v>
      </c>
    </row>
    <row r="64" spans="1:14" s="31" customFormat="1" ht="23.4" x14ac:dyDescent="0.6">
      <c r="A64" s="9">
        <v>62</v>
      </c>
      <c r="B64" s="54"/>
      <c r="C64" s="54"/>
      <c r="D64" s="54"/>
      <c r="E64" s="54"/>
      <c r="F64" s="54"/>
      <c r="G64" s="54"/>
      <c r="H64" s="53"/>
      <c r="I64" s="53"/>
      <c r="K64" s="30"/>
      <c r="L64" s="31">
        <v>6</v>
      </c>
      <c r="M64" s="31">
        <v>0</v>
      </c>
      <c r="N64" s="31" t="s">
        <v>885</v>
      </c>
    </row>
    <row r="65" spans="1:14" s="31" customFormat="1" ht="23.4" x14ac:dyDescent="0.6">
      <c r="A65" s="9">
        <v>63</v>
      </c>
      <c r="B65" s="54"/>
      <c r="C65" s="54"/>
      <c r="D65" s="54"/>
      <c r="E65" s="54"/>
      <c r="F65" s="54"/>
      <c r="G65" s="54"/>
      <c r="H65" s="53"/>
      <c r="I65" s="53"/>
      <c r="K65" s="30"/>
      <c r="L65" s="31">
        <v>29</v>
      </c>
      <c r="M65" s="31">
        <v>0</v>
      </c>
      <c r="N65" s="31" t="s">
        <v>886</v>
      </c>
    </row>
    <row r="66" spans="1:14" s="31" customFormat="1" ht="23.4" x14ac:dyDescent="0.6">
      <c r="A66" s="9">
        <v>64</v>
      </c>
      <c r="B66" s="54"/>
      <c r="C66" s="54"/>
      <c r="D66" s="54"/>
      <c r="E66" s="54"/>
      <c r="F66" s="54"/>
      <c r="G66" s="54"/>
      <c r="H66" s="53"/>
      <c r="I66" s="53"/>
      <c r="K66" s="30"/>
      <c r="L66" s="31">
        <v>0</v>
      </c>
      <c r="M66" s="31">
        <v>0</v>
      </c>
      <c r="N66" s="31" t="s">
        <v>887</v>
      </c>
    </row>
    <row r="67" spans="1:14" s="31" customFormat="1" ht="23.4" x14ac:dyDescent="0.6">
      <c r="A67" s="9">
        <v>65</v>
      </c>
      <c r="B67" s="54"/>
      <c r="C67" s="54"/>
      <c r="D67" s="54"/>
      <c r="E67" s="54"/>
      <c r="F67" s="54"/>
      <c r="G67" s="54"/>
      <c r="H67" s="53"/>
      <c r="I67" s="53"/>
      <c r="K67" s="30"/>
      <c r="L67" s="31">
        <v>0</v>
      </c>
      <c r="M67" s="31">
        <v>0</v>
      </c>
      <c r="N67" s="31" t="s">
        <v>888</v>
      </c>
    </row>
    <row r="68" spans="1:14" s="31" customFormat="1" ht="23.4" x14ac:dyDescent="0.6">
      <c r="A68" s="9">
        <v>66</v>
      </c>
      <c r="B68" s="54"/>
      <c r="C68" s="54"/>
      <c r="D68" s="54"/>
      <c r="E68" s="54"/>
      <c r="F68" s="54"/>
      <c r="G68" s="54"/>
      <c r="H68" s="53"/>
      <c r="I68" s="53"/>
      <c r="K68" s="30"/>
      <c r="L68" s="31">
        <v>0</v>
      </c>
      <c r="M68" s="31">
        <v>0</v>
      </c>
      <c r="N68" s="31" t="s">
        <v>889</v>
      </c>
    </row>
    <row r="69" spans="1:14" s="31" customFormat="1" ht="23.4" x14ac:dyDescent="0.6">
      <c r="A69" s="9">
        <v>67</v>
      </c>
      <c r="B69" s="54"/>
      <c r="C69" s="54"/>
      <c r="D69" s="54"/>
      <c r="E69" s="54"/>
      <c r="F69" s="54"/>
      <c r="G69" s="54"/>
      <c r="H69" s="53"/>
      <c r="I69" s="53"/>
      <c r="K69" s="30"/>
      <c r="L69" s="31">
        <v>35</v>
      </c>
      <c r="M69" s="31">
        <v>0</v>
      </c>
      <c r="N69" s="31" t="s">
        <v>50</v>
      </c>
    </row>
    <row r="70" spans="1:14" s="31" customFormat="1" ht="23.4" x14ac:dyDescent="0.6">
      <c r="A70" s="9">
        <v>68</v>
      </c>
      <c r="B70" s="54"/>
      <c r="C70" s="54"/>
      <c r="D70" s="54"/>
      <c r="E70" s="54"/>
      <c r="F70" s="54"/>
      <c r="G70" s="54"/>
      <c r="H70" s="53"/>
      <c r="I70" s="53"/>
      <c r="K70" s="30"/>
      <c r="L70" s="31">
        <v>48</v>
      </c>
      <c r="M70" s="31">
        <v>95</v>
      </c>
      <c r="N70" s="31" t="s">
        <v>890</v>
      </c>
    </row>
    <row r="71" spans="1:14" s="31" customFormat="1" ht="23.4" x14ac:dyDescent="0.6">
      <c r="A71" s="9">
        <v>69</v>
      </c>
      <c r="B71" s="54"/>
      <c r="C71" s="54"/>
      <c r="D71" s="54"/>
      <c r="E71" s="54"/>
      <c r="F71" s="54"/>
      <c r="G71" s="54"/>
      <c r="H71" s="53"/>
      <c r="I71" s="53"/>
      <c r="K71" s="30"/>
      <c r="L71" s="31">
        <v>38</v>
      </c>
      <c r="M71" s="31">
        <v>34</v>
      </c>
      <c r="N71" s="31" t="s">
        <v>891</v>
      </c>
    </row>
    <row r="72" spans="1:14" s="31" customFormat="1" ht="23.4" x14ac:dyDescent="0.6">
      <c r="A72" s="9">
        <v>70</v>
      </c>
      <c r="B72" s="54"/>
      <c r="C72" s="54"/>
      <c r="D72" s="54"/>
      <c r="E72" s="54"/>
      <c r="F72" s="54"/>
      <c r="G72" s="54"/>
      <c r="H72" s="53"/>
      <c r="I72" s="53"/>
      <c r="K72" s="30"/>
      <c r="L72" s="31">
        <v>38</v>
      </c>
      <c r="M72" s="31">
        <v>57</v>
      </c>
      <c r="N72" s="31" t="s">
        <v>892</v>
      </c>
    </row>
    <row r="73" spans="1:14" s="31" customFormat="1" ht="23.4" x14ac:dyDescent="0.6">
      <c r="A73" s="9">
        <v>71</v>
      </c>
      <c r="B73" s="54"/>
      <c r="C73" s="54"/>
      <c r="D73" s="54"/>
      <c r="E73" s="54"/>
      <c r="F73" s="54"/>
      <c r="G73" s="54"/>
      <c r="H73" s="53"/>
      <c r="I73" s="53"/>
      <c r="K73" s="30"/>
      <c r="L73" s="31">
        <v>0</v>
      </c>
      <c r="M73" s="31">
        <v>0</v>
      </c>
      <c r="N73" s="31" t="s">
        <v>893</v>
      </c>
    </row>
    <row r="74" spans="1:14" s="31" customFormat="1" ht="23.4" x14ac:dyDescent="0.6">
      <c r="A74" s="9">
        <v>72</v>
      </c>
      <c r="B74" s="54"/>
      <c r="C74" s="54"/>
      <c r="D74" s="54"/>
      <c r="E74" s="54"/>
      <c r="F74" s="54"/>
      <c r="G74" s="54"/>
      <c r="H74" s="53"/>
      <c r="I74" s="53"/>
      <c r="K74" s="30"/>
      <c r="L74" s="31">
        <v>5</v>
      </c>
      <c r="M74" s="31">
        <v>0</v>
      </c>
      <c r="N74" s="31" t="s">
        <v>894</v>
      </c>
    </row>
    <row r="75" spans="1:14" s="31" customFormat="1" ht="23.4" x14ac:dyDescent="0.6">
      <c r="A75" s="9">
        <v>73</v>
      </c>
      <c r="B75" s="54"/>
      <c r="C75" s="54"/>
      <c r="D75" s="54"/>
      <c r="E75" s="54"/>
      <c r="F75" s="54"/>
      <c r="G75" s="54"/>
      <c r="H75" s="53"/>
      <c r="I75" s="53"/>
      <c r="K75" s="30"/>
      <c r="L75" s="31">
        <v>5</v>
      </c>
      <c r="M75" s="31">
        <v>0</v>
      </c>
      <c r="N75" s="31" t="s">
        <v>895</v>
      </c>
    </row>
    <row r="76" spans="1:14" s="31" customFormat="1" ht="23.4" x14ac:dyDescent="0.6">
      <c r="A76" s="9">
        <v>74</v>
      </c>
      <c r="B76" s="54"/>
      <c r="C76" s="54"/>
      <c r="D76" s="54"/>
      <c r="E76" s="54"/>
      <c r="F76" s="54"/>
      <c r="G76" s="54"/>
      <c r="H76" s="53"/>
      <c r="I76" s="53"/>
      <c r="K76" s="30"/>
      <c r="L76" s="31">
        <v>64</v>
      </c>
      <c r="M76" s="31">
        <v>0</v>
      </c>
      <c r="N76" s="31" t="s">
        <v>896</v>
      </c>
    </row>
    <row r="77" spans="1:14" s="31" customFormat="1" ht="23.4" x14ac:dyDescent="0.6">
      <c r="A77" s="9">
        <v>75</v>
      </c>
      <c r="B77" s="54"/>
      <c r="C77" s="54"/>
      <c r="D77" s="54"/>
      <c r="E77" s="54"/>
      <c r="F77" s="54"/>
      <c r="G77" s="54"/>
      <c r="H77" s="53"/>
      <c r="I77" s="53"/>
      <c r="K77" s="30"/>
      <c r="L77" s="31">
        <v>38</v>
      </c>
      <c r="M77" s="31">
        <v>38</v>
      </c>
      <c r="N77" s="31" t="s">
        <v>897</v>
      </c>
    </row>
    <row r="78" spans="1:14" s="31" customFormat="1" ht="23.4" x14ac:dyDescent="0.6">
      <c r="A78" s="9">
        <v>76</v>
      </c>
      <c r="B78" s="54"/>
      <c r="C78" s="54"/>
      <c r="D78" s="54"/>
      <c r="E78" s="54"/>
      <c r="F78" s="54"/>
      <c r="G78" s="54"/>
      <c r="H78" s="53"/>
      <c r="I78" s="53"/>
      <c r="K78" s="30"/>
      <c r="L78" s="31">
        <v>48</v>
      </c>
      <c r="M78" s="31">
        <v>43</v>
      </c>
      <c r="N78" s="31" t="s">
        <v>898</v>
      </c>
    </row>
    <row r="79" spans="1:14" s="31" customFormat="1" ht="23.4" x14ac:dyDescent="0.6">
      <c r="A79" s="9">
        <v>77</v>
      </c>
      <c r="B79" s="54"/>
      <c r="C79" s="54"/>
      <c r="D79" s="54"/>
      <c r="E79" s="54"/>
      <c r="F79" s="54"/>
      <c r="G79" s="54"/>
      <c r="H79" s="53"/>
      <c r="I79" s="53"/>
      <c r="K79" s="30"/>
      <c r="L79" s="31">
        <v>5</v>
      </c>
      <c r="M79" s="31">
        <v>0</v>
      </c>
      <c r="N79" s="31" t="s">
        <v>899</v>
      </c>
    </row>
    <row r="80" spans="1:14" s="31" customFormat="1" ht="23.4" x14ac:dyDescent="0.6">
      <c r="A80" s="9">
        <v>78</v>
      </c>
      <c r="B80" s="54"/>
      <c r="C80" s="54"/>
      <c r="D80" s="54"/>
      <c r="E80" s="54"/>
      <c r="F80" s="54"/>
      <c r="G80" s="54"/>
      <c r="H80" s="53"/>
      <c r="I80" s="53"/>
      <c r="K80" s="30"/>
      <c r="L80" s="31">
        <v>5</v>
      </c>
      <c r="M80" s="31">
        <v>0</v>
      </c>
      <c r="N80" s="31" t="s">
        <v>900</v>
      </c>
    </row>
    <row r="81" spans="1:14" s="31" customFormat="1" ht="23.4" x14ac:dyDescent="0.6">
      <c r="A81" s="9">
        <v>79</v>
      </c>
      <c r="B81" s="54"/>
      <c r="C81" s="54"/>
      <c r="D81" s="54"/>
      <c r="E81" s="54"/>
      <c r="F81" s="54"/>
      <c r="G81" s="54"/>
      <c r="H81" s="53"/>
      <c r="I81" s="53"/>
      <c r="K81" s="30"/>
      <c r="L81" s="31">
        <v>45</v>
      </c>
      <c r="M81" s="31">
        <v>0</v>
      </c>
      <c r="N81" s="31" t="s">
        <v>901</v>
      </c>
    </row>
    <row r="82" spans="1:14" s="31" customFormat="1" ht="23.4" x14ac:dyDescent="0.6">
      <c r="A82" s="9">
        <v>80</v>
      </c>
      <c r="B82" s="54"/>
      <c r="C82" s="54"/>
      <c r="D82" s="54"/>
      <c r="E82" s="54"/>
      <c r="F82" s="54"/>
      <c r="G82" s="54"/>
      <c r="H82" s="53"/>
      <c r="I82" s="53"/>
      <c r="K82" s="30"/>
      <c r="L82" s="31">
        <v>0</v>
      </c>
      <c r="M82" s="31">
        <v>0</v>
      </c>
      <c r="N82" s="31" t="s">
        <v>902</v>
      </c>
    </row>
    <row r="83" spans="1:14" s="31" customFormat="1" ht="23.4" x14ac:dyDescent="0.6">
      <c r="A83" s="9">
        <v>81</v>
      </c>
      <c r="B83" s="54"/>
      <c r="C83" s="54"/>
      <c r="D83" s="54"/>
      <c r="E83" s="54"/>
      <c r="F83" s="54"/>
      <c r="G83" s="54"/>
      <c r="H83" s="53"/>
      <c r="I83" s="53"/>
      <c r="K83" s="30"/>
      <c r="L83" s="31">
        <v>45</v>
      </c>
      <c r="M83" s="31">
        <v>0</v>
      </c>
      <c r="N83" s="31" t="s">
        <v>903</v>
      </c>
    </row>
    <row r="84" spans="1:14" s="31" customFormat="1" ht="23.4" x14ac:dyDescent="0.6">
      <c r="A84" s="9">
        <v>82</v>
      </c>
      <c r="B84" s="54"/>
      <c r="C84" s="54"/>
      <c r="D84" s="54"/>
      <c r="E84" s="54"/>
      <c r="F84" s="54"/>
      <c r="G84" s="54"/>
      <c r="H84" s="53"/>
      <c r="I84" s="53"/>
      <c r="K84" s="30"/>
      <c r="L84" s="31">
        <v>104</v>
      </c>
      <c r="M84" s="31">
        <v>0</v>
      </c>
      <c r="N84" s="31" t="s">
        <v>904</v>
      </c>
    </row>
    <row r="85" spans="1:14" s="31" customFormat="1" ht="23.4" x14ac:dyDescent="0.6">
      <c r="A85" s="9">
        <v>83</v>
      </c>
      <c r="B85" s="54"/>
      <c r="C85" s="54"/>
      <c r="D85" s="54"/>
      <c r="E85" s="54"/>
      <c r="F85" s="54"/>
      <c r="G85" s="54"/>
      <c r="H85" s="53"/>
      <c r="I85" s="53"/>
      <c r="K85" s="30"/>
      <c r="L85" s="31">
        <v>48</v>
      </c>
      <c r="M85" s="31">
        <v>69</v>
      </c>
      <c r="N85" s="31" t="s">
        <v>905</v>
      </c>
    </row>
    <row r="86" spans="1:14" s="31" customFormat="1" ht="23.4" x14ac:dyDescent="0.6">
      <c r="A86" s="9">
        <v>84</v>
      </c>
      <c r="B86" s="54"/>
      <c r="C86" s="54"/>
      <c r="D86" s="54"/>
      <c r="E86" s="54"/>
      <c r="F86" s="54"/>
      <c r="G86" s="54"/>
      <c r="H86" s="53"/>
      <c r="I86" s="53"/>
      <c r="K86" s="30"/>
      <c r="L86" s="31">
        <v>0</v>
      </c>
      <c r="M86" s="31">
        <v>15</v>
      </c>
      <c r="N86" s="31" t="s">
        <v>906</v>
      </c>
    </row>
    <row r="87" spans="1:14" s="31" customFormat="1" ht="23.4" x14ac:dyDescent="0.6">
      <c r="A87" s="9">
        <v>85</v>
      </c>
      <c r="B87" s="54"/>
      <c r="C87" s="54"/>
      <c r="D87" s="54"/>
      <c r="E87" s="54"/>
      <c r="F87" s="54"/>
      <c r="G87" s="54"/>
      <c r="H87" s="53"/>
      <c r="I87" s="53"/>
      <c r="K87" s="30"/>
      <c r="L87" s="31">
        <v>6</v>
      </c>
      <c r="M87" s="31">
        <v>0</v>
      </c>
      <c r="N87" s="31" t="s">
        <v>907</v>
      </c>
    </row>
    <row r="88" spans="1:14" s="31" customFormat="1" ht="23.4" x14ac:dyDescent="0.6">
      <c r="A88" s="9">
        <v>86</v>
      </c>
      <c r="B88" s="54"/>
      <c r="C88" s="54"/>
      <c r="D88" s="54"/>
      <c r="E88" s="54"/>
      <c r="F88" s="54"/>
      <c r="G88" s="54"/>
      <c r="H88" s="53"/>
      <c r="I88" s="53"/>
      <c r="K88" s="30"/>
      <c r="L88" s="31">
        <v>35</v>
      </c>
      <c r="M88" s="31">
        <v>0</v>
      </c>
      <c r="N88" s="31" t="s">
        <v>50</v>
      </c>
    </row>
    <row r="89" spans="1:14" s="31" customFormat="1" ht="23.4" x14ac:dyDescent="0.6">
      <c r="A89" s="9">
        <v>87</v>
      </c>
      <c r="B89" s="54"/>
      <c r="C89" s="54"/>
      <c r="D89" s="54"/>
      <c r="E89" s="54"/>
      <c r="F89" s="54"/>
      <c r="G89" s="54"/>
      <c r="H89" s="53"/>
      <c r="I89" s="53"/>
      <c r="K89" s="30"/>
      <c r="L89" s="31">
        <v>0</v>
      </c>
      <c r="M89" s="31">
        <v>0</v>
      </c>
      <c r="N89" s="31" t="s">
        <v>908</v>
      </c>
    </row>
    <row r="90" spans="1:14" s="31" customFormat="1" ht="23.4" x14ac:dyDescent="0.6">
      <c r="A90" s="9">
        <v>88</v>
      </c>
      <c r="B90" s="54"/>
      <c r="C90" s="54"/>
      <c r="D90" s="54"/>
      <c r="E90" s="54"/>
      <c r="F90" s="54"/>
      <c r="G90" s="54"/>
      <c r="H90" s="53"/>
      <c r="I90" s="53"/>
      <c r="K90" s="30"/>
      <c r="L90" s="31">
        <v>0</v>
      </c>
      <c r="M90" s="31">
        <v>8</v>
      </c>
      <c r="N90" s="31" t="s">
        <v>909</v>
      </c>
    </row>
    <row r="91" spans="1:14" s="31" customFormat="1" ht="23.4" x14ac:dyDescent="0.6">
      <c r="A91" s="9">
        <v>89</v>
      </c>
      <c r="B91" s="54"/>
      <c r="C91" s="54"/>
      <c r="D91" s="54"/>
      <c r="E91" s="54"/>
      <c r="F91" s="54"/>
      <c r="G91" s="54"/>
      <c r="H91" s="53"/>
      <c r="I91" s="53"/>
      <c r="K91" s="30"/>
      <c r="L91" s="31">
        <v>45</v>
      </c>
      <c r="M91" s="31">
        <v>0</v>
      </c>
      <c r="N91" s="31" t="s">
        <v>910</v>
      </c>
    </row>
    <row r="92" spans="1:14" s="31" customFormat="1" ht="23.4" x14ac:dyDescent="0.6">
      <c r="A92" s="9">
        <v>90</v>
      </c>
      <c r="B92" s="54"/>
      <c r="C92" s="54"/>
      <c r="D92" s="54"/>
      <c r="E92" s="54"/>
      <c r="F92" s="54"/>
      <c r="G92" s="54"/>
      <c r="H92" s="53"/>
      <c r="I92" s="53"/>
      <c r="K92" s="30"/>
      <c r="L92" s="31">
        <v>0</v>
      </c>
      <c r="M92" s="31">
        <v>0</v>
      </c>
      <c r="N92" s="31" t="s">
        <v>911</v>
      </c>
    </row>
    <row r="93" spans="1:14" s="31" customFormat="1" ht="23.4" x14ac:dyDescent="0.6">
      <c r="A93" s="9">
        <v>91</v>
      </c>
      <c r="B93" s="54"/>
      <c r="C93" s="54"/>
      <c r="D93" s="54"/>
      <c r="E93" s="54"/>
      <c r="F93" s="54"/>
      <c r="G93" s="54"/>
      <c r="H93" s="53"/>
      <c r="I93" s="53"/>
      <c r="K93" s="30"/>
      <c r="L93" s="31">
        <v>29</v>
      </c>
      <c r="M93" s="31">
        <v>33</v>
      </c>
      <c r="N93" s="31" t="s">
        <v>912</v>
      </c>
    </row>
    <row r="94" spans="1:14" s="31" customFormat="1" ht="23.4" x14ac:dyDescent="0.6">
      <c r="A94" s="9">
        <v>92</v>
      </c>
      <c r="B94" s="54"/>
      <c r="C94" s="54"/>
      <c r="D94" s="54"/>
      <c r="E94" s="54"/>
      <c r="F94" s="54"/>
      <c r="G94" s="54"/>
      <c r="H94" s="53"/>
      <c r="I94" s="53"/>
      <c r="K94" s="30"/>
      <c r="L94" s="31">
        <v>38</v>
      </c>
      <c r="M94" s="31">
        <v>12</v>
      </c>
      <c r="N94" s="31" t="s">
        <v>913</v>
      </c>
    </row>
    <row r="95" spans="1:14" s="31" customFormat="1" ht="23.4" x14ac:dyDescent="0.6">
      <c r="A95" s="9">
        <v>93</v>
      </c>
      <c r="B95" s="54"/>
      <c r="C95" s="54"/>
      <c r="D95" s="54"/>
      <c r="E95" s="54"/>
      <c r="F95" s="54"/>
      <c r="G95" s="54"/>
      <c r="H95" s="53"/>
      <c r="I95" s="53"/>
      <c r="K95" s="30"/>
      <c r="L95" s="31">
        <v>0</v>
      </c>
      <c r="M95" s="31">
        <v>0</v>
      </c>
      <c r="N95" s="31" t="s">
        <v>914</v>
      </c>
    </row>
    <row r="96" spans="1:14" s="31" customFormat="1" ht="23.4" x14ac:dyDescent="0.6">
      <c r="A96" s="9">
        <v>94</v>
      </c>
      <c r="B96" s="54"/>
      <c r="C96" s="54"/>
      <c r="D96" s="54"/>
      <c r="E96" s="54"/>
      <c r="F96" s="54"/>
      <c r="G96" s="54"/>
      <c r="H96" s="53"/>
      <c r="I96" s="53"/>
      <c r="K96" s="30"/>
      <c r="L96" s="31">
        <v>0</v>
      </c>
      <c r="M96" s="31">
        <v>32</v>
      </c>
      <c r="N96" s="31" t="s">
        <v>915</v>
      </c>
    </row>
    <row r="97" spans="1:14" s="31" customFormat="1" ht="23.4" x14ac:dyDescent="0.6">
      <c r="A97" s="9">
        <v>95</v>
      </c>
      <c r="B97" s="54"/>
      <c r="C97" s="54"/>
      <c r="D97" s="54"/>
      <c r="E97" s="54"/>
      <c r="F97" s="54"/>
      <c r="G97" s="54"/>
      <c r="H97" s="53"/>
      <c r="I97" s="53"/>
      <c r="K97" s="30"/>
      <c r="L97" s="31">
        <v>5</v>
      </c>
      <c r="M97" s="31">
        <v>0</v>
      </c>
      <c r="N97" s="31" t="s">
        <v>916</v>
      </c>
    </row>
    <row r="98" spans="1:14" s="31" customFormat="1" ht="23.4" x14ac:dyDescent="0.6">
      <c r="A98" s="9">
        <v>96</v>
      </c>
      <c r="B98" s="54"/>
      <c r="C98" s="54"/>
      <c r="D98" s="54"/>
      <c r="E98" s="54"/>
      <c r="F98" s="54"/>
      <c r="G98" s="54"/>
      <c r="H98" s="53"/>
      <c r="I98" s="53"/>
      <c r="K98" s="30"/>
      <c r="L98" s="31">
        <v>5</v>
      </c>
      <c r="M98" s="31">
        <v>0</v>
      </c>
      <c r="N98" s="31" t="s">
        <v>917</v>
      </c>
    </row>
    <row r="99" spans="1:14" s="31" customFormat="1" ht="23.4" x14ac:dyDescent="0.6">
      <c r="A99" s="9">
        <v>97</v>
      </c>
      <c r="B99" s="54"/>
      <c r="C99" s="54"/>
      <c r="D99" s="54"/>
      <c r="E99" s="54"/>
      <c r="F99" s="54"/>
      <c r="G99" s="54"/>
      <c r="H99" s="53"/>
      <c r="I99" s="53"/>
      <c r="K99" s="30"/>
      <c r="L99" s="31">
        <v>5</v>
      </c>
      <c r="M99" s="31">
        <v>0</v>
      </c>
      <c r="N99" s="31" t="s">
        <v>918</v>
      </c>
    </row>
    <row r="100" spans="1:14" s="31" customFormat="1" ht="23.4" x14ac:dyDescent="0.6">
      <c r="A100" s="9">
        <v>98</v>
      </c>
      <c r="B100" s="54"/>
      <c r="C100" s="54"/>
      <c r="D100" s="54"/>
      <c r="E100" s="54"/>
      <c r="F100" s="54"/>
      <c r="G100" s="54"/>
      <c r="H100" s="53"/>
      <c r="I100" s="53"/>
      <c r="K100" s="30"/>
      <c r="L100" s="31">
        <v>48</v>
      </c>
      <c r="M100" s="31">
        <v>128</v>
      </c>
      <c r="N100" s="31" t="s">
        <v>919</v>
      </c>
    </row>
    <row r="101" spans="1:14" s="31" customFormat="1" ht="23.4" x14ac:dyDescent="0.6">
      <c r="A101" s="9">
        <v>99</v>
      </c>
      <c r="B101" s="54"/>
      <c r="C101" s="54"/>
      <c r="D101" s="54"/>
      <c r="E101" s="54"/>
      <c r="F101" s="54"/>
      <c r="G101" s="54"/>
      <c r="H101" s="53"/>
      <c r="I101" s="53"/>
    </row>
    <row r="102" spans="1:14" s="31" customFormat="1" ht="23.4" x14ac:dyDescent="0.6">
      <c r="A102" s="9">
        <v>100</v>
      </c>
      <c r="B102" s="54"/>
      <c r="C102" s="54"/>
      <c r="D102" s="54"/>
      <c r="E102" s="54"/>
      <c r="F102" s="54"/>
      <c r="G102" s="54"/>
      <c r="H102" s="53"/>
      <c r="I102" s="53"/>
    </row>
    <row r="103" spans="1:14" s="31" customFormat="1" ht="23.4" x14ac:dyDescent="0.6">
      <c r="A103" s="9">
        <v>101</v>
      </c>
      <c r="B103" s="54"/>
      <c r="C103" s="54"/>
      <c r="D103" s="54"/>
      <c r="E103" s="54"/>
      <c r="F103" s="54"/>
      <c r="G103" s="54"/>
      <c r="H103" s="53"/>
      <c r="I103" s="53"/>
      <c r="K103" s="30"/>
    </row>
    <row r="104" spans="1:14" s="31" customFormat="1" ht="23.4" x14ac:dyDescent="0.6">
      <c r="A104" s="9">
        <v>102</v>
      </c>
      <c r="B104" s="54"/>
      <c r="C104" s="54"/>
      <c r="D104" s="54"/>
      <c r="E104" s="54"/>
      <c r="F104" s="54"/>
      <c r="G104" s="54"/>
      <c r="H104" s="53"/>
      <c r="I104" s="53"/>
      <c r="K104" s="30"/>
    </row>
    <row r="105" spans="1:14" s="31" customFormat="1" ht="23.4" x14ac:dyDescent="0.6">
      <c r="A105" s="9">
        <v>103</v>
      </c>
      <c r="B105" s="54"/>
      <c r="C105" s="54"/>
      <c r="D105" s="54"/>
      <c r="E105" s="54"/>
      <c r="F105" s="54"/>
      <c r="G105" s="54"/>
      <c r="H105" s="53"/>
      <c r="I105" s="53"/>
      <c r="K105" s="30"/>
    </row>
    <row r="106" spans="1:14" s="31" customFormat="1" ht="23.4" x14ac:dyDescent="0.6">
      <c r="A106" s="9">
        <v>104</v>
      </c>
      <c r="B106" s="54"/>
      <c r="C106" s="54"/>
      <c r="D106" s="54"/>
      <c r="E106" s="54"/>
      <c r="F106" s="54"/>
      <c r="G106" s="54"/>
      <c r="H106" s="53"/>
      <c r="I106" s="53"/>
      <c r="K106" s="30"/>
    </row>
    <row r="107" spans="1:14" s="31" customFormat="1" ht="23.4" x14ac:dyDescent="0.6">
      <c r="A107" s="9">
        <v>105</v>
      </c>
      <c r="B107" s="54"/>
      <c r="C107" s="54"/>
      <c r="D107" s="54"/>
      <c r="E107" s="54"/>
      <c r="F107" s="54"/>
      <c r="G107" s="54"/>
      <c r="H107" s="53"/>
      <c r="I107" s="53"/>
      <c r="K107" s="30"/>
    </row>
    <row r="108" spans="1:14" ht="23.4" x14ac:dyDescent="0.25">
      <c r="A108" s="56"/>
      <c r="B108" s="56"/>
      <c r="C108" s="56"/>
      <c r="D108" s="56"/>
      <c r="E108" s="56"/>
      <c r="F108" s="56"/>
      <c r="G108" s="56"/>
      <c r="H108" s="56"/>
      <c r="I108" s="56"/>
      <c r="L108" s="30"/>
    </row>
    <row r="109" spans="1:14" ht="20.399999999999999" x14ac:dyDescent="0.25">
      <c r="L109" s="30"/>
    </row>
  </sheetData>
  <autoFilter ref="B2:J22" xr:uid="{418B859D-9AEE-4DBC-84AA-2E90E0A86546}">
    <sortState xmlns:xlrd2="http://schemas.microsoft.com/office/spreadsheetml/2017/richdata2" ref="B3:I67">
      <sortCondition ref="G2:G2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DACD-BF52-45C0-BA14-3667692309F1}">
  <sheetPr>
    <tabColor rgb="FFFF99FF"/>
    <pageSetUpPr fitToPage="1"/>
  </sheetPr>
  <dimension ref="A1:Y3810"/>
  <sheetViews>
    <sheetView zoomScale="85" zoomScaleNormal="85" workbookViewId="0">
      <pane xSplit="6" ySplit="2" topLeftCell="I3" activePane="bottomRight" state="frozen"/>
      <selection activeCell="A2" sqref="A2"/>
      <selection pane="topRight" activeCell="A2" sqref="A2"/>
      <selection pane="bottomLeft" activeCell="A2" sqref="A2"/>
      <selection pane="bottomRight" activeCell="I16" sqref="I16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7.19921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5.69921875" style="11" bestFit="1" customWidth="1"/>
    <col min="9" max="9" width="31.8984375" style="37" customWidth="1"/>
    <col min="10" max="10" width="15.296875" style="79" bestFit="1" customWidth="1"/>
    <col min="11" max="11" width="65.8984375" style="70" bestFit="1" customWidth="1"/>
    <col min="12" max="12" width="89.59765625" style="57" bestFit="1" customWidth="1"/>
    <col min="13" max="13" width="14.69921875" style="11" customWidth="1"/>
    <col min="14" max="14" width="88.8984375" style="41" bestFit="1" customWidth="1"/>
    <col min="15" max="15" width="17.19921875" style="11" bestFit="1" customWidth="1"/>
    <col min="16" max="16384" width="54.69921875" style="11"/>
  </cols>
  <sheetData>
    <row r="1" spans="1:15" ht="60" customHeight="1" thickBot="1" x14ac:dyDescent="0.75">
      <c r="A1" s="8" t="s">
        <v>940</v>
      </c>
      <c r="I1" s="87" t="s">
        <v>46</v>
      </c>
      <c r="J1" s="26">
        <f>SUBTOTAL(9,J3:J100)</f>
        <v>135</v>
      </c>
      <c r="K1" s="88" t="s">
        <v>47</v>
      </c>
    </row>
    <row r="2" spans="1:15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80" t="s">
        <v>43</v>
      </c>
      <c r="K2" s="6" t="s">
        <v>7</v>
      </c>
      <c r="L2" s="6" t="s">
        <v>7</v>
      </c>
      <c r="N2" s="7" t="s">
        <v>19</v>
      </c>
      <c r="O2" s="7" t="s">
        <v>21</v>
      </c>
    </row>
    <row r="3" spans="1:15" s="14" customFormat="1" ht="25.8" x14ac:dyDescent="0.25">
      <c r="A3" s="13">
        <v>1</v>
      </c>
      <c r="B3" s="54" t="s">
        <v>6218</v>
      </c>
      <c r="C3" s="54" t="s">
        <v>1021</v>
      </c>
      <c r="D3" s="54" t="s">
        <v>945</v>
      </c>
      <c r="E3" s="54"/>
      <c r="F3" s="54" t="s">
        <v>946</v>
      </c>
      <c r="G3" s="54" t="s">
        <v>6219</v>
      </c>
      <c r="H3" s="55" t="s">
        <v>6219</v>
      </c>
      <c r="I3" s="54" t="s">
        <v>6226</v>
      </c>
      <c r="J3" s="81">
        <v>45</v>
      </c>
      <c r="K3" s="81" t="s">
        <v>78</v>
      </c>
      <c r="L3" s="55"/>
      <c r="N3" s="42" t="s">
        <v>10</v>
      </c>
      <c r="O3" s="34">
        <v>0</v>
      </c>
    </row>
    <row r="4" spans="1:15" s="14" customFormat="1" ht="25.8" x14ac:dyDescent="0.25">
      <c r="A4" s="13">
        <v>2</v>
      </c>
      <c r="B4" s="54" t="s">
        <v>6220</v>
      </c>
      <c r="C4" s="54" t="s">
        <v>6221</v>
      </c>
      <c r="D4" s="54" t="s">
        <v>945</v>
      </c>
      <c r="E4" s="54"/>
      <c r="F4" s="54" t="s">
        <v>946</v>
      </c>
      <c r="G4" s="54" t="s">
        <v>6222</v>
      </c>
      <c r="H4" s="55" t="s">
        <v>6222</v>
      </c>
      <c r="I4" s="54" t="s">
        <v>6227</v>
      </c>
      <c r="J4" s="81">
        <v>45</v>
      </c>
      <c r="K4" s="81" t="s">
        <v>78</v>
      </c>
      <c r="L4" s="55"/>
      <c r="N4" s="42" t="s">
        <v>13</v>
      </c>
      <c r="O4" s="34">
        <v>0</v>
      </c>
    </row>
    <row r="5" spans="1:15" s="14" customFormat="1" ht="25.8" x14ac:dyDescent="0.25">
      <c r="A5" s="13">
        <v>3</v>
      </c>
      <c r="B5" s="54" t="s">
        <v>6223</v>
      </c>
      <c r="C5" s="54" t="s">
        <v>6224</v>
      </c>
      <c r="D5" s="54" t="s">
        <v>945</v>
      </c>
      <c r="E5" s="54"/>
      <c r="F5" s="54" t="s">
        <v>946</v>
      </c>
      <c r="G5" s="54" t="s">
        <v>6225</v>
      </c>
      <c r="H5" s="55" t="s">
        <v>6225</v>
      </c>
      <c r="I5" s="54" t="s">
        <v>6228</v>
      </c>
      <c r="J5" s="81">
        <v>45</v>
      </c>
      <c r="K5" s="81" t="s">
        <v>78</v>
      </c>
      <c r="L5" s="55"/>
      <c r="N5" s="42" t="s">
        <v>11</v>
      </c>
      <c r="O5" s="34">
        <v>0</v>
      </c>
    </row>
    <row r="6" spans="1:15" s="14" customFormat="1" ht="25.8" x14ac:dyDescent="0.25">
      <c r="A6" s="13">
        <v>4</v>
      </c>
      <c r="B6" s="54"/>
      <c r="C6" s="54"/>
      <c r="D6" s="54"/>
      <c r="E6" s="54"/>
      <c r="F6" s="54"/>
      <c r="G6" s="54"/>
      <c r="H6" s="55"/>
      <c r="I6" s="54"/>
      <c r="J6" s="81"/>
      <c r="K6" s="81"/>
      <c r="L6" s="55"/>
      <c r="N6" s="42" t="s">
        <v>17</v>
      </c>
      <c r="O6" s="34">
        <v>0</v>
      </c>
    </row>
    <row r="7" spans="1:15" s="14" customFormat="1" ht="25.8" x14ac:dyDescent="0.25">
      <c r="A7" s="13">
        <v>5</v>
      </c>
      <c r="B7" s="54"/>
      <c r="C7" s="54"/>
      <c r="D7" s="54"/>
      <c r="E7" s="54"/>
      <c r="F7" s="54"/>
      <c r="G7" s="54"/>
      <c r="H7" s="55"/>
      <c r="I7" s="54"/>
      <c r="J7" s="81"/>
      <c r="K7" s="81"/>
      <c r="L7" s="54"/>
      <c r="N7" s="42" t="s">
        <v>14</v>
      </c>
      <c r="O7" s="34">
        <v>0</v>
      </c>
    </row>
    <row r="8" spans="1:15" s="14" customFormat="1" ht="25.8" x14ac:dyDescent="0.25">
      <c r="A8" s="13">
        <v>6</v>
      </c>
      <c r="B8" s="54"/>
      <c r="C8" s="54"/>
      <c r="D8" s="54"/>
      <c r="E8" s="54"/>
      <c r="F8" s="54"/>
      <c r="G8" s="54"/>
      <c r="H8" s="55"/>
      <c r="I8" s="54"/>
      <c r="J8" s="81"/>
      <c r="K8" s="81"/>
      <c r="L8" s="54"/>
      <c r="N8" s="42" t="s">
        <v>59</v>
      </c>
      <c r="O8" s="34">
        <v>0</v>
      </c>
    </row>
    <row r="9" spans="1:15" s="14" customFormat="1" ht="25.8" x14ac:dyDescent="0.25">
      <c r="A9" s="13">
        <v>7</v>
      </c>
      <c r="B9" s="54"/>
      <c r="C9" s="54"/>
      <c r="D9" s="54"/>
      <c r="E9" s="54"/>
      <c r="F9" s="54"/>
      <c r="G9" s="54"/>
      <c r="H9" s="55"/>
      <c r="I9" s="54"/>
      <c r="J9" s="81"/>
      <c r="K9" s="81"/>
      <c r="L9" s="54"/>
      <c r="N9" s="42" t="s">
        <v>51</v>
      </c>
      <c r="O9" s="34">
        <v>0</v>
      </c>
    </row>
    <row r="10" spans="1:15" s="14" customFormat="1" ht="25.8" x14ac:dyDescent="0.25">
      <c r="A10" s="13">
        <v>8</v>
      </c>
      <c r="B10" s="54"/>
      <c r="C10" s="54"/>
      <c r="D10" s="54"/>
      <c r="E10" s="54"/>
      <c r="F10" s="54"/>
      <c r="G10" s="54"/>
      <c r="H10" s="55"/>
      <c r="I10" s="54"/>
      <c r="J10" s="81"/>
      <c r="K10" s="81"/>
      <c r="L10" s="54"/>
      <c r="N10" s="42" t="s">
        <v>49</v>
      </c>
      <c r="O10" s="34">
        <v>0</v>
      </c>
    </row>
    <row r="11" spans="1:15" s="14" customFormat="1" ht="25.8" x14ac:dyDescent="0.25">
      <c r="A11" s="13">
        <v>9</v>
      </c>
      <c r="B11" s="54"/>
      <c r="C11" s="54"/>
      <c r="D11" s="54"/>
      <c r="E11" s="54"/>
      <c r="F11" s="54"/>
      <c r="G11" s="54"/>
      <c r="H11" s="55"/>
      <c r="I11" s="54"/>
      <c r="J11" s="81"/>
      <c r="K11" s="81"/>
      <c r="L11" s="54"/>
      <c r="N11" s="42" t="s">
        <v>12</v>
      </c>
      <c r="O11" s="34">
        <v>0</v>
      </c>
    </row>
    <row r="12" spans="1:15" s="14" customFormat="1" ht="25.8" x14ac:dyDescent="0.25">
      <c r="A12" s="13">
        <v>10</v>
      </c>
      <c r="B12" s="54"/>
      <c r="C12" s="54"/>
      <c r="D12" s="54"/>
      <c r="E12" s="54"/>
      <c r="F12" s="54"/>
      <c r="G12" s="54"/>
      <c r="H12" s="55"/>
      <c r="I12" s="54"/>
      <c r="J12" s="81"/>
      <c r="K12" s="81"/>
      <c r="L12" s="54"/>
      <c r="N12" s="42" t="s">
        <v>15</v>
      </c>
      <c r="O12" s="34">
        <v>0</v>
      </c>
    </row>
    <row r="13" spans="1:15" s="14" customFormat="1" ht="25.8" x14ac:dyDescent="0.25">
      <c r="A13" s="13">
        <v>11</v>
      </c>
      <c r="B13" s="54"/>
      <c r="C13" s="54"/>
      <c r="D13" s="54"/>
      <c r="E13" s="54"/>
      <c r="F13" s="54"/>
      <c r="G13" s="54"/>
      <c r="H13" s="55"/>
      <c r="I13" s="54"/>
      <c r="J13" s="81"/>
      <c r="K13" s="81"/>
      <c r="L13" s="54"/>
      <c r="N13" s="42" t="s">
        <v>60</v>
      </c>
      <c r="O13" s="34">
        <v>0</v>
      </c>
    </row>
    <row r="14" spans="1:15" s="14" customFormat="1" ht="25.8" x14ac:dyDescent="0.25">
      <c r="A14" s="13">
        <v>12</v>
      </c>
      <c r="B14" s="54"/>
      <c r="C14" s="54"/>
      <c r="D14" s="54"/>
      <c r="E14" s="54"/>
      <c r="F14" s="54"/>
      <c r="G14" s="54"/>
      <c r="H14" s="55"/>
      <c r="I14" s="54"/>
      <c r="J14" s="81"/>
      <c r="K14" s="81"/>
      <c r="L14" s="54"/>
      <c r="N14" s="42" t="s">
        <v>16</v>
      </c>
      <c r="O14" s="34">
        <v>0</v>
      </c>
    </row>
    <row r="15" spans="1:15" s="14" customFormat="1" ht="25.8" x14ac:dyDescent="0.25">
      <c r="A15" s="13">
        <v>13</v>
      </c>
      <c r="B15" s="54"/>
      <c r="C15" s="54"/>
      <c r="D15" s="54"/>
      <c r="E15" s="54"/>
      <c r="F15" s="54"/>
      <c r="G15" s="54"/>
      <c r="H15" s="55"/>
      <c r="I15" s="54"/>
      <c r="J15" s="81"/>
      <c r="K15" s="81"/>
      <c r="L15" s="54"/>
      <c r="N15" s="42" t="s">
        <v>61</v>
      </c>
      <c r="O15" s="34">
        <v>0</v>
      </c>
    </row>
    <row r="16" spans="1:15" s="14" customFormat="1" ht="25.8" x14ac:dyDescent="0.25">
      <c r="A16" s="13">
        <v>14</v>
      </c>
      <c r="B16" s="54"/>
      <c r="C16" s="54"/>
      <c r="D16" s="54"/>
      <c r="E16" s="54"/>
      <c r="F16" s="54"/>
      <c r="G16" s="54"/>
      <c r="H16" s="55"/>
      <c r="I16" s="54"/>
      <c r="J16" s="81"/>
      <c r="K16" s="81"/>
      <c r="L16" s="55"/>
      <c r="N16" s="42" t="s">
        <v>62</v>
      </c>
      <c r="O16" s="34">
        <v>0</v>
      </c>
    </row>
    <row r="17" spans="1:15" s="14" customFormat="1" ht="25.8" x14ac:dyDescent="0.25">
      <c r="A17" s="13">
        <v>15</v>
      </c>
      <c r="B17" s="54"/>
      <c r="C17" s="54"/>
      <c r="D17" s="54"/>
      <c r="E17" s="54"/>
      <c r="F17" s="54"/>
      <c r="G17" s="54"/>
      <c r="H17" s="55"/>
      <c r="I17" s="54"/>
      <c r="J17" s="81"/>
      <c r="K17" s="81"/>
      <c r="L17" s="55"/>
      <c r="N17" s="42" t="s">
        <v>53</v>
      </c>
      <c r="O17" s="34">
        <v>0</v>
      </c>
    </row>
    <row r="18" spans="1:15" s="14" customFormat="1" ht="25.8" x14ac:dyDescent="0.25">
      <c r="A18" s="13">
        <v>16</v>
      </c>
      <c r="B18" s="54"/>
      <c r="C18" s="54"/>
      <c r="D18" s="54"/>
      <c r="E18" s="54"/>
      <c r="F18" s="54"/>
      <c r="G18" s="54"/>
      <c r="H18" s="55"/>
      <c r="I18" s="54"/>
      <c r="J18" s="81"/>
      <c r="K18" s="81"/>
      <c r="L18" s="55"/>
      <c r="N18" s="42" t="s">
        <v>63</v>
      </c>
      <c r="O18" s="34">
        <v>0</v>
      </c>
    </row>
    <row r="19" spans="1:15" s="14" customFormat="1" ht="25.8" x14ac:dyDescent="0.25">
      <c r="A19" s="13">
        <v>17</v>
      </c>
      <c r="B19" s="54"/>
      <c r="C19" s="54"/>
      <c r="D19" s="54"/>
      <c r="E19" s="54"/>
      <c r="F19" s="54"/>
      <c r="G19" s="54"/>
      <c r="H19" s="55"/>
      <c r="I19" s="54"/>
      <c r="J19" s="81"/>
      <c r="K19" s="81"/>
      <c r="L19" s="55"/>
      <c r="N19" s="42" t="s">
        <v>20</v>
      </c>
      <c r="O19" s="34">
        <v>0</v>
      </c>
    </row>
    <row r="20" spans="1:15" s="14" customFormat="1" ht="25.8" x14ac:dyDescent="0.25">
      <c r="A20" s="13">
        <v>18</v>
      </c>
      <c r="B20" s="54"/>
      <c r="C20" s="54"/>
      <c r="D20" s="54"/>
      <c r="E20" s="54"/>
      <c r="F20" s="54"/>
      <c r="G20" s="54"/>
      <c r="H20" s="55"/>
      <c r="I20" s="54"/>
      <c r="J20" s="81"/>
      <c r="K20" s="81"/>
      <c r="L20" s="55"/>
      <c r="N20" s="42" t="s">
        <v>64</v>
      </c>
      <c r="O20" s="34">
        <v>0</v>
      </c>
    </row>
    <row r="21" spans="1:15" s="14" customFormat="1" ht="25.8" x14ac:dyDescent="0.25">
      <c r="A21" s="13">
        <v>19</v>
      </c>
      <c r="B21" s="54"/>
      <c r="C21" s="54"/>
      <c r="D21" s="54"/>
      <c r="E21" s="54"/>
      <c r="F21" s="54"/>
      <c r="G21" s="54"/>
      <c r="H21" s="55"/>
      <c r="I21" s="81"/>
      <c r="J21" s="81"/>
      <c r="K21" s="81"/>
      <c r="L21" s="55"/>
      <c r="N21" s="42" t="s">
        <v>22</v>
      </c>
      <c r="O21" s="34">
        <v>0</v>
      </c>
    </row>
    <row r="22" spans="1:15" s="14" customFormat="1" ht="25.8" x14ac:dyDescent="0.25">
      <c r="A22" s="13">
        <v>20</v>
      </c>
      <c r="B22" s="54"/>
      <c r="C22" s="54"/>
      <c r="D22" s="54"/>
      <c r="E22" s="54"/>
      <c r="F22" s="54"/>
      <c r="G22" s="54"/>
      <c r="H22" s="55"/>
      <c r="I22" s="81"/>
      <c r="J22" s="81"/>
      <c r="K22" s="81"/>
      <c r="L22" s="55"/>
      <c r="N22" s="42" t="s">
        <v>65</v>
      </c>
      <c r="O22" s="34">
        <v>0</v>
      </c>
    </row>
    <row r="23" spans="1:15" s="14" customFormat="1" ht="25.8" x14ac:dyDescent="0.25">
      <c r="A23" s="13">
        <v>21</v>
      </c>
      <c r="B23" s="54"/>
      <c r="C23" s="54"/>
      <c r="D23" s="54"/>
      <c r="E23" s="54"/>
      <c r="F23" s="54"/>
      <c r="G23" s="54"/>
      <c r="H23" s="55"/>
      <c r="I23" s="62"/>
      <c r="J23" s="81"/>
      <c r="K23" s="81"/>
      <c r="L23" s="55"/>
      <c r="N23" s="42" t="s">
        <v>66</v>
      </c>
      <c r="O23" s="34">
        <v>0</v>
      </c>
    </row>
    <row r="24" spans="1:15" s="14" customFormat="1" ht="25.8" x14ac:dyDescent="0.25">
      <c r="A24" s="13">
        <v>22</v>
      </c>
      <c r="B24" s="54"/>
      <c r="C24" s="54"/>
      <c r="D24" s="54"/>
      <c r="E24" s="54"/>
      <c r="F24" s="54"/>
      <c r="G24" s="54"/>
      <c r="H24" s="55"/>
      <c r="I24" s="62"/>
      <c r="J24" s="81"/>
      <c r="K24" s="81"/>
      <c r="L24" s="55"/>
      <c r="N24" s="42" t="s">
        <v>67</v>
      </c>
      <c r="O24" s="34">
        <v>0</v>
      </c>
    </row>
    <row r="25" spans="1:15" s="14" customFormat="1" ht="25.8" x14ac:dyDescent="0.25">
      <c r="A25" s="13">
        <v>23</v>
      </c>
      <c r="B25" s="54"/>
      <c r="C25" s="54"/>
      <c r="D25" s="54"/>
      <c r="E25" s="54"/>
      <c r="F25" s="54"/>
      <c r="G25" s="54"/>
      <c r="H25" s="55"/>
      <c r="I25" s="62"/>
      <c r="J25" s="81"/>
      <c r="K25" s="81"/>
      <c r="L25" s="55"/>
      <c r="N25" s="42" t="s">
        <v>68</v>
      </c>
      <c r="O25" s="34">
        <v>0</v>
      </c>
    </row>
    <row r="26" spans="1:15" s="14" customFormat="1" ht="25.8" x14ac:dyDescent="0.25">
      <c r="A26" s="13">
        <v>24</v>
      </c>
      <c r="B26" s="54"/>
      <c r="C26" s="54"/>
      <c r="D26" s="54"/>
      <c r="E26" s="54"/>
      <c r="F26" s="54"/>
      <c r="G26" s="54"/>
      <c r="H26" s="55"/>
      <c r="I26" s="62"/>
      <c r="J26" s="81"/>
      <c r="K26" s="81"/>
      <c r="L26" s="55"/>
      <c r="N26" s="42" t="s">
        <v>69</v>
      </c>
      <c r="O26" s="34">
        <v>0</v>
      </c>
    </row>
    <row r="27" spans="1:15" s="14" customFormat="1" ht="25.8" x14ac:dyDescent="0.25">
      <c r="A27" s="13">
        <v>25</v>
      </c>
      <c r="B27" s="54"/>
      <c r="C27" s="54"/>
      <c r="D27" s="54"/>
      <c r="E27" s="54"/>
      <c r="F27" s="54"/>
      <c r="G27" s="54"/>
      <c r="H27" s="55"/>
      <c r="I27" s="81"/>
      <c r="J27" s="81"/>
      <c r="K27" s="81"/>
      <c r="L27" s="55"/>
      <c r="N27" s="42" t="s">
        <v>70</v>
      </c>
      <c r="O27" s="34">
        <v>0</v>
      </c>
    </row>
    <row r="28" spans="1:15" s="14" customFormat="1" ht="25.8" x14ac:dyDescent="0.25">
      <c r="A28" s="13">
        <v>26</v>
      </c>
      <c r="B28" s="54"/>
      <c r="C28" s="54"/>
      <c r="D28" s="54"/>
      <c r="E28" s="54"/>
      <c r="F28" s="54"/>
      <c r="G28" s="54"/>
      <c r="H28" s="55"/>
      <c r="I28" s="81"/>
      <c r="J28" s="81"/>
      <c r="K28" s="81"/>
      <c r="L28" s="55"/>
      <c r="N28" s="42" t="s">
        <v>71</v>
      </c>
      <c r="O28" s="34">
        <v>0</v>
      </c>
    </row>
    <row r="29" spans="1:15" s="14" customFormat="1" ht="25.8" x14ac:dyDescent="0.25">
      <c r="A29" s="13">
        <v>27</v>
      </c>
      <c r="B29" s="1"/>
      <c r="C29" s="1"/>
      <c r="D29" s="1"/>
      <c r="E29" s="1"/>
      <c r="F29" s="1"/>
      <c r="G29" s="1"/>
      <c r="H29" s="62"/>
      <c r="I29" s="81"/>
      <c r="J29" s="81"/>
      <c r="K29" s="81"/>
      <c r="L29" s="62"/>
      <c r="N29" s="42" t="s">
        <v>72</v>
      </c>
      <c r="O29" s="34">
        <v>0</v>
      </c>
    </row>
    <row r="30" spans="1:15" s="14" customFormat="1" ht="25.8" x14ac:dyDescent="0.25">
      <c r="A30" s="13">
        <v>28</v>
      </c>
      <c r="B30" s="1"/>
      <c r="C30" s="1"/>
      <c r="D30" s="1"/>
      <c r="E30" s="1"/>
      <c r="F30" s="1"/>
      <c r="G30" s="1"/>
      <c r="H30" s="62"/>
      <c r="I30" s="81"/>
      <c r="J30" s="81"/>
      <c r="K30" s="81"/>
      <c r="L30" s="81"/>
      <c r="N30" s="42" t="s">
        <v>73</v>
      </c>
      <c r="O30" s="34">
        <v>0</v>
      </c>
    </row>
    <row r="31" spans="1:15" s="14" customFormat="1" ht="25.8" x14ac:dyDescent="0.25">
      <c r="A31" s="13">
        <v>29</v>
      </c>
      <c r="B31" s="1"/>
      <c r="C31" s="1"/>
      <c r="D31" s="1"/>
      <c r="E31" s="1"/>
      <c r="F31" s="1"/>
      <c r="G31" s="1"/>
      <c r="H31" s="62"/>
      <c r="I31" s="81"/>
      <c r="J31" s="81"/>
      <c r="K31" s="81"/>
      <c r="L31" s="81"/>
      <c r="N31" s="42" t="s">
        <v>74</v>
      </c>
      <c r="O31" s="34">
        <v>0</v>
      </c>
    </row>
    <row r="32" spans="1:15" s="14" customFormat="1" ht="25.8" x14ac:dyDescent="0.25">
      <c r="A32" s="13">
        <v>30</v>
      </c>
      <c r="B32" s="1"/>
      <c r="C32" s="1"/>
      <c r="D32" s="1"/>
      <c r="E32" s="1"/>
      <c r="F32" s="1"/>
      <c r="G32" s="1"/>
      <c r="H32" s="62"/>
      <c r="I32" s="81"/>
      <c r="J32" s="81"/>
      <c r="K32" s="81"/>
      <c r="L32" s="81"/>
      <c r="N32" s="42" t="s">
        <v>75</v>
      </c>
      <c r="O32" s="34">
        <v>0</v>
      </c>
    </row>
    <row r="33" spans="1:15" s="14" customFormat="1" ht="25.8" x14ac:dyDescent="0.25">
      <c r="A33" s="13">
        <v>31</v>
      </c>
      <c r="B33" s="1"/>
      <c r="C33" s="1"/>
      <c r="D33" s="1"/>
      <c r="E33" s="1"/>
      <c r="F33" s="1"/>
      <c r="G33" s="1"/>
      <c r="H33" s="62"/>
      <c r="I33" s="81"/>
      <c r="J33" s="81"/>
      <c r="K33" s="81"/>
      <c r="L33" s="81"/>
      <c r="N33" s="42" t="s">
        <v>76</v>
      </c>
      <c r="O33" s="34">
        <v>0</v>
      </c>
    </row>
    <row r="34" spans="1:15" s="14" customFormat="1" ht="25.8" x14ac:dyDescent="0.25">
      <c r="A34" s="13">
        <v>32</v>
      </c>
      <c r="B34" s="1"/>
      <c r="C34" s="1"/>
      <c r="D34" s="1"/>
      <c r="E34" s="1"/>
      <c r="F34" s="1"/>
      <c r="G34" s="1"/>
      <c r="H34" s="62"/>
      <c r="I34" s="81"/>
      <c r="J34" s="81"/>
      <c r="K34" s="81"/>
      <c r="L34" s="81"/>
      <c r="N34" s="42" t="s">
        <v>77</v>
      </c>
      <c r="O34" s="34">
        <v>0</v>
      </c>
    </row>
    <row r="35" spans="1:15" s="14" customFormat="1" ht="25.8" x14ac:dyDescent="0.25">
      <c r="A35" s="13">
        <v>33</v>
      </c>
      <c r="B35" s="1"/>
      <c r="C35" s="1"/>
      <c r="D35" s="1"/>
      <c r="E35" s="1"/>
      <c r="F35" s="1"/>
      <c r="G35" s="1"/>
      <c r="H35" s="62"/>
      <c r="I35" s="81"/>
      <c r="J35" s="81"/>
      <c r="K35" s="81"/>
      <c r="L35" s="81"/>
      <c r="N35" s="42" t="s">
        <v>78</v>
      </c>
      <c r="O35" s="34">
        <v>3</v>
      </c>
    </row>
    <row r="36" spans="1:15" s="14" customFormat="1" ht="25.8" x14ac:dyDescent="0.25">
      <c r="A36" s="13">
        <v>34</v>
      </c>
      <c r="B36" s="1"/>
      <c r="C36" s="1"/>
      <c r="D36" s="1"/>
      <c r="E36" s="1"/>
      <c r="F36" s="1"/>
      <c r="G36" s="1"/>
      <c r="H36" s="62"/>
      <c r="I36" s="81"/>
      <c r="J36" s="81"/>
      <c r="K36" s="81"/>
      <c r="L36" s="62"/>
      <c r="N36" s="42" t="s">
        <v>79</v>
      </c>
      <c r="O36" s="34">
        <v>0</v>
      </c>
    </row>
    <row r="37" spans="1:15" s="14" customFormat="1" ht="25.8" x14ac:dyDescent="0.25">
      <c r="A37" s="13">
        <v>35</v>
      </c>
      <c r="B37" s="54"/>
      <c r="C37" s="54"/>
      <c r="D37" s="54"/>
      <c r="E37" s="54"/>
      <c r="F37" s="54"/>
      <c r="G37" s="54"/>
      <c r="H37" s="62"/>
      <c r="I37" s="81"/>
      <c r="J37" s="81"/>
      <c r="K37" s="81"/>
      <c r="L37" s="81"/>
      <c r="N37" s="42" t="s">
        <v>80</v>
      </c>
      <c r="O37" s="34">
        <v>0</v>
      </c>
    </row>
    <row r="38" spans="1:15" s="14" customFormat="1" ht="25.8" x14ac:dyDescent="0.25">
      <c r="A38" s="13">
        <v>36</v>
      </c>
      <c r="B38" s="54"/>
      <c r="C38" s="54"/>
      <c r="D38" s="54"/>
      <c r="E38" s="54"/>
      <c r="F38" s="54"/>
      <c r="G38" s="54"/>
      <c r="H38" s="54"/>
      <c r="I38" s="81"/>
      <c r="J38" s="81"/>
      <c r="K38" s="81"/>
      <c r="L38" s="81"/>
      <c r="N38" s="42" t="s">
        <v>81</v>
      </c>
      <c r="O38" s="34">
        <v>0</v>
      </c>
    </row>
    <row r="39" spans="1:15" s="14" customFormat="1" ht="25.8" x14ac:dyDescent="0.25">
      <c r="A39" s="13">
        <v>37</v>
      </c>
      <c r="B39" s="54"/>
      <c r="C39" s="54"/>
      <c r="D39" s="54"/>
      <c r="E39" s="54"/>
      <c r="F39" s="54"/>
      <c r="G39" s="54"/>
      <c r="H39" s="54"/>
      <c r="I39" s="81"/>
      <c r="J39" s="81"/>
      <c r="K39" s="81"/>
      <c r="L39" s="81"/>
      <c r="N39" s="42" t="s">
        <v>82</v>
      </c>
      <c r="O39" s="34">
        <v>0</v>
      </c>
    </row>
    <row r="40" spans="1:15" s="14" customFormat="1" ht="25.8" x14ac:dyDescent="0.25">
      <c r="A40" s="13">
        <v>38</v>
      </c>
      <c r="B40" s="54"/>
      <c r="C40" s="54"/>
      <c r="D40" s="54"/>
      <c r="E40" s="54"/>
      <c r="F40" s="54"/>
      <c r="G40" s="54"/>
      <c r="H40" s="54"/>
      <c r="I40" s="81"/>
      <c r="J40" s="81"/>
      <c r="K40" s="81"/>
      <c r="L40" s="62"/>
      <c r="N40" s="42" t="s">
        <v>83</v>
      </c>
      <c r="O40" s="34">
        <v>0</v>
      </c>
    </row>
    <row r="41" spans="1:15" s="14" customFormat="1" ht="25.8" x14ac:dyDescent="0.25">
      <c r="A41" s="13">
        <v>39</v>
      </c>
      <c r="B41" s="54"/>
      <c r="C41" s="54"/>
      <c r="D41" s="54"/>
      <c r="E41" s="54"/>
      <c r="F41" s="54"/>
      <c r="G41" s="54"/>
      <c r="H41" s="54"/>
      <c r="I41" s="81"/>
      <c r="J41" s="81"/>
      <c r="K41" s="81"/>
      <c r="L41" s="62"/>
      <c r="N41" s="42" t="s">
        <v>84</v>
      </c>
      <c r="O41" s="34">
        <v>0</v>
      </c>
    </row>
    <row r="42" spans="1:15" s="14" customFormat="1" ht="25.8" x14ac:dyDescent="0.25">
      <c r="A42" s="13">
        <v>40</v>
      </c>
      <c r="B42" s="54"/>
      <c r="C42" s="54"/>
      <c r="D42" s="54"/>
      <c r="E42" s="54"/>
      <c r="F42" s="54"/>
      <c r="G42" s="54"/>
      <c r="H42" s="54"/>
      <c r="I42" s="81"/>
      <c r="J42" s="81"/>
      <c r="K42" s="81"/>
      <c r="L42" s="62"/>
      <c r="N42" s="42" t="s">
        <v>85</v>
      </c>
      <c r="O42" s="34">
        <v>0</v>
      </c>
    </row>
    <row r="43" spans="1:15" s="14" customFormat="1" ht="25.8" x14ac:dyDescent="0.25">
      <c r="A43" s="13">
        <v>41</v>
      </c>
      <c r="B43" s="54"/>
      <c r="C43" s="54"/>
      <c r="D43" s="54"/>
      <c r="E43" s="54"/>
      <c r="F43" s="54"/>
      <c r="G43" s="54"/>
      <c r="H43" s="54"/>
      <c r="I43" s="81"/>
      <c r="J43" s="81"/>
      <c r="K43" s="81"/>
      <c r="L43" s="62"/>
      <c r="N43" s="42" t="s">
        <v>24</v>
      </c>
      <c r="O43" s="34">
        <v>0</v>
      </c>
    </row>
    <row r="44" spans="1:15" s="14" customFormat="1" ht="25.8" x14ac:dyDescent="0.25">
      <c r="A44" s="13">
        <v>42</v>
      </c>
      <c r="B44" s="54"/>
      <c r="C44" s="54"/>
      <c r="D44" s="54"/>
      <c r="E44" s="54"/>
      <c r="F44" s="54"/>
      <c r="G44" s="54"/>
      <c r="H44" s="54"/>
      <c r="I44" s="81"/>
      <c r="J44" s="81"/>
      <c r="K44" s="81"/>
      <c r="L44" s="62"/>
      <c r="N44" s="42" t="s">
        <v>86</v>
      </c>
      <c r="O44" s="34">
        <v>0</v>
      </c>
    </row>
    <row r="45" spans="1:15" s="14" customFormat="1" ht="25.8" x14ac:dyDescent="0.25">
      <c r="A45" s="13">
        <v>43</v>
      </c>
      <c r="B45" s="54"/>
      <c r="C45" s="54"/>
      <c r="D45" s="54"/>
      <c r="E45" s="54"/>
      <c r="F45" s="54"/>
      <c r="G45" s="54"/>
      <c r="H45" s="54"/>
      <c r="I45" s="81"/>
      <c r="J45" s="81"/>
      <c r="K45" s="81"/>
      <c r="L45" s="72"/>
      <c r="N45" s="42" t="s">
        <v>87</v>
      </c>
      <c r="O45" s="34">
        <v>0</v>
      </c>
    </row>
    <row r="46" spans="1:15" s="14" customFormat="1" ht="25.8" x14ac:dyDescent="0.25">
      <c r="A46" s="13">
        <v>44</v>
      </c>
      <c r="B46" s="54"/>
      <c r="C46" s="54"/>
      <c r="D46" s="54"/>
      <c r="E46" s="54"/>
      <c r="F46" s="54"/>
      <c r="G46" s="54"/>
      <c r="H46" s="54"/>
      <c r="I46" s="81"/>
      <c r="J46" s="81"/>
      <c r="K46" s="81"/>
      <c r="L46" s="62"/>
      <c r="N46" s="42" t="s">
        <v>88</v>
      </c>
      <c r="O46" s="34">
        <v>0</v>
      </c>
    </row>
    <row r="47" spans="1:15" s="14" customFormat="1" ht="25.8" x14ac:dyDescent="0.25">
      <c r="A47" s="13">
        <v>45</v>
      </c>
      <c r="B47" s="54"/>
      <c r="C47" s="54"/>
      <c r="D47" s="54"/>
      <c r="E47" s="54"/>
      <c r="F47" s="54"/>
      <c r="G47" s="54"/>
      <c r="H47" s="54"/>
      <c r="I47" s="81"/>
      <c r="J47" s="81"/>
      <c r="K47" s="81"/>
      <c r="L47" s="81"/>
      <c r="N47" s="42" t="s">
        <v>89</v>
      </c>
      <c r="O47" s="34">
        <v>0</v>
      </c>
    </row>
    <row r="48" spans="1:15" s="14" customFormat="1" ht="25.8" x14ac:dyDescent="0.25">
      <c r="A48" s="13">
        <v>46</v>
      </c>
      <c r="B48" s="54"/>
      <c r="C48" s="54"/>
      <c r="D48" s="54"/>
      <c r="E48" s="54"/>
      <c r="F48" s="54"/>
      <c r="G48" s="54"/>
      <c r="H48" s="54"/>
      <c r="I48" s="81"/>
      <c r="J48" s="81"/>
      <c r="K48" s="81"/>
      <c r="L48" s="72"/>
      <c r="N48" s="42" t="s">
        <v>94</v>
      </c>
      <c r="O48" s="34">
        <v>0</v>
      </c>
    </row>
    <row r="49" spans="1:24" s="14" customFormat="1" ht="25.8" x14ac:dyDescent="0.25">
      <c r="A49" s="13">
        <v>47</v>
      </c>
      <c r="B49" s="54"/>
      <c r="C49" s="54"/>
      <c r="D49" s="54"/>
      <c r="E49" s="54"/>
      <c r="F49" s="54"/>
      <c r="G49" s="54"/>
      <c r="H49" s="54"/>
      <c r="I49" s="81"/>
      <c r="J49" s="81"/>
      <c r="K49" s="81"/>
      <c r="L49" s="62"/>
      <c r="N49" s="42" t="s">
        <v>90</v>
      </c>
      <c r="O49" s="34">
        <v>0</v>
      </c>
    </row>
    <row r="50" spans="1:24" s="14" customFormat="1" ht="25.8" x14ac:dyDescent="0.25">
      <c r="A50" s="13">
        <v>48</v>
      </c>
      <c r="B50" s="54"/>
      <c r="C50" s="54"/>
      <c r="D50" s="54"/>
      <c r="E50" s="54"/>
      <c r="F50" s="54"/>
      <c r="G50" s="54"/>
      <c r="H50" s="54"/>
      <c r="I50" s="81"/>
      <c r="J50" s="81"/>
      <c r="K50" s="81"/>
      <c r="L50" s="62"/>
      <c r="N50" s="42" t="s">
        <v>93</v>
      </c>
      <c r="O50" s="34">
        <v>0</v>
      </c>
    </row>
    <row r="51" spans="1:24" s="14" customFormat="1" ht="25.8" x14ac:dyDescent="0.25">
      <c r="A51" s="13">
        <v>49</v>
      </c>
      <c r="B51" s="54"/>
      <c r="C51" s="54"/>
      <c r="D51" s="54"/>
      <c r="E51" s="54"/>
      <c r="F51" s="54"/>
      <c r="G51" s="54"/>
      <c r="H51" s="54"/>
      <c r="I51" s="81"/>
      <c r="J51" s="81"/>
      <c r="K51" s="81"/>
      <c r="L51" s="81"/>
      <c r="N51" s="42" t="s">
        <v>91</v>
      </c>
      <c r="O51" s="34">
        <v>0</v>
      </c>
    </row>
    <row r="52" spans="1:24" s="14" customFormat="1" ht="25.8" x14ac:dyDescent="0.25">
      <c r="A52" s="13">
        <v>50</v>
      </c>
      <c r="B52" s="54"/>
      <c r="C52" s="54"/>
      <c r="D52" s="54"/>
      <c r="E52" s="54"/>
      <c r="F52" s="54"/>
      <c r="G52" s="54"/>
      <c r="H52" s="54"/>
      <c r="I52" s="81"/>
      <c r="J52" s="81"/>
      <c r="K52" s="81"/>
      <c r="L52" s="72"/>
      <c r="N52" s="42" t="s">
        <v>45</v>
      </c>
      <c r="O52" s="34">
        <v>0</v>
      </c>
    </row>
    <row r="53" spans="1:24" s="14" customFormat="1" ht="25.8" x14ac:dyDescent="0.25">
      <c r="A53" s="13">
        <v>51</v>
      </c>
      <c r="B53" s="54"/>
      <c r="C53" s="54"/>
      <c r="D53" s="54"/>
      <c r="E53" s="54"/>
      <c r="F53" s="54"/>
      <c r="G53" s="54"/>
      <c r="H53" s="54"/>
      <c r="I53" s="81"/>
      <c r="J53" s="81"/>
      <c r="K53" s="81"/>
      <c r="L53" s="62"/>
      <c r="N53" s="42" t="s">
        <v>92</v>
      </c>
      <c r="O53" s="34">
        <v>0</v>
      </c>
    </row>
    <row r="54" spans="1:24" s="14" customFormat="1" ht="25.8" x14ac:dyDescent="0.25">
      <c r="A54" s="13">
        <v>52</v>
      </c>
      <c r="B54" s="54"/>
      <c r="C54" s="54"/>
      <c r="D54" s="54"/>
      <c r="E54" s="54"/>
      <c r="F54" s="54"/>
      <c r="G54" s="54"/>
      <c r="H54" s="54"/>
      <c r="I54" s="62"/>
      <c r="J54" s="81"/>
      <c r="K54" s="81"/>
      <c r="L54" s="62"/>
      <c r="N54" s="42" t="s">
        <v>52</v>
      </c>
      <c r="O54" s="34">
        <v>0</v>
      </c>
    </row>
    <row r="55" spans="1:24" s="14" customFormat="1" ht="25.8" x14ac:dyDescent="0.25">
      <c r="A55" s="13">
        <v>53</v>
      </c>
      <c r="B55" s="54"/>
      <c r="C55" s="54"/>
      <c r="D55" s="54"/>
      <c r="E55" s="54"/>
      <c r="F55" s="54"/>
      <c r="G55" s="54"/>
      <c r="H55" s="54"/>
      <c r="I55" s="62"/>
      <c r="J55" s="81"/>
      <c r="K55" s="81"/>
      <c r="L55" s="62"/>
      <c r="N55" s="42" t="s">
        <v>95</v>
      </c>
      <c r="O55" s="34">
        <v>0</v>
      </c>
    </row>
    <row r="56" spans="1:24" s="14" customFormat="1" ht="25.8" x14ac:dyDescent="0.25">
      <c r="A56" s="13">
        <v>54</v>
      </c>
      <c r="B56" s="54"/>
      <c r="C56" s="54"/>
      <c r="D56" s="54"/>
      <c r="E56" s="54"/>
      <c r="F56" s="54"/>
      <c r="G56" s="54"/>
      <c r="H56" s="54"/>
      <c r="I56" s="62"/>
      <c r="J56" s="81"/>
      <c r="K56" s="81"/>
      <c r="L56" s="62"/>
      <c r="N56" s="42" t="s">
        <v>25</v>
      </c>
      <c r="O56" s="34">
        <v>0</v>
      </c>
    </row>
    <row r="57" spans="1:24" s="14" customFormat="1" ht="27" thickBot="1" x14ac:dyDescent="0.3">
      <c r="A57" s="13">
        <v>55</v>
      </c>
      <c r="B57" s="54"/>
      <c r="C57" s="54"/>
      <c r="D57" s="54"/>
      <c r="E57" s="54"/>
      <c r="F57" s="54"/>
      <c r="G57" s="54"/>
      <c r="H57" s="54"/>
      <c r="I57" s="62"/>
      <c r="J57" s="81"/>
      <c r="K57" s="81"/>
      <c r="L57" s="62"/>
      <c r="N57" s="41"/>
      <c r="O57" s="35">
        <f>SUM(O3:O56)</f>
        <v>3</v>
      </c>
    </row>
    <row r="58" spans="1:24" s="14" customFormat="1" ht="24" thickTop="1" x14ac:dyDescent="0.25">
      <c r="A58" s="13">
        <v>56</v>
      </c>
      <c r="B58" s="54"/>
      <c r="C58" s="54"/>
      <c r="D58" s="54"/>
      <c r="E58" s="54"/>
      <c r="F58" s="54"/>
      <c r="G58" s="55"/>
      <c r="H58" s="54"/>
      <c r="I58" s="62"/>
      <c r="J58" s="81"/>
      <c r="K58" s="81"/>
      <c r="L58" s="62"/>
      <c r="N58" s="11"/>
    </row>
    <row r="59" spans="1:24" s="14" customFormat="1" x14ac:dyDescent="0.25">
      <c r="A59" s="13">
        <v>57</v>
      </c>
      <c r="B59" s="54"/>
      <c r="C59" s="54"/>
      <c r="D59" s="54"/>
      <c r="E59" s="54"/>
      <c r="F59" s="54"/>
      <c r="G59" s="55"/>
      <c r="H59" s="54"/>
      <c r="I59" s="62"/>
      <c r="J59" s="81"/>
      <c r="K59" s="81"/>
      <c r="L59" s="62"/>
      <c r="N59" s="11"/>
    </row>
    <row r="60" spans="1:24" s="14" customFormat="1" x14ac:dyDescent="0.25">
      <c r="A60" s="13">
        <v>58</v>
      </c>
      <c r="B60" s="54"/>
      <c r="C60" s="54"/>
      <c r="D60" s="54"/>
      <c r="E60" s="54"/>
      <c r="F60" s="54"/>
      <c r="G60" s="55"/>
      <c r="H60" s="54"/>
      <c r="I60" s="62"/>
      <c r="J60" s="81"/>
      <c r="K60" s="81"/>
      <c r="L60" s="62"/>
      <c r="N60" s="11"/>
    </row>
    <row r="61" spans="1:24" s="14" customFormat="1" x14ac:dyDescent="0.25">
      <c r="A61" s="13">
        <v>59</v>
      </c>
      <c r="B61" s="54"/>
      <c r="C61" s="54"/>
      <c r="D61" s="54"/>
      <c r="E61" s="54"/>
      <c r="F61" s="54"/>
      <c r="G61" s="55"/>
      <c r="H61" s="54"/>
      <c r="I61" s="62"/>
      <c r="J61" s="81"/>
      <c r="K61" s="81"/>
      <c r="L61" s="62"/>
      <c r="N61" s="11"/>
    </row>
    <row r="62" spans="1:24" s="14" customFormat="1" x14ac:dyDescent="0.25">
      <c r="A62" s="13">
        <v>60</v>
      </c>
      <c r="B62" s="54"/>
      <c r="C62" s="54"/>
      <c r="D62" s="54"/>
      <c r="E62" s="54"/>
      <c r="F62" s="54"/>
      <c r="G62" s="55"/>
      <c r="H62" s="54"/>
      <c r="I62" s="62"/>
      <c r="J62" s="81"/>
      <c r="K62" s="62"/>
      <c r="L62" s="62"/>
      <c r="N62" s="11"/>
    </row>
    <row r="63" spans="1:24" s="14" customFormat="1" x14ac:dyDescent="0.25">
      <c r="A63" s="13">
        <v>61</v>
      </c>
      <c r="B63" s="54"/>
      <c r="C63" s="54"/>
      <c r="D63" s="54"/>
      <c r="E63" s="54"/>
      <c r="F63" s="54"/>
      <c r="G63" s="55"/>
      <c r="H63" s="54"/>
      <c r="I63" s="62"/>
      <c r="J63" s="81"/>
      <c r="K63" s="62"/>
      <c r="L63" s="62"/>
      <c r="N63" s="11"/>
    </row>
    <row r="64" spans="1:24" s="14" customFormat="1" x14ac:dyDescent="0.25">
      <c r="A64" s="13">
        <v>62</v>
      </c>
      <c r="B64" s="54"/>
      <c r="C64" s="54"/>
      <c r="D64" s="54"/>
      <c r="E64" s="54"/>
      <c r="F64" s="54"/>
      <c r="G64" s="55"/>
      <c r="H64" s="54"/>
      <c r="I64" s="62"/>
      <c r="J64" s="81"/>
      <c r="K64" s="81"/>
      <c r="L64" s="62"/>
      <c r="N64" s="11"/>
      <c r="S64" s="11"/>
      <c r="T64" s="11"/>
      <c r="U64" s="11"/>
      <c r="V64" s="11"/>
      <c r="W64" s="11"/>
      <c r="X64" s="11"/>
    </row>
    <row r="65" spans="1:25" s="14" customFormat="1" x14ac:dyDescent="0.25">
      <c r="A65" s="13">
        <v>63</v>
      </c>
      <c r="B65" s="54"/>
      <c r="C65" s="54"/>
      <c r="D65" s="54"/>
      <c r="E65" s="54"/>
      <c r="F65" s="54"/>
      <c r="G65" s="55"/>
      <c r="H65" s="54"/>
      <c r="I65" s="72"/>
      <c r="J65" s="81"/>
      <c r="K65" s="81"/>
      <c r="L65" s="62"/>
      <c r="N65" s="11"/>
      <c r="V65" s="11"/>
      <c r="W65" s="11"/>
      <c r="X65" s="11"/>
      <c r="Y65" s="57" t="s">
        <v>50</v>
      </c>
    </row>
    <row r="66" spans="1:25" s="14" customFormat="1" x14ac:dyDescent="0.25">
      <c r="A66" s="13">
        <v>64</v>
      </c>
      <c r="B66" s="54"/>
      <c r="C66" s="54"/>
      <c r="D66" s="54"/>
      <c r="E66" s="54"/>
      <c r="F66" s="54"/>
      <c r="G66" s="55"/>
      <c r="H66" s="54"/>
      <c r="I66" s="72"/>
      <c r="J66" s="81"/>
      <c r="K66" s="81"/>
      <c r="L66" s="62"/>
      <c r="N66" s="11"/>
      <c r="S66" s="11"/>
      <c r="T66" s="11"/>
      <c r="U66" s="11"/>
      <c r="V66" s="11"/>
      <c r="W66" s="11"/>
      <c r="X66" s="11"/>
      <c r="Y66" s="57" t="s">
        <v>50</v>
      </c>
    </row>
    <row r="67" spans="1:25" s="14" customFormat="1" x14ac:dyDescent="0.25">
      <c r="A67" s="13">
        <v>65</v>
      </c>
      <c r="B67" s="54"/>
      <c r="C67" s="54"/>
      <c r="D67" s="54"/>
      <c r="E67" s="54"/>
      <c r="F67" s="54"/>
      <c r="G67" s="55"/>
      <c r="H67" s="54"/>
      <c r="I67" s="72"/>
      <c r="J67" s="81"/>
      <c r="K67" s="81"/>
      <c r="L67" s="62"/>
      <c r="N67" s="11"/>
      <c r="V67" s="11"/>
      <c r="W67" s="11"/>
      <c r="X67" s="11"/>
      <c r="Y67" s="57" t="s">
        <v>50</v>
      </c>
    </row>
    <row r="68" spans="1:25" x14ac:dyDescent="0.25">
      <c r="A68" s="13">
        <v>66</v>
      </c>
      <c r="B68" s="54"/>
      <c r="C68" s="54"/>
      <c r="D68" s="54"/>
      <c r="E68" s="54"/>
      <c r="F68" s="54"/>
      <c r="G68" s="55"/>
      <c r="H68" s="54"/>
      <c r="I68" s="72"/>
      <c r="J68" s="81"/>
      <c r="K68" s="81"/>
      <c r="L68" s="62"/>
      <c r="M68" s="14"/>
      <c r="N68" s="11"/>
      <c r="O68" s="14"/>
      <c r="P68" s="14"/>
      <c r="Q68" s="14"/>
      <c r="R68" s="14"/>
    </row>
    <row r="69" spans="1:25" x14ac:dyDescent="0.25">
      <c r="A69" s="13">
        <v>67</v>
      </c>
      <c r="B69" s="54"/>
      <c r="C69" s="54"/>
      <c r="D69" s="54"/>
      <c r="E69" s="54"/>
      <c r="F69" s="54"/>
      <c r="G69" s="55"/>
      <c r="H69" s="54"/>
      <c r="I69" s="72"/>
      <c r="J69" s="81"/>
      <c r="K69" s="81"/>
      <c r="L69" s="62"/>
      <c r="M69" s="14"/>
      <c r="N69" s="11"/>
      <c r="O69" s="14"/>
      <c r="P69" s="14"/>
      <c r="Q69" s="14"/>
      <c r="R69" s="14"/>
      <c r="S69" s="14"/>
      <c r="T69" s="14"/>
      <c r="U69" s="14"/>
    </row>
    <row r="70" spans="1:25" x14ac:dyDescent="0.25">
      <c r="A70" s="13">
        <v>68</v>
      </c>
      <c r="B70" s="54"/>
      <c r="C70" s="54"/>
      <c r="D70" s="54"/>
      <c r="E70" s="54"/>
      <c r="F70" s="54"/>
      <c r="G70" s="55"/>
      <c r="H70" s="54"/>
      <c r="I70" s="72"/>
      <c r="J70" s="81"/>
      <c r="K70" s="62"/>
      <c r="L70" s="62"/>
      <c r="M70" s="14"/>
      <c r="N70" s="11"/>
      <c r="O70" s="14"/>
      <c r="P70" s="14"/>
      <c r="Q70" s="14"/>
      <c r="R70" s="14"/>
    </row>
    <row r="71" spans="1:25" x14ac:dyDescent="0.25">
      <c r="A71" s="13">
        <v>69</v>
      </c>
      <c r="B71" s="54"/>
      <c r="C71" s="54"/>
      <c r="D71" s="54"/>
      <c r="E71" s="54"/>
      <c r="F71" s="54"/>
      <c r="G71" s="55"/>
      <c r="H71" s="54"/>
      <c r="I71" s="72"/>
      <c r="J71" s="81"/>
      <c r="K71" s="81"/>
      <c r="L71" s="62"/>
      <c r="M71" s="14"/>
      <c r="N71" s="11"/>
      <c r="O71" s="14"/>
      <c r="P71" s="14"/>
      <c r="Q71" s="14"/>
      <c r="R71" s="14"/>
      <c r="S71" s="14"/>
      <c r="T71" s="14"/>
      <c r="U71" s="14"/>
    </row>
    <row r="72" spans="1:25" x14ac:dyDescent="0.25">
      <c r="A72" s="13">
        <v>70</v>
      </c>
      <c r="B72" s="54"/>
      <c r="C72" s="54"/>
      <c r="D72" s="54"/>
      <c r="E72" s="54"/>
      <c r="F72" s="54"/>
      <c r="G72" s="55"/>
      <c r="H72" s="54"/>
      <c r="I72" s="72"/>
      <c r="J72" s="81"/>
      <c r="K72" s="81"/>
      <c r="L72" s="62"/>
      <c r="M72" s="14"/>
      <c r="N72" s="11"/>
      <c r="O72" s="14"/>
      <c r="P72" s="14"/>
      <c r="Q72" s="14"/>
      <c r="R72" s="14"/>
    </row>
    <row r="73" spans="1:25" x14ac:dyDescent="0.25">
      <c r="A73" s="13">
        <v>71</v>
      </c>
      <c r="B73" s="54"/>
      <c r="C73" s="54"/>
      <c r="D73" s="54"/>
      <c r="E73" s="54"/>
      <c r="F73" s="54"/>
      <c r="G73" s="55"/>
      <c r="H73" s="54"/>
      <c r="I73" s="72"/>
      <c r="J73" s="81"/>
      <c r="K73" s="81"/>
      <c r="L73" s="62"/>
      <c r="M73" s="14"/>
      <c r="N73" s="11"/>
      <c r="O73" s="14"/>
      <c r="P73" s="14"/>
      <c r="Q73" s="14"/>
      <c r="R73" s="14"/>
      <c r="S73" s="14"/>
      <c r="T73" s="14"/>
      <c r="U73" s="14"/>
    </row>
    <row r="74" spans="1:25" x14ac:dyDescent="0.25">
      <c r="A74" s="13">
        <v>72</v>
      </c>
      <c r="B74" s="54"/>
      <c r="C74" s="54"/>
      <c r="D74" s="54"/>
      <c r="E74" s="54"/>
      <c r="F74" s="54"/>
      <c r="G74" s="55"/>
      <c r="H74" s="54"/>
      <c r="I74" s="72"/>
      <c r="J74" s="81"/>
      <c r="K74" s="81"/>
      <c r="L74" s="62"/>
      <c r="M74" s="14"/>
      <c r="N74" s="11"/>
      <c r="O74" s="14"/>
      <c r="P74" s="14"/>
      <c r="Q74" s="14"/>
      <c r="R74" s="14"/>
    </row>
    <row r="75" spans="1:25" x14ac:dyDescent="0.25">
      <c r="A75" s="13">
        <v>73</v>
      </c>
      <c r="B75" s="54"/>
      <c r="C75" s="54"/>
      <c r="D75" s="54"/>
      <c r="E75" s="54"/>
      <c r="F75" s="54"/>
      <c r="G75" s="55"/>
      <c r="H75" s="54"/>
      <c r="I75" s="72"/>
      <c r="J75" s="81"/>
      <c r="K75" s="62"/>
      <c r="L75" s="62"/>
      <c r="M75" s="14"/>
      <c r="N75" s="11"/>
      <c r="O75" s="14"/>
      <c r="P75" s="14"/>
      <c r="Q75" s="14"/>
      <c r="R75" s="14"/>
      <c r="S75" s="14"/>
      <c r="T75" s="14"/>
      <c r="U75" s="14"/>
    </row>
    <row r="76" spans="1:25" x14ac:dyDescent="0.25">
      <c r="A76" s="13">
        <v>74</v>
      </c>
      <c r="B76" s="54"/>
      <c r="C76" s="54"/>
      <c r="D76" s="54"/>
      <c r="E76" s="54"/>
      <c r="F76" s="54"/>
      <c r="G76" s="55"/>
      <c r="H76" s="54"/>
      <c r="I76" s="72"/>
      <c r="J76" s="81"/>
      <c r="K76" s="81"/>
      <c r="L76" s="62"/>
      <c r="M76" s="14"/>
      <c r="N76" s="11"/>
      <c r="O76" s="14"/>
      <c r="P76" s="14"/>
      <c r="Q76" s="14"/>
      <c r="R76" s="14"/>
      <c r="Y76" s="11" t="s">
        <v>50</v>
      </c>
    </row>
    <row r="77" spans="1:25" x14ac:dyDescent="0.25">
      <c r="A77" s="13">
        <v>75</v>
      </c>
      <c r="B77" s="54"/>
      <c r="C77" s="54"/>
      <c r="D77" s="54"/>
      <c r="E77" s="54"/>
      <c r="F77" s="54"/>
      <c r="G77" s="55"/>
      <c r="H77" s="54"/>
      <c r="I77" s="72"/>
      <c r="J77" s="81"/>
      <c r="K77" s="81"/>
      <c r="L77" s="62"/>
      <c r="M77" s="14"/>
      <c r="N77" s="11"/>
      <c r="Y77" s="11" t="s">
        <v>50</v>
      </c>
    </row>
    <row r="78" spans="1:25" x14ac:dyDescent="0.25">
      <c r="A78" s="13">
        <v>76</v>
      </c>
      <c r="B78" s="54"/>
      <c r="C78" s="54"/>
      <c r="D78" s="54"/>
      <c r="E78" s="54"/>
      <c r="F78" s="54"/>
      <c r="G78" s="55"/>
      <c r="H78" s="54"/>
      <c r="I78" s="72"/>
      <c r="J78" s="81"/>
      <c r="K78" s="81"/>
      <c r="L78" s="62"/>
      <c r="M78" s="14"/>
      <c r="N78" s="11"/>
      <c r="Y78" s="11" t="s">
        <v>50</v>
      </c>
    </row>
    <row r="79" spans="1:25" x14ac:dyDescent="0.25">
      <c r="A79" s="13">
        <v>77</v>
      </c>
      <c r="B79" s="54"/>
      <c r="C79" s="54"/>
      <c r="D79" s="54"/>
      <c r="E79" s="54"/>
      <c r="F79" s="54"/>
      <c r="G79" s="55"/>
      <c r="H79" s="54"/>
      <c r="I79" s="72"/>
      <c r="J79" s="81"/>
      <c r="K79" s="81"/>
      <c r="L79" s="62"/>
      <c r="M79" s="14"/>
      <c r="N79" s="11"/>
      <c r="Y79" s="11" t="s">
        <v>50</v>
      </c>
    </row>
    <row r="80" spans="1:25" x14ac:dyDescent="0.25">
      <c r="A80" s="13">
        <v>78</v>
      </c>
      <c r="B80" s="54"/>
      <c r="C80" s="54"/>
      <c r="D80" s="54"/>
      <c r="E80" s="54"/>
      <c r="F80" s="54"/>
      <c r="G80" s="55"/>
      <c r="H80" s="54"/>
      <c r="I80" s="72"/>
      <c r="J80" s="81"/>
      <c r="K80" s="81"/>
      <c r="L80" s="62"/>
      <c r="M80" s="14"/>
      <c r="N80" s="11"/>
      <c r="Y80" s="11" t="s">
        <v>50</v>
      </c>
    </row>
    <row r="81" spans="1:25" x14ac:dyDescent="0.25">
      <c r="A81" s="13">
        <v>79</v>
      </c>
      <c r="B81" s="54"/>
      <c r="C81" s="54"/>
      <c r="D81" s="54"/>
      <c r="E81" s="54"/>
      <c r="F81" s="54"/>
      <c r="G81" s="55"/>
      <c r="H81" s="54"/>
      <c r="I81" s="72"/>
      <c r="J81" s="81"/>
      <c r="K81" s="81"/>
      <c r="L81" s="62"/>
      <c r="M81" s="14"/>
      <c r="N81" s="11"/>
      <c r="Y81" s="11" t="s">
        <v>216</v>
      </c>
    </row>
    <row r="82" spans="1:25" x14ac:dyDescent="0.25">
      <c r="A82" s="13">
        <v>80</v>
      </c>
      <c r="B82" s="54"/>
      <c r="C82" s="54"/>
      <c r="D82" s="54"/>
      <c r="E82" s="54"/>
      <c r="F82" s="54"/>
      <c r="G82" s="55"/>
      <c r="H82" s="54"/>
      <c r="I82" s="72"/>
      <c r="J82" s="81"/>
      <c r="K82" s="81"/>
      <c r="L82" s="62"/>
      <c r="M82" s="14"/>
      <c r="N82" s="11"/>
      <c r="Y82" s="11" t="s">
        <v>217</v>
      </c>
    </row>
    <row r="83" spans="1:25" x14ac:dyDescent="0.25">
      <c r="A83" s="13">
        <v>81</v>
      </c>
      <c r="B83" s="54"/>
      <c r="C83" s="54"/>
      <c r="D83" s="54"/>
      <c r="E83" s="54"/>
      <c r="F83" s="54"/>
      <c r="G83" s="55"/>
      <c r="H83" s="54"/>
      <c r="I83" s="72"/>
      <c r="J83" s="81"/>
      <c r="K83" s="81"/>
      <c r="L83" s="62"/>
      <c r="M83" s="14"/>
      <c r="N83" s="11"/>
      <c r="Y83" s="11" t="s">
        <v>218</v>
      </c>
    </row>
    <row r="84" spans="1:25" x14ac:dyDescent="0.25">
      <c r="A84" s="13">
        <v>82</v>
      </c>
      <c r="B84" s="54"/>
      <c r="C84" s="54"/>
      <c r="D84" s="54"/>
      <c r="E84" s="54"/>
      <c r="F84" s="54"/>
      <c r="G84" s="55"/>
      <c r="H84" s="54"/>
      <c r="I84" s="72"/>
      <c r="J84" s="81"/>
      <c r="K84" s="81"/>
      <c r="L84" s="62"/>
      <c r="M84" s="14"/>
      <c r="N84" s="11"/>
      <c r="Y84" s="11" t="s">
        <v>219</v>
      </c>
    </row>
    <row r="85" spans="1:25" x14ac:dyDescent="0.25">
      <c r="A85" s="13">
        <v>83</v>
      </c>
      <c r="B85" s="54"/>
      <c r="C85" s="54"/>
      <c r="D85" s="54"/>
      <c r="E85" s="54"/>
      <c r="F85" s="54"/>
      <c r="G85" s="55"/>
      <c r="H85" s="54"/>
      <c r="I85" s="72"/>
      <c r="J85" s="81"/>
      <c r="K85" s="81"/>
      <c r="L85" s="62"/>
      <c r="M85" s="14"/>
      <c r="N85" s="11"/>
      <c r="Y85" s="11" t="s">
        <v>220</v>
      </c>
    </row>
    <row r="86" spans="1:25" x14ac:dyDescent="0.25">
      <c r="A86" s="13">
        <v>84</v>
      </c>
      <c r="B86" s="54"/>
      <c r="C86" s="54"/>
      <c r="D86" s="54"/>
      <c r="E86" s="54"/>
      <c r="F86" s="54"/>
      <c r="G86" s="55"/>
      <c r="H86" s="54"/>
      <c r="I86" s="72"/>
      <c r="J86" s="81"/>
      <c r="K86" s="81"/>
      <c r="L86" s="62"/>
      <c r="M86" s="14"/>
      <c r="N86" s="11"/>
      <c r="Y86" s="11" t="s">
        <v>221</v>
      </c>
    </row>
    <row r="87" spans="1:25" x14ac:dyDescent="0.25">
      <c r="A87" s="13">
        <v>85</v>
      </c>
      <c r="B87" s="54"/>
      <c r="C87" s="54"/>
      <c r="D87" s="54"/>
      <c r="E87" s="54"/>
      <c r="F87" s="54"/>
      <c r="G87" s="55"/>
      <c r="H87" s="54"/>
      <c r="I87" s="72"/>
      <c r="J87" s="81"/>
      <c r="K87" s="81"/>
      <c r="L87" s="62"/>
      <c r="M87" s="14"/>
      <c r="N87" s="11"/>
      <c r="Y87" s="11" t="s">
        <v>222</v>
      </c>
    </row>
    <row r="88" spans="1:25" x14ac:dyDescent="0.25">
      <c r="A88" s="13">
        <v>86</v>
      </c>
      <c r="B88" s="54"/>
      <c r="C88" s="54"/>
      <c r="D88" s="54"/>
      <c r="E88" s="54"/>
      <c r="F88" s="54"/>
      <c r="G88" s="55"/>
      <c r="H88" s="54"/>
      <c r="I88" s="72"/>
      <c r="J88" s="81"/>
      <c r="K88" s="81"/>
      <c r="L88" s="62"/>
      <c r="M88" s="14"/>
      <c r="N88" s="11"/>
      <c r="Y88" s="11" t="s">
        <v>223</v>
      </c>
    </row>
    <row r="89" spans="1:25" x14ac:dyDescent="0.25">
      <c r="A89" s="13">
        <v>87</v>
      </c>
      <c r="B89" s="54"/>
      <c r="C89" s="54"/>
      <c r="D89" s="54"/>
      <c r="E89" s="54"/>
      <c r="F89" s="54"/>
      <c r="G89" s="55"/>
      <c r="H89" s="54"/>
      <c r="I89" s="72"/>
      <c r="J89" s="81"/>
      <c r="K89" s="81"/>
      <c r="L89" s="62"/>
      <c r="M89" s="14"/>
      <c r="N89" s="11"/>
      <c r="Y89" s="11" t="s">
        <v>224</v>
      </c>
    </row>
    <row r="90" spans="1:25" x14ac:dyDescent="0.25">
      <c r="A90" s="13">
        <v>88</v>
      </c>
      <c r="B90" s="54"/>
      <c r="C90" s="54"/>
      <c r="D90" s="54"/>
      <c r="E90" s="54"/>
      <c r="F90" s="54"/>
      <c r="G90" s="55"/>
      <c r="H90" s="54"/>
      <c r="I90" s="72"/>
      <c r="J90" s="81"/>
      <c r="K90" s="81"/>
      <c r="L90" s="62"/>
      <c r="M90" s="14"/>
      <c r="N90" s="11"/>
      <c r="Y90" s="11" t="s">
        <v>225</v>
      </c>
    </row>
    <row r="91" spans="1:25" x14ac:dyDescent="0.25">
      <c r="A91" s="13">
        <v>89</v>
      </c>
      <c r="B91" s="54"/>
      <c r="C91" s="54"/>
      <c r="D91" s="54"/>
      <c r="E91" s="54"/>
      <c r="F91" s="54"/>
      <c r="G91" s="55"/>
      <c r="H91" s="54"/>
      <c r="I91" s="72"/>
      <c r="J91" s="81"/>
      <c r="K91" s="81"/>
      <c r="L91" s="62"/>
      <c r="M91" s="14"/>
      <c r="N91" s="11"/>
      <c r="Y91" s="11" t="s">
        <v>50</v>
      </c>
    </row>
    <row r="92" spans="1:25" x14ac:dyDescent="0.25">
      <c r="A92" s="13">
        <v>90</v>
      </c>
      <c r="B92" s="54"/>
      <c r="C92" s="54"/>
      <c r="D92" s="54"/>
      <c r="E92" s="54"/>
      <c r="F92" s="54"/>
      <c r="G92" s="55"/>
      <c r="H92" s="54"/>
      <c r="I92" s="72"/>
      <c r="J92" s="81"/>
      <c r="K92" s="81"/>
      <c r="L92" s="62"/>
      <c r="M92" s="14"/>
      <c r="N92" s="11"/>
      <c r="Y92" s="11" t="s">
        <v>50</v>
      </c>
    </row>
    <row r="93" spans="1:25" x14ac:dyDescent="0.25">
      <c r="A93" s="13">
        <v>91</v>
      </c>
      <c r="B93" s="54"/>
      <c r="C93" s="54"/>
      <c r="D93" s="54"/>
      <c r="E93" s="54"/>
      <c r="F93" s="54"/>
      <c r="G93" s="55"/>
      <c r="H93" s="54"/>
      <c r="I93" s="81"/>
      <c r="J93" s="81"/>
      <c r="K93" s="81"/>
      <c r="L93" s="72"/>
      <c r="M93" s="14"/>
      <c r="N93" s="11"/>
      <c r="Y93" s="11" t="s">
        <v>50</v>
      </c>
    </row>
    <row r="94" spans="1:25" x14ac:dyDescent="0.25">
      <c r="A94" s="13">
        <v>92</v>
      </c>
      <c r="B94" s="54"/>
      <c r="C94" s="54"/>
      <c r="D94" s="54"/>
      <c r="E94" s="54"/>
      <c r="F94" s="54"/>
      <c r="G94" s="55"/>
      <c r="H94" s="54"/>
      <c r="I94" s="81"/>
      <c r="J94" s="81"/>
      <c r="K94" s="81"/>
      <c r="L94" s="72"/>
      <c r="M94" s="14"/>
      <c r="N94" s="11"/>
      <c r="Y94" s="11" t="s">
        <v>50</v>
      </c>
    </row>
    <row r="95" spans="1:25" x14ac:dyDescent="0.25">
      <c r="A95" s="13">
        <v>93</v>
      </c>
      <c r="B95" s="54"/>
      <c r="C95" s="54"/>
      <c r="D95" s="54"/>
      <c r="E95" s="54"/>
      <c r="F95" s="54"/>
      <c r="G95" s="55"/>
      <c r="H95" s="54"/>
      <c r="I95" s="81"/>
      <c r="J95" s="81"/>
      <c r="K95" s="81"/>
      <c r="L95" s="72"/>
      <c r="M95" s="14"/>
      <c r="N95" s="11"/>
      <c r="Y95" s="11" t="s">
        <v>50</v>
      </c>
    </row>
    <row r="96" spans="1:25" x14ac:dyDescent="0.25">
      <c r="A96" s="13">
        <v>94</v>
      </c>
      <c r="B96" s="54"/>
      <c r="C96" s="54"/>
      <c r="D96" s="54"/>
      <c r="E96" s="54"/>
      <c r="F96" s="54"/>
      <c r="G96" s="55"/>
      <c r="H96" s="54"/>
      <c r="I96" s="81"/>
      <c r="J96" s="81"/>
      <c r="K96" s="62"/>
      <c r="L96" s="72"/>
      <c r="M96" s="14"/>
      <c r="N96" s="11"/>
    </row>
    <row r="97" spans="1:14" x14ac:dyDescent="0.25">
      <c r="A97" s="13">
        <v>95</v>
      </c>
      <c r="B97" s="54"/>
      <c r="C97" s="54"/>
      <c r="D97" s="54"/>
      <c r="E97" s="54"/>
      <c r="F97" s="54"/>
      <c r="G97" s="55"/>
      <c r="H97" s="54"/>
      <c r="I97" s="81"/>
      <c r="J97" s="81"/>
      <c r="K97" s="81"/>
      <c r="L97" s="72"/>
      <c r="M97" s="14"/>
      <c r="N97" s="11"/>
    </row>
    <row r="98" spans="1:14" x14ac:dyDescent="0.25">
      <c r="A98" s="13">
        <v>96</v>
      </c>
      <c r="B98" s="54"/>
      <c r="C98" s="54"/>
      <c r="D98" s="54"/>
      <c r="E98" s="54"/>
      <c r="F98" s="54"/>
      <c r="G98" s="55"/>
      <c r="H98" s="54"/>
      <c r="I98" s="81"/>
      <c r="J98" s="81"/>
      <c r="K98" s="81"/>
      <c r="L98" s="72"/>
      <c r="M98" s="14"/>
      <c r="N98" s="11"/>
    </row>
    <row r="99" spans="1:14" x14ac:dyDescent="0.25">
      <c r="A99" s="13">
        <v>97</v>
      </c>
      <c r="B99" s="54"/>
      <c r="C99" s="54"/>
      <c r="D99" s="54"/>
      <c r="E99" s="54"/>
      <c r="F99" s="54"/>
      <c r="G99" s="55"/>
      <c r="H99" s="54"/>
      <c r="I99" s="81"/>
      <c r="J99" s="81"/>
      <c r="K99" s="81"/>
      <c r="L99" s="72"/>
      <c r="M99" s="14"/>
      <c r="N99" s="11"/>
    </row>
    <row r="100" spans="1:14" x14ac:dyDescent="0.25">
      <c r="A100" s="13">
        <v>98</v>
      </c>
      <c r="B100" s="54"/>
      <c r="C100" s="54"/>
      <c r="D100" s="54"/>
      <c r="E100" s="54"/>
      <c r="F100" s="54"/>
      <c r="G100" s="55"/>
      <c r="H100" s="54"/>
      <c r="I100" s="81"/>
      <c r="J100" s="81"/>
      <c r="K100" s="81"/>
      <c r="L100" s="72"/>
      <c r="M100" s="14"/>
      <c r="N100" s="11"/>
    </row>
    <row r="101" spans="1:14" x14ac:dyDescent="0.25">
      <c r="A101" s="13">
        <v>99</v>
      </c>
      <c r="B101" s="54"/>
      <c r="C101" s="54"/>
      <c r="D101" s="54"/>
      <c r="E101" s="54"/>
      <c r="F101" s="54"/>
      <c r="G101" s="54"/>
      <c r="H101" s="54"/>
      <c r="I101" s="54"/>
      <c r="J101" s="81"/>
      <c r="K101" s="81"/>
      <c r="L101" s="72"/>
      <c r="M101" s="14"/>
      <c r="N101" s="14"/>
    </row>
    <row r="102" spans="1:14" x14ac:dyDescent="0.25">
      <c r="A102" s="13">
        <v>100</v>
      </c>
      <c r="B102" s="54"/>
      <c r="C102" s="54"/>
      <c r="D102" s="54"/>
      <c r="E102" s="54"/>
      <c r="F102" s="54"/>
      <c r="G102" s="54"/>
      <c r="H102" s="54"/>
      <c r="I102" s="54"/>
      <c r="J102" s="81"/>
      <c r="K102" s="81"/>
      <c r="L102" s="72"/>
      <c r="M102" s="14"/>
      <c r="N102" s="14"/>
    </row>
    <row r="103" spans="1:14" x14ac:dyDescent="0.25">
      <c r="A103" s="13">
        <v>101</v>
      </c>
      <c r="B103" s="54"/>
      <c r="C103" s="54"/>
      <c r="D103" s="54"/>
      <c r="E103" s="54"/>
      <c r="F103" s="54"/>
      <c r="G103" s="54"/>
      <c r="H103" s="54"/>
      <c r="I103" s="54"/>
      <c r="J103" s="81"/>
      <c r="K103" s="81"/>
      <c r="L103" s="72"/>
      <c r="M103" s="14"/>
      <c r="N103" s="14"/>
    </row>
    <row r="104" spans="1:14" x14ac:dyDescent="0.25">
      <c r="A104" s="13">
        <v>102</v>
      </c>
      <c r="B104" s="54"/>
      <c r="C104" s="54"/>
      <c r="D104" s="54"/>
      <c r="E104" s="54"/>
      <c r="F104" s="54"/>
      <c r="G104" s="54"/>
      <c r="H104" s="54"/>
      <c r="I104" s="54"/>
      <c r="J104" s="81"/>
      <c r="K104" s="81"/>
      <c r="L104" s="72"/>
      <c r="M104" s="14"/>
      <c r="N104" s="14"/>
    </row>
    <row r="105" spans="1:14" x14ac:dyDescent="0.25">
      <c r="A105" s="13">
        <v>103</v>
      </c>
      <c r="B105" s="54"/>
      <c r="C105" s="54"/>
      <c r="D105" s="54"/>
      <c r="E105" s="54"/>
      <c r="F105" s="54"/>
      <c r="G105" s="54"/>
      <c r="H105" s="54"/>
      <c r="I105" s="54"/>
      <c r="J105" s="81"/>
      <c r="K105" s="81"/>
      <c r="L105" s="72"/>
      <c r="M105" s="14"/>
      <c r="N105" s="14"/>
    </row>
    <row r="106" spans="1:14" x14ac:dyDescent="0.25">
      <c r="A106" s="13">
        <v>104</v>
      </c>
      <c r="B106" s="54"/>
      <c r="C106" s="54"/>
      <c r="D106" s="54"/>
      <c r="E106" s="54"/>
      <c r="F106" s="54"/>
      <c r="G106" s="54"/>
      <c r="H106" s="54"/>
      <c r="I106" s="54"/>
      <c r="J106" s="81"/>
      <c r="K106" s="81"/>
      <c r="L106" s="72"/>
      <c r="M106" s="14"/>
      <c r="N106" s="14"/>
    </row>
    <row r="107" spans="1:14" x14ac:dyDescent="0.25">
      <c r="A107" s="13">
        <v>105</v>
      </c>
      <c r="B107" s="54"/>
      <c r="C107" s="54"/>
      <c r="D107" s="54"/>
      <c r="E107" s="54"/>
      <c r="F107" s="54"/>
      <c r="G107" s="54"/>
      <c r="H107" s="54"/>
      <c r="I107" s="54"/>
      <c r="J107" s="81"/>
      <c r="K107" s="81"/>
      <c r="L107" s="72"/>
      <c r="M107" s="14"/>
      <c r="N107" s="14"/>
    </row>
    <row r="108" spans="1:14" x14ac:dyDescent="0.25">
      <c r="A108" s="13">
        <v>106</v>
      </c>
      <c r="B108" s="54"/>
      <c r="C108" s="54"/>
      <c r="D108" s="54"/>
      <c r="E108" s="54"/>
      <c r="F108" s="54"/>
      <c r="G108" s="54"/>
      <c r="H108" s="54"/>
      <c r="I108" s="54"/>
      <c r="J108" s="81"/>
      <c r="K108" s="81"/>
      <c r="L108" s="72"/>
      <c r="M108" s="14"/>
      <c r="N108" s="14"/>
    </row>
    <row r="109" spans="1:14" x14ac:dyDescent="0.25">
      <c r="A109" s="13">
        <v>107</v>
      </c>
      <c r="B109" s="54"/>
      <c r="C109" s="54"/>
      <c r="D109" s="54"/>
      <c r="E109" s="54"/>
      <c r="F109" s="54"/>
      <c r="G109" s="54"/>
      <c r="H109" s="54"/>
      <c r="I109" s="54"/>
      <c r="J109" s="81"/>
      <c r="K109" s="81"/>
      <c r="L109" s="72"/>
      <c r="M109" s="14"/>
      <c r="N109" s="14"/>
    </row>
    <row r="110" spans="1:14" x14ac:dyDescent="0.25">
      <c r="A110" s="13">
        <v>108</v>
      </c>
      <c r="B110" s="54"/>
      <c r="C110" s="54"/>
      <c r="D110" s="54"/>
      <c r="E110" s="54"/>
      <c r="F110" s="54"/>
      <c r="G110" s="54"/>
      <c r="H110" s="54"/>
      <c r="I110" s="54"/>
      <c r="J110" s="81"/>
      <c r="K110" s="81"/>
      <c r="L110" s="72"/>
      <c r="M110" s="14"/>
      <c r="N110" s="14"/>
    </row>
    <row r="111" spans="1:14" x14ac:dyDescent="0.25">
      <c r="A111" s="13">
        <v>109</v>
      </c>
      <c r="B111" s="54"/>
      <c r="C111" s="54"/>
      <c r="D111" s="54"/>
      <c r="E111" s="54"/>
      <c r="F111" s="54"/>
      <c r="G111" s="54"/>
      <c r="H111" s="54"/>
      <c r="I111" s="54"/>
      <c r="J111" s="81"/>
      <c r="K111" s="81"/>
      <c r="L111" s="72"/>
      <c r="M111" s="14"/>
      <c r="N111" s="14"/>
    </row>
    <row r="112" spans="1:14" x14ac:dyDescent="0.25">
      <c r="A112" s="13">
        <v>110</v>
      </c>
      <c r="B112" s="54"/>
      <c r="C112" s="54"/>
      <c r="D112" s="54"/>
      <c r="E112" s="54"/>
      <c r="F112" s="54"/>
      <c r="G112" s="54"/>
      <c r="H112" s="54"/>
      <c r="I112" s="54"/>
      <c r="J112" s="81"/>
      <c r="K112" s="81"/>
      <c r="L112" s="72"/>
      <c r="M112" s="14"/>
      <c r="N112" s="14"/>
    </row>
    <row r="113" spans="1:14" x14ac:dyDescent="0.25">
      <c r="A113" s="13">
        <v>111</v>
      </c>
      <c r="B113" s="54"/>
      <c r="C113" s="54"/>
      <c r="D113" s="54"/>
      <c r="E113" s="54"/>
      <c r="F113" s="54"/>
      <c r="G113" s="54"/>
      <c r="H113" s="54"/>
      <c r="I113" s="54"/>
      <c r="J113" s="81"/>
      <c r="K113" s="81"/>
      <c r="L113" s="72"/>
      <c r="M113" s="14"/>
      <c r="N113" s="14"/>
    </row>
    <row r="114" spans="1:14" x14ac:dyDescent="0.25">
      <c r="A114" s="13">
        <v>112</v>
      </c>
      <c r="B114" s="54"/>
      <c r="C114" s="54"/>
      <c r="D114" s="54"/>
      <c r="E114" s="54"/>
      <c r="F114" s="54"/>
      <c r="G114" s="54"/>
      <c r="H114" s="54"/>
      <c r="I114" s="54"/>
      <c r="J114" s="81"/>
      <c r="K114" s="81"/>
      <c r="L114" s="72"/>
      <c r="M114" s="14"/>
      <c r="N114" s="14"/>
    </row>
    <row r="115" spans="1:14" x14ac:dyDescent="0.25">
      <c r="A115" s="13">
        <v>113</v>
      </c>
      <c r="B115" s="54"/>
      <c r="C115" s="54"/>
      <c r="D115" s="54"/>
      <c r="E115" s="54"/>
      <c r="F115" s="54"/>
      <c r="G115" s="54"/>
      <c r="H115" s="54"/>
      <c r="I115" s="54"/>
      <c r="J115" s="81"/>
      <c r="K115" s="81"/>
      <c r="L115" s="72"/>
      <c r="M115" s="14"/>
      <c r="N115" s="14"/>
    </row>
    <row r="116" spans="1:14" x14ac:dyDescent="0.25">
      <c r="A116" s="13">
        <v>114</v>
      </c>
      <c r="B116" s="54"/>
      <c r="C116" s="54"/>
      <c r="D116" s="54"/>
      <c r="E116" s="54"/>
      <c r="F116" s="54"/>
      <c r="G116" s="54"/>
      <c r="H116" s="54"/>
      <c r="I116" s="54"/>
      <c r="J116" s="81"/>
      <c r="K116" s="81"/>
      <c r="L116" s="72"/>
      <c r="M116" s="14"/>
      <c r="N116" s="14"/>
    </row>
    <row r="117" spans="1:14" x14ac:dyDescent="0.25">
      <c r="A117" s="13">
        <v>115</v>
      </c>
      <c r="B117" s="54"/>
      <c r="C117" s="54"/>
      <c r="D117" s="54"/>
      <c r="E117" s="54"/>
      <c r="F117" s="54"/>
      <c r="G117" s="54"/>
      <c r="H117" s="54"/>
      <c r="I117" s="54"/>
      <c r="J117" s="81"/>
      <c r="K117" s="81"/>
      <c r="L117" s="72"/>
      <c r="M117" s="14"/>
      <c r="N117" s="14"/>
    </row>
    <row r="118" spans="1:14" x14ac:dyDescent="0.25">
      <c r="A118" s="13">
        <v>116</v>
      </c>
      <c r="B118" s="54"/>
      <c r="C118" s="54"/>
      <c r="D118" s="54"/>
      <c r="E118" s="54"/>
      <c r="F118" s="54"/>
      <c r="G118" s="54"/>
      <c r="H118" s="54"/>
      <c r="I118" s="54"/>
      <c r="J118" s="81"/>
      <c r="K118" s="81"/>
      <c r="L118" s="72"/>
      <c r="M118" s="14"/>
      <c r="N118" s="14"/>
    </row>
    <row r="119" spans="1:14" x14ac:dyDescent="0.25">
      <c r="A119" s="13">
        <v>117</v>
      </c>
      <c r="B119" s="54"/>
      <c r="C119" s="54"/>
      <c r="D119" s="54"/>
      <c r="E119" s="54"/>
      <c r="F119" s="54"/>
      <c r="G119" s="54"/>
      <c r="H119" s="54"/>
      <c r="I119" s="54"/>
      <c r="J119" s="81"/>
      <c r="K119" s="81"/>
      <c r="L119" s="62"/>
      <c r="M119" s="14"/>
      <c r="N119" s="14"/>
    </row>
    <row r="120" spans="1:14" x14ac:dyDescent="0.25">
      <c r="A120" s="13">
        <v>118</v>
      </c>
      <c r="B120" s="54"/>
      <c r="C120" s="54"/>
      <c r="D120" s="54"/>
      <c r="E120" s="54"/>
      <c r="F120" s="54"/>
      <c r="G120" s="54"/>
      <c r="H120" s="54"/>
      <c r="I120" s="54"/>
      <c r="J120" s="81"/>
      <c r="K120" s="81"/>
      <c r="L120" s="62"/>
      <c r="M120" s="14"/>
      <c r="N120" s="14"/>
    </row>
    <row r="121" spans="1:14" x14ac:dyDescent="0.25">
      <c r="A121" s="13">
        <v>119</v>
      </c>
      <c r="B121" s="54"/>
      <c r="C121" s="54"/>
      <c r="D121" s="54"/>
      <c r="E121" s="54"/>
      <c r="F121" s="54"/>
      <c r="G121" s="54"/>
      <c r="H121" s="54"/>
      <c r="I121" s="54"/>
      <c r="J121" s="81"/>
      <c r="K121" s="81"/>
      <c r="L121" s="62"/>
      <c r="M121" s="14"/>
      <c r="N121" s="14"/>
    </row>
    <row r="122" spans="1:14" x14ac:dyDescent="0.25">
      <c r="A122" s="13">
        <v>120</v>
      </c>
      <c r="B122" s="54"/>
      <c r="C122" s="54"/>
      <c r="D122" s="54"/>
      <c r="E122" s="54"/>
      <c r="F122" s="54"/>
      <c r="G122" s="54"/>
      <c r="H122" s="54"/>
      <c r="I122" s="54"/>
      <c r="J122" s="81"/>
      <c r="K122" s="81"/>
      <c r="L122" s="62"/>
      <c r="M122" s="14"/>
      <c r="N122" s="14"/>
    </row>
    <row r="123" spans="1:14" x14ac:dyDescent="0.25">
      <c r="A123" s="13">
        <v>121</v>
      </c>
      <c r="B123" s="54"/>
      <c r="C123" s="54"/>
      <c r="D123" s="54"/>
      <c r="E123" s="54"/>
      <c r="F123" s="54"/>
      <c r="G123" s="54"/>
      <c r="H123" s="54"/>
      <c r="I123" s="54"/>
      <c r="J123" s="81"/>
      <c r="K123" s="72"/>
      <c r="L123" s="62"/>
      <c r="M123" s="14"/>
      <c r="N123" s="14"/>
    </row>
    <row r="124" spans="1:14" x14ac:dyDescent="0.25">
      <c r="A124" s="13">
        <v>122</v>
      </c>
      <c r="B124" s="54"/>
      <c r="C124" s="54"/>
      <c r="D124" s="54"/>
      <c r="E124" s="54"/>
      <c r="F124" s="54"/>
      <c r="G124" s="54"/>
      <c r="H124" s="54"/>
      <c r="I124" s="54"/>
      <c r="J124" s="81"/>
      <c r="K124" s="81"/>
      <c r="L124" s="62"/>
      <c r="M124" s="14"/>
      <c r="N124" s="14"/>
    </row>
    <row r="125" spans="1:14" x14ac:dyDescent="0.25">
      <c r="A125" s="13">
        <v>123</v>
      </c>
      <c r="B125" s="54"/>
      <c r="C125" s="54"/>
      <c r="D125" s="54"/>
      <c r="E125" s="54"/>
      <c r="F125" s="54"/>
      <c r="G125" s="54"/>
      <c r="H125" s="54"/>
      <c r="I125" s="54"/>
      <c r="J125" s="81"/>
      <c r="K125" s="81"/>
      <c r="L125" s="62"/>
      <c r="M125" s="14"/>
      <c r="N125" s="14"/>
    </row>
    <row r="126" spans="1:14" x14ac:dyDescent="0.25">
      <c r="A126" s="13">
        <v>124</v>
      </c>
      <c r="B126" s="54"/>
      <c r="C126" s="54"/>
      <c r="D126" s="54"/>
      <c r="E126" s="54"/>
      <c r="F126" s="54"/>
      <c r="G126" s="54"/>
      <c r="H126" s="54"/>
      <c r="I126" s="54"/>
      <c r="J126" s="81"/>
      <c r="K126" s="81"/>
      <c r="L126" s="62"/>
      <c r="M126" s="14"/>
      <c r="N126" s="14"/>
    </row>
    <row r="127" spans="1:14" x14ac:dyDescent="0.25">
      <c r="A127" s="13">
        <v>125</v>
      </c>
      <c r="B127" s="54"/>
      <c r="C127" s="54"/>
      <c r="D127" s="54"/>
      <c r="E127" s="54"/>
      <c r="F127" s="54"/>
      <c r="G127" s="54"/>
      <c r="H127" s="54"/>
      <c r="I127" s="54"/>
      <c r="J127" s="81"/>
      <c r="K127" s="81"/>
      <c r="L127" s="62"/>
      <c r="M127" s="14"/>
      <c r="N127" s="14"/>
    </row>
    <row r="128" spans="1:14" x14ac:dyDescent="0.25">
      <c r="A128" s="13">
        <v>126</v>
      </c>
      <c r="B128" s="54"/>
      <c r="C128" s="54"/>
      <c r="D128" s="54"/>
      <c r="E128" s="54"/>
      <c r="F128" s="54"/>
      <c r="G128" s="54"/>
      <c r="H128" s="54"/>
      <c r="I128" s="54"/>
      <c r="J128" s="81"/>
      <c r="K128" s="81"/>
      <c r="L128" s="62"/>
      <c r="M128" s="14"/>
      <c r="N128" s="14"/>
    </row>
    <row r="129" spans="1:14" x14ac:dyDescent="0.25">
      <c r="A129" s="13">
        <v>127</v>
      </c>
      <c r="B129" s="54"/>
      <c r="C129" s="54"/>
      <c r="D129" s="54"/>
      <c r="E129" s="54"/>
      <c r="F129" s="54"/>
      <c r="G129" s="54"/>
      <c r="H129" s="54"/>
      <c r="I129" s="54"/>
      <c r="J129" s="81"/>
      <c r="K129" s="81"/>
      <c r="L129" s="62"/>
      <c r="M129" s="14"/>
      <c r="N129" s="14"/>
    </row>
    <row r="130" spans="1:14" x14ac:dyDescent="0.25">
      <c r="A130" s="13">
        <v>128</v>
      </c>
      <c r="B130" s="54"/>
      <c r="C130" s="54"/>
      <c r="D130" s="54"/>
      <c r="E130" s="54"/>
      <c r="F130" s="54"/>
      <c r="G130" s="54"/>
      <c r="H130" s="54"/>
      <c r="I130" s="54"/>
      <c r="J130" s="81"/>
      <c r="K130" s="72"/>
      <c r="L130" s="62"/>
      <c r="M130" s="14"/>
      <c r="N130" s="14"/>
    </row>
    <row r="131" spans="1:14" x14ac:dyDescent="0.25">
      <c r="A131" s="13">
        <v>129</v>
      </c>
      <c r="B131" s="54"/>
      <c r="C131" s="54"/>
      <c r="D131" s="54"/>
      <c r="E131" s="54"/>
      <c r="F131" s="54"/>
      <c r="G131" s="54"/>
      <c r="H131" s="54"/>
      <c r="I131" s="54"/>
      <c r="J131" s="81"/>
      <c r="K131" s="72"/>
      <c r="L131" s="62"/>
      <c r="M131" s="14"/>
      <c r="N131" s="14"/>
    </row>
    <row r="132" spans="1:14" x14ac:dyDescent="0.25">
      <c r="A132" s="13">
        <v>130</v>
      </c>
      <c r="B132" s="54"/>
      <c r="C132" s="54"/>
      <c r="D132" s="54"/>
      <c r="E132" s="54"/>
      <c r="F132" s="54"/>
      <c r="G132" s="54"/>
      <c r="H132" s="54"/>
      <c r="I132" s="54"/>
      <c r="J132" s="81"/>
      <c r="K132" s="81"/>
      <c r="L132" s="62"/>
      <c r="M132" s="14"/>
      <c r="N132" s="14"/>
    </row>
    <row r="133" spans="1:14" x14ac:dyDescent="0.25">
      <c r="A133" s="13">
        <v>131</v>
      </c>
      <c r="B133" s="54"/>
      <c r="C133" s="54"/>
      <c r="D133" s="54"/>
      <c r="E133" s="54"/>
      <c r="F133" s="54"/>
      <c r="G133" s="54"/>
      <c r="H133" s="54"/>
      <c r="I133" s="54"/>
      <c r="J133" s="81"/>
      <c r="K133" s="81"/>
      <c r="L133" s="62"/>
      <c r="M133" s="14"/>
      <c r="N133" s="14"/>
    </row>
    <row r="134" spans="1:14" x14ac:dyDescent="0.25">
      <c r="A134" s="13">
        <v>132</v>
      </c>
      <c r="B134" s="54"/>
      <c r="C134" s="54"/>
      <c r="D134" s="54"/>
      <c r="E134" s="54"/>
      <c r="F134" s="54"/>
      <c r="G134" s="54"/>
      <c r="H134" s="54"/>
      <c r="I134" s="54"/>
      <c r="J134" s="81"/>
      <c r="K134" s="81"/>
      <c r="L134" s="62"/>
      <c r="M134" s="14"/>
      <c r="N134" s="14"/>
    </row>
    <row r="135" spans="1:14" x14ac:dyDescent="0.25">
      <c r="A135" s="13">
        <v>133</v>
      </c>
      <c r="B135" s="54"/>
      <c r="C135" s="54"/>
      <c r="D135" s="54"/>
      <c r="E135" s="54"/>
      <c r="F135" s="54"/>
      <c r="G135" s="54"/>
      <c r="H135" s="54"/>
      <c r="I135" s="54"/>
      <c r="J135" s="81"/>
      <c r="K135" s="81"/>
      <c r="L135" s="62"/>
      <c r="M135" s="14"/>
      <c r="N135" s="14"/>
    </row>
    <row r="136" spans="1:14" x14ac:dyDescent="0.25">
      <c r="A136" s="13">
        <v>134</v>
      </c>
      <c r="B136" s="54"/>
      <c r="C136" s="54"/>
      <c r="D136" s="54"/>
      <c r="E136" s="54"/>
      <c r="F136" s="54"/>
      <c r="G136" s="54"/>
      <c r="H136" s="54"/>
      <c r="I136" s="54"/>
      <c r="J136" s="81"/>
      <c r="K136" s="81"/>
      <c r="L136" s="62"/>
      <c r="M136" s="14"/>
      <c r="N136" s="14"/>
    </row>
    <row r="137" spans="1:14" x14ac:dyDescent="0.25">
      <c r="A137" s="13">
        <v>135</v>
      </c>
      <c r="B137" s="54"/>
      <c r="C137" s="54"/>
      <c r="D137" s="54"/>
      <c r="E137" s="54"/>
      <c r="F137" s="54"/>
      <c r="G137" s="54"/>
      <c r="H137" s="54"/>
      <c r="I137" s="54"/>
      <c r="J137" s="81"/>
      <c r="K137" s="81"/>
      <c r="L137" s="62"/>
      <c r="M137" s="14"/>
      <c r="N137" s="14"/>
    </row>
    <row r="138" spans="1:14" x14ac:dyDescent="0.25">
      <c r="A138" s="13">
        <v>136</v>
      </c>
      <c r="B138" s="54"/>
      <c r="C138" s="54"/>
      <c r="D138" s="54"/>
      <c r="E138" s="54"/>
      <c r="F138" s="54"/>
      <c r="G138" s="54"/>
      <c r="H138" s="54"/>
      <c r="I138" s="54"/>
      <c r="J138" s="81"/>
      <c r="K138" s="81"/>
      <c r="L138" s="62"/>
      <c r="M138" s="14"/>
      <c r="N138" s="14"/>
    </row>
    <row r="139" spans="1:14" x14ac:dyDescent="0.25">
      <c r="A139" s="13">
        <v>137</v>
      </c>
      <c r="B139" s="54"/>
      <c r="C139" s="54"/>
      <c r="D139" s="54"/>
      <c r="E139" s="54"/>
      <c r="F139" s="54"/>
      <c r="G139" s="54"/>
      <c r="H139" s="54"/>
      <c r="I139" s="54"/>
      <c r="J139" s="81"/>
      <c r="K139" s="81"/>
      <c r="L139" s="62"/>
      <c r="M139" s="14"/>
      <c r="N139" s="14"/>
    </row>
    <row r="140" spans="1:14" x14ac:dyDescent="0.25">
      <c r="A140" s="13">
        <v>138</v>
      </c>
      <c r="B140" s="54"/>
      <c r="C140" s="54"/>
      <c r="D140" s="54"/>
      <c r="E140" s="54"/>
      <c r="F140" s="54"/>
      <c r="G140" s="54"/>
      <c r="H140" s="54"/>
      <c r="I140" s="54"/>
      <c r="J140" s="81"/>
      <c r="K140" s="81"/>
      <c r="L140" s="62"/>
      <c r="M140" s="14"/>
      <c r="N140" s="14"/>
    </row>
    <row r="141" spans="1:14" x14ac:dyDescent="0.25">
      <c r="A141" s="13">
        <v>139</v>
      </c>
      <c r="B141" s="54"/>
      <c r="C141" s="54"/>
      <c r="D141" s="54"/>
      <c r="E141" s="54"/>
      <c r="F141" s="54"/>
      <c r="G141" s="54"/>
      <c r="H141" s="54"/>
      <c r="I141" s="54"/>
      <c r="J141" s="81"/>
      <c r="K141" s="81"/>
      <c r="L141" s="62"/>
      <c r="M141" s="14"/>
      <c r="N141" s="14"/>
    </row>
    <row r="142" spans="1:14" x14ac:dyDescent="0.25">
      <c r="A142" s="13">
        <v>140</v>
      </c>
      <c r="B142" s="54"/>
      <c r="C142" s="54"/>
      <c r="D142" s="54"/>
      <c r="E142" s="54"/>
      <c r="F142" s="54"/>
      <c r="G142" s="54"/>
      <c r="H142" s="54"/>
      <c r="I142" s="54"/>
      <c r="J142" s="81"/>
      <c r="K142" s="81"/>
      <c r="L142" s="62"/>
      <c r="M142" s="14"/>
      <c r="N142" s="14"/>
    </row>
    <row r="143" spans="1:14" x14ac:dyDescent="0.25">
      <c r="A143" s="13">
        <v>141</v>
      </c>
      <c r="B143" s="54"/>
      <c r="C143" s="54"/>
      <c r="D143" s="54"/>
      <c r="E143" s="54"/>
      <c r="F143" s="54"/>
      <c r="G143" s="54"/>
      <c r="H143" s="54"/>
      <c r="I143" s="54"/>
      <c r="J143" s="81"/>
      <c r="K143" s="81"/>
      <c r="L143" s="62"/>
      <c r="M143" s="14"/>
      <c r="N143" s="14"/>
    </row>
    <row r="144" spans="1:14" x14ac:dyDescent="0.25">
      <c r="A144" s="13">
        <v>142</v>
      </c>
      <c r="B144" s="54"/>
      <c r="C144" s="54"/>
      <c r="D144" s="54"/>
      <c r="E144" s="54"/>
      <c r="F144" s="54"/>
      <c r="G144" s="54"/>
      <c r="H144" s="54"/>
      <c r="I144" s="54"/>
      <c r="J144" s="81"/>
      <c r="K144" s="81"/>
      <c r="L144" s="62"/>
      <c r="M144" s="14"/>
      <c r="N144" s="14"/>
    </row>
    <row r="145" spans="1:14" x14ac:dyDescent="0.25">
      <c r="A145" s="13">
        <v>143</v>
      </c>
      <c r="B145" s="54"/>
      <c r="C145" s="54"/>
      <c r="D145" s="54"/>
      <c r="E145" s="54"/>
      <c r="F145" s="54"/>
      <c r="G145" s="54"/>
      <c r="H145" s="54"/>
      <c r="I145" s="54"/>
      <c r="J145" s="81"/>
      <c r="K145" s="81"/>
      <c r="L145" s="62"/>
      <c r="M145" s="14"/>
      <c r="N145" s="14"/>
    </row>
    <row r="146" spans="1:14" x14ac:dyDescent="0.25">
      <c r="A146" s="13">
        <v>144</v>
      </c>
      <c r="B146" s="54"/>
      <c r="C146" s="54"/>
      <c r="D146" s="54"/>
      <c r="E146" s="54"/>
      <c r="F146" s="54"/>
      <c r="G146" s="54"/>
      <c r="H146" s="54"/>
      <c r="I146" s="54"/>
      <c r="J146" s="81"/>
      <c r="K146" s="81"/>
      <c r="L146" s="62"/>
      <c r="M146" s="14"/>
      <c r="N146" s="14"/>
    </row>
    <row r="147" spans="1:14" x14ac:dyDescent="0.25">
      <c r="A147" s="13">
        <v>145</v>
      </c>
      <c r="B147" s="54"/>
      <c r="C147" s="54"/>
      <c r="D147" s="54"/>
      <c r="E147" s="54"/>
      <c r="F147" s="54"/>
      <c r="G147" s="54"/>
      <c r="H147" s="54"/>
      <c r="I147" s="54"/>
      <c r="J147" s="81"/>
      <c r="K147" s="81"/>
      <c r="L147" s="62"/>
      <c r="M147" s="14"/>
      <c r="N147" s="14"/>
    </row>
    <row r="148" spans="1:14" x14ac:dyDescent="0.25">
      <c r="A148" s="13">
        <v>146</v>
      </c>
      <c r="B148" s="54"/>
      <c r="C148" s="54"/>
      <c r="D148" s="54"/>
      <c r="E148" s="54"/>
      <c r="F148" s="54"/>
      <c r="G148" s="54"/>
      <c r="H148" s="54"/>
      <c r="I148" s="54"/>
      <c r="J148" s="81"/>
      <c r="K148" s="81"/>
      <c r="L148" s="62"/>
      <c r="M148" s="14"/>
      <c r="N148" s="14"/>
    </row>
    <row r="149" spans="1:14" ht="13.8" x14ac:dyDescent="0.25">
      <c r="H149" s="37"/>
      <c r="J149" s="37"/>
      <c r="K149" s="37"/>
      <c r="L149" s="11"/>
      <c r="M149" s="41"/>
      <c r="N149" s="11"/>
    </row>
    <row r="150" spans="1:14" x14ac:dyDescent="0.25">
      <c r="H150" s="37"/>
      <c r="I150" s="79"/>
      <c r="J150" s="70"/>
      <c r="K150" s="57"/>
      <c r="L150" s="11"/>
      <c r="M150" s="41"/>
      <c r="N150" s="11"/>
    </row>
    <row r="151" spans="1:14" x14ac:dyDescent="0.25">
      <c r="H151" s="37"/>
      <c r="I151" s="79"/>
      <c r="J151" s="70"/>
      <c r="K151" s="57"/>
      <c r="L151" s="11"/>
      <c r="M151" s="41"/>
      <c r="N151" s="11"/>
    </row>
    <row r="152" spans="1:14" x14ac:dyDescent="0.25">
      <c r="H152" s="37"/>
      <c r="I152" s="79"/>
      <c r="J152" s="70"/>
      <c r="K152" s="57"/>
      <c r="L152" s="11"/>
      <c r="M152" s="41"/>
      <c r="N152" s="11"/>
    </row>
    <row r="153" spans="1:14" x14ac:dyDescent="0.25">
      <c r="H153" s="37"/>
      <c r="I153" s="79"/>
      <c r="J153" s="70"/>
      <c r="K153" s="57"/>
      <c r="L153" s="11"/>
      <c r="M153" s="41"/>
      <c r="N153" s="11"/>
    </row>
    <row r="154" spans="1:14" x14ac:dyDescent="0.25">
      <c r="H154" s="37"/>
      <c r="I154" s="79"/>
      <c r="J154" s="70"/>
      <c r="K154" s="57"/>
      <c r="L154" s="11"/>
      <c r="M154" s="41"/>
      <c r="N154" s="11"/>
    </row>
    <row r="155" spans="1:14" x14ac:dyDescent="0.25">
      <c r="H155" s="37"/>
      <c r="I155" s="79"/>
      <c r="J155" s="70"/>
      <c r="K155" s="57"/>
      <c r="L155" s="11"/>
      <c r="M155" s="41"/>
      <c r="N155" s="11"/>
    </row>
    <row r="156" spans="1:14" x14ac:dyDescent="0.25">
      <c r="H156" s="37"/>
      <c r="I156" s="79"/>
      <c r="J156" s="70"/>
      <c r="K156" s="57"/>
      <c r="L156" s="11"/>
      <c r="M156" s="41"/>
      <c r="N156" s="11"/>
    </row>
    <row r="157" spans="1:14" x14ac:dyDescent="0.25">
      <c r="H157" s="37"/>
      <c r="I157" s="79"/>
      <c r="J157" s="70"/>
      <c r="K157" s="57"/>
      <c r="L157" s="11"/>
      <c r="M157" s="41"/>
      <c r="N157" s="11"/>
    </row>
    <row r="158" spans="1:14" x14ac:dyDescent="0.25">
      <c r="H158" s="37"/>
      <c r="I158" s="79"/>
      <c r="J158" s="70"/>
      <c r="K158" s="57"/>
      <c r="L158" s="11"/>
      <c r="M158" s="41"/>
      <c r="N158" s="11"/>
    </row>
    <row r="159" spans="1:14" x14ac:dyDescent="0.25">
      <c r="H159" s="37"/>
      <c r="I159" s="79"/>
      <c r="J159" s="70"/>
      <c r="K159" s="57"/>
      <c r="L159" s="11"/>
      <c r="M159" s="41"/>
      <c r="N159" s="11"/>
    </row>
    <row r="160" spans="1:14" x14ac:dyDescent="0.25">
      <c r="H160" s="37"/>
      <c r="I160" s="79"/>
      <c r="J160" s="70"/>
      <c r="K160" s="57"/>
      <c r="L160" s="11"/>
      <c r="M160" s="41"/>
      <c r="N160" s="11"/>
    </row>
    <row r="161" spans="8:14" x14ac:dyDescent="0.25">
      <c r="H161" s="37"/>
      <c r="I161" s="79"/>
      <c r="J161" s="70"/>
      <c r="K161" s="57"/>
      <c r="L161" s="11"/>
      <c r="M161" s="41"/>
      <c r="N161" s="11"/>
    </row>
    <row r="162" spans="8:14" x14ac:dyDescent="0.25">
      <c r="H162" s="37"/>
      <c r="I162" s="79"/>
      <c r="J162" s="70"/>
      <c r="K162" s="57"/>
      <c r="L162" s="11"/>
      <c r="M162" s="41"/>
      <c r="N162" s="11"/>
    </row>
    <row r="163" spans="8:14" x14ac:dyDescent="0.25">
      <c r="H163" s="37"/>
      <c r="I163" s="79"/>
      <c r="J163" s="70"/>
      <c r="K163" s="57"/>
      <c r="L163" s="11"/>
      <c r="M163" s="41"/>
      <c r="N163" s="11"/>
    </row>
    <row r="164" spans="8:14" x14ac:dyDescent="0.25">
      <c r="H164" s="37"/>
      <c r="I164" s="79"/>
      <c r="J164" s="70"/>
      <c r="K164" s="57"/>
      <c r="L164" s="11"/>
      <c r="M164" s="41"/>
      <c r="N164" s="11"/>
    </row>
    <row r="165" spans="8:14" x14ac:dyDescent="0.25">
      <c r="H165" s="37"/>
      <c r="I165" s="79"/>
      <c r="J165" s="70"/>
      <c r="K165" s="57"/>
      <c r="L165" s="11"/>
      <c r="M165" s="41"/>
      <c r="N165" s="11"/>
    </row>
    <row r="166" spans="8:14" x14ac:dyDescent="0.25">
      <c r="H166" s="37"/>
      <c r="I166" s="79"/>
      <c r="J166" s="70"/>
      <c r="K166" s="57"/>
      <c r="L166" s="11"/>
      <c r="M166" s="41"/>
      <c r="N166" s="11"/>
    </row>
    <row r="167" spans="8:14" x14ac:dyDescent="0.25">
      <c r="H167" s="37"/>
      <c r="I167" s="79"/>
      <c r="J167" s="70"/>
      <c r="K167" s="57"/>
      <c r="L167" s="11"/>
      <c r="M167" s="41"/>
      <c r="N167" s="11"/>
    </row>
    <row r="168" spans="8:14" x14ac:dyDescent="0.25">
      <c r="H168" s="37"/>
      <c r="I168" s="79"/>
      <c r="J168" s="70"/>
      <c r="K168" s="57"/>
      <c r="L168" s="11"/>
      <c r="M168" s="41"/>
      <c r="N168" s="11"/>
    </row>
    <row r="169" spans="8:14" x14ac:dyDescent="0.25">
      <c r="H169" s="37"/>
      <c r="I169" s="79"/>
      <c r="J169" s="70"/>
      <c r="K169" s="57"/>
      <c r="L169" s="11"/>
      <c r="M169" s="41"/>
      <c r="N169" s="11"/>
    </row>
    <row r="170" spans="8:14" x14ac:dyDescent="0.25">
      <c r="H170" s="37"/>
      <c r="I170" s="79"/>
      <c r="J170" s="70"/>
      <c r="K170" s="57"/>
      <c r="L170" s="11"/>
      <c r="M170" s="41"/>
      <c r="N170" s="11"/>
    </row>
    <row r="171" spans="8:14" x14ac:dyDescent="0.25">
      <c r="H171" s="37"/>
      <c r="I171" s="79"/>
      <c r="J171" s="70"/>
      <c r="K171" s="57"/>
      <c r="L171" s="11"/>
      <c r="M171" s="41"/>
      <c r="N171" s="11"/>
    </row>
    <row r="172" spans="8:14" x14ac:dyDescent="0.25">
      <c r="H172" s="37"/>
      <c r="I172" s="79"/>
      <c r="J172" s="70"/>
      <c r="K172" s="57"/>
      <c r="L172" s="11"/>
      <c r="M172" s="41"/>
      <c r="N172" s="11"/>
    </row>
    <row r="173" spans="8:14" x14ac:dyDescent="0.25">
      <c r="H173" s="37"/>
      <c r="I173" s="79"/>
      <c r="J173" s="70"/>
      <c r="K173" s="57"/>
      <c r="L173" s="11"/>
      <c r="M173" s="41"/>
      <c r="N173" s="11"/>
    </row>
    <row r="174" spans="8:14" x14ac:dyDescent="0.25">
      <c r="H174" s="37"/>
      <c r="I174" s="79"/>
      <c r="J174" s="70"/>
      <c r="K174" s="57"/>
      <c r="L174" s="11"/>
      <c r="M174" s="41"/>
      <c r="N174" s="11"/>
    </row>
    <row r="175" spans="8:14" x14ac:dyDescent="0.25">
      <c r="H175" s="37"/>
      <c r="I175" s="79"/>
      <c r="J175" s="70"/>
      <c r="K175" s="57"/>
      <c r="L175" s="11"/>
      <c r="M175" s="41"/>
      <c r="N175" s="11"/>
    </row>
    <row r="176" spans="8:14" x14ac:dyDescent="0.25">
      <c r="H176" s="37"/>
      <c r="I176" s="79"/>
      <c r="J176" s="70"/>
      <c r="K176" s="57"/>
      <c r="L176" s="11"/>
      <c r="M176" s="41"/>
      <c r="N176" s="11"/>
    </row>
    <row r="177" spans="8:14" x14ac:dyDescent="0.25">
      <c r="H177" s="37"/>
      <c r="I177" s="79"/>
      <c r="J177" s="70"/>
      <c r="K177" s="57"/>
      <c r="L177" s="11"/>
      <c r="M177" s="41"/>
      <c r="N177" s="11"/>
    </row>
    <row r="178" spans="8:14" x14ac:dyDescent="0.25">
      <c r="H178" s="37"/>
      <c r="I178" s="79"/>
      <c r="J178" s="70"/>
      <c r="K178" s="57"/>
      <c r="L178" s="11"/>
      <c r="M178" s="41"/>
      <c r="N178" s="11"/>
    </row>
    <row r="179" spans="8:14" x14ac:dyDescent="0.25">
      <c r="H179" s="37"/>
      <c r="I179" s="79"/>
      <c r="J179" s="70"/>
      <c r="K179" s="57"/>
      <c r="L179" s="11"/>
      <c r="M179" s="41"/>
      <c r="N179" s="11"/>
    </row>
    <row r="180" spans="8:14" x14ac:dyDescent="0.25">
      <c r="H180" s="37"/>
      <c r="I180" s="79"/>
      <c r="J180" s="70"/>
      <c r="K180" s="57"/>
      <c r="L180" s="11"/>
      <c r="M180" s="41"/>
      <c r="N180" s="11"/>
    </row>
    <row r="181" spans="8:14" x14ac:dyDescent="0.25">
      <c r="H181" s="37"/>
      <c r="I181" s="79"/>
      <c r="J181" s="70"/>
      <c r="K181" s="57"/>
      <c r="L181" s="11"/>
      <c r="M181" s="41"/>
      <c r="N181" s="11"/>
    </row>
    <row r="182" spans="8:14" x14ac:dyDescent="0.25">
      <c r="H182" s="37"/>
      <c r="I182" s="79"/>
      <c r="J182" s="70"/>
      <c r="K182" s="57"/>
      <c r="L182" s="11"/>
      <c r="M182" s="41"/>
      <c r="N182" s="11"/>
    </row>
    <row r="183" spans="8:14" x14ac:dyDescent="0.25">
      <c r="H183" s="37"/>
      <c r="I183" s="79"/>
      <c r="J183" s="70"/>
      <c r="K183" s="57"/>
      <c r="L183" s="11"/>
      <c r="M183" s="41"/>
      <c r="N183" s="11"/>
    </row>
    <row r="184" spans="8:14" x14ac:dyDescent="0.25">
      <c r="H184" s="37"/>
      <c r="I184" s="79"/>
      <c r="J184" s="70"/>
      <c r="K184" s="57"/>
      <c r="L184" s="11"/>
      <c r="M184" s="41"/>
      <c r="N184" s="11"/>
    </row>
    <row r="185" spans="8:14" x14ac:dyDescent="0.25">
      <c r="H185" s="37"/>
      <c r="I185" s="79"/>
      <c r="J185" s="70"/>
      <c r="K185" s="57"/>
      <c r="L185" s="11"/>
      <c r="M185" s="41"/>
      <c r="N185" s="11"/>
    </row>
    <row r="186" spans="8:14" x14ac:dyDescent="0.25">
      <c r="H186" s="37"/>
      <c r="I186" s="79"/>
      <c r="J186" s="70"/>
      <c r="K186" s="57"/>
      <c r="L186" s="11"/>
      <c r="M186" s="41"/>
      <c r="N186" s="11"/>
    </row>
    <row r="187" spans="8:14" x14ac:dyDescent="0.25">
      <c r="H187" s="37"/>
      <c r="I187" s="79"/>
      <c r="J187" s="70"/>
      <c r="K187" s="57"/>
      <c r="L187" s="11"/>
      <c r="M187" s="41"/>
      <c r="N187" s="11"/>
    </row>
    <row r="188" spans="8:14" x14ac:dyDescent="0.25">
      <c r="H188" s="37"/>
      <c r="I188" s="79"/>
      <c r="J188" s="70"/>
      <c r="K188" s="57"/>
      <c r="L188" s="11"/>
      <c r="M188" s="41"/>
      <c r="N188" s="11"/>
    </row>
    <row r="189" spans="8:14" x14ac:dyDescent="0.25">
      <c r="H189" s="37"/>
      <c r="I189" s="79"/>
      <c r="J189" s="70"/>
      <c r="K189" s="57"/>
      <c r="L189" s="11"/>
      <c r="M189" s="41"/>
      <c r="N189" s="11"/>
    </row>
    <row r="190" spans="8:14" x14ac:dyDescent="0.25">
      <c r="H190" s="37"/>
      <c r="I190" s="79"/>
      <c r="J190" s="70"/>
      <c r="K190" s="57"/>
      <c r="L190" s="11"/>
      <c r="M190" s="41"/>
      <c r="N190" s="11"/>
    </row>
    <row r="191" spans="8:14" x14ac:dyDescent="0.25">
      <c r="H191" s="37"/>
      <c r="I191" s="79"/>
      <c r="J191" s="70"/>
      <c r="K191" s="57"/>
      <c r="L191" s="11"/>
      <c r="M191" s="41"/>
      <c r="N191" s="11"/>
    </row>
    <row r="192" spans="8:14" x14ac:dyDescent="0.25">
      <c r="H192" s="37"/>
      <c r="I192" s="79"/>
      <c r="J192" s="70"/>
      <c r="K192" s="57"/>
      <c r="L192" s="11"/>
      <c r="M192" s="41"/>
      <c r="N192" s="11"/>
    </row>
    <row r="193" spans="8:14" x14ac:dyDescent="0.25">
      <c r="H193" s="37"/>
      <c r="I193" s="79"/>
      <c r="J193" s="70"/>
      <c r="K193" s="57"/>
      <c r="L193" s="11"/>
      <c r="M193" s="41"/>
      <c r="N193" s="11"/>
    </row>
    <row r="194" spans="8:14" x14ac:dyDescent="0.25">
      <c r="H194" s="37"/>
      <c r="I194" s="79"/>
      <c r="J194" s="70"/>
      <c r="K194" s="57"/>
      <c r="L194" s="11"/>
      <c r="M194" s="41"/>
      <c r="N194" s="11"/>
    </row>
    <row r="195" spans="8:14" x14ac:dyDescent="0.25">
      <c r="H195" s="37"/>
      <c r="I195" s="79"/>
      <c r="J195" s="70"/>
      <c r="K195" s="57"/>
      <c r="L195" s="11"/>
      <c r="M195" s="41"/>
      <c r="N195" s="11"/>
    </row>
    <row r="196" spans="8:14" x14ac:dyDescent="0.25">
      <c r="H196" s="37"/>
      <c r="I196" s="79"/>
      <c r="J196" s="70"/>
      <c r="K196" s="57"/>
      <c r="L196" s="11"/>
      <c r="M196" s="41"/>
      <c r="N196" s="11"/>
    </row>
    <row r="197" spans="8:14" x14ac:dyDescent="0.25">
      <c r="H197" s="37"/>
      <c r="I197" s="79"/>
      <c r="J197" s="70"/>
      <c r="K197" s="57"/>
      <c r="L197" s="11"/>
      <c r="M197" s="41"/>
      <c r="N197" s="11"/>
    </row>
    <row r="198" spans="8:14" x14ac:dyDescent="0.25">
      <c r="H198" s="37"/>
      <c r="I198" s="79"/>
      <c r="J198" s="70"/>
      <c r="K198" s="57"/>
      <c r="L198" s="11"/>
      <c r="M198" s="41"/>
      <c r="N198" s="11"/>
    </row>
    <row r="199" spans="8:14" x14ac:dyDescent="0.25">
      <c r="H199" s="37"/>
      <c r="I199" s="79"/>
      <c r="J199" s="70"/>
      <c r="K199" s="57"/>
      <c r="L199" s="11"/>
      <c r="M199" s="41"/>
      <c r="N199" s="11"/>
    </row>
    <row r="200" spans="8:14" x14ac:dyDescent="0.25">
      <c r="H200" s="37"/>
      <c r="I200" s="79"/>
      <c r="J200" s="70"/>
      <c r="K200" s="57"/>
      <c r="L200" s="11"/>
      <c r="M200" s="41"/>
      <c r="N200" s="11"/>
    </row>
    <row r="201" spans="8:14" x14ac:dyDescent="0.25">
      <c r="H201" s="37"/>
      <c r="I201" s="79"/>
      <c r="J201" s="70"/>
      <c r="K201" s="57"/>
      <c r="L201" s="11"/>
      <c r="M201" s="41"/>
      <c r="N201" s="11"/>
    </row>
    <row r="202" spans="8:14" x14ac:dyDescent="0.25">
      <c r="H202" s="37"/>
      <c r="I202" s="79"/>
      <c r="J202" s="70"/>
      <c r="K202" s="57"/>
      <c r="L202" s="11"/>
      <c r="M202" s="41"/>
      <c r="N202" s="11"/>
    </row>
    <row r="203" spans="8:14" x14ac:dyDescent="0.25">
      <c r="H203" s="37"/>
      <c r="I203" s="79"/>
      <c r="J203" s="70"/>
      <c r="K203" s="57"/>
      <c r="L203" s="11"/>
      <c r="M203" s="41"/>
      <c r="N203" s="11"/>
    </row>
    <row r="204" spans="8:14" x14ac:dyDescent="0.25">
      <c r="H204" s="37"/>
      <c r="I204" s="79"/>
      <c r="J204" s="70"/>
      <c r="K204" s="57"/>
      <c r="L204" s="11"/>
      <c r="M204" s="41"/>
      <c r="N204" s="11"/>
    </row>
    <row r="205" spans="8:14" x14ac:dyDescent="0.25">
      <c r="H205" s="37"/>
      <c r="I205" s="79"/>
      <c r="J205" s="70"/>
      <c r="K205" s="57"/>
      <c r="L205" s="11"/>
      <c r="M205" s="41"/>
      <c r="N205" s="11"/>
    </row>
    <row r="206" spans="8:14" x14ac:dyDescent="0.25">
      <c r="H206" s="37"/>
      <c r="I206" s="79"/>
      <c r="J206" s="70"/>
      <c r="K206" s="57"/>
      <c r="L206" s="11"/>
      <c r="M206" s="41"/>
      <c r="N206" s="11"/>
    </row>
    <row r="207" spans="8:14" x14ac:dyDescent="0.25">
      <c r="H207" s="37"/>
      <c r="I207" s="79"/>
      <c r="J207" s="70"/>
      <c r="K207" s="57"/>
      <c r="L207" s="11"/>
      <c r="M207" s="41"/>
      <c r="N207" s="11"/>
    </row>
    <row r="208" spans="8:14" x14ac:dyDescent="0.25">
      <c r="H208" s="37"/>
      <c r="I208" s="79"/>
      <c r="J208" s="70"/>
      <c r="K208" s="57"/>
      <c r="L208" s="11"/>
      <c r="M208" s="41"/>
      <c r="N208" s="11"/>
    </row>
    <row r="209" spans="8:14" x14ac:dyDescent="0.25">
      <c r="H209" s="37"/>
      <c r="I209" s="79"/>
      <c r="J209" s="70"/>
      <c r="K209" s="57"/>
      <c r="L209" s="11"/>
      <c r="M209" s="41"/>
      <c r="N209" s="11"/>
    </row>
    <row r="210" spans="8:14" x14ac:dyDescent="0.25">
      <c r="H210" s="37"/>
      <c r="I210" s="79"/>
      <c r="J210" s="70"/>
      <c r="K210" s="57"/>
      <c r="L210" s="11"/>
      <c r="M210" s="41"/>
      <c r="N210" s="11"/>
    </row>
    <row r="211" spans="8:14" x14ac:dyDescent="0.25">
      <c r="H211" s="37"/>
      <c r="I211" s="79"/>
      <c r="J211" s="70"/>
      <c r="K211" s="57"/>
      <c r="L211" s="11"/>
      <c r="M211" s="41"/>
      <c r="N211" s="11"/>
    </row>
    <row r="212" spans="8:14" x14ac:dyDescent="0.25">
      <c r="H212" s="37"/>
      <c r="I212" s="79"/>
      <c r="J212" s="70"/>
      <c r="K212" s="57"/>
      <c r="L212" s="11"/>
      <c r="M212" s="41"/>
      <c r="N212" s="11"/>
    </row>
    <row r="213" spans="8:14" x14ac:dyDescent="0.25">
      <c r="H213" s="37"/>
      <c r="I213" s="79"/>
      <c r="J213" s="70"/>
      <c r="K213" s="57"/>
      <c r="L213" s="11"/>
      <c r="M213" s="41"/>
      <c r="N213" s="11"/>
    </row>
    <row r="214" spans="8:14" x14ac:dyDescent="0.25">
      <c r="H214" s="37"/>
      <c r="I214" s="79"/>
      <c r="J214" s="70"/>
      <c r="K214" s="57"/>
      <c r="L214" s="11"/>
      <c r="M214" s="41"/>
      <c r="N214" s="11"/>
    </row>
    <row r="215" spans="8:14" x14ac:dyDescent="0.25">
      <c r="H215" s="37"/>
      <c r="I215" s="79"/>
      <c r="J215" s="70"/>
      <c r="K215" s="57"/>
      <c r="L215" s="11"/>
      <c r="M215" s="41"/>
      <c r="N215" s="11"/>
    </row>
    <row r="216" spans="8:14" x14ac:dyDescent="0.25">
      <c r="H216" s="37"/>
      <c r="I216" s="79"/>
      <c r="J216" s="70"/>
      <c r="K216" s="57"/>
      <c r="L216" s="11"/>
      <c r="M216" s="41"/>
      <c r="N216" s="11"/>
    </row>
    <row r="217" spans="8:14" x14ac:dyDescent="0.25">
      <c r="H217" s="37"/>
      <c r="I217" s="79"/>
      <c r="J217" s="70"/>
      <c r="K217" s="57"/>
      <c r="L217" s="11"/>
      <c r="M217" s="41"/>
      <c r="N217" s="11"/>
    </row>
    <row r="218" spans="8:14" x14ac:dyDescent="0.25">
      <c r="H218" s="37"/>
      <c r="I218" s="79"/>
      <c r="J218" s="70"/>
      <c r="K218" s="57"/>
      <c r="L218" s="11"/>
      <c r="M218" s="41"/>
      <c r="N218" s="11"/>
    </row>
    <row r="219" spans="8:14" x14ac:dyDescent="0.25">
      <c r="H219" s="37"/>
      <c r="I219" s="79"/>
      <c r="J219" s="70"/>
      <c r="K219" s="57"/>
      <c r="L219" s="11"/>
      <c r="M219" s="41"/>
      <c r="N219" s="11"/>
    </row>
    <row r="220" spans="8:14" x14ac:dyDescent="0.25">
      <c r="H220" s="37"/>
      <c r="I220" s="79"/>
      <c r="J220" s="70"/>
      <c r="K220" s="57"/>
      <c r="L220" s="11"/>
      <c r="M220" s="41"/>
      <c r="N220" s="11"/>
    </row>
    <row r="221" spans="8:14" x14ac:dyDescent="0.25">
      <c r="H221" s="37"/>
      <c r="I221" s="79"/>
      <c r="J221" s="70"/>
      <c r="K221" s="57"/>
      <c r="L221" s="11"/>
      <c r="M221" s="41"/>
      <c r="N221" s="11"/>
    </row>
    <row r="222" spans="8:14" x14ac:dyDescent="0.25">
      <c r="H222" s="37"/>
      <c r="I222" s="79"/>
      <c r="J222" s="70"/>
      <c r="K222" s="57"/>
      <c r="L222" s="11"/>
      <c r="M222" s="41"/>
      <c r="N222" s="11"/>
    </row>
    <row r="223" spans="8:14" x14ac:dyDescent="0.25">
      <c r="H223" s="37"/>
      <c r="I223" s="79"/>
      <c r="J223" s="70"/>
      <c r="K223" s="57"/>
      <c r="L223" s="11"/>
      <c r="M223" s="41"/>
      <c r="N223" s="11"/>
    </row>
    <row r="224" spans="8:14" x14ac:dyDescent="0.25">
      <c r="H224" s="37"/>
      <c r="I224" s="79"/>
      <c r="J224" s="70"/>
      <c r="K224" s="57"/>
      <c r="L224" s="11"/>
      <c r="M224" s="41"/>
      <c r="N224" s="11"/>
    </row>
    <row r="225" spans="8:14" x14ac:dyDescent="0.25">
      <c r="H225" s="37"/>
      <c r="I225" s="79"/>
      <c r="J225" s="70"/>
      <c r="K225" s="57"/>
      <c r="L225" s="11"/>
      <c r="M225" s="41"/>
      <c r="N225" s="11"/>
    </row>
    <row r="226" spans="8:14" x14ac:dyDescent="0.25">
      <c r="H226" s="37"/>
      <c r="I226" s="79"/>
      <c r="J226" s="70"/>
      <c r="K226" s="57"/>
      <c r="L226" s="11"/>
      <c r="M226" s="41"/>
      <c r="N226" s="11"/>
    </row>
    <row r="227" spans="8:14" x14ac:dyDescent="0.25">
      <c r="H227" s="37"/>
      <c r="I227" s="79"/>
      <c r="J227" s="70"/>
      <c r="K227" s="57"/>
      <c r="L227" s="11"/>
      <c r="M227" s="41"/>
      <c r="N227" s="11"/>
    </row>
    <row r="228" spans="8:14" x14ac:dyDescent="0.25">
      <c r="H228" s="37"/>
      <c r="I228" s="79"/>
      <c r="J228" s="70"/>
      <c r="K228" s="57"/>
      <c r="L228" s="11"/>
      <c r="M228" s="41"/>
      <c r="N228" s="11"/>
    </row>
    <row r="229" spans="8:14" x14ac:dyDescent="0.25">
      <c r="H229" s="37"/>
      <c r="I229" s="79"/>
      <c r="J229" s="70"/>
      <c r="K229" s="57"/>
      <c r="L229" s="11"/>
      <c r="M229" s="41"/>
      <c r="N229" s="11"/>
    </row>
    <row r="230" spans="8:14" x14ac:dyDescent="0.25">
      <c r="H230" s="37"/>
      <c r="I230" s="79"/>
      <c r="J230" s="70"/>
      <c r="K230" s="57"/>
      <c r="L230" s="11"/>
      <c r="M230" s="41"/>
      <c r="N230" s="11"/>
    </row>
    <row r="231" spans="8:14" x14ac:dyDescent="0.25">
      <c r="H231" s="37"/>
      <c r="I231" s="79"/>
      <c r="J231" s="70"/>
      <c r="K231" s="57"/>
      <c r="L231" s="11"/>
      <c r="M231" s="41"/>
      <c r="N231" s="11"/>
    </row>
    <row r="232" spans="8:14" x14ac:dyDescent="0.25">
      <c r="H232" s="37"/>
      <c r="I232" s="79"/>
      <c r="J232" s="70"/>
      <c r="K232" s="57"/>
      <c r="L232" s="11"/>
      <c r="M232" s="41"/>
      <c r="N232" s="11"/>
    </row>
    <row r="233" spans="8:14" x14ac:dyDescent="0.25">
      <c r="H233" s="37"/>
      <c r="I233" s="79"/>
      <c r="J233" s="70"/>
      <c r="K233" s="57"/>
      <c r="L233" s="11"/>
      <c r="M233" s="41"/>
      <c r="N233" s="11"/>
    </row>
    <row r="234" spans="8:14" x14ac:dyDescent="0.25">
      <c r="H234" s="37"/>
      <c r="I234" s="79"/>
      <c r="J234" s="70"/>
      <c r="K234" s="57"/>
      <c r="L234" s="11"/>
      <c r="M234" s="41"/>
      <c r="N234" s="11"/>
    </row>
    <row r="235" spans="8:14" x14ac:dyDescent="0.25">
      <c r="H235" s="37"/>
      <c r="I235" s="79"/>
      <c r="J235" s="70"/>
      <c r="K235" s="57"/>
      <c r="L235" s="11"/>
      <c r="M235" s="41"/>
      <c r="N235" s="11"/>
    </row>
    <row r="236" spans="8:14" x14ac:dyDescent="0.25">
      <c r="H236" s="37"/>
      <c r="I236" s="79"/>
      <c r="J236" s="70"/>
      <c r="K236" s="57"/>
      <c r="L236" s="11"/>
      <c r="M236" s="41"/>
      <c r="N236" s="11"/>
    </row>
    <row r="237" spans="8:14" x14ac:dyDescent="0.25">
      <c r="H237" s="37"/>
      <c r="I237" s="79"/>
      <c r="J237" s="70"/>
      <c r="K237" s="57"/>
      <c r="L237" s="11"/>
      <c r="M237" s="41"/>
      <c r="N237" s="11"/>
    </row>
    <row r="238" spans="8:14" x14ac:dyDescent="0.25">
      <c r="H238" s="37"/>
      <c r="I238" s="79"/>
      <c r="J238" s="70"/>
      <c r="K238" s="57"/>
      <c r="L238" s="11"/>
      <c r="M238" s="41"/>
      <c r="N238" s="11"/>
    </row>
    <row r="239" spans="8:14" x14ac:dyDescent="0.25">
      <c r="H239" s="37"/>
      <c r="I239" s="79"/>
      <c r="J239" s="70"/>
      <c r="K239" s="57"/>
      <c r="L239" s="11"/>
      <c r="M239" s="41"/>
      <c r="N239" s="11"/>
    </row>
    <row r="240" spans="8:14" x14ac:dyDescent="0.25">
      <c r="H240" s="37"/>
      <c r="I240" s="79"/>
      <c r="J240" s="70"/>
      <c r="K240" s="57"/>
      <c r="L240" s="11"/>
      <c r="M240" s="41"/>
      <c r="N240" s="11"/>
    </row>
    <row r="241" spans="8:14" x14ac:dyDescent="0.25">
      <c r="H241" s="37"/>
      <c r="I241" s="79"/>
      <c r="J241" s="70"/>
      <c r="K241" s="57"/>
      <c r="L241" s="11"/>
      <c r="M241" s="41"/>
      <c r="N241" s="11"/>
    </row>
    <row r="242" spans="8:14" x14ac:dyDescent="0.25">
      <c r="H242" s="37"/>
      <c r="I242" s="79"/>
      <c r="J242" s="70"/>
      <c r="K242" s="57"/>
      <c r="L242" s="11"/>
      <c r="M242" s="41"/>
      <c r="N242" s="11"/>
    </row>
    <row r="243" spans="8:14" x14ac:dyDescent="0.25">
      <c r="H243" s="37"/>
      <c r="I243" s="79"/>
      <c r="J243" s="70"/>
      <c r="K243" s="57"/>
      <c r="L243" s="11"/>
      <c r="M243" s="41"/>
      <c r="N243" s="11"/>
    </row>
    <row r="244" spans="8:14" x14ac:dyDescent="0.25">
      <c r="H244" s="37"/>
      <c r="I244" s="79"/>
      <c r="J244" s="70"/>
      <c r="K244" s="57"/>
      <c r="L244" s="11"/>
      <c r="M244" s="41"/>
      <c r="N244" s="11"/>
    </row>
    <row r="245" spans="8:14" x14ac:dyDescent="0.25">
      <c r="H245" s="37"/>
      <c r="I245" s="79"/>
      <c r="J245" s="70"/>
      <c r="K245" s="57"/>
      <c r="L245" s="11"/>
      <c r="M245" s="41"/>
      <c r="N245" s="11"/>
    </row>
    <row r="246" spans="8:14" x14ac:dyDescent="0.25">
      <c r="H246" s="37"/>
      <c r="I246" s="79"/>
      <c r="J246" s="70"/>
      <c r="K246" s="57"/>
      <c r="L246" s="11"/>
      <c r="M246" s="41"/>
      <c r="N246" s="11"/>
    </row>
    <row r="247" spans="8:14" x14ac:dyDescent="0.25">
      <c r="H247" s="37"/>
      <c r="I247" s="79"/>
      <c r="J247" s="70"/>
      <c r="K247" s="57"/>
      <c r="L247" s="11"/>
      <c r="M247" s="41"/>
      <c r="N247" s="11"/>
    </row>
    <row r="248" spans="8:14" x14ac:dyDescent="0.25">
      <c r="H248" s="37"/>
      <c r="I248" s="79"/>
      <c r="J248" s="70"/>
      <c r="K248" s="57"/>
      <c r="L248" s="11"/>
      <c r="M248" s="41"/>
      <c r="N248" s="11"/>
    </row>
    <row r="249" spans="8:14" x14ac:dyDescent="0.25">
      <c r="H249" s="37"/>
      <c r="I249" s="79"/>
      <c r="J249" s="70"/>
      <c r="K249" s="57"/>
      <c r="L249" s="11"/>
      <c r="M249" s="41"/>
      <c r="N249" s="11"/>
    </row>
    <row r="250" spans="8:14" x14ac:dyDescent="0.25">
      <c r="H250" s="37"/>
      <c r="I250" s="79"/>
      <c r="J250" s="70"/>
      <c r="K250" s="57"/>
      <c r="L250" s="11"/>
      <c r="M250" s="41"/>
      <c r="N250" s="11"/>
    </row>
    <row r="251" spans="8:14" x14ac:dyDescent="0.25">
      <c r="H251" s="37"/>
      <c r="I251" s="79"/>
      <c r="J251" s="70"/>
      <c r="K251" s="57"/>
      <c r="L251" s="11"/>
      <c r="M251" s="41"/>
      <c r="N251" s="11"/>
    </row>
    <row r="252" spans="8:14" x14ac:dyDescent="0.25">
      <c r="H252" s="37"/>
      <c r="I252" s="79"/>
      <c r="J252" s="70"/>
      <c r="K252" s="57"/>
      <c r="L252" s="11"/>
      <c r="M252" s="41"/>
      <c r="N252" s="11"/>
    </row>
    <row r="253" spans="8:14" x14ac:dyDescent="0.25">
      <c r="H253" s="37"/>
      <c r="I253" s="79"/>
      <c r="J253" s="70"/>
      <c r="K253" s="57"/>
      <c r="L253" s="11"/>
      <c r="M253" s="41"/>
      <c r="N253" s="11"/>
    </row>
    <row r="254" spans="8:14" x14ac:dyDescent="0.25">
      <c r="H254" s="37"/>
      <c r="I254" s="79"/>
      <c r="J254" s="70"/>
      <c r="K254" s="57"/>
      <c r="L254" s="11"/>
      <c r="M254" s="41"/>
      <c r="N254" s="11"/>
    </row>
    <row r="255" spans="8:14" x14ac:dyDescent="0.25">
      <c r="H255" s="37"/>
      <c r="I255" s="79"/>
      <c r="J255" s="70"/>
      <c r="K255" s="57"/>
      <c r="L255" s="11"/>
      <c r="M255" s="41"/>
      <c r="N255" s="11"/>
    </row>
    <row r="256" spans="8:14" x14ac:dyDescent="0.25">
      <c r="H256" s="37"/>
      <c r="I256" s="79"/>
      <c r="J256" s="70"/>
      <c r="K256" s="57"/>
      <c r="L256" s="11"/>
      <c r="M256" s="41"/>
      <c r="N256" s="11"/>
    </row>
    <row r="257" spans="8:14" x14ac:dyDescent="0.25">
      <c r="H257" s="37"/>
      <c r="I257" s="79"/>
      <c r="J257" s="70"/>
      <c r="K257" s="57"/>
      <c r="L257" s="11"/>
      <c r="M257" s="41"/>
      <c r="N257" s="11"/>
    </row>
    <row r="258" spans="8:14" x14ac:dyDescent="0.25">
      <c r="H258" s="37"/>
      <c r="I258" s="79"/>
      <c r="J258" s="70"/>
      <c r="K258" s="57"/>
      <c r="L258" s="11"/>
      <c r="M258" s="41"/>
      <c r="N258" s="11"/>
    </row>
    <row r="259" spans="8:14" x14ac:dyDescent="0.25">
      <c r="H259" s="37"/>
      <c r="I259" s="79"/>
      <c r="J259" s="70"/>
      <c r="K259" s="57"/>
      <c r="L259" s="11"/>
      <c r="M259" s="41"/>
      <c r="N259" s="11"/>
    </row>
    <row r="260" spans="8:14" x14ac:dyDescent="0.25">
      <c r="H260" s="37"/>
      <c r="I260" s="79"/>
      <c r="J260" s="70"/>
      <c r="K260" s="57"/>
      <c r="L260" s="11"/>
      <c r="M260" s="41"/>
      <c r="N260" s="11"/>
    </row>
    <row r="261" spans="8:14" x14ac:dyDescent="0.25">
      <c r="H261" s="37"/>
      <c r="I261" s="79"/>
      <c r="J261" s="70"/>
      <c r="K261" s="57"/>
      <c r="L261" s="11"/>
      <c r="M261" s="41"/>
      <c r="N261" s="11"/>
    </row>
    <row r="262" spans="8:14" x14ac:dyDescent="0.25">
      <c r="H262" s="37"/>
      <c r="I262" s="79"/>
      <c r="J262" s="70"/>
      <c r="K262" s="57"/>
      <c r="L262" s="11"/>
      <c r="M262" s="41"/>
      <c r="N262" s="11"/>
    </row>
    <row r="263" spans="8:14" x14ac:dyDescent="0.25">
      <c r="H263" s="37"/>
      <c r="I263" s="79"/>
      <c r="J263" s="70"/>
      <c r="K263" s="57"/>
      <c r="L263" s="11"/>
      <c r="M263" s="41"/>
      <c r="N263" s="11"/>
    </row>
    <row r="264" spans="8:14" x14ac:dyDescent="0.25">
      <c r="H264" s="37"/>
      <c r="I264" s="79"/>
      <c r="J264" s="70"/>
      <c r="K264" s="57"/>
      <c r="L264" s="11"/>
      <c r="M264" s="41"/>
      <c r="N264" s="11"/>
    </row>
    <row r="265" spans="8:14" x14ac:dyDescent="0.25">
      <c r="H265" s="37"/>
      <c r="I265" s="79"/>
      <c r="J265" s="70"/>
      <c r="K265" s="57"/>
      <c r="L265" s="11"/>
      <c r="M265" s="41"/>
      <c r="N265" s="11"/>
    </row>
    <row r="266" spans="8:14" x14ac:dyDescent="0.25">
      <c r="H266" s="37"/>
      <c r="I266" s="79"/>
      <c r="J266" s="70"/>
      <c r="K266" s="57"/>
      <c r="L266" s="11"/>
      <c r="M266" s="41"/>
      <c r="N266" s="11"/>
    </row>
    <row r="267" spans="8:14" x14ac:dyDescent="0.25">
      <c r="H267" s="37"/>
      <c r="I267" s="79"/>
      <c r="J267" s="70"/>
      <c r="K267" s="57"/>
      <c r="L267" s="11"/>
      <c r="M267" s="41"/>
      <c r="N267" s="11"/>
    </row>
    <row r="268" spans="8:14" x14ac:dyDescent="0.25">
      <c r="H268" s="37"/>
      <c r="I268" s="79"/>
      <c r="J268" s="70"/>
      <c r="K268" s="57"/>
      <c r="L268" s="11"/>
      <c r="M268" s="41"/>
      <c r="N268" s="11"/>
    </row>
    <row r="269" spans="8:14" x14ac:dyDescent="0.25">
      <c r="H269" s="37"/>
      <c r="I269" s="79"/>
      <c r="J269" s="70"/>
      <c r="K269" s="57"/>
      <c r="L269" s="11"/>
      <c r="M269" s="41"/>
      <c r="N269" s="11"/>
    </row>
    <row r="270" spans="8:14" x14ac:dyDescent="0.25">
      <c r="H270" s="37"/>
      <c r="I270" s="79"/>
      <c r="J270" s="70"/>
      <c r="K270" s="57"/>
      <c r="L270" s="11"/>
      <c r="M270" s="41"/>
      <c r="N270" s="11"/>
    </row>
    <row r="271" spans="8:14" x14ac:dyDescent="0.25">
      <c r="H271" s="37"/>
      <c r="I271" s="79"/>
      <c r="J271" s="70"/>
      <c r="K271" s="57"/>
      <c r="L271" s="11"/>
      <c r="M271" s="41"/>
      <c r="N271" s="11"/>
    </row>
    <row r="272" spans="8:14" x14ac:dyDescent="0.25">
      <c r="H272" s="37"/>
      <c r="I272" s="79"/>
      <c r="J272" s="70"/>
      <c r="K272" s="57"/>
      <c r="L272" s="11"/>
      <c r="M272" s="41"/>
      <c r="N272" s="11"/>
    </row>
    <row r="273" spans="8:14" x14ac:dyDescent="0.25">
      <c r="H273" s="37"/>
      <c r="I273" s="79"/>
      <c r="J273" s="70"/>
      <c r="K273" s="57"/>
      <c r="L273" s="11"/>
      <c r="M273" s="41"/>
      <c r="N273" s="11"/>
    </row>
    <row r="274" spans="8:14" x14ac:dyDescent="0.25">
      <c r="H274" s="37"/>
      <c r="I274" s="79"/>
      <c r="J274" s="70"/>
      <c r="K274" s="57"/>
      <c r="L274" s="11"/>
      <c r="M274" s="41"/>
      <c r="N274" s="11"/>
    </row>
    <row r="275" spans="8:14" x14ac:dyDescent="0.25">
      <c r="H275" s="37"/>
      <c r="I275" s="79"/>
      <c r="J275" s="70"/>
      <c r="K275" s="57"/>
      <c r="L275" s="11"/>
      <c r="M275" s="41"/>
      <c r="N275" s="11"/>
    </row>
    <row r="276" spans="8:14" x14ac:dyDescent="0.25">
      <c r="H276" s="37"/>
      <c r="I276" s="79"/>
      <c r="J276" s="70"/>
      <c r="K276" s="57"/>
      <c r="L276" s="11"/>
      <c r="M276" s="41"/>
      <c r="N276" s="11"/>
    </row>
    <row r="277" spans="8:14" x14ac:dyDescent="0.25">
      <c r="H277" s="37"/>
      <c r="I277" s="79"/>
      <c r="J277" s="70"/>
      <c r="K277" s="57"/>
      <c r="L277" s="11"/>
      <c r="M277" s="41"/>
      <c r="N277" s="11"/>
    </row>
    <row r="278" spans="8:14" x14ac:dyDescent="0.25">
      <c r="H278" s="37"/>
      <c r="I278" s="79"/>
      <c r="J278" s="70"/>
      <c r="K278" s="57"/>
      <c r="L278" s="11"/>
      <c r="M278" s="41"/>
      <c r="N278" s="11"/>
    </row>
    <row r="279" spans="8:14" x14ac:dyDescent="0.25">
      <c r="H279" s="37"/>
      <c r="I279" s="79"/>
      <c r="J279" s="70"/>
      <c r="K279" s="57"/>
      <c r="L279" s="11"/>
      <c r="M279" s="41"/>
      <c r="N279" s="11"/>
    </row>
    <row r="280" spans="8:14" x14ac:dyDescent="0.25">
      <c r="H280" s="37"/>
      <c r="I280" s="79"/>
      <c r="J280" s="70"/>
      <c r="K280" s="57"/>
      <c r="L280" s="11"/>
      <c r="M280" s="41"/>
      <c r="N280" s="11"/>
    </row>
    <row r="281" spans="8:14" x14ac:dyDescent="0.25">
      <c r="H281" s="37"/>
      <c r="I281" s="79"/>
      <c r="J281" s="70"/>
      <c r="K281" s="57"/>
      <c r="L281" s="11"/>
      <c r="M281" s="41"/>
      <c r="N281" s="11"/>
    </row>
    <row r="282" spans="8:14" x14ac:dyDescent="0.25">
      <c r="H282" s="37"/>
      <c r="I282" s="79"/>
      <c r="J282" s="70"/>
      <c r="K282" s="57"/>
      <c r="L282" s="11"/>
      <c r="M282" s="41"/>
      <c r="N282" s="11"/>
    </row>
    <row r="283" spans="8:14" x14ac:dyDescent="0.25">
      <c r="H283" s="37"/>
      <c r="I283" s="79"/>
      <c r="J283" s="70"/>
      <c r="K283" s="57"/>
      <c r="L283" s="11"/>
      <c r="M283" s="41"/>
      <c r="N283" s="11"/>
    </row>
    <row r="284" spans="8:14" x14ac:dyDescent="0.25">
      <c r="H284" s="37"/>
      <c r="I284" s="79"/>
      <c r="J284" s="70"/>
      <c r="K284" s="57"/>
      <c r="L284" s="11"/>
      <c r="M284" s="41"/>
      <c r="N284" s="11"/>
    </row>
    <row r="285" spans="8:14" x14ac:dyDescent="0.25">
      <c r="H285" s="37"/>
      <c r="I285" s="79"/>
      <c r="J285" s="70"/>
      <c r="K285" s="57"/>
      <c r="L285" s="11"/>
      <c r="M285" s="41"/>
      <c r="N285" s="11"/>
    </row>
    <row r="286" spans="8:14" x14ac:dyDescent="0.25">
      <c r="H286" s="37"/>
      <c r="I286" s="79"/>
      <c r="J286" s="70"/>
      <c r="K286" s="57"/>
      <c r="L286" s="11"/>
      <c r="M286" s="41"/>
      <c r="N286" s="11"/>
    </row>
    <row r="287" spans="8:14" x14ac:dyDescent="0.25">
      <c r="H287" s="37"/>
      <c r="I287" s="79"/>
      <c r="J287" s="70"/>
      <c r="K287" s="57"/>
      <c r="L287" s="11"/>
      <c r="M287" s="41"/>
      <c r="N287" s="11"/>
    </row>
    <row r="288" spans="8:14" x14ac:dyDescent="0.25">
      <c r="H288" s="37"/>
      <c r="I288" s="79"/>
      <c r="J288" s="70"/>
      <c r="K288" s="57"/>
      <c r="L288" s="11"/>
      <c r="M288" s="41"/>
      <c r="N288" s="11"/>
    </row>
    <row r="289" spans="8:14" x14ac:dyDescent="0.25">
      <c r="H289" s="37"/>
      <c r="I289" s="79"/>
      <c r="J289" s="70"/>
      <c r="K289" s="57"/>
      <c r="L289" s="11"/>
      <c r="M289" s="41"/>
      <c r="N289" s="11"/>
    </row>
    <row r="290" spans="8:14" x14ac:dyDescent="0.25">
      <c r="H290" s="37"/>
      <c r="I290" s="79"/>
      <c r="J290" s="70"/>
      <c r="K290" s="57"/>
      <c r="L290" s="11"/>
      <c r="M290" s="41"/>
      <c r="N290" s="11"/>
    </row>
    <row r="291" spans="8:14" x14ac:dyDescent="0.25">
      <c r="H291" s="37"/>
      <c r="I291" s="79"/>
      <c r="J291" s="70"/>
      <c r="K291" s="57"/>
      <c r="L291" s="11"/>
      <c r="M291" s="41"/>
      <c r="N291" s="11"/>
    </row>
    <row r="292" spans="8:14" x14ac:dyDescent="0.25">
      <c r="H292" s="37"/>
      <c r="I292" s="79"/>
      <c r="J292" s="70"/>
      <c r="K292" s="57"/>
      <c r="L292" s="11"/>
      <c r="M292" s="41"/>
      <c r="N292" s="11"/>
    </row>
    <row r="293" spans="8:14" x14ac:dyDescent="0.25">
      <c r="H293" s="37"/>
      <c r="I293" s="79"/>
      <c r="J293" s="70"/>
      <c r="K293" s="57"/>
      <c r="L293" s="11"/>
      <c r="M293" s="41"/>
      <c r="N293" s="11"/>
    </row>
    <row r="294" spans="8:14" x14ac:dyDescent="0.25">
      <c r="H294" s="37"/>
      <c r="I294" s="79"/>
      <c r="J294" s="70"/>
      <c r="K294" s="57"/>
      <c r="L294" s="11"/>
      <c r="M294" s="41"/>
      <c r="N294" s="11"/>
    </row>
    <row r="295" spans="8:14" x14ac:dyDescent="0.25">
      <c r="H295" s="37"/>
      <c r="I295" s="79"/>
      <c r="J295" s="70"/>
      <c r="K295" s="57"/>
      <c r="L295" s="11"/>
      <c r="M295" s="41"/>
      <c r="N295" s="11"/>
    </row>
    <row r="296" spans="8:14" x14ac:dyDescent="0.25">
      <c r="H296" s="37"/>
      <c r="I296" s="79"/>
      <c r="J296" s="70"/>
      <c r="K296" s="57"/>
      <c r="L296" s="11"/>
      <c r="M296" s="41"/>
      <c r="N296" s="11"/>
    </row>
    <row r="297" spans="8:14" x14ac:dyDescent="0.25">
      <c r="H297" s="37"/>
      <c r="I297" s="79"/>
      <c r="J297" s="70"/>
      <c r="K297" s="57"/>
      <c r="L297" s="11"/>
      <c r="M297" s="41"/>
      <c r="N297" s="11"/>
    </row>
    <row r="298" spans="8:14" x14ac:dyDescent="0.25">
      <c r="H298" s="37"/>
      <c r="I298" s="79"/>
      <c r="J298" s="70"/>
      <c r="K298" s="57"/>
      <c r="L298" s="11"/>
      <c r="M298" s="41"/>
      <c r="N298" s="11"/>
    </row>
    <row r="299" spans="8:14" x14ac:dyDescent="0.25">
      <c r="H299" s="37"/>
      <c r="I299" s="79"/>
      <c r="J299" s="70"/>
      <c r="K299" s="57"/>
      <c r="L299" s="11"/>
      <c r="M299" s="41"/>
      <c r="N299" s="11"/>
    </row>
    <row r="300" spans="8:14" x14ac:dyDescent="0.25">
      <c r="H300" s="37"/>
      <c r="I300" s="79"/>
      <c r="J300" s="70"/>
      <c r="K300" s="57"/>
      <c r="L300" s="11"/>
      <c r="M300" s="41"/>
      <c r="N300" s="11"/>
    </row>
    <row r="301" spans="8:14" x14ac:dyDescent="0.25">
      <c r="H301" s="37"/>
      <c r="I301" s="79"/>
      <c r="J301" s="70"/>
      <c r="K301" s="57"/>
      <c r="L301" s="11"/>
      <c r="M301" s="41"/>
      <c r="N301" s="11"/>
    </row>
    <row r="302" spans="8:14" x14ac:dyDescent="0.25">
      <c r="H302" s="37"/>
      <c r="I302" s="79"/>
      <c r="J302" s="70"/>
      <c r="K302" s="57"/>
      <c r="L302" s="11"/>
      <c r="M302" s="41"/>
      <c r="N302" s="11"/>
    </row>
    <row r="303" spans="8:14" x14ac:dyDescent="0.25">
      <c r="H303" s="37"/>
      <c r="I303" s="79"/>
      <c r="J303" s="70"/>
      <c r="K303" s="57"/>
      <c r="L303" s="11"/>
      <c r="M303" s="41"/>
      <c r="N303" s="11"/>
    </row>
    <row r="304" spans="8:14" x14ac:dyDescent="0.25">
      <c r="H304" s="37"/>
      <c r="I304" s="79"/>
      <c r="J304" s="70"/>
      <c r="K304" s="57"/>
      <c r="L304" s="11"/>
      <c r="M304" s="41"/>
      <c r="N304" s="11"/>
    </row>
    <row r="305" spans="8:14" x14ac:dyDescent="0.25">
      <c r="H305" s="37"/>
      <c r="I305" s="79"/>
      <c r="J305" s="70"/>
      <c r="K305" s="57"/>
      <c r="L305" s="11"/>
      <c r="M305" s="41"/>
      <c r="N305" s="11"/>
    </row>
    <row r="306" spans="8:14" x14ac:dyDescent="0.25">
      <c r="H306" s="37"/>
      <c r="I306" s="79"/>
      <c r="J306" s="70"/>
      <c r="K306" s="57"/>
      <c r="L306" s="11"/>
      <c r="M306" s="41"/>
      <c r="N306" s="11"/>
    </row>
    <row r="307" spans="8:14" x14ac:dyDescent="0.25">
      <c r="H307" s="37"/>
      <c r="I307" s="79"/>
      <c r="J307" s="70"/>
      <c r="K307" s="57"/>
      <c r="L307" s="11"/>
      <c r="M307" s="41"/>
      <c r="N307" s="11"/>
    </row>
    <row r="308" spans="8:14" x14ac:dyDescent="0.25">
      <c r="H308" s="37"/>
      <c r="I308" s="79"/>
      <c r="J308" s="70"/>
      <c r="K308" s="57"/>
      <c r="L308" s="11"/>
      <c r="M308" s="41"/>
      <c r="N308" s="11"/>
    </row>
    <row r="309" spans="8:14" x14ac:dyDescent="0.25">
      <c r="H309" s="37"/>
      <c r="I309" s="79"/>
      <c r="J309" s="70"/>
      <c r="K309" s="57"/>
      <c r="L309" s="11"/>
      <c r="M309" s="41"/>
      <c r="N309" s="11"/>
    </row>
    <row r="310" spans="8:14" x14ac:dyDescent="0.25">
      <c r="H310" s="37"/>
      <c r="I310" s="79"/>
      <c r="J310" s="70"/>
      <c r="K310" s="57"/>
      <c r="L310" s="11"/>
      <c r="M310" s="41"/>
      <c r="N310" s="11"/>
    </row>
    <row r="311" spans="8:14" x14ac:dyDescent="0.25">
      <c r="H311" s="37"/>
      <c r="I311" s="79"/>
      <c r="J311" s="70"/>
      <c r="K311" s="57"/>
      <c r="L311" s="11"/>
      <c r="M311" s="41"/>
      <c r="N311" s="11"/>
    </row>
    <row r="312" spans="8:14" x14ac:dyDescent="0.25">
      <c r="H312" s="37"/>
      <c r="I312" s="79"/>
      <c r="J312" s="70"/>
      <c r="K312" s="57"/>
      <c r="L312" s="11"/>
      <c r="M312" s="41"/>
      <c r="N312" s="11"/>
    </row>
    <row r="313" spans="8:14" x14ac:dyDescent="0.25">
      <c r="H313" s="37"/>
      <c r="I313" s="79"/>
      <c r="J313" s="70"/>
      <c r="K313" s="57"/>
      <c r="L313" s="11"/>
      <c r="M313" s="41"/>
      <c r="N313" s="11"/>
    </row>
    <row r="314" spans="8:14" x14ac:dyDescent="0.25">
      <c r="H314" s="37"/>
      <c r="I314" s="79"/>
      <c r="J314" s="70"/>
      <c r="K314" s="57"/>
      <c r="L314" s="11"/>
      <c r="M314" s="41"/>
      <c r="N314" s="11"/>
    </row>
    <row r="315" spans="8:14" x14ac:dyDescent="0.25">
      <c r="H315" s="37"/>
      <c r="I315" s="79"/>
      <c r="J315" s="70"/>
      <c r="K315" s="57"/>
      <c r="L315" s="11"/>
      <c r="M315" s="41"/>
      <c r="N315" s="11"/>
    </row>
    <row r="316" spans="8:14" x14ac:dyDescent="0.25">
      <c r="H316" s="37"/>
      <c r="I316" s="79"/>
      <c r="J316" s="70"/>
      <c r="K316" s="57"/>
      <c r="L316" s="11"/>
      <c r="M316" s="41"/>
      <c r="N316" s="11"/>
    </row>
    <row r="317" spans="8:14" x14ac:dyDescent="0.25">
      <c r="H317" s="37"/>
      <c r="I317" s="79"/>
      <c r="J317" s="70"/>
      <c r="K317" s="57"/>
      <c r="L317" s="11"/>
      <c r="M317" s="41"/>
      <c r="N317" s="11"/>
    </row>
    <row r="318" spans="8:14" x14ac:dyDescent="0.25">
      <c r="H318" s="37"/>
      <c r="I318" s="79"/>
      <c r="J318" s="70"/>
      <c r="K318" s="57"/>
      <c r="L318" s="11"/>
      <c r="M318" s="41"/>
      <c r="N318" s="11"/>
    </row>
    <row r="319" spans="8:14" x14ac:dyDescent="0.25">
      <c r="H319" s="37"/>
      <c r="I319" s="79"/>
      <c r="J319" s="70"/>
      <c r="K319" s="57"/>
      <c r="L319" s="11"/>
      <c r="M319" s="41"/>
      <c r="N319" s="11"/>
    </row>
    <row r="320" spans="8:14" x14ac:dyDescent="0.25">
      <c r="H320" s="37"/>
      <c r="I320" s="79"/>
      <c r="J320" s="70"/>
      <c r="K320" s="57"/>
      <c r="L320" s="11"/>
      <c r="M320" s="41"/>
      <c r="N320" s="11"/>
    </row>
    <row r="321" spans="8:14" x14ac:dyDescent="0.25">
      <c r="H321" s="37"/>
      <c r="I321" s="79"/>
      <c r="J321" s="70"/>
      <c r="K321" s="57"/>
      <c r="L321" s="11"/>
      <c r="M321" s="41"/>
      <c r="N321" s="11"/>
    </row>
    <row r="322" spans="8:14" x14ac:dyDescent="0.25">
      <c r="H322" s="37"/>
      <c r="I322" s="79"/>
      <c r="J322" s="70"/>
      <c r="K322" s="57"/>
      <c r="L322" s="11"/>
      <c r="M322" s="41"/>
      <c r="N322" s="11"/>
    </row>
    <row r="323" spans="8:14" x14ac:dyDescent="0.25">
      <c r="H323" s="37"/>
      <c r="I323" s="79"/>
      <c r="J323" s="70"/>
      <c r="K323" s="57"/>
      <c r="L323" s="11"/>
      <c r="M323" s="41"/>
      <c r="N323" s="11"/>
    </row>
    <row r="324" spans="8:14" x14ac:dyDescent="0.25">
      <c r="H324" s="37"/>
      <c r="I324" s="79"/>
      <c r="J324" s="70"/>
      <c r="K324" s="57"/>
      <c r="L324" s="11"/>
      <c r="M324" s="41"/>
      <c r="N324" s="11"/>
    </row>
    <row r="325" spans="8:14" x14ac:dyDescent="0.25">
      <c r="H325" s="37"/>
      <c r="I325" s="79"/>
      <c r="J325" s="70"/>
      <c r="K325" s="57"/>
      <c r="L325" s="11"/>
      <c r="M325" s="41"/>
      <c r="N325" s="11"/>
    </row>
    <row r="326" spans="8:14" x14ac:dyDescent="0.25">
      <c r="H326" s="37"/>
      <c r="I326" s="79"/>
      <c r="J326" s="70"/>
      <c r="K326" s="57"/>
      <c r="L326" s="11"/>
      <c r="M326" s="41"/>
      <c r="N326" s="11"/>
    </row>
    <row r="327" spans="8:14" x14ac:dyDescent="0.25">
      <c r="H327" s="37"/>
      <c r="I327" s="79"/>
      <c r="J327" s="70"/>
      <c r="K327" s="57"/>
      <c r="L327" s="11"/>
      <c r="M327" s="41"/>
      <c r="N327" s="11"/>
    </row>
    <row r="328" spans="8:14" x14ac:dyDescent="0.25">
      <c r="H328" s="37"/>
      <c r="I328" s="79"/>
      <c r="J328" s="70"/>
      <c r="K328" s="57"/>
      <c r="L328" s="11"/>
      <c r="M328" s="41"/>
      <c r="N328" s="11"/>
    </row>
    <row r="329" spans="8:14" x14ac:dyDescent="0.25">
      <c r="H329" s="37"/>
      <c r="I329" s="79"/>
      <c r="J329" s="70"/>
      <c r="K329" s="57"/>
      <c r="L329" s="11"/>
      <c r="M329" s="41"/>
      <c r="N329" s="11"/>
    </row>
    <row r="330" spans="8:14" x14ac:dyDescent="0.25">
      <c r="H330" s="37"/>
      <c r="I330" s="79"/>
      <c r="J330" s="70"/>
      <c r="K330" s="57"/>
      <c r="L330" s="11"/>
      <c r="M330" s="41"/>
      <c r="N330" s="11"/>
    </row>
    <row r="331" spans="8:14" x14ac:dyDescent="0.25">
      <c r="H331" s="37"/>
      <c r="I331" s="79"/>
      <c r="J331" s="70"/>
      <c r="K331" s="57"/>
      <c r="L331" s="11"/>
      <c r="M331" s="41"/>
      <c r="N331" s="11"/>
    </row>
    <row r="332" spans="8:14" x14ac:dyDescent="0.25">
      <c r="H332" s="37"/>
      <c r="I332" s="79"/>
      <c r="J332" s="70"/>
      <c r="K332" s="57"/>
      <c r="L332" s="11"/>
      <c r="M332" s="41"/>
      <c r="N332" s="11"/>
    </row>
    <row r="333" spans="8:14" x14ac:dyDescent="0.25">
      <c r="H333" s="37"/>
      <c r="I333" s="79"/>
      <c r="J333" s="70"/>
      <c r="K333" s="57"/>
      <c r="L333" s="11"/>
      <c r="M333" s="41"/>
      <c r="N333" s="11"/>
    </row>
    <row r="334" spans="8:14" x14ac:dyDescent="0.25">
      <c r="H334" s="37"/>
      <c r="I334" s="79"/>
      <c r="J334" s="70"/>
      <c r="K334" s="57"/>
      <c r="L334" s="11"/>
      <c r="M334" s="41"/>
      <c r="N334" s="11"/>
    </row>
    <row r="335" spans="8:14" x14ac:dyDescent="0.25">
      <c r="H335" s="37"/>
      <c r="I335" s="79"/>
      <c r="J335" s="70"/>
      <c r="K335" s="57"/>
      <c r="L335" s="11"/>
      <c r="M335" s="41"/>
      <c r="N335" s="11"/>
    </row>
    <row r="336" spans="8:14" x14ac:dyDescent="0.25">
      <c r="H336" s="37"/>
      <c r="I336" s="79"/>
      <c r="J336" s="70"/>
      <c r="K336" s="57"/>
      <c r="L336" s="11"/>
      <c r="M336" s="41"/>
      <c r="N336" s="11"/>
    </row>
    <row r="337" spans="8:14" x14ac:dyDescent="0.25">
      <c r="H337" s="37"/>
      <c r="I337" s="79"/>
      <c r="J337" s="70"/>
      <c r="K337" s="57"/>
      <c r="L337" s="11"/>
      <c r="M337" s="41"/>
      <c r="N337" s="11"/>
    </row>
    <row r="338" spans="8:14" x14ac:dyDescent="0.25">
      <c r="H338" s="37"/>
      <c r="I338" s="79"/>
      <c r="J338" s="70"/>
      <c r="K338" s="57"/>
      <c r="L338" s="11"/>
      <c r="M338" s="41"/>
      <c r="N338" s="11"/>
    </row>
    <row r="339" spans="8:14" x14ac:dyDescent="0.25">
      <c r="H339" s="37"/>
      <c r="I339" s="79"/>
      <c r="J339" s="70"/>
      <c r="K339" s="57"/>
      <c r="L339" s="11"/>
      <c r="M339" s="41"/>
      <c r="N339" s="11"/>
    </row>
    <row r="340" spans="8:14" x14ac:dyDescent="0.25">
      <c r="H340" s="37"/>
      <c r="I340" s="79"/>
      <c r="J340" s="70"/>
      <c r="K340" s="57"/>
      <c r="L340" s="11"/>
      <c r="M340" s="41"/>
      <c r="N340" s="11"/>
    </row>
    <row r="341" spans="8:14" x14ac:dyDescent="0.25">
      <c r="H341" s="37"/>
      <c r="I341" s="79"/>
      <c r="J341" s="70"/>
      <c r="K341" s="57"/>
      <c r="L341" s="11"/>
      <c r="M341" s="41"/>
      <c r="N341" s="11"/>
    </row>
    <row r="342" spans="8:14" x14ac:dyDescent="0.25">
      <c r="H342" s="37"/>
      <c r="I342" s="79"/>
      <c r="J342" s="70"/>
      <c r="K342" s="57"/>
      <c r="L342" s="11"/>
      <c r="M342" s="41"/>
      <c r="N342" s="11"/>
    </row>
    <row r="343" spans="8:14" x14ac:dyDescent="0.25">
      <c r="H343" s="37"/>
      <c r="I343" s="79"/>
      <c r="J343" s="70"/>
      <c r="K343" s="57"/>
      <c r="L343" s="11"/>
      <c r="M343" s="41"/>
      <c r="N343" s="11"/>
    </row>
    <row r="344" spans="8:14" x14ac:dyDescent="0.25">
      <c r="H344" s="37"/>
      <c r="I344" s="79"/>
      <c r="J344" s="70"/>
      <c r="K344" s="57"/>
      <c r="L344" s="11"/>
      <c r="M344" s="41"/>
      <c r="N344" s="11"/>
    </row>
    <row r="345" spans="8:14" x14ac:dyDescent="0.25">
      <c r="H345" s="37"/>
      <c r="I345" s="79"/>
      <c r="J345" s="70"/>
      <c r="K345" s="57"/>
      <c r="L345" s="11"/>
      <c r="M345" s="41"/>
      <c r="N345" s="11"/>
    </row>
    <row r="346" spans="8:14" x14ac:dyDescent="0.25">
      <c r="H346" s="37"/>
      <c r="I346" s="79"/>
      <c r="J346" s="70"/>
      <c r="K346" s="57"/>
      <c r="L346" s="11"/>
      <c r="M346" s="41"/>
      <c r="N346" s="11"/>
    </row>
    <row r="347" spans="8:14" x14ac:dyDescent="0.25">
      <c r="H347" s="37"/>
      <c r="I347" s="79"/>
      <c r="J347" s="70"/>
      <c r="K347" s="57"/>
      <c r="L347" s="11"/>
      <c r="M347" s="41"/>
      <c r="N347" s="11"/>
    </row>
    <row r="348" spans="8:14" x14ac:dyDescent="0.25">
      <c r="H348" s="37"/>
      <c r="I348" s="79"/>
      <c r="J348" s="70"/>
      <c r="K348" s="57"/>
      <c r="L348" s="11"/>
      <c r="M348" s="41"/>
      <c r="N348" s="11"/>
    </row>
    <row r="349" spans="8:14" x14ac:dyDescent="0.25">
      <c r="H349" s="37"/>
      <c r="I349" s="79"/>
      <c r="J349" s="70"/>
      <c r="K349" s="57"/>
      <c r="L349" s="11"/>
      <c r="M349" s="41"/>
      <c r="N349" s="11"/>
    </row>
    <row r="350" spans="8:14" x14ac:dyDescent="0.25">
      <c r="H350" s="37"/>
      <c r="I350" s="79"/>
      <c r="J350" s="70"/>
      <c r="K350" s="57"/>
      <c r="L350" s="11"/>
      <c r="M350" s="41"/>
      <c r="N350" s="11"/>
    </row>
    <row r="351" spans="8:14" x14ac:dyDescent="0.25">
      <c r="H351" s="37"/>
      <c r="I351" s="79"/>
      <c r="J351" s="70"/>
      <c r="K351" s="57"/>
      <c r="L351" s="11"/>
      <c r="M351" s="41"/>
      <c r="N351" s="11"/>
    </row>
    <row r="352" spans="8:14" x14ac:dyDescent="0.25">
      <c r="H352" s="37"/>
      <c r="I352" s="79"/>
      <c r="J352" s="70"/>
      <c r="K352" s="57"/>
      <c r="L352" s="11"/>
      <c r="M352" s="41"/>
      <c r="N352" s="11"/>
    </row>
    <row r="353" spans="8:14" x14ac:dyDescent="0.25">
      <c r="H353" s="37"/>
      <c r="I353" s="79"/>
      <c r="J353" s="70"/>
      <c r="K353" s="57"/>
      <c r="L353" s="11"/>
      <c r="M353" s="41"/>
      <c r="N353" s="11"/>
    </row>
    <row r="354" spans="8:14" x14ac:dyDescent="0.25">
      <c r="H354" s="37"/>
      <c r="I354" s="79"/>
      <c r="J354" s="70"/>
      <c r="K354" s="57"/>
      <c r="L354" s="11"/>
      <c r="M354" s="41"/>
      <c r="N354" s="11"/>
    </row>
    <row r="355" spans="8:14" x14ac:dyDescent="0.25">
      <c r="H355" s="37"/>
      <c r="I355" s="79"/>
      <c r="J355" s="70"/>
      <c r="K355" s="57"/>
      <c r="L355" s="11"/>
      <c r="M355" s="41"/>
      <c r="N355" s="11"/>
    </row>
    <row r="356" spans="8:14" x14ac:dyDescent="0.25">
      <c r="H356" s="37"/>
      <c r="I356" s="79"/>
      <c r="J356" s="70"/>
      <c r="K356" s="57"/>
      <c r="L356" s="11"/>
      <c r="M356" s="41"/>
      <c r="N356" s="11"/>
    </row>
    <row r="357" spans="8:14" x14ac:dyDescent="0.25">
      <c r="H357" s="37"/>
      <c r="I357" s="79"/>
      <c r="J357" s="70"/>
      <c r="K357" s="57"/>
      <c r="L357" s="11"/>
      <c r="M357" s="41"/>
      <c r="N357" s="11"/>
    </row>
    <row r="358" spans="8:14" x14ac:dyDescent="0.25">
      <c r="H358" s="37"/>
      <c r="I358" s="79"/>
      <c r="J358" s="70"/>
      <c r="K358" s="57"/>
      <c r="L358" s="11"/>
      <c r="M358" s="41"/>
      <c r="N358" s="11"/>
    </row>
    <row r="359" spans="8:14" x14ac:dyDescent="0.25">
      <c r="H359" s="37"/>
      <c r="I359" s="79"/>
      <c r="J359" s="70"/>
      <c r="K359" s="57"/>
      <c r="L359" s="11"/>
      <c r="M359" s="41"/>
      <c r="N359" s="11"/>
    </row>
    <row r="360" spans="8:14" x14ac:dyDescent="0.25">
      <c r="H360" s="37"/>
      <c r="I360" s="79"/>
      <c r="J360" s="70"/>
      <c r="K360" s="57"/>
      <c r="L360" s="11"/>
      <c r="M360" s="41"/>
      <c r="N360" s="11"/>
    </row>
    <row r="361" spans="8:14" x14ac:dyDescent="0.25">
      <c r="H361" s="37"/>
      <c r="I361" s="79"/>
      <c r="J361" s="70"/>
      <c r="K361" s="57"/>
      <c r="L361" s="11"/>
      <c r="M361" s="41"/>
      <c r="N361" s="11"/>
    </row>
    <row r="362" spans="8:14" x14ac:dyDescent="0.25">
      <c r="H362" s="37"/>
      <c r="I362" s="79"/>
      <c r="J362" s="70"/>
      <c r="K362" s="57"/>
      <c r="L362" s="11"/>
      <c r="M362" s="41"/>
      <c r="N362" s="11"/>
    </row>
    <row r="363" spans="8:14" x14ac:dyDescent="0.25">
      <c r="H363" s="37"/>
      <c r="I363" s="79"/>
      <c r="J363" s="70"/>
      <c r="K363" s="57"/>
      <c r="L363" s="11"/>
      <c r="M363" s="41"/>
      <c r="N363" s="11"/>
    </row>
    <row r="364" spans="8:14" x14ac:dyDescent="0.25">
      <c r="H364" s="37"/>
      <c r="I364" s="79"/>
      <c r="J364" s="70"/>
      <c r="K364" s="57"/>
      <c r="L364" s="11"/>
      <c r="M364" s="41"/>
      <c r="N364" s="11"/>
    </row>
    <row r="365" spans="8:14" x14ac:dyDescent="0.25">
      <c r="H365" s="37"/>
      <c r="I365" s="79"/>
      <c r="J365" s="70"/>
      <c r="K365" s="57"/>
      <c r="L365" s="11"/>
      <c r="M365" s="41"/>
      <c r="N365" s="11"/>
    </row>
    <row r="366" spans="8:14" x14ac:dyDescent="0.25">
      <c r="H366" s="37"/>
      <c r="I366" s="79"/>
      <c r="J366" s="70"/>
      <c r="K366" s="57"/>
      <c r="L366" s="11"/>
      <c r="M366" s="41"/>
      <c r="N366" s="11"/>
    </row>
    <row r="367" spans="8:14" x14ac:dyDescent="0.25">
      <c r="H367" s="37"/>
      <c r="I367" s="79"/>
      <c r="J367" s="70"/>
      <c r="K367" s="57"/>
      <c r="L367" s="11"/>
      <c r="M367" s="41"/>
      <c r="N367" s="11"/>
    </row>
    <row r="368" spans="8:14" x14ac:dyDescent="0.25">
      <c r="H368" s="37"/>
      <c r="I368" s="79"/>
      <c r="J368" s="70"/>
      <c r="K368" s="57"/>
      <c r="L368" s="11"/>
      <c r="M368" s="41"/>
      <c r="N368" s="11"/>
    </row>
    <row r="369" spans="8:14" x14ac:dyDescent="0.25">
      <c r="H369" s="37"/>
      <c r="I369" s="79"/>
      <c r="J369" s="70"/>
      <c r="K369" s="57"/>
      <c r="L369" s="11"/>
      <c r="M369" s="41"/>
      <c r="N369" s="11"/>
    </row>
    <row r="370" spans="8:14" x14ac:dyDescent="0.25">
      <c r="H370" s="37"/>
      <c r="I370" s="79"/>
      <c r="J370" s="70"/>
      <c r="K370" s="57"/>
      <c r="L370" s="11"/>
      <c r="M370" s="41"/>
      <c r="N370" s="11"/>
    </row>
    <row r="371" spans="8:14" x14ac:dyDescent="0.25">
      <c r="H371" s="37"/>
      <c r="I371" s="79"/>
      <c r="J371" s="70"/>
      <c r="K371" s="57"/>
      <c r="L371" s="11"/>
      <c r="M371" s="41"/>
      <c r="N371" s="11"/>
    </row>
    <row r="372" spans="8:14" x14ac:dyDescent="0.25">
      <c r="H372" s="37"/>
      <c r="I372" s="79"/>
      <c r="J372" s="70"/>
      <c r="K372" s="57"/>
      <c r="L372" s="11"/>
      <c r="M372" s="41"/>
      <c r="N372" s="11"/>
    </row>
    <row r="373" spans="8:14" x14ac:dyDescent="0.25">
      <c r="H373" s="37"/>
      <c r="I373" s="79"/>
      <c r="J373" s="70"/>
      <c r="K373" s="57"/>
      <c r="L373" s="11"/>
      <c r="M373" s="41"/>
      <c r="N373" s="11"/>
    </row>
    <row r="374" spans="8:14" x14ac:dyDescent="0.25">
      <c r="H374" s="37"/>
      <c r="I374" s="79"/>
      <c r="J374" s="70"/>
      <c r="K374" s="57"/>
      <c r="L374" s="11"/>
      <c r="M374" s="41"/>
      <c r="N374" s="11"/>
    </row>
    <row r="375" spans="8:14" x14ac:dyDescent="0.25">
      <c r="H375" s="37"/>
      <c r="I375" s="79"/>
      <c r="J375" s="70"/>
      <c r="K375" s="57"/>
      <c r="L375" s="11"/>
      <c r="M375" s="41"/>
      <c r="N375" s="11"/>
    </row>
    <row r="376" spans="8:14" x14ac:dyDescent="0.25">
      <c r="H376" s="37"/>
      <c r="I376" s="79"/>
      <c r="J376" s="70"/>
      <c r="K376" s="57"/>
      <c r="L376" s="11"/>
      <c r="M376" s="41"/>
      <c r="N376" s="11"/>
    </row>
    <row r="377" spans="8:14" x14ac:dyDescent="0.25">
      <c r="H377" s="37"/>
      <c r="I377" s="79"/>
      <c r="J377" s="70"/>
      <c r="K377" s="57"/>
      <c r="L377" s="11"/>
      <c r="M377" s="41"/>
      <c r="N377" s="11"/>
    </row>
    <row r="378" spans="8:14" x14ac:dyDescent="0.25">
      <c r="H378" s="37"/>
      <c r="I378" s="79"/>
      <c r="J378" s="70"/>
      <c r="K378" s="57"/>
      <c r="L378" s="11"/>
      <c r="M378" s="41"/>
      <c r="N378" s="11"/>
    </row>
    <row r="379" spans="8:14" x14ac:dyDescent="0.25">
      <c r="H379" s="37"/>
      <c r="I379" s="79"/>
      <c r="J379" s="70"/>
      <c r="K379" s="57"/>
      <c r="L379" s="11"/>
      <c r="M379" s="41"/>
      <c r="N379" s="11"/>
    </row>
    <row r="380" spans="8:14" x14ac:dyDescent="0.25">
      <c r="H380" s="37"/>
      <c r="I380" s="79"/>
      <c r="J380" s="70"/>
      <c r="K380" s="57"/>
      <c r="L380" s="11"/>
      <c r="M380" s="41"/>
      <c r="N380" s="11"/>
    </row>
    <row r="381" spans="8:14" x14ac:dyDescent="0.25">
      <c r="H381" s="37"/>
      <c r="I381" s="79"/>
      <c r="J381" s="70"/>
      <c r="K381" s="57"/>
      <c r="L381" s="11"/>
      <c r="M381" s="41"/>
      <c r="N381" s="11"/>
    </row>
    <row r="382" spans="8:14" x14ac:dyDescent="0.25">
      <c r="H382" s="37"/>
      <c r="I382" s="79"/>
      <c r="J382" s="70"/>
      <c r="K382" s="57"/>
      <c r="L382" s="11"/>
      <c r="M382" s="41"/>
      <c r="N382" s="11"/>
    </row>
    <row r="383" spans="8:14" x14ac:dyDescent="0.25">
      <c r="H383" s="37"/>
      <c r="I383" s="79"/>
      <c r="J383" s="70"/>
      <c r="K383" s="57"/>
      <c r="L383" s="11"/>
      <c r="M383" s="41"/>
      <c r="N383" s="11"/>
    </row>
    <row r="384" spans="8:14" x14ac:dyDescent="0.25">
      <c r="H384" s="37"/>
      <c r="I384" s="79"/>
      <c r="J384" s="70"/>
      <c r="K384" s="57"/>
      <c r="L384" s="11"/>
      <c r="M384" s="41"/>
      <c r="N384" s="11"/>
    </row>
    <row r="385" spans="8:14" x14ac:dyDescent="0.25">
      <c r="H385" s="37"/>
      <c r="I385" s="79"/>
      <c r="J385" s="70"/>
      <c r="K385" s="57"/>
      <c r="L385" s="11"/>
      <c r="M385" s="41"/>
      <c r="N385" s="11"/>
    </row>
    <row r="386" spans="8:14" x14ac:dyDescent="0.25">
      <c r="H386" s="37"/>
      <c r="I386" s="79"/>
      <c r="J386" s="70"/>
      <c r="K386" s="57"/>
      <c r="L386" s="11"/>
      <c r="M386" s="41"/>
      <c r="N386" s="11"/>
    </row>
    <row r="387" spans="8:14" x14ac:dyDescent="0.25">
      <c r="H387" s="37"/>
      <c r="I387" s="79"/>
      <c r="J387" s="70"/>
      <c r="K387" s="57"/>
      <c r="L387" s="11"/>
      <c r="M387" s="41"/>
      <c r="N387" s="11"/>
    </row>
    <row r="388" spans="8:14" x14ac:dyDescent="0.25">
      <c r="H388" s="37"/>
      <c r="I388" s="79"/>
      <c r="J388" s="70"/>
      <c r="K388" s="57"/>
      <c r="L388" s="11"/>
      <c r="M388" s="41"/>
      <c r="N388" s="11"/>
    </row>
    <row r="389" spans="8:14" x14ac:dyDescent="0.25">
      <c r="H389" s="37"/>
      <c r="I389" s="79"/>
      <c r="J389" s="70"/>
      <c r="K389" s="57"/>
      <c r="L389" s="11"/>
      <c r="M389" s="41"/>
      <c r="N389" s="11"/>
    </row>
    <row r="390" spans="8:14" x14ac:dyDescent="0.25">
      <c r="H390" s="37"/>
      <c r="I390" s="79"/>
      <c r="J390" s="70"/>
      <c r="K390" s="57"/>
      <c r="L390" s="11"/>
      <c r="M390" s="41"/>
      <c r="N390" s="11"/>
    </row>
    <row r="391" spans="8:14" x14ac:dyDescent="0.25">
      <c r="H391" s="37"/>
      <c r="I391" s="79"/>
      <c r="J391" s="70"/>
      <c r="K391" s="57"/>
      <c r="L391" s="11"/>
      <c r="M391" s="41"/>
      <c r="N391" s="11"/>
    </row>
    <row r="392" spans="8:14" x14ac:dyDescent="0.25">
      <c r="H392" s="37"/>
      <c r="I392" s="79"/>
      <c r="J392" s="70"/>
      <c r="K392" s="57"/>
      <c r="L392" s="11"/>
      <c r="M392" s="41"/>
      <c r="N392" s="11"/>
    </row>
    <row r="393" spans="8:14" x14ac:dyDescent="0.25">
      <c r="H393" s="37"/>
      <c r="I393" s="79"/>
      <c r="J393" s="70"/>
      <c r="K393" s="57"/>
      <c r="L393" s="11"/>
      <c r="M393" s="41"/>
      <c r="N393" s="11"/>
    </row>
    <row r="394" spans="8:14" x14ac:dyDescent="0.25">
      <c r="H394" s="37"/>
      <c r="I394" s="79"/>
      <c r="J394" s="70"/>
      <c r="K394" s="57"/>
      <c r="L394" s="11"/>
      <c r="M394" s="41"/>
      <c r="N394" s="11"/>
    </row>
    <row r="395" spans="8:14" x14ac:dyDescent="0.25">
      <c r="H395" s="37"/>
      <c r="I395" s="79"/>
      <c r="J395" s="70"/>
      <c r="K395" s="57"/>
      <c r="L395" s="11"/>
      <c r="M395" s="41"/>
      <c r="N395" s="11"/>
    </row>
    <row r="396" spans="8:14" x14ac:dyDescent="0.25">
      <c r="H396" s="37"/>
      <c r="I396" s="79"/>
      <c r="J396" s="70"/>
      <c r="K396" s="57"/>
      <c r="L396" s="11"/>
      <c r="M396" s="41"/>
      <c r="N396" s="11"/>
    </row>
    <row r="397" spans="8:14" x14ac:dyDescent="0.25">
      <c r="H397" s="37"/>
      <c r="I397" s="79"/>
      <c r="J397" s="70"/>
      <c r="K397" s="57"/>
      <c r="L397" s="11"/>
      <c r="M397" s="41"/>
      <c r="N397" s="11"/>
    </row>
    <row r="398" spans="8:14" x14ac:dyDescent="0.25">
      <c r="H398" s="37"/>
      <c r="I398" s="79"/>
      <c r="J398" s="70"/>
      <c r="K398" s="57"/>
      <c r="L398" s="11"/>
      <c r="M398" s="41"/>
      <c r="N398" s="11"/>
    </row>
    <row r="399" spans="8:14" x14ac:dyDescent="0.25">
      <c r="H399" s="37"/>
      <c r="I399" s="79"/>
      <c r="J399" s="70"/>
      <c r="K399" s="57"/>
      <c r="L399" s="11"/>
      <c r="M399" s="41"/>
      <c r="N399" s="11"/>
    </row>
    <row r="400" spans="8:14" x14ac:dyDescent="0.25">
      <c r="H400" s="37"/>
      <c r="I400" s="79"/>
      <c r="J400" s="70"/>
      <c r="K400" s="57"/>
      <c r="L400" s="11"/>
      <c r="M400" s="41"/>
      <c r="N400" s="11"/>
    </row>
    <row r="401" spans="8:14" x14ac:dyDescent="0.25">
      <c r="H401" s="37"/>
      <c r="I401" s="79"/>
      <c r="J401" s="70"/>
      <c r="K401" s="57"/>
      <c r="L401" s="11"/>
      <c r="M401" s="41"/>
      <c r="N401" s="11"/>
    </row>
    <row r="402" spans="8:14" x14ac:dyDescent="0.25">
      <c r="H402" s="37"/>
      <c r="I402" s="79"/>
      <c r="J402" s="70"/>
      <c r="K402" s="57"/>
      <c r="L402" s="11"/>
      <c r="M402" s="41"/>
      <c r="N402" s="11"/>
    </row>
    <row r="403" spans="8:14" x14ac:dyDescent="0.25">
      <c r="H403" s="37"/>
      <c r="I403" s="79"/>
      <c r="J403" s="70"/>
      <c r="K403" s="57"/>
      <c r="L403" s="11"/>
      <c r="M403" s="41"/>
      <c r="N403" s="11"/>
    </row>
    <row r="404" spans="8:14" x14ac:dyDescent="0.25">
      <c r="H404" s="37"/>
      <c r="I404" s="79"/>
      <c r="J404" s="70"/>
      <c r="K404" s="57"/>
      <c r="L404" s="11"/>
      <c r="M404" s="41"/>
      <c r="N404" s="11"/>
    </row>
    <row r="405" spans="8:14" x14ac:dyDescent="0.25">
      <c r="H405" s="37"/>
      <c r="I405" s="79"/>
      <c r="J405" s="70"/>
      <c r="K405" s="57"/>
      <c r="L405" s="11"/>
      <c r="M405" s="41"/>
      <c r="N405" s="11"/>
    </row>
    <row r="406" spans="8:14" x14ac:dyDescent="0.25">
      <c r="H406" s="37"/>
      <c r="I406" s="79"/>
      <c r="J406" s="70"/>
      <c r="K406" s="57"/>
      <c r="L406" s="11"/>
      <c r="M406" s="41"/>
      <c r="N406" s="11"/>
    </row>
    <row r="407" spans="8:14" x14ac:dyDescent="0.25">
      <c r="H407" s="37"/>
      <c r="I407" s="79"/>
      <c r="J407" s="70"/>
      <c r="K407" s="57"/>
      <c r="L407" s="11"/>
      <c r="M407" s="41"/>
      <c r="N407" s="11"/>
    </row>
    <row r="408" spans="8:14" x14ac:dyDescent="0.25">
      <c r="H408" s="37"/>
      <c r="I408" s="79"/>
      <c r="J408" s="70"/>
      <c r="K408" s="57"/>
      <c r="L408" s="11"/>
      <c r="M408" s="41"/>
      <c r="N408" s="11"/>
    </row>
    <row r="409" spans="8:14" x14ac:dyDescent="0.25">
      <c r="H409" s="37"/>
      <c r="I409" s="79"/>
      <c r="J409" s="70"/>
      <c r="K409" s="57"/>
      <c r="L409" s="11"/>
      <c r="M409" s="41"/>
      <c r="N409" s="11"/>
    </row>
    <row r="410" spans="8:14" x14ac:dyDescent="0.25">
      <c r="H410" s="37"/>
      <c r="I410" s="79"/>
      <c r="J410" s="70"/>
      <c r="K410" s="57"/>
      <c r="L410" s="11"/>
      <c r="M410" s="41"/>
      <c r="N410" s="11"/>
    </row>
    <row r="411" spans="8:14" x14ac:dyDescent="0.25">
      <c r="H411" s="37"/>
      <c r="I411" s="79"/>
      <c r="J411" s="70"/>
      <c r="K411" s="57"/>
      <c r="L411" s="11"/>
      <c r="M411" s="41"/>
      <c r="N411" s="11"/>
    </row>
    <row r="412" spans="8:14" x14ac:dyDescent="0.25">
      <c r="H412" s="37"/>
      <c r="I412" s="79"/>
      <c r="J412" s="70"/>
      <c r="K412" s="57"/>
      <c r="L412" s="11"/>
      <c r="M412" s="41"/>
      <c r="N412" s="11"/>
    </row>
    <row r="413" spans="8:14" x14ac:dyDescent="0.25">
      <c r="H413" s="37"/>
      <c r="I413" s="79"/>
      <c r="J413" s="70"/>
      <c r="K413" s="57"/>
      <c r="L413" s="11"/>
      <c r="M413" s="41"/>
      <c r="N413" s="11"/>
    </row>
    <row r="414" spans="8:14" x14ac:dyDescent="0.25">
      <c r="H414" s="37"/>
      <c r="I414" s="79"/>
      <c r="J414" s="70"/>
      <c r="K414" s="57"/>
      <c r="L414" s="11"/>
      <c r="M414" s="41"/>
      <c r="N414" s="11"/>
    </row>
    <row r="415" spans="8:14" x14ac:dyDescent="0.25">
      <c r="H415" s="37"/>
      <c r="I415" s="79"/>
      <c r="J415" s="70"/>
      <c r="K415" s="57"/>
      <c r="L415" s="11"/>
      <c r="M415" s="41"/>
      <c r="N415" s="11"/>
    </row>
    <row r="416" spans="8:14" x14ac:dyDescent="0.25">
      <c r="H416" s="37"/>
      <c r="I416" s="79"/>
      <c r="J416" s="70"/>
      <c r="K416" s="57"/>
      <c r="L416" s="11"/>
      <c r="M416" s="41"/>
      <c r="N416" s="11"/>
    </row>
    <row r="417" spans="8:14" x14ac:dyDescent="0.25">
      <c r="H417" s="37"/>
      <c r="I417" s="79"/>
      <c r="J417" s="70"/>
      <c r="K417" s="57"/>
      <c r="L417" s="11"/>
      <c r="M417" s="41"/>
      <c r="N417" s="11"/>
    </row>
    <row r="418" spans="8:14" x14ac:dyDescent="0.25">
      <c r="H418" s="37"/>
      <c r="I418" s="79"/>
      <c r="J418" s="70"/>
      <c r="K418" s="57"/>
      <c r="L418" s="11"/>
      <c r="M418" s="41"/>
      <c r="N418" s="11"/>
    </row>
    <row r="419" spans="8:14" x14ac:dyDescent="0.25">
      <c r="H419" s="37"/>
      <c r="I419" s="79"/>
      <c r="J419" s="70"/>
      <c r="K419" s="57"/>
      <c r="L419" s="11"/>
      <c r="M419" s="41"/>
      <c r="N419" s="11"/>
    </row>
    <row r="420" spans="8:14" x14ac:dyDescent="0.25">
      <c r="H420" s="37"/>
      <c r="I420" s="79"/>
      <c r="J420" s="70"/>
      <c r="K420" s="57"/>
      <c r="L420" s="11"/>
      <c r="M420" s="41"/>
      <c r="N420" s="11"/>
    </row>
    <row r="421" spans="8:14" x14ac:dyDescent="0.25">
      <c r="H421" s="37"/>
      <c r="I421" s="79"/>
      <c r="J421" s="70"/>
      <c r="K421" s="57"/>
      <c r="L421" s="11"/>
      <c r="M421" s="41"/>
      <c r="N421" s="11"/>
    </row>
    <row r="422" spans="8:14" x14ac:dyDescent="0.25">
      <c r="H422" s="37"/>
      <c r="I422" s="79"/>
      <c r="J422" s="70"/>
      <c r="K422" s="57"/>
      <c r="L422" s="11"/>
      <c r="M422" s="41"/>
      <c r="N422" s="11"/>
    </row>
    <row r="423" spans="8:14" x14ac:dyDescent="0.25">
      <c r="H423" s="37"/>
      <c r="I423" s="79"/>
      <c r="J423" s="70"/>
      <c r="K423" s="57"/>
      <c r="L423" s="11"/>
      <c r="M423" s="41"/>
      <c r="N423" s="11"/>
    </row>
    <row r="424" spans="8:14" x14ac:dyDescent="0.25">
      <c r="H424" s="37"/>
      <c r="I424" s="79"/>
      <c r="J424" s="70"/>
      <c r="K424" s="57"/>
      <c r="L424" s="11"/>
      <c r="M424" s="41"/>
      <c r="N424" s="11"/>
    </row>
    <row r="425" spans="8:14" x14ac:dyDescent="0.25">
      <c r="H425" s="37"/>
      <c r="I425" s="79"/>
      <c r="J425" s="70"/>
      <c r="K425" s="57"/>
      <c r="L425" s="11"/>
      <c r="M425" s="41"/>
      <c r="N425" s="11"/>
    </row>
    <row r="426" spans="8:14" x14ac:dyDescent="0.25">
      <c r="H426" s="37"/>
      <c r="I426" s="79"/>
      <c r="J426" s="70"/>
      <c r="K426" s="57"/>
      <c r="L426" s="11"/>
      <c r="M426" s="41"/>
      <c r="N426" s="11"/>
    </row>
    <row r="427" spans="8:14" x14ac:dyDescent="0.25">
      <c r="H427" s="37"/>
      <c r="I427" s="79"/>
      <c r="J427" s="70"/>
      <c r="K427" s="57"/>
      <c r="L427" s="11"/>
      <c r="M427" s="41"/>
      <c r="N427" s="11"/>
    </row>
    <row r="428" spans="8:14" x14ac:dyDescent="0.25">
      <c r="H428" s="37"/>
      <c r="I428" s="79"/>
      <c r="J428" s="70"/>
      <c r="K428" s="57"/>
      <c r="L428" s="11"/>
      <c r="M428" s="41"/>
      <c r="N428" s="11"/>
    </row>
    <row r="429" spans="8:14" x14ac:dyDescent="0.25">
      <c r="H429" s="37"/>
      <c r="I429" s="79"/>
      <c r="J429" s="70"/>
      <c r="K429" s="57"/>
      <c r="L429" s="11"/>
      <c r="M429" s="41"/>
      <c r="N429" s="11"/>
    </row>
    <row r="430" spans="8:14" x14ac:dyDescent="0.25">
      <c r="H430" s="37"/>
      <c r="I430" s="79"/>
      <c r="J430" s="70"/>
      <c r="K430" s="57"/>
      <c r="L430" s="11"/>
      <c r="M430" s="41"/>
      <c r="N430" s="11"/>
    </row>
    <row r="431" spans="8:14" x14ac:dyDescent="0.25">
      <c r="H431" s="37"/>
      <c r="I431" s="79"/>
      <c r="J431" s="70"/>
      <c r="K431" s="57"/>
      <c r="L431" s="11"/>
      <c r="M431" s="41"/>
      <c r="N431" s="11"/>
    </row>
    <row r="432" spans="8:14" x14ac:dyDescent="0.25">
      <c r="H432" s="37"/>
      <c r="I432" s="79"/>
      <c r="J432" s="70"/>
      <c r="K432" s="57"/>
      <c r="L432" s="11"/>
      <c r="M432" s="41"/>
      <c r="N432" s="11"/>
    </row>
    <row r="433" spans="8:14" x14ac:dyDescent="0.25">
      <c r="H433" s="37"/>
      <c r="I433" s="79"/>
      <c r="J433" s="70"/>
      <c r="K433" s="57"/>
      <c r="L433" s="11"/>
      <c r="M433" s="41"/>
      <c r="N433" s="11"/>
    </row>
    <row r="434" spans="8:14" x14ac:dyDescent="0.25">
      <c r="H434" s="37"/>
      <c r="I434" s="79"/>
      <c r="J434" s="70"/>
      <c r="K434" s="57"/>
      <c r="L434" s="11"/>
      <c r="M434" s="41"/>
      <c r="N434" s="11"/>
    </row>
    <row r="435" spans="8:14" x14ac:dyDescent="0.25">
      <c r="H435" s="37"/>
      <c r="I435" s="79"/>
      <c r="J435" s="70"/>
      <c r="K435" s="57"/>
      <c r="L435" s="11"/>
      <c r="M435" s="41"/>
      <c r="N435" s="11"/>
    </row>
    <row r="436" spans="8:14" x14ac:dyDescent="0.25">
      <c r="H436" s="37"/>
      <c r="I436" s="79"/>
      <c r="J436" s="70"/>
      <c r="K436" s="57"/>
      <c r="L436" s="11"/>
      <c r="M436" s="41"/>
      <c r="N436" s="11"/>
    </row>
    <row r="437" spans="8:14" x14ac:dyDescent="0.25">
      <c r="H437" s="37"/>
      <c r="I437" s="79"/>
      <c r="J437" s="70"/>
      <c r="K437" s="57"/>
      <c r="L437" s="11"/>
      <c r="M437" s="41"/>
      <c r="N437" s="11"/>
    </row>
    <row r="438" spans="8:14" x14ac:dyDescent="0.25">
      <c r="H438" s="37"/>
      <c r="I438" s="79"/>
      <c r="J438" s="70"/>
      <c r="K438" s="57"/>
      <c r="L438" s="11"/>
      <c r="M438" s="41"/>
      <c r="N438" s="11"/>
    </row>
    <row r="439" spans="8:14" x14ac:dyDescent="0.25">
      <c r="H439" s="37"/>
      <c r="I439" s="79"/>
      <c r="J439" s="70"/>
      <c r="K439" s="57"/>
      <c r="L439" s="11"/>
      <c r="M439" s="41"/>
      <c r="N439" s="11"/>
    </row>
    <row r="440" spans="8:14" x14ac:dyDescent="0.25">
      <c r="H440" s="37"/>
      <c r="I440" s="79"/>
      <c r="J440" s="70"/>
      <c r="K440" s="57"/>
      <c r="L440" s="11"/>
      <c r="M440" s="41"/>
      <c r="N440" s="11"/>
    </row>
    <row r="441" spans="8:14" x14ac:dyDescent="0.25">
      <c r="H441" s="37"/>
      <c r="I441" s="79"/>
      <c r="J441" s="70"/>
      <c r="K441" s="57"/>
      <c r="L441" s="11"/>
      <c r="M441" s="41"/>
      <c r="N441" s="11"/>
    </row>
    <row r="442" spans="8:14" x14ac:dyDescent="0.25">
      <c r="H442" s="37"/>
      <c r="I442" s="79"/>
      <c r="J442" s="70"/>
      <c r="K442" s="57"/>
      <c r="L442" s="11"/>
      <c r="M442" s="41"/>
      <c r="N442" s="11"/>
    </row>
    <row r="443" spans="8:14" x14ac:dyDescent="0.25">
      <c r="H443" s="37"/>
      <c r="I443" s="79"/>
      <c r="J443" s="70"/>
      <c r="K443" s="57"/>
      <c r="L443" s="11"/>
      <c r="M443" s="41"/>
      <c r="N443" s="11"/>
    </row>
    <row r="444" spans="8:14" x14ac:dyDescent="0.25">
      <c r="H444" s="37"/>
      <c r="I444" s="79"/>
      <c r="J444" s="70"/>
      <c r="K444" s="57"/>
      <c r="L444" s="11"/>
      <c r="M444" s="41"/>
      <c r="N444" s="11"/>
    </row>
    <row r="445" spans="8:14" x14ac:dyDescent="0.25">
      <c r="H445" s="37"/>
      <c r="I445" s="79"/>
      <c r="J445" s="70"/>
      <c r="K445" s="57"/>
      <c r="L445" s="11"/>
      <c r="M445" s="41"/>
      <c r="N445" s="11"/>
    </row>
    <row r="446" spans="8:14" x14ac:dyDescent="0.25">
      <c r="H446" s="37"/>
      <c r="I446" s="79"/>
      <c r="J446" s="70"/>
      <c r="K446" s="57"/>
      <c r="L446" s="11"/>
      <c r="M446" s="41"/>
      <c r="N446" s="11"/>
    </row>
    <row r="447" spans="8:14" x14ac:dyDescent="0.25">
      <c r="H447" s="37"/>
      <c r="I447" s="79"/>
      <c r="J447" s="70"/>
      <c r="K447" s="57"/>
      <c r="L447" s="11"/>
      <c r="M447" s="41"/>
      <c r="N447" s="11"/>
    </row>
    <row r="448" spans="8:14" x14ac:dyDescent="0.25">
      <c r="H448" s="37"/>
      <c r="I448" s="79"/>
      <c r="J448" s="70"/>
      <c r="K448" s="57"/>
      <c r="L448" s="11"/>
      <c r="M448" s="41"/>
      <c r="N448" s="11"/>
    </row>
    <row r="449" spans="8:14" x14ac:dyDescent="0.25">
      <c r="H449" s="37"/>
      <c r="I449" s="79"/>
      <c r="J449" s="70"/>
      <c r="K449" s="57"/>
      <c r="L449" s="11"/>
      <c r="M449" s="41"/>
      <c r="N449" s="11"/>
    </row>
    <row r="450" spans="8:14" x14ac:dyDescent="0.25">
      <c r="H450" s="37"/>
      <c r="I450" s="79"/>
      <c r="J450" s="70"/>
      <c r="K450" s="57"/>
      <c r="L450" s="11"/>
      <c r="M450" s="41"/>
      <c r="N450" s="11"/>
    </row>
    <row r="451" spans="8:14" x14ac:dyDescent="0.25">
      <c r="H451" s="37"/>
      <c r="I451" s="79"/>
      <c r="J451" s="70"/>
      <c r="K451" s="57"/>
      <c r="L451" s="11"/>
      <c r="M451" s="41"/>
      <c r="N451" s="11"/>
    </row>
    <row r="452" spans="8:14" x14ac:dyDescent="0.25">
      <c r="H452" s="37"/>
      <c r="I452" s="79"/>
      <c r="J452" s="70"/>
      <c r="K452" s="57"/>
      <c r="L452" s="11"/>
      <c r="M452" s="41"/>
      <c r="N452" s="11"/>
    </row>
    <row r="453" spans="8:14" x14ac:dyDescent="0.25">
      <c r="H453" s="37"/>
      <c r="I453" s="79"/>
      <c r="J453" s="70"/>
      <c r="K453" s="57"/>
      <c r="L453" s="11"/>
      <c r="M453" s="41"/>
      <c r="N453" s="11"/>
    </row>
    <row r="454" spans="8:14" x14ac:dyDescent="0.25">
      <c r="H454" s="37"/>
      <c r="I454" s="79"/>
      <c r="J454" s="70"/>
      <c r="K454" s="57"/>
      <c r="L454" s="11"/>
      <c r="M454" s="41"/>
      <c r="N454" s="11"/>
    </row>
    <row r="455" spans="8:14" x14ac:dyDescent="0.25">
      <c r="H455" s="37"/>
      <c r="I455" s="79"/>
      <c r="J455" s="70"/>
      <c r="K455" s="57"/>
      <c r="L455" s="11"/>
      <c r="M455" s="41"/>
      <c r="N455" s="11"/>
    </row>
    <row r="456" spans="8:14" x14ac:dyDescent="0.25">
      <c r="H456" s="37"/>
      <c r="I456" s="79"/>
      <c r="J456" s="70"/>
      <c r="K456" s="57"/>
      <c r="L456" s="11"/>
      <c r="M456" s="41"/>
      <c r="N456" s="11"/>
    </row>
    <row r="457" spans="8:14" x14ac:dyDescent="0.25">
      <c r="H457" s="37"/>
      <c r="I457" s="79"/>
      <c r="J457" s="70"/>
      <c r="K457" s="57"/>
      <c r="L457" s="11"/>
      <c r="M457" s="41"/>
      <c r="N457" s="11"/>
    </row>
    <row r="458" spans="8:14" x14ac:dyDescent="0.25">
      <c r="H458" s="37"/>
      <c r="I458" s="79"/>
      <c r="J458" s="70"/>
      <c r="K458" s="57"/>
      <c r="L458" s="11"/>
      <c r="M458" s="41"/>
      <c r="N458" s="11"/>
    </row>
    <row r="459" spans="8:14" x14ac:dyDescent="0.25">
      <c r="H459" s="37"/>
      <c r="I459" s="79"/>
      <c r="J459" s="70"/>
      <c r="K459" s="57"/>
      <c r="L459" s="11"/>
      <c r="M459" s="41"/>
      <c r="N459" s="11"/>
    </row>
    <row r="460" spans="8:14" x14ac:dyDescent="0.25">
      <c r="H460" s="37"/>
      <c r="I460" s="79"/>
      <c r="J460" s="70"/>
      <c r="K460" s="57"/>
      <c r="L460" s="11"/>
      <c r="M460" s="41"/>
      <c r="N460" s="11"/>
    </row>
    <row r="461" spans="8:14" x14ac:dyDescent="0.25">
      <c r="H461" s="37"/>
      <c r="I461" s="79"/>
      <c r="J461" s="70"/>
      <c r="K461" s="57"/>
      <c r="L461" s="11"/>
      <c r="M461" s="41"/>
      <c r="N461" s="11"/>
    </row>
    <row r="462" spans="8:14" x14ac:dyDescent="0.25">
      <c r="H462" s="37"/>
      <c r="I462" s="79"/>
      <c r="J462" s="70"/>
      <c r="K462" s="57"/>
      <c r="L462" s="11"/>
      <c r="M462" s="41"/>
      <c r="N462" s="11"/>
    </row>
    <row r="463" spans="8:14" x14ac:dyDescent="0.25">
      <c r="H463" s="37"/>
      <c r="I463" s="79"/>
      <c r="J463" s="70"/>
      <c r="K463" s="57"/>
      <c r="L463" s="11"/>
      <c r="M463" s="41"/>
      <c r="N463" s="11"/>
    </row>
    <row r="464" spans="8:14" x14ac:dyDescent="0.25">
      <c r="H464" s="37"/>
      <c r="I464" s="79"/>
      <c r="J464" s="70"/>
      <c r="K464" s="57"/>
      <c r="L464" s="11"/>
      <c r="M464" s="41"/>
      <c r="N464" s="11"/>
    </row>
    <row r="465" spans="8:14" x14ac:dyDescent="0.25">
      <c r="H465" s="37"/>
      <c r="I465" s="79"/>
      <c r="J465" s="70"/>
      <c r="K465" s="57"/>
      <c r="L465" s="11"/>
      <c r="M465" s="41"/>
      <c r="N465" s="11"/>
    </row>
    <row r="466" spans="8:14" x14ac:dyDescent="0.25">
      <c r="H466" s="37"/>
      <c r="I466" s="79"/>
      <c r="J466" s="70"/>
      <c r="K466" s="57"/>
      <c r="L466" s="11"/>
      <c r="M466" s="41"/>
      <c r="N466" s="11"/>
    </row>
    <row r="467" spans="8:14" x14ac:dyDescent="0.25">
      <c r="H467" s="37"/>
      <c r="I467" s="79"/>
      <c r="J467" s="70"/>
      <c r="K467" s="57"/>
      <c r="L467" s="11"/>
      <c r="M467" s="41"/>
      <c r="N467" s="11"/>
    </row>
    <row r="468" spans="8:14" x14ac:dyDescent="0.25">
      <c r="H468" s="37"/>
      <c r="I468" s="79"/>
      <c r="J468" s="70"/>
      <c r="K468" s="57"/>
      <c r="L468" s="11"/>
      <c r="M468" s="41"/>
      <c r="N468" s="11"/>
    </row>
    <row r="469" spans="8:14" x14ac:dyDescent="0.25">
      <c r="H469" s="37"/>
      <c r="I469" s="79"/>
      <c r="J469" s="70"/>
      <c r="K469" s="57"/>
      <c r="L469" s="11"/>
      <c r="M469" s="41"/>
      <c r="N469" s="11"/>
    </row>
    <row r="470" spans="8:14" x14ac:dyDescent="0.25">
      <c r="H470" s="37"/>
      <c r="I470" s="79"/>
      <c r="J470" s="70"/>
      <c r="K470" s="57"/>
      <c r="L470" s="11"/>
      <c r="M470" s="41"/>
      <c r="N470" s="11"/>
    </row>
    <row r="471" spans="8:14" x14ac:dyDescent="0.25">
      <c r="H471" s="37"/>
      <c r="I471" s="79"/>
      <c r="J471" s="70"/>
      <c r="K471" s="57"/>
      <c r="L471" s="11"/>
      <c r="M471" s="41"/>
      <c r="N471" s="11"/>
    </row>
    <row r="472" spans="8:14" x14ac:dyDescent="0.25">
      <c r="H472" s="37"/>
      <c r="I472" s="79"/>
      <c r="J472" s="70"/>
      <c r="K472" s="57"/>
      <c r="L472" s="11"/>
      <c r="M472" s="41"/>
      <c r="N472" s="11"/>
    </row>
    <row r="473" spans="8:14" x14ac:dyDescent="0.25">
      <c r="H473" s="37"/>
      <c r="I473" s="79"/>
      <c r="J473" s="70"/>
      <c r="K473" s="57"/>
      <c r="L473" s="11"/>
      <c r="M473" s="41"/>
      <c r="N473" s="11"/>
    </row>
    <row r="474" spans="8:14" x14ac:dyDescent="0.25">
      <c r="H474" s="37"/>
      <c r="I474" s="79"/>
      <c r="J474" s="70"/>
      <c r="K474" s="57"/>
      <c r="L474" s="11"/>
      <c r="M474" s="41"/>
      <c r="N474" s="11"/>
    </row>
    <row r="475" spans="8:14" x14ac:dyDescent="0.25">
      <c r="H475" s="37"/>
      <c r="I475" s="79"/>
      <c r="J475" s="70"/>
      <c r="K475" s="57"/>
      <c r="L475" s="11"/>
      <c r="M475" s="41"/>
      <c r="N475" s="11"/>
    </row>
    <row r="476" spans="8:14" x14ac:dyDescent="0.25">
      <c r="H476" s="37"/>
      <c r="I476" s="79"/>
      <c r="J476" s="70"/>
      <c r="K476" s="57"/>
      <c r="L476" s="11"/>
      <c r="M476" s="41"/>
      <c r="N476" s="11"/>
    </row>
    <row r="477" spans="8:14" x14ac:dyDescent="0.25">
      <c r="H477" s="37"/>
      <c r="I477" s="79"/>
      <c r="J477" s="70"/>
      <c r="K477" s="57"/>
      <c r="L477" s="11"/>
      <c r="M477" s="41"/>
      <c r="N477" s="11"/>
    </row>
    <row r="478" spans="8:14" x14ac:dyDescent="0.25">
      <c r="H478" s="37"/>
      <c r="I478" s="79"/>
      <c r="J478" s="70"/>
      <c r="K478" s="57"/>
      <c r="L478" s="11"/>
      <c r="M478" s="41"/>
      <c r="N478" s="11"/>
    </row>
    <row r="479" spans="8:14" x14ac:dyDescent="0.25">
      <c r="H479" s="37"/>
      <c r="I479" s="79"/>
      <c r="J479" s="70"/>
      <c r="K479" s="57"/>
      <c r="L479" s="11"/>
      <c r="M479" s="41"/>
      <c r="N479" s="11"/>
    </row>
    <row r="480" spans="8:14" x14ac:dyDescent="0.25">
      <c r="H480" s="37"/>
      <c r="I480" s="79"/>
      <c r="J480" s="70"/>
      <c r="K480" s="57"/>
      <c r="L480" s="11"/>
      <c r="M480" s="41"/>
      <c r="N480" s="11"/>
    </row>
    <row r="481" spans="8:14" x14ac:dyDescent="0.25">
      <c r="H481" s="37"/>
      <c r="I481" s="79"/>
      <c r="J481" s="70"/>
      <c r="K481" s="57"/>
      <c r="L481" s="11"/>
      <c r="M481" s="41"/>
      <c r="N481" s="11"/>
    </row>
    <row r="482" spans="8:14" x14ac:dyDescent="0.25">
      <c r="H482" s="37"/>
      <c r="I482" s="79"/>
      <c r="J482" s="70"/>
      <c r="K482" s="57"/>
      <c r="L482" s="11"/>
      <c r="M482" s="41"/>
      <c r="N482" s="11"/>
    </row>
    <row r="483" spans="8:14" x14ac:dyDescent="0.25">
      <c r="H483" s="37"/>
      <c r="I483" s="79"/>
      <c r="J483" s="70"/>
      <c r="K483" s="57"/>
      <c r="L483" s="11"/>
      <c r="M483" s="41"/>
      <c r="N483" s="11"/>
    </row>
    <row r="484" spans="8:14" x14ac:dyDescent="0.25">
      <c r="H484" s="37"/>
      <c r="I484" s="79"/>
      <c r="J484" s="70"/>
      <c r="K484" s="57"/>
      <c r="L484" s="11"/>
      <c r="M484" s="41"/>
      <c r="N484" s="11"/>
    </row>
    <row r="485" spans="8:14" x14ac:dyDescent="0.25">
      <c r="H485" s="37"/>
      <c r="I485" s="79"/>
      <c r="J485" s="70"/>
      <c r="K485" s="57"/>
      <c r="L485" s="11"/>
      <c r="M485" s="41"/>
      <c r="N485" s="11"/>
    </row>
    <row r="486" spans="8:14" x14ac:dyDescent="0.25">
      <c r="H486" s="37"/>
      <c r="I486" s="79"/>
      <c r="J486" s="70"/>
      <c r="K486" s="57"/>
      <c r="L486" s="11"/>
      <c r="M486" s="41"/>
      <c r="N486" s="11"/>
    </row>
    <row r="487" spans="8:14" x14ac:dyDescent="0.25">
      <c r="H487" s="37"/>
      <c r="I487" s="79"/>
      <c r="J487" s="70"/>
      <c r="K487" s="57"/>
      <c r="L487" s="11"/>
      <c r="M487" s="41"/>
      <c r="N487" s="11"/>
    </row>
    <row r="488" spans="8:14" x14ac:dyDescent="0.25">
      <c r="H488" s="37"/>
      <c r="I488" s="79"/>
      <c r="J488" s="70"/>
      <c r="K488" s="57"/>
      <c r="L488" s="11"/>
      <c r="M488" s="41"/>
      <c r="N488" s="11"/>
    </row>
    <row r="489" spans="8:14" x14ac:dyDescent="0.25">
      <c r="H489" s="37"/>
      <c r="I489" s="79"/>
      <c r="J489" s="70"/>
      <c r="K489" s="57"/>
      <c r="L489" s="11"/>
      <c r="M489" s="41"/>
      <c r="N489" s="11"/>
    </row>
    <row r="490" spans="8:14" x14ac:dyDescent="0.25">
      <c r="H490" s="37"/>
      <c r="I490" s="79"/>
      <c r="J490" s="70"/>
      <c r="K490" s="57"/>
      <c r="L490" s="11"/>
      <c r="M490" s="41"/>
      <c r="N490" s="11"/>
    </row>
    <row r="491" spans="8:14" x14ac:dyDescent="0.25">
      <c r="H491" s="37"/>
      <c r="I491" s="79"/>
      <c r="J491" s="70"/>
      <c r="K491" s="57"/>
      <c r="L491" s="11"/>
      <c r="M491" s="41"/>
      <c r="N491" s="11"/>
    </row>
    <row r="492" spans="8:14" x14ac:dyDescent="0.25">
      <c r="H492" s="37"/>
      <c r="I492" s="79"/>
      <c r="J492" s="70"/>
      <c r="K492" s="57"/>
      <c r="L492" s="11"/>
      <c r="M492" s="41"/>
      <c r="N492" s="11"/>
    </row>
    <row r="493" spans="8:14" x14ac:dyDescent="0.25">
      <c r="H493" s="37"/>
      <c r="I493" s="79"/>
      <c r="J493" s="70"/>
      <c r="K493" s="57"/>
      <c r="L493" s="11"/>
      <c r="M493" s="41"/>
      <c r="N493" s="11"/>
    </row>
    <row r="494" spans="8:14" x14ac:dyDescent="0.25">
      <c r="H494" s="37"/>
      <c r="I494" s="79"/>
      <c r="J494" s="70"/>
      <c r="K494" s="57"/>
      <c r="L494" s="11"/>
      <c r="M494" s="41"/>
      <c r="N494" s="11"/>
    </row>
    <row r="495" spans="8:14" x14ac:dyDescent="0.25">
      <c r="H495" s="37"/>
      <c r="I495" s="79"/>
      <c r="J495" s="70"/>
      <c r="K495" s="57"/>
      <c r="L495" s="11"/>
      <c r="M495" s="41"/>
      <c r="N495" s="11"/>
    </row>
    <row r="496" spans="8:14" x14ac:dyDescent="0.25">
      <c r="H496" s="37"/>
      <c r="I496" s="79"/>
      <c r="J496" s="70"/>
      <c r="K496" s="57"/>
      <c r="L496" s="11"/>
      <c r="M496" s="41"/>
      <c r="N496" s="11"/>
    </row>
    <row r="497" spans="8:14" x14ac:dyDescent="0.25">
      <c r="H497" s="37"/>
      <c r="I497" s="79"/>
      <c r="J497" s="70"/>
      <c r="K497" s="57"/>
      <c r="L497" s="11"/>
      <c r="M497" s="41"/>
      <c r="N497" s="11"/>
    </row>
    <row r="498" spans="8:14" x14ac:dyDescent="0.25">
      <c r="H498" s="37"/>
      <c r="I498" s="79"/>
      <c r="J498" s="70"/>
      <c r="K498" s="57"/>
      <c r="L498" s="11"/>
      <c r="M498" s="41"/>
      <c r="N498" s="11"/>
    </row>
    <row r="499" spans="8:14" x14ac:dyDescent="0.25">
      <c r="H499" s="37"/>
      <c r="I499" s="79"/>
      <c r="J499" s="70"/>
      <c r="K499" s="57"/>
      <c r="L499" s="11"/>
      <c r="M499" s="41"/>
      <c r="N499" s="11"/>
    </row>
    <row r="500" spans="8:14" x14ac:dyDescent="0.25">
      <c r="H500" s="37"/>
      <c r="I500" s="79"/>
      <c r="J500" s="70"/>
      <c r="K500" s="57"/>
      <c r="L500" s="11"/>
      <c r="M500" s="41"/>
      <c r="N500" s="11"/>
    </row>
    <row r="501" spans="8:14" x14ac:dyDescent="0.25">
      <c r="H501" s="37"/>
      <c r="I501" s="79"/>
      <c r="J501" s="70"/>
      <c r="K501" s="57"/>
      <c r="L501" s="11"/>
      <c r="M501" s="41"/>
      <c r="N501" s="11"/>
    </row>
    <row r="502" spans="8:14" x14ac:dyDescent="0.25">
      <c r="H502" s="37"/>
      <c r="I502" s="79"/>
      <c r="J502" s="70"/>
      <c r="K502" s="57"/>
      <c r="L502" s="11"/>
      <c r="M502" s="41"/>
      <c r="N502" s="11"/>
    </row>
    <row r="503" spans="8:14" x14ac:dyDescent="0.25">
      <c r="H503" s="37"/>
      <c r="I503" s="79"/>
      <c r="J503" s="70"/>
      <c r="K503" s="57"/>
      <c r="L503" s="11"/>
      <c r="M503" s="41"/>
      <c r="N503" s="11"/>
    </row>
    <row r="504" spans="8:14" x14ac:dyDescent="0.25">
      <c r="H504" s="37"/>
      <c r="I504" s="79"/>
      <c r="J504" s="70"/>
      <c r="K504" s="57"/>
      <c r="L504" s="11"/>
      <c r="M504" s="41"/>
      <c r="N504" s="11"/>
    </row>
    <row r="505" spans="8:14" x14ac:dyDescent="0.25">
      <c r="H505" s="37"/>
      <c r="I505" s="79"/>
      <c r="J505" s="70"/>
      <c r="K505" s="57"/>
      <c r="L505" s="11"/>
      <c r="M505" s="41"/>
      <c r="N505" s="11"/>
    </row>
    <row r="506" spans="8:14" x14ac:dyDescent="0.25">
      <c r="H506" s="37"/>
      <c r="I506" s="79"/>
      <c r="J506" s="70"/>
      <c r="K506" s="57"/>
      <c r="L506" s="11"/>
      <c r="M506" s="41"/>
      <c r="N506" s="11"/>
    </row>
    <row r="507" spans="8:14" x14ac:dyDescent="0.25">
      <c r="H507" s="37"/>
      <c r="I507" s="79"/>
      <c r="J507" s="70"/>
      <c r="K507" s="57"/>
      <c r="L507" s="11"/>
      <c r="M507" s="41"/>
      <c r="N507" s="11"/>
    </row>
    <row r="508" spans="8:14" x14ac:dyDescent="0.25">
      <c r="H508" s="37"/>
      <c r="I508" s="79"/>
      <c r="J508" s="70"/>
      <c r="K508" s="57"/>
      <c r="L508" s="11"/>
      <c r="M508" s="41"/>
      <c r="N508" s="11"/>
    </row>
    <row r="509" spans="8:14" x14ac:dyDescent="0.25">
      <c r="H509" s="37"/>
      <c r="I509" s="79"/>
      <c r="J509" s="70"/>
      <c r="K509" s="57"/>
      <c r="L509" s="11"/>
      <c r="M509" s="41"/>
      <c r="N509" s="11"/>
    </row>
    <row r="510" spans="8:14" x14ac:dyDescent="0.25">
      <c r="H510" s="37"/>
      <c r="I510" s="79"/>
      <c r="J510" s="70"/>
      <c r="K510" s="57"/>
      <c r="L510" s="11"/>
      <c r="M510" s="41"/>
      <c r="N510" s="11"/>
    </row>
    <row r="511" spans="8:14" x14ac:dyDescent="0.25">
      <c r="H511" s="37"/>
      <c r="I511" s="79"/>
      <c r="J511" s="70"/>
      <c r="K511" s="57"/>
      <c r="L511" s="11"/>
      <c r="M511" s="41"/>
      <c r="N511" s="11"/>
    </row>
    <row r="512" spans="8:14" x14ac:dyDescent="0.25">
      <c r="H512" s="37"/>
      <c r="I512" s="79"/>
      <c r="J512" s="70"/>
      <c r="K512" s="57"/>
      <c r="L512" s="11"/>
      <c r="M512" s="41"/>
      <c r="N512" s="11"/>
    </row>
    <row r="513" spans="8:14" x14ac:dyDescent="0.25">
      <c r="H513" s="37"/>
      <c r="I513" s="79"/>
      <c r="J513" s="70"/>
      <c r="K513" s="57"/>
      <c r="L513" s="11"/>
      <c r="M513" s="41"/>
      <c r="N513" s="11"/>
    </row>
    <row r="514" spans="8:14" x14ac:dyDescent="0.25">
      <c r="H514" s="37"/>
      <c r="I514" s="79"/>
      <c r="J514" s="70"/>
      <c r="K514" s="57"/>
      <c r="L514" s="11"/>
      <c r="M514" s="41"/>
      <c r="N514" s="11"/>
    </row>
    <row r="515" spans="8:14" x14ac:dyDescent="0.25">
      <c r="H515" s="37"/>
      <c r="I515" s="79"/>
      <c r="J515" s="70"/>
      <c r="K515" s="57"/>
      <c r="L515" s="11"/>
      <c r="M515" s="41"/>
      <c r="N515" s="11"/>
    </row>
    <row r="516" spans="8:14" x14ac:dyDescent="0.25">
      <c r="H516" s="37"/>
      <c r="I516" s="79"/>
      <c r="J516" s="70"/>
      <c r="K516" s="57"/>
      <c r="L516" s="11"/>
      <c r="M516" s="41"/>
      <c r="N516" s="11"/>
    </row>
    <row r="517" spans="8:14" x14ac:dyDescent="0.25">
      <c r="H517" s="37"/>
      <c r="I517" s="79"/>
      <c r="J517" s="70"/>
      <c r="K517" s="57"/>
      <c r="L517" s="11"/>
      <c r="M517" s="41"/>
      <c r="N517" s="11"/>
    </row>
    <row r="518" spans="8:14" x14ac:dyDescent="0.25">
      <c r="H518" s="37"/>
      <c r="I518" s="79"/>
      <c r="J518" s="70"/>
      <c r="K518" s="57"/>
      <c r="L518" s="11"/>
      <c r="M518" s="41"/>
      <c r="N518" s="11"/>
    </row>
    <row r="519" spans="8:14" x14ac:dyDescent="0.25">
      <c r="H519" s="37"/>
      <c r="I519" s="79"/>
      <c r="J519" s="70"/>
      <c r="K519" s="57"/>
      <c r="L519" s="11"/>
      <c r="M519" s="41"/>
      <c r="N519" s="11"/>
    </row>
    <row r="520" spans="8:14" x14ac:dyDescent="0.25">
      <c r="H520" s="37"/>
      <c r="I520" s="79"/>
      <c r="J520" s="70"/>
      <c r="K520" s="57"/>
      <c r="L520" s="11"/>
      <c r="M520" s="41"/>
      <c r="N520" s="11"/>
    </row>
    <row r="521" spans="8:14" x14ac:dyDescent="0.25">
      <c r="H521" s="37"/>
      <c r="I521" s="79"/>
      <c r="J521" s="70"/>
      <c r="K521" s="57"/>
      <c r="L521" s="11"/>
      <c r="M521" s="41"/>
      <c r="N521" s="11"/>
    </row>
    <row r="522" spans="8:14" x14ac:dyDescent="0.25">
      <c r="H522" s="37"/>
      <c r="I522" s="79"/>
      <c r="J522" s="70"/>
      <c r="K522" s="57"/>
      <c r="L522" s="11"/>
      <c r="M522" s="41"/>
      <c r="N522" s="11"/>
    </row>
    <row r="523" spans="8:14" x14ac:dyDescent="0.25">
      <c r="H523" s="37"/>
      <c r="I523" s="79"/>
      <c r="J523" s="70"/>
      <c r="K523" s="57"/>
      <c r="L523" s="11"/>
      <c r="M523" s="41"/>
      <c r="N523" s="11"/>
    </row>
    <row r="524" spans="8:14" x14ac:dyDescent="0.25">
      <c r="H524" s="37"/>
      <c r="I524" s="79"/>
      <c r="J524" s="70"/>
      <c r="K524" s="57"/>
      <c r="L524" s="11"/>
      <c r="M524" s="41"/>
      <c r="N524" s="11"/>
    </row>
    <row r="525" spans="8:14" x14ac:dyDescent="0.25">
      <c r="H525" s="37"/>
      <c r="I525" s="79"/>
      <c r="J525" s="70"/>
      <c r="K525" s="57"/>
      <c r="L525" s="11"/>
      <c r="M525" s="41"/>
      <c r="N525" s="11"/>
    </row>
    <row r="526" spans="8:14" x14ac:dyDescent="0.25">
      <c r="H526" s="37"/>
      <c r="I526" s="79"/>
      <c r="J526" s="70"/>
      <c r="K526" s="57"/>
      <c r="L526" s="11"/>
      <c r="M526" s="41"/>
      <c r="N526" s="11"/>
    </row>
    <row r="527" spans="8:14" x14ac:dyDescent="0.25">
      <c r="H527" s="37"/>
      <c r="I527" s="79"/>
      <c r="J527" s="70"/>
      <c r="K527" s="57"/>
      <c r="L527" s="11"/>
      <c r="M527" s="41"/>
      <c r="N527" s="11"/>
    </row>
    <row r="528" spans="8:14" x14ac:dyDescent="0.25">
      <c r="H528" s="37"/>
      <c r="I528" s="79"/>
      <c r="J528" s="70"/>
      <c r="K528" s="57"/>
      <c r="L528" s="11"/>
      <c r="M528" s="41"/>
      <c r="N528" s="11"/>
    </row>
    <row r="529" spans="8:14" x14ac:dyDescent="0.25">
      <c r="H529" s="37"/>
      <c r="I529" s="79"/>
      <c r="J529" s="70"/>
      <c r="K529" s="57"/>
      <c r="L529" s="11"/>
      <c r="M529" s="41"/>
      <c r="N529" s="11"/>
    </row>
    <row r="530" spans="8:14" x14ac:dyDescent="0.25">
      <c r="H530" s="37"/>
      <c r="I530" s="79"/>
      <c r="J530" s="70"/>
      <c r="K530" s="57"/>
      <c r="L530" s="11"/>
      <c r="M530" s="41"/>
      <c r="N530" s="11"/>
    </row>
    <row r="531" spans="8:14" x14ac:dyDescent="0.25">
      <c r="H531" s="37"/>
      <c r="I531" s="79"/>
      <c r="J531" s="70"/>
      <c r="K531" s="57"/>
      <c r="L531" s="11"/>
      <c r="M531" s="41"/>
      <c r="N531" s="11"/>
    </row>
    <row r="532" spans="8:14" x14ac:dyDescent="0.25">
      <c r="H532" s="37"/>
      <c r="I532" s="79"/>
      <c r="J532" s="70"/>
      <c r="K532" s="57"/>
      <c r="L532" s="11"/>
      <c r="M532" s="41"/>
      <c r="N532" s="11"/>
    </row>
    <row r="533" spans="8:14" x14ac:dyDescent="0.25">
      <c r="H533" s="37"/>
      <c r="I533" s="79"/>
      <c r="J533" s="70"/>
      <c r="K533" s="57"/>
      <c r="L533" s="11"/>
      <c r="M533" s="41"/>
      <c r="N533" s="11"/>
    </row>
    <row r="534" spans="8:14" x14ac:dyDescent="0.25">
      <c r="H534" s="37"/>
      <c r="I534" s="79"/>
      <c r="J534" s="70"/>
      <c r="K534" s="57"/>
      <c r="L534" s="11"/>
      <c r="M534" s="41"/>
      <c r="N534" s="11"/>
    </row>
    <row r="535" spans="8:14" x14ac:dyDescent="0.25">
      <c r="H535" s="37"/>
      <c r="I535" s="79"/>
      <c r="J535" s="70"/>
      <c r="K535" s="57"/>
      <c r="L535" s="11"/>
      <c r="M535" s="41"/>
      <c r="N535" s="11"/>
    </row>
    <row r="536" spans="8:14" x14ac:dyDescent="0.25">
      <c r="H536" s="37"/>
      <c r="I536" s="79"/>
      <c r="J536" s="70"/>
      <c r="K536" s="57"/>
      <c r="L536" s="11"/>
      <c r="M536" s="41"/>
      <c r="N536" s="11"/>
    </row>
    <row r="537" spans="8:14" x14ac:dyDescent="0.25">
      <c r="H537" s="37"/>
      <c r="I537" s="79"/>
      <c r="J537" s="70"/>
      <c r="K537" s="57"/>
      <c r="L537" s="11"/>
      <c r="M537" s="41"/>
      <c r="N537" s="11"/>
    </row>
    <row r="538" spans="8:14" x14ac:dyDescent="0.25">
      <c r="H538" s="37"/>
      <c r="I538" s="79"/>
      <c r="J538" s="70"/>
      <c r="K538" s="57"/>
      <c r="L538" s="11"/>
      <c r="M538" s="41"/>
      <c r="N538" s="11"/>
    </row>
    <row r="539" spans="8:14" x14ac:dyDescent="0.25">
      <c r="H539" s="37"/>
      <c r="I539" s="79"/>
      <c r="J539" s="70"/>
      <c r="K539" s="57"/>
      <c r="L539" s="11"/>
      <c r="M539" s="41"/>
      <c r="N539" s="11"/>
    </row>
    <row r="540" spans="8:14" x14ac:dyDescent="0.25">
      <c r="H540" s="37"/>
      <c r="I540" s="79"/>
      <c r="J540" s="70"/>
      <c r="K540" s="57"/>
      <c r="L540" s="11"/>
      <c r="M540" s="41"/>
      <c r="N540" s="11"/>
    </row>
    <row r="541" spans="8:14" x14ac:dyDescent="0.25">
      <c r="H541" s="37"/>
      <c r="I541" s="79"/>
      <c r="J541" s="70"/>
      <c r="K541" s="57"/>
      <c r="L541" s="11"/>
      <c r="M541" s="41"/>
      <c r="N541" s="11"/>
    </row>
    <row r="542" spans="8:14" x14ac:dyDescent="0.25">
      <c r="H542" s="37"/>
      <c r="I542" s="79"/>
      <c r="J542" s="70"/>
      <c r="K542" s="57"/>
      <c r="L542" s="11"/>
      <c r="M542" s="41"/>
      <c r="N542" s="11"/>
    </row>
    <row r="543" spans="8:14" x14ac:dyDescent="0.25">
      <c r="H543" s="37"/>
      <c r="I543" s="79"/>
      <c r="J543" s="70"/>
      <c r="K543" s="57"/>
      <c r="L543" s="11"/>
      <c r="M543" s="41"/>
      <c r="N543" s="11"/>
    </row>
    <row r="544" spans="8:14" x14ac:dyDescent="0.25">
      <c r="H544" s="37"/>
      <c r="I544" s="79"/>
      <c r="J544" s="70"/>
      <c r="K544" s="57"/>
      <c r="L544" s="11"/>
      <c r="M544" s="41"/>
      <c r="N544" s="11"/>
    </row>
    <row r="545" spans="8:14" x14ac:dyDescent="0.25">
      <c r="H545" s="37"/>
      <c r="I545" s="79"/>
      <c r="J545" s="70"/>
      <c r="K545" s="57"/>
      <c r="L545" s="11"/>
      <c r="M545" s="41"/>
      <c r="N545" s="11"/>
    </row>
    <row r="546" spans="8:14" x14ac:dyDescent="0.25">
      <c r="H546" s="37"/>
      <c r="I546" s="79"/>
      <c r="J546" s="70"/>
      <c r="K546" s="57"/>
      <c r="L546" s="11"/>
      <c r="M546" s="41"/>
      <c r="N546" s="11"/>
    </row>
    <row r="547" spans="8:14" x14ac:dyDescent="0.25">
      <c r="H547" s="37"/>
      <c r="I547" s="79"/>
      <c r="J547" s="70"/>
      <c r="K547" s="57"/>
      <c r="L547" s="11"/>
      <c r="M547" s="41"/>
      <c r="N547" s="11"/>
    </row>
    <row r="548" spans="8:14" x14ac:dyDescent="0.25">
      <c r="H548" s="37"/>
      <c r="I548" s="79"/>
      <c r="J548" s="70"/>
      <c r="K548" s="57"/>
      <c r="L548" s="11"/>
      <c r="M548" s="41"/>
      <c r="N548" s="11"/>
    </row>
    <row r="549" spans="8:14" x14ac:dyDescent="0.25">
      <c r="H549" s="37"/>
      <c r="I549" s="79"/>
      <c r="J549" s="70"/>
      <c r="K549" s="57"/>
      <c r="L549" s="11"/>
      <c r="M549" s="41"/>
      <c r="N549" s="11"/>
    </row>
    <row r="550" spans="8:14" x14ac:dyDescent="0.25">
      <c r="H550" s="37"/>
      <c r="I550" s="79"/>
      <c r="J550" s="70"/>
      <c r="K550" s="57"/>
      <c r="L550" s="11"/>
      <c r="M550" s="41"/>
      <c r="N550" s="11"/>
    </row>
    <row r="551" spans="8:14" x14ac:dyDescent="0.25">
      <c r="H551" s="37"/>
      <c r="I551" s="79"/>
      <c r="J551" s="70"/>
      <c r="K551" s="57"/>
      <c r="L551" s="11"/>
      <c r="M551" s="41"/>
      <c r="N551" s="11"/>
    </row>
    <row r="552" spans="8:14" x14ac:dyDescent="0.25">
      <c r="H552" s="37"/>
      <c r="I552" s="79"/>
      <c r="J552" s="70"/>
      <c r="K552" s="57"/>
      <c r="L552" s="11"/>
      <c r="M552" s="41"/>
      <c r="N552" s="11"/>
    </row>
    <row r="553" spans="8:14" x14ac:dyDescent="0.25">
      <c r="H553" s="37"/>
      <c r="I553" s="79"/>
      <c r="J553" s="70"/>
      <c r="K553" s="57"/>
      <c r="L553" s="11"/>
      <c r="M553" s="41"/>
      <c r="N553" s="11"/>
    </row>
    <row r="554" spans="8:14" x14ac:dyDescent="0.25">
      <c r="H554" s="37"/>
      <c r="I554" s="79"/>
      <c r="J554" s="70"/>
      <c r="K554" s="57"/>
      <c r="L554" s="11"/>
      <c r="M554" s="41"/>
      <c r="N554" s="11"/>
    </row>
    <row r="555" spans="8:14" x14ac:dyDescent="0.25">
      <c r="H555" s="37"/>
      <c r="I555" s="79"/>
      <c r="J555" s="70"/>
      <c r="K555" s="57"/>
      <c r="L555" s="11"/>
      <c r="M555" s="41"/>
      <c r="N555" s="11"/>
    </row>
    <row r="556" spans="8:14" x14ac:dyDescent="0.25">
      <c r="H556" s="37"/>
      <c r="I556" s="79"/>
      <c r="J556" s="70"/>
      <c r="K556" s="57"/>
      <c r="L556" s="11"/>
      <c r="M556" s="41"/>
      <c r="N556" s="11"/>
    </row>
    <row r="557" spans="8:14" x14ac:dyDescent="0.25">
      <c r="H557" s="37"/>
      <c r="I557" s="79"/>
      <c r="J557" s="70"/>
      <c r="K557" s="57"/>
      <c r="L557" s="11"/>
      <c r="M557" s="41"/>
      <c r="N557" s="11"/>
    </row>
    <row r="558" spans="8:14" x14ac:dyDescent="0.25">
      <c r="H558" s="37"/>
      <c r="I558" s="79"/>
      <c r="J558" s="70"/>
      <c r="K558" s="57"/>
      <c r="L558" s="11"/>
      <c r="M558" s="41"/>
      <c r="N558" s="11"/>
    </row>
    <row r="559" spans="8:14" x14ac:dyDescent="0.25">
      <c r="H559" s="37"/>
      <c r="I559" s="79"/>
      <c r="J559" s="70"/>
      <c r="K559" s="57"/>
      <c r="L559" s="11"/>
      <c r="M559" s="41"/>
      <c r="N559" s="11"/>
    </row>
    <row r="560" spans="8:14" x14ac:dyDescent="0.25">
      <c r="H560" s="37"/>
      <c r="I560" s="79"/>
      <c r="J560" s="70"/>
      <c r="K560" s="57"/>
      <c r="L560" s="11"/>
      <c r="M560" s="41"/>
      <c r="N560" s="11"/>
    </row>
    <row r="561" spans="8:14" x14ac:dyDescent="0.25">
      <c r="H561" s="37"/>
      <c r="I561" s="79"/>
      <c r="J561" s="70"/>
      <c r="K561" s="57"/>
      <c r="L561" s="11"/>
      <c r="M561" s="41"/>
      <c r="N561" s="11"/>
    </row>
    <row r="562" spans="8:14" x14ac:dyDescent="0.25">
      <c r="H562" s="37"/>
      <c r="I562" s="79"/>
      <c r="J562" s="70"/>
      <c r="K562" s="57"/>
      <c r="L562" s="11"/>
      <c r="M562" s="41"/>
      <c r="N562" s="11"/>
    </row>
    <row r="563" spans="8:14" x14ac:dyDescent="0.25">
      <c r="H563" s="37"/>
      <c r="I563" s="79"/>
      <c r="J563" s="70"/>
      <c r="K563" s="57"/>
      <c r="L563" s="11"/>
      <c r="M563" s="41"/>
      <c r="N563" s="11"/>
    </row>
    <row r="564" spans="8:14" x14ac:dyDescent="0.25">
      <c r="H564" s="37"/>
      <c r="I564" s="79"/>
      <c r="J564" s="70"/>
      <c r="K564" s="57"/>
      <c r="L564" s="11"/>
      <c r="M564" s="41"/>
      <c r="N564" s="11"/>
    </row>
    <row r="565" spans="8:14" x14ac:dyDescent="0.25">
      <c r="H565" s="37"/>
      <c r="I565" s="79"/>
      <c r="J565" s="70"/>
      <c r="K565" s="57"/>
      <c r="L565" s="11"/>
      <c r="M565" s="41"/>
      <c r="N565" s="11"/>
    </row>
    <row r="566" spans="8:14" x14ac:dyDescent="0.25">
      <c r="H566" s="37"/>
      <c r="I566" s="79"/>
      <c r="J566" s="70"/>
      <c r="K566" s="57"/>
      <c r="L566" s="11"/>
      <c r="M566" s="41"/>
      <c r="N566" s="11"/>
    </row>
    <row r="567" spans="8:14" x14ac:dyDescent="0.25">
      <c r="H567" s="37"/>
      <c r="I567" s="79"/>
      <c r="J567" s="70"/>
      <c r="K567" s="57"/>
      <c r="L567" s="11"/>
      <c r="M567" s="41"/>
      <c r="N567" s="11"/>
    </row>
    <row r="568" spans="8:14" x14ac:dyDescent="0.25">
      <c r="H568" s="37"/>
      <c r="I568" s="79"/>
      <c r="J568" s="70"/>
      <c r="K568" s="57"/>
      <c r="L568" s="11"/>
      <c r="M568" s="41"/>
      <c r="N568" s="11"/>
    </row>
    <row r="569" spans="8:14" x14ac:dyDescent="0.25">
      <c r="H569" s="37"/>
      <c r="I569" s="79"/>
      <c r="J569" s="70"/>
      <c r="K569" s="57"/>
      <c r="L569" s="11"/>
      <c r="M569" s="41"/>
      <c r="N569" s="11"/>
    </row>
    <row r="570" spans="8:14" x14ac:dyDescent="0.25">
      <c r="H570" s="37"/>
      <c r="I570" s="79"/>
      <c r="J570" s="70"/>
      <c r="K570" s="57"/>
      <c r="L570" s="11"/>
      <c r="M570" s="41"/>
      <c r="N570" s="11"/>
    </row>
    <row r="571" spans="8:14" x14ac:dyDescent="0.25">
      <c r="H571" s="37"/>
      <c r="I571" s="79"/>
      <c r="J571" s="70"/>
      <c r="K571" s="57"/>
      <c r="L571" s="11"/>
      <c r="M571" s="41"/>
      <c r="N571" s="11"/>
    </row>
    <row r="572" spans="8:14" x14ac:dyDescent="0.25">
      <c r="H572" s="37"/>
      <c r="I572" s="79"/>
      <c r="J572" s="70"/>
      <c r="K572" s="57"/>
      <c r="L572" s="11"/>
      <c r="M572" s="41"/>
      <c r="N572" s="11"/>
    </row>
    <row r="573" spans="8:14" x14ac:dyDescent="0.25">
      <c r="H573" s="37"/>
      <c r="I573" s="79"/>
      <c r="J573" s="70"/>
      <c r="K573" s="57"/>
      <c r="L573" s="11"/>
      <c r="M573" s="41"/>
      <c r="N573" s="11"/>
    </row>
    <row r="574" spans="8:14" x14ac:dyDescent="0.25">
      <c r="H574" s="37"/>
      <c r="I574" s="79"/>
      <c r="J574" s="70"/>
      <c r="K574" s="57"/>
      <c r="L574" s="11"/>
      <c r="M574" s="41"/>
      <c r="N574" s="11"/>
    </row>
    <row r="575" spans="8:14" x14ac:dyDescent="0.25">
      <c r="H575" s="37"/>
      <c r="I575" s="79"/>
      <c r="J575" s="70"/>
      <c r="K575" s="57"/>
      <c r="L575" s="11"/>
      <c r="M575" s="41"/>
      <c r="N575" s="11"/>
    </row>
    <row r="576" spans="8:14" x14ac:dyDescent="0.25">
      <c r="H576" s="37"/>
      <c r="I576" s="79"/>
      <c r="J576" s="70"/>
      <c r="K576" s="57"/>
      <c r="L576" s="11"/>
      <c r="M576" s="41"/>
      <c r="N576" s="11"/>
    </row>
    <row r="577" spans="8:14" x14ac:dyDescent="0.25">
      <c r="H577" s="37"/>
      <c r="I577" s="79"/>
      <c r="J577" s="70"/>
      <c r="K577" s="57"/>
      <c r="L577" s="11"/>
      <c r="M577" s="41"/>
      <c r="N577" s="11"/>
    </row>
    <row r="578" spans="8:14" x14ac:dyDescent="0.25">
      <c r="H578" s="37"/>
      <c r="I578" s="79"/>
      <c r="J578" s="70"/>
      <c r="K578" s="57"/>
      <c r="L578" s="11"/>
      <c r="M578" s="41"/>
      <c r="N578" s="11"/>
    </row>
    <row r="579" spans="8:14" x14ac:dyDescent="0.25">
      <c r="H579" s="37"/>
      <c r="I579" s="79"/>
      <c r="J579" s="70"/>
      <c r="K579" s="57"/>
      <c r="L579" s="11"/>
      <c r="M579" s="41"/>
      <c r="N579" s="11"/>
    </row>
    <row r="580" spans="8:14" x14ac:dyDescent="0.25">
      <c r="H580" s="37"/>
      <c r="I580" s="79"/>
      <c r="J580" s="70"/>
      <c r="K580" s="57"/>
      <c r="L580" s="11"/>
      <c r="M580" s="41"/>
      <c r="N580" s="11"/>
    </row>
    <row r="581" spans="8:14" x14ac:dyDescent="0.25">
      <c r="H581" s="37"/>
      <c r="I581" s="79"/>
      <c r="J581" s="70"/>
      <c r="K581" s="57"/>
      <c r="L581" s="11"/>
      <c r="M581" s="41"/>
      <c r="N581" s="11"/>
    </row>
    <row r="582" spans="8:14" x14ac:dyDescent="0.25">
      <c r="H582" s="37"/>
      <c r="I582" s="79"/>
      <c r="J582" s="70"/>
      <c r="K582" s="57"/>
      <c r="L582" s="11"/>
      <c r="M582" s="41"/>
      <c r="N582" s="11"/>
    </row>
    <row r="583" spans="8:14" x14ac:dyDescent="0.25">
      <c r="H583" s="37"/>
      <c r="I583" s="79"/>
      <c r="J583" s="70"/>
      <c r="K583" s="57"/>
      <c r="L583" s="11"/>
      <c r="M583" s="41"/>
      <c r="N583" s="11"/>
    </row>
    <row r="584" spans="8:14" x14ac:dyDescent="0.25">
      <c r="H584" s="37"/>
      <c r="I584" s="79"/>
      <c r="J584" s="70"/>
      <c r="K584" s="57"/>
      <c r="L584" s="11"/>
      <c r="M584" s="41"/>
      <c r="N584" s="11"/>
    </row>
    <row r="585" spans="8:14" x14ac:dyDescent="0.25">
      <c r="H585" s="37"/>
      <c r="I585" s="79"/>
      <c r="J585" s="70"/>
      <c r="K585" s="57"/>
      <c r="L585" s="11"/>
      <c r="M585" s="41"/>
      <c r="N585" s="11"/>
    </row>
    <row r="586" spans="8:14" x14ac:dyDescent="0.25">
      <c r="H586" s="37"/>
      <c r="I586" s="79"/>
      <c r="J586" s="70"/>
      <c r="K586" s="57"/>
      <c r="L586" s="11"/>
      <c r="M586" s="41"/>
      <c r="N586" s="11"/>
    </row>
    <row r="587" spans="8:14" x14ac:dyDescent="0.25">
      <c r="H587" s="37"/>
      <c r="I587" s="79"/>
      <c r="J587" s="70"/>
      <c r="K587" s="57"/>
      <c r="L587" s="11"/>
      <c r="M587" s="41"/>
      <c r="N587" s="11"/>
    </row>
    <row r="588" spans="8:14" x14ac:dyDescent="0.25">
      <c r="H588" s="37"/>
      <c r="I588" s="79"/>
      <c r="J588" s="70"/>
      <c r="K588" s="57"/>
      <c r="L588" s="11"/>
      <c r="M588" s="41"/>
      <c r="N588" s="11"/>
    </row>
    <row r="589" spans="8:14" x14ac:dyDescent="0.25">
      <c r="H589" s="37"/>
      <c r="I589" s="79"/>
      <c r="J589" s="70"/>
      <c r="K589" s="57"/>
      <c r="L589" s="11"/>
      <c r="M589" s="41"/>
      <c r="N589" s="11"/>
    </row>
    <row r="590" spans="8:14" x14ac:dyDescent="0.25">
      <c r="H590" s="37"/>
      <c r="I590" s="79"/>
      <c r="J590" s="70"/>
      <c r="K590" s="57"/>
      <c r="L590" s="11"/>
      <c r="M590" s="41"/>
      <c r="N590" s="11"/>
    </row>
    <row r="591" spans="8:14" x14ac:dyDescent="0.25">
      <c r="H591" s="37"/>
      <c r="I591" s="79"/>
      <c r="J591" s="70"/>
      <c r="K591" s="57"/>
      <c r="L591" s="11"/>
      <c r="M591" s="41"/>
      <c r="N591" s="11"/>
    </row>
    <row r="592" spans="8:14" x14ac:dyDescent="0.25">
      <c r="H592" s="37"/>
      <c r="I592" s="79"/>
      <c r="J592" s="70"/>
      <c r="K592" s="57"/>
      <c r="L592" s="11"/>
      <c r="M592" s="41"/>
      <c r="N592" s="11"/>
    </row>
    <row r="593" spans="8:14" x14ac:dyDescent="0.25">
      <c r="H593" s="37"/>
      <c r="I593" s="79"/>
      <c r="J593" s="70"/>
      <c r="K593" s="57"/>
      <c r="L593" s="11"/>
      <c r="M593" s="41"/>
      <c r="N593" s="11"/>
    </row>
    <row r="594" spans="8:14" x14ac:dyDescent="0.25">
      <c r="H594" s="37"/>
      <c r="I594" s="79"/>
      <c r="J594" s="70"/>
      <c r="K594" s="57"/>
      <c r="L594" s="11"/>
      <c r="M594" s="41"/>
      <c r="N594" s="11"/>
    </row>
    <row r="595" spans="8:14" x14ac:dyDescent="0.25">
      <c r="H595" s="37"/>
      <c r="I595" s="79"/>
      <c r="J595" s="70"/>
      <c r="K595" s="57"/>
      <c r="L595" s="11"/>
      <c r="M595" s="41"/>
      <c r="N595" s="11"/>
    </row>
    <row r="596" spans="8:14" x14ac:dyDescent="0.25">
      <c r="H596" s="37"/>
      <c r="I596" s="79"/>
      <c r="J596" s="70"/>
      <c r="K596" s="57"/>
      <c r="L596" s="11"/>
      <c r="M596" s="41"/>
      <c r="N596" s="11"/>
    </row>
    <row r="597" spans="8:14" x14ac:dyDescent="0.25">
      <c r="H597" s="37"/>
      <c r="I597" s="79"/>
      <c r="J597" s="70"/>
      <c r="K597" s="57"/>
      <c r="L597" s="11"/>
      <c r="M597" s="41"/>
      <c r="N597" s="11"/>
    </row>
    <row r="598" spans="8:14" x14ac:dyDescent="0.25">
      <c r="H598" s="37"/>
      <c r="I598" s="79"/>
      <c r="J598" s="70"/>
      <c r="K598" s="57"/>
      <c r="L598" s="11"/>
      <c r="M598" s="41"/>
      <c r="N598" s="11"/>
    </row>
    <row r="599" spans="8:14" x14ac:dyDescent="0.25">
      <c r="H599" s="37"/>
      <c r="I599" s="79"/>
      <c r="J599" s="70"/>
      <c r="K599" s="57"/>
      <c r="L599" s="11"/>
      <c r="M599" s="41"/>
      <c r="N599" s="11"/>
    </row>
    <row r="600" spans="8:14" x14ac:dyDescent="0.25">
      <c r="H600" s="37"/>
      <c r="I600" s="79"/>
      <c r="J600" s="70"/>
      <c r="K600" s="57"/>
      <c r="L600" s="11"/>
      <c r="M600" s="41"/>
      <c r="N600" s="11"/>
    </row>
    <row r="601" spans="8:14" x14ac:dyDescent="0.25">
      <c r="H601" s="37"/>
      <c r="I601" s="79"/>
      <c r="J601" s="70"/>
      <c r="K601" s="57"/>
      <c r="L601" s="11"/>
      <c r="M601" s="41"/>
      <c r="N601" s="11"/>
    </row>
    <row r="602" spans="8:14" x14ac:dyDescent="0.25">
      <c r="H602" s="37"/>
      <c r="I602" s="79"/>
      <c r="J602" s="70"/>
      <c r="K602" s="57"/>
      <c r="L602" s="11"/>
      <c r="M602" s="41"/>
      <c r="N602" s="11"/>
    </row>
    <row r="603" spans="8:14" x14ac:dyDescent="0.25">
      <c r="H603" s="37"/>
      <c r="I603" s="79"/>
      <c r="J603" s="70"/>
      <c r="K603" s="57"/>
      <c r="L603" s="11"/>
      <c r="M603" s="41"/>
      <c r="N603" s="11"/>
    </row>
    <row r="604" spans="8:14" x14ac:dyDescent="0.25">
      <c r="H604" s="37"/>
      <c r="I604" s="79"/>
      <c r="J604" s="70"/>
      <c r="K604" s="57"/>
      <c r="L604" s="11"/>
      <c r="M604" s="41"/>
      <c r="N604" s="11"/>
    </row>
    <row r="605" spans="8:14" x14ac:dyDescent="0.25">
      <c r="H605" s="37"/>
      <c r="I605" s="79"/>
      <c r="J605" s="70"/>
      <c r="K605" s="57"/>
      <c r="L605" s="11"/>
      <c r="M605" s="41"/>
      <c r="N605" s="11"/>
    </row>
    <row r="606" spans="8:14" x14ac:dyDescent="0.25">
      <c r="H606" s="37"/>
      <c r="I606" s="79"/>
      <c r="J606" s="70"/>
      <c r="K606" s="57"/>
      <c r="L606" s="11"/>
      <c r="M606" s="41"/>
      <c r="N606" s="11"/>
    </row>
    <row r="607" spans="8:14" x14ac:dyDescent="0.25">
      <c r="H607" s="37"/>
      <c r="I607" s="79"/>
      <c r="J607" s="70"/>
      <c r="K607" s="57"/>
      <c r="L607" s="11"/>
      <c r="M607" s="41"/>
      <c r="N607" s="11"/>
    </row>
    <row r="608" spans="8:14" x14ac:dyDescent="0.25">
      <c r="H608" s="37"/>
      <c r="I608" s="79"/>
      <c r="J608" s="70"/>
      <c r="K608" s="57"/>
      <c r="L608" s="11"/>
      <c r="M608" s="41"/>
      <c r="N608" s="11"/>
    </row>
    <row r="609" spans="8:14" x14ac:dyDescent="0.25">
      <c r="H609" s="37"/>
      <c r="I609" s="79"/>
      <c r="J609" s="70"/>
      <c r="K609" s="57"/>
      <c r="L609" s="11"/>
      <c r="M609" s="41"/>
      <c r="N609" s="11"/>
    </row>
    <row r="610" spans="8:14" x14ac:dyDescent="0.25">
      <c r="H610" s="37"/>
      <c r="I610" s="79"/>
      <c r="J610" s="70"/>
      <c r="K610" s="57"/>
      <c r="L610" s="11"/>
      <c r="M610" s="41"/>
      <c r="N610" s="11"/>
    </row>
    <row r="611" spans="8:14" x14ac:dyDescent="0.25">
      <c r="H611" s="37"/>
      <c r="I611" s="79"/>
      <c r="J611" s="70"/>
      <c r="K611" s="57"/>
      <c r="L611" s="11"/>
      <c r="M611" s="41"/>
      <c r="N611" s="11"/>
    </row>
    <row r="612" spans="8:14" x14ac:dyDescent="0.25">
      <c r="H612" s="37"/>
      <c r="I612" s="79"/>
      <c r="J612" s="70"/>
      <c r="K612" s="57"/>
      <c r="L612" s="11"/>
      <c r="M612" s="41"/>
      <c r="N612" s="11"/>
    </row>
    <row r="613" spans="8:14" x14ac:dyDescent="0.25">
      <c r="H613" s="37"/>
      <c r="I613" s="79"/>
      <c r="J613" s="70"/>
      <c r="K613" s="57"/>
      <c r="L613" s="11"/>
      <c r="M613" s="41"/>
      <c r="N613" s="11"/>
    </row>
    <row r="614" spans="8:14" x14ac:dyDescent="0.25">
      <c r="H614" s="37"/>
      <c r="I614" s="79"/>
      <c r="J614" s="70"/>
      <c r="K614" s="57"/>
      <c r="L614" s="11"/>
      <c r="M614" s="41"/>
      <c r="N614" s="11"/>
    </row>
    <row r="615" spans="8:14" x14ac:dyDescent="0.25">
      <c r="H615" s="37"/>
      <c r="I615" s="79"/>
      <c r="J615" s="70"/>
      <c r="K615" s="57"/>
      <c r="L615" s="11"/>
      <c r="M615" s="41"/>
      <c r="N615" s="11"/>
    </row>
    <row r="616" spans="8:14" x14ac:dyDescent="0.25">
      <c r="H616" s="37"/>
      <c r="I616" s="79"/>
      <c r="J616" s="70"/>
      <c r="K616" s="57"/>
      <c r="L616" s="11"/>
      <c r="M616" s="41"/>
      <c r="N616" s="11"/>
    </row>
    <row r="617" spans="8:14" x14ac:dyDescent="0.25">
      <c r="H617" s="37"/>
      <c r="I617" s="79"/>
      <c r="J617" s="70"/>
      <c r="K617" s="57"/>
      <c r="L617" s="11"/>
      <c r="M617" s="41"/>
      <c r="N617" s="11"/>
    </row>
    <row r="618" spans="8:14" x14ac:dyDescent="0.25">
      <c r="H618" s="37"/>
      <c r="I618" s="79"/>
      <c r="J618" s="70"/>
      <c r="K618" s="57"/>
      <c r="L618" s="11"/>
      <c r="M618" s="41"/>
      <c r="N618" s="11"/>
    </row>
    <row r="619" spans="8:14" x14ac:dyDescent="0.25">
      <c r="H619" s="37"/>
      <c r="I619" s="79"/>
      <c r="J619" s="70"/>
      <c r="K619" s="57"/>
      <c r="L619" s="11"/>
      <c r="M619" s="41"/>
      <c r="N619" s="11"/>
    </row>
    <row r="620" spans="8:14" x14ac:dyDescent="0.25">
      <c r="H620" s="37"/>
      <c r="I620" s="79"/>
      <c r="J620" s="70"/>
      <c r="K620" s="57"/>
      <c r="L620" s="11"/>
      <c r="M620" s="41"/>
      <c r="N620" s="11"/>
    </row>
    <row r="621" spans="8:14" x14ac:dyDescent="0.25">
      <c r="H621" s="37"/>
      <c r="I621" s="79"/>
      <c r="J621" s="70"/>
      <c r="K621" s="57"/>
      <c r="L621" s="11"/>
      <c r="M621" s="41"/>
      <c r="N621" s="11"/>
    </row>
    <row r="622" spans="8:14" x14ac:dyDescent="0.25">
      <c r="H622" s="37"/>
      <c r="I622" s="79"/>
      <c r="J622" s="70"/>
      <c r="K622" s="57"/>
      <c r="L622" s="11"/>
      <c r="M622" s="41"/>
      <c r="N622" s="11"/>
    </row>
    <row r="623" spans="8:14" x14ac:dyDescent="0.25">
      <c r="H623" s="37"/>
      <c r="I623" s="79"/>
      <c r="J623" s="70"/>
      <c r="K623" s="57"/>
      <c r="L623" s="11"/>
      <c r="M623" s="41"/>
      <c r="N623" s="11"/>
    </row>
    <row r="624" spans="8:14" x14ac:dyDescent="0.25">
      <c r="H624" s="37"/>
      <c r="I624" s="79"/>
      <c r="J624" s="70"/>
      <c r="K624" s="57"/>
      <c r="L624" s="11"/>
      <c r="M624" s="41"/>
      <c r="N624" s="11"/>
    </row>
    <row r="625" spans="8:14" x14ac:dyDescent="0.25">
      <c r="H625" s="37"/>
      <c r="I625" s="79"/>
      <c r="J625" s="70"/>
      <c r="K625" s="57"/>
      <c r="L625" s="11"/>
      <c r="M625" s="41"/>
      <c r="N625" s="11"/>
    </row>
    <row r="626" spans="8:14" x14ac:dyDescent="0.25">
      <c r="H626" s="37"/>
      <c r="I626" s="79"/>
      <c r="J626" s="70"/>
      <c r="K626" s="57"/>
      <c r="L626" s="11"/>
      <c r="M626" s="41"/>
      <c r="N626" s="11"/>
    </row>
    <row r="627" spans="8:14" x14ac:dyDescent="0.25">
      <c r="H627" s="37"/>
      <c r="I627" s="79"/>
      <c r="J627" s="70"/>
      <c r="K627" s="57"/>
      <c r="L627" s="11"/>
      <c r="M627" s="41"/>
      <c r="N627" s="11"/>
    </row>
    <row r="628" spans="8:14" x14ac:dyDescent="0.25">
      <c r="H628" s="37"/>
      <c r="I628" s="79"/>
      <c r="J628" s="70"/>
      <c r="K628" s="57"/>
      <c r="L628" s="11"/>
      <c r="M628" s="41"/>
      <c r="N628" s="11"/>
    </row>
    <row r="629" spans="8:14" x14ac:dyDescent="0.25">
      <c r="H629" s="37"/>
      <c r="I629" s="79"/>
      <c r="J629" s="70"/>
      <c r="K629" s="57"/>
      <c r="L629" s="11"/>
      <c r="M629" s="41"/>
      <c r="N629" s="11"/>
    </row>
    <row r="630" spans="8:14" x14ac:dyDescent="0.25">
      <c r="H630" s="37"/>
      <c r="I630" s="79"/>
      <c r="J630" s="70"/>
      <c r="K630" s="57"/>
      <c r="L630" s="11"/>
      <c r="M630" s="41"/>
      <c r="N630" s="11"/>
    </row>
    <row r="631" spans="8:14" x14ac:dyDescent="0.25">
      <c r="H631" s="37"/>
      <c r="I631" s="79"/>
      <c r="J631" s="70"/>
      <c r="K631" s="57"/>
      <c r="L631" s="11"/>
      <c r="M631" s="41"/>
      <c r="N631" s="11"/>
    </row>
    <row r="632" spans="8:14" x14ac:dyDescent="0.25">
      <c r="H632" s="37"/>
      <c r="I632" s="79"/>
      <c r="J632" s="70"/>
      <c r="K632" s="57"/>
      <c r="L632" s="11"/>
      <c r="M632" s="41"/>
      <c r="N632" s="11"/>
    </row>
    <row r="633" spans="8:14" x14ac:dyDescent="0.25">
      <c r="H633" s="37"/>
      <c r="I633" s="79"/>
      <c r="J633" s="70"/>
      <c r="K633" s="57"/>
      <c r="L633" s="11"/>
      <c r="M633" s="41"/>
      <c r="N633" s="11"/>
    </row>
    <row r="634" spans="8:14" x14ac:dyDescent="0.25">
      <c r="H634" s="37"/>
      <c r="I634" s="79"/>
      <c r="J634" s="70"/>
      <c r="K634" s="57"/>
      <c r="L634" s="11"/>
      <c r="M634" s="41"/>
      <c r="N634" s="11"/>
    </row>
    <row r="635" spans="8:14" x14ac:dyDescent="0.25">
      <c r="H635" s="37"/>
      <c r="I635" s="79"/>
      <c r="J635" s="70"/>
      <c r="K635" s="57"/>
      <c r="L635" s="11"/>
      <c r="M635" s="41"/>
      <c r="N635" s="11"/>
    </row>
    <row r="636" spans="8:14" x14ac:dyDescent="0.25">
      <c r="H636" s="37"/>
      <c r="I636" s="79"/>
      <c r="J636" s="70"/>
      <c r="K636" s="57"/>
      <c r="L636" s="11"/>
      <c r="M636" s="41"/>
      <c r="N636" s="11"/>
    </row>
    <row r="637" spans="8:14" x14ac:dyDescent="0.25">
      <c r="H637" s="37"/>
      <c r="I637" s="79"/>
      <c r="J637" s="70"/>
      <c r="K637" s="57"/>
      <c r="L637" s="11"/>
      <c r="M637" s="41"/>
      <c r="N637" s="11"/>
    </row>
    <row r="638" spans="8:14" x14ac:dyDescent="0.25">
      <c r="H638" s="37"/>
      <c r="I638" s="79"/>
      <c r="J638" s="70"/>
      <c r="K638" s="57"/>
      <c r="L638" s="11"/>
      <c r="M638" s="41"/>
      <c r="N638" s="11"/>
    </row>
    <row r="639" spans="8:14" x14ac:dyDescent="0.25">
      <c r="H639" s="37"/>
      <c r="I639" s="79"/>
      <c r="J639" s="70"/>
      <c r="K639" s="57"/>
      <c r="L639" s="11"/>
      <c r="M639" s="41"/>
      <c r="N639" s="11"/>
    </row>
    <row r="640" spans="8:14" x14ac:dyDescent="0.25">
      <c r="H640" s="37"/>
      <c r="I640" s="79"/>
      <c r="J640" s="70"/>
      <c r="K640" s="57"/>
      <c r="L640" s="11"/>
      <c r="M640" s="41"/>
      <c r="N640" s="11"/>
    </row>
    <row r="641" spans="8:14" x14ac:dyDescent="0.25">
      <c r="H641" s="37"/>
      <c r="I641" s="79"/>
      <c r="J641" s="70"/>
      <c r="K641" s="57"/>
      <c r="L641" s="11"/>
      <c r="M641" s="41"/>
      <c r="N641" s="11"/>
    </row>
    <row r="642" spans="8:14" x14ac:dyDescent="0.25">
      <c r="H642" s="37"/>
      <c r="I642" s="79"/>
      <c r="J642" s="70"/>
      <c r="K642" s="57"/>
      <c r="L642" s="11"/>
      <c r="M642" s="41"/>
      <c r="N642" s="11"/>
    </row>
    <row r="643" spans="8:14" x14ac:dyDescent="0.25">
      <c r="H643" s="37"/>
      <c r="I643" s="79"/>
      <c r="J643" s="70"/>
      <c r="K643" s="57"/>
      <c r="L643" s="11"/>
      <c r="M643" s="41"/>
      <c r="N643" s="11"/>
    </row>
    <row r="644" spans="8:14" x14ac:dyDescent="0.25">
      <c r="H644" s="37"/>
      <c r="I644" s="79"/>
      <c r="J644" s="70"/>
      <c r="K644" s="57"/>
      <c r="L644" s="11"/>
      <c r="M644" s="41"/>
      <c r="N644" s="11"/>
    </row>
    <row r="645" spans="8:14" x14ac:dyDescent="0.25">
      <c r="H645" s="37"/>
      <c r="I645" s="79"/>
      <c r="J645" s="70"/>
      <c r="K645" s="57"/>
      <c r="L645" s="11"/>
      <c r="M645" s="41"/>
      <c r="N645" s="11"/>
    </row>
    <row r="646" spans="8:14" x14ac:dyDescent="0.25">
      <c r="H646" s="37"/>
      <c r="I646" s="79"/>
      <c r="J646" s="70"/>
      <c r="K646" s="57"/>
      <c r="L646" s="11"/>
      <c r="M646" s="41"/>
      <c r="N646" s="11"/>
    </row>
    <row r="647" spans="8:14" x14ac:dyDescent="0.25">
      <c r="H647" s="37"/>
      <c r="I647" s="79"/>
      <c r="J647" s="70"/>
      <c r="K647" s="57"/>
      <c r="L647" s="11"/>
      <c r="M647" s="41"/>
      <c r="N647" s="11"/>
    </row>
    <row r="648" spans="8:14" x14ac:dyDescent="0.25">
      <c r="H648" s="37"/>
      <c r="I648" s="79"/>
      <c r="J648" s="70"/>
      <c r="K648" s="57"/>
      <c r="L648" s="11"/>
      <c r="M648" s="41"/>
      <c r="N648" s="11"/>
    </row>
    <row r="649" spans="8:14" x14ac:dyDescent="0.25">
      <c r="H649" s="37"/>
      <c r="I649" s="79"/>
      <c r="J649" s="70"/>
      <c r="K649" s="57"/>
      <c r="L649" s="11"/>
      <c r="M649" s="41"/>
      <c r="N649" s="11"/>
    </row>
    <row r="650" spans="8:14" x14ac:dyDescent="0.25">
      <c r="H650" s="37"/>
      <c r="I650" s="79"/>
      <c r="J650" s="70"/>
      <c r="K650" s="57"/>
      <c r="L650" s="11"/>
      <c r="M650" s="41"/>
      <c r="N650" s="11"/>
    </row>
    <row r="651" spans="8:14" x14ac:dyDescent="0.25">
      <c r="H651" s="37"/>
      <c r="I651" s="79"/>
      <c r="J651" s="70"/>
      <c r="K651" s="57"/>
      <c r="L651" s="11"/>
      <c r="M651" s="41"/>
      <c r="N651" s="11"/>
    </row>
    <row r="652" spans="8:14" x14ac:dyDescent="0.25">
      <c r="H652" s="37"/>
      <c r="I652" s="79"/>
      <c r="J652" s="70"/>
      <c r="K652" s="57"/>
      <c r="L652" s="11"/>
      <c r="M652" s="41"/>
      <c r="N652" s="11"/>
    </row>
    <row r="653" spans="8:14" x14ac:dyDescent="0.25">
      <c r="H653" s="37"/>
      <c r="I653" s="79"/>
      <c r="J653" s="70"/>
      <c r="K653" s="57"/>
      <c r="L653" s="11"/>
      <c r="M653" s="41"/>
      <c r="N653" s="11"/>
    </row>
    <row r="654" spans="8:14" x14ac:dyDescent="0.25">
      <c r="H654" s="37"/>
      <c r="I654" s="79"/>
      <c r="J654" s="70"/>
      <c r="K654" s="57"/>
      <c r="L654" s="11"/>
      <c r="M654" s="41"/>
      <c r="N654" s="11"/>
    </row>
    <row r="655" spans="8:14" x14ac:dyDescent="0.25">
      <c r="H655" s="37"/>
      <c r="I655" s="79"/>
      <c r="J655" s="70"/>
      <c r="K655" s="57"/>
      <c r="L655" s="11"/>
      <c r="M655" s="41"/>
      <c r="N655" s="11"/>
    </row>
    <row r="656" spans="8:14" x14ac:dyDescent="0.25">
      <c r="H656" s="37"/>
      <c r="I656" s="79"/>
      <c r="J656" s="70"/>
      <c r="K656" s="57"/>
      <c r="L656" s="11"/>
      <c r="M656" s="41"/>
      <c r="N656" s="11"/>
    </row>
    <row r="657" spans="8:14" x14ac:dyDescent="0.25">
      <c r="H657" s="37"/>
      <c r="I657" s="79"/>
      <c r="J657" s="70"/>
      <c r="K657" s="57"/>
      <c r="L657" s="11"/>
      <c r="M657" s="41"/>
      <c r="N657" s="11"/>
    </row>
    <row r="658" spans="8:14" x14ac:dyDescent="0.25">
      <c r="H658" s="37"/>
      <c r="I658" s="79"/>
      <c r="J658" s="70"/>
      <c r="K658" s="57"/>
      <c r="L658" s="11"/>
      <c r="M658" s="41"/>
      <c r="N658" s="11"/>
    </row>
    <row r="659" spans="8:14" x14ac:dyDescent="0.25">
      <c r="H659" s="37"/>
      <c r="I659" s="79"/>
      <c r="J659" s="70"/>
      <c r="K659" s="57"/>
      <c r="L659" s="11"/>
      <c r="M659" s="41"/>
      <c r="N659" s="11"/>
    </row>
    <row r="660" spans="8:14" x14ac:dyDescent="0.25">
      <c r="H660" s="37"/>
      <c r="I660" s="79"/>
      <c r="J660" s="70"/>
      <c r="K660" s="57"/>
      <c r="L660" s="11"/>
      <c r="M660" s="41"/>
      <c r="N660" s="11"/>
    </row>
    <row r="661" spans="8:14" x14ac:dyDescent="0.25">
      <c r="H661" s="37"/>
      <c r="I661" s="79"/>
      <c r="J661" s="70"/>
      <c r="K661" s="57"/>
      <c r="L661" s="11"/>
      <c r="M661" s="41"/>
      <c r="N661" s="11"/>
    </row>
    <row r="662" spans="8:14" x14ac:dyDescent="0.25">
      <c r="H662" s="37"/>
      <c r="I662" s="79"/>
      <c r="J662" s="70"/>
      <c r="K662" s="57"/>
      <c r="L662" s="11"/>
      <c r="M662" s="41"/>
      <c r="N662" s="11"/>
    </row>
    <row r="663" spans="8:14" x14ac:dyDescent="0.25">
      <c r="H663" s="37"/>
      <c r="I663" s="79"/>
      <c r="J663" s="70"/>
      <c r="K663" s="57"/>
      <c r="L663" s="11"/>
      <c r="M663" s="41"/>
      <c r="N663" s="11"/>
    </row>
    <row r="664" spans="8:14" x14ac:dyDescent="0.25">
      <c r="H664" s="37"/>
      <c r="I664" s="79"/>
      <c r="J664" s="70"/>
      <c r="K664" s="57"/>
      <c r="L664" s="11"/>
      <c r="M664" s="41"/>
      <c r="N664" s="11"/>
    </row>
    <row r="665" spans="8:14" x14ac:dyDescent="0.25">
      <c r="H665" s="37"/>
      <c r="I665" s="79"/>
      <c r="J665" s="70"/>
      <c r="K665" s="57"/>
      <c r="L665" s="11"/>
      <c r="M665" s="41"/>
      <c r="N665" s="11"/>
    </row>
    <row r="666" spans="8:14" x14ac:dyDescent="0.25">
      <c r="H666" s="37"/>
      <c r="I666" s="79"/>
      <c r="J666" s="70"/>
      <c r="K666" s="57"/>
      <c r="L666" s="11"/>
      <c r="M666" s="41"/>
      <c r="N666" s="11"/>
    </row>
    <row r="667" spans="8:14" x14ac:dyDescent="0.25">
      <c r="H667" s="37"/>
      <c r="I667" s="79"/>
      <c r="J667" s="70"/>
      <c r="K667" s="57"/>
      <c r="L667" s="11"/>
      <c r="M667" s="41"/>
      <c r="N667" s="11"/>
    </row>
    <row r="668" spans="8:14" x14ac:dyDescent="0.25">
      <c r="H668" s="37"/>
      <c r="I668" s="79"/>
      <c r="J668" s="70"/>
      <c r="K668" s="57"/>
      <c r="L668" s="11"/>
      <c r="M668" s="41"/>
      <c r="N668" s="11"/>
    </row>
    <row r="669" spans="8:14" x14ac:dyDescent="0.25">
      <c r="H669" s="37"/>
      <c r="I669" s="79"/>
      <c r="J669" s="70"/>
      <c r="K669" s="57"/>
      <c r="L669" s="11"/>
      <c r="M669" s="41"/>
      <c r="N669" s="11"/>
    </row>
    <row r="670" spans="8:14" x14ac:dyDescent="0.25">
      <c r="H670" s="37"/>
      <c r="I670" s="79"/>
      <c r="J670" s="70"/>
      <c r="K670" s="57"/>
      <c r="L670" s="11"/>
      <c r="M670" s="41"/>
      <c r="N670" s="11"/>
    </row>
    <row r="671" spans="8:14" x14ac:dyDescent="0.25">
      <c r="H671" s="37"/>
      <c r="I671" s="79"/>
      <c r="J671" s="70"/>
      <c r="K671" s="57"/>
      <c r="L671" s="11"/>
      <c r="M671" s="41"/>
      <c r="N671" s="11"/>
    </row>
    <row r="672" spans="8:14" x14ac:dyDescent="0.25">
      <c r="H672" s="37"/>
      <c r="I672" s="79"/>
      <c r="J672" s="70"/>
      <c r="K672" s="57"/>
      <c r="L672" s="11"/>
      <c r="M672" s="41"/>
      <c r="N672" s="11"/>
    </row>
    <row r="673" spans="8:14" x14ac:dyDescent="0.25">
      <c r="H673" s="37"/>
      <c r="I673" s="79"/>
      <c r="J673" s="70"/>
      <c r="K673" s="57"/>
      <c r="L673" s="11"/>
      <c r="M673" s="41"/>
      <c r="N673" s="11"/>
    </row>
    <row r="674" spans="8:14" x14ac:dyDescent="0.25">
      <c r="H674" s="37"/>
      <c r="I674" s="79"/>
      <c r="J674" s="70"/>
      <c r="K674" s="57"/>
      <c r="L674" s="11"/>
      <c r="M674" s="41"/>
      <c r="N674" s="11"/>
    </row>
    <row r="675" spans="8:14" x14ac:dyDescent="0.25">
      <c r="H675" s="37"/>
      <c r="I675" s="79"/>
      <c r="J675" s="70"/>
      <c r="K675" s="57"/>
      <c r="L675" s="11"/>
      <c r="M675" s="41"/>
      <c r="N675" s="11"/>
    </row>
    <row r="676" spans="8:14" x14ac:dyDescent="0.25">
      <c r="H676" s="37"/>
      <c r="I676" s="79"/>
      <c r="J676" s="70"/>
      <c r="K676" s="57"/>
      <c r="L676" s="11"/>
      <c r="M676" s="41"/>
      <c r="N676" s="11"/>
    </row>
    <row r="677" spans="8:14" x14ac:dyDescent="0.25">
      <c r="H677" s="37"/>
      <c r="I677" s="79"/>
      <c r="J677" s="70"/>
      <c r="K677" s="57"/>
      <c r="L677" s="11"/>
      <c r="M677" s="41"/>
      <c r="N677" s="11"/>
    </row>
    <row r="678" spans="8:14" x14ac:dyDescent="0.25">
      <c r="H678" s="37"/>
      <c r="I678" s="79"/>
      <c r="J678" s="70"/>
      <c r="K678" s="57"/>
      <c r="L678" s="11"/>
      <c r="M678" s="41"/>
      <c r="N678" s="11"/>
    </row>
    <row r="679" spans="8:14" x14ac:dyDescent="0.25">
      <c r="H679" s="37"/>
      <c r="I679" s="79"/>
      <c r="J679" s="70"/>
      <c r="K679" s="57"/>
      <c r="L679" s="11"/>
      <c r="M679" s="41"/>
      <c r="N679" s="11"/>
    </row>
    <row r="680" spans="8:14" x14ac:dyDescent="0.25">
      <c r="H680" s="37"/>
      <c r="I680" s="79"/>
      <c r="J680" s="70"/>
      <c r="K680" s="57"/>
      <c r="L680" s="11"/>
      <c r="M680" s="41"/>
      <c r="N680" s="11"/>
    </row>
    <row r="681" spans="8:14" x14ac:dyDescent="0.25">
      <c r="H681" s="37"/>
      <c r="I681" s="79"/>
      <c r="J681" s="70"/>
      <c r="K681" s="57"/>
      <c r="L681" s="11"/>
      <c r="M681" s="41"/>
      <c r="N681" s="11"/>
    </row>
    <row r="682" spans="8:14" x14ac:dyDescent="0.25">
      <c r="H682" s="37"/>
      <c r="I682" s="79"/>
      <c r="J682" s="70"/>
      <c r="K682" s="57"/>
      <c r="L682" s="11"/>
      <c r="M682" s="41"/>
      <c r="N682" s="11"/>
    </row>
    <row r="683" spans="8:14" x14ac:dyDescent="0.25">
      <c r="H683" s="37"/>
      <c r="I683" s="79"/>
      <c r="J683" s="70"/>
      <c r="K683" s="57"/>
      <c r="L683" s="11"/>
      <c r="M683" s="41"/>
      <c r="N683" s="11"/>
    </row>
    <row r="684" spans="8:14" x14ac:dyDescent="0.25">
      <c r="H684" s="37"/>
      <c r="I684" s="79"/>
      <c r="J684" s="70"/>
      <c r="K684" s="57"/>
      <c r="L684" s="11"/>
      <c r="M684" s="41"/>
      <c r="N684" s="11"/>
    </row>
    <row r="685" spans="8:14" x14ac:dyDescent="0.25">
      <c r="H685" s="37"/>
      <c r="I685" s="79"/>
      <c r="J685" s="70"/>
      <c r="K685" s="57"/>
      <c r="L685" s="11"/>
      <c r="M685" s="41"/>
      <c r="N685" s="11"/>
    </row>
    <row r="686" spans="8:14" x14ac:dyDescent="0.25">
      <c r="H686" s="37"/>
      <c r="I686" s="79"/>
      <c r="J686" s="70"/>
      <c r="K686" s="57"/>
      <c r="L686" s="11"/>
      <c r="M686" s="41"/>
      <c r="N686" s="11"/>
    </row>
    <row r="687" spans="8:14" x14ac:dyDescent="0.25">
      <c r="H687" s="37"/>
      <c r="I687" s="79"/>
      <c r="J687" s="70"/>
      <c r="K687" s="57"/>
      <c r="L687" s="11"/>
      <c r="M687" s="41"/>
      <c r="N687" s="11"/>
    </row>
    <row r="688" spans="8:14" x14ac:dyDescent="0.25">
      <c r="H688" s="37"/>
      <c r="I688" s="79"/>
      <c r="J688" s="70"/>
      <c r="K688" s="57"/>
      <c r="L688" s="11"/>
      <c r="M688" s="41"/>
      <c r="N688" s="11"/>
    </row>
    <row r="689" spans="8:14" x14ac:dyDescent="0.25">
      <c r="H689" s="37"/>
      <c r="I689" s="79"/>
      <c r="J689" s="70"/>
      <c r="K689" s="57"/>
      <c r="L689" s="11"/>
      <c r="M689" s="41"/>
      <c r="N689" s="11"/>
    </row>
    <row r="690" spans="8:14" x14ac:dyDescent="0.25">
      <c r="H690" s="37"/>
      <c r="I690" s="79"/>
      <c r="J690" s="70"/>
      <c r="K690" s="57"/>
      <c r="L690" s="11"/>
      <c r="M690" s="41"/>
      <c r="N690" s="11"/>
    </row>
    <row r="691" spans="8:14" x14ac:dyDescent="0.25">
      <c r="H691" s="37"/>
      <c r="I691" s="79"/>
      <c r="J691" s="70"/>
      <c r="K691" s="57"/>
      <c r="L691" s="11"/>
      <c r="M691" s="41"/>
      <c r="N691" s="11"/>
    </row>
    <row r="692" spans="8:14" x14ac:dyDescent="0.25">
      <c r="H692" s="37"/>
      <c r="I692" s="79"/>
      <c r="J692" s="70"/>
      <c r="K692" s="57"/>
      <c r="L692" s="11"/>
      <c r="M692" s="41"/>
      <c r="N692" s="11"/>
    </row>
    <row r="693" spans="8:14" x14ac:dyDescent="0.25">
      <c r="H693" s="37"/>
      <c r="I693" s="79"/>
      <c r="J693" s="70"/>
      <c r="K693" s="57"/>
      <c r="L693" s="11"/>
      <c r="M693" s="41"/>
      <c r="N693" s="11"/>
    </row>
    <row r="694" spans="8:14" x14ac:dyDescent="0.25">
      <c r="H694" s="37"/>
      <c r="I694" s="79"/>
      <c r="J694" s="70"/>
      <c r="K694" s="57"/>
      <c r="L694" s="11"/>
      <c r="M694" s="41"/>
      <c r="N694" s="11"/>
    </row>
    <row r="695" spans="8:14" x14ac:dyDescent="0.25">
      <c r="H695" s="37"/>
      <c r="I695" s="79"/>
      <c r="J695" s="70"/>
      <c r="K695" s="57"/>
      <c r="L695" s="11"/>
      <c r="M695" s="41"/>
      <c r="N695" s="11"/>
    </row>
    <row r="696" spans="8:14" x14ac:dyDescent="0.25">
      <c r="H696" s="37"/>
      <c r="I696" s="79"/>
      <c r="J696" s="70"/>
      <c r="K696" s="57"/>
      <c r="L696" s="11"/>
      <c r="M696" s="41"/>
      <c r="N696" s="11"/>
    </row>
    <row r="697" spans="8:14" x14ac:dyDescent="0.25">
      <c r="H697" s="37"/>
      <c r="I697" s="79"/>
      <c r="J697" s="70"/>
      <c r="K697" s="57"/>
      <c r="L697" s="11"/>
      <c r="M697" s="41"/>
      <c r="N697" s="11"/>
    </row>
    <row r="698" spans="8:14" x14ac:dyDescent="0.25">
      <c r="H698" s="37"/>
      <c r="I698" s="79"/>
      <c r="J698" s="70"/>
      <c r="K698" s="57"/>
      <c r="L698" s="11"/>
      <c r="M698" s="41"/>
      <c r="N698" s="11"/>
    </row>
    <row r="699" spans="8:14" x14ac:dyDescent="0.25">
      <c r="H699" s="37"/>
      <c r="I699" s="79"/>
      <c r="J699" s="70"/>
      <c r="K699" s="57"/>
      <c r="L699" s="11"/>
      <c r="M699" s="41"/>
      <c r="N699" s="11"/>
    </row>
    <row r="700" spans="8:14" x14ac:dyDescent="0.25">
      <c r="H700" s="37"/>
      <c r="I700" s="79"/>
      <c r="J700" s="70"/>
      <c r="K700" s="57"/>
      <c r="L700" s="11"/>
      <c r="M700" s="41"/>
      <c r="N700" s="11"/>
    </row>
    <row r="701" spans="8:14" x14ac:dyDescent="0.25">
      <c r="H701" s="37"/>
      <c r="I701" s="79"/>
      <c r="J701" s="70"/>
      <c r="K701" s="57"/>
      <c r="L701" s="11"/>
      <c r="M701" s="41"/>
      <c r="N701" s="11"/>
    </row>
    <row r="702" spans="8:14" x14ac:dyDescent="0.25">
      <c r="H702" s="37"/>
      <c r="I702" s="79"/>
      <c r="J702" s="70"/>
      <c r="K702" s="57"/>
      <c r="L702" s="11"/>
      <c r="M702" s="41"/>
      <c r="N702" s="11"/>
    </row>
    <row r="703" spans="8:14" x14ac:dyDescent="0.25">
      <c r="H703" s="37"/>
      <c r="I703" s="79"/>
      <c r="J703" s="70"/>
      <c r="K703" s="57"/>
      <c r="L703" s="11"/>
      <c r="M703" s="41"/>
      <c r="N703" s="11"/>
    </row>
    <row r="704" spans="8:14" x14ac:dyDescent="0.25">
      <c r="H704" s="37"/>
      <c r="I704" s="79"/>
      <c r="J704" s="70"/>
      <c r="K704" s="57"/>
      <c r="L704" s="11"/>
      <c r="M704" s="41"/>
      <c r="N704" s="11"/>
    </row>
    <row r="705" spans="8:14" x14ac:dyDescent="0.25">
      <c r="H705" s="37"/>
      <c r="I705" s="79"/>
      <c r="J705" s="70"/>
      <c r="K705" s="57"/>
      <c r="L705" s="11"/>
      <c r="M705" s="41"/>
      <c r="N705" s="11"/>
    </row>
    <row r="706" spans="8:14" x14ac:dyDescent="0.25">
      <c r="H706" s="37"/>
      <c r="I706" s="79"/>
      <c r="J706" s="70"/>
      <c r="K706" s="57"/>
      <c r="L706" s="11"/>
      <c r="M706" s="41"/>
      <c r="N706" s="11"/>
    </row>
    <row r="707" spans="8:14" x14ac:dyDescent="0.25">
      <c r="H707" s="37"/>
      <c r="I707" s="79"/>
      <c r="J707" s="70"/>
      <c r="K707" s="57"/>
      <c r="L707" s="11"/>
      <c r="M707" s="41"/>
      <c r="N707" s="11"/>
    </row>
    <row r="708" spans="8:14" x14ac:dyDescent="0.25">
      <c r="H708" s="37"/>
      <c r="I708" s="79"/>
      <c r="J708" s="70"/>
      <c r="K708" s="57"/>
      <c r="L708" s="11"/>
      <c r="M708" s="41"/>
      <c r="N708" s="11"/>
    </row>
    <row r="709" spans="8:14" x14ac:dyDescent="0.25">
      <c r="H709" s="37"/>
      <c r="I709" s="79"/>
      <c r="J709" s="70"/>
      <c r="K709" s="57"/>
      <c r="L709" s="11"/>
      <c r="M709" s="41"/>
      <c r="N709" s="11"/>
    </row>
    <row r="710" spans="8:14" x14ac:dyDescent="0.25">
      <c r="H710" s="37"/>
      <c r="I710" s="79"/>
      <c r="J710" s="70"/>
      <c r="K710" s="57"/>
      <c r="L710" s="11"/>
      <c r="M710" s="41"/>
      <c r="N710" s="11"/>
    </row>
    <row r="711" spans="8:14" x14ac:dyDescent="0.25">
      <c r="H711" s="37"/>
      <c r="I711" s="79"/>
      <c r="J711" s="70"/>
      <c r="K711" s="57"/>
      <c r="L711" s="11"/>
      <c r="M711" s="41"/>
      <c r="N711" s="11"/>
    </row>
    <row r="712" spans="8:14" x14ac:dyDescent="0.25">
      <c r="H712" s="37"/>
      <c r="I712" s="79"/>
      <c r="J712" s="70"/>
      <c r="K712" s="57"/>
      <c r="L712" s="11"/>
      <c r="M712" s="41"/>
      <c r="N712" s="11"/>
    </row>
    <row r="713" spans="8:14" x14ac:dyDescent="0.25">
      <c r="H713" s="37"/>
      <c r="I713" s="79"/>
      <c r="J713" s="70"/>
      <c r="K713" s="57"/>
      <c r="L713" s="11"/>
      <c r="M713" s="41"/>
      <c r="N713" s="11"/>
    </row>
    <row r="714" spans="8:14" x14ac:dyDescent="0.25">
      <c r="H714" s="37"/>
      <c r="I714" s="79"/>
      <c r="J714" s="70"/>
      <c r="K714" s="57"/>
      <c r="L714" s="11"/>
      <c r="M714" s="41"/>
      <c r="N714" s="11"/>
    </row>
    <row r="715" spans="8:14" x14ac:dyDescent="0.25">
      <c r="H715" s="37"/>
      <c r="I715" s="79"/>
      <c r="J715" s="70"/>
      <c r="K715" s="57"/>
      <c r="L715" s="11"/>
      <c r="M715" s="41"/>
      <c r="N715" s="11"/>
    </row>
    <row r="716" spans="8:14" x14ac:dyDescent="0.25">
      <c r="H716" s="37"/>
      <c r="I716" s="79"/>
      <c r="J716" s="70"/>
      <c r="K716" s="57"/>
      <c r="L716" s="11"/>
      <c r="M716" s="41"/>
      <c r="N716" s="11"/>
    </row>
    <row r="717" spans="8:14" x14ac:dyDescent="0.25">
      <c r="H717" s="37"/>
      <c r="I717" s="79"/>
      <c r="J717" s="70"/>
      <c r="K717" s="57"/>
      <c r="L717" s="11"/>
      <c r="M717" s="41"/>
      <c r="N717" s="11"/>
    </row>
    <row r="718" spans="8:14" x14ac:dyDescent="0.25">
      <c r="H718" s="37"/>
      <c r="I718" s="79"/>
      <c r="J718" s="70"/>
      <c r="K718" s="57"/>
      <c r="L718" s="11"/>
      <c r="M718" s="41"/>
      <c r="N718" s="11"/>
    </row>
    <row r="719" spans="8:14" x14ac:dyDescent="0.25">
      <c r="H719" s="37"/>
      <c r="I719" s="79"/>
      <c r="J719" s="70"/>
      <c r="K719" s="57"/>
      <c r="L719" s="11"/>
      <c r="M719" s="41"/>
      <c r="N719" s="11"/>
    </row>
    <row r="720" spans="8:14" x14ac:dyDescent="0.25">
      <c r="H720" s="37"/>
      <c r="I720" s="79"/>
      <c r="J720" s="70"/>
      <c r="K720" s="57"/>
      <c r="L720" s="11"/>
      <c r="M720" s="41"/>
      <c r="N720" s="11"/>
    </row>
    <row r="721" spans="8:14" x14ac:dyDescent="0.25">
      <c r="H721" s="37"/>
      <c r="I721" s="79"/>
      <c r="J721" s="70"/>
      <c r="K721" s="57"/>
      <c r="L721" s="11"/>
      <c r="M721" s="41"/>
      <c r="N721" s="11"/>
    </row>
    <row r="722" spans="8:14" x14ac:dyDescent="0.25">
      <c r="H722" s="37"/>
      <c r="I722" s="79"/>
      <c r="J722" s="70"/>
      <c r="K722" s="57"/>
      <c r="L722" s="11"/>
      <c r="M722" s="41"/>
      <c r="N722" s="11"/>
    </row>
    <row r="723" spans="8:14" x14ac:dyDescent="0.25">
      <c r="H723" s="37"/>
      <c r="I723" s="79"/>
      <c r="J723" s="70"/>
      <c r="K723" s="57"/>
      <c r="L723" s="11"/>
      <c r="M723" s="41"/>
      <c r="N723" s="11"/>
    </row>
    <row r="724" spans="8:14" x14ac:dyDescent="0.25">
      <c r="H724" s="37"/>
      <c r="I724" s="79"/>
      <c r="J724" s="70"/>
      <c r="K724" s="57"/>
      <c r="L724" s="11"/>
      <c r="M724" s="41"/>
      <c r="N724" s="11"/>
    </row>
    <row r="725" spans="8:14" x14ac:dyDescent="0.25">
      <c r="H725" s="37"/>
      <c r="I725" s="79"/>
      <c r="J725" s="70"/>
      <c r="K725" s="57"/>
      <c r="L725" s="11"/>
      <c r="M725" s="41"/>
      <c r="N725" s="11"/>
    </row>
    <row r="726" spans="8:14" x14ac:dyDescent="0.25">
      <c r="H726" s="37"/>
      <c r="I726" s="79"/>
      <c r="J726" s="70"/>
      <c r="K726" s="57"/>
      <c r="L726" s="11"/>
      <c r="M726" s="41"/>
      <c r="N726" s="11"/>
    </row>
    <row r="727" spans="8:14" x14ac:dyDescent="0.25">
      <c r="H727" s="37"/>
      <c r="I727" s="79"/>
      <c r="J727" s="70"/>
      <c r="K727" s="57"/>
      <c r="L727" s="11"/>
      <c r="M727" s="41"/>
      <c r="N727" s="11"/>
    </row>
    <row r="728" spans="8:14" x14ac:dyDescent="0.25">
      <c r="H728" s="37"/>
      <c r="I728" s="79"/>
      <c r="J728" s="70"/>
      <c r="K728" s="57"/>
      <c r="L728" s="11"/>
      <c r="M728" s="41"/>
      <c r="N728" s="11"/>
    </row>
    <row r="729" spans="8:14" x14ac:dyDescent="0.25">
      <c r="H729" s="37"/>
      <c r="I729" s="79"/>
      <c r="J729" s="70"/>
      <c r="K729" s="57"/>
      <c r="L729" s="11"/>
      <c r="M729" s="41"/>
      <c r="N729" s="11"/>
    </row>
    <row r="730" spans="8:14" x14ac:dyDescent="0.25">
      <c r="H730" s="37"/>
      <c r="I730" s="79"/>
      <c r="J730" s="70"/>
      <c r="K730" s="57"/>
      <c r="L730" s="11"/>
      <c r="M730" s="41"/>
      <c r="N730" s="11"/>
    </row>
    <row r="731" spans="8:14" x14ac:dyDescent="0.25">
      <c r="H731" s="37"/>
      <c r="I731" s="79"/>
      <c r="J731" s="70"/>
      <c r="K731" s="57"/>
      <c r="L731" s="11"/>
      <c r="M731" s="41"/>
      <c r="N731" s="11"/>
    </row>
    <row r="732" spans="8:14" x14ac:dyDescent="0.25">
      <c r="H732" s="37"/>
      <c r="I732" s="79"/>
      <c r="J732" s="70"/>
      <c r="K732" s="57"/>
      <c r="L732" s="11"/>
      <c r="M732" s="41"/>
      <c r="N732" s="11"/>
    </row>
    <row r="733" spans="8:14" x14ac:dyDescent="0.25">
      <c r="H733" s="37"/>
      <c r="I733" s="79"/>
      <c r="J733" s="70"/>
      <c r="K733" s="57"/>
      <c r="L733" s="11"/>
      <c r="M733" s="41"/>
      <c r="N733" s="11"/>
    </row>
    <row r="734" spans="8:14" x14ac:dyDescent="0.25">
      <c r="H734" s="37"/>
      <c r="I734" s="79"/>
      <c r="J734" s="70"/>
      <c r="K734" s="57"/>
      <c r="L734" s="11"/>
      <c r="M734" s="41"/>
      <c r="N734" s="11"/>
    </row>
    <row r="735" spans="8:14" x14ac:dyDescent="0.25">
      <c r="H735" s="37"/>
      <c r="I735" s="79"/>
      <c r="J735" s="70"/>
      <c r="K735" s="57"/>
      <c r="L735" s="11"/>
      <c r="M735" s="41"/>
      <c r="N735" s="11"/>
    </row>
    <row r="736" spans="8:14" x14ac:dyDescent="0.25">
      <c r="H736" s="37"/>
      <c r="I736" s="79"/>
      <c r="J736" s="70"/>
      <c r="K736" s="57"/>
      <c r="L736" s="11"/>
      <c r="M736" s="41"/>
      <c r="N736" s="11"/>
    </row>
    <row r="737" spans="8:14" x14ac:dyDescent="0.25">
      <c r="H737" s="37"/>
      <c r="I737" s="79"/>
      <c r="J737" s="70"/>
      <c r="K737" s="57"/>
      <c r="L737" s="11"/>
      <c r="M737" s="41"/>
      <c r="N737" s="11"/>
    </row>
    <row r="738" spans="8:14" x14ac:dyDescent="0.25">
      <c r="H738" s="37"/>
      <c r="I738" s="79"/>
      <c r="J738" s="70"/>
      <c r="K738" s="57"/>
      <c r="L738" s="11"/>
      <c r="M738" s="41"/>
      <c r="N738" s="11"/>
    </row>
    <row r="739" spans="8:14" x14ac:dyDescent="0.25">
      <c r="H739" s="37"/>
      <c r="I739" s="79"/>
      <c r="J739" s="70"/>
      <c r="K739" s="57"/>
      <c r="L739" s="11"/>
      <c r="M739" s="41"/>
      <c r="N739" s="11"/>
    </row>
    <row r="740" spans="8:14" x14ac:dyDescent="0.25">
      <c r="H740" s="37"/>
      <c r="I740" s="79"/>
      <c r="J740" s="70"/>
      <c r="K740" s="57"/>
      <c r="L740" s="11"/>
      <c r="M740" s="41"/>
      <c r="N740" s="11"/>
    </row>
    <row r="741" spans="8:14" x14ac:dyDescent="0.25">
      <c r="H741" s="37"/>
      <c r="I741" s="79"/>
      <c r="J741" s="70"/>
      <c r="K741" s="57"/>
      <c r="L741" s="11"/>
      <c r="M741" s="41"/>
      <c r="N741" s="11"/>
    </row>
    <row r="742" spans="8:14" x14ac:dyDescent="0.25">
      <c r="H742" s="37"/>
      <c r="I742" s="79"/>
      <c r="J742" s="70"/>
      <c r="K742" s="57"/>
      <c r="L742" s="11"/>
      <c r="M742" s="41"/>
      <c r="N742" s="11"/>
    </row>
    <row r="743" spans="8:14" x14ac:dyDescent="0.25">
      <c r="H743" s="37"/>
      <c r="I743" s="79"/>
      <c r="J743" s="70"/>
      <c r="K743" s="57"/>
      <c r="L743" s="11"/>
      <c r="M743" s="41"/>
      <c r="N743" s="11"/>
    </row>
    <row r="744" spans="8:14" x14ac:dyDescent="0.25">
      <c r="H744" s="37"/>
      <c r="I744" s="79"/>
      <c r="J744" s="70"/>
      <c r="K744" s="57"/>
      <c r="L744" s="11"/>
      <c r="M744" s="41"/>
      <c r="N744" s="11"/>
    </row>
    <row r="745" spans="8:14" x14ac:dyDescent="0.25">
      <c r="H745" s="37"/>
      <c r="I745" s="79"/>
      <c r="J745" s="70"/>
      <c r="K745" s="57"/>
      <c r="L745" s="11"/>
      <c r="M745" s="41"/>
      <c r="N745" s="11"/>
    </row>
    <row r="746" spans="8:14" x14ac:dyDescent="0.25">
      <c r="H746" s="37"/>
      <c r="I746" s="79"/>
      <c r="J746" s="70"/>
      <c r="K746" s="57"/>
      <c r="L746" s="11"/>
      <c r="M746" s="41"/>
      <c r="N746" s="11"/>
    </row>
    <row r="747" spans="8:14" x14ac:dyDescent="0.25">
      <c r="H747" s="37"/>
      <c r="I747" s="79"/>
      <c r="J747" s="70"/>
      <c r="K747" s="57"/>
      <c r="L747" s="11"/>
      <c r="M747" s="41"/>
      <c r="N747" s="11"/>
    </row>
    <row r="748" spans="8:14" x14ac:dyDescent="0.25">
      <c r="H748" s="37"/>
      <c r="I748" s="79"/>
      <c r="J748" s="70"/>
      <c r="K748" s="57"/>
      <c r="L748" s="11"/>
      <c r="M748" s="41"/>
      <c r="N748" s="11"/>
    </row>
    <row r="749" spans="8:14" x14ac:dyDescent="0.25">
      <c r="H749" s="37"/>
      <c r="I749" s="79"/>
      <c r="J749" s="70"/>
      <c r="K749" s="57"/>
      <c r="L749" s="11"/>
      <c r="M749" s="41"/>
      <c r="N749" s="11"/>
    </row>
    <row r="750" spans="8:14" x14ac:dyDescent="0.25">
      <c r="H750" s="37"/>
      <c r="I750" s="79"/>
      <c r="J750" s="70"/>
      <c r="K750" s="57"/>
      <c r="L750" s="11"/>
      <c r="M750" s="41"/>
      <c r="N750" s="11"/>
    </row>
    <row r="751" spans="8:14" x14ac:dyDescent="0.25">
      <c r="H751" s="37"/>
      <c r="I751" s="79"/>
      <c r="J751" s="70"/>
      <c r="K751" s="57"/>
      <c r="L751" s="11"/>
      <c r="M751" s="41"/>
      <c r="N751" s="11"/>
    </row>
    <row r="752" spans="8:14" x14ac:dyDescent="0.25">
      <c r="H752" s="37"/>
      <c r="I752" s="79"/>
      <c r="J752" s="70"/>
      <c r="K752" s="57"/>
      <c r="L752" s="11"/>
      <c r="M752" s="41"/>
      <c r="N752" s="11"/>
    </row>
    <row r="753" spans="8:14" x14ac:dyDescent="0.25">
      <c r="H753" s="37"/>
      <c r="I753" s="79"/>
      <c r="J753" s="70"/>
      <c r="K753" s="57"/>
      <c r="L753" s="11"/>
      <c r="M753" s="41"/>
      <c r="N753" s="11"/>
    </row>
    <row r="754" spans="8:14" x14ac:dyDescent="0.25">
      <c r="H754" s="37"/>
      <c r="I754" s="79"/>
      <c r="J754" s="70"/>
      <c r="K754" s="57"/>
      <c r="L754" s="11"/>
      <c r="M754" s="41"/>
      <c r="N754" s="11"/>
    </row>
    <row r="755" spans="8:14" x14ac:dyDescent="0.25">
      <c r="H755" s="37"/>
      <c r="I755" s="79"/>
      <c r="J755" s="70"/>
      <c r="K755" s="57"/>
      <c r="L755" s="11"/>
      <c r="M755" s="41"/>
      <c r="N755" s="11"/>
    </row>
    <row r="756" spans="8:14" x14ac:dyDescent="0.25">
      <c r="H756" s="37"/>
      <c r="I756" s="79"/>
      <c r="J756" s="70"/>
      <c r="K756" s="57"/>
      <c r="L756" s="11"/>
      <c r="M756" s="41"/>
      <c r="N756" s="11"/>
    </row>
    <row r="757" spans="8:14" x14ac:dyDescent="0.25">
      <c r="H757" s="37"/>
      <c r="I757" s="79"/>
      <c r="J757" s="70"/>
      <c r="K757" s="57"/>
      <c r="L757" s="11"/>
      <c r="M757" s="41"/>
      <c r="N757" s="11"/>
    </row>
    <row r="758" spans="8:14" x14ac:dyDescent="0.25">
      <c r="H758" s="37"/>
      <c r="I758" s="79"/>
      <c r="J758" s="70"/>
      <c r="K758" s="57"/>
      <c r="L758" s="11"/>
      <c r="M758" s="41"/>
      <c r="N758" s="11"/>
    </row>
    <row r="759" spans="8:14" x14ac:dyDescent="0.25">
      <c r="H759" s="37"/>
      <c r="I759" s="79"/>
      <c r="J759" s="70"/>
      <c r="K759" s="57"/>
      <c r="L759" s="11"/>
      <c r="M759" s="41"/>
      <c r="N759" s="11"/>
    </row>
    <row r="760" spans="8:14" x14ac:dyDescent="0.25">
      <c r="H760" s="37"/>
      <c r="I760" s="79"/>
      <c r="J760" s="70"/>
      <c r="K760" s="57"/>
      <c r="L760" s="11"/>
      <c r="M760" s="41"/>
      <c r="N760" s="11"/>
    </row>
    <row r="761" spans="8:14" x14ac:dyDescent="0.25">
      <c r="H761" s="37"/>
      <c r="I761" s="79"/>
      <c r="J761" s="70"/>
      <c r="K761" s="57"/>
      <c r="L761" s="11"/>
      <c r="M761" s="41"/>
      <c r="N761" s="11"/>
    </row>
    <row r="762" spans="8:14" x14ac:dyDescent="0.25">
      <c r="H762" s="37"/>
      <c r="I762" s="79"/>
      <c r="J762" s="70"/>
      <c r="K762" s="57"/>
      <c r="L762" s="11"/>
      <c r="M762" s="41"/>
      <c r="N762" s="11"/>
    </row>
    <row r="763" spans="8:14" x14ac:dyDescent="0.25">
      <c r="H763" s="37"/>
      <c r="I763" s="79"/>
      <c r="J763" s="70"/>
      <c r="K763" s="57"/>
      <c r="L763" s="11"/>
      <c r="M763" s="41"/>
      <c r="N763" s="11"/>
    </row>
    <row r="764" spans="8:14" x14ac:dyDescent="0.25">
      <c r="H764" s="37"/>
      <c r="I764" s="79"/>
      <c r="J764" s="70"/>
      <c r="K764" s="57"/>
      <c r="L764" s="11"/>
      <c r="M764" s="41"/>
      <c r="N764" s="11"/>
    </row>
    <row r="765" spans="8:14" x14ac:dyDescent="0.25">
      <c r="H765" s="37"/>
      <c r="I765" s="79"/>
      <c r="J765" s="70"/>
      <c r="K765" s="57"/>
      <c r="L765" s="11"/>
      <c r="M765" s="41"/>
      <c r="N765" s="11"/>
    </row>
    <row r="766" spans="8:14" x14ac:dyDescent="0.25">
      <c r="H766" s="37"/>
      <c r="I766" s="79"/>
      <c r="J766" s="70"/>
      <c r="K766" s="57"/>
      <c r="L766" s="11"/>
      <c r="M766" s="41"/>
      <c r="N766" s="11"/>
    </row>
    <row r="767" spans="8:14" x14ac:dyDescent="0.25">
      <c r="H767" s="37"/>
      <c r="I767" s="79"/>
      <c r="J767" s="70"/>
      <c r="K767" s="57"/>
      <c r="L767" s="11"/>
      <c r="M767" s="41"/>
      <c r="N767" s="11"/>
    </row>
    <row r="768" spans="8:14" x14ac:dyDescent="0.25">
      <c r="H768" s="37"/>
      <c r="I768" s="79"/>
      <c r="J768" s="70"/>
      <c r="K768" s="57"/>
      <c r="L768" s="11"/>
      <c r="M768" s="41"/>
      <c r="N768" s="11"/>
    </row>
    <row r="769" spans="8:14" x14ac:dyDescent="0.25">
      <c r="H769" s="37"/>
      <c r="I769" s="79"/>
      <c r="J769" s="70"/>
      <c r="K769" s="57"/>
      <c r="L769" s="11"/>
      <c r="M769" s="41"/>
      <c r="N769" s="11"/>
    </row>
    <row r="770" spans="8:14" x14ac:dyDescent="0.25">
      <c r="H770" s="37"/>
      <c r="I770" s="79"/>
      <c r="J770" s="70"/>
      <c r="K770" s="57"/>
      <c r="L770" s="11"/>
      <c r="M770" s="41"/>
      <c r="N770" s="11"/>
    </row>
    <row r="771" spans="8:14" x14ac:dyDescent="0.25">
      <c r="H771" s="37"/>
      <c r="I771" s="79"/>
      <c r="J771" s="70"/>
      <c r="K771" s="57"/>
      <c r="L771" s="11"/>
      <c r="M771" s="41"/>
      <c r="N771" s="11"/>
    </row>
    <row r="772" spans="8:14" x14ac:dyDescent="0.25">
      <c r="H772" s="37"/>
      <c r="I772" s="79"/>
      <c r="J772" s="70"/>
      <c r="K772" s="57"/>
      <c r="L772" s="11"/>
      <c r="M772" s="41"/>
      <c r="N772" s="11"/>
    </row>
    <row r="773" spans="8:14" x14ac:dyDescent="0.25">
      <c r="H773" s="37"/>
      <c r="I773" s="79"/>
      <c r="J773" s="70"/>
      <c r="K773" s="57"/>
      <c r="L773" s="11"/>
      <c r="M773" s="41"/>
      <c r="N773" s="11"/>
    </row>
    <row r="774" spans="8:14" x14ac:dyDescent="0.25">
      <c r="H774" s="37"/>
      <c r="I774" s="79"/>
      <c r="J774" s="70"/>
      <c r="K774" s="57"/>
      <c r="L774" s="11"/>
      <c r="M774" s="41"/>
      <c r="N774" s="11"/>
    </row>
    <row r="775" spans="8:14" x14ac:dyDescent="0.25">
      <c r="H775" s="37"/>
      <c r="I775" s="79"/>
      <c r="J775" s="70"/>
      <c r="K775" s="57"/>
      <c r="L775" s="11"/>
      <c r="M775" s="41"/>
      <c r="N775" s="11"/>
    </row>
    <row r="776" spans="8:14" x14ac:dyDescent="0.25">
      <c r="H776" s="37"/>
      <c r="I776" s="79"/>
      <c r="J776" s="70"/>
      <c r="K776" s="57"/>
      <c r="L776" s="11"/>
      <c r="M776" s="41"/>
      <c r="N776" s="11"/>
    </row>
    <row r="777" spans="8:14" x14ac:dyDescent="0.25">
      <c r="H777" s="37"/>
      <c r="I777" s="79"/>
      <c r="J777" s="70"/>
      <c r="K777" s="57"/>
      <c r="L777" s="11"/>
      <c r="M777" s="41"/>
      <c r="N777" s="11"/>
    </row>
    <row r="778" spans="8:14" x14ac:dyDescent="0.25">
      <c r="H778" s="37"/>
      <c r="I778" s="79"/>
      <c r="J778" s="70"/>
      <c r="K778" s="57"/>
      <c r="L778" s="11"/>
      <c r="M778" s="41"/>
      <c r="N778" s="11"/>
    </row>
    <row r="779" spans="8:14" x14ac:dyDescent="0.25">
      <c r="H779" s="37"/>
      <c r="I779" s="79"/>
      <c r="J779" s="70"/>
      <c r="K779" s="57"/>
      <c r="L779" s="11"/>
      <c r="M779" s="41"/>
      <c r="N779" s="11"/>
    </row>
    <row r="780" spans="8:14" x14ac:dyDescent="0.25">
      <c r="H780" s="37"/>
      <c r="I780" s="79"/>
      <c r="J780" s="70"/>
      <c r="K780" s="57"/>
      <c r="L780" s="11"/>
      <c r="M780" s="41"/>
      <c r="N780" s="11"/>
    </row>
    <row r="781" spans="8:14" x14ac:dyDescent="0.25">
      <c r="H781" s="37"/>
      <c r="I781" s="79"/>
      <c r="J781" s="70"/>
      <c r="K781" s="57"/>
      <c r="L781" s="11"/>
      <c r="M781" s="41"/>
      <c r="N781" s="11"/>
    </row>
    <row r="782" spans="8:14" x14ac:dyDescent="0.25">
      <c r="H782" s="37"/>
      <c r="I782" s="79"/>
      <c r="J782" s="70"/>
      <c r="K782" s="57"/>
      <c r="L782" s="11"/>
      <c r="M782" s="41"/>
      <c r="N782" s="11"/>
    </row>
    <row r="783" spans="8:14" x14ac:dyDescent="0.25">
      <c r="H783" s="37"/>
      <c r="I783" s="79"/>
      <c r="J783" s="70"/>
      <c r="K783" s="57"/>
      <c r="L783" s="11"/>
      <c r="M783" s="41"/>
      <c r="N783" s="11"/>
    </row>
    <row r="784" spans="8:14" x14ac:dyDescent="0.25">
      <c r="H784" s="37"/>
      <c r="I784" s="79"/>
      <c r="J784" s="70"/>
      <c r="K784" s="57"/>
      <c r="L784" s="11"/>
      <c r="M784" s="41"/>
      <c r="N784" s="11"/>
    </row>
    <row r="785" spans="8:14" x14ac:dyDescent="0.25">
      <c r="H785" s="37"/>
      <c r="I785" s="79"/>
      <c r="J785" s="70"/>
      <c r="K785" s="57"/>
      <c r="L785" s="11"/>
      <c r="M785" s="41"/>
      <c r="N785" s="11"/>
    </row>
    <row r="786" spans="8:14" x14ac:dyDescent="0.25">
      <c r="H786" s="37"/>
      <c r="I786" s="79"/>
      <c r="J786" s="70"/>
      <c r="K786" s="57"/>
      <c r="L786" s="11"/>
      <c r="M786" s="41"/>
      <c r="N786" s="11"/>
    </row>
    <row r="787" spans="8:14" x14ac:dyDescent="0.25">
      <c r="H787" s="37"/>
      <c r="I787" s="79"/>
      <c r="J787" s="70"/>
      <c r="K787" s="57"/>
      <c r="L787" s="11"/>
      <c r="M787" s="41"/>
      <c r="N787" s="11"/>
    </row>
    <row r="788" spans="8:14" x14ac:dyDescent="0.25">
      <c r="H788" s="37"/>
      <c r="I788" s="79"/>
      <c r="J788" s="70"/>
      <c r="K788" s="57"/>
      <c r="L788" s="11"/>
      <c r="M788" s="41"/>
      <c r="N788" s="11"/>
    </row>
    <row r="789" spans="8:14" x14ac:dyDescent="0.25">
      <c r="H789" s="37"/>
      <c r="I789" s="79"/>
      <c r="J789" s="70"/>
      <c r="K789" s="57"/>
      <c r="L789" s="11"/>
      <c r="M789" s="41"/>
      <c r="N789" s="11"/>
    </row>
    <row r="790" spans="8:14" x14ac:dyDescent="0.25">
      <c r="H790" s="37"/>
      <c r="I790" s="79"/>
      <c r="J790" s="70"/>
      <c r="K790" s="57"/>
      <c r="L790" s="11"/>
      <c r="M790" s="41"/>
      <c r="N790" s="11"/>
    </row>
    <row r="791" spans="8:14" x14ac:dyDescent="0.25">
      <c r="H791" s="37"/>
      <c r="I791" s="79"/>
      <c r="J791" s="70"/>
      <c r="K791" s="57"/>
      <c r="L791" s="11"/>
      <c r="M791" s="41"/>
      <c r="N791" s="11"/>
    </row>
    <row r="792" spans="8:14" x14ac:dyDescent="0.25">
      <c r="H792" s="37"/>
      <c r="I792" s="79"/>
      <c r="J792" s="70"/>
      <c r="K792" s="57"/>
      <c r="L792" s="11"/>
      <c r="M792" s="41"/>
      <c r="N792" s="11"/>
    </row>
    <row r="793" spans="8:14" x14ac:dyDescent="0.25">
      <c r="H793" s="37"/>
      <c r="I793" s="79"/>
      <c r="J793" s="70"/>
      <c r="K793" s="57"/>
      <c r="L793" s="11"/>
      <c r="M793" s="41"/>
      <c r="N793" s="11"/>
    </row>
    <row r="794" spans="8:14" x14ac:dyDescent="0.25">
      <c r="H794" s="37"/>
      <c r="I794" s="79"/>
      <c r="J794" s="70"/>
      <c r="K794" s="57"/>
      <c r="L794" s="11"/>
      <c r="M794" s="41"/>
      <c r="N794" s="11"/>
    </row>
    <row r="795" spans="8:14" x14ac:dyDescent="0.25">
      <c r="H795" s="37"/>
      <c r="I795" s="79"/>
      <c r="J795" s="70"/>
      <c r="K795" s="57"/>
      <c r="L795" s="11"/>
      <c r="M795" s="41"/>
      <c r="N795" s="11"/>
    </row>
    <row r="796" spans="8:14" x14ac:dyDescent="0.25">
      <c r="H796" s="37"/>
      <c r="I796" s="79"/>
      <c r="J796" s="70"/>
      <c r="K796" s="57"/>
      <c r="L796" s="11"/>
      <c r="M796" s="41"/>
      <c r="N796" s="11"/>
    </row>
    <row r="797" spans="8:14" x14ac:dyDescent="0.25">
      <c r="H797" s="37"/>
      <c r="I797" s="79"/>
      <c r="J797" s="70"/>
      <c r="K797" s="57"/>
      <c r="L797" s="11"/>
      <c r="M797" s="41"/>
      <c r="N797" s="11"/>
    </row>
    <row r="798" spans="8:14" x14ac:dyDescent="0.25">
      <c r="H798" s="37"/>
      <c r="I798" s="79"/>
      <c r="J798" s="70"/>
      <c r="K798" s="57"/>
      <c r="L798" s="11"/>
      <c r="M798" s="41"/>
      <c r="N798" s="11"/>
    </row>
    <row r="799" spans="8:14" x14ac:dyDescent="0.25">
      <c r="H799" s="37"/>
      <c r="I799" s="79"/>
      <c r="J799" s="70"/>
      <c r="K799" s="57"/>
      <c r="L799" s="11"/>
      <c r="M799" s="41"/>
      <c r="N799" s="11"/>
    </row>
    <row r="800" spans="8:14" x14ac:dyDescent="0.25">
      <c r="H800" s="37"/>
      <c r="I800" s="79"/>
      <c r="J800" s="70"/>
      <c r="K800" s="57"/>
      <c r="L800" s="11"/>
      <c r="M800" s="41"/>
      <c r="N800" s="11"/>
    </row>
    <row r="801" spans="8:14" x14ac:dyDescent="0.25">
      <c r="H801" s="37"/>
      <c r="I801" s="79"/>
      <c r="J801" s="70"/>
      <c r="K801" s="57"/>
      <c r="L801" s="11"/>
      <c r="M801" s="41"/>
      <c r="N801" s="11"/>
    </row>
    <row r="802" spans="8:14" x14ac:dyDescent="0.25">
      <c r="H802" s="37"/>
      <c r="I802" s="79"/>
      <c r="J802" s="70"/>
      <c r="K802" s="57"/>
      <c r="L802" s="11"/>
      <c r="M802" s="41"/>
      <c r="N802" s="11"/>
    </row>
    <row r="803" spans="8:14" x14ac:dyDescent="0.25">
      <c r="H803" s="37"/>
      <c r="I803" s="79"/>
      <c r="J803" s="70"/>
      <c r="K803" s="57"/>
      <c r="L803" s="11"/>
      <c r="M803" s="41"/>
      <c r="N803" s="11"/>
    </row>
    <row r="804" spans="8:14" x14ac:dyDescent="0.25">
      <c r="H804" s="37"/>
      <c r="I804" s="79"/>
      <c r="J804" s="70"/>
      <c r="K804" s="57"/>
      <c r="L804" s="11"/>
      <c r="M804" s="41"/>
      <c r="N804" s="11"/>
    </row>
    <row r="805" spans="8:14" x14ac:dyDescent="0.25">
      <c r="H805" s="37"/>
      <c r="I805" s="79"/>
      <c r="J805" s="70"/>
      <c r="K805" s="57"/>
      <c r="L805" s="11"/>
      <c r="M805" s="41"/>
      <c r="N805" s="11"/>
    </row>
    <row r="806" spans="8:14" x14ac:dyDescent="0.25">
      <c r="H806" s="37"/>
      <c r="I806" s="79"/>
      <c r="J806" s="70"/>
      <c r="K806" s="57"/>
      <c r="L806" s="11"/>
      <c r="M806" s="41"/>
      <c r="N806" s="11"/>
    </row>
    <row r="807" spans="8:14" x14ac:dyDescent="0.25">
      <c r="H807" s="37"/>
      <c r="I807" s="79"/>
      <c r="J807" s="70"/>
      <c r="K807" s="57"/>
      <c r="L807" s="11"/>
      <c r="M807" s="41"/>
      <c r="N807" s="11"/>
    </row>
    <row r="808" spans="8:14" x14ac:dyDescent="0.25">
      <c r="H808" s="37"/>
      <c r="I808" s="79"/>
      <c r="J808" s="70"/>
      <c r="K808" s="57"/>
      <c r="L808" s="11"/>
      <c r="M808" s="41"/>
      <c r="N808" s="11"/>
    </row>
    <row r="809" spans="8:14" x14ac:dyDescent="0.25">
      <c r="H809" s="37"/>
      <c r="I809" s="79"/>
      <c r="J809" s="70"/>
      <c r="K809" s="57"/>
      <c r="L809" s="11"/>
      <c r="M809" s="41"/>
      <c r="N809" s="11"/>
    </row>
    <row r="810" spans="8:14" x14ac:dyDescent="0.25">
      <c r="H810" s="37"/>
      <c r="I810" s="79"/>
      <c r="J810" s="70"/>
      <c r="K810" s="57"/>
      <c r="L810" s="11"/>
      <c r="M810" s="41"/>
      <c r="N810" s="11"/>
    </row>
    <row r="811" spans="8:14" x14ac:dyDescent="0.25">
      <c r="H811" s="37"/>
      <c r="I811" s="79"/>
      <c r="J811" s="70"/>
      <c r="K811" s="57"/>
      <c r="L811" s="11"/>
      <c r="M811" s="41"/>
      <c r="N811" s="11"/>
    </row>
    <row r="812" spans="8:14" x14ac:dyDescent="0.25">
      <c r="H812" s="37"/>
      <c r="I812" s="79"/>
      <c r="J812" s="70"/>
      <c r="K812" s="57"/>
      <c r="L812" s="11"/>
      <c r="M812" s="41"/>
      <c r="N812" s="11"/>
    </row>
    <row r="813" spans="8:14" x14ac:dyDescent="0.25">
      <c r="H813" s="37"/>
      <c r="I813" s="79"/>
      <c r="J813" s="70"/>
      <c r="K813" s="57"/>
      <c r="L813" s="11"/>
      <c r="M813" s="41"/>
      <c r="N813" s="11"/>
    </row>
    <row r="814" spans="8:14" x14ac:dyDescent="0.25">
      <c r="H814" s="37"/>
      <c r="I814" s="79"/>
      <c r="J814" s="70"/>
      <c r="K814" s="57"/>
      <c r="L814" s="11"/>
      <c r="M814" s="41"/>
      <c r="N814" s="11"/>
    </row>
    <row r="815" spans="8:14" x14ac:dyDescent="0.25">
      <c r="H815" s="37"/>
      <c r="I815" s="79"/>
      <c r="J815" s="70"/>
      <c r="K815" s="57"/>
      <c r="L815" s="11"/>
      <c r="M815" s="41"/>
      <c r="N815" s="11"/>
    </row>
    <row r="816" spans="8:14" x14ac:dyDescent="0.25">
      <c r="H816" s="37"/>
      <c r="I816" s="79"/>
      <c r="J816" s="70"/>
      <c r="K816" s="57"/>
      <c r="L816" s="11"/>
      <c r="M816" s="41"/>
      <c r="N816" s="11"/>
    </row>
    <row r="817" spans="8:14" x14ac:dyDescent="0.25">
      <c r="H817" s="37"/>
      <c r="I817" s="79"/>
      <c r="J817" s="70"/>
      <c r="K817" s="57"/>
      <c r="L817" s="11"/>
      <c r="M817" s="41"/>
      <c r="N817" s="11"/>
    </row>
    <row r="818" spans="8:14" x14ac:dyDescent="0.25">
      <c r="H818" s="37"/>
      <c r="I818" s="79"/>
      <c r="J818" s="70"/>
      <c r="K818" s="57"/>
      <c r="L818" s="11"/>
      <c r="M818" s="41"/>
      <c r="N818" s="11"/>
    </row>
    <row r="819" spans="8:14" x14ac:dyDescent="0.25">
      <c r="H819" s="37"/>
      <c r="I819" s="79"/>
      <c r="J819" s="70"/>
      <c r="K819" s="57"/>
      <c r="L819" s="11"/>
      <c r="M819" s="41"/>
      <c r="N819" s="11"/>
    </row>
    <row r="820" spans="8:14" x14ac:dyDescent="0.25">
      <c r="H820" s="37"/>
      <c r="I820" s="79"/>
      <c r="J820" s="70"/>
      <c r="K820" s="57"/>
      <c r="L820" s="11"/>
      <c r="M820" s="41"/>
      <c r="N820" s="11"/>
    </row>
    <row r="821" spans="8:14" x14ac:dyDescent="0.25">
      <c r="H821" s="37"/>
      <c r="I821" s="79"/>
      <c r="J821" s="70"/>
      <c r="K821" s="57"/>
      <c r="L821" s="11"/>
      <c r="M821" s="41"/>
      <c r="N821" s="11"/>
    </row>
    <row r="822" spans="8:14" x14ac:dyDescent="0.25">
      <c r="H822" s="37"/>
      <c r="I822" s="79"/>
      <c r="J822" s="70"/>
      <c r="K822" s="57"/>
      <c r="L822" s="11"/>
      <c r="M822" s="41"/>
      <c r="N822" s="11"/>
    </row>
    <row r="823" spans="8:14" x14ac:dyDescent="0.25">
      <c r="H823" s="37"/>
      <c r="I823" s="79"/>
      <c r="J823" s="70"/>
      <c r="K823" s="57"/>
      <c r="L823" s="11"/>
      <c r="M823" s="41"/>
      <c r="N823" s="11"/>
    </row>
    <row r="824" spans="8:14" x14ac:dyDescent="0.25">
      <c r="H824" s="37"/>
      <c r="I824" s="79"/>
      <c r="J824" s="70"/>
      <c r="K824" s="57"/>
      <c r="L824" s="11"/>
      <c r="M824" s="41"/>
      <c r="N824" s="11"/>
    </row>
    <row r="825" spans="8:14" x14ac:dyDescent="0.25">
      <c r="H825" s="37"/>
      <c r="I825" s="79"/>
      <c r="J825" s="70"/>
      <c r="K825" s="57"/>
      <c r="L825" s="11"/>
      <c r="M825" s="41"/>
      <c r="N825" s="11"/>
    </row>
    <row r="826" spans="8:14" x14ac:dyDescent="0.25">
      <c r="H826" s="37"/>
      <c r="I826" s="79"/>
      <c r="J826" s="70"/>
      <c r="K826" s="57"/>
      <c r="L826" s="11"/>
      <c r="M826" s="41"/>
      <c r="N826" s="11"/>
    </row>
    <row r="827" spans="8:14" x14ac:dyDescent="0.25">
      <c r="H827" s="37"/>
      <c r="I827" s="79"/>
      <c r="J827" s="70"/>
      <c r="K827" s="57"/>
      <c r="L827" s="11"/>
      <c r="M827" s="41"/>
      <c r="N827" s="11"/>
    </row>
    <row r="828" spans="8:14" x14ac:dyDescent="0.25">
      <c r="H828" s="37"/>
      <c r="I828" s="79"/>
      <c r="J828" s="70"/>
      <c r="K828" s="57"/>
      <c r="L828" s="11"/>
      <c r="M828" s="41"/>
      <c r="N828" s="11"/>
    </row>
    <row r="829" spans="8:14" x14ac:dyDescent="0.25">
      <c r="H829" s="37"/>
      <c r="I829" s="79"/>
      <c r="J829" s="70"/>
      <c r="K829" s="57"/>
      <c r="L829" s="11"/>
      <c r="M829" s="41"/>
      <c r="N829" s="11"/>
    </row>
    <row r="830" spans="8:14" x14ac:dyDescent="0.25">
      <c r="H830" s="37"/>
      <c r="I830" s="79"/>
      <c r="J830" s="70"/>
      <c r="K830" s="57"/>
      <c r="L830" s="11"/>
      <c r="M830" s="41"/>
      <c r="N830" s="11"/>
    </row>
    <row r="831" spans="8:14" x14ac:dyDescent="0.25">
      <c r="H831" s="37"/>
      <c r="I831" s="79"/>
      <c r="J831" s="70"/>
      <c r="K831" s="57"/>
      <c r="L831" s="11"/>
      <c r="M831" s="41"/>
      <c r="N831" s="11"/>
    </row>
    <row r="832" spans="8:14" x14ac:dyDescent="0.25">
      <c r="H832" s="37"/>
      <c r="I832" s="79"/>
      <c r="J832" s="70"/>
      <c r="K832" s="57"/>
      <c r="L832" s="11"/>
      <c r="M832" s="41"/>
      <c r="N832" s="11"/>
    </row>
    <row r="833" spans="8:14" x14ac:dyDescent="0.25">
      <c r="H833" s="37"/>
      <c r="I833" s="79"/>
      <c r="J833" s="70"/>
      <c r="K833" s="57"/>
      <c r="L833" s="11"/>
      <c r="M833" s="41"/>
      <c r="N833" s="11"/>
    </row>
    <row r="834" spans="8:14" x14ac:dyDescent="0.25">
      <c r="H834" s="37"/>
      <c r="I834" s="79"/>
      <c r="J834" s="70"/>
      <c r="K834" s="57"/>
      <c r="L834" s="11"/>
      <c r="M834" s="41"/>
      <c r="N834" s="11"/>
    </row>
    <row r="835" spans="8:14" x14ac:dyDescent="0.25">
      <c r="H835" s="37"/>
      <c r="I835" s="79"/>
      <c r="J835" s="70"/>
      <c r="K835" s="57"/>
      <c r="L835" s="11"/>
      <c r="M835" s="41"/>
      <c r="N835" s="11"/>
    </row>
    <row r="836" spans="8:14" x14ac:dyDescent="0.25">
      <c r="H836" s="37"/>
      <c r="I836" s="79"/>
      <c r="J836" s="70"/>
      <c r="K836" s="57"/>
      <c r="L836" s="11"/>
      <c r="M836" s="41"/>
      <c r="N836" s="11"/>
    </row>
    <row r="837" spans="8:14" x14ac:dyDescent="0.25">
      <c r="H837" s="37"/>
      <c r="I837" s="79"/>
      <c r="J837" s="70"/>
      <c r="K837" s="57"/>
      <c r="L837" s="11"/>
      <c r="M837" s="41"/>
      <c r="N837" s="11"/>
    </row>
    <row r="838" spans="8:14" x14ac:dyDescent="0.25">
      <c r="H838" s="37"/>
      <c r="I838" s="79"/>
      <c r="J838" s="70"/>
      <c r="K838" s="57"/>
      <c r="L838" s="11"/>
      <c r="M838" s="41"/>
      <c r="N838" s="11"/>
    </row>
    <row r="839" spans="8:14" x14ac:dyDescent="0.25">
      <c r="H839" s="37"/>
      <c r="I839" s="79"/>
      <c r="J839" s="70"/>
      <c r="K839" s="57"/>
      <c r="L839" s="11"/>
      <c r="M839" s="41"/>
      <c r="N839" s="11"/>
    </row>
    <row r="840" spans="8:14" x14ac:dyDescent="0.25">
      <c r="H840" s="37"/>
      <c r="I840" s="79"/>
      <c r="J840" s="70"/>
      <c r="K840" s="57"/>
      <c r="L840" s="11"/>
      <c r="M840" s="41"/>
      <c r="N840" s="11"/>
    </row>
    <row r="841" spans="8:14" x14ac:dyDescent="0.25">
      <c r="H841" s="37"/>
      <c r="I841" s="79"/>
      <c r="J841" s="70"/>
      <c r="K841" s="57"/>
      <c r="L841" s="11"/>
      <c r="M841" s="41"/>
      <c r="N841" s="11"/>
    </row>
    <row r="842" spans="8:14" x14ac:dyDescent="0.25">
      <c r="H842" s="37"/>
      <c r="I842" s="79"/>
      <c r="J842" s="70"/>
      <c r="K842" s="57"/>
      <c r="L842" s="11"/>
      <c r="M842" s="41"/>
      <c r="N842" s="11"/>
    </row>
    <row r="843" spans="8:14" x14ac:dyDescent="0.25">
      <c r="H843" s="37"/>
      <c r="I843" s="79"/>
      <c r="J843" s="70"/>
      <c r="K843" s="57"/>
      <c r="L843" s="11"/>
      <c r="M843" s="41"/>
      <c r="N843" s="11"/>
    </row>
    <row r="844" spans="8:14" x14ac:dyDescent="0.25">
      <c r="H844" s="37"/>
      <c r="I844" s="79"/>
      <c r="J844" s="70"/>
      <c r="K844" s="57"/>
      <c r="L844" s="11"/>
      <c r="M844" s="41"/>
      <c r="N844" s="11"/>
    </row>
    <row r="845" spans="8:14" x14ac:dyDescent="0.25">
      <c r="H845" s="37"/>
      <c r="I845" s="79"/>
      <c r="J845" s="70"/>
      <c r="K845" s="57"/>
      <c r="L845" s="11"/>
      <c r="M845" s="41"/>
      <c r="N845" s="11"/>
    </row>
    <row r="846" spans="8:14" x14ac:dyDescent="0.25">
      <c r="H846" s="37"/>
      <c r="I846" s="79"/>
      <c r="J846" s="70"/>
      <c r="K846" s="57"/>
      <c r="L846" s="11"/>
      <c r="M846" s="41"/>
      <c r="N846" s="11"/>
    </row>
    <row r="847" spans="8:14" x14ac:dyDescent="0.25">
      <c r="H847" s="37"/>
      <c r="I847" s="79"/>
      <c r="J847" s="70"/>
      <c r="K847" s="57"/>
      <c r="L847" s="11"/>
      <c r="M847" s="41"/>
      <c r="N847" s="11"/>
    </row>
    <row r="848" spans="8:14" x14ac:dyDescent="0.25">
      <c r="H848" s="37"/>
      <c r="I848" s="79"/>
      <c r="J848" s="70"/>
      <c r="K848" s="57"/>
      <c r="L848" s="11"/>
      <c r="M848" s="41"/>
      <c r="N848" s="11"/>
    </row>
    <row r="849" spans="8:14" x14ac:dyDescent="0.25">
      <c r="H849" s="37"/>
      <c r="I849" s="79"/>
      <c r="J849" s="70"/>
      <c r="K849" s="57"/>
      <c r="L849" s="11"/>
      <c r="M849" s="41"/>
      <c r="N849" s="11"/>
    </row>
    <row r="850" spans="8:14" x14ac:dyDescent="0.25">
      <c r="H850" s="37"/>
      <c r="I850" s="79"/>
      <c r="J850" s="70"/>
      <c r="K850" s="57"/>
      <c r="L850" s="11"/>
      <c r="M850" s="41"/>
      <c r="N850" s="11"/>
    </row>
    <row r="851" spans="8:14" x14ac:dyDescent="0.25">
      <c r="H851" s="37"/>
      <c r="I851" s="79"/>
      <c r="J851" s="70"/>
      <c r="K851" s="57"/>
      <c r="L851" s="11"/>
      <c r="M851" s="41"/>
      <c r="N851" s="11"/>
    </row>
    <row r="852" spans="8:14" x14ac:dyDescent="0.25">
      <c r="H852" s="37"/>
      <c r="I852" s="79"/>
      <c r="J852" s="70"/>
      <c r="K852" s="57"/>
      <c r="L852" s="11"/>
      <c r="M852" s="41"/>
      <c r="N852" s="11"/>
    </row>
    <row r="853" spans="8:14" x14ac:dyDescent="0.25">
      <c r="H853" s="37"/>
      <c r="I853" s="79"/>
      <c r="J853" s="70"/>
      <c r="K853" s="57"/>
      <c r="L853" s="11"/>
      <c r="M853" s="41"/>
      <c r="N853" s="11"/>
    </row>
    <row r="854" spans="8:14" x14ac:dyDescent="0.25">
      <c r="H854" s="37"/>
      <c r="I854" s="79"/>
      <c r="J854" s="70"/>
      <c r="K854" s="57"/>
      <c r="L854" s="11"/>
      <c r="M854" s="41"/>
      <c r="N854" s="11"/>
    </row>
    <row r="855" spans="8:14" x14ac:dyDescent="0.25">
      <c r="H855" s="37"/>
      <c r="I855" s="79"/>
      <c r="J855" s="70"/>
      <c r="K855" s="57"/>
      <c r="L855" s="11"/>
      <c r="M855" s="41"/>
      <c r="N855" s="11"/>
    </row>
    <row r="856" spans="8:14" x14ac:dyDescent="0.25">
      <c r="H856" s="37"/>
      <c r="I856" s="79"/>
      <c r="J856" s="70"/>
      <c r="K856" s="57"/>
      <c r="L856" s="11"/>
      <c r="M856" s="41"/>
      <c r="N856" s="11"/>
    </row>
    <row r="857" spans="8:14" x14ac:dyDescent="0.25">
      <c r="H857" s="37"/>
      <c r="I857" s="79"/>
      <c r="J857" s="70"/>
      <c r="K857" s="57"/>
      <c r="L857" s="11"/>
      <c r="M857" s="41"/>
      <c r="N857" s="11"/>
    </row>
    <row r="858" spans="8:14" x14ac:dyDescent="0.25">
      <c r="H858" s="37"/>
      <c r="I858" s="79"/>
      <c r="J858" s="70"/>
      <c r="K858" s="57"/>
      <c r="L858" s="11"/>
      <c r="M858" s="41"/>
      <c r="N858" s="11"/>
    </row>
    <row r="859" spans="8:14" x14ac:dyDescent="0.25">
      <c r="H859" s="37"/>
      <c r="I859" s="79"/>
      <c r="J859" s="70"/>
      <c r="K859" s="57"/>
      <c r="L859" s="11"/>
      <c r="M859" s="41"/>
      <c r="N859" s="11"/>
    </row>
    <row r="860" spans="8:14" x14ac:dyDescent="0.25">
      <c r="H860" s="37"/>
      <c r="I860" s="79"/>
      <c r="J860" s="70"/>
      <c r="K860" s="57"/>
      <c r="L860" s="11"/>
      <c r="M860" s="41"/>
      <c r="N860" s="11"/>
    </row>
    <row r="861" spans="8:14" x14ac:dyDescent="0.25">
      <c r="H861" s="37"/>
      <c r="I861" s="79"/>
      <c r="J861" s="70"/>
      <c r="K861" s="57"/>
      <c r="L861" s="11"/>
      <c r="M861" s="41"/>
      <c r="N861" s="11"/>
    </row>
    <row r="862" spans="8:14" x14ac:dyDescent="0.25">
      <c r="H862" s="37"/>
      <c r="I862" s="79"/>
      <c r="J862" s="70"/>
      <c r="K862" s="57"/>
      <c r="L862" s="11"/>
      <c r="M862" s="41"/>
      <c r="N862" s="11"/>
    </row>
    <row r="863" spans="8:14" x14ac:dyDescent="0.25">
      <c r="H863" s="37"/>
      <c r="I863" s="79"/>
      <c r="J863" s="70"/>
      <c r="K863" s="57"/>
      <c r="L863" s="11"/>
      <c r="M863" s="41"/>
      <c r="N863" s="11"/>
    </row>
    <row r="864" spans="8:14" x14ac:dyDescent="0.25">
      <c r="H864" s="37"/>
      <c r="I864" s="79"/>
      <c r="J864" s="70"/>
      <c r="K864" s="57"/>
      <c r="L864" s="11"/>
      <c r="M864" s="41"/>
      <c r="N864" s="11"/>
    </row>
    <row r="865" spans="8:14" x14ac:dyDescent="0.25">
      <c r="H865" s="37"/>
      <c r="I865" s="79"/>
      <c r="J865" s="70"/>
      <c r="K865" s="57"/>
      <c r="L865" s="11"/>
      <c r="M865" s="41"/>
      <c r="N865" s="11"/>
    </row>
    <row r="866" spans="8:14" x14ac:dyDescent="0.25">
      <c r="H866" s="37"/>
      <c r="I866" s="79"/>
      <c r="J866" s="70"/>
      <c r="K866" s="57"/>
      <c r="L866" s="11"/>
      <c r="M866" s="41"/>
      <c r="N866" s="11"/>
    </row>
    <row r="867" spans="8:14" x14ac:dyDescent="0.25">
      <c r="H867" s="37"/>
      <c r="I867" s="79"/>
      <c r="J867" s="70"/>
      <c r="K867" s="57"/>
      <c r="L867" s="11"/>
      <c r="M867" s="41"/>
      <c r="N867" s="11"/>
    </row>
    <row r="868" spans="8:14" x14ac:dyDescent="0.25">
      <c r="H868" s="37"/>
      <c r="I868" s="79"/>
      <c r="J868" s="70"/>
      <c r="K868" s="57"/>
      <c r="L868" s="11"/>
      <c r="M868" s="41"/>
      <c r="N868" s="11"/>
    </row>
    <row r="869" spans="8:14" x14ac:dyDescent="0.25">
      <c r="H869" s="37"/>
      <c r="I869" s="79"/>
      <c r="J869" s="70"/>
      <c r="K869" s="57"/>
      <c r="L869" s="11"/>
      <c r="M869" s="41"/>
      <c r="N869" s="11"/>
    </row>
    <row r="870" spans="8:14" x14ac:dyDescent="0.25">
      <c r="H870" s="37"/>
      <c r="I870" s="79"/>
      <c r="J870" s="70"/>
      <c r="K870" s="57"/>
      <c r="L870" s="11"/>
      <c r="M870" s="41"/>
      <c r="N870" s="11"/>
    </row>
    <row r="871" spans="8:14" x14ac:dyDescent="0.25">
      <c r="H871" s="37"/>
      <c r="I871" s="79"/>
      <c r="J871" s="70"/>
      <c r="K871" s="57"/>
      <c r="L871" s="11"/>
      <c r="M871" s="41"/>
      <c r="N871" s="11"/>
    </row>
    <row r="872" spans="8:14" x14ac:dyDescent="0.25">
      <c r="H872" s="37"/>
      <c r="I872" s="79"/>
      <c r="J872" s="70"/>
      <c r="K872" s="57"/>
      <c r="L872" s="11"/>
      <c r="M872" s="41"/>
      <c r="N872" s="11"/>
    </row>
    <row r="873" spans="8:14" x14ac:dyDescent="0.25">
      <c r="H873" s="37"/>
      <c r="I873" s="79"/>
      <c r="J873" s="70"/>
      <c r="K873" s="57"/>
      <c r="L873" s="11"/>
      <c r="M873" s="41"/>
      <c r="N873" s="11"/>
    </row>
    <row r="874" spans="8:14" x14ac:dyDescent="0.25">
      <c r="H874" s="37"/>
      <c r="I874" s="79"/>
      <c r="J874" s="70"/>
      <c r="K874" s="57"/>
      <c r="L874" s="11"/>
      <c r="M874" s="41"/>
      <c r="N874" s="11"/>
    </row>
    <row r="875" spans="8:14" x14ac:dyDescent="0.25">
      <c r="H875" s="37"/>
      <c r="I875" s="79"/>
      <c r="J875" s="70"/>
      <c r="K875" s="57"/>
      <c r="L875" s="11"/>
      <c r="M875" s="41"/>
      <c r="N875" s="11"/>
    </row>
    <row r="876" spans="8:14" x14ac:dyDescent="0.25">
      <c r="H876" s="37"/>
      <c r="I876" s="79"/>
      <c r="J876" s="70"/>
      <c r="K876" s="57"/>
      <c r="L876" s="11"/>
      <c r="M876" s="41"/>
      <c r="N876" s="11"/>
    </row>
    <row r="877" spans="8:14" x14ac:dyDescent="0.25">
      <c r="H877" s="37"/>
      <c r="I877" s="79"/>
      <c r="J877" s="70"/>
      <c r="K877" s="57"/>
      <c r="L877" s="11"/>
      <c r="M877" s="41"/>
      <c r="N877" s="11"/>
    </row>
    <row r="878" spans="8:14" x14ac:dyDescent="0.25">
      <c r="H878" s="37"/>
      <c r="I878" s="79"/>
      <c r="J878" s="70"/>
      <c r="K878" s="57"/>
      <c r="L878" s="11"/>
      <c r="M878" s="41"/>
      <c r="N878" s="11"/>
    </row>
    <row r="879" spans="8:14" x14ac:dyDescent="0.25">
      <c r="H879" s="37"/>
      <c r="I879" s="79"/>
      <c r="J879" s="70"/>
      <c r="K879" s="57"/>
      <c r="L879" s="11"/>
      <c r="M879" s="41"/>
      <c r="N879" s="11"/>
    </row>
    <row r="880" spans="8:14" x14ac:dyDescent="0.25">
      <c r="H880" s="37"/>
      <c r="I880" s="79"/>
      <c r="J880" s="70"/>
      <c r="K880" s="57"/>
      <c r="L880" s="11"/>
      <c r="M880" s="41"/>
      <c r="N880" s="11"/>
    </row>
    <row r="881" spans="8:14" x14ac:dyDescent="0.25">
      <c r="H881" s="37"/>
      <c r="I881" s="79"/>
      <c r="J881" s="70"/>
      <c r="K881" s="57"/>
      <c r="L881" s="11"/>
      <c r="M881" s="41"/>
      <c r="N881" s="11"/>
    </row>
    <row r="882" spans="8:14" x14ac:dyDescent="0.25">
      <c r="H882" s="37"/>
      <c r="I882" s="79"/>
      <c r="J882" s="70"/>
      <c r="K882" s="57"/>
      <c r="L882" s="11"/>
      <c r="M882" s="41"/>
      <c r="N882" s="11"/>
    </row>
    <row r="883" spans="8:14" x14ac:dyDescent="0.25">
      <c r="H883" s="37"/>
      <c r="I883" s="79"/>
      <c r="J883" s="70"/>
      <c r="K883" s="57"/>
      <c r="L883" s="11"/>
      <c r="M883" s="41"/>
      <c r="N883" s="11"/>
    </row>
    <row r="884" spans="8:14" x14ac:dyDescent="0.25">
      <c r="H884" s="37"/>
      <c r="I884" s="79"/>
      <c r="J884" s="70"/>
      <c r="K884" s="57"/>
      <c r="L884" s="11"/>
      <c r="M884" s="41"/>
      <c r="N884" s="11"/>
    </row>
    <row r="885" spans="8:14" x14ac:dyDescent="0.25">
      <c r="H885" s="37"/>
      <c r="I885" s="79"/>
      <c r="J885" s="70"/>
      <c r="K885" s="57"/>
      <c r="L885" s="11"/>
      <c r="M885" s="41"/>
      <c r="N885" s="11"/>
    </row>
    <row r="886" spans="8:14" x14ac:dyDescent="0.25">
      <c r="H886" s="37"/>
      <c r="I886" s="79"/>
      <c r="J886" s="70"/>
      <c r="K886" s="57"/>
      <c r="L886" s="11"/>
      <c r="M886" s="41"/>
      <c r="N886" s="11"/>
    </row>
    <row r="887" spans="8:14" x14ac:dyDescent="0.25">
      <c r="H887" s="37"/>
      <c r="I887" s="79"/>
      <c r="J887" s="70"/>
      <c r="K887" s="57"/>
      <c r="L887" s="11"/>
      <c r="M887" s="41"/>
      <c r="N887" s="11"/>
    </row>
    <row r="888" spans="8:14" x14ac:dyDescent="0.25">
      <c r="H888" s="37"/>
      <c r="I888" s="79"/>
      <c r="J888" s="70"/>
      <c r="K888" s="57"/>
      <c r="L888" s="11"/>
      <c r="M888" s="41"/>
      <c r="N888" s="11"/>
    </row>
    <row r="889" spans="8:14" x14ac:dyDescent="0.25">
      <c r="H889" s="37"/>
      <c r="I889" s="79"/>
      <c r="J889" s="70"/>
      <c r="K889" s="57"/>
      <c r="L889" s="11"/>
      <c r="M889" s="41"/>
      <c r="N889" s="11"/>
    </row>
    <row r="890" spans="8:14" x14ac:dyDescent="0.25">
      <c r="H890" s="37"/>
      <c r="I890" s="79"/>
      <c r="J890" s="70"/>
      <c r="K890" s="57"/>
      <c r="L890" s="11"/>
      <c r="M890" s="41"/>
      <c r="N890" s="11"/>
    </row>
    <row r="891" spans="8:14" x14ac:dyDescent="0.25">
      <c r="H891" s="37"/>
      <c r="I891" s="79"/>
      <c r="J891" s="70"/>
      <c r="K891" s="57"/>
      <c r="L891" s="11"/>
      <c r="M891" s="41"/>
      <c r="N891" s="11"/>
    </row>
    <row r="892" spans="8:14" x14ac:dyDescent="0.25">
      <c r="H892" s="37"/>
      <c r="I892" s="79"/>
      <c r="J892" s="70"/>
      <c r="K892" s="57"/>
      <c r="L892" s="11"/>
      <c r="M892" s="41"/>
      <c r="N892" s="11"/>
    </row>
    <row r="893" spans="8:14" x14ac:dyDescent="0.25">
      <c r="H893" s="37"/>
      <c r="I893" s="79"/>
      <c r="J893" s="70"/>
      <c r="K893" s="57"/>
      <c r="L893" s="11"/>
      <c r="M893" s="41"/>
      <c r="N893" s="11"/>
    </row>
    <row r="894" spans="8:14" x14ac:dyDescent="0.25">
      <c r="H894" s="37"/>
      <c r="I894" s="79"/>
      <c r="J894" s="70"/>
      <c r="K894" s="57"/>
      <c r="L894" s="11"/>
      <c r="M894" s="41"/>
      <c r="N894" s="11"/>
    </row>
    <row r="895" spans="8:14" x14ac:dyDescent="0.25">
      <c r="H895" s="37"/>
      <c r="I895" s="79"/>
      <c r="J895" s="70"/>
      <c r="K895" s="57"/>
      <c r="L895" s="11"/>
      <c r="M895" s="41"/>
      <c r="N895" s="11"/>
    </row>
    <row r="896" spans="8:14" x14ac:dyDescent="0.25">
      <c r="H896" s="37"/>
      <c r="I896" s="79"/>
      <c r="J896" s="70"/>
      <c r="K896" s="57"/>
      <c r="L896" s="11"/>
      <c r="M896" s="41"/>
      <c r="N896" s="11"/>
    </row>
    <row r="897" spans="8:14" x14ac:dyDescent="0.25">
      <c r="H897" s="37"/>
      <c r="I897" s="79"/>
      <c r="J897" s="70"/>
      <c r="K897" s="57"/>
      <c r="L897" s="11"/>
      <c r="M897" s="41"/>
      <c r="N897" s="11"/>
    </row>
    <row r="898" spans="8:14" x14ac:dyDescent="0.25">
      <c r="H898" s="37"/>
      <c r="I898" s="79"/>
      <c r="J898" s="70"/>
      <c r="K898" s="57"/>
      <c r="L898" s="11"/>
      <c r="M898" s="41"/>
      <c r="N898" s="11"/>
    </row>
    <row r="899" spans="8:14" x14ac:dyDescent="0.25">
      <c r="H899" s="37"/>
      <c r="I899" s="79"/>
      <c r="J899" s="70"/>
      <c r="K899" s="57"/>
      <c r="L899" s="11"/>
      <c r="M899" s="41"/>
      <c r="N899" s="11"/>
    </row>
    <row r="900" spans="8:14" x14ac:dyDescent="0.25">
      <c r="H900" s="37"/>
      <c r="I900" s="79"/>
      <c r="J900" s="70"/>
      <c r="K900" s="57"/>
      <c r="L900" s="11"/>
      <c r="M900" s="41"/>
      <c r="N900" s="11"/>
    </row>
    <row r="901" spans="8:14" x14ac:dyDescent="0.25">
      <c r="H901" s="37"/>
      <c r="I901" s="79"/>
      <c r="J901" s="70"/>
      <c r="K901" s="57"/>
      <c r="L901" s="11"/>
      <c r="M901" s="41"/>
      <c r="N901" s="11"/>
    </row>
    <row r="902" spans="8:14" x14ac:dyDescent="0.25">
      <c r="H902" s="37"/>
      <c r="I902" s="79"/>
      <c r="J902" s="70"/>
      <c r="K902" s="57"/>
      <c r="L902" s="11"/>
      <c r="M902" s="41"/>
      <c r="N902" s="11"/>
    </row>
    <row r="903" spans="8:14" x14ac:dyDescent="0.25">
      <c r="H903" s="37"/>
      <c r="I903" s="79"/>
      <c r="J903" s="70"/>
      <c r="K903" s="57"/>
      <c r="L903" s="11"/>
      <c r="M903" s="41"/>
      <c r="N903" s="11"/>
    </row>
    <row r="904" spans="8:14" x14ac:dyDescent="0.25">
      <c r="H904" s="37"/>
      <c r="I904" s="79"/>
      <c r="J904" s="70"/>
      <c r="K904" s="57"/>
      <c r="L904" s="11"/>
      <c r="M904" s="41"/>
      <c r="N904" s="11"/>
    </row>
    <row r="905" spans="8:14" x14ac:dyDescent="0.25">
      <c r="H905" s="37"/>
      <c r="I905" s="79"/>
      <c r="J905" s="70"/>
      <c r="K905" s="57"/>
      <c r="L905" s="11"/>
      <c r="M905" s="41"/>
      <c r="N905" s="11"/>
    </row>
    <row r="906" spans="8:14" x14ac:dyDescent="0.25">
      <c r="H906" s="37"/>
      <c r="I906" s="79"/>
      <c r="J906" s="70"/>
      <c r="K906" s="57"/>
      <c r="L906" s="11"/>
      <c r="M906" s="41"/>
      <c r="N906" s="11"/>
    </row>
    <row r="907" spans="8:14" x14ac:dyDescent="0.25">
      <c r="H907" s="37"/>
      <c r="I907" s="79"/>
      <c r="J907" s="70"/>
      <c r="K907" s="57"/>
      <c r="L907" s="11"/>
      <c r="M907" s="41"/>
      <c r="N907" s="11"/>
    </row>
    <row r="908" spans="8:14" x14ac:dyDescent="0.25">
      <c r="H908" s="37"/>
      <c r="I908" s="79"/>
      <c r="J908" s="70"/>
      <c r="K908" s="57"/>
      <c r="L908" s="11"/>
      <c r="M908" s="41"/>
      <c r="N908" s="11"/>
    </row>
    <row r="909" spans="8:14" x14ac:dyDescent="0.25">
      <c r="H909" s="37"/>
      <c r="I909" s="79"/>
      <c r="J909" s="70"/>
      <c r="K909" s="57"/>
      <c r="L909" s="11"/>
      <c r="M909" s="41"/>
      <c r="N909" s="11"/>
    </row>
    <row r="910" spans="8:14" x14ac:dyDescent="0.25">
      <c r="H910" s="37"/>
      <c r="I910" s="79"/>
      <c r="J910" s="70"/>
      <c r="K910" s="57"/>
      <c r="L910" s="11"/>
      <c r="M910" s="41"/>
      <c r="N910" s="11"/>
    </row>
    <row r="911" spans="8:14" x14ac:dyDescent="0.25">
      <c r="H911" s="37"/>
      <c r="I911" s="79"/>
      <c r="J911" s="70"/>
      <c r="K911" s="57"/>
      <c r="L911" s="11"/>
      <c r="M911" s="41"/>
      <c r="N911" s="11"/>
    </row>
    <row r="912" spans="8:14" x14ac:dyDescent="0.25">
      <c r="H912" s="37"/>
      <c r="I912" s="79"/>
      <c r="J912" s="70"/>
      <c r="K912" s="57"/>
      <c r="L912" s="11"/>
      <c r="M912" s="41"/>
      <c r="N912" s="11"/>
    </row>
    <row r="913" spans="8:14" x14ac:dyDescent="0.25">
      <c r="H913" s="37"/>
      <c r="I913" s="79"/>
      <c r="J913" s="70"/>
      <c r="K913" s="57"/>
      <c r="L913" s="11"/>
      <c r="M913" s="41"/>
      <c r="N913" s="11"/>
    </row>
    <row r="914" spans="8:14" x14ac:dyDescent="0.25">
      <c r="H914" s="37"/>
      <c r="I914" s="79"/>
      <c r="J914" s="70"/>
      <c r="K914" s="57"/>
      <c r="L914" s="11"/>
      <c r="M914" s="41"/>
      <c r="N914" s="11"/>
    </row>
    <row r="915" spans="8:14" x14ac:dyDescent="0.25">
      <c r="H915" s="37"/>
      <c r="I915" s="79"/>
      <c r="J915" s="70"/>
      <c r="K915" s="57"/>
      <c r="L915" s="11"/>
      <c r="M915" s="41"/>
      <c r="N915" s="11"/>
    </row>
    <row r="916" spans="8:14" x14ac:dyDescent="0.25">
      <c r="H916" s="37"/>
      <c r="I916" s="79"/>
      <c r="J916" s="70"/>
      <c r="K916" s="57"/>
      <c r="L916" s="11"/>
      <c r="M916" s="41"/>
      <c r="N916" s="11"/>
    </row>
    <row r="917" spans="8:14" x14ac:dyDescent="0.25">
      <c r="H917" s="37"/>
      <c r="I917" s="79"/>
      <c r="J917" s="70"/>
      <c r="K917" s="57"/>
      <c r="L917" s="11"/>
      <c r="M917" s="41"/>
      <c r="N917" s="11"/>
    </row>
    <row r="918" spans="8:14" x14ac:dyDescent="0.25">
      <c r="H918" s="37"/>
      <c r="I918" s="79"/>
      <c r="J918" s="70"/>
      <c r="K918" s="57"/>
      <c r="L918" s="11"/>
      <c r="M918" s="41"/>
      <c r="N918" s="11"/>
    </row>
    <row r="919" spans="8:14" x14ac:dyDescent="0.25">
      <c r="H919" s="37"/>
      <c r="I919" s="79"/>
      <c r="J919" s="70"/>
      <c r="K919" s="57"/>
      <c r="L919" s="11"/>
      <c r="M919" s="41"/>
      <c r="N919" s="11"/>
    </row>
    <row r="920" spans="8:14" x14ac:dyDescent="0.25">
      <c r="H920" s="37"/>
      <c r="I920" s="79"/>
      <c r="J920" s="70"/>
      <c r="K920" s="57"/>
      <c r="L920" s="11"/>
      <c r="M920" s="41"/>
      <c r="N920" s="11"/>
    </row>
    <row r="921" spans="8:14" x14ac:dyDescent="0.25">
      <c r="H921" s="37"/>
      <c r="I921" s="79"/>
      <c r="J921" s="70"/>
      <c r="K921" s="57"/>
      <c r="L921" s="11"/>
      <c r="M921" s="41"/>
      <c r="N921" s="11"/>
    </row>
    <row r="922" spans="8:14" x14ac:dyDescent="0.25">
      <c r="H922" s="37"/>
      <c r="I922" s="79"/>
      <c r="J922" s="70"/>
      <c r="K922" s="57"/>
      <c r="L922" s="11"/>
      <c r="M922" s="41"/>
      <c r="N922" s="11"/>
    </row>
    <row r="923" spans="8:14" x14ac:dyDescent="0.25">
      <c r="H923" s="37"/>
      <c r="I923" s="79"/>
      <c r="J923" s="70"/>
      <c r="K923" s="57"/>
      <c r="L923" s="11"/>
      <c r="M923" s="41"/>
      <c r="N923" s="11"/>
    </row>
    <row r="924" spans="8:14" x14ac:dyDescent="0.25">
      <c r="H924" s="37"/>
      <c r="I924" s="79"/>
      <c r="J924" s="70"/>
      <c r="K924" s="57"/>
      <c r="L924" s="11"/>
      <c r="M924" s="41"/>
      <c r="N924" s="11"/>
    </row>
    <row r="925" spans="8:14" x14ac:dyDescent="0.25">
      <c r="H925" s="37"/>
      <c r="I925" s="79"/>
      <c r="J925" s="70"/>
      <c r="K925" s="57"/>
      <c r="L925" s="11"/>
      <c r="M925" s="41"/>
      <c r="N925" s="11"/>
    </row>
    <row r="926" spans="8:14" x14ac:dyDescent="0.25">
      <c r="H926" s="37"/>
      <c r="I926" s="79"/>
      <c r="J926" s="70"/>
      <c r="K926" s="57"/>
      <c r="L926" s="11"/>
      <c r="M926" s="41"/>
      <c r="N926" s="11"/>
    </row>
    <row r="927" spans="8:14" x14ac:dyDescent="0.25">
      <c r="H927" s="37"/>
      <c r="I927" s="79"/>
      <c r="J927" s="70"/>
      <c r="K927" s="57"/>
      <c r="L927" s="11"/>
      <c r="M927" s="41"/>
      <c r="N927" s="11"/>
    </row>
    <row r="928" spans="8:14" x14ac:dyDescent="0.25">
      <c r="H928" s="37"/>
      <c r="I928" s="79"/>
      <c r="J928" s="70"/>
      <c r="K928" s="57"/>
      <c r="L928" s="11"/>
      <c r="M928" s="41"/>
      <c r="N928" s="11"/>
    </row>
    <row r="929" spans="8:14" x14ac:dyDescent="0.25">
      <c r="H929" s="37"/>
      <c r="I929" s="79"/>
      <c r="J929" s="70"/>
      <c r="K929" s="57"/>
      <c r="L929" s="11"/>
      <c r="M929" s="41"/>
      <c r="N929" s="11"/>
    </row>
    <row r="930" spans="8:14" x14ac:dyDescent="0.25">
      <c r="H930" s="37"/>
      <c r="I930" s="79"/>
      <c r="J930" s="70"/>
      <c r="K930" s="57"/>
      <c r="L930" s="11"/>
      <c r="M930" s="41"/>
      <c r="N930" s="11"/>
    </row>
    <row r="931" spans="8:14" x14ac:dyDescent="0.25">
      <c r="H931" s="37"/>
      <c r="I931" s="79"/>
      <c r="J931" s="70"/>
      <c r="K931" s="57"/>
      <c r="L931" s="11"/>
      <c r="M931" s="41"/>
      <c r="N931" s="11"/>
    </row>
    <row r="932" spans="8:14" x14ac:dyDescent="0.25">
      <c r="H932" s="37"/>
      <c r="I932" s="79"/>
      <c r="J932" s="70"/>
      <c r="K932" s="57"/>
      <c r="L932" s="11"/>
      <c r="M932" s="41"/>
      <c r="N932" s="11"/>
    </row>
    <row r="933" spans="8:14" x14ac:dyDescent="0.25">
      <c r="H933" s="37"/>
      <c r="I933" s="79"/>
      <c r="J933" s="70"/>
      <c r="K933" s="57"/>
      <c r="L933" s="11"/>
      <c r="M933" s="41"/>
      <c r="N933" s="11"/>
    </row>
    <row r="934" spans="8:14" x14ac:dyDescent="0.25">
      <c r="H934" s="37"/>
      <c r="I934" s="79"/>
      <c r="J934" s="70"/>
      <c r="K934" s="57"/>
      <c r="L934" s="11"/>
      <c r="M934" s="41"/>
      <c r="N934" s="11"/>
    </row>
    <row r="935" spans="8:14" x14ac:dyDescent="0.25">
      <c r="H935" s="37"/>
      <c r="I935" s="79"/>
      <c r="J935" s="70"/>
      <c r="K935" s="57"/>
      <c r="L935" s="11"/>
      <c r="M935" s="41"/>
      <c r="N935" s="11"/>
    </row>
    <row r="936" spans="8:14" x14ac:dyDescent="0.25">
      <c r="H936" s="37"/>
      <c r="I936" s="79"/>
      <c r="J936" s="70"/>
      <c r="K936" s="57"/>
      <c r="L936" s="11"/>
      <c r="M936" s="41"/>
      <c r="N936" s="11"/>
    </row>
    <row r="937" spans="8:14" x14ac:dyDescent="0.25">
      <c r="H937" s="37"/>
      <c r="I937" s="79"/>
      <c r="J937" s="70"/>
      <c r="K937" s="57"/>
      <c r="L937" s="11"/>
      <c r="M937" s="41"/>
      <c r="N937" s="11"/>
    </row>
    <row r="938" spans="8:14" x14ac:dyDescent="0.25">
      <c r="H938" s="37"/>
      <c r="I938" s="79"/>
      <c r="J938" s="70"/>
      <c r="K938" s="57"/>
      <c r="L938" s="11"/>
      <c r="M938" s="41"/>
      <c r="N938" s="11"/>
    </row>
    <row r="939" spans="8:14" x14ac:dyDescent="0.25">
      <c r="H939" s="37"/>
      <c r="I939" s="79"/>
      <c r="J939" s="70"/>
      <c r="K939" s="57"/>
      <c r="L939" s="11"/>
      <c r="M939" s="41"/>
      <c r="N939" s="11"/>
    </row>
    <row r="940" spans="8:14" x14ac:dyDescent="0.25">
      <c r="H940" s="37"/>
      <c r="I940" s="79"/>
      <c r="J940" s="70"/>
      <c r="K940" s="57"/>
      <c r="L940" s="11"/>
      <c r="M940" s="41"/>
      <c r="N940" s="11"/>
    </row>
    <row r="941" spans="8:14" x14ac:dyDescent="0.25">
      <c r="H941" s="37"/>
      <c r="I941" s="79"/>
      <c r="J941" s="70"/>
      <c r="K941" s="57"/>
      <c r="L941" s="11"/>
      <c r="M941" s="41"/>
      <c r="N941" s="11"/>
    </row>
    <row r="942" spans="8:14" x14ac:dyDescent="0.25">
      <c r="H942" s="37"/>
      <c r="I942" s="79"/>
      <c r="J942" s="70"/>
      <c r="K942" s="57"/>
      <c r="L942" s="11"/>
      <c r="M942" s="41"/>
      <c r="N942" s="11"/>
    </row>
    <row r="943" spans="8:14" x14ac:dyDescent="0.25">
      <c r="H943" s="37"/>
      <c r="I943" s="79"/>
      <c r="J943" s="70"/>
      <c r="K943" s="57"/>
      <c r="L943" s="11"/>
      <c r="M943" s="41"/>
      <c r="N943" s="11"/>
    </row>
    <row r="944" spans="8:14" x14ac:dyDescent="0.25">
      <c r="H944" s="37"/>
      <c r="I944" s="79"/>
      <c r="J944" s="70"/>
      <c r="K944" s="57"/>
      <c r="L944" s="11"/>
      <c r="M944" s="41"/>
      <c r="N944" s="11"/>
    </row>
    <row r="945" spans="8:14" x14ac:dyDescent="0.25">
      <c r="H945" s="37"/>
      <c r="I945" s="79"/>
      <c r="J945" s="70"/>
      <c r="K945" s="57"/>
      <c r="L945" s="11"/>
      <c r="M945" s="41"/>
      <c r="N945" s="11"/>
    </row>
    <row r="946" spans="8:14" x14ac:dyDescent="0.25">
      <c r="H946" s="37"/>
      <c r="I946" s="79"/>
      <c r="J946" s="70"/>
      <c r="K946" s="57"/>
      <c r="L946" s="11"/>
      <c r="M946" s="41"/>
      <c r="N946" s="11"/>
    </row>
    <row r="947" spans="8:14" x14ac:dyDescent="0.25">
      <c r="H947" s="37"/>
      <c r="I947" s="79"/>
      <c r="J947" s="70"/>
      <c r="K947" s="57"/>
      <c r="L947" s="11"/>
      <c r="M947" s="41"/>
      <c r="N947" s="11"/>
    </row>
    <row r="948" spans="8:14" x14ac:dyDescent="0.25">
      <c r="H948" s="37"/>
      <c r="I948" s="79"/>
      <c r="J948" s="70"/>
      <c r="K948" s="57"/>
      <c r="L948" s="11"/>
      <c r="M948" s="41"/>
      <c r="N948" s="11"/>
    </row>
    <row r="949" spans="8:14" x14ac:dyDescent="0.25">
      <c r="H949" s="37"/>
      <c r="I949" s="79"/>
      <c r="J949" s="70"/>
      <c r="K949" s="57"/>
      <c r="L949" s="11"/>
      <c r="M949" s="41"/>
      <c r="N949" s="11"/>
    </row>
    <row r="950" spans="8:14" x14ac:dyDescent="0.25">
      <c r="H950" s="37"/>
      <c r="I950" s="79"/>
      <c r="J950" s="70"/>
      <c r="K950" s="57"/>
      <c r="L950" s="11"/>
      <c r="M950" s="41"/>
      <c r="N950" s="11"/>
    </row>
    <row r="951" spans="8:14" x14ac:dyDescent="0.25">
      <c r="H951" s="37"/>
      <c r="I951" s="79"/>
      <c r="J951" s="70"/>
      <c r="K951" s="57"/>
      <c r="L951" s="11"/>
      <c r="M951" s="41"/>
      <c r="N951" s="11"/>
    </row>
    <row r="952" spans="8:14" x14ac:dyDescent="0.25">
      <c r="H952" s="37"/>
      <c r="I952" s="79"/>
      <c r="J952" s="70"/>
      <c r="K952" s="57"/>
      <c r="L952" s="11"/>
      <c r="M952" s="41"/>
      <c r="N952" s="11"/>
    </row>
    <row r="953" spans="8:14" x14ac:dyDescent="0.25">
      <c r="H953" s="37"/>
      <c r="I953" s="79"/>
      <c r="J953" s="70"/>
      <c r="K953" s="57"/>
      <c r="L953" s="11"/>
      <c r="M953" s="41"/>
      <c r="N953" s="11"/>
    </row>
    <row r="954" spans="8:14" x14ac:dyDescent="0.25">
      <c r="H954" s="37"/>
      <c r="I954" s="79"/>
      <c r="J954" s="70"/>
      <c r="K954" s="57"/>
      <c r="L954" s="11"/>
      <c r="M954" s="41"/>
      <c r="N954" s="11"/>
    </row>
    <row r="955" spans="8:14" x14ac:dyDescent="0.25">
      <c r="H955" s="37"/>
      <c r="I955" s="79"/>
      <c r="J955" s="70"/>
      <c r="K955" s="57"/>
      <c r="L955" s="11"/>
      <c r="M955" s="41"/>
      <c r="N955" s="11"/>
    </row>
    <row r="956" spans="8:14" x14ac:dyDescent="0.25">
      <c r="H956" s="37"/>
      <c r="I956" s="79"/>
      <c r="J956" s="70"/>
      <c r="K956" s="57"/>
      <c r="L956" s="11"/>
      <c r="M956" s="41"/>
      <c r="N956" s="11"/>
    </row>
    <row r="957" spans="8:14" x14ac:dyDescent="0.25">
      <c r="H957" s="37"/>
      <c r="I957" s="79"/>
      <c r="J957" s="70"/>
      <c r="K957" s="57"/>
      <c r="L957" s="11"/>
      <c r="M957" s="41"/>
      <c r="N957" s="11"/>
    </row>
    <row r="958" spans="8:14" x14ac:dyDescent="0.25">
      <c r="H958" s="37"/>
      <c r="I958" s="79"/>
      <c r="J958" s="70"/>
      <c r="K958" s="57"/>
      <c r="L958" s="11"/>
      <c r="M958" s="41"/>
      <c r="N958" s="11"/>
    </row>
    <row r="959" spans="8:14" x14ac:dyDescent="0.25">
      <c r="H959" s="37"/>
      <c r="I959" s="79"/>
      <c r="J959" s="70"/>
      <c r="K959" s="57"/>
      <c r="L959" s="11"/>
      <c r="M959" s="41"/>
      <c r="N959" s="11"/>
    </row>
    <row r="960" spans="8:14" x14ac:dyDescent="0.25">
      <c r="H960" s="37"/>
      <c r="I960" s="79"/>
      <c r="J960" s="70"/>
      <c r="K960" s="57"/>
      <c r="L960" s="11"/>
      <c r="M960" s="41"/>
      <c r="N960" s="11"/>
    </row>
    <row r="961" spans="8:14" x14ac:dyDescent="0.25">
      <c r="H961" s="37"/>
      <c r="I961" s="79"/>
      <c r="J961" s="70"/>
      <c r="K961" s="57"/>
      <c r="L961" s="11"/>
      <c r="M961" s="41"/>
      <c r="N961" s="11"/>
    </row>
    <row r="962" spans="8:14" x14ac:dyDescent="0.25">
      <c r="H962" s="37"/>
      <c r="I962" s="79"/>
      <c r="J962" s="70"/>
      <c r="K962" s="57"/>
      <c r="L962" s="11"/>
      <c r="M962" s="41"/>
      <c r="N962" s="11"/>
    </row>
    <row r="963" spans="8:14" x14ac:dyDescent="0.25">
      <c r="H963" s="37"/>
      <c r="I963" s="79"/>
      <c r="J963" s="70"/>
      <c r="K963" s="57"/>
      <c r="L963" s="11"/>
      <c r="M963" s="41"/>
      <c r="N963" s="11"/>
    </row>
    <row r="964" spans="8:14" x14ac:dyDescent="0.25">
      <c r="H964" s="37"/>
      <c r="I964" s="79"/>
      <c r="J964" s="70"/>
      <c r="K964" s="57"/>
      <c r="L964" s="11"/>
      <c r="M964" s="41"/>
      <c r="N964" s="11"/>
    </row>
    <row r="965" spans="8:14" x14ac:dyDescent="0.25">
      <c r="H965" s="37"/>
      <c r="I965" s="79"/>
      <c r="J965" s="70"/>
      <c r="K965" s="57"/>
      <c r="L965" s="11"/>
      <c r="M965" s="41"/>
      <c r="N965" s="11"/>
    </row>
    <row r="966" spans="8:14" x14ac:dyDescent="0.25">
      <c r="H966" s="37"/>
      <c r="I966" s="79"/>
      <c r="J966" s="70"/>
      <c r="K966" s="57"/>
      <c r="L966" s="11"/>
      <c r="M966" s="41"/>
      <c r="N966" s="11"/>
    </row>
    <row r="967" spans="8:14" x14ac:dyDescent="0.25">
      <c r="H967" s="37"/>
      <c r="I967" s="79"/>
      <c r="J967" s="70"/>
      <c r="K967" s="57"/>
      <c r="L967" s="11"/>
      <c r="M967" s="41"/>
      <c r="N967" s="11"/>
    </row>
    <row r="968" spans="8:14" x14ac:dyDescent="0.25">
      <c r="H968" s="37"/>
      <c r="I968" s="79"/>
      <c r="J968" s="70"/>
      <c r="K968" s="57"/>
      <c r="L968" s="11"/>
      <c r="M968" s="41"/>
      <c r="N968" s="11"/>
    </row>
    <row r="969" spans="8:14" x14ac:dyDescent="0.25">
      <c r="H969" s="37"/>
      <c r="I969" s="79"/>
      <c r="J969" s="70"/>
      <c r="K969" s="57"/>
      <c r="L969" s="11"/>
      <c r="M969" s="41"/>
      <c r="N969" s="11"/>
    </row>
    <row r="970" spans="8:14" x14ac:dyDescent="0.25">
      <c r="H970" s="37"/>
      <c r="I970" s="79"/>
      <c r="J970" s="70"/>
      <c r="K970" s="57"/>
      <c r="L970" s="11"/>
      <c r="M970" s="41"/>
      <c r="N970" s="11"/>
    </row>
    <row r="971" spans="8:14" x14ac:dyDescent="0.25">
      <c r="H971" s="37"/>
      <c r="I971" s="79"/>
      <c r="J971" s="70"/>
      <c r="K971" s="57"/>
      <c r="L971" s="11"/>
      <c r="M971" s="41"/>
      <c r="N971" s="11"/>
    </row>
    <row r="972" spans="8:14" x14ac:dyDescent="0.25">
      <c r="H972" s="37"/>
      <c r="I972" s="79"/>
      <c r="J972" s="70"/>
      <c r="K972" s="57"/>
      <c r="L972" s="11"/>
      <c r="M972" s="41"/>
      <c r="N972" s="11"/>
    </row>
    <row r="973" spans="8:14" x14ac:dyDescent="0.25">
      <c r="H973" s="37"/>
      <c r="I973" s="79"/>
      <c r="J973" s="70"/>
      <c r="K973" s="57"/>
      <c r="L973" s="11"/>
      <c r="M973" s="41"/>
      <c r="N973" s="11"/>
    </row>
    <row r="974" spans="8:14" x14ac:dyDescent="0.25">
      <c r="H974" s="37"/>
      <c r="I974" s="79"/>
      <c r="J974" s="70"/>
      <c r="K974" s="57"/>
      <c r="L974" s="11"/>
      <c r="M974" s="41"/>
      <c r="N974" s="11"/>
    </row>
    <row r="975" spans="8:14" x14ac:dyDescent="0.25">
      <c r="H975" s="37"/>
      <c r="I975" s="79"/>
      <c r="J975" s="70"/>
      <c r="K975" s="57"/>
      <c r="L975" s="11"/>
      <c r="M975" s="41"/>
      <c r="N975" s="11"/>
    </row>
    <row r="976" spans="8:14" x14ac:dyDescent="0.25">
      <c r="H976" s="37"/>
      <c r="I976" s="79"/>
      <c r="J976" s="70"/>
      <c r="K976" s="57"/>
      <c r="L976" s="11"/>
      <c r="M976" s="41"/>
      <c r="N976" s="11"/>
    </row>
    <row r="977" spans="8:14" x14ac:dyDescent="0.25">
      <c r="H977" s="37"/>
      <c r="I977" s="79"/>
      <c r="J977" s="70"/>
      <c r="K977" s="57"/>
      <c r="L977" s="11"/>
      <c r="M977" s="41"/>
      <c r="N977" s="11"/>
    </row>
    <row r="978" spans="8:14" x14ac:dyDescent="0.25">
      <c r="H978" s="37"/>
      <c r="I978" s="79"/>
      <c r="J978" s="70"/>
      <c r="K978" s="57"/>
      <c r="L978" s="11"/>
      <c r="M978" s="41"/>
      <c r="N978" s="11"/>
    </row>
    <row r="979" spans="8:14" x14ac:dyDescent="0.25">
      <c r="H979" s="37"/>
      <c r="I979" s="79"/>
      <c r="J979" s="70"/>
      <c r="K979" s="57"/>
      <c r="L979" s="11"/>
      <c r="M979" s="41"/>
      <c r="N979" s="11"/>
    </row>
    <row r="980" spans="8:14" x14ac:dyDescent="0.25">
      <c r="H980" s="37"/>
      <c r="I980" s="79"/>
      <c r="J980" s="70"/>
      <c r="K980" s="57"/>
      <c r="L980" s="11"/>
      <c r="M980" s="41"/>
      <c r="N980" s="11"/>
    </row>
    <row r="981" spans="8:14" x14ac:dyDescent="0.25">
      <c r="H981" s="37"/>
      <c r="I981" s="79"/>
      <c r="J981" s="70"/>
      <c r="K981" s="57"/>
      <c r="L981" s="11"/>
      <c r="M981" s="41"/>
      <c r="N981" s="11"/>
    </row>
    <row r="982" spans="8:14" x14ac:dyDescent="0.25">
      <c r="H982" s="37"/>
      <c r="I982" s="79"/>
      <c r="J982" s="70"/>
      <c r="K982" s="57"/>
      <c r="L982" s="11"/>
      <c r="M982" s="41"/>
      <c r="N982" s="11"/>
    </row>
    <row r="983" spans="8:14" x14ac:dyDescent="0.25">
      <c r="H983" s="37"/>
      <c r="I983" s="79"/>
      <c r="J983" s="70"/>
      <c r="K983" s="57"/>
      <c r="L983" s="11"/>
      <c r="M983" s="41"/>
      <c r="N983" s="11"/>
    </row>
    <row r="984" spans="8:14" x14ac:dyDescent="0.25">
      <c r="H984" s="37"/>
      <c r="I984" s="79"/>
      <c r="J984" s="70"/>
      <c r="K984" s="57"/>
      <c r="L984" s="11"/>
      <c r="M984" s="41"/>
      <c r="N984" s="11"/>
    </row>
    <row r="985" spans="8:14" x14ac:dyDescent="0.25">
      <c r="H985" s="37"/>
      <c r="I985" s="79"/>
      <c r="J985" s="70"/>
      <c r="K985" s="57"/>
      <c r="L985" s="11"/>
      <c r="M985" s="41"/>
      <c r="N985" s="11"/>
    </row>
    <row r="986" spans="8:14" x14ac:dyDescent="0.25">
      <c r="H986" s="37"/>
      <c r="I986" s="79"/>
      <c r="J986" s="70"/>
      <c r="K986" s="57"/>
      <c r="L986" s="11"/>
      <c r="M986" s="41"/>
      <c r="N986" s="11"/>
    </row>
    <row r="987" spans="8:14" x14ac:dyDescent="0.25">
      <c r="H987" s="37"/>
      <c r="I987" s="79"/>
      <c r="J987" s="70"/>
      <c r="K987" s="57"/>
      <c r="L987" s="11"/>
      <c r="M987" s="41"/>
      <c r="N987" s="11"/>
    </row>
    <row r="988" spans="8:14" x14ac:dyDescent="0.25">
      <c r="H988" s="37"/>
      <c r="I988" s="79"/>
      <c r="J988" s="70"/>
      <c r="K988" s="57"/>
      <c r="L988" s="11"/>
      <c r="M988" s="41"/>
      <c r="N988" s="11"/>
    </row>
    <row r="989" spans="8:14" x14ac:dyDescent="0.25">
      <c r="H989" s="37"/>
      <c r="I989" s="79"/>
      <c r="J989" s="70"/>
      <c r="K989" s="57"/>
      <c r="L989" s="11"/>
      <c r="M989" s="41"/>
      <c r="N989" s="11"/>
    </row>
    <row r="990" spans="8:14" x14ac:dyDescent="0.25">
      <c r="H990" s="37"/>
      <c r="I990" s="79"/>
      <c r="J990" s="70"/>
      <c r="K990" s="57"/>
      <c r="L990" s="11"/>
      <c r="M990" s="41"/>
      <c r="N990" s="11"/>
    </row>
    <row r="991" spans="8:14" x14ac:dyDescent="0.25">
      <c r="H991" s="37"/>
      <c r="I991" s="79"/>
      <c r="J991" s="70"/>
      <c r="K991" s="57"/>
      <c r="L991" s="11"/>
      <c r="M991" s="41"/>
      <c r="N991" s="11"/>
    </row>
    <row r="992" spans="8:14" x14ac:dyDescent="0.25">
      <c r="H992" s="37"/>
      <c r="I992" s="79"/>
      <c r="J992" s="70"/>
      <c r="K992" s="57"/>
      <c r="L992" s="11"/>
      <c r="M992" s="41"/>
      <c r="N992" s="11"/>
    </row>
    <row r="993" spans="8:14" x14ac:dyDescent="0.25">
      <c r="H993" s="37"/>
      <c r="I993" s="79"/>
      <c r="J993" s="70"/>
      <c r="K993" s="57"/>
      <c r="L993" s="11"/>
      <c r="M993" s="41"/>
      <c r="N993" s="11"/>
    </row>
    <row r="994" spans="8:14" x14ac:dyDescent="0.25">
      <c r="H994" s="37"/>
      <c r="I994" s="79"/>
      <c r="J994" s="70"/>
      <c r="K994" s="57"/>
      <c r="L994" s="11"/>
      <c r="M994" s="41"/>
      <c r="N994" s="11"/>
    </row>
    <row r="995" spans="8:14" x14ac:dyDescent="0.25">
      <c r="H995" s="37"/>
      <c r="I995" s="79"/>
      <c r="J995" s="70"/>
      <c r="K995" s="57"/>
      <c r="L995" s="11"/>
      <c r="M995" s="41"/>
      <c r="N995" s="11"/>
    </row>
    <row r="996" spans="8:14" x14ac:dyDescent="0.25">
      <c r="H996" s="37"/>
      <c r="I996" s="79"/>
      <c r="J996" s="70"/>
      <c r="K996" s="57"/>
      <c r="L996" s="11"/>
      <c r="M996" s="41"/>
      <c r="N996" s="11"/>
    </row>
    <row r="997" spans="8:14" x14ac:dyDescent="0.25">
      <c r="H997" s="37"/>
      <c r="I997" s="79"/>
      <c r="J997" s="70"/>
      <c r="K997" s="57"/>
      <c r="L997" s="11"/>
      <c r="M997" s="41"/>
      <c r="N997" s="11"/>
    </row>
    <row r="998" spans="8:14" x14ac:dyDescent="0.25">
      <c r="H998" s="37"/>
      <c r="I998" s="79"/>
      <c r="J998" s="70"/>
      <c r="K998" s="57"/>
      <c r="L998" s="11"/>
      <c r="M998" s="41"/>
      <c r="N998" s="11"/>
    </row>
    <row r="999" spans="8:14" x14ac:dyDescent="0.25">
      <c r="H999" s="37"/>
      <c r="I999" s="79"/>
      <c r="J999" s="70"/>
      <c r="K999" s="57"/>
      <c r="L999" s="11"/>
      <c r="M999" s="41"/>
      <c r="N999" s="11"/>
    </row>
    <row r="1000" spans="8:14" x14ac:dyDescent="0.25">
      <c r="H1000" s="37"/>
      <c r="I1000" s="79"/>
      <c r="J1000" s="70"/>
      <c r="K1000" s="57"/>
      <c r="L1000" s="11"/>
      <c r="M1000" s="41"/>
      <c r="N1000" s="11"/>
    </row>
    <row r="1001" spans="8:14" x14ac:dyDescent="0.25">
      <c r="H1001" s="37"/>
      <c r="I1001" s="79"/>
      <c r="J1001" s="70"/>
      <c r="K1001" s="57"/>
      <c r="L1001" s="11"/>
      <c r="M1001" s="41"/>
      <c r="N1001" s="11"/>
    </row>
    <row r="1002" spans="8:14" x14ac:dyDescent="0.25">
      <c r="H1002" s="37"/>
      <c r="I1002" s="79"/>
      <c r="J1002" s="70"/>
      <c r="K1002" s="57"/>
      <c r="L1002" s="11"/>
      <c r="M1002" s="41"/>
      <c r="N1002" s="11"/>
    </row>
    <row r="1003" spans="8:14" x14ac:dyDescent="0.25">
      <c r="H1003" s="37"/>
      <c r="I1003" s="79"/>
      <c r="J1003" s="70"/>
      <c r="K1003" s="57"/>
      <c r="L1003" s="11"/>
      <c r="M1003" s="41"/>
      <c r="N1003" s="11"/>
    </row>
    <row r="1004" spans="8:14" x14ac:dyDescent="0.25">
      <c r="H1004" s="37"/>
      <c r="I1004" s="79"/>
      <c r="J1004" s="70"/>
      <c r="K1004" s="57"/>
      <c r="L1004" s="11"/>
      <c r="M1004" s="41"/>
      <c r="N1004" s="11"/>
    </row>
    <row r="1005" spans="8:14" x14ac:dyDescent="0.25">
      <c r="H1005" s="37"/>
      <c r="I1005" s="79"/>
      <c r="J1005" s="70"/>
      <c r="K1005" s="57"/>
      <c r="L1005" s="11"/>
      <c r="M1005" s="41"/>
      <c r="N1005" s="11"/>
    </row>
    <row r="1006" spans="8:14" x14ac:dyDescent="0.25">
      <c r="H1006" s="37"/>
      <c r="I1006" s="79"/>
      <c r="J1006" s="70"/>
      <c r="K1006" s="57"/>
      <c r="L1006" s="11"/>
      <c r="M1006" s="41"/>
      <c r="N1006" s="11"/>
    </row>
    <row r="1007" spans="8:14" x14ac:dyDescent="0.25">
      <c r="H1007" s="37"/>
      <c r="I1007" s="79"/>
      <c r="J1007" s="70"/>
      <c r="K1007" s="57"/>
      <c r="L1007" s="11"/>
      <c r="M1007" s="41"/>
      <c r="N1007" s="11"/>
    </row>
    <row r="1008" spans="8:14" x14ac:dyDescent="0.25">
      <c r="H1008" s="37"/>
      <c r="I1008" s="79"/>
      <c r="J1008" s="70"/>
      <c r="K1008" s="57"/>
      <c r="L1008" s="11"/>
      <c r="M1008" s="41"/>
      <c r="N1008" s="11"/>
    </row>
    <row r="1009" spans="8:14" x14ac:dyDescent="0.25">
      <c r="H1009" s="37"/>
      <c r="I1009" s="79"/>
      <c r="J1009" s="70"/>
      <c r="K1009" s="57"/>
      <c r="L1009" s="11"/>
      <c r="M1009" s="41"/>
      <c r="N1009" s="11"/>
    </row>
    <row r="1010" spans="8:14" x14ac:dyDescent="0.25">
      <c r="H1010" s="37"/>
      <c r="I1010" s="79"/>
      <c r="J1010" s="70"/>
      <c r="K1010" s="57"/>
      <c r="L1010" s="11"/>
      <c r="M1010" s="41"/>
      <c r="N1010" s="11"/>
    </row>
    <row r="1011" spans="8:14" x14ac:dyDescent="0.25">
      <c r="H1011" s="37"/>
      <c r="I1011" s="79"/>
      <c r="J1011" s="70"/>
      <c r="K1011" s="57"/>
      <c r="L1011" s="11"/>
      <c r="M1011" s="41"/>
      <c r="N1011" s="11"/>
    </row>
    <row r="1012" spans="8:14" x14ac:dyDescent="0.25">
      <c r="H1012" s="37"/>
      <c r="I1012" s="79"/>
      <c r="J1012" s="70"/>
      <c r="K1012" s="57"/>
      <c r="L1012" s="11"/>
      <c r="M1012" s="41"/>
      <c r="N1012" s="11"/>
    </row>
    <row r="1013" spans="8:14" x14ac:dyDescent="0.25">
      <c r="H1013" s="37"/>
      <c r="I1013" s="79"/>
      <c r="J1013" s="70"/>
      <c r="K1013" s="57"/>
      <c r="L1013" s="11"/>
      <c r="M1013" s="41"/>
      <c r="N1013" s="11"/>
    </row>
    <row r="1014" spans="8:14" x14ac:dyDescent="0.25">
      <c r="H1014" s="37"/>
      <c r="I1014" s="79"/>
      <c r="J1014" s="70"/>
      <c r="K1014" s="57"/>
      <c r="L1014" s="11"/>
      <c r="M1014" s="41"/>
      <c r="N1014" s="11"/>
    </row>
    <row r="1015" spans="8:14" x14ac:dyDescent="0.25">
      <c r="H1015" s="37"/>
      <c r="I1015" s="79"/>
      <c r="J1015" s="70"/>
      <c r="K1015" s="57"/>
      <c r="L1015" s="11"/>
      <c r="M1015" s="41"/>
      <c r="N1015" s="11"/>
    </row>
    <row r="1016" spans="8:14" x14ac:dyDescent="0.25">
      <c r="H1016" s="37"/>
      <c r="I1016" s="79"/>
      <c r="J1016" s="70"/>
      <c r="K1016" s="57"/>
      <c r="L1016" s="11"/>
      <c r="M1016" s="41"/>
      <c r="N1016" s="11"/>
    </row>
    <row r="1017" spans="8:14" x14ac:dyDescent="0.25">
      <c r="H1017" s="37"/>
      <c r="I1017" s="79"/>
      <c r="J1017" s="70"/>
      <c r="K1017" s="57"/>
      <c r="L1017" s="11"/>
      <c r="M1017" s="41"/>
      <c r="N1017" s="11"/>
    </row>
    <row r="1018" spans="8:14" x14ac:dyDescent="0.25">
      <c r="H1018" s="37"/>
      <c r="I1018" s="79"/>
      <c r="J1018" s="70"/>
      <c r="K1018" s="57"/>
      <c r="L1018" s="11"/>
      <c r="M1018" s="41"/>
      <c r="N1018" s="11"/>
    </row>
    <row r="1019" spans="8:14" x14ac:dyDescent="0.25">
      <c r="H1019" s="37"/>
      <c r="I1019" s="79"/>
      <c r="J1019" s="70"/>
      <c r="K1019" s="57"/>
      <c r="L1019" s="11"/>
      <c r="M1019" s="41"/>
      <c r="N1019" s="11"/>
    </row>
    <row r="1020" spans="8:14" x14ac:dyDescent="0.25">
      <c r="H1020" s="37"/>
      <c r="I1020" s="79"/>
      <c r="J1020" s="70"/>
      <c r="K1020" s="57"/>
      <c r="L1020" s="11"/>
      <c r="M1020" s="41"/>
      <c r="N1020" s="11"/>
    </row>
    <row r="1021" spans="8:14" x14ac:dyDescent="0.25">
      <c r="H1021" s="37"/>
      <c r="I1021" s="79"/>
      <c r="J1021" s="70"/>
      <c r="K1021" s="57"/>
      <c r="L1021" s="11"/>
      <c r="M1021" s="41"/>
      <c r="N1021" s="11"/>
    </row>
    <row r="1022" spans="8:14" x14ac:dyDescent="0.25">
      <c r="H1022" s="37"/>
      <c r="I1022" s="79"/>
      <c r="J1022" s="70"/>
      <c r="K1022" s="57"/>
      <c r="L1022" s="11"/>
      <c r="M1022" s="41"/>
      <c r="N1022" s="11"/>
    </row>
    <row r="1023" spans="8:14" x14ac:dyDescent="0.25">
      <c r="H1023" s="37"/>
      <c r="I1023" s="79"/>
      <c r="J1023" s="70"/>
      <c r="K1023" s="57"/>
      <c r="L1023" s="11"/>
      <c r="M1023" s="41"/>
      <c r="N1023" s="11"/>
    </row>
    <row r="1024" spans="8:14" x14ac:dyDescent="0.25">
      <c r="H1024" s="37"/>
      <c r="I1024" s="79"/>
      <c r="J1024" s="70"/>
      <c r="K1024" s="57"/>
      <c r="L1024" s="11"/>
      <c r="M1024" s="41"/>
      <c r="N1024" s="11"/>
    </row>
    <row r="1025" spans="8:14" x14ac:dyDescent="0.25">
      <c r="H1025" s="37"/>
      <c r="I1025" s="79"/>
      <c r="J1025" s="70"/>
      <c r="K1025" s="57"/>
      <c r="L1025" s="11"/>
      <c r="M1025" s="41"/>
      <c r="N1025" s="11"/>
    </row>
    <row r="1026" spans="8:14" x14ac:dyDescent="0.25">
      <c r="H1026" s="37"/>
      <c r="I1026" s="79"/>
      <c r="J1026" s="70"/>
      <c r="K1026" s="57"/>
      <c r="L1026" s="11"/>
      <c r="M1026" s="41"/>
      <c r="N1026" s="11"/>
    </row>
    <row r="1027" spans="8:14" x14ac:dyDescent="0.25">
      <c r="H1027" s="37"/>
      <c r="I1027" s="79"/>
      <c r="J1027" s="70"/>
      <c r="K1027" s="57"/>
      <c r="L1027" s="11"/>
      <c r="M1027" s="41"/>
      <c r="N1027" s="11"/>
    </row>
    <row r="1028" spans="8:14" x14ac:dyDescent="0.25">
      <c r="H1028" s="37"/>
      <c r="I1028" s="79"/>
      <c r="J1028" s="70"/>
      <c r="K1028" s="57"/>
      <c r="L1028" s="11"/>
      <c r="M1028" s="41"/>
      <c r="N1028" s="11"/>
    </row>
    <row r="1029" spans="8:14" x14ac:dyDescent="0.25">
      <c r="H1029" s="37"/>
      <c r="I1029" s="79"/>
      <c r="J1029" s="70"/>
      <c r="K1029" s="57"/>
      <c r="L1029" s="11"/>
      <c r="M1029" s="41"/>
      <c r="N1029" s="11"/>
    </row>
    <row r="1030" spans="8:14" x14ac:dyDescent="0.25">
      <c r="H1030" s="37"/>
      <c r="I1030" s="79"/>
      <c r="J1030" s="70"/>
      <c r="K1030" s="57"/>
      <c r="L1030" s="11"/>
      <c r="M1030" s="41"/>
      <c r="N1030" s="11"/>
    </row>
    <row r="1031" spans="8:14" x14ac:dyDescent="0.25">
      <c r="H1031" s="37"/>
      <c r="I1031" s="79"/>
      <c r="J1031" s="70"/>
      <c r="K1031" s="57"/>
      <c r="L1031" s="11"/>
      <c r="M1031" s="41"/>
      <c r="N1031" s="11"/>
    </row>
    <row r="1032" spans="8:14" x14ac:dyDescent="0.25">
      <c r="H1032" s="37"/>
      <c r="I1032" s="79"/>
      <c r="J1032" s="70"/>
      <c r="K1032" s="57"/>
      <c r="L1032" s="11"/>
      <c r="M1032" s="41"/>
      <c r="N1032" s="11"/>
    </row>
    <row r="1033" spans="8:14" x14ac:dyDescent="0.25">
      <c r="H1033" s="37"/>
      <c r="I1033" s="79"/>
      <c r="J1033" s="70"/>
      <c r="K1033" s="57"/>
      <c r="L1033" s="11"/>
      <c r="M1033" s="41"/>
      <c r="N1033" s="11"/>
    </row>
    <row r="1034" spans="8:14" x14ac:dyDescent="0.25">
      <c r="H1034" s="37"/>
      <c r="I1034" s="79"/>
      <c r="J1034" s="70"/>
      <c r="K1034" s="57"/>
      <c r="L1034" s="11"/>
      <c r="M1034" s="41"/>
      <c r="N1034" s="11"/>
    </row>
    <row r="1035" spans="8:14" x14ac:dyDescent="0.25">
      <c r="H1035" s="37"/>
      <c r="I1035" s="79"/>
      <c r="J1035" s="70"/>
      <c r="K1035" s="57"/>
      <c r="L1035" s="11"/>
      <c r="M1035" s="41"/>
      <c r="N1035" s="11"/>
    </row>
    <row r="1036" spans="8:14" x14ac:dyDescent="0.25">
      <c r="H1036" s="37"/>
      <c r="I1036" s="79"/>
      <c r="J1036" s="70"/>
      <c r="K1036" s="57"/>
      <c r="L1036" s="11"/>
      <c r="M1036" s="41"/>
      <c r="N1036" s="11"/>
    </row>
    <row r="1037" spans="8:14" x14ac:dyDescent="0.25">
      <c r="H1037" s="37"/>
      <c r="I1037" s="79"/>
      <c r="J1037" s="70"/>
      <c r="K1037" s="57"/>
      <c r="L1037" s="11"/>
      <c r="M1037" s="41"/>
      <c r="N1037" s="11"/>
    </row>
    <row r="1038" spans="8:14" x14ac:dyDescent="0.25">
      <c r="H1038" s="37"/>
      <c r="I1038" s="79"/>
      <c r="J1038" s="70"/>
      <c r="K1038" s="57"/>
      <c r="L1038" s="11"/>
      <c r="M1038" s="41"/>
      <c r="N1038" s="11"/>
    </row>
    <row r="1039" spans="8:14" x14ac:dyDescent="0.25">
      <c r="H1039" s="37"/>
      <c r="I1039" s="79"/>
      <c r="J1039" s="70"/>
      <c r="K1039" s="57"/>
      <c r="L1039" s="11"/>
      <c r="M1039" s="41"/>
      <c r="N1039" s="11"/>
    </row>
    <row r="1040" spans="8:14" x14ac:dyDescent="0.25">
      <c r="H1040" s="37"/>
      <c r="I1040" s="79"/>
      <c r="J1040" s="70"/>
      <c r="K1040" s="57"/>
      <c r="L1040" s="11"/>
      <c r="M1040" s="41"/>
      <c r="N1040" s="11"/>
    </row>
    <row r="1041" spans="8:14" x14ac:dyDescent="0.25">
      <c r="H1041" s="37"/>
      <c r="I1041" s="79"/>
      <c r="J1041" s="70"/>
      <c r="K1041" s="57"/>
      <c r="L1041" s="11"/>
      <c r="M1041" s="41"/>
      <c r="N1041" s="11"/>
    </row>
    <row r="1042" spans="8:14" x14ac:dyDescent="0.25">
      <c r="H1042" s="37"/>
      <c r="I1042" s="79"/>
      <c r="J1042" s="70"/>
      <c r="K1042" s="57"/>
      <c r="L1042" s="11"/>
      <c r="M1042" s="41"/>
      <c r="N1042" s="11"/>
    </row>
    <row r="1043" spans="8:14" x14ac:dyDescent="0.25">
      <c r="H1043" s="37"/>
      <c r="I1043" s="79"/>
      <c r="J1043" s="70"/>
      <c r="K1043" s="57"/>
      <c r="L1043" s="11"/>
      <c r="M1043" s="41"/>
      <c r="N1043" s="11"/>
    </row>
    <row r="1044" spans="8:14" x14ac:dyDescent="0.25">
      <c r="H1044" s="37"/>
      <c r="I1044" s="79"/>
      <c r="J1044" s="70"/>
      <c r="K1044" s="57"/>
      <c r="L1044" s="11"/>
      <c r="M1044" s="41"/>
      <c r="N1044" s="11"/>
    </row>
    <row r="1045" spans="8:14" x14ac:dyDescent="0.25">
      <c r="H1045" s="37"/>
      <c r="I1045" s="79"/>
      <c r="J1045" s="70"/>
      <c r="K1045" s="57"/>
      <c r="L1045" s="11"/>
      <c r="M1045" s="41"/>
      <c r="N1045" s="11"/>
    </row>
    <row r="1046" spans="8:14" x14ac:dyDescent="0.25">
      <c r="H1046" s="37"/>
      <c r="I1046" s="79"/>
      <c r="J1046" s="70"/>
      <c r="K1046" s="57"/>
      <c r="L1046" s="11"/>
      <c r="M1046" s="41"/>
      <c r="N1046" s="11"/>
    </row>
    <row r="1047" spans="8:14" x14ac:dyDescent="0.25">
      <c r="H1047" s="37"/>
      <c r="I1047" s="79"/>
      <c r="J1047" s="70"/>
      <c r="K1047" s="57"/>
      <c r="L1047" s="11"/>
      <c r="M1047" s="41"/>
      <c r="N1047" s="11"/>
    </row>
    <row r="1048" spans="8:14" x14ac:dyDescent="0.25">
      <c r="H1048" s="37"/>
      <c r="I1048" s="79"/>
      <c r="J1048" s="70"/>
      <c r="K1048" s="57"/>
      <c r="L1048" s="11"/>
      <c r="M1048" s="41"/>
      <c r="N1048" s="11"/>
    </row>
    <row r="1049" spans="8:14" x14ac:dyDescent="0.25">
      <c r="H1049" s="37"/>
      <c r="I1049" s="79"/>
      <c r="J1049" s="70"/>
      <c r="K1049" s="57"/>
      <c r="L1049" s="11"/>
      <c r="M1049" s="41"/>
      <c r="N1049" s="11"/>
    </row>
    <row r="1050" spans="8:14" x14ac:dyDescent="0.25">
      <c r="H1050" s="37"/>
      <c r="I1050" s="79"/>
      <c r="J1050" s="70"/>
      <c r="K1050" s="57"/>
      <c r="L1050" s="11"/>
      <c r="M1050" s="41"/>
      <c r="N1050" s="11"/>
    </row>
    <row r="1051" spans="8:14" x14ac:dyDescent="0.25">
      <c r="H1051" s="37"/>
      <c r="I1051" s="79"/>
      <c r="J1051" s="70"/>
      <c r="K1051" s="57"/>
      <c r="L1051" s="11"/>
      <c r="M1051" s="41"/>
      <c r="N1051" s="11"/>
    </row>
    <row r="1052" spans="8:14" x14ac:dyDescent="0.25">
      <c r="H1052" s="37"/>
      <c r="I1052" s="79"/>
      <c r="J1052" s="70"/>
      <c r="K1052" s="57"/>
      <c r="L1052" s="11"/>
      <c r="M1052" s="41"/>
      <c r="N1052" s="11"/>
    </row>
    <row r="1053" spans="8:14" x14ac:dyDescent="0.25">
      <c r="H1053" s="37"/>
      <c r="I1053" s="79"/>
      <c r="J1053" s="70"/>
      <c r="K1053" s="57"/>
      <c r="L1053" s="11"/>
      <c r="M1053" s="41"/>
      <c r="N1053" s="11"/>
    </row>
    <row r="1054" spans="8:14" x14ac:dyDescent="0.25">
      <c r="H1054" s="37"/>
      <c r="I1054" s="79"/>
      <c r="J1054" s="70"/>
      <c r="K1054" s="57"/>
      <c r="L1054" s="11"/>
      <c r="M1054" s="41"/>
      <c r="N1054" s="11"/>
    </row>
    <row r="1055" spans="8:14" x14ac:dyDescent="0.25">
      <c r="H1055" s="37"/>
      <c r="I1055" s="79"/>
      <c r="J1055" s="70"/>
      <c r="K1055" s="57"/>
      <c r="L1055" s="11"/>
      <c r="M1055" s="41"/>
      <c r="N1055" s="11"/>
    </row>
    <row r="1056" spans="8:14" x14ac:dyDescent="0.25">
      <c r="H1056" s="37"/>
      <c r="I1056" s="79"/>
      <c r="J1056" s="70"/>
      <c r="K1056" s="57"/>
      <c r="L1056" s="11"/>
      <c r="M1056" s="41"/>
      <c r="N1056" s="11"/>
    </row>
    <row r="1057" spans="8:14" x14ac:dyDescent="0.25">
      <c r="H1057" s="37"/>
      <c r="I1057" s="79"/>
      <c r="J1057" s="70"/>
      <c r="K1057" s="57"/>
      <c r="L1057" s="11"/>
      <c r="M1057" s="41"/>
      <c r="N1057" s="11"/>
    </row>
    <row r="1058" spans="8:14" x14ac:dyDescent="0.25">
      <c r="H1058" s="37"/>
      <c r="I1058" s="79"/>
      <c r="J1058" s="70"/>
      <c r="K1058" s="57"/>
      <c r="L1058" s="11"/>
      <c r="M1058" s="41"/>
      <c r="N1058" s="11"/>
    </row>
    <row r="1059" spans="8:14" x14ac:dyDescent="0.25">
      <c r="H1059" s="37"/>
      <c r="I1059" s="79"/>
      <c r="J1059" s="70"/>
      <c r="K1059" s="57"/>
      <c r="L1059" s="11"/>
      <c r="M1059" s="41"/>
      <c r="N1059" s="11"/>
    </row>
    <row r="1060" spans="8:14" x14ac:dyDescent="0.25">
      <c r="H1060" s="37"/>
      <c r="I1060" s="79"/>
      <c r="J1060" s="70"/>
      <c r="K1060" s="57"/>
      <c r="L1060" s="11"/>
      <c r="M1060" s="41"/>
      <c r="N1060" s="11"/>
    </row>
    <row r="1061" spans="8:14" x14ac:dyDescent="0.25">
      <c r="H1061" s="37"/>
      <c r="I1061" s="79"/>
      <c r="J1061" s="70"/>
      <c r="K1061" s="57"/>
      <c r="L1061" s="11"/>
      <c r="M1061" s="41"/>
      <c r="N1061" s="11"/>
    </row>
    <row r="1062" spans="8:14" x14ac:dyDescent="0.25">
      <c r="H1062" s="37"/>
      <c r="I1062" s="79"/>
      <c r="J1062" s="70"/>
      <c r="K1062" s="57"/>
      <c r="L1062" s="11"/>
      <c r="M1062" s="41"/>
      <c r="N1062" s="11"/>
    </row>
    <row r="1063" spans="8:14" x14ac:dyDescent="0.25">
      <c r="H1063" s="37"/>
      <c r="I1063" s="79"/>
      <c r="J1063" s="70"/>
      <c r="K1063" s="57"/>
      <c r="L1063" s="11"/>
      <c r="M1063" s="41"/>
      <c r="N1063" s="11"/>
    </row>
    <row r="1064" spans="8:14" x14ac:dyDescent="0.25">
      <c r="H1064" s="37"/>
      <c r="I1064" s="79"/>
      <c r="J1064" s="70"/>
      <c r="K1064" s="57"/>
      <c r="L1064" s="11"/>
      <c r="M1064" s="41"/>
      <c r="N1064" s="11"/>
    </row>
    <row r="1065" spans="8:14" x14ac:dyDescent="0.25">
      <c r="H1065" s="37"/>
      <c r="I1065" s="79"/>
      <c r="J1065" s="70"/>
      <c r="K1065" s="57"/>
      <c r="L1065" s="11"/>
      <c r="M1065" s="41"/>
      <c r="N1065" s="11"/>
    </row>
    <row r="1066" spans="8:14" x14ac:dyDescent="0.25">
      <c r="H1066" s="37"/>
      <c r="I1066" s="79"/>
      <c r="J1066" s="70"/>
      <c r="K1066" s="57"/>
      <c r="L1066" s="11"/>
      <c r="M1066" s="41"/>
      <c r="N1066" s="11"/>
    </row>
    <row r="1067" spans="8:14" x14ac:dyDescent="0.25">
      <c r="H1067" s="37"/>
      <c r="I1067" s="79"/>
      <c r="J1067" s="70"/>
      <c r="K1067" s="57"/>
      <c r="L1067" s="11"/>
      <c r="M1067" s="41"/>
      <c r="N1067" s="11"/>
    </row>
    <row r="1068" spans="8:14" x14ac:dyDescent="0.25">
      <c r="H1068" s="37"/>
      <c r="I1068" s="79"/>
      <c r="J1068" s="70"/>
      <c r="K1068" s="57"/>
      <c r="L1068" s="11"/>
      <c r="M1068" s="41"/>
      <c r="N1068" s="11"/>
    </row>
    <row r="1069" spans="8:14" x14ac:dyDescent="0.25">
      <c r="H1069" s="37"/>
      <c r="I1069" s="79"/>
      <c r="J1069" s="70"/>
      <c r="K1069" s="57"/>
      <c r="L1069" s="11"/>
      <c r="M1069" s="41"/>
      <c r="N1069" s="11"/>
    </row>
    <row r="1070" spans="8:14" x14ac:dyDescent="0.25">
      <c r="H1070" s="37"/>
      <c r="I1070" s="79"/>
      <c r="J1070" s="70"/>
      <c r="K1070" s="57"/>
      <c r="L1070" s="11"/>
      <c r="M1070" s="41"/>
      <c r="N1070" s="11"/>
    </row>
    <row r="1071" spans="8:14" x14ac:dyDescent="0.25">
      <c r="H1071" s="37"/>
      <c r="I1071" s="79"/>
      <c r="J1071" s="70"/>
      <c r="K1071" s="57"/>
      <c r="L1071" s="11"/>
      <c r="M1071" s="41"/>
      <c r="N1071" s="11"/>
    </row>
    <row r="1072" spans="8:14" x14ac:dyDescent="0.25">
      <c r="H1072" s="37"/>
      <c r="I1072" s="79"/>
      <c r="J1072" s="70"/>
      <c r="K1072" s="57"/>
      <c r="L1072" s="11"/>
      <c r="M1072" s="41"/>
      <c r="N1072" s="11"/>
    </row>
    <row r="1073" spans="8:14" x14ac:dyDescent="0.25">
      <c r="H1073" s="37"/>
      <c r="I1073" s="79"/>
      <c r="J1073" s="70"/>
      <c r="K1073" s="57"/>
      <c r="L1073" s="11"/>
      <c r="M1073" s="41"/>
      <c r="N1073" s="11"/>
    </row>
    <row r="1074" spans="8:14" x14ac:dyDescent="0.25">
      <c r="H1074" s="37"/>
      <c r="I1074" s="79"/>
      <c r="J1074" s="70"/>
      <c r="K1074" s="57"/>
      <c r="L1074" s="11"/>
      <c r="M1074" s="41"/>
      <c r="N1074" s="11"/>
    </row>
    <row r="1075" spans="8:14" x14ac:dyDescent="0.25">
      <c r="H1075" s="37"/>
      <c r="I1075" s="79"/>
      <c r="J1075" s="70"/>
      <c r="K1075" s="57"/>
      <c r="L1075" s="11"/>
      <c r="M1075" s="41"/>
      <c r="N1075" s="11"/>
    </row>
    <row r="1076" spans="8:14" x14ac:dyDescent="0.25">
      <c r="H1076" s="37"/>
      <c r="I1076" s="79"/>
      <c r="J1076" s="70"/>
      <c r="K1076" s="57"/>
      <c r="L1076" s="11"/>
      <c r="M1076" s="41"/>
      <c r="N1076" s="11"/>
    </row>
    <row r="1077" spans="8:14" x14ac:dyDescent="0.25">
      <c r="H1077" s="37"/>
      <c r="I1077" s="79"/>
      <c r="J1077" s="70"/>
      <c r="K1077" s="57"/>
      <c r="L1077" s="11"/>
      <c r="M1077" s="41"/>
      <c r="N1077" s="11"/>
    </row>
    <row r="1078" spans="8:14" x14ac:dyDescent="0.25">
      <c r="H1078" s="37"/>
      <c r="I1078" s="79"/>
      <c r="J1078" s="70"/>
      <c r="K1078" s="57"/>
      <c r="L1078" s="11"/>
      <c r="M1078" s="41"/>
      <c r="N1078" s="11"/>
    </row>
    <row r="1079" spans="8:14" x14ac:dyDescent="0.25">
      <c r="H1079" s="37"/>
      <c r="I1079" s="79"/>
      <c r="J1079" s="70"/>
      <c r="K1079" s="57"/>
      <c r="L1079" s="11"/>
      <c r="M1079" s="41"/>
      <c r="N1079" s="11"/>
    </row>
    <row r="1080" spans="8:14" x14ac:dyDescent="0.25">
      <c r="H1080" s="37"/>
      <c r="I1080" s="79"/>
      <c r="J1080" s="70"/>
      <c r="K1080" s="57"/>
      <c r="L1080" s="11"/>
      <c r="M1080" s="41"/>
      <c r="N1080" s="11"/>
    </row>
    <row r="1081" spans="8:14" x14ac:dyDescent="0.25">
      <c r="H1081" s="37"/>
      <c r="I1081" s="79"/>
      <c r="J1081" s="70"/>
      <c r="K1081" s="57"/>
      <c r="L1081" s="11"/>
      <c r="M1081" s="41"/>
      <c r="N1081" s="11"/>
    </row>
    <row r="1082" spans="8:14" x14ac:dyDescent="0.25">
      <c r="H1082" s="37"/>
      <c r="I1082" s="79"/>
      <c r="J1082" s="70"/>
      <c r="K1082" s="57"/>
      <c r="L1082" s="11"/>
      <c r="M1082" s="41"/>
      <c r="N1082" s="11"/>
    </row>
    <row r="1083" spans="8:14" x14ac:dyDescent="0.25">
      <c r="H1083" s="37"/>
      <c r="I1083" s="79"/>
      <c r="J1083" s="70"/>
      <c r="K1083" s="57"/>
      <c r="L1083" s="11"/>
      <c r="M1083" s="41"/>
      <c r="N1083" s="11"/>
    </row>
    <row r="1084" spans="8:14" x14ac:dyDescent="0.25">
      <c r="H1084" s="37"/>
      <c r="I1084" s="79"/>
      <c r="J1084" s="70"/>
      <c r="K1084" s="57"/>
      <c r="L1084" s="11"/>
      <c r="M1084" s="41"/>
      <c r="N1084" s="11"/>
    </row>
    <row r="1085" spans="8:14" x14ac:dyDescent="0.25">
      <c r="H1085" s="37"/>
      <c r="I1085" s="79"/>
      <c r="J1085" s="70"/>
      <c r="K1085" s="57"/>
      <c r="L1085" s="11"/>
      <c r="M1085" s="41"/>
      <c r="N1085" s="11"/>
    </row>
    <row r="1086" spans="8:14" x14ac:dyDescent="0.25">
      <c r="H1086" s="37"/>
      <c r="I1086" s="79"/>
      <c r="J1086" s="70"/>
      <c r="K1086" s="57"/>
      <c r="L1086" s="11"/>
      <c r="M1086" s="41"/>
      <c r="N1086" s="11"/>
    </row>
    <row r="1087" spans="8:14" x14ac:dyDescent="0.25">
      <c r="H1087" s="37"/>
      <c r="I1087" s="79"/>
      <c r="J1087" s="70"/>
      <c r="K1087" s="57"/>
      <c r="L1087" s="11"/>
      <c r="M1087" s="41"/>
      <c r="N1087" s="11"/>
    </row>
    <row r="1088" spans="8:14" x14ac:dyDescent="0.25">
      <c r="H1088" s="37"/>
      <c r="I1088" s="79"/>
      <c r="J1088" s="70"/>
      <c r="K1088" s="57"/>
      <c r="L1088" s="11"/>
      <c r="M1088" s="41"/>
      <c r="N1088" s="11"/>
    </row>
    <row r="1089" spans="8:14" x14ac:dyDescent="0.25">
      <c r="H1089" s="37"/>
      <c r="I1089" s="79"/>
      <c r="J1089" s="70"/>
      <c r="K1089" s="57"/>
      <c r="L1089" s="11"/>
      <c r="M1089" s="41"/>
      <c r="N1089" s="11"/>
    </row>
    <row r="1090" spans="8:14" x14ac:dyDescent="0.25">
      <c r="H1090" s="37"/>
      <c r="I1090" s="79"/>
      <c r="J1090" s="70"/>
      <c r="K1090" s="57"/>
      <c r="L1090" s="11"/>
      <c r="M1090" s="41"/>
      <c r="N1090" s="11"/>
    </row>
    <row r="1091" spans="8:14" x14ac:dyDescent="0.25">
      <c r="H1091" s="37"/>
      <c r="I1091" s="79"/>
      <c r="J1091" s="70"/>
      <c r="K1091" s="57"/>
      <c r="L1091" s="11"/>
      <c r="M1091" s="41"/>
      <c r="N1091" s="11"/>
    </row>
    <row r="1092" spans="8:14" x14ac:dyDescent="0.25">
      <c r="H1092" s="37"/>
      <c r="I1092" s="79"/>
      <c r="J1092" s="70"/>
      <c r="K1092" s="57"/>
      <c r="L1092" s="11"/>
      <c r="M1092" s="41"/>
      <c r="N1092" s="11"/>
    </row>
    <row r="1093" spans="8:14" x14ac:dyDescent="0.25">
      <c r="H1093" s="37"/>
      <c r="I1093" s="79"/>
      <c r="J1093" s="70"/>
      <c r="K1093" s="57"/>
      <c r="L1093" s="11"/>
      <c r="M1093" s="41"/>
      <c r="N1093" s="11"/>
    </row>
    <row r="1094" spans="8:14" x14ac:dyDescent="0.25">
      <c r="H1094" s="37"/>
      <c r="I1094" s="79"/>
      <c r="J1094" s="70"/>
      <c r="K1094" s="57"/>
      <c r="L1094" s="11"/>
      <c r="M1094" s="41"/>
      <c r="N1094" s="11"/>
    </row>
    <row r="1095" spans="8:14" x14ac:dyDescent="0.25">
      <c r="H1095" s="37"/>
      <c r="I1095" s="79"/>
      <c r="J1095" s="70"/>
      <c r="K1095" s="57"/>
      <c r="L1095" s="11"/>
      <c r="M1095" s="41"/>
      <c r="N1095" s="11"/>
    </row>
    <row r="1096" spans="8:14" x14ac:dyDescent="0.25">
      <c r="H1096" s="37"/>
      <c r="I1096" s="79"/>
      <c r="J1096" s="70"/>
      <c r="K1096" s="57"/>
      <c r="L1096" s="11"/>
      <c r="M1096" s="41"/>
      <c r="N1096" s="11"/>
    </row>
    <row r="1097" spans="8:14" x14ac:dyDescent="0.25">
      <c r="H1097" s="37"/>
      <c r="I1097" s="79"/>
      <c r="J1097" s="70"/>
      <c r="K1097" s="57"/>
      <c r="L1097" s="11"/>
      <c r="M1097" s="41"/>
      <c r="N1097" s="11"/>
    </row>
    <row r="1098" spans="8:14" x14ac:dyDescent="0.25">
      <c r="H1098" s="37"/>
      <c r="I1098" s="79"/>
      <c r="J1098" s="70"/>
      <c r="K1098" s="57"/>
      <c r="L1098" s="11"/>
      <c r="M1098" s="41"/>
      <c r="N1098" s="11"/>
    </row>
    <row r="1099" spans="8:14" x14ac:dyDescent="0.25">
      <c r="H1099" s="37"/>
      <c r="I1099" s="79"/>
      <c r="J1099" s="70"/>
      <c r="K1099" s="57"/>
      <c r="L1099" s="11"/>
      <c r="M1099" s="41"/>
      <c r="N1099" s="11"/>
    </row>
    <row r="1100" spans="8:14" x14ac:dyDescent="0.25">
      <c r="H1100" s="37"/>
      <c r="I1100" s="79"/>
      <c r="J1100" s="70"/>
      <c r="K1100" s="57"/>
      <c r="L1100" s="11"/>
      <c r="M1100" s="41"/>
      <c r="N1100" s="11"/>
    </row>
    <row r="1101" spans="8:14" x14ac:dyDescent="0.25">
      <c r="H1101" s="37"/>
      <c r="I1101" s="79"/>
      <c r="J1101" s="70"/>
      <c r="K1101" s="57"/>
      <c r="L1101" s="11"/>
      <c r="M1101" s="41"/>
      <c r="N1101" s="11"/>
    </row>
    <row r="1102" spans="8:14" x14ac:dyDescent="0.25">
      <c r="H1102" s="37"/>
      <c r="I1102" s="79"/>
      <c r="J1102" s="70"/>
      <c r="K1102" s="57"/>
      <c r="L1102" s="11"/>
      <c r="M1102" s="41"/>
      <c r="N1102" s="11"/>
    </row>
    <row r="1103" spans="8:14" x14ac:dyDescent="0.25">
      <c r="H1103" s="37"/>
      <c r="I1103" s="79"/>
      <c r="J1103" s="70"/>
      <c r="K1103" s="57"/>
      <c r="L1103" s="11"/>
      <c r="M1103" s="41"/>
      <c r="N1103" s="11"/>
    </row>
    <row r="1104" spans="8:14" x14ac:dyDescent="0.25">
      <c r="H1104" s="37"/>
      <c r="I1104" s="79"/>
      <c r="J1104" s="70"/>
      <c r="K1104" s="57"/>
      <c r="L1104" s="11"/>
      <c r="M1104" s="41"/>
      <c r="N1104" s="11"/>
    </row>
    <row r="1105" spans="8:14" x14ac:dyDescent="0.25">
      <c r="H1105" s="37"/>
      <c r="I1105" s="79"/>
      <c r="J1105" s="70"/>
      <c r="K1105" s="57"/>
      <c r="L1105" s="11"/>
      <c r="M1105" s="41"/>
      <c r="N1105" s="11"/>
    </row>
    <row r="1106" spans="8:14" x14ac:dyDescent="0.25">
      <c r="H1106" s="37"/>
      <c r="I1106" s="79"/>
      <c r="J1106" s="70"/>
      <c r="K1106" s="57"/>
      <c r="L1106" s="11"/>
      <c r="M1106" s="41"/>
      <c r="N1106" s="11"/>
    </row>
    <row r="1107" spans="8:14" x14ac:dyDescent="0.25">
      <c r="H1107" s="37"/>
      <c r="I1107" s="79"/>
      <c r="J1107" s="70"/>
      <c r="K1107" s="57"/>
      <c r="L1107" s="11"/>
      <c r="M1107" s="41"/>
      <c r="N1107" s="11"/>
    </row>
    <row r="1108" spans="8:14" x14ac:dyDescent="0.25">
      <c r="H1108" s="37"/>
      <c r="I1108" s="79"/>
      <c r="J1108" s="70"/>
      <c r="K1108" s="57"/>
      <c r="L1108" s="11"/>
      <c r="M1108" s="41"/>
      <c r="N1108" s="11"/>
    </row>
    <row r="1109" spans="8:14" x14ac:dyDescent="0.25">
      <c r="H1109" s="37"/>
      <c r="I1109" s="79"/>
      <c r="J1109" s="70"/>
      <c r="K1109" s="57"/>
      <c r="L1109" s="11"/>
      <c r="M1109" s="41"/>
      <c r="N1109" s="11"/>
    </row>
    <row r="1110" spans="8:14" x14ac:dyDescent="0.25">
      <c r="H1110" s="37"/>
      <c r="I1110" s="79"/>
      <c r="J1110" s="70"/>
      <c r="K1110" s="57"/>
      <c r="L1110" s="11"/>
      <c r="M1110" s="41"/>
      <c r="N1110" s="11"/>
    </row>
    <row r="1111" spans="8:14" x14ac:dyDescent="0.25">
      <c r="H1111" s="37"/>
      <c r="I1111" s="79"/>
      <c r="J1111" s="70"/>
      <c r="K1111" s="57"/>
      <c r="L1111" s="11"/>
      <c r="M1111" s="41"/>
      <c r="N1111" s="11"/>
    </row>
    <row r="1112" spans="8:14" x14ac:dyDescent="0.25">
      <c r="H1112" s="37"/>
      <c r="I1112" s="79"/>
      <c r="J1112" s="70"/>
      <c r="K1112" s="57"/>
      <c r="L1112" s="11"/>
      <c r="M1112" s="41"/>
      <c r="N1112" s="11"/>
    </row>
    <row r="1113" spans="8:14" x14ac:dyDescent="0.25">
      <c r="H1113" s="37"/>
      <c r="I1113" s="79"/>
      <c r="J1113" s="70"/>
      <c r="K1113" s="57"/>
      <c r="L1113" s="11"/>
      <c r="M1113" s="41"/>
      <c r="N1113" s="11"/>
    </row>
    <row r="1114" spans="8:14" x14ac:dyDescent="0.25">
      <c r="H1114" s="37"/>
      <c r="I1114" s="79"/>
      <c r="J1114" s="70"/>
      <c r="K1114" s="57"/>
      <c r="L1114" s="11"/>
      <c r="M1114" s="41"/>
      <c r="N1114" s="11"/>
    </row>
    <row r="1115" spans="8:14" x14ac:dyDescent="0.25">
      <c r="H1115" s="37"/>
      <c r="I1115" s="79"/>
      <c r="J1115" s="70"/>
      <c r="K1115" s="57"/>
      <c r="L1115" s="11"/>
      <c r="M1115" s="41"/>
      <c r="N1115" s="11"/>
    </row>
    <row r="1116" spans="8:14" x14ac:dyDescent="0.25">
      <c r="H1116" s="37"/>
      <c r="I1116" s="79"/>
      <c r="J1116" s="70"/>
      <c r="K1116" s="57"/>
      <c r="L1116" s="11"/>
      <c r="M1116" s="41"/>
      <c r="N1116" s="11"/>
    </row>
    <row r="1117" spans="8:14" x14ac:dyDescent="0.25">
      <c r="H1117" s="37"/>
      <c r="I1117" s="79"/>
      <c r="J1117" s="70"/>
      <c r="K1117" s="57"/>
      <c r="L1117" s="11"/>
      <c r="M1117" s="41"/>
      <c r="N1117" s="11"/>
    </row>
    <row r="1118" spans="8:14" x14ac:dyDescent="0.25">
      <c r="H1118" s="37"/>
      <c r="I1118" s="79"/>
      <c r="J1118" s="70"/>
      <c r="K1118" s="57"/>
      <c r="L1118" s="11"/>
      <c r="M1118" s="41"/>
      <c r="N1118" s="11"/>
    </row>
    <row r="1119" spans="8:14" x14ac:dyDescent="0.25">
      <c r="H1119" s="37"/>
      <c r="I1119" s="79"/>
      <c r="J1119" s="70"/>
      <c r="K1119" s="57"/>
      <c r="L1119" s="11"/>
      <c r="M1119" s="41"/>
      <c r="N1119" s="11"/>
    </row>
    <row r="1120" spans="8:14" x14ac:dyDescent="0.25">
      <c r="H1120" s="37"/>
      <c r="I1120" s="79"/>
      <c r="J1120" s="70"/>
      <c r="K1120" s="57"/>
      <c r="L1120" s="11"/>
      <c r="M1120" s="41"/>
      <c r="N1120" s="11"/>
    </row>
    <row r="1121" spans="8:14" x14ac:dyDescent="0.25">
      <c r="H1121" s="37"/>
      <c r="I1121" s="79"/>
      <c r="J1121" s="70"/>
      <c r="K1121" s="57"/>
      <c r="L1121" s="11"/>
      <c r="M1121" s="41"/>
      <c r="N1121" s="11"/>
    </row>
    <row r="1122" spans="8:14" x14ac:dyDescent="0.25">
      <c r="H1122" s="37"/>
      <c r="I1122" s="79"/>
      <c r="J1122" s="70"/>
      <c r="K1122" s="57"/>
      <c r="L1122" s="11"/>
      <c r="M1122" s="41"/>
      <c r="N1122" s="11"/>
    </row>
    <row r="1123" spans="8:14" x14ac:dyDescent="0.25">
      <c r="H1123" s="37"/>
      <c r="I1123" s="79"/>
      <c r="J1123" s="70"/>
      <c r="K1123" s="57"/>
      <c r="L1123" s="11"/>
      <c r="M1123" s="41"/>
      <c r="N1123" s="11"/>
    </row>
    <row r="1124" spans="8:14" x14ac:dyDescent="0.25">
      <c r="H1124" s="37"/>
      <c r="I1124" s="79"/>
      <c r="J1124" s="70"/>
      <c r="K1124" s="57"/>
      <c r="L1124" s="11"/>
      <c r="M1124" s="41"/>
      <c r="N1124" s="11"/>
    </row>
    <row r="1125" spans="8:14" x14ac:dyDescent="0.25">
      <c r="H1125" s="37"/>
      <c r="I1125" s="79"/>
      <c r="J1125" s="70"/>
      <c r="K1125" s="57"/>
      <c r="L1125" s="11"/>
      <c r="M1125" s="41"/>
      <c r="N1125" s="11"/>
    </row>
    <row r="1126" spans="8:14" x14ac:dyDescent="0.25">
      <c r="H1126" s="37"/>
      <c r="I1126" s="79"/>
      <c r="J1126" s="70"/>
      <c r="K1126" s="57"/>
      <c r="L1126" s="11"/>
      <c r="M1126" s="41"/>
      <c r="N1126" s="11"/>
    </row>
    <row r="1127" spans="8:14" x14ac:dyDescent="0.25">
      <c r="H1127" s="37"/>
      <c r="I1127" s="79"/>
      <c r="J1127" s="70"/>
      <c r="K1127" s="57"/>
      <c r="L1127" s="11"/>
      <c r="M1127" s="41"/>
      <c r="N1127" s="11"/>
    </row>
    <row r="1128" spans="8:14" x14ac:dyDescent="0.25">
      <c r="H1128" s="37"/>
      <c r="I1128" s="79"/>
      <c r="J1128" s="70"/>
      <c r="K1128" s="57"/>
      <c r="L1128" s="11"/>
      <c r="M1128" s="41"/>
      <c r="N1128" s="11"/>
    </row>
    <row r="1129" spans="8:14" x14ac:dyDescent="0.25">
      <c r="H1129" s="37"/>
      <c r="I1129" s="79"/>
      <c r="J1129" s="70"/>
      <c r="K1129" s="57"/>
      <c r="L1129" s="11"/>
      <c r="M1129" s="41"/>
      <c r="N1129" s="11"/>
    </row>
    <row r="1130" spans="8:14" x14ac:dyDescent="0.25">
      <c r="H1130" s="37"/>
      <c r="I1130" s="79"/>
      <c r="J1130" s="70"/>
      <c r="K1130" s="57"/>
      <c r="L1130" s="11"/>
      <c r="M1130" s="41"/>
      <c r="N1130" s="11"/>
    </row>
    <row r="1131" spans="8:14" x14ac:dyDescent="0.25">
      <c r="H1131" s="37"/>
      <c r="I1131" s="79"/>
      <c r="J1131" s="70"/>
      <c r="K1131" s="57"/>
      <c r="L1131" s="11"/>
      <c r="M1131" s="41"/>
      <c r="N1131" s="11"/>
    </row>
    <row r="1132" spans="8:14" x14ac:dyDescent="0.25">
      <c r="H1132" s="37"/>
      <c r="I1132" s="79"/>
      <c r="J1132" s="70"/>
      <c r="K1132" s="57"/>
      <c r="L1132" s="11"/>
      <c r="M1132" s="41"/>
      <c r="N1132" s="11"/>
    </row>
    <row r="1133" spans="8:14" x14ac:dyDescent="0.25">
      <c r="H1133" s="37"/>
      <c r="I1133" s="79"/>
      <c r="J1133" s="70"/>
      <c r="K1133" s="57"/>
      <c r="L1133" s="11"/>
      <c r="M1133" s="41"/>
      <c r="N1133" s="11"/>
    </row>
    <row r="1134" spans="8:14" x14ac:dyDescent="0.25">
      <c r="H1134" s="37"/>
      <c r="I1134" s="79"/>
      <c r="J1134" s="70"/>
      <c r="K1134" s="57"/>
      <c r="L1134" s="11"/>
      <c r="M1134" s="41"/>
      <c r="N1134" s="11"/>
    </row>
    <row r="1135" spans="8:14" x14ac:dyDescent="0.25">
      <c r="H1135" s="37"/>
      <c r="I1135" s="79"/>
      <c r="J1135" s="70"/>
      <c r="K1135" s="57"/>
      <c r="L1135" s="11"/>
      <c r="M1135" s="41"/>
      <c r="N1135" s="11"/>
    </row>
    <row r="1136" spans="8:14" x14ac:dyDescent="0.25">
      <c r="H1136" s="37"/>
      <c r="I1136" s="79"/>
      <c r="J1136" s="70"/>
      <c r="K1136" s="57"/>
      <c r="L1136" s="11"/>
      <c r="M1136" s="41"/>
      <c r="N1136" s="11"/>
    </row>
    <row r="1137" spans="8:14" x14ac:dyDescent="0.25">
      <c r="H1137" s="37"/>
      <c r="I1137" s="79"/>
      <c r="J1137" s="70"/>
      <c r="K1137" s="57"/>
      <c r="L1137" s="11"/>
      <c r="M1137" s="41"/>
      <c r="N1137" s="11"/>
    </row>
    <row r="1138" spans="8:14" x14ac:dyDescent="0.25">
      <c r="H1138" s="37"/>
      <c r="I1138" s="79"/>
      <c r="J1138" s="70"/>
      <c r="K1138" s="57"/>
      <c r="L1138" s="11"/>
      <c r="M1138" s="41"/>
      <c r="N1138" s="11"/>
    </row>
    <row r="1139" spans="8:14" x14ac:dyDescent="0.25">
      <c r="H1139" s="37"/>
      <c r="I1139" s="79"/>
      <c r="J1139" s="70"/>
      <c r="K1139" s="57"/>
      <c r="L1139" s="11"/>
      <c r="M1139" s="41"/>
      <c r="N1139" s="11"/>
    </row>
    <row r="1140" spans="8:14" x14ac:dyDescent="0.25">
      <c r="H1140" s="37"/>
      <c r="I1140" s="79"/>
      <c r="J1140" s="70"/>
      <c r="K1140" s="57"/>
      <c r="L1140" s="11"/>
      <c r="M1140" s="41"/>
      <c r="N1140" s="11"/>
    </row>
    <row r="1141" spans="8:14" x14ac:dyDescent="0.25">
      <c r="H1141" s="37"/>
      <c r="I1141" s="79"/>
      <c r="J1141" s="70"/>
      <c r="K1141" s="57"/>
      <c r="L1141" s="11"/>
      <c r="M1141" s="41"/>
      <c r="N1141" s="11"/>
    </row>
    <row r="1142" spans="8:14" x14ac:dyDescent="0.25">
      <c r="H1142" s="37"/>
      <c r="I1142" s="79"/>
      <c r="J1142" s="70"/>
      <c r="K1142" s="57"/>
      <c r="L1142" s="11"/>
      <c r="M1142" s="41"/>
      <c r="N1142" s="11"/>
    </row>
    <row r="1143" spans="8:14" x14ac:dyDescent="0.25">
      <c r="H1143" s="37"/>
      <c r="I1143" s="79"/>
      <c r="J1143" s="70"/>
      <c r="K1143" s="57"/>
      <c r="L1143" s="11"/>
      <c r="M1143" s="41"/>
      <c r="N1143" s="11"/>
    </row>
    <row r="1144" spans="8:14" x14ac:dyDescent="0.25">
      <c r="H1144" s="37"/>
      <c r="I1144" s="79"/>
      <c r="J1144" s="70"/>
      <c r="K1144" s="57"/>
      <c r="L1144" s="11"/>
      <c r="M1144" s="41"/>
      <c r="N1144" s="11"/>
    </row>
    <row r="1145" spans="8:14" x14ac:dyDescent="0.25">
      <c r="H1145" s="37"/>
      <c r="I1145" s="79"/>
      <c r="J1145" s="70"/>
      <c r="K1145" s="57"/>
      <c r="L1145" s="11"/>
      <c r="M1145" s="41"/>
      <c r="N1145" s="11"/>
    </row>
    <row r="1146" spans="8:14" x14ac:dyDescent="0.25">
      <c r="H1146" s="37"/>
      <c r="I1146" s="79"/>
      <c r="J1146" s="70"/>
      <c r="K1146" s="57"/>
      <c r="L1146" s="11"/>
      <c r="M1146" s="41"/>
      <c r="N1146" s="11"/>
    </row>
    <row r="1147" spans="8:14" x14ac:dyDescent="0.25">
      <c r="H1147" s="37"/>
      <c r="I1147" s="79"/>
      <c r="J1147" s="70"/>
      <c r="K1147" s="57"/>
      <c r="L1147" s="11"/>
      <c r="M1147" s="41"/>
      <c r="N1147" s="11"/>
    </row>
    <row r="1148" spans="8:14" x14ac:dyDescent="0.25">
      <c r="H1148" s="37"/>
      <c r="I1148" s="79"/>
      <c r="J1148" s="70"/>
      <c r="K1148" s="57"/>
      <c r="L1148" s="11"/>
      <c r="M1148" s="41"/>
      <c r="N1148" s="11"/>
    </row>
    <row r="1149" spans="8:14" x14ac:dyDescent="0.25">
      <c r="H1149" s="37"/>
      <c r="I1149" s="79"/>
      <c r="J1149" s="70"/>
      <c r="K1149" s="57"/>
      <c r="L1149" s="11"/>
      <c r="M1149" s="41"/>
      <c r="N1149" s="11"/>
    </row>
    <row r="1150" spans="8:14" x14ac:dyDescent="0.25">
      <c r="H1150" s="37"/>
      <c r="I1150" s="79"/>
      <c r="J1150" s="70"/>
      <c r="K1150" s="57"/>
      <c r="L1150" s="11"/>
      <c r="M1150" s="41"/>
      <c r="N1150" s="11"/>
    </row>
    <row r="1151" spans="8:14" x14ac:dyDescent="0.25">
      <c r="H1151" s="37"/>
      <c r="I1151" s="79"/>
      <c r="J1151" s="70"/>
      <c r="K1151" s="57"/>
      <c r="L1151" s="11"/>
      <c r="M1151" s="41"/>
      <c r="N1151" s="11"/>
    </row>
    <row r="1152" spans="8:14" x14ac:dyDescent="0.25">
      <c r="H1152" s="37"/>
      <c r="I1152" s="79"/>
      <c r="J1152" s="70"/>
      <c r="K1152" s="57"/>
      <c r="L1152" s="11"/>
      <c r="M1152" s="41"/>
      <c r="N1152" s="11"/>
    </row>
    <row r="1153" spans="8:14" x14ac:dyDescent="0.25">
      <c r="H1153" s="37"/>
      <c r="I1153" s="79"/>
      <c r="J1153" s="70"/>
      <c r="K1153" s="57"/>
      <c r="L1153" s="11"/>
      <c r="M1153" s="41"/>
      <c r="N1153" s="11"/>
    </row>
    <row r="1154" spans="8:14" x14ac:dyDescent="0.25">
      <c r="H1154" s="37"/>
      <c r="I1154" s="79"/>
      <c r="J1154" s="70"/>
      <c r="K1154" s="57"/>
      <c r="L1154" s="11"/>
      <c r="M1154" s="41"/>
      <c r="N1154" s="11"/>
    </row>
    <row r="1155" spans="8:14" x14ac:dyDescent="0.25">
      <c r="H1155" s="37"/>
      <c r="I1155" s="79"/>
      <c r="J1155" s="70"/>
      <c r="K1155" s="57"/>
      <c r="L1155" s="11"/>
      <c r="M1155" s="41"/>
      <c r="N1155" s="11"/>
    </row>
    <row r="1156" spans="8:14" x14ac:dyDescent="0.25">
      <c r="H1156" s="37"/>
      <c r="I1156" s="79"/>
      <c r="J1156" s="70"/>
      <c r="K1156" s="57"/>
      <c r="L1156" s="11"/>
      <c r="M1156" s="41"/>
      <c r="N1156" s="11"/>
    </row>
    <row r="1157" spans="8:14" x14ac:dyDescent="0.25">
      <c r="H1157" s="37"/>
      <c r="I1157" s="79"/>
      <c r="J1157" s="70"/>
      <c r="K1157" s="57"/>
      <c r="L1157" s="11"/>
      <c r="M1157" s="41"/>
      <c r="N1157" s="11"/>
    </row>
    <row r="1158" spans="8:14" x14ac:dyDescent="0.25">
      <c r="H1158" s="37"/>
      <c r="I1158" s="79"/>
      <c r="J1158" s="70"/>
      <c r="K1158" s="57"/>
      <c r="L1158" s="11"/>
      <c r="M1158" s="41"/>
      <c r="N1158" s="11"/>
    </row>
    <row r="1159" spans="8:14" x14ac:dyDescent="0.25">
      <c r="H1159" s="37"/>
      <c r="I1159" s="79"/>
      <c r="J1159" s="70"/>
      <c r="K1159" s="57"/>
      <c r="L1159" s="11"/>
      <c r="M1159" s="41"/>
      <c r="N1159" s="11"/>
    </row>
    <row r="1160" spans="8:14" x14ac:dyDescent="0.25">
      <c r="H1160" s="37"/>
      <c r="I1160" s="79"/>
      <c r="J1160" s="70"/>
      <c r="K1160" s="57"/>
      <c r="L1160" s="11"/>
      <c r="M1160" s="41"/>
      <c r="N1160" s="11"/>
    </row>
    <row r="1161" spans="8:14" x14ac:dyDescent="0.25">
      <c r="H1161" s="37"/>
      <c r="I1161" s="79"/>
      <c r="J1161" s="70"/>
      <c r="K1161" s="57"/>
      <c r="L1161" s="11"/>
      <c r="M1161" s="41"/>
      <c r="N1161" s="11"/>
    </row>
    <row r="1162" spans="8:14" x14ac:dyDescent="0.25">
      <c r="H1162" s="37"/>
      <c r="I1162" s="79"/>
      <c r="J1162" s="70"/>
      <c r="K1162" s="57"/>
      <c r="L1162" s="11"/>
      <c r="M1162" s="41"/>
      <c r="N1162" s="11"/>
    </row>
    <row r="1163" spans="8:14" x14ac:dyDescent="0.25">
      <c r="H1163" s="37"/>
      <c r="I1163" s="79"/>
      <c r="J1163" s="70"/>
      <c r="K1163" s="57"/>
      <c r="L1163" s="11"/>
      <c r="M1163" s="41"/>
      <c r="N1163" s="11"/>
    </row>
    <row r="1164" spans="8:14" x14ac:dyDescent="0.25">
      <c r="H1164" s="37"/>
      <c r="I1164" s="79"/>
      <c r="J1164" s="70"/>
      <c r="K1164" s="57"/>
      <c r="L1164" s="11"/>
      <c r="M1164" s="41"/>
      <c r="N1164" s="11"/>
    </row>
    <row r="1165" spans="8:14" x14ac:dyDescent="0.25">
      <c r="H1165" s="37"/>
      <c r="I1165" s="79"/>
      <c r="J1165" s="70"/>
      <c r="K1165" s="57"/>
      <c r="L1165" s="11"/>
      <c r="M1165" s="41"/>
      <c r="N1165" s="11"/>
    </row>
    <row r="1166" spans="8:14" x14ac:dyDescent="0.25">
      <c r="H1166" s="37"/>
      <c r="I1166" s="79"/>
      <c r="J1166" s="70"/>
      <c r="K1166" s="57"/>
      <c r="L1166" s="11"/>
      <c r="M1166" s="41"/>
      <c r="N1166" s="11"/>
    </row>
    <row r="1167" spans="8:14" x14ac:dyDescent="0.25">
      <c r="H1167" s="37"/>
      <c r="I1167" s="79"/>
      <c r="J1167" s="70"/>
      <c r="K1167" s="57"/>
      <c r="L1167" s="11"/>
      <c r="M1167" s="41"/>
      <c r="N1167" s="11"/>
    </row>
    <row r="1168" spans="8:14" x14ac:dyDescent="0.25">
      <c r="H1168" s="37"/>
      <c r="I1168" s="79"/>
      <c r="J1168" s="70"/>
      <c r="K1168" s="57"/>
      <c r="L1168" s="11"/>
      <c r="M1168" s="41"/>
      <c r="N1168" s="11"/>
    </row>
    <row r="1169" spans="8:14" x14ac:dyDescent="0.25">
      <c r="H1169" s="37"/>
      <c r="I1169" s="79"/>
      <c r="J1169" s="70"/>
      <c r="K1169" s="57"/>
      <c r="L1169" s="11"/>
      <c r="M1169" s="41"/>
      <c r="N1169" s="11"/>
    </row>
    <row r="1170" spans="8:14" x14ac:dyDescent="0.25">
      <c r="H1170" s="37"/>
      <c r="I1170" s="79"/>
      <c r="J1170" s="70"/>
      <c r="K1170" s="57"/>
      <c r="L1170" s="11"/>
      <c r="M1170" s="41"/>
      <c r="N1170" s="11"/>
    </row>
    <row r="1171" spans="8:14" x14ac:dyDescent="0.25">
      <c r="H1171" s="37"/>
      <c r="I1171" s="79"/>
      <c r="J1171" s="70"/>
      <c r="K1171" s="57"/>
      <c r="L1171" s="11"/>
      <c r="M1171" s="41"/>
      <c r="N1171" s="11"/>
    </row>
    <row r="1172" spans="8:14" x14ac:dyDescent="0.25">
      <c r="H1172" s="37"/>
      <c r="I1172" s="79"/>
      <c r="J1172" s="70"/>
      <c r="K1172" s="57"/>
      <c r="L1172" s="11"/>
      <c r="M1172" s="41"/>
      <c r="N1172" s="11"/>
    </row>
    <row r="1173" spans="8:14" x14ac:dyDescent="0.25">
      <c r="H1173" s="37"/>
      <c r="I1173" s="79"/>
      <c r="J1173" s="70"/>
      <c r="K1173" s="57"/>
      <c r="L1173" s="11"/>
      <c r="M1173" s="41"/>
      <c r="N1173" s="11"/>
    </row>
    <row r="1174" spans="8:14" x14ac:dyDescent="0.25">
      <c r="H1174" s="37"/>
      <c r="I1174" s="79"/>
      <c r="J1174" s="70"/>
      <c r="K1174" s="57"/>
      <c r="L1174" s="11"/>
      <c r="M1174" s="41"/>
      <c r="N1174" s="11"/>
    </row>
    <row r="1175" spans="8:14" x14ac:dyDescent="0.25">
      <c r="H1175" s="37"/>
      <c r="I1175" s="79"/>
      <c r="J1175" s="70"/>
      <c r="K1175" s="57"/>
      <c r="L1175" s="11"/>
      <c r="M1175" s="41"/>
      <c r="N1175" s="11"/>
    </row>
    <row r="1176" spans="8:14" x14ac:dyDescent="0.25">
      <c r="H1176" s="37"/>
      <c r="I1176" s="79"/>
      <c r="J1176" s="70"/>
      <c r="K1176" s="57"/>
      <c r="L1176" s="11"/>
      <c r="M1176" s="41"/>
      <c r="N1176" s="11"/>
    </row>
    <row r="1177" spans="8:14" x14ac:dyDescent="0.25">
      <c r="H1177" s="37"/>
      <c r="I1177" s="79"/>
      <c r="J1177" s="70"/>
      <c r="K1177" s="57"/>
      <c r="L1177" s="11"/>
      <c r="M1177" s="41"/>
      <c r="N1177" s="11"/>
    </row>
    <row r="1178" spans="8:14" x14ac:dyDescent="0.25">
      <c r="H1178" s="37"/>
      <c r="I1178" s="79"/>
      <c r="J1178" s="70"/>
      <c r="K1178" s="57"/>
      <c r="L1178" s="11"/>
      <c r="M1178" s="41"/>
      <c r="N1178" s="11"/>
    </row>
    <row r="1179" spans="8:14" x14ac:dyDescent="0.25">
      <c r="H1179" s="37"/>
      <c r="I1179" s="79"/>
      <c r="J1179" s="70"/>
      <c r="K1179" s="57"/>
      <c r="L1179" s="11"/>
      <c r="M1179" s="41"/>
      <c r="N1179" s="11"/>
    </row>
    <row r="1180" spans="8:14" x14ac:dyDescent="0.25">
      <c r="H1180" s="37"/>
      <c r="I1180" s="79"/>
      <c r="J1180" s="70"/>
      <c r="K1180" s="57"/>
      <c r="L1180" s="11"/>
      <c r="M1180" s="41"/>
      <c r="N1180" s="11"/>
    </row>
    <row r="1181" spans="8:14" x14ac:dyDescent="0.25">
      <c r="H1181" s="37"/>
      <c r="I1181" s="79"/>
      <c r="J1181" s="70"/>
      <c r="K1181" s="57"/>
      <c r="L1181" s="11"/>
      <c r="M1181" s="41"/>
      <c r="N1181" s="11"/>
    </row>
    <row r="1182" spans="8:14" x14ac:dyDescent="0.25">
      <c r="H1182" s="37"/>
      <c r="I1182" s="79"/>
      <c r="J1182" s="70"/>
      <c r="K1182" s="57"/>
      <c r="L1182" s="11"/>
      <c r="M1182" s="41"/>
      <c r="N1182" s="11"/>
    </row>
    <row r="1183" spans="8:14" x14ac:dyDescent="0.25">
      <c r="H1183" s="37"/>
      <c r="I1183" s="79"/>
      <c r="J1183" s="70"/>
      <c r="K1183" s="57"/>
      <c r="L1183" s="11"/>
      <c r="M1183" s="41"/>
      <c r="N1183" s="11"/>
    </row>
    <row r="1184" spans="8:14" x14ac:dyDescent="0.25">
      <c r="H1184" s="37"/>
      <c r="I1184" s="79"/>
      <c r="J1184" s="70"/>
      <c r="K1184" s="57"/>
      <c r="L1184" s="11"/>
      <c r="M1184" s="41"/>
      <c r="N1184" s="11"/>
    </row>
    <row r="1185" spans="8:14" x14ac:dyDescent="0.25">
      <c r="H1185" s="37"/>
      <c r="I1185" s="79"/>
      <c r="J1185" s="70"/>
      <c r="K1185" s="57"/>
      <c r="L1185" s="11"/>
      <c r="M1185" s="41"/>
      <c r="N1185" s="11"/>
    </row>
    <row r="1186" spans="8:14" x14ac:dyDescent="0.25">
      <c r="H1186" s="37"/>
      <c r="I1186" s="79"/>
      <c r="J1186" s="70"/>
      <c r="K1186" s="57"/>
      <c r="L1186" s="11"/>
      <c r="M1186" s="41"/>
      <c r="N1186" s="11"/>
    </row>
    <row r="1187" spans="8:14" x14ac:dyDescent="0.25">
      <c r="H1187" s="37"/>
      <c r="I1187" s="79"/>
      <c r="J1187" s="70"/>
      <c r="K1187" s="57"/>
      <c r="L1187" s="11"/>
      <c r="M1187" s="41"/>
      <c r="N1187" s="11"/>
    </row>
    <row r="1188" spans="8:14" x14ac:dyDescent="0.25">
      <c r="H1188" s="37"/>
      <c r="I1188" s="79"/>
      <c r="J1188" s="70"/>
      <c r="K1188" s="57"/>
      <c r="L1188" s="11"/>
      <c r="M1188" s="41"/>
      <c r="N1188" s="11"/>
    </row>
    <row r="1189" spans="8:14" x14ac:dyDescent="0.25">
      <c r="H1189" s="37"/>
      <c r="I1189" s="79"/>
      <c r="J1189" s="70"/>
      <c r="K1189" s="57"/>
      <c r="L1189" s="11"/>
      <c r="M1189" s="41"/>
      <c r="N1189" s="11"/>
    </row>
    <row r="1190" spans="8:14" x14ac:dyDescent="0.25">
      <c r="H1190" s="37"/>
      <c r="I1190" s="79"/>
      <c r="J1190" s="70"/>
      <c r="K1190" s="57"/>
      <c r="L1190" s="11"/>
      <c r="M1190" s="41"/>
      <c r="N1190" s="11"/>
    </row>
    <row r="1191" spans="8:14" x14ac:dyDescent="0.25">
      <c r="H1191" s="37"/>
      <c r="I1191" s="79"/>
      <c r="J1191" s="70"/>
      <c r="K1191" s="57"/>
      <c r="L1191" s="11"/>
      <c r="M1191" s="41"/>
      <c r="N1191" s="11"/>
    </row>
    <row r="1192" spans="8:14" x14ac:dyDescent="0.25">
      <c r="H1192" s="37"/>
      <c r="I1192" s="79"/>
      <c r="J1192" s="70"/>
      <c r="K1192" s="57"/>
      <c r="L1192" s="11"/>
      <c r="M1192" s="41"/>
      <c r="N1192" s="11"/>
    </row>
    <row r="1193" spans="8:14" x14ac:dyDescent="0.25">
      <c r="H1193" s="37"/>
      <c r="I1193" s="79"/>
      <c r="J1193" s="70"/>
      <c r="K1193" s="57"/>
      <c r="L1193" s="11"/>
      <c r="M1193" s="41"/>
      <c r="N1193" s="11"/>
    </row>
    <row r="1194" spans="8:14" x14ac:dyDescent="0.25">
      <c r="H1194" s="37"/>
      <c r="I1194" s="79"/>
      <c r="J1194" s="70"/>
      <c r="K1194" s="57"/>
      <c r="L1194" s="11"/>
      <c r="M1194" s="41"/>
      <c r="N1194" s="11"/>
    </row>
    <row r="1195" spans="8:14" x14ac:dyDescent="0.25">
      <c r="H1195" s="37"/>
      <c r="I1195" s="79"/>
      <c r="J1195" s="70"/>
      <c r="K1195" s="57"/>
      <c r="L1195" s="11"/>
      <c r="M1195" s="41"/>
      <c r="N1195" s="11"/>
    </row>
    <row r="1196" spans="8:14" x14ac:dyDescent="0.25">
      <c r="H1196" s="37"/>
      <c r="I1196" s="79"/>
      <c r="J1196" s="70"/>
      <c r="K1196" s="57"/>
      <c r="L1196" s="11"/>
      <c r="M1196" s="41"/>
      <c r="N1196" s="11"/>
    </row>
    <row r="1197" spans="8:14" x14ac:dyDescent="0.25">
      <c r="H1197" s="37"/>
      <c r="I1197" s="79"/>
      <c r="J1197" s="70"/>
      <c r="K1197" s="57"/>
      <c r="L1197" s="11"/>
      <c r="M1197" s="41"/>
      <c r="N1197" s="11"/>
    </row>
    <row r="1198" spans="8:14" x14ac:dyDescent="0.25">
      <c r="H1198" s="37"/>
      <c r="I1198" s="79"/>
      <c r="J1198" s="70"/>
      <c r="K1198" s="57"/>
      <c r="L1198" s="11"/>
      <c r="M1198" s="41"/>
      <c r="N1198" s="11"/>
    </row>
    <row r="1199" spans="8:14" x14ac:dyDescent="0.25">
      <c r="H1199" s="37"/>
      <c r="I1199" s="79"/>
      <c r="J1199" s="70"/>
      <c r="K1199" s="57"/>
      <c r="L1199" s="11"/>
      <c r="M1199" s="41"/>
      <c r="N1199" s="11"/>
    </row>
    <row r="1200" spans="8:14" x14ac:dyDescent="0.25">
      <c r="H1200" s="37"/>
      <c r="I1200" s="79"/>
      <c r="J1200" s="70"/>
      <c r="K1200" s="57"/>
      <c r="L1200" s="11"/>
      <c r="M1200" s="41"/>
      <c r="N1200" s="11"/>
    </row>
    <row r="1201" spans="8:14" x14ac:dyDescent="0.25">
      <c r="H1201" s="37"/>
      <c r="I1201" s="79"/>
      <c r="J1201" s="70"/>
      <c r="K1201" s="57"/>
      <c r="L1201" s="11"/>
      <c r="M1201" s="41"/>
      <c r="N1201" s="11"/>
    </row>
    <row r="1202" spans="8:14" x14ac:dyDescent="0.25">
      <c r="H1202" s="37"/>
      <c r="I1202" s="79"/>
      <c r="J1202" s="70"/>
      <c r="K1202" s="57"/>
      <c r="L1202" s="11"/>
      <c r="M1202" s="41"/>
      <c r="N1202" s="11"/>
    </row>
    <row r="1203" spans="8:14" x14ac:dyDescent="0.25">
      <c r="H1203" s="37"/>
      <c r="I1203" s="79"/>
      <c r="J1203" s="70"/>
      <c r="K1203" s="57"/>
      <c r="L1203" s="11"/>
      <c r="M1203" s="41"/>
      <c r="N1203" s="11"/>
    </row>
    <row r="1204" spans="8:14" x14ac:dyDescent="0.25">
      <c r="H1204" s="37"/>
      <c r="I1204" s="79"/>
      <c r="J1204" s="70"/>
      <c r="K1204" s="57"/>
      <c r="L1204" s="11"/>
      <c r="M1204" s="41"/>
      <c r="N1204" s="11"/>
    </row>
    <row r="1205" spans="8:14" x14ac:dyDescent="0.25">
      <c r="H1205" s="37"/>
      <c r="I1205" s="79"/>
      <c r="J1205" s="70"/>
      <c r="K1205" s="57"/>
      <c r="L1205" s="11"/>
      <c r="M1205" s="41"/>
      <c r="N1205" s="11"/>
    </row>
    <row r="1206" spans="8:14" x14ac:dyDescent="0.25">
      <c r="H1206" s="37"/>
      <c r="I1206" s="79"/>
      <c r="J1206" s="70"/>
      <c r="K1206" s="57"/>
      <c r="L1206" s="11"/>
      <c r="M1206" s="41"/>
      <c r="N1206" s="11"/>
    </row>
    <row r="1207" spans="8:14" x14ac:dyDescent="0.25">
      <c r="H1207" s="37"/>
      <c r="I1207" s="79"/>
      <c r="J1207" s="70"/>
      <c r="K1207" s="57"/>
      <c r="L1207" s="11"/>
      <c r="M1207" s="41"/>
      <c r="N1207" s="11"/>
    </row>
    <row r="1208" spans="8:14" x14ac:dyDescent="0.25">
      <c r="H1208" s="37"/>
      <c r="I1208" s="79"/>
      <c r="J1208" s="70"/>
      <c r="K1208" s="57"/>
      <c r="L1208" s="11"/>
      <c r="M1208" s="41"/>
      <c r="N1208" s="11"/>
    </row>
    <row r="1209" spans="8:14" x14ac:dyDescent="0.25">
      <c r="H1209" s="37"/>
      <c r="I1209" s="79"/>
      <c r="J1209" s="70"/>
      <c r="K1209" s="57"/>
      <c r="L1209" s="11"/>
      <c r="M1209" s="41"/>
      <c r="N1209" s="11"/>
    </row>
    <row r="1210" spans="8:14" x14ac:dyDescent="0.25">
      <c r="H1210" s="37"/>
      <c r="I1210" s="79"/>
      <c r="J1210" s="70"/>
      <c r="K1210" s="57"/>
      <c r="L1210" s="11"/>
      <c r="M1210" s="41"/>
      <c r="N1210" s="11"/>
    </row>
    <row r="1211" spans="8:14" x14ac:dyDescent="0.25">
      <c r="H1211" s="37"/>
      <c r="I1211" s="79"/>
      <c r="J1211" s="70"/>
      <c r="K1211" s="57"/>
      <c r="L1211" s="11"/>
      <c r="M1211" s="41"/>
      <c r="N1211" s="11"/>
    </row>
    <row r="1212" spans="8:14" x14ac:dyDescent="0.25">
      <c r="H1212" s="37"/>
      <c r="I1212" s="79"/>
      <c r="J1212" s="70"/>
      <c r="K1212" s="57"/>
      <c r="L1212" s="11"/>
      <c r="M1212" s="41"/>
      <c r="N1212" s="11"/>
    </row>
    <row r="1213" spans="8:14" x14ac:dyDescent="0.25">
      <c r="H1213" s="37"/>
      <c r="I1213" s="79"/>
      <c r="J1213" s="70"/>
      <c r="K1213" s="57"/>
      <c r="L1213" s="11"/>
      <c r="M1213" s="41"/>
      <c r="N1213" s="11"/>
    </row>
    <row r="1214" spans="8:14" x14ac:dyDescent="0.25">
      <c r="H1214" s="37"/>
      <c r="I1214" s="79"/>
      <c r="J1214" s="70"/>
      <c r="K1214" s="57"/>
      <c r="L1214" s="11"/>
      <c r="M1214" s="41"/>
      <c r="N1214" s="11"/>
    </row>
    <row r="1215" spans="8:14" x14ac:dyDescent="0.25">
      <c r="H1215" s="37"/>
      <c r="I1215" s="79"/>
      <c r="J1215" s="70"/>
      <c r="K1215" s="57"/>
      <c r="L1215" s="11"/>
      <c r="M1215" s="41"/>
      <c r="N1215" s="11"/>
    </row>
    <row r="1216" spans="8:14" x14ac:dyDescent="0.25">
      <c r="H1216" s="37"/>
      <c r="I1216" s="79"/>
      <c r="J1216" s="70"/>
      <c r="K1216" s="57"/>
      <c r="L1216" s="11"/>
      <c r="M1216" s="41"/>
      <c r="N1216" s="11"/>
    </row>
    <row r="1217" spans="8:14" x14ac:dyDescent="0.25">
      <c r="H1217" s="37"/>
      <c r="I1217" s="79"/>
      <c r="J1217" s="70"/>
      <c r="K1217" s="57"/>
      <c r="L1217" s="11"/>
      <c r="M1217" s="41"/>
      <c r="N1217" s="11"/>
    </row>
    <row r="1218" spans="8:14" x14ac:dyDescent="0.25">
      <c r="H1218" s="37"/>
      <c r="I1218" s="79"/>
      <c r="J1218" s="70"/>
      <c r="K1218" s="57"/>
      <c r="L1218" s="11"/>
      <c r="M1218" s="41"/>
      <c r="N1218" s="11"/>
    </row>
    <row r="1219" spans="8:14" x14ac:dyDescent="0.25">
      <c r="H1219" s="37"/>
      <c r="I1219" s="79"/>
      <c r="J1219" s="70"/>
      <c r="K1219" s="57"/>
      <c r="L1219" s="11"/>
      <c r="M1219" s="41"/>
      <c r="N1219" s="11"/>
    </row>
    <row r="1220" spans="8:14" x14ac:dyDescent="0.25">
      <c r="H1220" s="37"/>
      <c r="I1220" s="79"/>
      <c r="J1220" s="70"/>
      <c r="K1220" s="57"/>
      <c r="L1220" s="11"/>
      <c r="M1220" s="41"/>
      <c r="N1220" s="11"/>
    </row>
    <row r="1221" spans="8:14" x14ac:dyDescent="0.25">
      <c r="H1221" s="37"/>
      <c r="I1221" s="79"/>
      <c r="J1221" s="70"/>
      <c r="K1221" s="57"/>
      <c r="L1221" s="11"/>
      <c r="M1221" s="41"/>
      <c r="N1221" s="11"/>
    </row>
    <row r="1222" spans="8:14" x14ac:dyDescent="0.25">
      <c r="H1222" s="37"/>
      <c r="I1222" s="79"/>
      <c r="J1222" s="70"/>
      <c r="K1222" s="57"/>
      <c r="L1222" s="11"/>
      <c r="M1222" s="41"/>
      <c r="N1222" s="11"/>
    </row>
    <row r="1223" spans="8:14" x14ac:dyDescent="0.25">
      <c r="H1223" s="37"/>
      <c r="I1223" s="79"/>
      <c r="J1223" s="70"/>
      <c r="K1223" s="57"/>
      <c r="L1223" s="11"/>
      <c r="M1223" s="41"/>
      <c r="N1223" s="11"/>
    </row>
    <row r="1224" spans="8:14" x14ac:dyDescent="0.25">
      <c r="H1224" s="37"/>
      <c r="I1224" s="79"/>
      <c r="J1224" s="70"/>
      <c r="K1224" s="57"/>
      <c r="L1224" s="11"/>
      <c r="M1224" s="41"/>
      <c r="N1224" s="11"/>
    </row>
    <row r="1225" spans="8:14" x14ac:dyDescent="0.25">
      <c r="H1225" s="37"/>
      <c r="I1225" s="79"/>
      <c r="J1225" s="70"/>
      <c r="K1225" s="57"/>
      <c r="L1225" s="11"/>
      <c r="M1225" s="41"/>
      <c r="N1225" s="11"/>
    </row>
    <row r="1226" spans="8:14" x14ac:dyDescent="0.25">
      <c r="H1226" s="37"/>
      <c r="I1226" s="79"/>
      <c r="J1226" s="70"/>
      <c r="K1226" s="57"/>
      <c r="L1226" s="11"/>
      <c r="M1226" s="41"/>
      <c r="N1226" s="11"/>
    </row>
    <row r="1227" spans="8:14" x14ac:dyDescent="0.25">
      <c r="H1227" s="37"/>
      <c r="I1227" s="79"/>
      <c r="J1227" s="70"/>
      <c r="K1227" s="57"/>
      <c r="L1227" s="11"/>
      <c r="M1227" s="41"/>
      <c r="N1227" s="11"/>
    </row>
    <row r="1228" spans="8:14" x14ac:dyDescent="0.25">
      <c r="H1228" s="37"/>
      <c r="I1228" s="79"/>
      <c r="J1228" s="70"/>
      <c r="K1228" s="57"/>
      <c r="L1228" s="11"/>
      <c r="M1228" s="41"/>
      <c r="N1228" s="11"/>
    </row>
    <row r="1229" spans="8:14" x14ac:dyDescent="0.25">
      <c r="H1229" s="37"/>
      <c r="I1229" s="79"/>
      <c r="J1229" s="70"/>
      <c r="K1229" s="57"/>
      <c r="L1229" s="11"/>
      <c r="M1229" s="41"/>
      <c r="N1229" s="11"/>
    </row>
    <row r="1230" spans="8:14" x14ac:dyDescent="0.25">
      <c r="H1230" s="37"/>
      <c r="I1230" s="79"/>
      <c r="J1230" s="70"/>
      <c r="K1230" s="57"/>
      <c r="L1230" s="11"/>
      <c r="M1230" s="41"/>
      <c r="N1230" s="11"/>
    </row>
    <row r="1231" spans="8:14" x14ac:dyDescent="0.25">
      <c r="H1231" s="37"/>
      <c r="I1231" s="79"/>
      <c r="J1231" s="70"/>
      <c r="K1231" s="57"/>
      <c r="L1231" s="11"/>
      <c r="M1231" s="41"/>
      <c r="N1231" s="11"/>
    </row>
    <row r="1232" spans="8:14" x14ac:dyDescent="0.25">
      <c r="H1232" s="37"/>
      <c r="I1232" s="79"/>
      <c r="J1232" s="70"/>
      <c r="K1232" s="57"/>
      <c r="L1232" s="11"/>
      <c r="M1232" s="41"/>
      <c r="N1232" s="11"/>
    </row>
    <row r="1233" spans="8:14" x14ac:dyDescent="0.25">
      <c r="H1233" s="37"/>
      <c r="I1233" s="79"/>
      <c r="J1233" s="70"/>
      <c r="K1233" s="57"/>
      <c r="L1233" s="11"/>
      <c r="M1233" s="41"/>
      <c r="N1233" s="11"/>
    </row>
    <row r="1234" spans="8:14" x14ac:dyDescent="0.25">
      <c r="H1234" s="37"/>
      <c r="I1234" s="79"/>
      <c r="J1234" s="70"/>
      <c r="K1234" s="57"/>
      <c r="L1234" s="11"/>
      <c r="M1234" s="41"/>
      <c r="N1234" s="11"/>
    </row>
    <row r="1235" spans="8:14" x14ac:dyDescent="0.25">
      <c r="H1235" s="37"/>
      <c r="I1235" s="79"/>
      <c r="J1235" s="70"/>
      <c r="K1235" s="57"/>
      <c r="L1235" s="11"/>
      <c r="M1235" s="41"/>
      <c r="N1235" s="11"/>
    </row>
    <row r="1236" spans="8:14" x14ac:dyDescent="0.25">
      <c r="H1236" s="37"/>
      <c r="I1236" s="79"/>
      <c r="J1236" s="70"/>
      <c r="K1236" s="57"/>
      <c r="L1236" s="11"/>
      <c r="M1236" s="41"/>
      <c r="N1236" s="11"/>
    </row>
    <row r="1237" spans="8:14" x14ac:dyDescent="0.25">
      <c r="H1237" s="37"/>
      <c r="I1237" s="79"/>
      <c r="J1237" s="70"/>
      <c r="K1237" s="57"/>
      <c r="L1237" s="11"/>
      <c r="M1237" s="41"/>
      <c r="N1237" s="11"/>
    </row>
    <row r="1238" spans="8:14" x14ac:dyDescent="0.25">
      <c r="H1238" s="37"/>
      <c r="I1238" s="79"/>
      <c r="J1238" s="70"/>
      <c r="K1238" s="57"/>
      <c r="L1238" s="11"/>
      <c r="M1238" s="41"/>
      <c r="N1238" s="11"/>
    </row>
    <row r="1239" spans="8:14" x14ac:dyDescent="0.25">
      <c r="H1239" s="37"/>
      <c r="I1239" s="79"/>
      <c r="J1239" s="70"/>
      <c r="K1239" s="57"/>
      <c r="L1239" s="11"/>
      <c r="M1239" s="41"/>
      <c r="N1239" s="11"/>
    </row>
    <row r="1240" spans="8:14" x14ac:dyDescent="0.25">
      <c r="H1240" s="37"/>
      <c r="I1240" s="79"/>
      <c r="J1240" s="70"/>
      <c r="K1240" s="57"/>
      <c r="L1240" s="11"/>
      <c r="M1240" s="41"/>
      <c r="N1240" s="11"/>
    </row>
    <row r="1241" spans="8:14" x14ac:dyDescent="0.25">
      <c r="H1241" s="37"/>
      <c r="I1241" s="79"/>
      <c r="J1241" s="70"/>
      <c r="K1241" s="57"/>
      <c r="L1241" s="11"/>
      <c r="M1241" s="41"/>
      <c r="N1241" s="11"/>
    </row>
    <row r="1242" spans="8:14" x14ac:dyDescent="0.25">
      <c r="H1242" s="37"/>
      <c r="I1242" s="79"/>
      <c r="J1242" s="70"/>
      <c r="K1242" s="57"/>
      <c r="L1242" s="11"/>
      <c r="M1242" s="41"/>
      <c r="N1242" s="11"/>
    </row>
    <row r="1243" spans="8:14" x14ac:dyDescent="0.25">
      <c r="H1243" s="37"/>
      <c r="I1243" s="79"/>
      <c r="J1243" s="70"/>
      <c r="K1243" s="57"/>
      <c r="L1243" s="11"/>
      <c r="M1243" s="41"/>
      <c r="N1243" s="11"/>
    </row>
    <row r="1244" spans="8:14" x14ac:dyDescent="0.25">
      <c r="H1244" s="37"/>
      <c r="I1244" s="79"/>
      <c r="J1244" s="70"/>
      <c r="K1244" s="57"/>
      <c r="L1244" s="11"/>
      <c r="M1244" s="41"/>
      <c r="N1244" s="11"/>
    </row>
    <row r="1245" spans="8:14" x14ac:dyDescent="0.25">
      <c r="H1245" s="37"/>
      <c r="I1245" s="79"/>
      <c r="J1245" s="70"/>
      <c r="K1245" s="57"/>
      <c r="L1245" s="11"/>
      <c r="M1245" s="41"/>
      <c r="N1245" s="11"/>
    </row>
    <row r="1246" spans="8:14" x14ac:dyDescent="0.25">
      <c r="H1246" s="37"/>
      <c r="I1246" s="79"/>
      <c r="J1246" s="70"/>
      <c r="K1246" s="57"/>
      <c r="L1246" s="11"/>
      <c r="M1246" s="41"/>
      <c r="N1246" s="11"/>
    </row>
    <row r="1247" spans="8:14" x14ac:dyDescent="0.25">
      <c r="H1247" s="37"/>
      <c r="I1247" s="79"/>
      <c r="J1247" s="70"/>
      <c r="K1247" s="57"/>
      <c r="L1247" s="11"/>
      <c r="M1247" s="41"/>
      <c r="N1247" s="11"/>
    </row>
    <row r="1248" spans="8:14" x14ac:dyDescent="0.25">
      <c r="H1248" s="37"/>
      <c r="I1248" s="79"/>
      <c r="J1248" s="70"/>
      <c r="K1248" s="57"/>
      <c r="L1248" s="11"/>
      <c r="M1248" s="41"/>
      <c r="N1248" s="11"/>
    </row>
    <row r="1249" spans="8:14" x14ac:dyDescent="0.25">
      <c r="H1249" s="37"/>
      <c r="I1249" s="79"/>
      <c r="J1249" s="70"/>
      <c r="K1249" s="57"/>
      <c r="L1249" s="11"/>
      <c r="M1249" s="41"/>
      <c r="N1249" s="11"/>
    </row>
    <row r="1250" spans="8:14" x14ac:dyDescent="0.25">
      <c r="H1250" s="37"/>
      <c r="I1250" s="79"/>
      <c r="J1250" s="70"/>
      <c r="K1250" s="57"/>
      <c r="L1250" s="11"/>
      <c r="M1250" s="41"/>
      <c r="N1250" s="11"/>
    </row>
    <row r="1251" spans="8:14" x14ac:dyDescent="0.25">
      <c r="H1251" s="37"/>
      <c r="I1251" s="79"/>
      <c r="J1251" s="70"/>
      <c r="K1251" s="57"/>
      <c r="L1251" s="11"/>
      <c r="M1251" s="41"/>
      <c r="N1251" s="11"/>
    </row>
    <row r="1252" spans="8:14" x14ac:dyDescent="0.25">
      <c r="H1252" s="37"/>
      <c r="I1252" s="79"/>
      <c r="J1252" s="70"/>
      <c r="K1252" s="57"/>
      <c r="L1252" s="11"/>
      <c r="M1252" s="41"/>
      <c r="N1252" s="11"/>
    </row>
    <row r="1253" spans="8:14" x14ac:dyDescent="0.25">
      <c r="H1253" s="37"/>
      <c r="I1253" s="79"/>
      <c r="J1253" s="70"/>
      <c r="K1253" s="57"/>
      <c r="L1253" s="11"/>
      <c r="M1253" s="41"/>
      <c r="N1253" s="11"/>
    </row>
    <row r="1254" spans="8:14" x14ac:dyDescent="0.25">
      <c r="H1254" s="37"/>
      <c r="I1254" s="79"/>
      <c r="J1254" s="70"/>
      <c r="K1254" s="57"/>
      <c r="L1254" s="11"/>
      <c r="M1254" s="41"/>
      <c r="N1254" s="11"/>
    </row>
    <row r="1255" spans="8:14" x14ac:dyDescent="0.25">
      <c r="H1255" s="37"/>
      <c r="I1255" s="79"/>
      <c r="J1255" s="70"/>
      <c r="K1255" s="57"/>
      <c r="L1255" s="11"/>
      <c r="M1255" s="41"/>
      <c r="N1255" s="11"/>
    </row>
    <row r="1256" spans="8:14" x14ac:dyDescent="0.25">
      <c r="H1256" s="37"/>
      <c r="I1256" s="79"/>
      <c r="J1256" s="70"/>
      <c r="K1256" s="57"/>
      <c r="L1256" s="11"/>
      <c r="M1256" s="41"/>
      <c r="N1256" s="11"/>
    </row>
    <row r="1257" spans="8:14" x14ac:dyDescent="0.25">
      <c r="H1257" s="37"/>
      <c r="I1257" s="79"/>
      <c r="J1257" s="70"/>
      <c r="K1257" s="57"/>
      <c r="L1257" s="11"/>
      <c r="M1257" s="41"/>
      <c r="N1257" s="11"/>
    </row>
    <row r="1258" spans="8:14" x14ac:dyDescent="0.25">
      <c r="H1258" s="37"/>
      <c r="I1258" s="79"/>
      <c r="J1258" s="70"/>
      <c r="K1258" s="57"/>
      <c r="L1258" s="11"/>
      <c r="M1258" s="41"/>
      <c r="N1258" s="11"/>
    </row>
    <row r="1259" spans="8:14" x14ac:dyDescent="0.25">
      <c r="H1259" s="37"/>
      <c r="I1259" s="79"/>
      <c r="J1259" s="70"/>
      <c r="K1259" s="57"/>
      <c r="L1259" s="11"/>
      <c r="M1259" s="41"/>
      <c r="N1259" s="11"/>
    </row>
    <row r="1260" spans="8:14" x14ac:dyDescent="0.25">
      <c r="H1260" s="37"/>
      <c r="I1260" s="79"/>
      <c r="J1260" s="70"/>
      <c r="K1260" s="57"/>
      <c r="L1260" s="11"/>
      <c r="M1260" s="41"/>
      <c r="N1260" s="11"/>
    </row>
    <row r="1261" spans="8:14" x14ac:dyDescent="0.25">
      <c r="H1261" s="37"/>
      <c r="I1261" s="79"/>
      <c r="J1261" s="70"/>
      <c r="K1261" s="57"/>
      <c r="L1261" s="11"/>
      <c r="M1261" s="41"/>
      <c r="N1261" s="11"/>
    </row>
    <row r="1262" spans="8:14" x14ac:dyDescent="0.25">
      <c r="H1262" s="37"/>
      <c r="I1262" s="79"/>
      <c r="J1262" s="70"/>
      <c r="K1262" s="57"/>
      <c r="L1262" s="11"/>
      <c r="M1262" s="41"/>
      <c r="N1262" s="11"/>
    </row>
    <row r="1263" spans="8:14" x14ac:dyDescent="0.25">
      <c r="H1263" s="37"/>
      <c r="I1263" s="79"/>
      <c r="J1263" s="70"/>
      <c r="K1263" s="57"/>
      <c r="L1263" s="11"/>
      <c r="M1263" s="41"/>
      <c r="N1263" s="11"/>
    </row>
    <row r="1264" spans="8:14" x14ac:dyDescent="0.25">
      <c r="H1264" s="37"/>
      <c r="I1264" s="79"/>
      <c r="J1264" s="70"/>
      <c r="K1264" s="57"/>
      <c r="L1264" s="11"/>
      <c r="M1264" s="41"/>
      <c r="N1264" s="11"/>
    </row>
    <row r="1265" spans="8:14" x14ac:dyDescent="0.25">
      <c r="H1265" s="37"/>
      <c r="I1265" s="79"/>
      <c r="J1265" s="70"/>
      <c r="K1265" s="57"/>
      <c r="L1265" s="11"/>
      <c r="M1265" s="41"/>
      <c r="N1265" s="11"/>
    </row>
    <row r="1266" spans="8:14" x14ac:dyDescent="0.25">
      <c r="H1266" s="37"/>
      <c r="I1266" s="79"/>
      <c r="J1266" s="70"/>
      <c r="K1266" s="57"/>
      <c r="L1266" s="11"/>
      <c r="M1266" s="41"/>
      <c r="N1266" s="11"/>
    </row>
    <row r="1267" spans="8:14" x14ac:dyDescent="0.25">
      <c r="H1267" s="37"/>
      <c r="I1267" s="79"/>
      <c r="J1267" s="70"/>
      <c r="K1267" s="57"/>
      <c r="L1267" s="11"/>
      <c r="M1267" s="41"/>
      <c r="N1267" s="11"/>
    </row>
    <row r="1268" spans="8:14" x14ac:dyDescent="0.25">
      <c r="H1268" s="37"/>
      <c r="I1268" s="79"/>
      <c r="J1268" s="70"/>
      <c r="K1268" s="57"/>
      <c r="L1268" s="11"/>
      <c r="M1268" s="41"/>
      <c r="N1268" s="11"/>
    </row>
    <row r="1269" spans="8:14" x14ac:dyDescent="0.25">
      <c r="H1269" s="37"/>
      <c r="I1269" s="79"/>
      <c r="J1269" s="70"/>
      <c r="K1269" s="57"/>
      <c r="L1269" s="11"/>
      <c r="M1269" s="41"/>
      <c r="N1269" s="11"/>
    </row>
    <row r="1270" spans="8:14" x14ac:dyDescent="0.25">
      <c r="H1270" s="37"/>
      <c r="I1270" s="79"/>
      <c r="J1270" s="70"/>
      <c r="K1270" s="57"/>
      <c r="L1270" s="11"/>
      <c r="M1270" s="41"/>
      <c r="N1270" s="11"/>
    </row>
    <row r="1271" spans="8:14" x14ac:dyDescent="0.25">
      <c r="H1271" s="37"/>
      <c r="I1271" s="79"/>
      <c r="J1271" s="70"/>
      <c r="K1271" s="57"/>
      <c r="L1271" s="11"/>
      <c r="M1271" s="41"/>
      <c r="N1271" s="11"/>
    </row>
    <row r="1272" spans="8:14" x14ac:dyDescent="0.25">
      <c r="H1272" s="37"/>
      <c r="I1272" s="79"/>
      <c r="J1272" s="70"/>
      <c r="K1272" s="57"/>
      <c r="L1272" s="11"/>
      <c r="M1272" s="41"/>
      <c r="N1272" s="11"/>
    </row>
    <row r="1273" spans="8:14" x14ac:dyDescent="0.25">
      <c r="H1273" s="37"/>
      <c r="I1273" s="79"/>
      <c r="J1273" s="70"/>
      <c r="K1273" s="57"/>
      <c r="L1273" s="11"/>
      <c r="M1273" s="41"/>
      <c r="N1273" s="11"/>
    </row>
    <row r="1274" spans="8:14" x14ac:dyDescent="0.25">
      <c r="H1274" s="37"/>
      <c r="I1274" s="79"/>
      <c r="J1274" s="70"/>
      <c r="K1274" s="57"/>
      <c r="L1274" s="11"/>
      <c r="M1274" s="41"/>
      <c r="N1274" s="11"/>
    </row>
    <row r="1275" spans="8:14" x14ac:dyDescent="0.25">
      <c r="H1275" s="37"/>
      <c r="I1275" s="79"/>
      <c r="J1275" s="70"/>
      <c r="K1275" s="57"/>
      <c r="L1275" s="11"/>
      <c r="M1275" s="41"/>
      <c r="N1275" s="11"/>
    </row>
    <row r="1276" spans="8:14" x14ac:dyDescent="0.25">
      <c r="H1276" s="37"/>
      <c r="I1276" s="79"/>
      <c r="J1276" s="70"/>
      <c r="K1276" s="57"/>
      <c r="L1276" s="11"/>
      <c r="M1276" s="41"/>
      <c r="N1276" s="11"/>
    </row>
    <row r="1277" spans="8:14" x14ac:dyDescent="0.25">
      <c r="H1277" s="37"/>
      <c r="I1277" s="79"/>
      <c r="J1277" s="70"/>
      <c r="K1277" s="57"/>
      <c r="L1277" s="11"/>
      <c r="M1277" s="41"/>
      <c r="N1277" s="11"/>
    </row>
    <row r="1278" spans="8:14" x14ac:dyDescent="0.25">
      <c r="H1278" s="37"/>
      <c r="I1278" s="79"/>
      <c r="J1278" s="70"/>
      <c r="K1278" s="57"/>
      <c r="L1278" s="11"/>
      <c r="M1278" s="41"/>
      <c r="N1278" s="11"/>
    </row>
    <row r="1279" spans="8:14" x14ac:dyDescent="0.25">
      <c r="H1279" s="37"/>
      <c r="I1279" s="79"/>
      <c r="J1279" s="70"/>
      <c r="K1279" s="57"/>
      <c r="L1279" s="11"/>
      <c r="M1279" s="41"/>
      <c r="N1279" s="11"/>
    </row>
    <row r="1280" spans="8:14" x14ac:dyDescent="0.25">
      <c r="H1280" s="37"/>
      <c r="I1280" s="79"/>
      <c r="J1280" s="70"/>
      <c r="K1280" s="57"/>
      <c r="L1280" s="11"/>
      <c r="M1280" s="41"/>
      <c r="N1280" s="11"/>
    </row>
    <row r="1281" spans="8:14" x14ac:dyDescent="0.25">
      <c r="H1281" s="37"/>
      <c r="I1281" s="79"/>
      <c r="J1281" s="70"/>
      <c r="K1281" s="57"/>
      <c r="L1281" s="11"/>
      <c r="M1281" s="41"/>
      <c r="N1281" s="11"/>
    </row>
    <row r="1282" spans="8:14" x14ac:dyDescent="0.25">
      <c r="H1282" s="37"/>
      <c r="I1282" s="79"/>
      <c r="J1282" s="70"/>
      <c r="K1282" s="57"/>
      <c r="L1282" s="11"/>
      <c r="M1282" s="41"/>
      <c r="N1282" s="11"/>
    </row>
    <row r="1283" spans="8:14" x14ac:dyDescent="0.25">
      <c r="H1283" s="37"/>
      <c r="I1283" s="79"/>
      <c r="J1283" s="70"/>
      <c r="K1283" s="57"/>
      <c r="L1283" s="11"/>
      <c r="M1283" s="41"/>
      <c r="N1283" s="11"/>
    </row>
    <row r="1284" spans="8:14" x14ac:dyDescent="0.25">
      <c r="H1284" s="37"/>
      <c r="I1284" s="79"/>
      <c r="J1284" s="70"/>
      <c r="K1284" s="57"/>
      <c r="L1284" s="11"/>
      <c r="M1284" s="41"/>
      <c r="N1284" s="11"/>
    </row>
    <row r="1285" spans="8:14" x14ac:dyDescent="0.25">
      <c r="H1285" s="37"/>
      <c r="I1285" s="79"/>
      <c r="J1285" s="70"/>
      <c r="K1285" s="57"/>
      <c r="L1285" s="11"/>
      <c r="M1285" s="41"/>
      <c r="N1285" s="11"/>
    </row>
    <row r="1286" spans="8:14" x14ac:dyDescent="0.25">
      <c r="H1286" s="37"/>
      <c r="I1286" s="79"/>
      <c r="J1286" s="70"/>
      <c r="K1286" s="57"/>
      <c r="L1286" s="11"/>
      <c r="M1286" s="41"/>
      <c r="N1286" s="11"/>
    </row>
    <row r="1287" spans="8:14" x14ac:dyDescent="0.25">
      <c r="H1287" s="37"/>
      <c r="I1287" s="79"/>
      <c r="J1287" s="70"/>
      <c r="K1287" s="57"/>
      <c r="L1287" s="11"/>
      <c r="M1287" s="41"/>
      <c r="N1287" s="11"/>
    </row>
    <row r="1288" spans="8:14" x14ac:dyDescent="0.25">
      <c r="H1288" s="37"/>
      <c r="I1288" s="79"/>
      <c r="J1288" s="70"/>
      <c r="K1288" s="57"/>
      <c r="L1288" s="11"/>
      <c r="M1288" s="41"/>
      <c r="N1288" s="11"/>
    </row>
    <row r="1289" spans="8:14" x14ac:dyDescent="0.25">
      <c r="H1289" s="37"/>
      <c r="I1289" s="79"/>
      <c r="J1289" s="70"/>
      <c r="K1289" s="57"/>
      <c r="L1289" s="11"/>
      <c r="M1289" s="41"/>
      <c r="N1289" s="11"/>
    </row>
    <row r="1290" spans="8:14" x14ac:dyDescent="0.25">
      <c r="H1290" s="37"/>
      <c r="I1290" s="79"/>
      <c r="J1290" s="70"/>
      <c r="K1290" s="57"/>
      <c r="L1290" s="11"/>
      <c r="M1290" s="41"/>
      <c r="N1290" s="11"/>
    </row>
    <row r="1291" spans="8:14" x14ac:dyDescent="0.25">
      <c r="H1291" s="37"/>
      <c r="I1291" s="79"/>
      <c r="J1291" s="70"/>
      <c r="K1291" s="57"/>
      <c r="L1291" s="11"/>
      <c r="M1291" s="41"/>
      <c r="N1291" s="11"/>
    </row>
    <row r="1292" spans="8:14" x14ac:dyDescent="0.25">
      <c r="H1292" s="37"/>
      <c r="I1292" s="79"/>
      <c r="J1292" s="70"/>
      <c r="K1292" s="57"/>
      <c r="L1292" s="11"/>
      <c r="M1292" s="41"/>
      <c r="N1292" s="11"/>
    </row>
    <row r="1293" spans="8:14" x14ac:dyDescent="0.25">
      <c r="H1293" s="37"/>
      <c r="I1293" s="79"/>
      <c r="J1293" s="70"/>
      <c r="K1293" s="57"/>
      <c r="L1293" s="11"/>
      <c r="M1293" s="41"/>
      <c r="N1293" s="11"/>
    </row>
    <row r="1294" spans="8:14" x14ac:dyDescent="0.25">
      <c r="H1294" s="37"/>
      <c r="I1294" s="79"/>
      <c r="J1294" s="70"/>
      <c r="K1294" s="57"/>
      <c r="L1294" s="11"/>
      <c r="M1294" s="41"/>
      <c r="N1294" s="11"/>
    </row>
    <row r="1295" spans="8:14" x14ac:dyDescent="0.25">
      <c r="H1295" s="37"/>
      <c r="I1295" s="79"/>
      <c r="J1295" s="70"/>
      <c r="K1295" s="57"/>
      <c r="L1295" s="11"/>
      <c r="M1295" s="41"/>
      <c r="N1295" s="11"/>
    </row>
    <row r="1296" spans="8:14" x14ac:dyDescent="0.25">
      <c r="H1296" s="37"/>
      <c r="I1296" s="79"/>
      <c r="J1296" s="70"/>
      <c r="K1296" s="57"/>
      <c r="L1296" s="11"/>
      <c r="M1296" s="41"/>
      <c r="N1296" s="11"/>
    </row>
    <row r="1297" spans="8:14" x14ac:dyDescent="0.25">
      <c r="H1297" s="37"/>
      <c r="I1297" s="79"/>
      <c r="J1297" s="70"/>
      <c r="K1297" s="57"/>
      <c r="L1297" s="11"/>
      <c r="M1297" s="41"/>
      <c r="N1297" s="11"/>
    </row>
    <row r="1298" spans="8:14" x14ac:dyDescent="0.25">
      <c r="H1298" s="37"/>
      <c r="I1298" s="79"/>
      <c r="J1298" s="70"/>
      <c r="K1298" s="57"/>
      <c r="L1298" s="11"/>
      <c r="M1298" s="41"/>
      <c r="N1298" s="11"/>
    </row>
    <row r="1299" spans="8:14" x14ac:dyDescent="0.25">
      <c r="H1299" s="37"/>
      <c r="I1299" s="79"/>
      <c r="J1299" s="70"/>
      <c r="K1299" s="57"/>
      <c r="L1299" s="11"/>
      <c r="M1299" s="41"/>
      <c r="N1299" s="11"/>
    </row>
    <row r="1300" spans="8:14" x14ac:dyDescent="0.25">
      <c r="H1300" s="37"/>
      <c r="I1300" s="79"/>
      <c r="J1300" s="70"/>
      <c r="K1300" s="57"/>
      <c r="L1300" s="11"/>
      <c r="M1300" s="41"/>
      <c r="N1300" s="11"/>
    </row>
    <row r="1301" spans="8:14" x14ac:dyDescent="0.25">
      <c r="H1301" s="37"/>
      <c r="I1301" s="79"/>
      <c r="J1301" s="70"/>
      <c r="K1301" s="57"/>
      <c r="L1301" s="11"/>
      <c r="M1301" s="41"/>
      <c r="N1301" s="11"/>
    </row>
    <row r="1302" spans="8:14" x14ac:dyDescent="0.25">
      <c r="H1302" s="37"/>
      <c r="I1302" s="79"/>
      <c r="J1302" s="70"/>
      <c r="K1302" s="57"/>
      <c r="L1302" s="11"/>
      <c r="M1302" s="41"/>
      <c r="N1302" s="11"/>
    </row>
    <row r="1303" spans="8:14" x14ac:dyDescent="0.25">
      <c r="H1303" s="37"/>
      <c r="I1303" s="79"/>
      <c r="J1303" s="70"/>
      <c r="K1303" s="57"/>
      <c r="L1303" s="11"/>
      <c r="M1303" s="41"/>
      <c r="N1303" s="11"/>
    </row>
    <row r="1304" spans="8:14" x14ac:dyDescent="0.25">
      <c r="H1304" s="37"/>
      <c r="I1304" s="79"/>
      <c r="J1304" s="70"/>
      <c r="K1304" s="57"/>
      <c r="L1304" s="11"/>
      <c r="M1304" s="41"/>
      <c r="N1304" s="11"/>
    </row>
    <row r="1305" spans="8:14" x14ac:dyDescent="0.25">
      <c r="H1305" s="37"/>
      <c r="I1305" s="79"/>
      <c r="J1305" s="70"/>
      <c r="K1305" s="57"/>
      <c r="L1305" s="11"/>
      <c r="M1305" s="41"/>
      <c r="N1305" s="11"/>
    </row>
    <row r="1306" spans="8:14" x14ac:dyDescent="0.25">
      <c r="H1306" s="37"/>
      <c r="I1306" s="79"/>
      <c r="J1306" s="70"/>
      <c r="K1306" s="57"/>
      <c r="L1306" s="11"/>
      <c r="M1306" s="41"/>
      <c r="N1306" s="11"/>
    </row>
    <row r="1307" spans="8:14" x14ac:dyDescent="0.25">
      <c r="H1307" s="37"/>
      <c r="I1307" s="79"/>
      <c r="J1307" s="70"/>
      <c r="K1307" s="57"/>
      <c r="L1307" s="11"/>
      <c r="M1307" s="41"/>
      <c r="N1307" s="11"/>
    </row>
    <row r="1308" spans="8:14" x14ac:dyDescent="0.25">
      <c r="H1308" s="37"/>
      <c r="I1308" s="79"/>
      <c r="J1308" s="70"/>
      <c r="K1308" s="57"/>
      <c r="L1308" s="11"/>
      <c r="M1308" s="41"/>
      <c r="N1308" s="11"/>
    </row>
    <row r="1309" spans="8:14" x14ac:dyDescent="0.25">
      <c r="H1309" s="37"/>
      <c r="I1309" s="79"/>
      <c r="J1309" s="70"/>
      <c r="K1309" s="57"/>
      <c r="L1309" s="11"/>
      <c r="M1309" s="41"/>
      <c r="N1309" s="11"/>
    </row>
    <row r="1310" spans="8:14" x14ac:dyDescent="0.25">
      <c r="H1310" s="37"/>
      <c r="I1310" s="79"/>
      <c r="J1310" s="70"/>
      <c r="K1310" s="57"/>
      <c r="L1310" s="11"/>
      <c r="M1310" s="41"/>
      <c r="N1310" s="11"/>
    </row>
    <row r="1311" spans="8:14" x14ac:dyDescent="0.25">
      <c r="H1311" s="37"/>
      <c r="I1311" s="79"/>
      <c r="J1311" s="70"/>
      <c r="K1311" s="57"/>
      <c r="L1311" s="11"/>
      <c r="M1311" s="41"/>
      <c r="N1311" s="11"/>
    </row>
    <row r="1312" spans="8:14" x14ac:dyDescent="0.25">
      <c r="H1312" s="37"/>
      <c r="I1312" s="79"/>
      <c r="J1312" s="70"/>
      <c r="K1312" s="57"/>
      <c r="L1312" s="11"/>
      <c r="M1312" s="41"/>
      <c r="N1312" s="11"/>
    </row>
    <row r="1313" spans="8:14" x14ac:dyDescent="0.25">
      <c r="H1313" s="37"/>
      <c r="I1313" s="79"/>
      <c r="J1313" s="70"/>
      <c r="K1313" s="57"/>
      <c r="L1313" s="11"/>
      <c r="M1313" s="41"/>
      <c r="N1313" s="11"/>
    </row>
    <row r="1314" spans="8:14" x14ac:dyDescent="0.25">
      <c r="H1314" s="37"/>
      <c r="I1314" s="79"/>
      <c r="J1314" s="70"/>
      <c r="K1314" s="57"/>
      <c r="L1314" s="11"/>
      <c r="M1314" s="41"/>
      <c r="N1314" s="11"/>
    </row>
    <row r="1315" spans="8:14" x14ac:dyDescent="0.25">
      <c r="H1315" s="37"/>
      <c r="I1315" s="79"/>
      <c r="J1315" s="70"/>
      <c r="K1315" s="57"/>
      <c r="L1315" s="11"/>
      <c r="M1315" s="41"/>
      <c r="N1315" s="11"/>
    </row>
    <row r="1316" spans="8:14" x14ac:dyDescent="0.25">
      <c r="H1316" s="37"/>
      <c r="I1316" s="79"/>
      <c r="J1316" s="70"/>
      <c r="K1316" s="57"/>
      <c r="L1316" s="11"/>
      <c r="M1316" s="41"/>
      <c r="N1316" s="11"/>
    </row>
    <row r="1317" spans="8:14" x14ac:dyDescent="0.25">
      <c r="H1317" s="37"/>
      <c r="I1317" s="79"/>
      <c r="J1317" s="70"/>
      <c r="K1317" s="57"/>
      <c r="L1317" s="11"/>
      <c r="M1317" s="41"/>
      <c r="N1317" s="11"/>
    </row>
    <row r="1318" spans="8:14" x14ac:dyDescent="0.25">
      <c r="H1318" s="37"/>
      <c r="I1318" s="79"/>
      <c r="J1318" s="70"/>
      <c r="K1318" s="57"/>
      <c r="L1318" s="11"/>
      <c r="M1318" s="41"/>
      <c r="N1318" s="11"/>
    </row>
    <row r="1319" spans="8:14" x14ac:dyDescent="0.25">
      <c r="H1319" s="37"/>
      <c r="I1319" s="79"/>
      <c r="J1319" s="70"/>
      <c r="K1319" s="57"/>
      <c r="L1319" s="11"/>
      <c r="M1319" s="41"/>
      <c r="N1319" s="11"/>
    </row>
    <row r="1320" spans="8:14" x14ac:dyDescent="0.25">
      <c r="H1320" s="37"/>
      <c r="I1320" s="79"/>
      <c r="J1320" s="70"/>
      <c r="K1320" s="57"/>
      <c r="L1320" s="11"/>
      <c r="M1320" s="41"/>
      <c r="N1320" s="11"/>
    </row>
    <row r="1321" spans="8:14" x14ac:dyDescent="0.25">
      <c r="H1321" s="37"/>
      <c r="I1321" s="79"/>
      <c r="J1321" s="70"/>
      <c r="K1321" s="57"/>
      <c r="L1321" s="11"/>
      <c r="M1321" s="41"/>
      <c r="N1321" s="11"/>
    </row>
    <row r="1322" spans="8:14" x14ac:dyDescent="0.25">
      <c r="H1322" s="37"/>
      <c r="I1322" s="79"/>
      <c r="J1322" s="70"/>
      <c r="K1322" s="57"/>
      <c r="L1322" s="11"/>
      <c r="M1322" s="41"/>
      <c r="N1322" s="11"/>
    </row>
    <row r="1323" spans="8:14" x14ac:dyDescent="0.25">
      <c r="H1323" s="37"/>
      <c r="I1323" s="79"/>
      <c r="J1323" s="70"/>
      <c r="K1323" s="57"/>
      <c r="L1323" s="11"/>
      <c r="M1323" s="41"/>
      <c r="N1323" s="11"/>
    </row>
    <row r="1324" spans="8:14" x14ac:dyDescent="0.25">
      <c r="H1324" s="37"/>
      <c r="I1324" s="79"/>
      <c r="J1324" s="70"/>
      <c r="K1324" s="57"/>
      <c r="L1324" s="11"/>
      <c r="M1324" s="41"/>
      <c r="N1324" s="11"/>
    </row>
    <row r="1325" spans="8:14" x14ac:dyDescent="0.25">
      <c r="H1325" s="37"/>
      <c r="I1325" s="79"/>
      <c r="J1325" s="70"/>
      <c r="K1325" s="57"/>
      <c r="L1325" s="11"/>
      <c r="M1325" s="41"/>
      <c r="N1325" s="11"/>
    </row>
    <row r="1326" spans="8:14" x14ac:dyDescent="0.25">
      <c r="H1326" s="37"/>
      <c r="I1326" s="79"/>
      <c r="J1326" s="70"/>
      <c r="K1326" s="57"/>
      <c r="L1326" s="11"/>
      <c r="M1326" s="41"/>
      <c r="N1326" s="11"/>
    </row>
    <row r="1327" spans="8:14" x14ac:dyDescent="0.25">
      <c r="H1327" s="37"/>
      <c r="I1327" s="79"/>
      <c r="J1327" s="70"/>
      <c r="K1327" s="57"/>
      <c r="L1327" s="11"/>
      <c r="M1327" s="41"/>
      <c r="N1327" s="11"/>
    </row>
    <row r="1328" spans="8:14" x14ac:dyDescent="0.25">
      <c r="H1328" s="37"/>
      <c r="I1328" s="79"/>
      <c r="J1328" s="70"/>
      <c r="K1328" s="57"/>
      <c r="L1328" s="11"/>
      <c r="M1328" s="41"/>
      <c r="N1328" s="11"/>
    </row>
    <row r="1329" spans="8:14" x14ac:dyDescent="0.25">
      <c r="H1329" s="37"/>
      <c r="I1329" s="79"/>
      <c r="J1329" s="70"/>
      <c r="K1329" s="57"/>
      <c r="L1329" s="11"/>
      <c r="M1329" s="41"/>
      <c r="N1329" s="11"/>
    </row>
    <row r="1330" spans="8:14" x14ac:dyDescent="0.25">
      <c r="H1330" s="37"/>
      <c r="I1330" s="79"/>
      <c r="J1330" s="70"/>
      <c r="K1330" s="57"/>
      <c r="L1330" s="11"/>
      <c r="M1330" s="41"/>
      <c r="N1330" s="11"/>
    </row>
    <row r="1331" spans="8:14" x14ac:dyDescent="0.25">
      <c r="H1331" s="37"/>
      <c r="I1331" s="79"/>
      <c r="J1331" s="70"/>
      <c r="K1331" s="57"/>
      <c r="L1331" s="11"/>
      <c r="M1331" s="41"/>
      <c r="N1331" s="11"/>
    </row>
    <row r="1332" spans="8:14" x14ac:dyDescent="0.25">
      <c r="H1332" s="37"/>
      <c r="I1332" s="79"/>
      <c r="J1332" s="70"/>
      <c r="K1332" s="57"/>
      <c r="L1332" s="11"/>
      <c r="M1332" s="41"/>
      <c r="N1332" s="11"/>
    </row>
    <row r="1333" spans="8:14" x14ac:dyDescent="0.25">
      <c r="H1333" s="37"/>
      <c r="I1333" s="79"/>
      <c r="J1333" s="70"/>
      <c r="K1333" s="57"/>
      <c r="L1333" s="11"/>
      <c r="M1333" s="41"/>
      <c r="N1333" s="11"/>
    </row>
    <row r="1334" spans="8:14" x14ac:dyDescent="0.25">
      <c r="H1334" s="37"/>
      <c r="I1334" s="79"/>
      <c r="J1334" s="70"/>
      <c r="K1334" s="57"/>
      <c r="L1334" s="11"/>
      <c r="M1334" s="41"/>
      <c r="N1334" s="11"/>
    </row>
    <row r="1335" spans="8:14" x14ac:dyDescent="0.25">
      <c r="H1335" s="37"/>
      <c r="I1335" s="79"/>
      <c r="J1335" s="70"/>
      <c r="K1335" s="57"/>
      <c r="L1335" s="11"/>
      <c r="M1335" s="41"/>
      <c r="N1335" s="11"/>
    </row>
    <row r="1336" spans="8:14" x14ac:dyDescent="0.25">
      <c r="H1336" s="37"/>
      <c r="I1336" s="79"/>
      <c r="J1336" s="70"/>
      <c r="K1336" s="57"/>
      <c r="L1336" s="11"/>
      <c r="M1336" s="41"/>
      <c r="N1336" s="11"/>
    </row>
    <row r="1337" spans="8:14" x14ac:dyDescent="0.25">
      <c r="H1337" s="37"/>
      <c r="I1337" s="79"/>
      <c r="J1337" s="70"/>
      <c r="K1337" s="57"/>
      <c r="L1337" s="11"/>
      <c r="M1337" s="41"/>
      <c r="N1337" s="11"/>
    </row>
    <row r="1338" spans="8:14" x14ac:dyDescent="0.25">
      <c r="H1338" s="37"/>
      <c r="I1338" s="79"/>
      <c r="J1338" s="70"/>
      <c r="K1338" s="57"/>
      <c r="L1338" s="11"/>
      <c r="M1338" s="41"/>
      <c r="N1338" s="11"/>
    </row>
    <row r="1339" spans="8:14" x14ac:dyDescent="0.25">
      <c r="H1339" s="37"/>
      <c r="I1339" s="79"/>
      <c r="J1339" s="70"/>
      <c r="K1339" s="57"/>
      <c r="L1339" s="11"/>
      <c r="M1339" s="41"/>
      <c r="N1339" s="11"/>
    </row>
    <row r="1340" spans="8:14" x14ac:dyDescent="0.25">
      <c r="H1340" s="37"/>
      <c r="I1340" s="79"/>
      <c r="J1340" s="70"/>
      <c r="K1340" s="57"/>
      <c r="L1340" s="11"/>
      <c r="M1340" s="41"/>
      <c r="N1340" s="11"/>
    </row>
    <row r="1341" spans="8:14" x14ac:dyDescent="0.25">
      <c r="H1341" s="37"/>
      <c r="I1341" s="79"/>
      <c r="J1341" s="70"/>
      <c r="K1341" s="57"/>
      <c r="L1341" s="11"/>
      <c r="M1341" s="41"/>
      <c r="N1341" s="11"/>
    </row>
    <row r="1342" spans="8:14" x14ac:dyDescent="0.25">
      <c r="H1342" s="37"/>
      <c r="I1342" s="79"/>
      <c r="J1342" s="70"/>
      <c r="K1342" s="57"/>
      <c r="L1342" s="11"/>
      <c r="M1342" s="41"/>
      <c r="N1342" s="11"/>
    </row>
    <row r="1343" spans="8:14" x14ac:dyDescent="0.25">
      <c r="H1343" s="37"/>
      <c r="I1343" s="79"/>
      <c r="J1343" s="70"/>
      <c r="K1343" s="57"/>
      <c r="L1343" s="11"/>
      <c r="M1343" s="41"/>
      <c r="N1343" s="11"/>
    </row>
    <row r="1344" spans="8:14" x14ac:dyDescent="0.25">
      <c r="H1344" s="37"/>
      <c r="I1344" s="79"/>
      <c r="J1344" s="70"/>
      <c r="K1344" s="57"/>
      <c r="L1344" s="11"/>
      <c r="M1344" s="41"/>
      <c r="N1344" s="11"/>
    </row>
    <row r="1345" spans="8:14" x14ac:dyDescent="0.25">
      <c r="H1345" s="37"/>
      <c r="I1345" s="79"/>
      <c r="J1345" s="70"/>
      <c r="K1345" s="57"/>
      <c r="L1345" s="11"/>
      <c r="M1345" s="41"/>
      <c r="N1345" s="11"/>
    </row>
    <row r="1346" spans="8:14" x14ac:dyDescent="0.25">
      <c r="H1346" s="37"/>
      <c r="I1346" s="79"/>
      <c r="J1346" s="70"/>
      <c r="K1346" s="57"/>
      <c r="L1346" s="11"/>
      <c r="M1346" s="41"/>
      <c r="N1346" s="11"/>
    </row>
    <row r="1347" spans="8:14" x14ac:dyDescent="0.25">
      <c r="H1347" s="37"/>
      <c r="I1347" s="79"/>
      <c r="J1347" s="70"/>
      <c r="K1347" s="57"/>
      <c r="L1347" s="11"/>
      <c r="M1347" s="41"/>
      <c r="N1347" s="11"/>
    </row>
    <row r="1348" spans="8:14" x14ac:dyDescent="0.25">
      <c r="H1348" s="37"/>
      <c r="I1348" s="79"/>
      <c r="J1348" s="70"/>
      <c r="K1348" s="57"/>
      <c r="L1348" s="11"/>
      <c r="M1348" s="41"/>
      <c r="N1348" s="11"/>
    </row>
    <row r="1349" spans="8:14" x14ac:dyDescent="0.25">
      <c r="H1349" s="37"/>
      <c r="I1349" s="79"/>
      <c r="J1349" s="70"/>
      <c r="K1349" s="57"/>
      <c r="L1349" s="11"/>
      <c r="M1349" s="41"/>
      <c r="N1349" s="11"/>
    </row>
    <row r="1350" spans="8:14" x14ac:dyDescent="0.25">
      <c r="H1350" s="37"/>
      <c r="I1350" s="79"/>
      <c r="J1350" s="70"/>
      <c r="K1350" s="57"/>
      <c r="L1350" s="11"/>
      <c r="M1350" s="41"/>
      <c r="N1350" s="11"/>
    </row>
    <row r="1351" spans="8:14" x14ac:dyDescent="0.25">
      <c r="H1351" s="37"/>
      <c r="I1351" s="79"/>
      <c r="J1351" s="70"/>
      <c r="K1351" s="57"/>
      <c r="L1351" s="11"/>
      <c r="M1351" s="41"/>
      <c r="N1351" s="11"/>
    </row>
    <row r="1352" spans="8:14" x14ac:dyDescent="0.25">
      <c r="H1352" s="37"/>
      <c r="I1352" s="79"/>
      <c r="J1352" s="70"/>
      <c r="K1352" s="57"/>
      <c r="L1352" s="11"/>
      <c r="M1352" s="41"/>
      <c r="N1352" s="11"/>
    </row>
    <row r="1353" spans="8:14" x14ac:dyDescent="0.25">
      <c r="H1353" s="37"/>
      <c r="I1353" s="79"/>
      <c r="J1353" s="70"/>
      <c r="K1353" s="57"/>
      <c r="L1353" s="11"/>
      <c r="M1353" s="41"/>
      <c r="N1353" s="11"/>
    </row>
    <row r="1354" spans="8:14" x14ac:dyDescent="0.25">
      <c r="H1354" s="37"/>
      <c r="I1354" s="79"/>
      <c r="J1354" s="70"/>
      <c r="K1354" s="57"/>
      <c r="L1354" s="11"/>
      <c r="M1354" s="41"/>
      <c r="N1354" s="11"/>
    </row>
    <row r="1355" spans="8:14" x14ac:dyDescent="0.25">
      <c r="H1355" s="37"/>
      <c r="I1355" s="79"/>
      <c r="J1355" s="70"/>
      <c r="K1355" s="57"/>
      <c r="L1355" s="11"/>
      <c r="M1355" s="41"/>
      <c r="N1355" s="11"/>
    </row>
    <row r="1356" spans="8:14" x14ac:dyDescent="0.25">
      <c r="H1356" s="37"/>
      <c r="I1356" s="79"/>
      <c r="J1356" s="70"/>
      <c r="K1356" s="57"/>
      <c r="L1356" s="11"/>
      <c r="M1356" s="41"/>
      <c r="N1356" s="11"/>
    </row>
    <row r="1357" spans="8:14" x14ac:dyDescent="0.25">
      <c r="H1357" s="37"/>
      <c r="I1357" s="79"/>
      <c r="J1357" s="70"/>
      <c r="K1357" s="57"/>
      <c r="L1357" s="11"/>
      <c r="M1357" s="41"/>
      <c r="N1357" s="11"/>
    </row>
    <row r="1358" spans="8:14" x14ac:dyDescent="0.25">
      <c r="H1358" s="37"/>
      <c r="I1358" s="79"/>
      <c r="J1358" s="70"/>
      <c r="K1358" s="57"/>
      <c r="L1358" s="11"/>
      <c r="M1358" s="41"/>
      <c r="N1358" s="11"/>
    </row>
    <row r="1359" spans="8:14" x14ac:dyDescent="0.25">
      <c r="H1359" s="37"/>
      <c r="I1359" s="79"/>
      <c r="J1359" s="70"/>
      <c r="K1359" s="57"/>
      <c r="L1359" s="11"/>
      <c r="M1359" s="41"/>
      <c r="N1359" s="11"/>
    </row>
    <row r="1360" spans="8:14" x14ac:dyDescent="0.25">
      <c r="H1360" s="37"/>
      <c r="I1360" s="79"/>
      <c r="J1360" s="70"/>
      <c r="K1360" s="57"/>
      <c r="L1360" s="11"/>
      <c r="M1360" s="41"/>
      <c r="N1360" s="11"/>
    </row>
    <row r="1361" spans="8:14" x14ac:dyDescent="0.25">
      <c r="H1361" s="37"/>
      <c r="I1361" s="79"/>
      <c r="J1361" s="70"/>
      <c r="K1361" s="57"/>
      <c r="L1361" s="11"/>
      <c r="M1361" s="41"/>
      <c r="N1361" s="11"/>
    </row>
    <row r="1362" spans="8:14" x14ac:dyDescent="0.25">
      <c r="H1362" s="37"/>
      <c r="I1362" s="79"/>
      <c r="J1362" s="70"/>
      <c r="K1362" s="57"/>
      <c r="L1362" s="11"/>
      <c r="M1362" s="41"/>
      <c r="N1362" s="11"/>
    </row>
    <row r="1363" spans="8:14" x14ac:dyDescent="0.25">
      <c r="H1363" s="37"/>
      <c r="I1363" s="79"/>
      <c r="J1363" s="70"/>
      <c r="K1363" s="57"/>
      <c r="L1363" s="11"/>
      <c r="M1363" s="41"/>
      <c r="N1363" s="11"/>
    </row>
    <row r="1364" spans="8:14" x14ac:dyDescent="0.25">
      <c r="H1364" s="37"/>
      <c r="I1364" s="79"/>
      <c r="J1364" s="70"/>
      <c r="K1364" s="57"/>
      <c r="L1364" s="11"/>
      <c r="M1364" s="41"/>
      <c r="N1364" s="11"/>
    </row>
    <row r="1365" spans="8:14" x14ac:dyDescent="0.25">
      <c r="H1365" s="37"/>
      <c r="I1365" s="79"/>
      <c r="J1365" s="70"/>
      <c r="K1365" s="57"/>
      <c r="L1365" s="11"/>
      <c r="M1365" s="41"/>
      <c r="N1365" s="11"/>
    </row>
    <row r="1366" spans="8:14" x14ac:dyDescent="0.25">
      <c r="H1366" s="37"/>
      <c r="I1366" s="79"/>
      <c r="J1366" s="70"/>
      <c r="K1366" s="57"/>
      <c r="L1366" s="11"/>
      <c r="M1366" s="41"/>
      <c r="N1366" s="11"/>
    </row>
    <row r="1367" spans="8:14" x14ac:dyDescent="0.25">
      <c r="H1367" s="37"/>
      <c r="I1367" s="79"/>
      <c r="J1367" s="70"/>
      <c r="K1367" s="57"/>
      <c r="L1367" s="11"/>
      <c r="M1367" s="41"/>
      <c r="N1367" s="11"/>
    </row>
    <row r="1368" spans="8:14" x14ac:dyDescent="0.25">
      <c r="H1368" s="37"/>
      <c r="I1368" s="79"/>
      <c r="J1368" s="70"/>
      <c r="K1368" s="57"/>
      <c r="L1368" s="11"/>
      <c r="M1368" s="41"/>
      <c r="N1368" s="11"/>
    </row>
    <row r="1369" spans="8:14" x14ac:dyDescent="0.25">
      <c r="H1369" s="37"/>
      <c r="I1369" s="79"/>
      <c r="J1369" s="70"/>
      <c r="K1369" s="57"/>
      <c r="L1369" s="11"/>
      <c r="M1369" s="41"/>
      <c r="N1369" s="11"/>
    </row>
    <row r="1370" spans="8:14" x14ac:dyDescent="0.25">
      <c r="H1370" s="37"/>
      <c r="I1370" s="79"/>
      <c r="J1370" s="70"/>
      <c r="K1370" s="57"/>
      <c r="L1370" s="11"/>
      <c r="M1370" s="41"/>
      <c r="N1370" s="11"/>
    </row>
    <row r="1371" spans="8:14" x14ac:dyDescent="0.25">
      <c r="H1371" s="37"/>
      <c r="I1371" s="79"/>
      <c r="J1371" s="70"/>
      <c r="K1371" s="57"/>
      <c r="L1371" s="11"/>
      <c r="M1371" s="41"/>
      <c r="N1371" s="11"/>
    </row>
    <row r="1372" spans="8:14" x14ac:dyDescent="0.25">
      <c r="H1372" s="37"/>
      <c r="I1372" s="79"/>
      <c r="J1372" s="70"/>
      <c r="K1372" s="57"/>
      <c r="L1372" s="11"/>
      <c r="M1372" s="41"/>
      <c r="N1372" s="11"/>
    </row>
    <row r="1373" spans="8:14" x14ac:dyDescent="0.25">
      <c r="H1373" s="37"/>
      <c r="I1373" s="79"/>
      <c r="J1373" s="70"/>
      <c r="K1373" s="57"/>
      <c r="L1373" s="11"/>
      <c r="M1373" s="41"/>
      <c r="N1373" s="11"/>
    </row>
    <row r="1374" spans="8:14" x14ac:dyDescent="0.25">
      <c r="H1374" s="37"/>
      <c r="I1374" s="79"/>
      <c r="J1374" s="70"/>
      <c r="K1374" s="57"/>
      <c r="L1374" s="11"/>
      <c r="M1374" s="41"/>
      <c r="N1374" s="11"/>
    </row>
    <row r="1375" spans="8:14" x14ac:dyDescent="0.25">
      <c r="H1375" s="37"/>
      <c r="I1375" s="79"/>
      <c r="J1375" s="70"/>
      <c r="K1375" s="57"/>
      <c r="L1375" s="11"/>
      <c r="M1375" s="41"/>
      <c r="N1375" s="11"/>
    </row>
    <row r="1376" spans="8:14" x14ac:dyDescent="0.25">
      <c r="H1376" s="37"/>
      <c r="I1376" s="79"/>
      <c r="J1376" s="70"/>
      <c r="K1376" s="57"/>
      <c r="L1376" s="11"/>
      <c r="M1376" s="41"/>
      <c r="N1376" s="11"/>
    </row>
    <row r="1377" spans="8:14" x14ac:dyDescent="0.25">
      <c r="H1377" s="37"/>
      <c r="I1377" s="79"/>
      <c r="J1377" s="70"/>
      <c r="K1377" s="57"/>
      <c r="L1377" s="11"/>
      <c r="M1377" s="41"/>
      <c r="N1377" s="11"/>
    </row>
    <row r="1378" spans="8:14" x14ac:dyDescent="0.25">
      <c r="H1378" s="37"/>
      <c r="I1378" s="79"/>
      <c r="J1378" s="70"/>
      <c r="K1378" s="57"/>
      <c r="L1378" s="11"/>
      <c r="M1378" s="41"/>
      <c r="N1378" s="11"/>
    </row>
    <row r="1379" spans="8:14" x14ac:dyDescent="0.25">
      <c r="H1379" s="37"/>
      <c r="I1379" s="79"/>
      <c r="J1379" s="70"/>
      <c r="K1379" s="57"/>
      <c r="L1379" s="11"/>
      <c r="M1379" s="41"/>
      <c r="N1379" s="11"/>
    </row>
    <row r="1380" spans="8:14" x14ac:dyDescent="0.25">
      <c r="H1380" s="37"/>
      <c r="I1380" s="79"/>
      <c r="J1380" s="70"/>
      <c r="K1380" s="57"/>
      <c r="L1380" s="11"/>
      <c r="M1380" s="41"/>
      <c r="N1380" s="11"/>
    </row>
    <row r="1381" spans="8:14" x14ac:dyDescent="0.25">
      <c r="H1381" s="37"/>
      <c r="I1381" s="79"/>
      <c r="J1381" s="70"/>
      <c r="K1381" s="57"/>
      <c r="L1381" s="11"/>
      <c r="M1381" s="41"/>
      <c r="N1381" s="11"/>
    </row>
    <row r="1382" spans="8:14" x14ac:dyDescent="0.25">
      <c r="H1382" s="37"/>
      <c r="I1382" s="79"/>
      <c r="J1382" s="70"/>
      <c r="K1382" s="57"/>
      <c r="L1382" s="11"/>
      <c r="M1382" s="41"/>
      <c r="N1382" s="11"/>
    </row>
    <row r="1383" spans="8:14" x14ac:dyDescent="0.25">
      <c r="H1383" s="37"/>
      <c r="I1383" s="79"/>
      <c r="J1383" s="70"/>
      <c r="K1383" s="57"/>
      <c r="L1383" s="11"/>
      <c r="M1383" s="41"/>
      <c r="N1383" s="11"/>
    </row>
    <row r="1384" spans="8:14" x14ac:dyDescent="0.25">
      <c r="H1384" s="37"/>
      <c r="I1384" s="79"/>
      <c r="J1384" s="70"/>
      <c r="K1384" s="57"/>
      <c r="L1384" s="11"/>
      <c r="M1384" s="41"/>
      <c r="N1384" s="11"/>
    </row>
    <row r="1385" spans="8:14" x14ac:dyDescent="0.25">
      <c r="H1385" s="37"/>
      <c r="I1385" s="79"/>
      <c r="J1385" s="70"/>
      <c r="K1385" s="57"/>
      <c r="L1385" s="11"/>
      <c r="M1385" s="41"/>
      <c r="N1385" s="11"/>
    </row>
    <row r="1386" spans="8:14" x14ac:dyDescent="0.25">
      <c r="H1386" s="37"/>
      <c r="I1386" s="79"/>
      <c r="J1386" s="70"/>
      <c r="K1386" s="57"/>
      <c r="L1386" s="11"/>
      <c r="M1386" s="41"/>
      <c r="N1386" s="11"/>
    </row>
    <row r="1387" spans="8:14" x14ac:dyDescent="0.25">
      <c r="H1387" s="37"/>
      <c r="I1387" s="79"/>
      <c r="J1387" s="70"/>
      <c r="K1387" s="57"/>
      <c r="L1387" s="11"/>
      <c r="M1387" s="41"/>
      <c r="N1387" s="11"/>
    </row>
    <row r="1388" spans="8:14" x14ac:dyDescent="0.25">
      <c r="H1388" s="37"/>
      <c r="I1388" s="79"/>
      <c r="J1388" s="70"/>
      <c r="K1388" s="57"/>
      <c r="L1388" s="11"/>
      <c r="M1388" s="41"/>
      <c r="N1388" s="11"/>
    </row>
    <row r="1389" spans="8:14" x14ac:dyDescent="0.25">
      <c r="H1389" s="37"/>
      <c r="I1389" s="79"/>
      <c r="J1389" s="70"/>
      <c r="K1389" s="57"/>
      <c r="L1389" s="11"/>
      <c r="M1389" s="41"/>
      <c r="N1389" s="11"/>
    </row>
    <row r="1390" spans="8:14" x14ac:dyDescent="0.25">
      <c r="H1390" s="37"/>
      <c r="I1390" s="79"/>
      <c r="J1390" s="70"/>
      <c r="K1390" s="57"/>
      <c r="L1390" s="11"/>
      <c r="M1390" s="41"/>
      <c r="N1390" s="11"/>
    </row>
    <row r="1391" spans="8:14" x14ac:dyDescent="0.25">
      <c r="H1391" s="37"/>
      <c r="I1391" s="79"/>
      <c r="J1391" s="70"/>
      <c r="K1391" s="57"/>
      <c r="L1391" s="11"/>
      <c r="M1391" s="41"/>
      <c r="N1391" s="11"/>
    </row>
    <row r="1392" spans="8:14" x14ac:dyDescent="0.25">
      <c r="H1392" s="37"/>
      <c r="I1392" s="79"/>
      <c r="J1392" s="70"/>
      <c r="K1392" s="57"/>
      <c r="L1392" s="11"/>
      <c r="M1392" s="41"/>
      <c r="N1392" s="11"/>
    </row>
    <row r="1393" spans="8:14" x14ac:dyDescent="0.25">
      <c r="H1393" s="37"/>
      <c r="I1393" s="79"/>
      <c r="J1393" s="70"/>
      <c r="K1393" s="57"/>
      <c r="L1393" s="11"/>
      <c r="M1393" s="41"/>
      <c r="N1393" s="11"/>
    </row>
    <row r="1394" spans="8:14" x14ac:dyDescent="0.25">
      <c r="H1394" s="37"/>
      <c r="I1394" s="79"/>
      <c r="J1394" s="70"/>
      <c r="K1394" s="57"/>
      <c r="L1394" s="11"/>
      <c r="M1394" s="41"/>
      <c r="N1394" s="11"/>
    </row>
    <row r="1395" spans="8:14" x14ac:dyDescent="0.25">
      <c r="H1395" s="37"/>
      <c r="I1395" s="79"/>
      <c r="J1395" s="70"/>
      <c r="K1395" s="57"/>
      <c r="L1395" s="11"/>
      <c r="M1395" s="41"/>
      <c r="N1395" s="11"/>
    </row>
    <row r="1396" spans="8:14" x14ac:dyDescent="0.25">
      <c r="H1396" s="37"/>
      <c r="I1396" s="79"/>
      <c r="J1396" s="70"/>
      <c r="K1396" s="57"/>
      <c r="L1396" s="11"/>
      <c r="M1396" s="41"/>
      <c r="N1396" s="11"/>
    </row>
    <row r="1397" spans="8:14" x14ac:dyDescent="0.25">
      <c r="H1397" s="37"/>
      <c r="I1397" s="79"/>
      <c r="J1397" s="70"/>
      <c r="K1397" s="57"/>
      <c r="L1397" s="11"/>
      <c r="M1397" s="41"/>
      <c r="N1397" s="11"/>
    </row>
    <row r="1398" spans="8:14" x14ac:dyDescent="0.25">
      <c r="H1398" s="37"/>
      <c r="I1398" s="79"/>
      <c r="J1398" s="70"/>
      <c r="K1398" s="57"/>
      <c r="L1398" s="11"/>
      <c r="M1398" s="41"/>
      <c r="N1398" s="11"/>
    </row>
    <row r="1399" spans="8:14" x14ac:dyDescent="0.25">
      <c r="H1399" s="37"/>
      <c r="I1399" s="79"/>
      <c r="J1399" s="70"/>
      <c r="K1399" s="57"/>
      <c r="L1399" s="11"/>
      <c r="M1399" s="41"/>
      <c r="N1399" s="11"/>
    </row>
    <row r="1400" spans="8:14" x14ac:dyDescent="0.25">
      <c r="H1400" s="37"/>
      <c r="I1400" s="79"/>
      <c r="J1400" s="70"/>
      <c r="K1400" s="57"/>
      <c r="L1400" s="11"/>
      <c r="M1400" s="41"/>
      <c r="N1400" s="11"/>
    </row>
    <row r="1401" spans="8:14" x14ac:dyDescent="0.25">
      <c r="H1401" s="37"/>
      <c r="I1401" s="79"/>
      <c r="J1401" s="70"/>
      <c r="K1401" s="57"/>
      <c r="L1401" s="11"/>
      <c r="M1401" s="41"/>
      <c r="N1401" s="11"/>
    </row>
    <row r="1402" spans="8:14" x14ac:dyDescent="0.25">
      <c r="H1402" s="37"/>
      <c r="I1402" s="79"/>
      <c r="J1402" s="70"/>
      <c r="K1402" s="57"/>
      <c r="L1402" s="11"/>
      <c r="M1402" s="41"/>
      <c r="N1402" s="11"/>
    </row>
    <row r="1403" spans="8:14" x14ac:dyDescent="0.25">
      <c r="H1403" s="37"/>
      <c r="I1403" s="79"/>
      <c r="J1403" s="70"/>
      <c r="K1403" s="57"/>
      <c r="L1403" s="11"/>
      <c r="M1403" s="41"/>
      <c r="N1403" s="11"/>
    </row>
    <row r="1404" spans="8:14" x14ac:dyDescent="0.25">
      <c r="H1404" s="37"/>
      <c r="I1404" s="79"/>
      <c r="J1404" s="70"/>
      <c r="K1404" s="57"/>
      <c r="L1404" s="11"/>
      <c r="M1404" s="41"/>
      <c r="N1404" s="11"/>
    </row>
    <row r="1405" spans="8:14" x14ac:dyDescent="0.25">
      <c r="H1405" s="37"/>
      <c r="I1405" s="79"/>
      <c r="J1405" s="70"/>
      <c r="K1405" s="57"/>
      <c r="L1405" s="11"/>
      <c r="M1405" s="41"/>
      <c r="N1405" s="11"/>
    </row>
    <row r="1406" spans="8:14" x14ac:dyDescent="0.25">
      <c r="H1406" s="37"/>
      <c r="I1406" s="79"/>
      <c r="J1406" s="70"/>
      <c r="K1406" s="57"/>
      <c r="L1406" s="11"/>
      <c r="M1406" s="41"/>
      <c r="N1406" s="11"/>
    </row>
    <row r="1407" spans="8:14" x14ac:dyDescent="0.25">
      <c r="H1407" s="37"/>
      <c r="I1407" s="79"/>
      <c r="J1407" s="70"/>
      <c r="K1407" s="57"/>
      <c r="L1407" s="11"/>
      <c r="M1407" s="41"/>
      <c r="N1407" s="11"/>
    </row>
    <row r="1408" spans="8:14" x14ac:dyDescent="0.25">
      <c r="H1408" s="37"/>
      <c r="I1408" s="79"/>
      <c r="J1408" s="70"/>
      <c r="K1408" s="57"/>
      <c r="L1408" s="11"/>
      <c r="M1408" s="41"/>
      <c r="N1408" s="11"/>
    </row>
    <row r="1409" spans="8:14" x14ac:dyDescent="0.25">
      <c r="H1409" s="37"/>
      <c r="I1409" s="79"/>
      <c r="J1409" s="70"/>
      <c r="K1409" s="57"/>
      <c r="L1409" s="11"/>
      <c r="M1409" s="41"/>
      <c r="N1409" s="11"/>
    </row>
    <row r="1410" spans="8:14" x14ac:dyDescent="0.25">
      <c r="H1410" s="37"/>
      <c r="I1410" s="79"/>
      <c r="J1410" s="70"/>
      <c r="K1410" s="57"/>
      <c r="L1410" s="11"/>
      <c r="M1410" s="41"/>
      <c r="N1410" s="11"/>
    </row>
    <row r="1411" spans="8:14" x14ac:dyDescent="0.25">
      <c r="H1411" s="37"/>
      <c r="I1411" s="79"/>
      <c r="J1411" s="70"/>
      <c r="K1411" s="57"/>
      <c r="L1411" s="11"/>
      <c r="M1411" s="41"/>
      <c r="N1411" s="11"/>
    </row>
    <row r="1412" spans="8:14" x14ac:dyDescent="0.25">
      <c r="H1412" s="37"/>
      <c r="I1412" s="79"/>
      <c r="J1412" s="70"/>
      <c r="K1412" s="57"/>
      <c r="L1412" s="11"/>
      <c r="M1412" s="41"/>
      <c r="N1412" s="11"/>
    </row>
    <row r="1413" spans="8:14" x14ac:dyDescent="0.25">
      <c r="H1413" s="37"/>
      <c r="I1413" s="79"/>
      <c r="J1413" s="70"/>
      <c r="K1413" s="57"/>
      <c r="L1413" s="11"/>
      <c r="M1413" s="41"/>
      <c r="N1413" s="11"/>
    </row>
    <row r="1414" spans="8:14" x14ac:dyDescent="0.25">
      <c r="H1414" s="37"/>
      <c r="I1414" s="79"/>
      <c r="J1414" s="70"/>
      <c r="K1414" s="57"/>
      <c r="L1414" s="11"/>
      <c r="M1414" s="41"/>
      <c r="N1414" s="11"/>
    </row>
    <row r="1415" spans="8:14" x14ac:dyDescent="0.25">
      <c r="H1415" s="37"/>
      <c r="I1415" s="79"/>
      <c r="J1415" s="70"/>
      <c r="K1415" s="57"/>
      <c r="L1415" s="11"/>
      <c r="M1415" s="41"/>
      <c r="N1415" s="11"/>
    </row>
    <row r="1416" spans="8:14" x14ac:dyDescent="0.25">
      <c r="H1416" s="37"/>
      <c r="I1416" s="79"/>
      <c r="J1416" s="70"/>
      <c r="K1416" s="57"/>
      <c r="L1416" s="11"/>
      <c r="M1416" s="41"/>
      <c r="N1416" s="11"/>
    </row>
    <row r="1417" spans="8:14" x14ac:dyDescent="0.25">
      <c r="H1417" s="37"/>
      <c r="I1417" s="79"/>
      <c r="J1417" s="70"/>
      <c r="K1417" s="57"/>
      <c r="L1417" s="11"/>
      <c r="M1417" s="41"/>
      <c r="N1417" s="11"/>
    </row>
    <row r="1418" spans="8:14" x14ac:dyDescent="0.25">
      <c r="H1418" s="37"/>
      <c r="I1418" s="79"/>
      <c r="J1418" s="70"/>
      <c r="K1418" s="57"/>
      <c r="L1418" s="11"/>
      <c r="M1418" s="41"/>
      <c r="N1418" s="11"/>
    </row>
    <row r="1419" spans="8:14" x14ac:dyDescent="0.25">
      <c r="H1419" s="37"/>
      <c r="I1419" s="79"/>
      <c r="J1419" s="70"/>
      <c r="K1419" s="57"/>
      <c r="L1419" s="11"/>
      <c r="M1419" s="41"/>
      <c r="N1419" s="11"/>
    </row>
    <row r="1420" spans="8:14" x14ac:dyDescent="0.25">
      <c r="H1420" s="37"/>
      <c r="I1420" s="79"/>
      <c r="J1420" s="70"/>
      <c r="K1420" s="57"/>
      <c r="L1420" s="11"/>
      <c r="M1420" s="41"/>
      <c r="N1420" s="11"/>
    </row>
    <row r="1421" spans="8:14" x14ac:dyDescent="0.25">
      <c r="H1421" s="37"/>
      <c r="I1421" s="79"/>
      <c r="J1421" s="70"/>
      <c r="K1421" s="57"/>
      <c r="L1421" s="11"/>
      <c r="M1421" s="41"/>
      <c r="N1421" s="11"/>
    </row>
    <row r="1422" spans="8:14" x14ac:dyDescent="0.25">
      <c r="H1422" s="37"/>
      <c r="I1422" s="79"/>
      <c r="J1422" s="70"/>
      <c r="K1422" s="57"/>
      <c r="L1422" s="11"/>
      <c r="M1422" s="41"/>
      <c r="N1422" s="11"/>
    </row>
    <row r="1423" spans="8:14" x14ac:dyDescent="0.25">
      <c r="H1423" s="37"/>
      <c r="I1423" s="79"/>
      <c r="J1423" s="70"/>
      <c r="K1423" s="57"/>
      <c r="L1423" s="11"/>
      <c r="M1423" s="41"/>
      <c r="N1423" s="11"/>
    </row>
    <row r="1424" spans="8:14" x14ac:dyDescent="0.25">
      <c r="H1424" s="37"/>
      <c r="I1424" s="79"/>
      <c r="J1424" s="70"/>
      <c r="K1424" s="57"/>
      <c r="L1424" s="11"/>
      <c r="M1424" s="41"/>
      <c r="N1424" s="11"/>
    </row>
    <row r="1425" spans="8:14" x14ac:dyDescent="0.25">
      <c r="H1425" s="37"/>
      <c r="I1425" s="79"/>
      <c r="J1425" s="70"/>
      <c r="K1425" s="57"/>
      <c r="L1425" s="11"/>
      <c r="M1425" s="41"/>
      <c r="N1425" s="11"/>
    </row>
    <row r="1426" spans="8:14" x14ac:dyDescent="0.25">
      <c r="H1426" s="37"/>
      <c r="I1426" s="79"/>
      <c r="J1426" s="70"/>
      <c r="K1426" s="57"/>
      <c r="L1426" s="11"/>
      <c r="M1426" s="41"/>
      <c r="N1426" s="11"/>
    </row>
    <row r="1427" spans="8:14" x14ac:dyDescent="0.25">
      <c r="H1427" s="37"/>
      <c r="I1427" s="79"/>
      <c r="J1427" s="70"/>
      <c r="K1427" s="57"/>
      <c r="L1427" s="11"/>
      <c r="M1427" s="41"/>
      <c r="N1427" s="11"/>
    </row>
    <row r="1428" spans="8:14" x14ac:dyDescent="0.25">
      <c r="H1428" s="37"/>
      <c r="I1428" s="79"/>
      <c r="J1428" s="70"/>
      <c r="K1428" s="57"/>
      <c r="L1428" s="11"/>
      <c r="M1428" s="41"/>
      <c r="N1428" s="11"/>
    </row>
    <row r="1429" spans="8:14" x14ac:dyDescent="0.25">
      <c r="H1429" s="37"/>
      <c r="I1429" s="79"/>
      <c r="J1429" s="70"/>
      <c r="K1429" s="57"/>
      <c r="L1429" s="11"/>
      <c r="M1429" s="41"/>
      <c r="N1429" s="11"/>
    </row>
    <row r="1430" spans="8:14" x14ac:dyDescent="0.25">
      <c r="H1430" s="37"/>
      <c r="I1430" s="79"/>
      <c r="J1430" s="70"/>
      <c r="K1430" s="57"/>
      <c r="L1430" s="11"/>
      <c r="M1430" s="41"/>
      <c r="N1430" s="11"/>
    </row>
    <row r="1431" spans="8:14" x14ac:dyDescent="0.25">
      <c r="H1431" s="37"/>
      <c r="I1431" s="79"/>
      <c r="J1431" s="70"/>
      <c r="K1431" s="57"/>
      <c r="L1431" s="11"/>
      <c r="M1431" s="41"/>
      <c r="N1431" s="11"/>
    </row>
    <row r="1432" spans="8:14" x14ac:dyDescent="0.25">
      <c r="H1432" s="37"/>
      <c r="I1432" s="79"/>
      <c r="J1432" s="70"/>
      <c r="K1432" s="57"/>
      <c r="L1432" s="11"/>
      <c r="M1432" s="41"/>
      <c r="N1432" s="11"/>
    </row>
    <row r="1433" spans="8:14" x14ac:dyDescent="0.25">
      <c r="H1433" s="37"/>
      <c r="I1433" s="79"/>
      <c r="J1433" s="70"/>
      <c r="K1433" s="57"/>
      <c r="L1433" s="11"/>
      <c r="M1433" s="41"/>
      <c r="N1433" s="11"/>
    </row>
    <row r="1434" spans="8:14" x14ac:dyDescent="0.25">
      <c r="H1434" s="37"/>
      <c r="I1434" s="79"/>
      <c r="J1434" s="70"/>
      <c r="K1434" s="57"/>
      <c r="L1434" s="11"/>
      <c r="M1434" s="41"/>
      <c r="N1434" s="11"/>
    </row>
    <row r="1435" spans="8:14" x14ac:dyDescent="0.25">
      <c r="H1435" s="37"/>
      <c r="I1435" s="79"/>
      <c r="J1435" s="70"/>
      <c r="K1435" s="57"/>
      <c r="L1435" s="11"/>
      <c r="M1435" s="41"/>
      <c r="N1435" s="11"/>
    </row>
    <row r="1436" spans="8:14" x14ac:dyDescent="0.25">
      <c r="H1436" s="37"/>
      <c r="I1436" s="79"/>
      <c r="J1436" s="70"/>
      <c r="K1436" s="57"/>
      <c r="L1436" s="11"/>
      <c r="M1436" s="41"/>
      <c r="N1436" s="11"/>
    </row>
    <row r="1437" spans="8:14" x14ac:dyDescent="0.25">
      <c r="H1437" s="37"/>
      <c r="I1437" s="79"/>
      <c r="J1437" s="70"/>
      <c r="K1437" s="57"/>
      <c r="L1437" s="11"/>
      <c r="M1437" s="41"/>
      <c r="N1437" s="11"/>
    </row>
    <row r="1438" spans="8:14" x14ac:dyDescent="0.25">
      <c r="H1438" s="37"/>
      <c r="I1438" s="79"/>
      <c r="J1438" s="70"/>
      <c r="K1438" s="57"/>
      <c r="L1438" s="11"/>
      <c r="M1438" s="41"/>
      <c r="N1438" s="11"/>
    </row>
    <row r="1439" spans="8:14" x14ac:dyDescent="0.25">
      <c r="H1439" s="37"/>
      <c r="I1439" s="79"/>
      <c r="J1439" s="70"/>
      <c r="K1439" s="57"/>
      <c r="L1439" s="11"/>
      <c r="M1439" s="41"/>
      <c r="N1439" s="11"/>
    </row>
    <row r="1440" spans="8:14" x14ac:dyDescent="0.25">
      <c r="H1440" s="37"/>
      <c r="I1440" s="79"/>
      <c r="J1440" s="70"/>
      <c r="K1440" s="57"/>
      <c r="L1440" s="11"/>
      <c r="M1440" s="41"/>
      <c r="N1440" s="11"/>
    </row>
    <row r="1441" spans="8:14" x14ac:dyDescent="0.25">
      <c r="H1441" s="37"/>
      <c r="I1441" s="79"/>
      <c r="J1441" s="70"/>
      <c r="K1441" s="57"/>
      <c r="L1441" s="11"/>
      <c r="M1441" s="41"/>
      <c r="N1441" s="11"/>
    </row>
    <row r="1442" spans="8:14" x14ac:dyDescent="0.25">
      <c r="H1442" s="37"/>
      <c r="I1442" s="79"/>
      <c r="J1442" s="70"/>
      <c r="K1442" s="57"/>
      <c r="L1442" s="11"/>
      <c r="M1442" s="41"/>
      <c r="N1442" s="11"/>
    </row>
    <row r="1443" spans="8:14" x14ac:dyDescent="0.25">
      <c r="H1443" s="37"/>
      <c r="I1443" s="79"/>
      <c r="J1443" s="70"/>
      <c r="K1443" s="57"/>
      <c r="L1443" s="11"/>
      <c r="M1443" s="41"/>
      <c r="N1443" s="11"/>
    </row>
    <row r="1444" spans="8:14" x14ac:dyDescent="0.25">
      <c r="H1444" s="37"/>
      <c r="I1444" s="79"/>
      <c r="J1444" s="70"/>
      <c r="K1444" s="57"/>
      <c r="L1444" s="11"/>
      <c r="M1444" s="41"/>
      <c r="N1444" s="11"/>
    </row>
    <row r="1445" spans="8:14" x14ac:dyDescent="0.25">
      <c r="H1445" s="37"/>
      <c r="I1445" s="79"/>
      <c r="J1445" s="70"/>
      <c r="K1445" s="57"/>
      <c r="L1445" s="11"/>
      <c r="M1445" s="41"/>
      <c r="N1445" s="11"/>
    </row>
    <row r="1446" spans="8:14" x14ac:dyDescent="0.25">
      <c r="H1446" s="37"/>
      <c r="I1446" s="79"/>
      <c r="J1446" s="70"/>
      <c r="K1446" s="57"/>
      <c r="L1446" s="11"/>
      <c r="M1446" s="41"/>
      <c r="N1446" s="11"/>
    </row>
    <row r="1447" spans="8:14" x14ac:dyDescent="0.25">
      <c r="H1447" s="37"/>
      <c r="I1447" s="79"/>
      <c r="J1447" s="70"/>
      <c r="K1447" s="57"/>
      <c r="L1447" s="11"/>
      <c r="M1447" s="41"/>
      <c r="N1447" s="11"/>
    </row>
    <row r="1448" spans="8:14" x14ac:dyDescent="0.25">
      <c r="H1448" s="37"/>
      <c r="I1448" s="79"/>
      <c r="J1448" s="70"/>
      <c r="K1448" s="57"/>
      <c r="L1448" s="11"/>
      <c r="M1448" s="41"/>
      <c r="N1448" s="11"/>
    </row>
    <row r="1449" spans="8:14" x14ac:dyDescent="0.25">
      <c r="H1449" s="37"/>
      <c r="I1449" s="79"/>
      <c r="J1449" s="70"/>
      <c r="K1449" s="57"/>
      <c r="L1449" s="11"/>
      <c r="M1449" s="41"/>
      <c r="N1449" s="11"/>
    </row>
    <row r="1450" spans="8:14" x14ac:dyDescent="0.25">
      <c r="H1450" s="37"/>
      <c r="I1450" s="79"/>
      <c r="J1450" s="70"/>
      <c r="K1450" s="57"/>
      <c r="L1450" s="11"/>
      <c r="M1450" s="41"/>
      <c r="N1450" s="11"/>
    </row>
    <row r="1451" spans="8:14" x14ac:dyDescent="0.25">
      <c r="H1451" s="37"/>
      <c r="I1451" s="79"/>
      <c r="J1451" s="70"/>
      <c r="K1451" s="57"/>
      <c r="L1451" s="11"/>
      <c r="M1451" s="41"/>
      <c r="N1451" s="11"/>
    </row>
    <row r="1452" spans="8:14" x14ac:dyDescent="0.25">
      <c r="H1452" s="37"/>
      <c r="I1452" s="79"/>
      <c r="J1452" s="70"/>
      <c r="K1452" s="57"/>
      <c r="L1452" s="11"/>
      <c r="M1452" s="41"/>
      <c r="N1452" s="11"/>
    </row>
    <row r="1453" spans="8:14" x14ac:dyDescent="0.25">
      <c r="H1453" s="37"/>
      <c r="I1453" s="79"/>
      <c r="J1453" s="70"/>
      <c r="K1453" s="57"/>
      <c r="L1453" s="11"/>
      <c r="M1453" s="41"/>
      <c r="N1453" s="11"/>
    </row>
    <row r="1454" spans="8:14" x14ac:dyDescent="0.25">
      <c r="H1454" s="37"/>
      <c r="I1454" s="79"/>
      <c r="J1454" s="70"/>
      <c r="K1454" s="57"/>
      <c r="L1454" s="11"/>
      <c r="M1454" s="41"/>
      <c r="N1454" s="11"/>
    </row>
    <row r="1455" spans="8:14" x14ac:dyDescent="0.25">
      <c r="H1455" s="37"/>
      <c r="I1455" s="79"/>
      <c r="J1455" s="70"/>
      <c r="K1455" s="57"/>
      <c r="L1455" s="11"/>
      <c r="M1455" s="41"/>
      <c r="N1455" s="11"/>
    </row>
    <row r="1456" spans="8:14" x14ac:dyDescent="0.25">
      <c r="H1456" s="37"/>
      <c r="I1456" s="79"/>
      <c r="J1456" s="70"/>
      <c r="K1456" s="57"/>
      <c r="L1456" s="11"/>
      <c r="M1456" s="41"/>
      <c r="N1456" s="11"/>
    </row>
    <row r="1457" spans="8:14" x14ac:dyDescent="0.25">
      <c r="H1457" s="37"/>
      <c r="I1457" s="79"/>
      <c r="J1457" s="70"/>
      <c r="K1457" s="57"/>
      <c r="L1457" s="11"/>
      <c r="M1457" s="41"/>
      <c r="N1457" s="11"/>
    </row>
    <row r="1458" spans="8:14" x14ac:dyDescent="0.25">
      <c r="H1458" s="37"/>
      <c r="I1458" s="79"/>
      <c r="J1458" s="70"/>
      <c r="K1458" s="57"/>
      <c r="L1458" s="11"/>
      <c r="M1458" s="41"/>
      <c r="N1458" s="11"/>
    </row>
    <row r="1459" spans="8:14" x14ac:dyDescent="0.25">
      <c r="H1459" s="37"/>
      <c r="I1459" s="79"/>
      <c r="J1459" s="70"/>
      <c r="K1459" s="57"/>
      <c r="L1459" s="11"/>
      <c r="M1459" s="41"/>
      <c r="N1459" s="11"/>
    </row>
    <row r="1460" spans="8:14" x14ac:dyDescent="0.25">
      <c r="H1460" s="37"/>
      <c r="I1460" s="79"/>
      <c r="J1460" s="70"/>
      <c r="K1460" s="57"/>
      <c r="L1460" s="11"/>
      <c r="M1460" s="41"/>
      <c r="N1460" s="11"/>
    </row>
    <row r="1461" spans="8:14" x14ac:dyDescent="0.25">
      <c r="H1461" s="37"/>
      <c r="I1461" s="79"/>
      <c r="J1461" s="70"/>
      <c r="K1461" s="57"/>
      <c r="L1461" s="11"/>
      <c r="M1461" s="41"/>
      <c r="N1461" s="11"/>
    </row>
    <row r="1462" spans="8:14" x14ac:dyDescent="0.25">
      <c r="H1462" s="37"/>
      <c r="I1462" s="79"/>
      <c r="J1462" s="70"/>
      <c r="K1462" s="57"/>
      <c r="L1462" s="11"/>
      <c r="M1462" s="41"/>
      <c r="N1462" s="11"/>
    </row>
    <row r="1463" spans="8:14" x14ac:dyDescent="0.25">
      <c r="H1463" s="37"/>
      <c r="I1463" s="79"/>
      <c r="J1463" s="70"/>
      <c r="K1463" s="57"/>
      <c r="L1463" s="11"/>
      <c r="M1463" s="41"/>
      <c r="N1463" s="11"/>
    </row>
    <row r="1464" spans="8:14" x14ac:dyDescent="0.25">
      <c r="H1464" s="37"/>
      <c r="I1464" s="79"/>
      <c r="J1464" s="70"/>
      <c r="K1464" s="57"/>
      <c r="L1464" s="11"/>
      <c r="M1464" s="41"/>
      <c r="N1464" s="11"/>
    </row>
    <row r="1465" spans="8:14" x14ac:dyDescent="0.25">
      <c r="H1465" s="37"/>
      <c r="I1465" s="79"/>
      <c r="J1465" s="70"/>
      <c r="K1465" s="57"/>
      <c r="L1465" s="11"/>
      <c r="M1465" s="41"/>
      <c r="N1465" s="11"/>
    </row>
    <row r="1466" spans="8:14" x14ac:dyDescent="0.25">
      <c r="H1466" s="37"/>
      <c r="I1466" s="79"/>
      <c r="J1466" s="70"/>
      <c r="K1466" s="57"/>
      <c r="L1466" s="11"/>
      <c r="M1466" s="41"/>
      <c r="N1466" s="11"/>
    </row>
    <row r="1467" spans="8:14" x14ac:dyDescent="0.25">
      <c r="H1467" s="37"/>
      <c r="I1467" s="79"/>
      <c r="J1467" s="70"/>
      <c r="K1467" s="57"/>
      <c r="L1467" s="11"/>
      <c r="M1467" s="41"/>
      <c r="N1467" s="11"/>
    </row>
    <row r="1468" spans="8:14" x14ac:dyDescent="0.25">
      <c r="H1468" s="37"/>
      <c r="I1468" s="79"/>
      <c r="J1468" s="70"/>
      <c r="K1468" s="57"/>
      <c r="L1468" s="11"/>
      <c r="M1468" s="41"/>
      <c r="N1468" s="11"/>
    </row>
    <row r="1469" spans="8:14" x14ac:dyDescent="0.25">
      <c r="H1469" s="37"/>
      <c r="I1469" s="79"/>
      <c r="J1469" s="70"/>
      <c r="K1469" s="57"/>
      <c r="L1469" s="11"/>
      <c r="M1469" s="41"/>
      <c r="N1469" s="11"/>
    </row>
    <row r="1470" spans="8:14" x14ac:dyDescent="0.25">
      <c r="H1470" s="37"/>
      <c r="I1470" s="79"/>
      <c r="J1470" s="70"/>
      <c r="K1470" s="57"/>
      <c r="L1470" s="11"/>
      <c r="M1470" s="41"/>
      <c r="N1470" s="11"/>
    </row>
    <row r="1471" spans="8:14" x14ac:dyDescent="0.25">
      <c r="H1471" s="37"/>
      <c r="I1471" s="79"/>
      <c r="J1471" s="70"/>
      <c r="K1471" s="57"/>
      <c r="L1471" s="11"/>
      <c r="M1471" s="41"/>
      <c r="N1471" s="11"/>
    </row>
    <row r="1472" spans="8:14" x14ac:dyDescent="0.25">
      <c r="H1472" s="37"/>
      <c r="I1472" s="79"/>
      <c r="J1472" s="70"/>
      <c r="K1472" s="57"/>
      <c r="L1472" s="11"/>
      <c r="M1472" s="41"/>
      <c r="N1472" s="11"/>
    </row>
    <row r="1473" spans="8:14" x14ac:dyDescent="0.25">
      <c r="H1473" s="37"/>
      <c r="I1473" s="79"/>
      <c r="J1473" s="70"/>
      <c r="K1473" s="57"/>
      <c r="L1473" s="11"/>
      <c r="M1473" s="41"/>
      <c r="N1473" s="11"/>
    </row>
    <row r="1474" spans="8:14" x14ac:dyDescent="0.25">
      <c r="H1474" s="37"/>
      <c r="I1474" s="79"/>
      <c r="J1474" s="70"/>
      <c r="K1474" s="57"/>
      <c r="L1474" s="11"/>
      <c r="M1474" s="41"/>
      <c r="N1474" s="11"/>
    </row>
    <row r="1475" spans="8:14" x14ac:dyDescent="0.25">
      <c r="H1475" s="37"/>
      <c r="I1475" s="79"/>
      <c r="J1475" s="70"/>
      <c r="K1475" s="57"/>
      <c r="L1475" s="11"/>
      <c r="M1475" s="41"/>
      <c r="N1475" s="11"/>
    </row>
    <row r="1476" spans="8:14" x14ac:dyDescent="0.25">
      <c r="H1476" s="37"/>
      <c r="I1476" s="79"/>
      <c r="J1476" s="70"/>
      <c r="K1476" s="57"/>
      <c r="L1476" s="11"/>
      <c r="M1476" s="41"/>
      <c r="N1476" s="11"/>
    </row>
    <row r="1477" spans="8:14" x14ac:dyDescent="0.25">
      <c r="H1477" s="37"/>
      <c r="I1477" s="79"/>
      <c r="J1477" s="70"/>
      <c r="K1477" s="57"/>
      <c r="L1477" s="11"/>
      <c r="M1477" s="41"/>
      <c r="N1477" s="11"/>
    </row>
    <row r="1478" spans="8:14" x14ac:dyDescent="0.25">
      <c r="H1478" s="37"/>
      <c r="I1478" s="79"/>
      <c r="J1478" s="70"/>
      <c r="K1478" s="57"/>
      <c r="L1478" s="11"/>
      <c r="M1478" s="41"/>
      <c r="N1478" s="11"/>
    </row>
    <row r="1479" spans="8:14" x14ac:dyDescent="0.25">
      <c r="H1479" s="37"/>
      <c r="I1479" s="79"/>
      <c r="J1479" s="70"/>
      <c r="K1479" s="57"/>
      <c r="L1479" s="11"/>
      <c r="M1479" s="41"/>
      <c r="N1479" s="11"/>
    </row>
    <row r="1480" spans="8:14" x14ac:dyDescent="0.25">
      <c r="H1480" s="37"/>
      <c r="I1480" s="79"/>
      <c r="J1480" s="70"/>
      <c r="K1480" s="57"/>
      <c r="L1480" s="11"/>
      <c r="M1480" s="41"/>
      <c r="N1480" s="11"/>
    </row>
    <row r="1481" spans="8:14" x14ac:dyDescent="0.25">
      <c r="H1481" s="37"/>
      <c r="I1481" s="79"/>
      <c r="J1481" s="70"/>
      <c r="K1481" s="57"/>
      <c r="L1481" s="11"/>
      <c r="M1481" s="41"/>
      <c r="N1481" s="11"/>
    </row>
    <row r="1482" spans="8:14" x14ac:dyDescent="0.25">
      <c r="H1482" s="37"/>
      <c r="I1482" s="79"/>
      <c r="J1482" s="70"/>
      <c r="K1482" s="57"/>
      <c r="L1482" s="11"/>
      <c r="M1482" s="41"/>
      <c r="N1482" s="11"/>
    </row>
    <row r="1483" spans="8:14" x14ac:dyDescent="0.25">
      <c r="H1483" s="37"/>
      <c r="I1483" s="79"/>
      <c r="J1483" s="70"/>
      <c r="K1483" s="57"/>
      <c r="L1483" s="11"/>
      <c r="M1483" s="41"/>
      <c r="N1483" s="11"/>
    </row>
    <row r="1484" spans="8:14" x14ac:dyDescent="0.25">
      <c r="H1484" s="37"/>
      <c r="I1484" s="79"/>
      <c r="J1484" s="70"/>
      <c r="K1484" s="57"/>
      <c r="L1484" s="11"/>
      <c r="M1484" s="41"/>
      <c r="N1484" s="11"/>
    </row>
    <row r="1485" spans="8:14" x14ac:dyDescent="0.25">
      <c r="H1485" s="37"/>
      <c r="I1485" s="79"/>
      <c r="J1485" s="70"/>
      <c r="K1485" s="57"/>
      <c r="L1485" s="11"/>
      <c r="M1485" s="41"/>
      <c r="N1485" s="11"/>
    </row>
    <row r="1486" spans="8:14" x14ac:dyDescent="0.25">
      <c r="H1486" s="37"/>
      <c r="I1486" s="79"/>
      <c r="J1486" s="70"/>
      <c r="K1486" s="57"/>
      <c r="L1486" s="11"/>
      <c r="M1486" s="41"/>
      <c r="N1486" s="11"/>
    </row>
    <row r="1487" spans="8:14" x14ac:dyDescent="0.25">
      <c r="H1487" s="37"/>
      <c r="I1487" s="79"/>
      <c r="J1487" s="70"/>
      <c r="K1487" s="57"/>
      <c r="L1487" s="11"/>
      <c r="M1487" s="41"/>
      <c r="N1487" s="11"/>
    </row>
    <row r="1488" spans="8:14" x14ac:dyDescent="0.25">
      <c r="H1488" s="37"/>
      <c r="I1488" s="79"/>
      <c r="J1488" s="70"/>
      <c r="K1488" s="57"/>
      <c r="L1488" s="11"/>
      <c r="M1488" s="41"/>
      <c r="N1488" s="11"/>
    </row>
    <row r="1489" spans="8:14" x14ac:dyDescent="0.25">
      <c r="H1489" s="37"/>
      <c r="I1489" s="79"/>
      <c r="J1489" s="70"/>
      <c r="K1489" s="57"/>
      <c r="L1489" s="11"/>
      <c r="M1489" s="41"/>
      <c r="N1489" s="11"/>
    </row>
    <row r="1490" spans="8:14" x14ac:dyDescent="0.25">
      <c r="H1490" s="37"/>
      <c r="I1490" s="79"/>
      <c r="J1490" s="70"/>
      <c r="K1490" s="57"/>
      <c r="L1490" s="11"/>
      <c r="M1490" s="41"/>
      <c r="N1490" s="11"/>
    </row>
    <row r="1491" spans="8:14" x14ac:dyDescent="0.25">
      <c r="H1491" s="37"/>
      <c r="I1491" s="79"/>
      <c r="J1491" s="70"/>
      <c r="K1491" s="57"/>
      <c r="L1491" s="11"/>
      <c r="M1491" s="41"/>
      <c r="N1491" s="11"/>
    </row>
    <row r="1492" spans="8:14" x14ac:dyDescent="0.25">
      <c r="H1492" s="37"/>
      <c r="I1492" s="79"/>
      <c r="J1492" s="70"/>
      <c r="K1492" s="57"/>
      <c r="L1492" s="11"/>
      <c r="M1492" s="41"/>
      <c r="N1492" s="11"/>
    </row>
    <row r="1493" spans="8:14" x14ac:dyDescent="0.25">
      <c r="H1493" s="37"/>
      <c r="I1493" s="79"/>
      <c r="J1493" s="70"/>
      <c r="K1493" s="57"/>
      <c r="L1493" s="11"/>
      <c r="M1493" s="41"/>
      <c r="N1493" s="11"/>
    </row>
    <row r="1494" spans="8:14" x14ac:dyDescent="0.25">
      <c r="H1494" s="37"/>
      <c r="I1494" s="79"/>
      <c r="J1494" s="70"/>
      <c r="K1494" s="57"/>
      <c r="L1494" s="11"/>
      <c r="M1494" s="41"/>
      <c r="N1494" s="11"/>
    </row>
    <row r="1495" spans="8:14" x14ac:dyDescent="0.25">
      <c r="H1495" s="37"/>
      <c r="I1495" s="79"/>
      <c r="J1495" s="70"/>
      <c r="K1495" s="57"/>
      <c r="L1495" s="11"/>
      <c r="M1495" s="41"/>
      <c r="N1495" s="11"/>
    </row>
    <row r="1496" spans="8:14" x14ac:dyDescent="0.25">
      <c r="H1496" s="37"/>
      <c r="I1496" s="79"/>
      <c r="J1496" s="70"/>
      <c r="K1496" s="57"/>
      <c r="L1496" s="11"/>
      <c r="M1496" s="41"/>
      <c r="N1496" s="11"/>
    </row>
    <row r="1497" spans="8:14" x14ac:dyDescent="0.25">
      <c r="H1497" s="37"/>
      <c r="I1497" s="79"/>
      <c r="J1497" s="70"/>
      <c r="K1497" s="57"/>
      <c r="L1497" s="11"/>
      <c r="M1497" s="41"/>
      <c r="N1497" s="11"/>
    </row>
    <row r="1498" spans="8:14" x14ac:dyDescent="0.25">
      <c r="H1498" s="37"/>
      <c r="I1498" s="79"/>
      <c r="J1498" s="70"/>
      <c r="K1498" s="57"/>
      <c r="L1498" s="11"/>
      <c r="M1498" s="41"/>
      <c r="N1498" s="11"/>
    </row>
    <row r="1499" spans="8:14" x14ac:dyDescent="0.25">
      <c r="H1499" s="37"/>
      <c r="I1499" s="79"/>
      <c r="J1499" s="70"/>
      <c r="K1499" s="57"/>
      <c r="L1499" s="11"/>
      <c r="M1499" s="41"/>
      <c r="N1499" s="11"/>
    </row>
    <row r="1500" spans="8:14" x14ac:dyDescent="0.25">
      <c r="H1500" s="37"/>
      <c r="I1500" s="79"/>
      <c r="J1500" s="70"/>
      <c r="K1500" s="57"/>
      <c r="L1500" s="11"/>
      <c r="M1500" s="41"/>
      <c r="N1500" s="11"/>
    </row>
    <row r="1501" spans="8:14" x14ac:dyDescent="0.25">
      <c r="H1501" s="37"/>
      <c r="I1501" s="79"/>
      <c r="J1501" s="70"/>
      <c r="K1501" s="57"/>
      <c r="L1501" s="11"/>
      <c r="M1501" s="41"/>
      <c r="N1501" s="11"/>
    </row>
    <row r="1502" spans="8:14" x14ac:dyDescent="0.25">
      <c r="H1502" s="37"/>
      <c r="I1502" s="79"/>
      <c r="J1502" s="70"/>
      <c r="K1502" s="57"/>
      <c r="L1502" s="11"/>
      <c r="M1502" s="41"/>
      <c r="N1502" s="11"/>
    </row>
    <row r="1503" spans="8:14" x14ac:dyDescent="0.25">
      <c r="H1503" s="37"/>
      <c r="I1503" s="79"/>
      <c r="J1503" s="70"/>
      <c r="K1503" s="57"/>
      <c r="L1503" s="11"/>
      <c r="M1503" s="41"/>
      <c r="N1503" s="11"/>
    </row>
    <row r="1504" spans="8:14" x14ac:dyDescent="0.25">
      <c r="H1504" s="37"/>
      <c r="I1504" s="79"/>
      <c r="J1504" s="70"/>
      <c r="K1504" s="57"/>
      <c r="L1504" s="11"/>
      <c r="M1504" s="41"/>
      <c r="N1504" s="11"/>
    </row>
    <row r="1505" spans="8:14" x14ac:dyDescent="0.25">
      <c r="H1505" s="37"/>
      <c r="I1505" s="79"/>
      <c r="J1505" s="70"/>
      <c r="K1505" s="57"/>
      <c r="L1505" s="11"/>
      <c r="M1505" s="41"/>
      <c r="N1505" s="11"/>
    </row>
    <row r="1506" spans="8:14" x14ac:dyDescent="0.25">
      <c r="H1506" s="37"/>
      <c r="I1506" s="79"/>
      <c r="J1506" s="70"/>
      <c r="K1506" s="57"/>
      <c r="L1506" s="11"/>
      <c r="M1506" s="41"/>
      <c r="N1506" s="11"/>
    </row>
    <row r="1507" spans="8:14" x14ac:dyDescent="0.25">
      <c r="H1507" s="37"/>
      <c r="I1507" s="79"/>
      <c r="J1507" s="70"/>
      <c r="K1507" s="57"/>
      <c r="L1507" s="11"/>
      <c r="M1507" s="41"/>
      <c r="N1507" s="11"/>
    </row>
    <row r="1508" spans="8:14" x14ac:dyDescent="0.25">
      <c r="H1508" s="37"/>
      <c r="I1508" s="79"/>
      <c r="J1508" s="70"/>
      <c r="K1508" s="57"/>
      <c r="L1508" s="11"/>
      <c r="M1508" s="41"/>
      <c r="N1508" s="11"/>
    </row>
    <row r="1509" spans="8:14" x14ac:dyDescent="0.25">
      <c r="H1509" s="37"/>
      <c r="I1509" s="79"/>
      <c r="J1509" s="70"/>
      <c r="K1509" s="57"/>
      <c r="L1509" s="11"/>
      <c r="M1509" s="41"/>
      <c r="N1509" s="11"/>
    </row>
    <row r="1510" spans="8:14" x14ac:dyDescent="0.25">
      <c r="H1510" s="37"/>
      <c r="I1510" s="79"/>
      <c r="J1510" s="70"/>
      <c r="K1510" s="57"/>
      <c r="L1510" s="11"/>
      <c r="M1510" s="41"/>
      <c r="N1510" s="11"/>
    </row>
    <row r="1511" spans="8:14" x14ac:dyDescent="0.25">
      <c r="H1511" s="37"/>
      <c r="I1511" s="79"/>
      <c r="J1511" s="70"/>
      <c r="K1511" s="57"/>
      <c r="L1511" s="11"/>
      <c r="M1511" s="41"/>
      <c r="N1511" s="11"/>
    </row>
    <row r="1512" spans="8:14" x14ac:dyDescent="0.25">
      <c r="H1512" s="37"/>
      <c r="I1512" s="79"/>
      <c r="J1512" s="70"/>
      <c r="K1512" s="57"/>
      <c r="L1512" s="11"/>
      <c r="M1512" s="41"/>
      <c r="N1512" s="11"/>
    </row>
    <row r="1513" spans="8:14" x14ac:dyDescent="0.25">
      <c r="H1513" s="37"/>
      <c r="I1513" s="79"/>
      <c r="J1513" s="70"/>
      <c r="K1513" s="57"/>
      <c r="L1513" s="11"/>
      <c r="M1513" s="41"/>
      <c r="N1513" s="11"/>
    </row>
    <row r="1514" spans="8:14" x14ac:dyDescent="0.25">
      <c r="H1514" s="37"/>
      <c r="I1514" s="79"/>
      <c r="J1514" s="70"/>
      <c r="K1514" s="57"/>
      <c r="L1514" s="11"/>
      <c r="M1514" s="41"/>
      <c r="N1514" s="11"/>
    </row>
    <row r="1515" spans="8:14" x14ac:dyDescent="0.25">
      <c r="H1515" s="37"/>
      <c r="I1515" s="79"/>
      <c r="J1515" s="70"/>
      <c r="K1515" s="57"/>
      <c r="L1515" s="11"/>
      <c r="M1515" s="41"/>
      <c r="N1515" s="11"/>
    </row>
    <row r="1516" spans="8:14" x14ac:dyDescent="0.25">
      <c r="H1516" s="37"/>
      <c r="I1516" s="79"/>
      <c r="J1516" s="70"/>
      <c r="K1516" s="57"/>
      <c r="L1516" s="11"/>
      <c r="M1516" s="41"/>
      <c r="N1516" s="11"/>
    </row>
    <row r="1517" spans="8:14" x14ac:dyDescent="0.25">
      <c r="H1517" s="37"/>
      <c r="I1517" s="79"/>
      <c r="J1517" s="70"/>
      <c r="K1517" s="57"/>
      <c r="L1517" s="11"/>
      <c r="M1517" s="41"/>
      <c r="N1517" s="11"/>
    </row>
    <row r="1518" spans="8:14" x14ac:dyDescent="0.25">
      <c r="H1518" s="37"/>
      <c r="I1518" s="79"/>
      <c r="J1518" s="70"/>
      <c r="K1518" s="57"/>
      <c r="L1518" s="11"/>
      <c r="M1518" s="41"/>
      <c r="N1518" s="11"/>
    </row>
    <row r="1519" spans="8:14" x14ac:dyDescent="0.25">
      <c r="H1519" s="37"/>
      <c r="I1519" s="79"/>
      <c r="J1519" s="70"/>
      <c r="K1519" s="57"/>
      <c r="L1519" s="11"/>
      <c r="M1519" s="41"/>
      <c r="N1519" s="11"/>
    </row>
    <row r="1520" spans="8:14" x14ac:dyDescent="0.25">
      <c r="H1520" s="37"/>
      <c r="I1520" s="79"/>
      <c r="J1520" s="70"/>
      <c r="K1520" s="57"/>
      <c r="L1520" s="11"/>
      <c r="M1520" s="41"/>
      <c r="N1520" s="11"/>
    </row>
    <row r="1521" spans="8:14" x14ac:dyDescent="0.25">
      <c r="H1521" s="37"/>
      <c r="I1521" s="79"/>
      <c r="J1521" s="70"/>
      <c r="K1521" s="57"/>
      <c r="L1521" s="11"/>
      <c r="M1521" s="41"/>
      <c r="N1521" s="11"/>
    </row>
    <row r="1522" spans="8:14" x14ac:dyDescent="0.25">
      <c r="H1522" s="37"/>
      <c r="I1522" s="79"/>
      <c r="J1522" s="70"/>
      <c r="K1522" s="57"/>
      <c r="L1522" s="11"/>
      <c r="M1522" s="41"/>
      <c r="N1522" s="11"/>
    </row>
    <row r="1523" spans="8:14" x14ac:dyDescent="0.25">
      <c r="H1523" s="37"/>
      <c r="I1523" s="79"/>
      <c r="J1523" s="70"/>
      <c r="K1523" s="57"/>
      <c r="L1523" s="11"/>
      <c r="M1523" s="41"/>
      <c r="N1523" s="11"/>
    </row>
    <row r="1524" spans="8:14" x14ac:dyDescent="0.25">
      <c r="H1524" s="37"/>
      <c r="I1524" s="79"/>
      <c r="J1524" s="70"/>
      <c r="K1524" s="57"/>
      <c r="L1524" s="11"/>
      <c r="M1524" s="41"/>
      <c r="N1524" s="11"/>
    </row>
    <row r="1525" spans="8:14" x14ac:dyDescent="0.25">
      <c r="H1525" s="37"/>
      <c r="I1525" s="79"/>
      <c r="J1525" s="70"/>
      <c r="K1525" s="57"/>
      <c r="L1525" s="11"/>
      <c r="M1525" s="41"/>
      <c r="N1525" s="11"/>
    </row>
    <row r="1526" spans="8:14" x14ac:dyDescent="0.25">
      <c r="H1526" s="37"/>
      <c r="I1526" s="79"/>
      <c r="J1526" s="70"/>
      <c r="K1526" s="57"/>
      <c r="L1526" s="11"/>
      <c r="M1526" s="41"/>
      <c r="N1526" s="11"/>
    </row>
    <row r="1527" spans="8:14" x14ac:dyDescent="0.25">
      <c r="H1527" s="37"/>
      <c r="I1527" s="79"/>
      <c r="J1527" s="70"/>
      <c r="K1527" s="57"/>
      <c r="L1527" s="11"/>
      <c r="M1527" s="41"/>
      <c r="N1527" s="11"/>
    </row>
    <row r="1528" spans="8:14" x14ac:dyDescent="0.25">
      <c r="H1528" s="37"/>
      <c r="I1528" s="79"/>
      <c r="J1528" s="70"/>
      <c r="K1528" s="57"/>
      <c r="L1528" s="11"/>
      <c r="M1528" s="41"/>
      <c r="N1528" s="11"/>
    </row>
    <row r="1529" spans="8:14" x14ac:dyDescent="0.25">
      <c r="H1529" s="37"/>
      <c r="I1529" s="79"/>
      <c r="J1529" s="70"/>
      <c r="K1529" s="57"/>
      <c r="L1529" s="11"/>
      <c r="M1529" s="41"/>
      <c r="N1529" s="11"/>
    </row>
    <row r="1530" spans="8:14" x14ac:dyDescent="0.25">
      <c r="H1530" s="37"/>
      <c r="I1530" s="79"/>
      <c r="J1530" s="70"/>
      <c r="K1530" s="57"/>
      <c r="L1530" s="11"/>
      <c r="M1530" s="41"/>
      <c r="N1530" s="11"/>
    </row>
    <row r="1531" spans="8:14" x14ac:dyDescent="0.25">
      <c r="H1531" s="37"/>
      <c r="I1531" s="79"/>
      <c r="J1531" s="70"/>
      <c r="K1531" s="57"/>
      <c r="L1531" s="11"/>
      <c r="M1531" s="41"/>
      <c r="N1531" s="11"/>
    </row>
    <row r="1532" spans="8:14" x14ac:dyDescent="0.25">
      <c r="H1532" s="37"/>
      <c r="I1532" s="79"/>
      <c r="J1532" s="70"/>
      <c r="K1532" s="57"/>
      <c r="L1532" s="11"/>
      <c r="M1532" s="41"/>
      <c r="N1532" s="11"/>
    </row>
    <row r="1533" spans="8:14" x14ac:dyDescent="0.25">
      <c r="H1533" s="37"/>
      <c r="I1533" s="79"/>
      <c r="J1533" s="70"/>
      <c r="K1533" s="57"/>
      <c r="L1533" s="11"/>
      <c r="M1533" s="41"/>
      <c r="N1533" s="11"/>
    </row>
    <row r="1534" spans="8:14" x14ac:dyDescent="0.25">
      <c r="H1534" s="37"/>
      <c r="I1534" s="79"/>
      <c r="J1534" s="70"/>
      <c r="K1534" s="57"/>
      <c r="L1534" s="11"/>
      <c r="M1534" s="41"/>
      <c r="N1534" s="11"/>
    </row>
    <row r="1535" spans="8:14" x14ac:dyDescent="0.25">
      <c r="H1535" s="37"/>
      <c r="I1535" s="79"/>
      <c r="J1535" s="70"/>
      <c r="K1535" s="57"/>
      <c r="L1535" s="11"/>
      <c r="M1535" s="41"/>
      <c r="N1535" s="11"/>
    </row>
    <row r="1536" spans="8:14" x14ac:dyDescent="0.25">
      <c r="H1536" s="37"/>
      <c r="I1536" s="79"/>
      <c r="J1536" s="70"/>
      <c r="K1536" s="57"/>
      <c r="L1536" s="11"/>
      <c r="M1536" s="41"/>
      <c r="N1536" s="11"/>
    </row>
    <row r="1537" spans="8:14" x14ac:dyDescent="0.25">
      <c r="H1537" s="37"/>
      <c r="I1537" s="79"/>
      <c r="J1537" s="70"/>
      <c r="K1537" s="57"/>
      <c r="L1537" s="11"/>
      <c r="M1537" s="41"/>
      <c r="N1537" s="11"/>
    </row>
    <row r="1538" spans="8:14" x14ac:dyDescent="0.25">
      <c r="H1538" s="37"/>
      <c r="I1538" s="79"/>
      <c r="J1538" s="70"/>
      <c r="K1538" s="57"/>
      <c r="L1538" s="11"/>
      <c r="M1538" s="41"/>
      <c r="N1538" s="11"/>
    </row>
    <row r="1539" spans="8:14" x14ac:dyDescent="0.25">
      <c r="H1539" s="37"/>
      <c r="I1539" s="79"/>
      <c r="J1539" s="70"/>
      <c r="K1539" s="57"/>
      <c r="L1539" s="11"/>
      <c r="M1539" s="41"/>
      <c r="N1539" s="11"/>
    </row>
    <row r="1540" spans="8:14" x14ac:dyDescent="0.25">
      <c r="H1540" s="37"/>
      <c r="I1540" s="79"/>
      <c r="J1540" s="70"/>
      <c r="K1540" s="57"/>
      <c r="L1540" s="11"/>
      <c r="M1540" s="41"/>
      <c r="N1540" s="11"/>
    </row>
    <row r="1541" spans="8:14" x14ac:dyDescent="0.25">
      <c r="H1541" s="37"/>
      <c r="I1541" s="79"/>
      <c r="J1541" s="70"/>
      <c r="K1541" s="57"/>
      <c r="L1541" s="11"/>
      <c r="M1541" s="41"/>
      <c r="N1541" s="11"/>
    </row>
    <row r="1542" spans="8:14" x14ac:dyDescent="0.25">
      <c r="H1542" s="37"/>
      <c r="I1542" s="79"/>
      <c r="J1542" s="70"/>
      <c r="K1542" s="57"/>
      <c r="L1542" s="11"/>
      <c r="M1542" s="41"/>
      <c r="N1542" s="11"/>
    </row>
    <row r="1543" spans="8:14" x14ac:dyDescent="0.25">
      <c r="H1543" s="37"/>
      <c r="I1543" s="79"/>
      <c r="J1543" s="70"/>
      <c r="K1543" s="57"/>
      <c r="L1543" s="11"/>
      <c r="M1543" s="41"/>
      <c r="N1543" s="11"/>
    </row>
    <row r="1544" spans="8:14" x14ac:dyDescent="0.25">
      <c r="H1544" s="37"/>
      <c r="I1544" s="79"/>
      <c r="J1544" s="70"/>
      <c r="K1544" s="57"/>
      <c r="L1544" s="11"/>
      <c r="M1544" s="41"/>
      <c r="N1544" s="11"/>
    </row>
    <row r="1545" spans="8:14" x14ac:dyDescent="0.25">
      <c r="H1545" s="37"/>
      <c r="I1545" s="79"/>
      <c r="J1545" s="70"/>
      <c r="K1545" s="57"/>
      <c r="L1545" s="11"/>
      <c r="M1545" s="41"/>
      <c r="N1545" s="11"/>
    </row>
    <row r="1546" spans="8:14" x14ac:dyDescent="0.25">
      <c r="H1546" s="37"/>
      <c r="I1546" s="79"/>
      <c r="J1546" s="70"/>
      <c r="K1546" s="57"/>
      <c r="L1546" s="11"/>
      <c r="M1546" s="41"/>
      <c r="N1546" s="11"/>
    </row>
    <row r="1547" spans="8:14" x14ac:dyDescent="0.25">
      <c r="H1547" s="37"/>
      <c r="I1547" s="79"/>
      <c r="J1547" s="70"/>
      <c r="K1547" s="57"/>
      <c r="L1547" s="11"/>
      <c r="M1547" s="41"/>
      <c r="N1547" s="11"/>
    </row>
    <row r="1548" spans="8:14" x14ac:dyDescent="0.25">
      <c r="H1548" s="37"/>
      <c r="I1548" s="79"/>
      <c r="J1548" s="70"/>
      <c r="K1548" s="57"/>
      <c r="L1548" s="11"/>
      <c r="M1548" s="41"/>
      <c r="N1548" s="11"/>
    </row>
    <row r="1549" spans="8:14" x14ac:dyDescent="0.25">
      <c r="H1549" s="37"/>
      <c r="I1549" s="79"/>
      <c r="J1549" s="70"/>
      <c r="K1549" s="57"/>
      <c r="L1549" s="11"/>
      <c r="M1549" s="41"/>
      <c r="N1549" s="11"/>
    </row>
    <row r="1550" spans="8:14" x14ac:dyDescent="0.25">
      <c r="H1550" s="37"/>
      <c r="I1550" s="79"/>
      <c r="J1550" s="70"/>
      <c r="K1550" s="57"/>
      <c r="L1550" s="11"/>
      <c r="M1550" s="41"/>
      <c r="N1550" s="11"/>
    </row>
    <row r="1551" spans="8:14" x14ac:dyDescent="0.25">
      <c r="H1551" s="37"/>
      <c r="I1551" s="79"/>
      <c r="J1551" s="70"/>
      <c r="K1551" s="57"/>
      <c r="L1551" s="11"/>
      <c r="M1551" s="41"/>
      <c r="N1551" s="11"/>
    </row>
    <row r="1552" spans="8:14" x14ac:dyDescent="0.25">
      <c r="H1552" s="37"/>
      <c r="I1552" s="79"/>
      <c r="J1552" s="70"/>
      <c r="K1552" s="57"/>
      <c r="L1552" s="11"/>
      <c r="M1552" s="41"/>
      <c r="N1552" s="11"/>
    </row>
    <row r="1553" spans="8:14" x14ac:dyDescent="0.25">
      <c r="H1553" s="37"/>
      <c r="I1553" s="79"/>
      <c r="J1553" s="70"/>
      <c r="K1553" s="57"/>
      <c r="L1553" s="11"/>
      <c r="M1553" s="41"/>
      <c r="N1553" s="11"/>
    </row>
    <row r="1554" spans="8:14" x14ac:dyDescent="0.25">
      <c r="H1554" s="37"/>
      <c r="I1554" s="79"/>
      <c r="J1554" s="70"/>
      <c r="K1554" s="57"/>
      <c r="L1554" s="11"/>
      <c r="M1554" s="41"/>
      <c r="N1554" s="11"/>
    </row>
    <row r="1555" spans="8:14" x14ac:dyDescent="0.25">
      <c r="H1555" s="37"/>
      <c r="I1555" s="79"/>
      <c r="J1555" s="70"/>
      <c r="K1555" s="57"/>
      <c r="L1555" s="11"/>
      <c r="M1555" s="41"/>
      <c r="N1555" s="11"/>
    </row>
    <row r="1556" spans="8:14" x14ac:dyDescent="0.25">
      <c r="H1556" s="37"/>
      <c r="I1556" s="79"/>
      <c r="J1556" s="70"/>
      <c r="K1556" s="57"/>
      <c r="L1556" s="11"/>
      <c r="M1556" s="41"/>
      <c r="N1556" s="11"/>
    </row>
    <row r="1557" spans="8:14" x14ac:dyDescent="0.25">
      <c r="H1557" s="37"/>
      <c r="I1557" s="79"/>
      <c r="J1557" s="70"/>
      <c r="K1557" s="57"/>
      <c r="L1557" s="11"/>
      <c r="M1557" s="41"/>
      <c r="N1557" s="11"/>
    </row>
    <row r="1558" spans="8:14" x14ac:dyDescent="0.25">
      <c r="H1558" s="37"/>
      <c r="I1558" s="79"/>
      <c r="J1558" s="70"/>
      <c r="K1558" s="57"/>
      <c r="L1558" s="11"/>
      <c r="M1558" s="41"/>
      <c r="N1558" s="11"/>
    </row>
    <row r="1559" spans="8:14" x14ac:dyDescent="0.25">
      <c r="H1559" s="37"/>
      <c r="I1559" s="79"/>
      <c r="J1559" s="70"/>
      <c r="K1559" s="57"/>
      <c r="L1559" s="11"/>
      <c r="M1559" s="41"/>
      <c r="N1559" s="11"/>
    </row>
    <row r="1560" spans="8:14" x14ac:dyDescent="0.25">
      <c r="H1560" s="37"/>
      <c r="I1560" s="79"/>
      <c r="J1560" s="70"/>
      <c r="K1560" s="57"/>
      <c r="L1560" s="11"/>
      <c r="M1560" s="41"/>
      <c r="N1560" s="11"/>
    </row>
    <row r="1561" spans="8:14" x14ac:dyDescent="0.25">
      <c r="H1561" s="37"/>
      <c r="I1561" s="79"/>
      <c r="J1561" s="70"/>
      <c r="K1561" s="57"/>
      <c r="L1561" s="11"/>
      <c r="M1561" s="41"/>
      <c r="N1561" s="11"/>
    </row>
    <row r="1562" spans="8:14" x14ac:dyDescent="0.25">
      <c r="H1562" s="37"/>
      <c r="I1562" s="79"/>
      <c r="J1562" s="70"/>
      <c r="K1562" s="57"/>
      <c r="L1562" s="11"/>
      <c r="M1562" s="41"/>
      <c r="N1562" s="11"/>
    </row>
    <row r="1563" spans="8:14" x14ac:dyDescent="0.25">
      <c r="H1563" s="37"/>
      <c r="I1563" s="79"/>
      <c r="J1563" s="70"/>
      <c r="K1563" s="57"/>
      <c r="L1563" s="11"/>
      <c r="M1563" s="41"/>
      <c r="N1563" s="11"/>
    </row>
    <row r="1564" spans="8:14" x14ac:dyDescent="0.25">
      <c r="H1564" s="37"/>
      <c r="I1564" s="79"/>
      <c r="J1564" s="70"/>
      <c r="K1564" s="57"/>
      <c r="L1564" s="11"/>
      <c r="M1564" s="41"/>
      <c r="N1564" s="11"/>
    </row>
    <row r="1565" spans="8:14" x14ac:dyDescent="0.25">
      <c r="H1565" s="37"/>
      <c r="I1565" s="79"/>
      <c r="J1565" s="70"/>
      <c r="K1565" s="57"/>
      <c r="L1565" s="11"/>
      <c r="M1565" s="41"/>
      <c r="N1565" s="11"/>
    </row>
    <row r="1566" spans="8:14" x14ac:dyDescent="0.25">
      <c r="H1566" s="37"/>
      <c r="I1566" s="79"/>
      <c r="J1566" s="70"/>
      <c r="K1566" s="57"/>
      <c r="L1566" s="11"/>
      <c r="M1566" s="41"/>
      <c r="N1566" s="11"/>
    </row>
    <row r="1567" spans="8:14" x14ac:dyDescent="0.25">
      <c r="H1567" s="37"/>
      <c r="I1567" s="79"/>
      <c r="J1567" s="70"/>
      <c r="K1567" s="57"/>
      <c r="L1567" s="11"/>
      <c r="M1567" s="41"/>
      <c r="N1567" s="11"/>
    </row>
    <row r="1568" spans="8:14" x14ac:dyDescent="0.25">
      <c r="H1568" s="37"/>
      <c r="I1568" s="79"/>
      <c r="J1568" s="70"/>
      <c r="K1568" s="57"/>
      <c r="L1568" s="11"/>
      <c r="M1568" s="41"/>
      <c r="N1568" s="11"/>
    </row>
    <row r="1569" spans="8:14" x14ac:dyDescent="0.25">
      <c r="H1569" s="37"/>
      <c r="I1569" s="79"/>
      <c r="J1569" s="70"/>
      <c r="K1569" s="57"/>
      <c r="L1569" s="11"/>
      <c r="M1569" s="41"/>
      <c r="N1569" s="11"/>
    </row>
    <row r="1570" spans="8:14" x14ac:dyDescent="0.25">
      <c r="H1570" s="37"/>
      <c r="I1570" s="79"/>
      <c r="J1570" s="70"/>
      <c r="K1570" s="57"/>
      <c r="L1570" s="11"/>
      <c r="M1570" s="41"/>
      <c r="N1570" s="11"/>
    </row>
    <row r="1571" spans="8:14" x14ac:dyDescent="0.25">
      <c r="H1571" s="37"/>
      <c r="I1571" s="79"/>
      <c r="J1571" s="70"/>
      <c r="K1571" s="57"/>
      <c r="L1571" s="11"/>
      <c r="M1571" s="41"/>
      <c r="N1571" s="11"/>
    </row>
    <row r="1572" spans="8:14" x14ac:dyDescent="0.25">
      <c r="H1572" s="37"/>
      <c r="I1572" s="79"/>
      <c r="J1572" s="70"/>
      <c r="K1572" s="57"/>
      <c r="L1572" s="11"/>
      <c r="M1572" s="41"/>
      <c r="N1572" s="11"/>
    </row>
    <row r="1573" spans="8:14" x14ac:dyDescent="0.25">
      <c r="H1573" s="37"/>
      <c r="I1573" s="79"/>
      <c r="J1573" s="70"/>
      <c r="K1573" s="57"/>
      <c r="L1573" s="11"/>
      <c r="M1573" s="41"/>
      <c r="N1573" s="11"/>
    </row>
    <row r="1574" spans="8:14" x14ac:dyDescent="0.25">
      <c r="H1574" s="37"/>
      <c r="I1574" s="79"/>
      <c r="J1574" s="70"/>
      <c r="K1574" s="57"/>
      <c r="L1574" s="11"/>
      <c r="M1574" s="41"/>
      <c r="N1574" s="11"/>
    </row>
    <row r="1575" spans="8:14" x14ac:dyDescent="0.25">
      <c r="H1575" s="37"/>
      <c r="I1575" s="79"/>
      <c r="J1575" s="70"/>
      <c r="K1575" s="57"/>
      <c r="L1575" s="11"/>
      <c r="M1575" s="41"/>
      <c r="N1575" s="11"/>
    </row>
    <row r="1576" spans="8:14" x14ac:dyDescent="0.25">
      <c r="H1576" s="37"/>
      <c r="I1576" s="79"/>
      <c r="J1576" s="70"/>
      <c r="K1576" s="57"/>
      <c r="L1576" s="11"/>
      <c r="M1576" s="41"/>
      <c r="N1576" s="11"/>
    </row>
    <row r="1577" spans="8:14" x14ac:dyDescent="0.25">
      <c r="H1577" s="37"/>
      <c r="I1577" s="79"/>
      <c r="J1577" s="70"/>
      <c r="K1577" s="57"/>
      <c r="L1577" s="11"/>
      <c r="M1577" s="41"/>
      <c r="N1577" s="11"/>
    </row>
    <row r="1578" spans="8:14" x14ac:dyDescent="0.25">
      <c r="H1578" s="37"/>
      <c r="I1578" s="79"/>
      <c r="J1578" s="70"/>
      <c r="K1578" s="57"/>
      <c r="L1578" s="11"/>
      <c r="M1578" s="41"/>
      <c r="N1578" s="11"/>
    </row>
    <row r="1579" spans="8:14" x14ac:dyDescent="0.25">
      <c r="H1579" s="37"/>
      <c r="I1579" s="79"/>
      <c r="J1579" s="70"/>
      <c r="K1579" s="57"/>
      <c r="L1579" s="11"/>
      <c r="M1579" s="41"/>
      <c r="N1579" s="11"/>
    </row>
    <row r="1580" spans="8:14" x14ac:dyDescent="0.25">
      <c r="H1580" s="37"/>
      <c r="I1580" s="79"/>
      <c r="J1580" s="70"/>
      <c r="K1580" s="57"/>
      <c r="L1580" s="11"/>
      <c r="M1580" s="41"/>
      <c r="N1580" s="11"/>
    </row>
    <row r="1581" spans="8:14" x14ac:dyDescent="0.25">
      <c r="H1581" s="37"/>
      <c r="I1581" s="79"/>
      <c r="J1581" s="70"/>
      <c r="K1581" s="57"/>
      <c r="L1581" s="11"/>
      <c r="M1581" s="41"/>
      <c r="N1581" s="11"/>
    </row>
    <row r="1582" spans="8:14" x14ac:dyDescent="0.25">
      <c r="H1582" s="37"/>
      <c r="I1582" s="79"/>
      <c r="J1582" s="70"/>
      <c r="K1582" s="57"/>
      <c r="L1582" s="11"/>
      <c r="M1582" s="41"/>
      <c r="N1582" s="11"/>
    </row>
    <row r="1583" spans="8:14" x14ac:dyDescent="0.25">
      <c r="H1583" s="37"/>
      <c r="I1583" s="79"/>
      <c r="J1583" s="70"/>
      <c r="K1583" s="57"/>
      <c r="L1583" s="11"/>
      <c r="M1583" s="41"/>
      <c r="N1583" s="11"/>
    </row>
    <row r="1584" spans="8:14" x14ac:dyDescent="0.25">
      <c r="H1584" s="37"/>
      <c r="I1584" s="79"/>
      <c r="J1584" s="70"/>
      <c r="K1584" s="57"/>
      <c r="L1584" s="11"/>
      <c r="M1584" s="41"/>
      <c r="N1584" s="11"/>
    </row>
    <row r="1585" spans="8:14" x14ac:dyDescent="0.25">
      <c r="H1585" s="37"/>
      <c r="I1585" s="79"/>
      <c r="J1585" s="70"/>
      <c r="K1585" s="57"/>
      <c r="L1585" s="11"/>
      <c r="M1585" s="41"/>
      <c r="N1585" s="11"/>
    </row>
    <row r="1586" spans="8:14" x14ac:dyDescent="0.25">
      <c r="H1586" s="37"/>
      <c r="I1586" s="79"/>
      <c r="J1586" s="70"/>
      <c r="K1586" s="57"/>
      <c r="L1586" s="11"/>
      <c r="M1586" s="41"/>
      <c r="N1586" s="11"/>
    </row>
    <row r="1587" spans="8:14" x14ac:dyDescent="0.25">
      <c r="H1587" s="37"/>
      <c r="I1587" s="79"/>
      <c r="J1587" s="70"/>
      <c r="K1587" s="57"/>
      <c r="L1587" s="11"/>
      <c r="M1587" s="41"/>
      <c r="N1587" s="11"/>
    </row>
    <row r="1588" spans="8:14" x14ac:dyDescent="0.25">
      <c r="H1588" s="37"/>
      <c r="I1588" s="79"/>
      <c r="J1588" s="70"/>
      <c r="K1588" s="57"/>
      <c r="L1588" s="11"/>
      <c r="M1588" s="41"/>
      <c r="N1588" s="11"/>
    </row>
    <row r="1589" spans="8:14" x14ac:dyDescent="0.25">
      <c r="H1589" s="37"/>
      <c r="I1589" s="79"/>
      <c r="J1589" s="70"/>
      <c r="K1589" s="57"/>
      <c r="L1589" s="11"/>
      <c r="M1589" s="41"/>
      <c r="N1589" s="11"/>
    </row>
    <row r="1590" spans="8:14" x14ac:dyDescent="0.25">
      <c r="H1590" s="37"/>
      <c r="I1590" s="79"/>
      <c r="J1590" s="70"/>
      <c r="K1590" s="57"/>
      <c r="L1590" s="11"/>
      <c r="M1590" s="41"/>
      <c r="N1590" s="11"/>
    </row>
    <row r="1591" spans="8:14" x14ac:dyDescent="0.25">
      <c r="H1591" s="37"/>
      <c r="I1591" s="79"/>
      <c r="J1591" s="70"/>
      <c r="K1591" s="57"/>
      <c r="L1591" s="11"/>
      <c r="M1591" s="41"/>
      <c r="N1591" s="11"/>
    </row>
    <row r="1592" spans="8:14" x14ac:dyDescent="0.25">
      <c r="H1592" s="37"/>
      <c r="I1592" s="79"/>
      <c r="J1592" s="70"/>
      <c r="K1592" s="57"/>
      <c r="L1592" s="11"/>
      <c r="M1592" s="41"/>
      <c r="N1592" s="11"/>
    </row>
    <row r="1593" spans="8:14" x14ac:dyDescent="0.25">
      <c r="H1593" s="37"/>
      <c r="I1593" s="79"/>
      <c r="J1593" s="70"/>
      <c r="K1593" s="57"/>
      <c r="L1593" s="11"/>
      <c r="M1593" s="41"/>
      <c r="N1593" s="11"/>
    </row>
    <row r="1594" spans="8:14" x14ac:dyDescent="0.25">
      <c r="H1594" s="37"/>
      <c r="I1594" s="79"/>
      <c r="J1594" s="70"/>
      <c r="K1594" s="57"/>
      <c r="L1594" s="11"/>
      <c r="M1594" s="41"/>
      <c r="N1594" s="11"/>
    </row>
    <row r="1595" spans="8:14" x14ac:dyDescent="0.25">
      <c r="H1595" s="37"/>
      <c r="I1595" s="79"/>
      <c r="J1595" s="70"/>
      <c r="K1595" s="57"/>
      <c r="L1595" s="11"/>
      <c r="M1595" s="41"/>
      <c r="N1595" s="11"/>
    </row>
    <row r="1596" spans="8:14" x14ac:dyDescent="0.25">
      <c r="H1596" s="37"/>
      <c r="I1596" s="79"/>
      <c r="J1596" s="70"/>
      <c r="K1596" s="57"/>
      <c r="L1596" s="11"/>
      <c r="M1596" s="41"/>
      <c r="N1596" s="11"/>
    </row>
    <row r="1597" spans="8:14" x14ac:dyDescent="0.25">
      <c r="H1597" s="37"/>
      <c r="I1597" s="79"/>
      <c r="J1597" s="70"/>
      <c r="K1597" s="57"/>
      <c r="L1597" s="11"/>
      <c r="M1597" s="41"/>
      <c r="N1597" s="11"/>
    </row>
    <row r="1598" spans="8:14" x14ac:dyDescent="0.25">
      <c r="H1598" s="37"/>
      <c r="I1598" s="79"/>
      <c r="J1598" s="70"/>
      <c r="K1598" s="57"/>
      <c r="L1598" s="11"/>
      <c r="M1598" s="41"/>
      <c r="N1598" s="11"/>
    </row>
    <row r="1599" spans="8:14" x14ac:dyDescent="0.25">
      <c r="H1599" s="37"/>
      <c r="I1599" s="79"/>
      <c r="J1599" s="70"/>
      <c r="K1599" s="57"/>
      <c r="L1599" s="11"/>
      <c r="M1599" s="41"/>
      <c r="N1599" s="11"/>
    </row>
    <row r="1600" spans="8:14" x14ac:dyDescent="0.25">
      <c r="H1600" s="37"/>
      <c r="I1600" s="79"/>
      <c r="J1600" s="70"/>
      <c r="K1600" s="57"/>
      <c r="L1600" s="11"/>
      <c r="M1600" s="41"/>
      <c r="N1600" s="11"/>
    </row>
    <row r="1601" spans="8:14" x14ac:dyDescent="0.25">
      <c r="H1601" s="37"/>
      <c r="I1601" s="79"/>
      <c r="J1601" s="70"/>
      <c r="K1601" s="57"/>
      <c r="L1601" s="11"/>
      <c r="M1601" s="41"/>
      <c r="N1601" s="11"/>
    </row>
    <row r="1602" spans="8:14" x14ac:dyDescent="0.25">
      <c r="H1602" s="37"/>
      <c r="I1602" s="79"/>
      <c r="J1602" s="70"/>
      <c r="K1602" s="57"/>
      <c r="L1602" s="11"/>
      <c r="M1602" s="41"/>
      <c r="N1602" s="11"/>
    </row>
    <row r="1603" spans="8:14" x14ac:dyDescent="0.25">
      <c r="H1603" s="37"/>
      <c r="I1603" s="79"/>
      <c r="J1603" s="70"/>
      <c r="K1603" s="57"/>
      <c r="L1603" s="11"/>
      <c r="M1603" s="41"/>
      <c r="N1603" s="11"/>
    </row>
    <row r="1604" spans="8:14" x14ac:dyDescent="0.25">
      <c r="H1604" s="37"/>
      <c r="I1604" s="79"/>
      <c r="J1604" s="70"/>
      <c r="K1604" s="57"/>
      <c r="L1604" s="11"/>
      <c r="M1604" s="41"/>
      <c r="N1604" s="11"/>
    </row>
    <row r="1605" spans="8:14" x14ac:dyDescent="0.25">
      <c r="H1605" s="37"/>
      <c r="I1605" s="79"/>
      <c r="J1605" s="70"/>
      <c r="K1605" s="57"/>
      <c r="L1605" s="11"/>
      <c r="M1605" s="41"/>
      <c r="N1605" s="11"/>
    </row>
    <row r="1606" spans="8:14" x14ac:dyDescent="0.25">
      <c r="H1606" s="37"/>
      <c r="I1606" s="79"/>
      <c r="J1606" s="70"/>
      <c r="K1606" s="57"/>
      <c r="L1606" s="11"/>
      <c r="M1606" s="41"/>
      <c r="N1606" s="11"/>
    </row>
    <row r="1607" spans="8:14" x14ac:dyDescent="0.25">
      <c r="H1607" s="37"/>
      <c r="I1607" s="79"/>
      <c r="J1607" s="70"/>
      <c r="K1607" s="57"/>
      <c r="L1607" s="11"/>
      <c r="M1607" s="41"/>
      <c r="N1607" s="11"/>
    </row>
    <row r="1608" spans="8:14" x14ac:dyDescent="0.25">
      <c r="H1608" s="37"/>
      <c r="I1608" s="79"/>
      <c r="J1608" s="70"/>
      <c r="K1608" s="57"/>
      <c r="L1608" s="11"/>
      <c r="M1608" s="41"/>
      <c r="N1608" s="11"/>
    </row>
    <row r="1609" spans="8:14" x14ac:dyDescent="0.25">
      <c r="H1609" s="37"/>
      <c r="I1609" s="79"/>
      <c r="J1609" s="70"/>
      <c r="K1609" s="57"/>
      <c r="L1609" s="11"/>
      <c r="M1609" s="41"/>
      <c r="N1609" s="11"/>
    </row>
    <row r="1610" spans="8:14" x14ac:dyDescent="0.25">
      <c r="H1610" s="37"/>
      <c r="I1610" s="79"/>
      <c r="J1610" s="70"/>
      <c r="K1610" s="57"/>
      <c r="L1610" s="11"/>
      <c r="M1610" s="41"/>
      <c r="N1610" s="11"/>
    </row>
    <row r="1611" spans="8:14" x14ac:dyDescent="0.25">
      <c r="H1611" s="37"/>
      <c r="I1611" s="79"/>
      <c r="J1611" s="70"/>
      <c r="K1611" s="57"/>
      <c r="L1611" s="11"/>
      <c r="M1611" s="41"/>
      <c r="N1611" s="11"/>
    </row>
    <row r="1612" spans="8:14" x14ac:dyDescent="0.25">
      <c r="H1612" s="37"/>
      <c r="I1612" s="79"/>
      <c r="J1612" s="70"/>
      <c r="K1612" s="57"/>
      <c r="L1612" s="11"/>
      <c r="M1612" s="41"/>
      <c r="N1612" s="11"/>
    </row>
    <row r="1613" spans="8:14" x14ac:dyDescent="0.25">
      <c r="H1613" s="37"/>
      <c r="I1613" s="79"/>
      <c r="J1613" s="70"/>
      <c r="K1613" s="57"/>
      <c r="L1613" s="11"/>
      <c r="M1613" s="41"/>
      <c r="N1613" s="11"/>
    </row>
    <row r="1614" spans="8:14" x14ac:dyDescent="0.25">
      <c r="H1614" s="37"/>
      <c r="I1614" s="79"/>
      <c r="J1614" s="70"/>
      <c r="K1614" s="57"/>
      <c r="L1614" s="11"/>
      <c r="M1614" s="41"/>
      <c r="N1614" s="11"/>
    </row>
    <row r="1615" spans="8:14" x14ac:dyDescent="0.25">
      <c r="H1615" s="37"/>
      <c r="I1615" s="79"/>
      <c r="J1615" s="70"/>
      <c r="K1615" s="57"/>
      <c r="L1615" s="11"/>
      <c r="M1615" s="41"/>
      <c r="N1615" s="11"/>
    </row>
    <row r="1616" spans="8:14" x14ac:dyDescent="0.25">
      <c r="H1616" s="37"/>
      <c r="I1616" s="79"/>
      <c r="J1616" s="70"/>
      <c r="K1616" s="57"/>
      <c r="L1616" s="11"/>
      <c r="M1616" s="41"/>
      <c r="N1616" s="11"/>
    </row>
    <row r="1617" spans="8:14" x14ac:dyDescent="0.25">
      <c r="H1617" s="37"/>
      <c r="I1617" s="79"/>
      <c r="J1617" s="70"/>
      <c r="K1617" s="57"/>
      <c r="L1617" s="11"/>
      <c r="M1617" s="41"/>
      <c r="N1617" s="11"/>
    </row>
    <row r="1618" spans="8:14" x14ac:dyDescent="0.25">
      <c r="H1618" s="37"/>
      <c r="I1618" s="79"/>
      <c r="J1618" s="70"/>
      <c r="K1618" s="57"/>
      <c r="L1618" s="11"/>
      <c r="M1618" s="41"/>
      <c r="N1618" s="11"/>
    </row>
    <row r="1619" spans="8:14" x14ac:dyDescent="0.25">
      <c r="H1619" s="37"/>
      <c r="I1619" s="79"/>
      <c r="J1619" s="70"/>
      <c r="K1619" s="57"/>
      <c r="L1619" s="11"/>
      <c r="M1619" s="41"/>
      <c r="N1619" s="11"/>
    </row>
    <row r="1620" spans="8:14" x14ac:dyDescent="0.25">
      <c r="H1620" s="37"/>
      <c r="I1620" s="79"/>
      <c r="J1620" s="70"/>
      <c r="K1620" s="57"/>
      <c r="L1620" s="11"/>
      <c r="M1620" s="41"/>
      <c r="N1620" s="11"/>
    </row>
    <row r="1621" spans="8:14" x14ac:dyDescent="0.25">
      <c r="H1621" s="37"/>
      <c r="I1621" s="79"/>
      <c r="J1621" s="70"/>
      <c r="K1621" s="57"/>
      <c r="L1621" s="11"/>
      <c r="M1621" s="41"/>
      <c r="N1621" s="11"/>
    </row>
    <row r="1622" spans="8:14" x14ac:dyDescent="0.25">
      <c r="H1622" s="37"/>
      <c r="I1622" s="79"/>
      <c r="J1622" s="70"/>
      <c r="K1622" s="57"/>
      <c r="L1622" s="11"/>
      <c r="M1622" s="41"/>
      <c r="N1622" s="11"/>
    </row>
    <row r="1623" spans="8:14" x14ac:dyDescent="0.25">
      <c r="H1623" s="37"/>
      <c r="I1623" s="79"/>
      <c r="J1623" s="70"/>
      <c r="K1623" s="57"/>
      <c r="L1623" s="11"/>
      <c r="M1623" s="41"/>
      <c r="N1623" s="11"/>
    </row>
    <row r="1624" spans="8:14" x14ac:dyDescent="0.25">
      <c r="H1624" s="37"/>
      <c r="I1624" s="79"/>
      <c r="J1624" s="70"/>
      <c r="K1624" s="57"/>
      <c r="L1624" s="11"/>
      <c r="M1624" s="41"/>
      <c r="N1624" s="11"/>
    </row>
    <row r="1625" spans="8:14" x14ac:dyDescent="0.25">
      <c r="H1625" s="37"/>
      <c r="I1625" s="79"/>
      <c r="J1625" s="70"/>
      <c r="K1625" s="57"/>
      <c r="L1625" s="11"/>
      <c r="M1625" s="41"/>
      <c r="N1625" s="11"/>
    </row>
    <row r="1626" spans="8:14" x14ac:dyDescent="0.25">
      <c r="H1626" s="37"/>
      <c r="I1626" s="79"/>
      <c r="J1626" s="70"/>
      <c r="K1626" s="57"/>
      <c r="L1626" s="11"/>
      <c r="M1626" s="41"/>
      <c r="N1626" s="11"/>
    </row>
    <row r="1627" spans="8:14" x14ac:dyDescent="0.25">
      <c r="H1627" s="37"/>
      <c r="I1627" s="79"/>
      <c r="J1627" s="70"/>
      <c r="K1627" s="57"/>
      <c r="L1627" s="11"/>
      <c r="M1627" s="41"/>
      <c r="N1627" s="11"/>
    </row>
    <row r="1628" spans="8:14" x14ac:dyDescent="0.25">
      <c r="H1628" s="37"/>
      <c r="I1628" s="79"/>
      <c r="J1628" s="70"/>
      <c r="K1628" s="57"/>
      <c r="L1628" s="11"/>
      <c r="M1628" s="41"/>
      <c r="N1628" s="11"/>
    </row>
    <row r="1629" spans="8:14" x14ac:dyDescent="0.25">
      <c r="H1629" s="37"/>
      <c r="I1629" s="79"/>
      <c r="J1629" s="70"/>
      <c r="K1629" s="57"/>
      <c r="L1629" s="11"/>
      <c r="M1629" s="41"/>
      <c r="N1629" s="11"/>
    </row>
    <row r="1630" spans="8:14" x14ac:dyDescent="0.25">
      <c r="H1630" s="37"/>
      <c r="I1630" s="79"/>
      <c r="J1630" s="70"/>
      <c r="K1630" s="57"/>
      <c r="L1630" s="11"/>
      <c r="M1630" s="41"/>
      <c r="N1630" s="11"/>
    </row>
    <row r="1631" spans="8:14" x14ac:dyDescent="0.25">
      <c r="H1631" s="37"/>
      <c r="I1631" s="79"/>
      <c r="J1631" s="70"/>
      <c r="K1631" s="57"/>
      <c r="L1631" s="11"/>
      <c r="M1631" s="41"/>
      <c r="N1631" s="11"/>
    </row>
    <row r="1632" spans="8:14" x14ac:dyDescent="0.25">
      <c r="H1632" s="37"/>
      <c r="I1632" s="79"/>
      <c r="J1632" s="70"/>
      <c r="K1632" s="57"/>
      <c r="L1632" s="11"/>
      <c r="M1632" s="41"/>
      <c r="N1632" s="11"/>
    </row>
    <row r="1633" spans="8:14" x14ac:dyDescent="0.25">
      <c r="H1633" s="37"/>
      <c r="I1633" s="79"/>
      <c r="J1633" s="70"/>
      <c r="K1633" s="57"/>
      <c r="L1633" s="11"/>
      <c r="M1633" s="41"/>
      <c r="N1633" s="11"/>
    </row>
    <row r="1634" spans="8:14" x14ac:dyDescent="0.25">
      <c r="H1634" s="37"/>
      <c r="I1634" s="79"/>
      <c r="J1634" s="70"/>
      <c r="K1634" s="57"/>
      <c r="L1634" s="11"/>
      <c r="M1634" s="41"/>
      <c r="N1634" s="11"/>
    </row>
    <row r="1635" spans="8:14" x14ac:dyDescent="0.25">
      <c r="H1635" s="37"/>
      <c r="I1635" s="79"/>
      <c r="J1635" s="70"/>
      <c r="K1635" s="57"/>
      <c r="L1635" s="11"/>
      <c r="M1635" s="41"/>
      <c r="N1635" s="11"/>
    </row>
    <row r="1636" spans="8:14" x14ac:dyDescent="0.25">
      <c r="H1636" s="37"/>
      <c r="I1636" s="79"/>
      <c r="J1636" s="70"/>
      <c r="K1636" s="57"/>
      <c r="L1636" s="11"/>
      <c r="M1636" s="41"/>
      <c r="N1636" s="11"/>
    </row>
    <row r="1637" spans="8:14" x14ac:dyDescent="0.25">
      <c r="H1637" s="37"/>
      <c r="I1637" s="79"/>
      <c r="J1637" s="70"/>
      <c r="K1637" s="57"/>
      <c r="L1637" s="11"/>
      <c r="M1637" s="41"/>
      <c r="N1637" s="11"/>
    </row>
    <row r="1638" spans="8:14" x14ac:dyDescent="0.25">
      <c r="H1638" s="37"/>
      <c r="I1638" s="79"/>
      <c r="J1638" s="70"/>
      <c r="K1638" s="57"/>
      <c r="L1638" s="11"/>
      <c r="M1638" s="41"/>
      <c r="N1638" s="11"/>
    </row>
    <row r="1639" spans="8:14" x14ac:dyDescent="0.25">
      <c r="H1639" s="37"/>
      <c r="I1639" s="79"/>
      <c r="J1639" s="70"/>
      <c r="K1639" s="57"/>
      <c r="L1639" s="11"/>
      <c r="M1639" s="41"/>
      <c r="N1639" s="11"/>
    </row>
    <row r="1640" spans="8:14" x14ac:dyDescent="0.25">
      <c r="H1640" s="37"/>
      <c r="I1640" s="79"/>
      <c r="J1640" s="70"/>
      <c r="K1640" s="57"/>
      <c r="L1640" s="11"/>
      <c r="M1640" s="41"/>
      <c r="N1640" s="11"/>
    </row>
    <row r="1641" spans="8:14" x14ac:dyDescent="0.25">
      <c r="H1641" s="37"/>
      <c r="I1641" s="79"/>
      <c r="J1641" s="70"/>
      <c r="K1641" s="57"/>
      <c r="L1641" s="11"/>
      <c r="M1641" s="41"/>
      <c r="N1641" s="11"/>
    </row>
    <row r="1642" spans="8:14" x14ac:dyDescent="0.25">
      <c r="H1642" s="37"/>
      <c r="I1642" s="79"/>
      <c r="J1642" s="70"/>
      <c r="K1642" s="57"/>
      <c r="L1642" s="11"/>
      <c r="M1642" s="41"/>
      <c r="N1642" s="11"/>
    </row>
    <row r="1643" spans="8:14" x14ac:dyDescent="0.25">
      <c r="H1643" s="37"/>
      <c r="I1643" s="79"/>
      <c r="J1643" s="70"/>
      <c r="K1643" s="57"/>
      <c r="L1643" s="11"/>
      <c r="M1643" s="41"/>
      <c r="N1643" s="11"/>
    </row>
    <row r="1644" spans="8:14" x14ac:dyDescent="0.25">
      <c r="H1644" s="37"/>
      <c r="I1644" s="79"/>
      <c r="J1644" s="70"/>
      <c r="K1644" s="57"/>
      <c r="L1644" s="11"/>
      <c r="M1644" s="41"/>
      <c r="N1644" s="11"/>
    </row>
    <row r="1645" spans="8:14" x14ac:dyDescent="0.25">
      <c r="H1645" s="37"/>
      <c r="I1645" s="79"/>
      <c r="J1645" s="70"/>
      <c r="K1645" s="57"/>
      <c r="L1645" s="11"/>
      <c r="M1645" s="41"/>
      <c r="N1645" s="11"/>
    </row>
    <row r="1646" spans="8:14" x14ac:dyDescent="0.25">
      <c r="H1646" s="37"/>
      <c r="I1646" s="79"/>
      <c r="J1646" s="70"/>
      <c r="K1646" s="57"/>
      <c r="L1646" s="11"/>
      <c r="M1646" s="41"/>
      <c r="N1646" s="11"/>
    </row>
    <row r="1647" spans="8:14" x14ac:dyDescent="0.25">
      <c r="H1647" s="37"/>
      <c r="I1647" s="79"/>
      <c r="J1647" s="70"/>
      <c r="K1647" s="57"/>
      <c r="L1647" s="11"/>
      <c r="M1647" s="41"/>
      <c r="N1647" s="11"/>
    </row>
    <row r="1648" spans="8:14" x14ac:dyDescent="0.25">
      <c r="H1648" s="37"/>
      <c r="I1648" s="79"/>
      <c r="J1648" s="70"/>
      <c r="K1648" s="57"/>
      <c r="L1648" s="11"/>
      <c r="M1648" s="41"/>
      <c r="N1648" s="11"/>
    </row>
    <row r="1649" spans="8:14" x14ac:dyDescent="0.25">
      <c r="H1649" s="37"/>
      <c r="I1649" s="79"/>
      <c r="J1649" s="70"/>
      <c r="K1649" s="57"/>
      <c r="L1649" s="11"/>
      <c r="M1649" s="41"/>
      <c r="N1649" s="11"/>
    </row>
    <row r="1650" spans="8:14" x14ac:dyDescent="0.25">
      <c r="H1650" s="37"/>
      <c r="I1650" s="79"/>
      <c r="J1650" s="70"/>
      <c r="K1650" s="57"/>
      <c r="L1650" s="11"/>
      <c r="M1650" s="41"/>
      <c r="N1650" s="11"/>
    </row>
    <row r="1651" spans="8:14" x14ac:dyDescent="0.25">
      <c r="H1651" s="37"/>
      <c r="I1651" s="79"/>
      <c r="J1651" s="70"/>
      <c r="K1651" s="57"/>
      <c r="L1651" s="11"/>
      <c r="M1651" s="41"/>
      <c r="N1651" s="11"/>
    </row>
    <row r="1652" spans="8:14" x14ac:dyDescent="0.25">
      <c r="H1652" s="37"/>
      <c r="I1652" s="79"/>
      <c r="J1652" s="70"/>
      <c r="K1652" s="57"/>
      <c r="L1652" s="11"/>
      <c r="M1652" s="41"/>
      <c r="N1652" s="11"/>
    </row>
    <row r="1653" spans="8:14" x14ac:dyDescent="0.25">
      <c r="H1653" s="37"/>
      <c r="I1653" s="79"/>
      <c r="J1653" s="70"/>
      <c r="K1653" s="57"/>
      <c r="L1653" s="11"/>
      <c r="M1653" s="41"/>
      <c r="N1653" s="11"/>
    </row>
    <row r="1654" spans="8:14" x14ac:dyDescent="0.25">
      <c r="H1654" s="37"/>
      <c r="I1654" s="79"/>
      <c r="J1654" s="70"/>
      <c r="K1654" s="57"/>
      <c r="L1654" s="11"/>
      <c r="M1654" s="41"/>
      <c r="N1654" s="11"/>
    </row>
    <row r="1655" spans="8:14" x14ac:dyDescent="0.25">
      <c r="H1655" s="37"/>
      <c r="I1655" s="79"/>
      <c r="J1655" s="70"/>
      <c r="K1655" s="57"/>
      <c r="L1655" s="11"/>
      <c r="M1655" s="41"/>
      <c r="N1655" s="11"/>
    </row>
    <row r="1656" spans="8:14" x14ac:dyDescent="0.25">
      <c r="H1656" s="37"/>
      <c r="I1656" s="79"/>
      <c r="J1656" s="70"/>
      <c r="K1656" s="57"/>
      <c r="L1656" s="11"/>
      <c r="M1656" s="41"/>
      <c r="N1656" s="11"/>
    </row>
    <row r="1657" spans="8:14" x14ac:dyDescent="0.25">
      <c r="H1657" s="37"/>
      <c r="I1657" s="79"/>
      <c r="J1657" s="70"/>
      <c r="K1657" s="57"/>
      <c r="L1657" s="11"/>
      <c r="M1657" s="41"/>
      <c r="N1657" s="11"/>
    </row>
    <row r="1658" spans="8:14" x14ac:dyDescent="0.25">
      <c r="H1658" s="37"/>
      <c r="I1658" s="79"/>
      <c r="J1658" s="70"/>
      <c r="K1658" s="57"/>
      <c r="L1658" s="11"/>
      <c r="M1658" s="41"/>
      <c r="N1658" s="11"/>
    </row>
    <row r="1659" spans="8:14" x14ac:dyDescent="0.25">
      <c r="H1659" s="37"/>
      <c r="I1659" s="79"/>
      <c r="J1659" s="70"/>
      <c r="K1659" s="57"/>
      <c r="L1659" s="11"/>
      <c r="M1659" s="41"/>
      <c r="N1659" s="11"/>
    </row>
    <row r="1660" spans="8:14" x14ac:dyDescent="0.25">
      <c r="H1660" s="37"/>
      <c r="I1660" s="79"/>
      <c r="J1660" s="70"/>
      <c r="K1660" s="57"/>
      <c r="L1660" s="11"/>
      <c r="M1660" s="41"/>
      <c r="N1660" s="11"/>
    </row>
    <row r="1661" spans="8:14" x14ac:dyDescent="0.25">
      <c r="H1661" s="37"/>
      <c r="I1661" s="79"/>
      <c r="J1661" s="70"/>
      <c r="K1661" s="57"/>
      <c r="L1661" s="11"/>
      <c r="M1661" s="41"/>
      <c r="N1661" s="11"/>
    </row>
    <row r="1662" spans="8:14" x14ac:dyDescent="0.25">
      <c r="H1662" s="37"/>
      <c r="I1662" s="79"/>
      <c r="J1662" s="70"/>
      <c r="K1662" s="57"/>
      <c r="L1662" s="11"/>
      <c r="M1662" s="41"/>
      <c r="N1662" s="11"/>
    </row>
    <row r="1663" spans="8:14" x14ac:dyDescent="0.25">
      <c r="H1663" s="37"/>
      <c r="I1663" s="79"/>
      <c r="J1663" s="70"/>
      <c r="K1663" s="57"/>
      <c r="L1663" s="11"/>
      <c r="M1663" s="41"/>
      <c r="N1663" s="11"/>
    </row>
    <row r="1664" spans="8:14" x14ac:dyDescent="0.25">
      <c r="H1664" s="37"/>
      <c r="I1664" s="79"/>
      <c r="J1664" s="70"/>
      <c r="K1664" s="57"/>
      <c r="L1664" s="11"/>
      <c r="M1664" s="41"/>
      <c r="N1664" s="11"/>
    </row>
    <row r="1665" spans="8:14" x14ac:dyDescent="0.25">
      <c r="H1665" s="37"/>
      <c r="I1665" s="79"/>
      <c r="J1665" s="70"/>
      <c r="K1665" s="57"/>
      <c r="L1665" s="11"/>
      <c r="M1665" s="41"/>
      <c r="N1665" s="11"/>
    </row>
    <row r="1666" spans="8:14" x14ac:dyDescent="0.25">
      <c r="H1666" s="37"/>
      <c r="I1666" s="79"/>
      <c r="J1666" s="70"/>
      <c r="K1666" s="57"/>
      <c r="L1666" s="11"/>
      <c r="M1666" s="41"/>
      <c r="N1666" s="11"/>
    </row>
    <row r="1667" spans="8:14" x14ac:dyDescent="0.25">
      <c r="H1667" s="37"/>
      <c r="I1667" s="79"/>
      <c r="J1667" s="70"/>
      <c r="K1667" s="57"/>
      <c r="L1667" s="11"/>
      <c r="M1667" s="41"/>
      <c r="N1667" s="11"/>
    </row>
    <row r="1668" spans="8:14" x14ac:dyDescent="0.25">
      <c r="H1668" s="37"/>
      <c r="I1668" s="79"/>
      <c r="J1668" s="70"/>
      <c r="K1668" s="57"/>
      <c r="L1668" s="11"/>
      <c r="M1668" s="41"/>
      <c r="N1668" s="11"/>
    </row>
    <row r="1669" spans="8:14" x14ac:dyDescent="0.25">
      <c r="H1669" s="37"/>
      <c r="I1669" s="79"/>
      <c r="J1669" s="70"/>
      <c r="K1669" s="57"/>
      <c r="L1669" s="11"/>
      <c r="M1669" s="41"/>
      <c r="N1669" s="11"/>
    </row>
    <row r="1670" spans="8:14" x14ac:dyDescent="0.25">
      <c r="H1670" s="37"/>
      <c r="I1670" s="79"/>
      <c r="J1670" s="70"/>
      <c r="K1670" s="57"/>
      <c r="L1670" s="11"/>
      <c r="M1670" s="41"/>
      <c r="N1670" s="11"/>
    </row>
    <row r="1671" spans="8:14" x14ac:dyDescent="0.25">
      <c r="H1671" s="37"/>
      <c r="I1671" s="79"/>
      <c r="J1671" s="70"/>
      <c r="K1671" s="57"/>
      <c r="L1671" s="11"/>
      <c r="M1671" s="41"/>
      <c r="N1671" s="11"/>
    </row>
    <row r="1672" spans="8:14" x14ac:dyDescent="0.25">
      <c r="H1672" s="37"/>
      <c r="I1672" s="79"/>
      <c r="J1672" s="70"/>
      <c r="K1672" s="57"/>
      <c r="L1672" s="11"/>
      <c r="M1672" s="41"/>
      <c r="N1672" s="11"/>
    </row>
    <row r="1673" spans="8:14" x14ac:dyDescent="0.25">
      <c r="H1673" s="37"/>
      <c r="I1673" s="79"/>
      <c r="J1673" s="70"/>
      <c r="K1673" s="57"/>
      <c r="L1673" s="11"/>
      <c r="M1673" s="41"/>
      <c r="N1673" s="11"/>
    </row>
    <row r="1674" spans="8:14" x14ac:dyDescent="0.25">
      <c r="H1674" s="37"/>
      <c r="I1674" s="79"/>
      <c r="J1674" s="70"/>
      <c r="K1674" s="57"/>
      <c r="L1674" s="11"/>
      <c r="M1674" s="41"/>
      <c r="N1674" s="11"/>
    </row>
    <row r="1675" spans="8:14" x14ac:dyDescent="0.25">
      <c r="H1675" s="37"/>
      <c r="I1675" s="79"/>
      <c r="J1675" s="70"/>
      <c r="K1675" s="57"/>
      <c r="L1675" s="11"/>
      <c r="M1675" s="41"/>
      <c r="N1675" s="11"/>
    </row>
    <row r="1676" spans="8:14" x14ac:dyDescent="0.25">
      <c r="H1676" s="37"/>
      <c r="I1676" s="79"/>
      <c r="J1676" s="70"/>
      <c r="K1676" s="57"/>
      <c r="L1676" s="11"/>
      <c r="M1676" s="41"/>
      <c r="N1676" s="11"/>
    </row>
    <row r="1677" spans="8:14" x14ac:dyDescent="0.25">
      <c r="H1677" s="37"/>
      <c r="I1677" s="79"/>
      <c r="J1677" s="70"/>
      <c r="K1677" s="57"/>
      <c r="L1677" s="11"/>
      <c r="M1677" s="41"/>
      <c r="N1677" s="11"/>
    </row>
    <row r="1678" spans="8:14" x14ac:dyDescent="0.25">
      <c r="H1678" s="37"/>
      <c r="I1678" s="79"/>
      <c r="J1678" s="70"/>
      <c r="K1678" s="57"/>
      <c r="L1678" s="11"/>
      <c r="M1678" s="41"/>
      <c r="N1678" s="11"/>
    </row>
    <row r="1679" spans="8:14" x14ac:dyDescent="0.25">
      <c r="H1679" s="37"/>
      <c r="I1679" s="79"/>
      <c r="J1679" s="70"/>
      <c r="K1679" s="57"/>
      <c r="L1679" s="11"/>
      <c r="M1679" s="41"/>
      <c r="N1679" s="11"/>
    </row>
    <row r="1680" spans="8:14" x14ac:dyDescent="0.25">
      <c r="H1680" s="37"/>
      <c r="I1680" s="79"/>
      <c r="J1680" s="70"/>
      <c r="K1680" s="57"/>
      <c r="L1680" s="11"/>
      <c r="M1680" s="41"/>
      <c r="N1680" s="11"/>
    </row>
    <row r="1681" spans="8:14" x14ac:dyDescent="0.25">
      <c r="H1681" s="37"/>
      <c r="I1681" s="79"/>
      <c r="J1681" s="70"/>
      <c r="K1681" s="57"/>
      <c r="L1681" s="11"/>
      <c r="M1681" s="41"/>
      <c r="N1681" s="11"/>
    </row>
    <row r="1682" spans="8:14" x14ac:dyDescent="0.25">
      <c r="H1682" s="37"/>
      <c r="I1682" s="79"/>
      <c r="J1682" s="70"/>
      <c r="K1682" s="57"/>
      <c r="L1682" s="11"/>
      <c r="M1682" s="41"/>
      <c r="N1682" s="11"/>
    </row>
    <row r="1683" spans="8:14" x14ac:dyDescent="0.25">
      <c r="H1683" s="37"/>
      <c r="I1683" s="79"/>
      <c r="J1683" s="70"/>
      <c r="K1683" s="57"/>
      <c r="L1683" s="11"/>
      <c r="M1683" s="41"/>
      <c r="N1683" s="11"/>
    </row>
    <row r="1684" spans="8:14" x14ac:dyDescent="0.25">
      <c r="H1684" s="37"/>
      <c r="I1684" s="79"/>
      <c r="J1684" s="70"/>
      <c r="K1684" s="57"/>
      <c r="L1684" s="11"/>
      <c r="M1684" s="41"/>
      <c r="N1684" s="11"/>
    </row>
    <row r="1685" spans="8:14" x14ac:dyDescent="0.25">
      <c r="H1685" s="37"/>
      <c r="I1685" s="79"/>
      <c r="J1685" s="70"/>
      <c r="K1685" s="57"/>
      <c r="L1685" s="11"/>
      <c r="M1685" s="41"/>
      <c r="N1685" s="11"/>
    </row>
    <row r="1686" spans="8:14" x14ac:dyDescent="0.25">
      <c r="H1686" s="37"/>
      <c r="I1686" s="79"/>
      <c r="J1686" s="70"/>
      <c r="K1686" s="57"/>
      <c r="L1686" s="11"/>
      <c r="M1686" s="41"/>
      <c r="N1686" s="11"/>
    </row>
    <row r="1687" spans="8:14" x14ac:dyDescent="0.25">
      <c r="H1687" s="37"/>
      <c r="I1687" s="79"/>
      <c r="J1687" s="70"/>
      <c r="K1687" s="57"/>
      <c r="L1687" s="11"/>
      <c r="M1687" s="41"/>
      <c r="N1687" s="11"/>
    </row>
    <row r="1688" spans="8:14" x14ac:dyDescent="0.25">
      <c r="H1688" s="37"/>
      <c r="I1688" s="79"/>
      <c r="J1688" s="70"/>
      <c r="K1688" s="57"/>
      <c r="L1688" s="11"/>
      <c r="M1688" s="41"/>
      <c r="N1688" s="11"/>
    </row>
    <row r="1689" spans="8:14" x14ac:dyDescent="0.25">
      <c r="H1689" s="37"/>
      <c r="I1689" s="79"/>
      <c r="J1689" s="70"/>
      <c r="K1689" s="57"/>
      <c r="L1689" s="11"/>
      <c r="M1689" s="41"/>
      <c r="N1689" s="11"/>
    </row>
    <row r="1690" spans="8:14" x14ac:dyDescent="0.25">
      <c r="H1690" s="37"/>
      <c r="I1690" s="79"/>
      <c r="J1690" s="70"/>
      <c r="K1690" s="57"/>
      <c r="L1690" s="11"/>
      <c r="M1690" s="41"/>
      <c r="N1690" s="11"/>
    </row>
    <row r="1691" spans="8:14" x14ac:dyDescent="0.25">
      <c r="H1691" s="37"/>
      <c r="I1691" s="79"/>
      <c r="J1691" s="70"/>
      <c r="K1691" s="57"/>
      <c r="L1691" s="11"/>
      <c r="M1691" s="41"/>
      <c r="N1691" s="11"/>
    </row>
    <row r="1692" spans="8:14" x14ac:dyDescent="0.25">
      <c r="H1692" s="37"/>
      <c r="I1692" s="79"/>
      <c r="J1692" s="70"/>
      <c r="K1692" s="57"/>
      <c r="L1692" s="11"/>
      <c r="M1692" s="41"/>
      <c r="N1692" s="11"/>
    </row>
    <row r="1693" spans="8:14" x14ac:dyDescent="0.25">
      <c r="H1693" s="37"/>
      <c r="I1693" s="79"/>
      <c r="J1693" s="70"/>
      <c r="K1693" s="57"/>
      <c r="L1693" s="11"/>
      <c r="M1693" s="41"/>
      <c r="N1693" s="11"/>
    </row>
    <row r="1694" spans="8:14" x14ac:dyDescent="0.25">
      <c r="H1694" s="37"/>
      <c r="I1694" s="79"/>
      <c r="J1694" s="70"/>
      <c r="K1694" s="57"/>
      <c r="L1694" s="11"/>
      <c r="M1694" s="41"/>
      <c r="N1694" s="11"/>
    </row>
    <row r="1695" spans="8:14" x14ac:dyDescent="0.25">
      <c r="H1695" s="37"/>
      <c r="I1695" s="79"/>
      <c r="J1695" s="70"/>
      <c r="K1695" s="57"/>
      <c r="L1695" s="11"/>
      <c r="M1695" s="41"/>
      <c r="N1695" s="11"/>
    </row>
    <row r="1696" spans="8:14" x14ac:dyDescent="0.25">
      <c r="H1696" s="37"/>
      <c r="I1696" s="79"/>
      <c r="J1696" s="70"/>
      <c r="K1696" s="57"/>
      <c r="L1696" s="11"/>
      <c r="M1696" s="41"/>
      <c r="N1696" s="11"/>
    </row>
    <row r="1697" spans="8:14" x14ac:dyDescent="0.25">
      <c r="H1697" s="37"/>
      <c r="I1697" s="79"/>
      <c r="J1697" s="70"/>
      <c r="K1697" s="57"/>
      <c r="L1697" s="11"/>
      <c r="M1697" s="41"/>
      <c r="N1697" s="11"/>
    </row>
    <row r="1698" spans="8:14" x14ac:dyDescent="0.25">
      <c r="H1698" s="37"/>
      <c r="I1698" s="79"/>
      <c r="J1698" s="70"/>
      <c r="K1698" s="57"/>
      <c r="L1698" s="11"/>
      <c r="M1698" s="41"/>
      <c r="N1698" s="11"/>
    </row>
    <row r="1699" spans="8:14" x14ac:dyDescent="0.25">
      <c r="H1699" s="37"/>
      <c r="I1699" s="79"/>
      <c r="J1699" s="70"/>
      <c r="K1699" s="57"/>
      <c r="L1699" s="11"/>
      <c r="M1699" s="41"/>
      <c r="N1699" s="11"/>
    </row>
    <row r="1700" spans="8:14" x14ac:dyDescent="0.25">
      <c r="H1700" s="37"/>
      <c r="I1700" s="79"/>
      <c r="J1700" s="70"/>
      <c r="K1700" s="57"/>
      <c r="L1700" s="11"/>
      <c r="M1700" s="41"/>
      <c r="N1700" s="11"/>
    </row>
    <row r="1701" spans="8:14" x14ac:dyDescent="0.25">
      <c r="H1701" s="37"/>
      <c r="I1701" s="79"/>
      <c r="J1701" s="70"/>
      <c r="K1701" s="57"/>
      <c r="L1701" s="11"/>
      <c r="M1701" s="41"/>
      <c r="N1701" s="11"/>
    </row>
    <row r="1702" spans="8:14" x14ac:dyDescent="0.25">
      <c r="H1702" s="37"/>
      <c r="I1702" s="79"/>
      <c r="J1702" s="70"/>
      <c r="K1702" s="57"/>
      <c r="L1702" s="11"/>
      <c r="M1702" s="41"/>
      <c r="N1702" s="11"/>
    </row>
    <row r="1703" spans="8:14" x14ac:dyDescent="0.25">
      <c r="H1703" s="37"/>
      <c r="I1703" s="79"/>
      <c r="J1703" s="70"/>
      <c r="K1703" s="57"/>
      <c r="L1703" s="11"/>
      <c r="M1703" s="41"/>
      <c r="N1703" s="11"/>
    </row>
    <row r="1704" spans="8:14" x14ac:dyDescent="0.25">
      <c r="H1704" s="37"/>
      <c r="I1704" s="79"/>
      <c r="J1704" s="70"/>
      <c r="K1704" s="57"/>
      <c r="L1704" s="11"/>
      <c r="M1704" s="41"/>
      <c r="N1704" s="11"/>
    </row>
    <row r="1705" spans="8:14" x14ac:dyDescent="0.25">
      <c r="H1705" s="37"/>
      <c r="I1705" s="79"/>
      <c r="J1705" s="70"/>
      <c r="K1705" s="57"/>
      <c r="L1705" s="11"/>
      <c r="M1705" s="41"/>
      <c r="N1705" s="11"/>
    </row>
    <row r="1706" spans="8:14" x14ac:dyDescent="0.25">
      <c r="H1706" s="37"/>
      <c r="I1706" s="79"/>
      <c r="J1706" s="70"/>
      <c r="K1706" s="57"/>
      <c r="L1706" s="11"/>
      <c r="M1706" s="41"/>
      <c r="N1706" s="11"/>
    </row>
    <row r="1707" spans="8:14" x14ac:dyDescent="0.25">
      <c r="H1707" s="37"/>
      <c r="I1707" s="79"/>
      <c r="J1707" s="70"/>
      <c r="K1707" s="57"/>
      <c r="L1707" s="11"/>
      <c r="M1707" s="41"/>
      <c r="N1707" s="11"/>
    </row>
    <row r="1708" spans="8:14" x14ac:dyDescent="0.25">
      <c r="H1708" s="37"/>
      <c r="I1708" s="79"/>
      <c r="J1708" s="70"/>
      <c r="K1708" s="57"/>
      <c r="L1708" s="11"/>
      <c r="M1708" s="41"/>
      <c r="N1708" s="11"/>
    </row>
    <row r="1709" spans="8:14" x14ac:dyDescent="0.25">
      <c r="H1709" s="37"/>
      <c r="I1709" s="79"/>
      <c r="J1709" s="70"/>
      <c r="K1709" s="57"/>
      <c r="L1709" s="11"/>
      <c r="M1709" s="41"/>
      <c r="N1709" s="11"/>
    </row>
    <row r="1710" spans="8:14" x14ac:dyDescent="0.25">
      <c r="H1710" s="37"/>
      <c r="I1710" s="79"/>
      <c r="J1710" s="70"/>
      <c r="K1710" s="57"/>
      <c r="L1710" s="11"/>
      <c r="M1710" s="41"/>
      <c r="N1710" s="11"/>
    </row>
    <row r="1711" spans="8:14" x14ac:dyDescent="0.25">
      <c r="H1711" s="37"/>
      <c r="I1711" s="79"/>
      <c r="J1711" s="70"/>
      <c r="K1711" s="57"/>
      <c r="L1711" s="11"/>
      <c r="M1711" s="41"/>
      <c r="N1711" s="11"/>
    </row>
    <row r="1712" spans="8:14" x14ac:dyDescent="0.25">
      <c r="H1712" s="37"/>
      <c r="I1712" s="79"/>
      <c r="J1712" s="70"/>
      <c r="K1712" s="57"/>
      <c r="L1712" s="11"/>
      <c r="M1712" s="41"/>
      <c r="N1712" s="11"/>
    </row>
    <row r="1713" spans="8:14" x14ac:dyDescent="0.25">
      <c r="H1713" s="37"/>
      <c r="I1713" s="79"/>
      <c r="J1713" s="70"/>
      <c r="K1713" s="57"/>
      <c r="L1713" s="11"/>
      <c r="M1713" s="41"/>
      <c r="N1713" s="11"/>
    </row>
    <row r="1714" spans="8:14" x14ac:dyDescent="0.25">
      <c r="H1714" s="37"/>
      <c r="I1714" s="79"/>
      <c r="J1714" s="70"/>
      <c r="K1714" s="57"/>
      <c r="L1714" s="11"/>
      <c r="M1714" s="41"/>
      <c r="N1714" s="11"/>
    </row>
    <row r="1715" spans="8:14" x14ac:dyDescent="0.25">
      <c r="H1715" s="37"/>
      <c r="I1715" s="79"/>
      <c r="J1715" s="70"/>
      <c r="K1715" s="57"/>
      <c r="L1715" s="11"/>
      <c r="M1715" s="41"/>
      <c r="N1715" s="11"/>
    </row>
    <row r="1716" spans="8:14" x14ac:dyDescent="0.25">
      <c r="H1716" s="37"/>
      <c r="I1716" s="79"/>
      <c r="J1716" s="70"/>
      <c r="K1716" s="57"/>
      <c r="L1716" s="11"/>
      <c r="M1716" s="41"/>
      <c r="N1716" s="11"/>
    </row>
    <row r="1717" spans="8:14" x14ac:dyDescent="0.25">
      <c r="H1717" s="37"/>
      <c r="I1717" s="79"/>
      <c r="J1717" s="70"/>
      <c r="K1717" s="57"/>
      <c r="L1717" s="11"/>
      <c r="M1717" s="41"/>
      <c r="N1717" s="11"/>
    </row>
    <row r="1718" spans="8:14" x14ac:dyDescent="0.25">
      <c r="H1718" s="37"/>
      <c r="I1718" s="79"/>
      <c r="J1718" s="70"/>
      <c r="K1718" s="57"/>
      <c r="L1718" s="11"/>
      <c r="M1718" s="41"/>
      <c r="N1718" s="11"/>
    </row>
    <row r="1719" spans="8:14" x14ac:dyDescent="0.25">
      <c r="H1719" s="37"/>
      <c r="I1719" s="79"/>
      <c r="J1719" s="70"/>
      <c r="K1719" s="57"/>
      <c r="L1719" s="11"/>
      <c r="M1719" s="41"/>
      <c r="N1719" s="11"/>
    </row>
    <row r="1720" spans="8:14" x14ac:dyDescent="0.25">
      <c r="H1720" s="37"/>
      <c r="I1720" s="79"/>
      <c r="J1720" s="70"/>
      <c r="K1720" s="57"/>
      <c r="L1720" s="11"/>
      <c r="M1720" s="41"/>
      <c r="N1720" s="11"/>
    </row>
    <row r="1721" spans="8:14" x14ac:dyDescent="0.25">
      <c r="H1721" s="37"/>
      <c r="I1721" s="79"/>
      <c r="J1721" s="70"/>
      <c r="K1721" s="57"/>
      <c r="L1721" s="11"/>
      <c r="M1721" s="41"/>
      <c r="N1721" s="11"/>
    </row>
    <row r="1722" spans="8:14" x14ac:dyDescent="0.25">
      <c r="H1722" s="37"/>
      <c r="I1722" s="79"/>
      <c r="J1722" s="70"/>
      <c r="K1722" s="57"/>
      <c r="L1722" s="11"/>
      <c r="M1722" s="41"/>
      <c r="N1722" s="11"/>
    </row>
    <row r="1723" spans="8:14" x14ac:dyDescent="0.25">
      <c r="H1723" s="37"/>
      <c r="I1723" s="79"/>
      <c r="J1723" s="70"/>
      <c r="K1723" s="57"/>
      <c r="L1723" s="11"/>
      <c r="M1723" s="41"/>
      <c r="N1723" s="11"/>
    </row>
    <row r="1724" spans="8:14" x14ac:dyDescent="0.25">
      <c r="H1724" s="37"/>
      <c r="I1724" s="79"/>
      <c r="J1724" s="70"/>
      <c r="K1724" s="57"/>
      <c r="L1724" s="11"/>
      <c r="M1724" s="41"/>
      <c r="N1724" s="11"/>
    </row>
    <row r="1725" spans="8:14" x14ac:dyDescent="0.25">
      <c r="H1725" s="37"/>
      <c r="I1725" s="79"/>
      <c r="J1725" s="70"/>
      <c r="K1725" s="57"/>
      <c r="L1725" s="11"/>
      <c r="M1725" s="41"/>
      <c r="N1725" s="11"/>
    </row>
    <row r="1726" spans="8:14" x14ac:dyDescent="0.25">
      <c r="H1726" s="37"/>
      <c r="I1726" s="79"/>
      <c r="J1726" s="70"/>
      <c r="K1726" s="57"/>
      <c r="L1726" s="11"/>
      <c r="M1726" s="41"/>
      <c r="N1726" s="11"/>
    </row>
    <row r="1727" spans="8:14" x14ac:dyDescent="0.25">
      <c r="H1727" s="37"/>
      <c r="I1727" s="79"/>
      <c r="J1727" s="70"/>
      <c r="K1727" s="57"/>
      <c r="L1727" s="11"/>
      <c r="M1727" s="41"/>
      <c r="N1727" s="11"/>
    </row>
    <row r="1728" spans="8:14" x14ac:dyDescent="0.25">
      <c r="H1728" s="37"/>
      <c r="I1728" s="79"/>
      <c r="J1728" s="70"/>
      <c r="K1728" s="57"/>
      <c r="L1728" s="11"/>
      <c r="M1728" s="41"/>
      <c r="N1728" s="11"/>
    </row>
    <row r="1729" spans="8:14" x14ac:dyDescent="0.25">
      <c r="H1729" s="37"/>
      <c r="I1729" s="79"/>
      <c r="J1729" s="70"/>
      <c r="K1729" s="57"/>
      <c r="L1729" s="11"/>
      <c r="M1729" s="41"/>
      <c r="N1729" s="11"/>
    </row>
    <row r="1730" spans="8:14" x14ac:dyDescent="0.25">
      <c r="H1730" s="37"/>
      <c r="I1730" s="79"/>
      <c r="J1730" s="70"/>
      <c r="K1730" s="57"/>
      <c r="L1730" s="11"/>
      <c r="M1730" s="41"/>
      <c r="N1730" s="11"/>
    </row>
    <row r="1731" spans="8:14" x14ac:dyDescent="0.25">
      <c r="H1731" s="37"/>
      <c r="I1731" s="79"/>
      <c r="J1731" s="70"/>
      <c r="K1731" s="57"/>
      <c r="L1731" s="11"/>
      <c r="M1731" s="41"/>
      <c r="N1731" s="11"/>
    </row>
    <row r="1732" spans="8:14" x14ac:dyDescent="0.25">
      <c r="H1732" s="37"/>
      <c r="I1732" s="79"/>
      <c r="J1732" s="70"/>
      <c r="K1732" s="57"/>
      <c r="L1732" s="11"/>
      <c r="M1732" s="41"/>
      <c r="N1732" s="11"/>
    </row>
    <row r="1733" spans="8:14" x14ac:dyDescent="0.25">
      <c r="H1733" s="37"/>
      <c r="I1733" s="79"/>
      <c r="J1733" s="70"/>
      <c r="K1733" s="57"/>
      <c r="L1733" s="11"/>
      <c r="M1733" s="41"/>
      <c r="N1733" s="11"/>
    </row>
    <row r="1734" spans="8:14" x14ac:dyDescent="0.25">
      <c r="H1734" s="37"/>
      <c r="I1734" s="79"/>
      <c r="J1734" s="70"/>
      <c r="K1734" s="57"/>
      <c r="L1734" s="11"/>
      <c r="M1734" s="41"/>
      <c r="N1734" s="11"/>
    </row>
    <row r="1735" spans="8:14" x14ac:dyDescent="0.25">
      <c r="H1735" s="37"/>
      <c r="I1735" s="79"/>
      <c r="J1735" s="70"/>
      <c r="K1735" s="57"/>
      <c r="L1735" s="11"/>
      <c r="M1735" s="41"/>
      <c r="N1735" s="11"/>
    </row>
    <row r="1736" spans="8:14" x14ac:dyDescent="0.25">
      <c r="H1736" s="37"/>
      <c r="I1736" s="79"/>
      <c r="J1736" s="70"/>
      <c r="K1736" s="57"/>
      <c r="L1736" s="11"/>
      <c r="M1736" s="41"/>
      <c r="N1736" s="11"/>
    </row>
    <row r="1737" spans="8:14" x14ac:dyDescent="0.25">
      <c r="H1737" s="37"/>
      <c r="I1737" s="79"/>
      <c r="J1737" s="70"/>
      <c r="K1737" s="57"/>
      <c r="L1737" s="11"/>
      <c r="M1737" s="41"/>
      <c r="N1737" s="11"/>
    </row>
    <row r="1738" spans="8:14" x14ac:dyDescent="0.25">
      <c r="H1738" s="37"/>
      <c r="I1738" s="79"/>
      <c r="J1738" s="70"/>
      <c r="K1738" s="57"/>
      <c r="L1738" s="11"/>
      <c r="M1738" s="41"/>
      <c r="N1738" s="11"/>
    </row>
    <row r="1739" spans="8:14" x14ac:dyDescent="0.25">
      <c r="H1739" s="37"/>
      <c r="I1739" s="79"/>
      <c r="J1739" s="70"/>
      <c r="K1739" s="57"/>
      <c r="L1739" s="11"/>
      <c r="M1739" s="41"/>
      <c r="N1739" s="11"/>
    </row>
    <row r="1740" spans="8:14" x14ac:dyDescent="0.25">
      <c r="H1740" s="37"/>
      <c r="I1740" s="79"/>
      <c r="J1740" s="70"/>
      <c r="K1740" s="57"/>
      <c r="L1740" s="11"/>
      <c r="M1740" s="41"/>
      <c r="N1740" s="11"/>
    </row>
    <row r="1741" spans="8:14" x14ac:dyDescent="0.25">
      <c r="H1741" s="37"/>
      <c r="I1741" s="79"/>
      <c r="J1741" s="70"/>
      <c r="K1741" s="57"/>
      <c r="L1741" s="11"/>
      <c r="M1741" s="41"/>
      <c r="N1741" s="11"/>
    </row>
    <row r="1742" spans="8:14" x14ac:dyDescent="0.25">
      <c r="H1742" s="37"/>
      <c r="I1742" s="79"/>
      <c r="J1742" s="70"/>
      <c r="K1742" s="57"/>
      <c r="L1742" s="11"/>
      <c r="M1742" s="41"/>
      <c r="N1742" s="11"/>
    </row>
    <row r="1743" spans="8:14" x14ac:dyDescent="0.25">
      <c r="H1743" s="37"/>
      <c r="I1743" s="79"/>
      <c r="J1743" s="70"/>
      <c r="K1743" s="57"/>
      <c r="L1743" s="11"/>
      <c r="M1743" s="41"/>
      <c r="N1743" s="11"/>
    </row>
    <row r="1744" spans="8:14" x14ac:dyDescent="0.25">
      <c r="H1744" s="37"/>
      <c r="I1744" s="79"/>
      <c r="J1744" s="70"/>
      <c r="K1744" s="57"/>
      <c r="L1744" s="11"/>
      <c r="M1744" s="41"/>
      <c r="N1744" s="11"/>
    </row>
    <row r="1745" spans="8:14" x14ac:dyDescent="0.25">
      <c r="H1745" s="37"/>
      <c r="I1745" s="79"/>
      <c r="J1745" s="70"/>
      <c r="K1745" s="57"/>
      <c r="L1745" s="11"/>
      <c r="M1745" s="41"/>
      <c r="N1745" s="11"/>
    </row>
    <row r="1746" spans="8:14" x14ac:dyDescent="0.25">
      <c r="H1746" s="37"/>
      <c r="I1746" s="79"/>
      <c r="J1746" s="70"/>
      <c r="K1746" s="57"/>
      <c r="L1746" s="11"/>
      <c r="M1746" s="41"/>
      <c r="N1746" s="11"/>
    </row>
    <row r="1747" spans="8:14" x14ac:dyDescent="0.25">
      <c r="H1747" s="37"/>
      <c r="I1747" s="79"/>
      <c r="J1747" s="70"/>
      <c r="K1747" s="57"/>
      <c r="L1747" s="11"/>
      <c r="M1747" s="41"/>
      <c r="N1747" s="11"/>
    </row>
    <row r="1748" spans="8:14" x14ac:dyDescent="0.25">
      <c r="H1748" s="37"/>
      <c r="I1748" s="79"/>
      <c r="J1748" s="70"/>
      <c r="K1748" s="57"/>
      <c r="L1748" s="11"/>
      <c r="M1748" s="41"/>
      <c r="N1748" s="11"/>
    </row>
    <row r="1749" spans="8:14" x14ac:dyDescent="0.25">
      <c r="H1749" s="37"/>
      <c r="I1749" s="79"/>
      <c r="J1749" s="70"/>
      <c r="K1749" s="57"/>
      <c r="L1749" s="11"/>
      <c r="M1749" s="41"/>
      <c r="N1749" s="11"/>
    </row>
    <row r="1750" spans="8:14" x14ac:dyDescent="0.25">
      <c r="H1750" s="37"/>
      <c r="I1750" s="79"/>
      <c r="J1750" s="70"/>
      <c r="K1750" s="57"/>
      <c r="L1750" s="11"/>
      <c r="M1750" s="41"/>
      <c r="N1750" s="11"/>
    </row>
    <row r="1751" spans="8:14" x14ac:dyDescent="0.25">
      <c r="H1751" s="37"/>
      <c r="I1751" s="79"/>
      <c r="J1751" s="70"/>
      <c r="K1751" s="57"/>
      <c r="L1751" s="11"/>
      <c r="M1751" s="41"/>
      <c r="N1751" s="11"/>
    </row>
    <row r="1752" spans="8:14" x14ac:dyDescent="0.25">
      <c r="H1752" s="37"/>
      <c r="I1752" s="79"/>
      <c r="J1752" s="70"/>
      <c r="K1752" s="57"/>
      <c r="L1752" s="11"/>
      <c r="M1752" s="41"/>
      <c r="N1752" s="11"/>
    </row>
    <row r="1753" spans="8:14" x14ac:dyDescent="0.25">
      <c r="H1753" s="37"/>
      <c r="I1753" s="79"/>
      <c r="J1753" s="70"/>
      <c r="K1753" s="57"/>
      <c r="L1753" s="11"/>
      <c r="M1753" s="41"/>
      <c r="N1753" s="11"/>
    </row>
    <row r="1754" spans="8:14" x14ac:dyDescent="0.25">
      <c r="H1754" s="37"/>
      <c r="I1754" s="79"/>
      <c r="J1754" s="70"/>
      <c r="K1754" s="57"/>
      <c r="L1754" s="11"/>
      <c r="M1754" s="41"/>
      <c r="N1754" s="11"/>
    </row>
    <row r="1755" spans="8:14" x14ac:dyDescent="0.25">
      <c r="H1755" s="37"/>
      <c r="I1755" s="79"/>
      <c r="J1755" s="70"/>
      <c r="K1755" s="57"/>
      <c r="L1755" s="11"/>
      <c r="M1755" s="41"/>
      <c r="N1755" s="11"/>
    </row>
    <row r="1756" spans="8:14" x14ac:dyDescent="0.25">
      <c r="H1756" s="37"/>
      <c r="I1756" s="79"/>
      <c r="J1756" s="70"/>
      <c r="K1756" s="57"/>
      <c r="L1756" s="11"/>
      <c r="M1756" s="41"/>
      <c r="N1756" s="11"/>
    </row>
    <row r="1757" spans="8:14" x14ac:dyDescent="0.25">
      <c r="H1757" s="37"/>
      <c r="I1757" s="79"/>
      <c r="J1757" s="70"/>
      <c r="K1757" s="57"/>
      <c r="L1757" s="11"/>
      <c r="M1757" s="41"/>
      <c r="N1757" s="11"/>
    </row>
    <row r="1758" spans="8:14" x14ac:dyDescent="0.25">
      <c r="H1758" s="37"/>
      <c r="I1758" s="79"/>
      <c r="J1758" s="70"/>
      <c r="K1758" s="57"/>
      <c r="L1758" s="11"/>
      <c r="M1758" s="41"/>
      <c r="N1758" s="11"/>
    </row>
    <row r="1759" spans="8:14" x14ac:dyDescent="0.25">
      <c r="H1759" s="37"/>
      <c r="I1759" s="79"/>
      <c r="J1759" s="70"/>
      <c r="K1759" s="57"/>
      <c r="L1759" s="11"/>
      <c r="M1759" s="41"/>
      <c r="N1759" s="11"/>
    </row>
    <row r="1760" spans="8:14" x14ac:dyDescent="0.25">
      <c r="H1760" s="37"/>
      <c r="I1760" s="79"/>
      <c r="J1760" s="70"/>
      <c r="K1760" s="57"/>
      <c r="L1760" s="11"/>
      <c r="M1760" s="41"/>
      <c r="N1760" s="11"/>
    </row>
    <row r="1761" spans="8:14" x14ac:dyDescent="0.25">
      <c r="H1761" s="37"/>
      <c r="I1761" s="79"/>
      <c r="J1761" s="70"/>
      <c r="K1761" s="57"/>
      <c r="L1761" s="11"/>
      <c r="M1761" s="41"/>
      <c r="N1761" s="11"/>
    </row>
    <row r="1762" spans="8:14" x14ac:dyDescent="0.25">
      <c r="H1762" s="37"/>
      <c r="I1762" s="79"/>
      <c r="J1762" s="70"/>
      <c r="K1762" s="57"/>
      <c r="L1762" s="11"/>
      <c r="M1762" s="41"/>
      <c r="N1762" s="11"/>
    </row>
    <row r="1763" spans="8:14" x14ac:dyDescent="0.25">
      <c r="H1763" s="37"/>
      <c r="I1763" s="79"/>
      <c r="J1763" s="70"/>
      <c r="K1763" s="57"/>
      <c r="L1763" s="11"/>
      <c r="M1763" s="41"/>
      <c r="N1763" s="11"/>
    </row>
    <row r="1764" spans="8:14" x14ac:dyDescent="0.25">
      <c r="H1764" s="37"/>
      <c r="I1764" s="79"/>
      <c r="J1764" s="70"/>
      <c r="K1764" s="57"/>
      <c r="L1764" s="11"/>
      <c r="M1764" s="41"/>
      <c r="N1764" s="11"/>
    </row>
    <row r="1765" spans="8:14" x14ac:dyDescent="0.25">
      <c r="H1765" s="37"/>
      <c r="I1765" s="79"/>
      <c r="J1765" s="70"/>
      <c r="K1765" s="57"/>
      <c r="L1765" s="11"/>
      <c r="M1765" s="41"/>
      <c r="N1765" s="11"/>
    </row>
    <row r="1766" spans="8:14" x14ac:dyDescent="0.25">
      <c r="H1766" s="37"/>
      <c r="I1766" s="79"/>
      <c r="J1766" s="70"/>
      <c r="K1766" s="57"/>
      <c r="L1766" s="11"/>
      <c r="M1766" s="41"/>
      <c r="N1766" s="11"/>
    </row>
    <row r="1767" spans="8:14" x14ac:dyDescent="0.25">
      <c r="H1767" s="37"/>
      <c r="I1767" s="79"/>
      <c r="J1767" s="70"/>
      <c r="K1767" s="57"/>
      <c r="L1767" s="11"/>
      <c r="M1767" s="41"/>
      <c r="N1767" s="11"/>
    </row>
    <row r="1768" spans="8:14" x14ac:dyDescent="0.25">
      <c r="H1768" s="37"/>
      <c r="I1768" s="79"/>
      <c r="J1768" s="70"/>
      <c r="K1768" s="57"/>
      <c r="L1768" s="11"/>
      <c r="M1768" s="41"/>
      <c r="N1768" s="11"/>
    </row>
    <row r="1769" spans="8:14" x14ac:dyDescent="0.25">
      <c r="H1769" s="37"/>
      <c r="I1769" s="79"/>
      <c r="J1769" s="70"/>
      <c r="K1769" s="57"/>
      <c r="L1769" s="11"/>
      <c r="M1769" s="41"/>
      <c r="N1769" s="11"/>
    </row>
    <row r="1770" spans="8:14" x14ac:dyDescent="0.25">
      <c r="H1770" s="37"/>
      <c r="I1770" s="79"/>
      <c r="J1770" s="70"/>
      <c r="K1770" s="57"/>
      <c r="L1770" s="11"/>
      <c r="M1770" s="41"/>
      <c r="N1770" s="11"/>
    </row>
    <row r="1771" spans="8:14" x14ac:dyDescent="0.25">
      <c r="H1771" s="37"/>
      <c r="I1771" s="79"/>
      <c r="J1771" s="70"/>
      <c r="K1771" s="57"/>
      <c r="L1771" s="11"/>
      <c r="M1771" s="41"/>
      <c r="N1771" s="11"/>
    </row>
    <row r="1772" spans="8:14" x14ac:dyDescent="0.25">
      <c r="H1772" s="37"/>
      <c r="I1772" s="79"/>
      <c r="J1772" s="70"/>
      <c r="K1772" s="57"/>
      <c r="L1772" s="11"/>
      <c r="M1772" s="41"/>
      <c r="N1772" s="11"/>
    </row>
    <row r="1773" spans="8:14" x14ac:dyDescent="0.25">
      <c r="H1773" s="37"/>
      <c r="I1773" s="79"/>
      <c r="J1773" s="70"/>
      <c r="K1773" s="57"/>
      <c r="L1773" s="11"/>
      <c r="M1773" s="41"/>
      <c r="N1773" s="11"/>
    </row>
    <row r="1774" spans="8:14" x14ac:dyDescent="0.25">
      <c r="H1774" s="37"/>
      <c r="I1774" s="79"/>
      <c r="J1774" s="70"/>
      <c r="K1774" s="57"/>
      <c r="L1774" s="11"/>
      <c r="M1774" s="41"/>
      <c r="N1774" s="11"/>
    </row>
    <row r="1775" spans="8:14" x14ac:dyDescent="0.25">
      <c r="H1775" s="37"/>
      <c r="I1775" s="79"/>
      <c r="J1775" s="70"/>
      <c r="K1775" s="57"/>
      <c r="L1775" s="11"/>
      <c r="M1775" s="41"/>
      <c r="N1775" s="11"/>
    </row>
    <row r="1776" spans="8:14" x14ac:dyDescent="0.25">
      <c r="H1776" s="37"/>
      <c r="I1776" s="79"/>
      <c r="J1776" s="70"/>
      <c r="K1776" s="57"/>
      <c r="L1776" s="11"/>
      <c r="M1776" s="41"/>
      <c r="N1776" s="11"/>
    </row>
    <row r="1777" spans="8:14" x14ac:dyDescent="0.25">
      <c r="H1777" s="37"/>
      <c r="I1777" s="79"/>
      <c r="J1777" s="70"/>
      <c r="K1777" s="57"/>
      <c r="L1777" s="11"/>
      <c r="M1777" s="41"/>
      <c r="N1777" s="11"/>
    </row>
    <row r="1778" spans="8:14" x14ac:dyDescent="0.25">
      <c r="H1778" s="37"/>
      <c r="I1778" s="79"/>
      <c r="J1778" s="70"/>
      <c r="K1778" s="57"/>
      <c r="L1778" s="11"/>
      <c r="M1778" s="41"/>
      <c r="N1778" s="11"/>
    </row>
    <row r="1779" spans="8:14" x14ac:dyDescent="0.25">
      <c r="H1779" s="37"/>
      <c r="I1779" s="79"/>
      <c r="J1779" s="70"/>
      <c r="K1779" s="57"/>
      <c r="L1779" s="11"/>
      <c r="M1779" s="41"/>
      <c r="N1779" s="11"/>
    </row>
    <row r="1780" spans="8:14" x14ac:dyDescent="0.25">
      <c r="H1780" s="37"/>
      <c r="I1780" s="79"/>
      <c r="J1780" s="70"/>
      <c r="K1780" s="57"/>
      <c r="L1780" s="11"/>
      <c r="M1780" s="41"/>
      <c r="N1780" s="11"/>
    </row>
    <row r="1781" spans="8:14" x14ac:dyDescent="0.25">
      <c r="H1781" s="37"/>
      <c r="I1781" s="79"/>
      <c r="J1781" s="70"/>
      <c r="K1781" s="57"/>
      <c r="L1781" s="11"/>
      <c r="M1781" s="41"/>
      <c r="N1781" s="11"/>
    </row>
    <row r="1782" spans="8:14" x14ac:dyDescent="0.25">
      <c r="H1782" s="37"/>
      <c r="I1782" s="79"/>
      <c r="J1782" s="70"/>
      <c r="K1782" s="57"/>
      <c r="L1782" s="11"/>
      <c r="M1782" s="41"/>
      <c r="N1782" s="11"/>
    </row>
    <row r="1783" spans="8:14" x14ac:dyDescent="0.25">
      <c r="H1783" s="37"/>
      <c r="I1783" s="79"/>
      <c r="J1783" s="70"/>
      <c r="K1783" s="57"/>
      <c r="L1783" s="11"/>
      <c r="M1783" s="41"/>
      <c r="N1783" s="11"/>
    </row>
    <row r="1784" spans="8:14" x14ac:dyDescent="0.25">
      <c r="H1784" s="37"/>
      <c r="I1784" s="79"/>
      <c r="J1784" s="70"/>
      <c r="K1784" s="57"/>
      <c r="L1784" s="11"/>
      <c r="M1784" s="41"/>
      <c r="N1784" s="11"/>
    </row>
    <row r="1785" spans="8:14" x14ac:dyDescent="0.25">
      <c r="H1785" s="37"/>
      <c r="I1785" s="79"/>
      <c r="J1785" s="70"/>
      <c r="K1785" s="57"/>
      <c r="L1785" s="11"/>
      <c r="M1785" s="41"/>
      <c r="N1785" s="11"/>
    </row>
    <row r="1786" spans="8:14" x14ac:dyDescent="0.25">
      <c r="H1786" s="37"/>
      <c r="I1786" s="79"/>
      <c r="J1786" s="70"/>
      <c r="K1786" s="57"/>
      <c r="L1786" s="11"/>
      <c r="M1786" s="41"/>
      <c r="N1786" s="11"/>
    </row>
    <row r="1787" spans="8:14" x14ac:dyDescent="0.25">
      <c r="H1787" s="37"/>
      <c r="I1787" s="79"/>
      <c r="J1787" s="70"/>
      <c r="K1787" s="57"/>
      <c r="L1787" s="11"/>
      <c r="M1787" s="41"/>
      <c r="N1787" s="11"/>
    </row>
    <row r="1788" spans="8:14" x14ac:dyDescent="0.25">
      <c r="H1788" s="37"/>
      <c r="I1788" s="79"/>
      <c r="J1788" s="70"/>
      <c r="K1788" s="57"/>
      <c r="L1788" s="11"/>
      <c r="M1788" s="41"/>
      <c r="N1788" s="11"/>
    </row>
    <row r="1789" spans="8:14" x14ac:dyDescent="0.25">
      <c r="H1789" s="37"/>
      <c r="I1789" s="79"/>
      <c r="J1789" s="70"/>
      <c r="K1789" s="57"/>
      <c r="L1789" s="11"/>
      <c r="M1789" s="41"/>
      <c r="N1789" s="11"/>
    </row>
    <row r="1790" spans="8:14" x14ac:dyDescent="0.25">
      <c r="H1790" s="37"/>
      <c r="I1790" s="79"/>
      <c r="J1790" s="70"/>
      <c r="K1790" s="57"/>
      <c r="L1790" s="11"/>
      <c r="M1790" s="41"/>
      <c r="N1790" s="11"/>
    </row>
    <row r="1791" spans="8:14" x14ac:dyDescent="0.25">
      <c r="H1791" s="37"/>
      <c r="I1791" s="79"/>
      <c r="J1791" s="70"/>
      <c r="K1791" s="57"/>
      <c r="L1791" s="11"/>
      <c r="M1791" s="41"/>
      <c r="N1791" s="11"/>
    </row>
    <row r="1792" spans="8:14" x14ac:dyDescent="0.25">
      <c r="H1792" s="37"/>
      <c r="I1792" s="79"/>
      <c r="J1792" s="70"/>
      <c r="K1792" s="57"/>
      <c r="L1792" s="11"/>
      <c r="M1792" s="41"/>
      <c r="N1792" s="11"/>
    </row>
    <row r="1793" spans="8:14" x14ac:dyDescent="0.25">
      <c r="H1793" s="37"/>
      <c r="I1793" s="79"/>
      <c r="J1793" s="70"/>
      <c r="K1793" s="57"/>
      <c r="L1793" s="11"/>
      <c r="M1793" s="41"/>
      <c r="N1793" s="11"/>
    </row>
    <row r="1794" spans="8:14" x14ac:dyDescent="0.25">
      <c r="H1794" s="37"/>
      <c r="I1794" s="79"/>
      <c r="J1794" s="70"/>
      <c r="K1794" s="57"/>
      <c r="L1794" s="11"/>
      <c r="M1794" s="41"/>
      <c r="N1794" s="11"/>
    </row>
    <row r="1795" spans="8:14" x14ac:dyDescent="0.25">
      <c r="H1795" s="37"/>
      <c r="I1795" s="79"/>
      <c r="J1795" s="70"/>
      <c r="K1795" s="57"/>
      <c r="L1795" s="11"/>
      <c r="M1795" s="41"/>
      <c r="N1795" s="11"/>
    </row>
    <row r="1796" spans="8:14" x14ac:dyDescent="0.25">
      <c r="H1796" s="37"/>
      <c r="I1796" s="79"/>
      <c r="J1796" s="70"/>
      <c r="K1796" s="57"/>
      <c r="L1796" s="11"/>
      <c r="M1796" s="41"/>
      <c r="N1796" s="11"/>
    </row>
    <row r="1797" spans="8:14" x14ac:dyDescent="0.25">
      <c r="H1797" s="37"/>
      <c r="I1797" s="79"/>
      <c r="J1797" s="70"/>
      <c r="K1797" s="57"/>
      <c r="L1797" s="11"/>
      <c r="M1797" s="41"/>
      <c r="N1797" s="11"/>
    </row>
    <row r="1798" spans="8:14" x14ac:dyDescent="0.25">
      <c r="H1798" s="37"/>
      <c r="I1798" s="79"/>
      <c r="J1798" s="70"/>
      <c r="K1798" s="57"/>
      <c r="L1798" s="11"/>
      <c r="M1798" s="41"/>
      <c r="N1798" s="11"/>
    </row>
    <row r="1799" spans="8:14" x14ac:dyDescent="0.25">
      <c r="H1799" s="37"/>
      <c r="I1799" s="79"/>
      <c r="J1799" s="70"/>
      <c r="K1799" s="57"/>
      <c r="L1799" s="11"/>
      <c r="M1799" s="41"/>
      <c r="N1799" s="11"/>
    </row>
    <row r="1800" spans="8:14" x14ac:dyDescent="0.25">
      <c r="H1800" s="37"/>
      <c r="I1800" s="79"/>
      <c r="J1800" s="70"/>
      <c r="K1800" s="57"/>
      <c r="L1800" s="11"/>
      <c r="M1800" s="41"/>
      <c r="N1800" s="11"/>
    </row>
    <row r="1801" spans="8:14" x14ac:dyDescent="0.25">
      <c r="H1801" s="37"/>
      <c r="I1801" s="79"/>
      <c r="J1801" s="70"/>
      <c r="K1801" s="57"/>
      <c r="L1801" s="11"/>
      <c r="M1801" s="41"/>
      <c r="N1801" s="11"/>
    </row>
    <row r="1802" spans="8:14" x14ac:dyDescent="0.25">
      <c r="H1802" s="37"/>
      <c r="I1802" s="79"/>
      <c r="J1802" s="70"/>
      <c r="K1802" s="57"/>
      <c r="L1802" s="11"/>
      <c r="M1802" s="41"/>
      <c r="N1802" s="11"/>
    </row>
    <row r="1803" spans="8:14" x14ac:dyDescent="0.25">
      <c r="H1803" s="37"/>
      <c r="I1803" s="79"/>
      <c r="J1803" s="70"/>
      <c r="K1803" s="57"/>
      <c r="L1803" s="11"/>
      <c r="M1803" s="41"/>
      <c r="N1803" s="11"/>
    </row>
    <row r="1804" spans="8:14" x14ac:dyDescent="0.25">
      <c r="H1804" s="37"/>
      <c r="I1804" s="79"/>
      <c r="J1804" s="70"/>
      <c r="K1804" s="57"/>
      <c r="L1804" s="11"/>
      <c r="M1804" s="41"/>
      <c r="N1804" s="11"/>
    </row>
    <row r="1805" spans="8:14" x14ac:dyDescent="0.25">
      <c r="H1805" s="37"/>
      <c r="I1805" s="79"/>
      <c r="J1805" s="70"/>
      <c r="K1805" s="57"/>
      <c r="L1805" s="11"/>
      <c r="M1805" s="41"/>
      <c r="N1805" s="11"/>
    </row>
    <row r="1806" spans="8:14" x14ac:dyDescent="0.25">
      <c r="H1806" s="37"/>
      <c r="I1806" s="79"/>
      <c r="J1806" s="70"/>
      <c r="K1806" s="57"/>
      <c r="L1806" s="11"/>
      <c r="M1806" s="41"/>
      <c r="N1806" s="11"/>
    </row>
    <row r="1807" spans="8:14" x14ac:dyDescent="0.25">
      <c r="H1807" s="37"/>
      <c r="I1807" s="79"/>
      <c r="J1807" s="70"/>
      <c r="K1807" s="57"/>
      <c r="L1807" s="11"/>
      <c r="M1807" s="41"/>
      <c r="N1807" s="11"/>
    </row>
    <row r="1808" spans="8:14" x14ac:dyDescent="0.25">
      <c r="H1808" s="37"/>
      <c r="I1808" s="79"/>
      <c r="J1808" s="70"/>
      <c r="K1808" s="57"/>
      <c r="L1808" s="11"/>
      <c r="M1808" s="41"/>
      <c r="N1808" s="11"/>
    </row>
    <row r="1809" spans="8:14" x14ac:dyDescent="0.25">
      <c r="H1809" s="37"/>
      <c r="I1809" s="79"/>
      <c r="J1809" s="70"/>
      <c r="K1809" s="57"/>
      <c r="L1809" s="11"/>
      <c r="M1809" s="41"/>
      <c r="N1809" s="11"/>
    </row>
    <row r="1810" spans="8:14" x14ac:dyDescent="0.25">
      <c r="H1810" s="37"/>
      <c r="I1810" s="79"/>
      <c r="J1810" s="70"/>
      <c r="K1810" s="57"/>
      <c r="L1810" s="11"/>
      <c r="M1810" s="41"/>
      <c r="N1810" s="11"/>
    </row>
    <row r="1811" spans="8:14" x14ac:dyDescent="0.25">
      <c r="H1811" s="37"/>
      <c r="I1811" s="79"/>
      <c r="J1811" s="70"/>
      <c r="K1811" s="57"/>
      <c r="L1811" s="11"/>
      <c r="M1811" s="41"/>
      <c r="N1811" s="11"/>
    </row>
    <row r="1812" spans="8:14" x14ac:dyDescent="0.25">
      <c r="H1812" s="37"/>
      <c r="I1812" s="79"/>
      <c r="J1812" s="70"/>
      <c r="K1812" s="57"/>
      <c r="L1812" s="11"/>
      <c r="M1812" s="41"/>
      <c r="N1812" s="11"/>
    </row>
    <row r="1813" spans="8:14" x14ac:dyDescent="0.25">
      <c r="H1813" s="37"/>
      <c r="I1813" s="79"/>
      <c r="J1813" s="70"/>
      <c r="K1813" s="57"/>
      <c r="L1813" s="11"/>
      <c r="M1813" s="41"/>
      <c r="N1813" s="11"/>
    </row>
    <row r="1814" spans="8:14" x14ac:dyDescent="0.25">
      <c r="H1814" s="37"/>
      <c r="I1814" s="79"/>
      <c r="J1814" s="70"/>
      <c r="K1814" s="57"/>
      <c r="L1814" s="11"/>
      <c r="M1814" s="41"/>
      <c r="N1814" s="11"/>
    </row>
    <row r="1815" spans="8:14" x14ac:dyDescent="0.25">
      <c r="H1815" s="37"/>
      <c r="I1815" s="79"/>
      <c r="J1815" s="70"/>
      <c r="K1815" s="57"/>
      <c r="L1815" s="11"/>
      <c r="M1815" s="41"/>
      <c r="N1815" s="11"/>
    </row>
    <row r="1816" spans="8:14" x14ac:dyDescent="0.25">
      <c r="H1816" s="37"/>
      <c r="I1816" s="79"/>
      <c r="J1816" s="70"/>
      <c r="K1816" s="57"/>
      <c r="L1816" s="11"/>
      <c r="M1816" s="41"/>
      <c r="N1816" s="11"/>
    </row>
    <row r="1817" spans="8:14" x14ac:dyDescent="0.25">
      <c r="H1817" s="37"/>
      <c r="I1817" s="79"/>
      <c r="J1817" s="70"/>
      <c r="K1817" s="57"/>
      <c r="L1817" s="11"/>
      <c r="M1817" s="41"/>
      <c r="N1817" s="11"/>
    </row>
    <row r="1818" spans="8:14" x14ac:dyDescent="0.25">
      <c r="H1818" s="37"/>
      <c r="I1818" s="79"/>
      <c r="J1818" s="70"/>
      <c r="K1818" s="57"/>
      <c r="L1818" s="11"/>
      <c r="M1818" s="41"/>
      <c r="N1818" s="11"/>
    </row>
    <row r="1819" spans="8:14" x14ac:dyDescent="0.25">
      <c r="H1819" s="37"/>
      <c r="I1819" s="79"/>
      <c r="J1819" s="70"/>
      <c r="K1819" s="57"/>
      <c r="L1819" s="11"/>
      <c r="M1819" s="41"/>
      <c r="N1819" s="11"/>
    </row>
    <row r="1820" spans="8:14" x14ac:dyDescent="0.25">
      <c r="H1820" s="37"/>
      <c r="I1820" s="79"/>
      <c r="J1820" s="70"/>
      <c r="K1820" s="57"/>
      <c r="L1820" s="11"/>
      <c r="M1820" s="41"/>
      <c r="N1820" s="11"/>
    </row>
    <row r="1821" spans="8:14" x14ac:dyDescent="0.25">
      <c r="H1821" s="37"/>
      <c r="I1821" s="79"/>
      <c r="J1821" s="70"/>
      <c r="K1821" s="57"/>
      <c r="L1821" s="11"/>
      <c r="M1821" s="41"/>
      <c r="N1821" s="11"/>
    </row>
    <row r="1822" spans="8:14" x14ac:dyDescent="0.25">
      <c r="H1822" s="37"/>
      <c r="I1822" s="79"/>
      <c r="J1822" s="70"/>
      <c r="K1822" s="57"/>
      <c r="L1822" s="11"/>
      <c r="M1822" s="41"/>
      <c r="N1822" s="11"/>
    </row>
    <row r="1823" spans="8:14" x14ac:dyDescent="0.25">
      <c r="H1823" s="37"/>
      <c r="I1823" s="79"/>
      <c r="J1823" s="70"/>
      <c r="K1823" s="57"/>
      <c r="L1823" s="11"/>
      <c r="M1823" s="41"/>
      <c r="N1823" s="11"/>
    </row>
    <row r="1824" spans="8:14" x14ac:dyDescent="0.25">
      <c r="H1824" s="37"/>
      <c r="I1824" s="79"/>
      <c r="J1824" s="70"/>
      <c r="K1824" s="57"/>
      <c r="L1824" s="11"/>
      <c r="M1824" s="41"/>
      <c r="N1824" s="11"/>
    </row>
    <row r="1825" spans="8:14" x14ac:dyDescent="0.25">
      <c r="H1825" s="37"/>
      <c r="I1825" s="79"/>
      <c r="J1825" s="70"/>
      <c r="K1825" s="57"/>
      <c r="L1825" s="11"/>
      <c r="M1825" s="41"/>
      <c r="N1825" s="11"/>
    </row>
    <row r="1826" spans="8:14" x14ac:dyDescent="0.25">
      <c r="H1826" s="37"/>
      <c r="I1826" s="79"/>
      <c r="J1826" s="70"/>
      <c r="K1826" s="57"/>
      <c r="L1826" s="11"/>
      <c r="M1826" s="41"/>
      <c r="N1826" s="11"/>
    </row>
    <row r="1827" spans="8:14" x14ac:dyDescent="0.25">
      <c r="H1827" s="37"/>
      <c r="I1827" s="79"/>
      <c r="J1827" s="70"/>
      <c r="K1827" s="57"/>
      <c r="L1827" s="11"/>
      <c r="M1827" s="41"/>
      <c r="N1827" s="11"/>
    </row>
    <row r="1828" spans="8:14" x14ac:dyDescent="0.25">
      <c r="H1828" s="37"/>
      <c r="I1828" s="79"/>
      <c r="J1828" s="70"/>
      <c r="K1828" s="57"/>
      <c r="L1828" s="11"/>
      <c r="M1828" s="41"/>
      <c r="N1828" s="11"/>
    </row>
    <row r="1829" spans="8:14" x14ac:dyDescent="0.25">
      <c r="H1829" s="37"/>
      <c r="I1829" s="79"/>
      <c r="J1829" s="70"/>
      <c r="K1829" s="57"/>
      <c r="L1829" s="11"/>
      <c r="M1829" s="41"/>
      <c r="N1829" s="11"/>
    </row>
    <row r="1830" spans="8:14" x14ac:dyDescent="0.25">
      <c r="H1830" s="37"/>
      <c r="I1830" s="79"/>
      <c r="J1830" s="70"/>
      <c r="K1830" s="57"/>
      <c r="L1830" s="11"/>
      <c r="M1830" s="41"/>
      <c r="N1830" s="11"/>
    </row>
    <row r="1831" spans="8:14" x14ac:dyDescent="0.25">
      <c r="H1831" s="37"/>
      <c r="I1831" s="79"/>
      <c r="J1831" s="70"/>
      <c r="K1831" s="57"/>
      <c r="L1831" s="11"/>
      <c r="M1831" s="41"/>
      <c r="N1831" s="11"/>
    </row>
    <row r="1832" spans="8:14" x14ac:dyDescent="0.25">
      <c r="H1832" s="37"/>
      <c r="I1832" s="79"/>
      <c r="J1832" s="70"/>
      <c r="K1832" s="57"/>
      <c r="L1832" s="11"/>
      <c r="M1832" s="41"/>
      <c r="N1832" s="11"/>
    </row>
    <row r="1833" spans="8:14" x14ac:dyDescent="0.25">
      <c r="H1833" s="37"/>
      <c r="I1833" s="79"/>
      <c r="J1833" s="70"/>
      <c r="K1833" s="57"/>
      <c r="L1833" s="11"/>
      <c r="M1833" s="41"/>
      <c r="N1833" s="11"/>
    </row>
    <row r="1834" spans="8:14" x14ac:dyDescent="0.25">
      <c r="H1834" s="37"/>
      <c r="I1834" s="79"/>
      <c r="J1834" s="70"/>
      <c r="K1834" s="57"/>
      <c r="L1834" s="11"/>
      <c r="M1834" s="41"/>
      <c r="N1834" s="11"/>
    </row>
    <row r="1835" spans="8:14" x14ac:dyDescent="0.25">
      <c r="H1835" s="37"/>
      <c r="I1835" s="79"/>
      <c r="J1835" s="70"/>
      <c r="K1835" s="57"/>
      <c r="L1835" s="11"/>
      <c r="M1835" s="41"/>
      <c r="N1835" s="11"/>
    </row>
    <row r="1836" spans="8:14" x14ac:dyDescent="0.25">
      <c r="H1836" s="37"/>
      <c r="I1836" s="79"/>
      <c r="J1836" s="70"/>
      <c r="K1836" s="57"/>
      <c r="L1836" s="11"/>
      <c r="M1836" s="41"/>
      <c r="N1836" s="11"/>
    </row>
    <row r="1837" spans="8:14" x14ac:dyDescent="0.25">
      <c r="H1837" s="37"/>
      <c r="I1837" s="79"/>
      <c r="J1837" s="70"/>
      <c r="K1837" s="57"/>
      <c r="L1837" s="11"/>
      <c r="M1837" s="41"/>
      <c r="N1837" s="11"/>
    </row>
    <row r="1838" spans="8:14" x14ac:dyDescent="0.25">
      <c r="H1838" s="37"/>
      <c r="I1838" s="79"/>
      <c r="J1838" s="70"/>
      <c r="K1838" s="57"/>
      <c r="L1838" s="11"/>
      <c r="M1838" s="41"/>
      <c r="N1838" s="11"/>
    </row>
    <row r="1839" spans="8:14" x14ac:dyDescent="0.25">
      <c r="H1839" s="37"/>
      <c r="I1839" s="79"/>
      <c r="J1839" s="70"/>
      <c r="K1839" s="57"/>
      <c r="L1839" s="11"/>
      <c r="M1839" s="41"/>
      <c r="N1839" s="11"/>
    </row>
    <row r="1840" spans="8:14" x14ac:dyDescent="0.25">
      <c r="H1840" s="37"/>
      <c r="I1840" s="79"/>
      <c r="J1840" s="70"/>
      <c r="K1840" s="57"/>
      <c r="L1840" s="11"/>
      <c r="M1840" s="41"/>
      <c r="N1840" s="11"/>
    </row>
    <row r="1841" spans="8:14" x14ac:dyDescent="0.25">
      <c r="H1841" s="37"/>
      <c r="I1841" s="79"/>
      <c r="J1841" s="70"/>
      <c r="K1841" s="57"/>
      <c r="L1841" s="11"/>
      <c r="M1841" s="41"/>
      <c r="N1841" s="11"/>
    </row>
    <row r="1842" spans="8:14" x14ac:dyDescent="0.25">
      <c r="H1842" s="37"/>
      <c r="I1842" s="79"/>
      <c r="J1842" s="70"/>
      <c r="K1842" s="57"/>
      <c r="L1842" s="11"/>
      <c r="M1842" s="41"/>
      <c r="N1842" s="11"/>
    </row>
    <row r="1843" spans="8:14" x14ac:dyDescent="0.25">
      <c r="H1843" s="37"/>
      <c r="I1843" s="79"/>
      <c r="J1843" s="70"/>
      <c r="K1843" s="57"/>
      <c r="L1843" s="11"/>
      <c r="M1843" s="41"/>
      <c r="N1843" s="11"/>
    </row>
    <row r="1844" spans="8:14" x14ac:dyDescent="0.25">
      <c r="H1844" s="37"/>
      <c r="I1844" s="79"/>
      <c r="J1844" s="70"/>
      <c r="K1844" s="57"/>
      <c r="L1844" s="11"/>
      <c r="M1844" s="41"/>
      <c r="N1844" s="11"/>
    </row>
    <row r="1845" spans="8:14" x14ac:dyDescent="0.25">
      <c r="H1845" s="37"/>
      <c r="I1845" s="79"/>
      <c r="J1845" s="70"/>
      <c r="K1845" s="57"/>
      <c r="L1845" s="11"/>
      <c r="M1845" s="41"/>
      <c r="N1845" s="11"/>
    </row>
    <row r="1846" spans="8:14" x14ac:dyDescent="0.25">
      <c r="H1846" s="37"/>
      <c r="I1846" s="79"/>
      <c r="J1846" s="70"/>
      <c r="K1846" s="57"/>
      <c r="L1846" s="11"/>
      <c r="M1846" s="41"/>
      <c r="N1846" s="11"/>
    </row>
    <row r="1847" spans="8:14" x14ac:dyDescent="0.25">
      <c r="H1847" s="37"/>
      <c r="I1847" s="79"/>
      <c r="J1847" s="70"/>
      <c r="K1847" s="57"/>
      <c r="L1847" s="11"/>
      <c r="M1847" s="41"/>
      <c r="N1847" s="11"/>
    </row>
    <row r="1848" spans="8:14" x14ac:dyDescent="0.25">
      <c r="H1848" s="37"/>
      <c r="I1848" s="79"/>
      <c r="J1848" s="70"/>
      <c r="K1848" s="57"/>
      <c r="L1848" s="11"/>
      <c r="M1848" s="41"/>
      <c r="N1848" s="11"/>
    </row>
    <row r="1849" spans="8:14" x14ac:dyDescent="0.25">
      <c r="H1849" s="37"/>
      <c r="I1849" s="79"/>
      <c r="J1849" s="70"/>
      <c r="K1849" s="57"/>
      <c r="L1849" s="11"/>
      <c r="M1849" s="41"/>
      <c r="N1849" s="11"/>
    </row>
    <row r="1850" spans="8:14" x14ac:dyDescent="0.25">
      <c r="H1850" s="37"/>
      <c r="I1850" s="79"/>
      <c r="J1850" s="70"/>
      <c r="K1850" s="57"/>
      <c r="L1850" s="11"/>
      <c r="M1850" s="41"/>
      <c r="N1850" s="11"/>
    </row>
    <row r="1851" spans="8:14" x14ac:dyDescent="0.25">
      <c r="H1851" s="37"/>
      <c r="I1851" s="79"/>
      <c r="J1851" s="70"/>
      <c r="K1851" s="57"/>
      <c r="L1851" s="11"/>
      <c r="M1851" s="41"/>
      <c r="N1851" s="11"/>
    </row>
    <row r="1852" spans="8:14" x14ac:dyDescent="0.25">
      <c r="H1852" s="37"/>
      <c r="I1852" s="79"/>
      <c r="J1852" s="70"/>
      <c r="K1852" s="57"/>
      <c r="L1852" s="11"/>
      <c r="M1852" s="41"/>
      <c r="N1852" s="11"/>
    </row>
    <row r="1853" spans="8:14" x14ac:dyDescent="0.25">
      <c r="H1853" s="37"/>
      <c r="I1853" s="79"/>
      <c r="J1853" s="70"/>
      <c r="K1853" s="57"/>
      <c r="L1853" s="11"/>
      <c r="M1853" s="41"/>
      <c r="N1853" s="11"/>
    </row>
    <row r="1854" spans="8:14" x14ac:dyDescent="0.25">
      <c r="H1854" s="37"/>
      <c r="I1854" s="79"/>
      <c r="J1854" s="70"/>
      <c r="K1854" s="57"/>
      <c r="L1854" s="11"/>
      <c r="M1854" s="41"/>
      <c r="N1854" s="11"/>
    </row>
    <row r="1855" spans="8:14" x14ac:dyDescent="0.25">
      <c r="H1855" s="37"/>
      <c r="I1855" s="79"/>
      <c r="J1855" s="70"/>
      <c r="K1855" s="57"/>
      <c r="L1855" s="11"/>
      <c r="M1855" s="41"/>
      <c r="N1855" s="11"/>
    </row>
    <row r="1856" spans="8:14" x14ac:dyDescent="0.25">
      <c r="H1856" s="37"/>
      <c r="I1856" s="79"/>
      <c r="J1856" s="70"/>
      <c r="K1856" s="57"/>
      <c r="L1856" s="11"/>
      <c r="M1856" s="41"/>
      <c r="N1856" s="11"/>
    </row>
    <row r="1857" spans="8:14" x14ac:dyDescent="0.25">
      <c r="H1857" s="37"/>
      <c r="I1857" s="79"/>
      <c r="J1857" s="70"/>
      <c r="K1857" s="57"/>
      <c r="L1857" s="11"/>
      <c r="M1857" s="41"/>
      <c r="N1857" s="11"/>
    </row>
    <row r="1858" spans="8:14" x14ac:dyDescent="0.25">
      <c r="H1858" s="37"/>
      <c r="I1858" s="79"/>
      <c r="J1858" s="70"/>
      <c r="K1858" s="57"/>
      <c r="L1858" s="11"/>
      <c r="M1858" s="41"/>
      <c r="N1858" s="11"/>
    </row>
    <row r="1859" spans="8:14" x14ac:dyDescent="0.25">
      <c r="H1859" s="37"/>
      <c r="I1859" s="79"/>
      <c r="J1859" s="70"/>
      <c r="K1859" s="57"/>
      <c r="L1859" s="11"/>
      <c r="M1859" s="41"/>
      <c r="N1859" s="11"/>
    </row>
    <row r="1860" spans="8:14" x14ac:dyDescent="0.25">
      <c r="H1860" s="37"/>
      <c r="I1860" s="79"/>
      <c r="J1860" s="70"/>
      <c r="K1860" s="57"/>
      <c r="L1860" s="11"/>
      <c r="M1860" s="41"/>
      <c r="N1860" s="11"/>
    </row>
    <row r="1861" spans="8:14" x14ac:dyDescent="0.25">
      <c r="H1861" s="37"/>
      <c r="I1861" s="79"/>
      <c r="J1861" s="70"/>
      <c r="K1861" s="57"/>
      <c r="L1861" s="11"/>
      <c r="M1861" s="41"/>
      <c r="N1861" s="11"/>
    </row>
    <row r="1862" spans="8:14" x14ac:dyDescent="0.25">
      <c r="H1862" s="37"/>
      <c r="I1862" s="79"/>
      <c r="J1862" s="70"/>
      <c r="K1862" s="57"/>
      <c r="L1862" s="11"/>
      <c r="M1862" s="41"/>
      <c r="N1862" s="11"/>
    </row>
    <row r="1863" spans="8:14" x14ac:dyDescent="0.25">
      <c r="H1863" s="37"/>
      <c r="I1863" s="79"/>
      <c r="J1863" s="70"/>
      <c r="K1863" s="57"/>
      <c r="L1863" s="11"/>
      <c r="M1863" s="41"/>
      <c r="N1863" s="11"/>
    </row>
    <row r="1864" spans="8:14" x14ac:dyDescent="0.25">
      <c r="H1864" s="37"/>
      <c r="I1864" s="79"/>
      <c r="J1864" s="70"/>
      <c r="K1864" s="57"/>
      <c r="L1864" s="11"/>
      <c r="M1864" s="41"/>
      <c r="N1864" s="11"/>
    </row>
    <row r="1865" spans="8:14" x14ac:dyDescent="0.25">
      <c r="H1865" s="37"/>
      <c r="I1865" s="79"/>
      <c r="J1865" s="70"/>
      <c r="K1865" s="57"/>
      <c r="L1865" s="11"/>
      <c r="M1865" s="41"/>
      <c r="N1865" s="11"/>
    </row>
    <row r="1866" spans="8:14" x14ac:dyDescent="0.25">
      <c r="H1866" s="37"/>
      <c r="I1866" s="79"/>
      <c r="J1866" s="70"/>
      <c r="K1866" s="57"/>
      <c r="L1866" s="11"/>
      <c r="M1866" s="41"/>
      <c r="N1866" s="11"/>
    </row>
    <row r="1867" spans="8:14" x14ac:dyDescent="0.25">
      <c r="H1867" s="37"/>
      <c r="I1867" s="79"/>
      <c r="J1867" s="70"/>
      <c r="K1867" s="57"/>
      <c r="L1867" s="11"/>
      <c r="M1867" s="41"/>
      <c r="N1867" s="11"/>
    </row>
    <row r="1868" spans="8:14" x14ac:dyDescent="0.25">
      <c r="H1868" s="37"/>
      <c r="I1868" s="79"/>
      <c r="J1868" s="70"/>
      <c r="K1868" s="57"/>
      <c r="L1868" s="11"/>
      <c r="M1868" s="41"/>
      <c r="N1868" s="11"/>
    </row>
    <row r="1869" spans="8:14" x14ac:dyDescent="0.25">
      <c r="H1869" s="37"/>
      <c r="I1869" s="79"/>
      <c r="J1869" s="70"/>
      <c r="K1869" s="57"/>
      <c r="L1869" s="11"/>
      <c r="M1869" s="41"/>
      <c r="N1869" s="11"/>
    </row>
    <row r="1870" spans="8:14" x14ac:dyDescent="0.25">
      <c r="H1870" s="37"/>
      <c r="I1870" s="79"/>
      <c r="J1870" s="70"/>
      <c r="K1870" s="57"/>
      <c r="L1870" s="11"/>
      <c r="M1870" s="41"/>
      <c r="N1870" s="11"/>
    </row>
    <row r="1871" spans="8:14" x14ac:dyDescent="0.25">
      <c r="H1871" s="37"/>
      <c r="I1871" s="79"/>
      <c r="J1871" s="70"/>
      <c r="K1871" s="57"/>
      <c r="L1871" s="11"/>
      <c r="M1871" s="41"/>
      <c r="N1871" s="11"/>
    </row>
    <row r="1872" spans="8:14" x14ac:dyDescent="0.25">
      <c r="H1872" s="37"/>
      <c r="I1872" s="79"/>
      <c r="J1872" s="70"/>
      <c r="K1872" s="57"/>
      <c r="L1872" s="11"/>
      <c r="M1872" s="41"/>
      <c r="N1872" s="11"/>
    </row>
    <row r="1873" spans="8:14" x14ac:dyDescent="0.25">
      <c r="H1873" s="37"/>
      <c r="I1873" s="79"/>
      <c r="J1873" s="70"/>
      <c r="K1873" s="57"/>
      <c r="L1873" s="11"/>
      <c r="M1873" s="41"/>
      <c r="N1873" s="11"/>
    </row>
    <row r="1874" spans="8:14" x14ac:dyDescent="0.25">
      <c r="H1874" s="37"/>
      <c r="I1874" s="79"/>
      <c r="J1874" s="70"/>
      <c r="K1874" s="57"/>
      <c r="L1874" s="11"/>
      <c r="M1874" s="41"/>
      <c r="N1874" s="11"/>
    </row>
    <row r="1875" spans="8:14" x14ac:dyDescent="0.25">
      <c r="H1875" s="37"/>
      <c r="I1875" s="79"/>
      <c r="J1875" s="70"/>
      <c r="K1875" s="57"/>
      <c r="L1875" s="11"/>
      <c r="M1875" s="41"/>
      <c r="N1875" s="11"/>
    </row>
    <row r="1876" spans="8:14" x14ac:dyDescent="0.25">
      <c r="H1876" s="37"/>
      <c r="I1876" s="79"/>
      <c r="J1876" s="70"/>
      <c r="K1876" s="57"/>
      <c r="L1876" s="11"/>
      <c r="M1876" s="41"/>
      <c r="N1876" s="11"/>
    </row>
    <row r="1877" spans="8:14" x14ac:dyDescent="0.25">
      <c r="H1877" s="37"/>
      <c r="I1877" s="79"/>
      <c r="J1877" s="70"/>
      <c r="K1877" s="57"/>
      <c r="L1877" s="11"/>
      <c r="M1877" s="41"/>
      <c r="N1877" s="11"/>
    </row>
    <row r="1878" spans="8:14" x14ac:dyDescent="0.25">
      <c r="H1878" s="37"/>
      <c r="I1878" s="79"/>
      <c r="J1878" s="70"/>
      <c r="K1878" s="57"/>
      <c r="L1878" s="11"/>
      <c r="M1878" s="41"/>
      <c r="N1878" s="11"/>
    </row>
    <row r="1879" spans="8:14" x14ac:dyDescent="0.25">
      <c r="H1879" s="37"/>
      <c r="I1879" s="79"/>
      <c r="J1879" s="70"/>
      <c r="K1879" s="57"/>
      <c r="L1879" s="11"/>
      <c r="M1879" s="41"/>
      <c r="N1879" s="11"/>
    </row>
    <row r="1880" spans="8:14" x14ac:dyDescent="0.25">
      <c r="H1880" s="37"/>
      <c r="I1880" s="79"/>
      <c r="J1880" s="70"/>
      <c r="K1880" s="57"/>
      <c r="L1880" s="11"/>
      <c r="M1880" s="41"/>
      <c r="N1880" s="11"/>
    </row>
    <row r="1881" spans="8:14" x14ac:dyDescent="0.25">
      <c r="H1881" s="37"/>
      <c r="I1881" s="79"/>
      <c r="J1881" s="70"/>
      <c r="K1881" s="57"/>
      <c r="L1881" s="11"/>
      <c r="M1881" s="41"/>
      <c r="N1881" s="11"/>
    </row>
    <row r="1882" spans="8:14" x14ac:dyDescent="0.25">
      <c r="H1882" s="37"/>
      <c r="I1882" s="79"/>
      <c r="J1882" s="70"/>
      <c r="K1882" s="57"/>
      <c r="L1882" s="11"/>
      <c r="M1882" s="41"/>
      <c r="N1882" s="11"/>
    </row>
    <row r="1883" spans="8:14" x14ac:dyDescent="0.25">
      <c r="H1883" s="37"/>
      <c r="I1883" s="79"/>
      <c r="J1883" s="70"/>
      <c r="K1883" s="57"/>
      <c r="L1883" s="11"/>
      <c r="M1883" s="41"/>
      <c r="N1883" s="11"/>
    </row>
    <row r="1884" spans="8:14" x14ac:dyDescent="0.25">
      <c r="H1884" s="37"/>
      <c r="I1884" s="79"/>
      <c r="J1884" s="70"/>
      <c r="K1884" s="57"/>
      <c r="L1884" s="11"/>
      <c r="M1884" s="41"/>
      <c r="N1884" s="11"/>
    </row>
    <row r="1885" spans="8:14" x14ac:dyDescent="0.25">
      <c r="H1885" s="37"/>
      <c r="I1885" s="79"/>
      <c r="J1885" s="70"/>
      <c r="K1885" s="57"/>
      <c r="L1885" s="11"/>
      <c r="M1885" s="41"/>
      <c r="N1885" s="11"/>
    </row>
    <row r="1886" spans="8:14" x14ac:dyDescent="0.25">
      <c r="H1886" s="37"/>
      <c r="I1886" s="79"/>
      <c r="J1886" s="70"/>
      <c r="K1886" s="57"/>
      <c r="L1886" s="11"/>
      <c r="M1886" s="41"/>
      <c r="N1886" s="11"/>
    </row>
    <row r="1887" spans="8:14" x14ac:dyDescent="0.25">
      <c r="H1887" s="37"/>
      <c r="I1887" s="79"/>
      <c r="J1887" s="70"/>
      <c r="K1887" s="57"/>
      <c r="L1887" s="11"/>
      <c r="M1887" s="41"/>
      <c r="N1887" s="11"/>
    </row>
    <row r="1888" spans="8:14" x14ac:dyDescent="0.25">
      <c r="H1888" s="37"/>
      <c r="I1888" s="79"/>
      <c r="J1888" s="70"/>
      <c r="K1888" s="57"/>
      <c r="L1888" s="11"/>
      <c r="M1888" s="41"/>
      <c r="N1888" s="11"/>
    </row>
    <row r="1889" spans="8:14" x14ac:dyDescent="0.25">
      <c r="H1889" s="37"/>
      <c r="I1889" s="79"/>
      <c r="J1889" s="70"/>
      <c r="K1889" s="57"/>
      <c r="L1889" s="11"/>
      <c r="M1889" s="41"/>
      <c r="N1889" s="11"/>
    </row>
    <row r="1890" spans="8:14" x14ac:dyDescent="0.25">
      <c r="H1890" s="37"/>
      <c r="I1890" s="79"/>
      <c r="J1890" s="70"/>
      <c r="K1890" s="57"/>
      <c r="L1890" s="11"/>
      <c r="M1890" s="41"/>
      <c r="N1890" s="11"/>
    </row>
    <row r="1891" spans="8:14" x14ac:dyDescent="0.25">
      <c r="H1891" s="37"/>
      <c r="I1891" s="79"/>
      <c r="J1891" s="70"/>
      <c r="K1891" s="57"/>
      <c r="L1891" s="11"/>
      <c r="M1891" s="41"/>
      <c r="N1891" s="11"/>
    </row>
    <row r="1892" spans="8:14" x14ac:dyDescent="0.25">
      <c r="H1892" s="37"/>
      <c r="I1892" s="79"/>
      <c r="J1892" s="70"/>
      <c r="K1892" s="57"/>
      <c r="L1892" s="11"/>
      <c r="M1892" s="41"/>
      <c r="N1892" s="11"/>
    </row>
    <row r="1893" spans="8:14" x14ac:dyDescent="0.25">
      <c r="H1893" s="37"/>
      <c r="I1893" s="79"/>
      <c r="J1893" s="70"/>
      <c r="K1893" s="57"/>
      <c r="L1893" s="11"/>
      <c r="M1893" s="41"/>
      <c r="N1893" s="11"/>
    </row>
    <row r="1894" spans="8:14" x14ac:dyDescent="0.25">
      <c r="H1894" s="37"/>
      <c r="I1894" s="79"/>
      <c r="J1894" s="70"/>
      <c r="K1894" s="57"/>
      <c r="L1894" s="11"/>
      <c r="M1894" s="41"/>
      <c r="N1894" s="11"/>
    </row>
    <row r="1895" spans="8:14" x14ac:dyDescent="0.25">
      <c r="H1895" s="37"/>
      <c r="I1895" s="79"/>
      <c r="J1895" s="70"/>
      <c r="K1895" s="57"/>
      <c r="L1895" s="11"/>
      <c r="M1895" s="41"/>
      <c r="N1895" s="11"/>
    </row>
    <row r="1896" spans="8:14" x14ac:dyDescent="0.25">
      <c r="H1896" s="37"/>
      <c r="I1896" s="79"/>
      <c r="J1896" s="70"/>
      <c r="K1896" s="57"/>
      <c r="L1896" s="11"/>
      <c r="M1896" s="41"/>
      <c r="N1896" s="11"/>
    </row>
    <row r="1897" spans="8:14" x14ac:dyDescent="0.25">
      <c r="H1897" s="37"/>
      <c r="I1897" s="79"/>
      <c r="J1897" s="70"/>
      <c r="K1897" s="57"/>
      <c r="L1897" s="11"/>
      <c r="M1897" s="41"/>
      <c r="N1897" s="11"/>
    </row>
    <row r="1898" spans="8:14" x14ac:dyDescent="0.25">
      <c r="H1898" s="37"/>
      <c r="I1898" s="79"/>
      <c r="J1898" s="70"/>
      <c r="K1898" s="57"/>
      <c r="L1898" s="11"/>
      <c r="M1898" s="41"/>
      <c r="N1898" s="11"/>
    </row>
    <row r="1899" spans="8:14" x14ac:dyDescent="0.25">
      <c r="H1899" s="37"/>
      <c r="I1899" s="79"/>
      <c r="J1899" s="70"/>
      <c r="K1899" s="57"/>
      <c r="L1899" s="11"/>
      <c r="M1899" s="41"/>
      <c r="N1899" s="11"/>
    </row>
    <row r="1900" spans="8:14" x14ac:dyDescent="0.25">
      <c r="H1900" s="37"/>
      <c r="I1900" s="79"/>
      <c r="J1900" s="70"/>
      <c r="K1900" s="57"/>
      <c r="L1900" s="11"/>
      <c r="M1900" s="41"/>
      <c r="N1900" s="11"/>
    </row>
    <row r="1901" spans="8:14" x14ac:dyDescent="0.25">
      <c r="H1901" s="37"/>
      <c r="I1901" s="79"/>
      <c r="J1901" s="70"/>
      <c r="K1901" s="57"/>
      <c r="L1901" s="11"/>
      <c r="M1901" s="41"/>
      <c r="N1901" s="11"/>
    </row>
    <row r="1902" spans="8:14" x14ac:dyDescent="0.25">
      <c r="H1902" s="37"/>
      <c r="I1902" s="79"/>
      <c r="J1902" s="70"/>
      <c r="K1902" s="57"/>
      <c r="L1902" s="11"/>
      <c r="M1902" s="41"/>
      <c r="N1902" s="11"/>
    </row>
    <row r="1903" spans="8:14" x14ac:dyDescent="0.25">
      <c r="H1903" s="37"/>
      <c r="I1903" s="79"/>
      <c r="J1903" s="70"/>
      <c r="K1903" s="57"/>
      <c r="L1903" s="11"/>
      <c r="M1903" s="41"/>
      <c r="N1903" s="11"/>
    </row>
    <row r="1904" spans="8:14" x14ac:dyDescent="0.25">
      <c r="H1904" s="37"/>
      <c r="I1904" s="79"/>
      <c r="J1904" s="70"/>
      <c r="K1904" s="57"/>
      <c r="L1904" s="11"/>
      <c r="M1904" s="41"/>
      <c r="N1904" s="11"/>
    </row>
    <row r="1905" spans="8:14" x14ac:dyDescent="0.25">
      <c r="H1905" s="37"/>
      <c r="I1905" s="79"/>
      <c r="J1905" s="70"/>
      <c r="K1905" s="57"/>
      <c r="L1905" s="11"/>
      <c r="M1905" s="41"/>
      <c r="N1905" s="11"/>
    </row>
    <row r="1906" spans="8:14" x14ac:dyDescent="0.25">
      <c r="H1906" s="37"/>
      <c r="I1906" s="79"/>
      <c r="J1906" s="70"/>
      <c r="K1906" s="57"/>
      <c r="L1906" s="11"/>
      <c r="M1906" s="41"/>
      <c r="N1906" s="11"/>
    </row>
    <row r="1907" spans="8:14" x14ac:dyDescent="0.25">
      <c r="H1907" s="37"/>
      <c r="I1907" s="79"/>
      <c r="J1907" s="70"/>
      <c r="K1907" s="57"/>
      <c r="L1907" s="11"/>
      <c r="M1907" s="41"/>
      <c r="N1907" s="11"/>
    </row>
    <row r="1908" spans="8:14" x14ac:dyDescent="0.25">
      <c r="H1908" s="37"/>
      <c r="I1908" s="79"/>
      <c r="J1908" s="70"/>
      <c r="K1908" s="57"/>
      <c r="L1908" s="11"/>
      <c r="M1908" s="41"/>
      <c r="N1908" s="11"/>
    </row>
    <row r="1909" spans="8:14" x14ac:dyDescent="0.25">
      <c r="H1909" s="37"/>
      <c r="I1909" s="79"/>
      <c r="J1909" s="70"/>
      <c r="K1909" s="57"/>
      <c r="L1909" s="11"/>
      <c r="M1909" s="41"/>
      <c r="N1909" s="11"/>
    </row>
    <row r="1910" spans="8:14" x14ac:dyDescent="0.25">
      <c r="H1910" s="37"/>
      <c r="I1910" s="79"/>
      <c r="J1910" s="70"/>
      <c r="K1910" s="57"/>
      <c r="L1910" s="11"/>
      <c r="M1910" s="41"/>
      <c r="N1910" s="11"/>
    </row>
    <row r="1911" spans="8:14" x14ac:dyDescent="0.25">
      <c r="H1911" s="37"/>
      <c r="I1911" s="79"/>
      <c r="J1911" s="70"/>
      <c r="K1911" s="57"/>
      <c r="L1911" s="11"/>
      <c r="M1911" s="41"/>
      <c r="N1911" s="11"/>
    </row>
    <row r="1912" spans="8:14" x14ac:dyDescent="0.25">
      <c r="H1912" s="37"/>
      <c r="I1912" s="79"/>
      <c r="J1912" s="70"/>
      <c r="K1912" s="57"/>
      <c r="L1912" s="11"/>
      <c r="M1912" s="41"/>
      <c r="N1912" s="11"/>
    </row>
    <row r="1913" spans="8:14" x14ac:dyDescent="0.25">
      <c r="H1913" s="37"/>
      <c r="I1913" s="79"/>
      <c r="J1913" s="70"/>
      <c r="K1913" s="57"/>
      <c r="L1913" s="11"/>
      <c r="M1913" s="41"/>
      <c r="N1913" s="11"/>
    </row>
    <row r="1914" spans="8:14" x14ac:dyDescent="0.25">
      <c r="H1914" s="37"/>
      <c r="I1914" s="79"/>
      <c r="J1914" s="70"/>
      <c r="K1914" s="57"/>
      <c r="L1914" s="11"/>
      <c r="M1914" s="41"/>
      <c r="N1914" s="11"/>
    </row>
    <row r="1915" spans="8:14" x14ac:dyDescent="0.25">
      <c r="H1915" s="37"/>
      <c r="I1915" s="79"/>
      <c r="J1915" s="70"/>
      <c r="K1915" s="57"/>
      <c r="L1915" s="11"/>
      <c r="M1915" s="41"/>
      <c r="N1915" s="11"/>
    </row>
    <row r="1916" spans="8:14" x14ac:dyDescent="0.25">
      <c r="H1916" s="37"/>
      <c r="I1916" s="79"/>
      <c r="J1916" s="70"/>
      <c r="K1916" s="57"/>
      <c r="L1916" s="11"/>
      <c r="M1916" s="41"/>
      <c r="N1916" s="11"/>
    </row>
    <row r="1917" spans="8:14" x14ac:dyDescent="0.25">
      <c r="H1917" s="37"/>
      <c r="I1917" s="79"/>
      <c r="J1917" s="70"/>
      <c r="K1917" s="57"/>
      <c r="L1917" s="11"/>
      <c r="M1917" s="41"/>
      <c r="N1917" s="11"/>
    </row>
    <row r="1918" spans="8:14" x14ac:dyDescent="0.25">
      <c r="H1918" s="37"/>
      <c r="I1918" s="79"/>
      <c r="J1918" s="70"/>
      <c r="K1918" s="57"/>
      <c r="L1918" s="11"/>
      <c r="M1918" s="41"/>
      <c r="N1918" s="11"/>
    </row>
    <row r="1919" spans="8:14" x14ac:dyDescent="0.25">
      <c r="H1919" s="37"/>
      <c r="I1919" s="79"/>
      <c r="J1919" s="70"/>
      <c r="K1919" s="57"/>
      <c r="L1919" s="11"/>
      <c r="M1919" s="41"/>
      <c r="N1919" s="11"/>
    </row>
    <row r="1920" spans="8:14" x14ac:dyDescent="0.25">
      <c r="H1920" s="37"/>
      <c r="I1920" s="79"/>
      <c r="J1920" s="70"/>
      <c r="K1920" s="57"/>
      <c r="L1920" s="11"/>
      <c r="M1920" s="41"/>
      <c r="N1920" s="11"/>
    </row>
    <row r="1921" spans="8:14" x14ac:dyDescent="0.25">
      <c r="H1921" s="37"/>
      <c r="I1921" s="79"/>
      <c r="J1921" s="70"/>
      <c r="K1921" s="57"/>
      <c r="L1921" s="11"/>
      <c r="M1921" s="41"/>
      <c r="N1921" s="11"/>
    </row>
    <row r="1922" spans="8:14" x14ac:dyDescent="0.25">
      <c r="H1922" s="37"/>
      <c r="I1922" s="79"/>
      <c r="J1922" s="70"/>
      <c r="K1922" s="57"/>
      <c r="L1922" s="11"/>
      <c r="M1922" s="41"/>
      <c r="N1922" s="11"/>
    </row>
    <row r="1923" spans="8:14" x14ac:dyDescent="0.25">
      <c r="H1923" s="37"/>
      <c r="I1923" s="79"/>
      <c r="J1923" s="70"/>
      <c r="K1923" s="57"/>
      <c r="L1923" s="11"/>
      <c r="M1923" s="41"/>
      <c r="N1923" s="11"/>
    </row>
    <row r="1924" spans="8:14" x14ac:dyDescent="0.25">
      <c r="H1924" s="37"/>
      <c r="I1924" s="79"/>
      <c r="J1924" s="70"/>
      <c r="K1924" s="57"/>
      <c r="L1924" s="11"/>
      <c r="M1924" s="41"/>
      <c r="N1924" s="11"/>
    </row>
    <row r="1925" spans="8:14" x14ac:dyDescent="0.25">
      <c r="H1925" s="37"/>
      <c r="I1925" s="79"/>
      <c r="J1925" s="70"/>
      <c r="K1925" s="57"/>
      <c r="L1925" s="11"/>
      <c r="M1925" s="41"/>
      <c r="N1925" s="11"/>
    </row>
    <row r="1926" spans="8:14" x14ac:dyDescent="0.25">
      <c r="H1926" s="37"/>
      <c r="I1926" s="79"/>
      <c r="J1926" s="70"/>
      <c r="K1926" s="57"/>
      <c r="L1926" s="11"/>
      <c r="M1926" s="41"/>
      <c r="N1926" s="11"/>
    </row>
    <row r="1927" spans="8:14" x14ac:dyDescent="0.25">
      <c r="H1927" s="37"/>
      <c r="I1927" s="79"/>
      <c r="J1927" s="70"/>
      <c r="K1927" s="57"/>
      <c r="L1927" s="11"/>
      <c r="M1927" s="41"/>
      <c r="N1927" s="11"/>
    </row>
    <row r="1928" spans="8:14" x14ac:dyDescent="0.25">
      <c r="H1928" s="37"/>
      <c r="I1928" s="79"/>
      <c r="J1928" s="70"/>
      <c r="K1928" s="57"/>
      <c r="L1928" s="11"/>
      <c r="M1928" s="41"/>
      <c r="N1928" s="11"/>
    </row>
    <row r="1929" spans="8:14" x14ac:dyDescent="0.25">
      <c r="H1929" s="37"/>
      <c r="I1929" s="79"/>
      <c r="J1929" s="70"/>
      <c r="K1929" s="57"/>
      <c r="L1929" s="11"/>
      <c r="M1929" s="41"/>
      <c r="N1929" s="11"/>
    </row>
    <row r="1930" spans="8:14" x14ac:dyDescent="0.25">
      <c r="H1930" s="37"/>
      <c r="I1930" s="79"/>
      <c r="J1930" s="70"/>
      <c r="K1930" s="57"/>
      <c r="L1930" s="11"/>
      <c r="M1930" s="41"/>
      <c r="N1930" s="11"/>
    </row>
    <row r="1931" spans="8:14" x14ac:dyDescent="0.25">
      <c r="H1931" s="37"/>
      <c r="I1931" s="79"/>
      <c r="J1931" s="70"/>
      <c r="K1931" s="57"/>
      <c r="L1931" s="11"/>
      <c r="M1931" s="41"/>
      <c r="N1931" s="11"/>
    </row>
    <row r="1932" spans="8:14" x14ac:dyDescent="0.25">
      <c r="H1932" s="37"/>
      <c r="I1932" s="79"/>
      <c r="J1932" s="70"/>
      <c r="K1932" s="57"/>
      <c r="L1932" s="11"/>
      <c r="M1932" s="41"/>
      <c r="N1932" s="11"/>
    </row>
    <row r="1933" spans="8:14" x14ac:dyDescent="0.25">
      <c r="H1933" s="37"/>
      <c r="I1933" s="79"/>
      <c r="J1933" s="70"/>
      <c r="K1933" s="57"/>
      <c r="L1933" s="11"/>
      <c r="M1933" s="41"/>
      <c r="N1933" s="11"/>
    </row>
    <row r="1934" spans="8:14" x14ac:dyDescent="0.25">
      <c r="H1934" s="37"/>
      <c r="I1934" s="79"/>
      <c r="J1934" s="70"/>
      <c r="K1934" s="57"/>
      <c r="L1934" s="11"/>
      <c r="M1934" s="41"/>
      <c r="N1934" s="11"/>
    </row>
    <row r="1935" spans="8:14" x14ac:dyDescent="0.25">
      <c r="H1935" s="37"/>
      <c r="I1935" s="79"/>
      <c r="J1935" s="70"/>
      <c r="K1935" s="57"/>
      <c r="L1935" s="11"/>
      <c r="M1935" s="41"/>
      <c r="N1935" s="11"/>
    </row>
    <row r="1936" spans="8:14" x14ac:dyDescent="0.25">
      <c r="H1936" s="37"/>
      <c r="I1936" s="79"/>
      <c r="J1936" s="70"/>
      <c r="K1936" s="57"/>
      <c r="L1936" s="11"/>
      <c r="M1936" s="41"/>
      <c r="N1936" s="11"/>
    </row>
    <row r="1937" spans="8:14" x14ac:dyDescent="0.25">
      <c r="H1937" s="37"/>
      <c r="I1937" s="79"/>
      <c r="J1937" s="70"/>
      <c r="K1937" s="57"/>
      <c r="L1937" s="11"/>
      <c r="M1937" s="41"/>
      <c r="N1937" s="11"/>
    </row>
    <row r="1938" spans="8:14" x14ac:dyDescent="0.25">
      <c r="H1938" s="37"/>
      <c r="I1938" s="79"/>
      <c r="J1938" s="70"/>
      <c r="K1938" s="57"/>
      <c r="L1938" s="11"/>
      <c r="M1938" s="41"/>
      <c r="N1938" s="11"/>
    </row>
    <row r="1939" spans="8:14" x14ac:dyDescent="0.25">
      <c r="H1939" s="37"/>
      <c r="I1939" s="79"/>
      <c r="J1939" s="70"/>
      <c r="K1939" s="57"/>
      <c r="L1939" s="11"/>
      <c r="M1939" s="41"/>
      <c r="N1939" s="11"/>
    </row>
    <row r="1940" spans="8:14" x14ac:dyDescent="0.25">
      <c r="H1940" s="37"/>
      <c r="I1940" s="79"/>
      <c r="J1940" s="70"/>
      <c r="K1940" s="57"/>
      <c r="L1940" s="11"/>
      <c r="M1940" s="41"/>
      <c r="N1940" s="11"/>
    </row>
    <row r="1941" spans="8:14" x14ac:dyDescent="0.25">
      <c r="H1941" s="37"/>
      <c r="I1941" s="79"/>
      <c r="J1941" s="70"/>
      <c r="K1941" s="57"/>
      <c r="L1941" s="11"/>
      <c r="M1941" s="41"/>
      <c r="N1941" s="11"/>
    </row>
    <row r="1942" spans="8:14" x14ac:dyDescent="0.25">
      <c r="H1942" s="37"/>
      <c r="I1942" s="79"/>
      <c r="J1942" s="70"/>
      <c r="K1942" s="57"/>
      <c r="L1942" s="11"/>
      <c r="M1942" s="41"/>
      <c r="N1942" s="11"/>
    </row>
    <row r="1943" spans="8:14" x14ac:dyDescent="0.25">
      <c r="H1943" s="37"/>
      <c r="I1943" s="79"/>
      <c r="J1943" s="70"/>
      <c r="K1943" s="57"/>
      <c r="L1943" s="11"/>
      <c r="M1943" s="41"/>
      <c r="N1943" s="11"/>
    </row>
    <row r="1944" spans="8:14" x14ac:dyDescent="0.25">
      <c r="H1944" s="37"/>
      <c r="I1944" s="79"/>
      <c r="J1944" s="70"/>
      <c r="K1944" s="57"/>
      <c r="L1944" s="11"/>
      <c r="M1944" s="41"/>
      <c r="N1944" s="11"/>
    </row>
    <row r="1945" spans="8:14" x14ac:dyDescent="0.25">
      <c r="H1945" s="37"/>
      <c r="I1945" s="79"/>
      <c r="J1945" s="70"/>
      <c r="K1945" s="57"/>
      <c r="L1945" s="11"/>
      <c r="M1945" s="41"/>
      <c r="N1945" s="11"/>
    </row>
    <row r="1946" spans="8:14" x14ac:dyDescent="0.25">
      <c r="H1946" s="37"/>
      <c r="I1946" s="79"/>
      <c r="J1946" s="70"/>
      <c r="K1946" s="57"/>
      <c r="L1946" s="11"/>
      <c r="M1946" s="41"/>
      <c r="N1946" s="11"/>
    </row>
    <row r="1947" spans="8:14" x14ac:dyDescent="0.25">
      <c r="H1947" s="37"/>
      <c r="I1947" s="79"/>
      <c r="J1947" s="70"/>
      <c r="K1947" s="57"/>
      <c r="L1947" s="11"/>
      <c r="M1947" s="41"/>
      <c r="N1947" s="11"/>
    </row>
    <row r="1948" spans="8:14" x14ac:dyDescent="0.25">
      <c r="H1948" s="37"/>
      <c r="I1948" s="79"/>
      <c r="J1948" s="70"/>
      <c r="K1948" s="57"/>
      <c r="L1948" s="11"/>
      <c r="M1948" s="41"/>
      <c r="N1948" s="11"/>
    </row>
    <row r="1949" spans="8:14" x14ac:dyDescent="0.25">
      <c r="H1949" s="37"/>
      <c r="I1949" s="79"/>
      <c r="J1949" s="70"/>
      <c r="K1949" s="57"/>
      <c r="L1949" s="11"/>
      <c r="M1949" s="41"/>
      <c r="N1949" s="11"/>
    </row>
    <row r="1950" spans="8:14" x14ac:dyDescent="0.25">
      <c r="H1950" s="37"/>
      <c r="I1950" s="79"/>
      <c r="J1950" s="70"/>
      <c r="K1950" s="57"/>
      <c r="L1950" s="11"/>
      <c r="M1950" s="41"/>
      <c r="N1950" s="11"/>
    </row>
    <row r="1951" spans="8:14" x14ac:dyDescent="0.25">
      <c r="H1951" s="37"/>
      <c r="I1951" s="79"/>
      <c r="J1951" s="70"/>
      <c r="K1951" s="57"/>
      <c r="L1951" s="11"/>
      <c r="M1951" s="41"/>
      <c r="N1951" s="11"/>
    </row>
    <row r="1952" spans="8:14" x14ac:dyDescent="0.25">
      <c r="H1952" s="37"/>
      <c r="I1952" s="79"/>
      <c r="J1952" s="70"/>
      <c r="K1952" s="57"/>
      <c r="L1952" s="11"/>
      <c r="M1952" s="41"/>
      <c r="N1952" s="11"/>
    </row>
    <row r="1953" spans="8:14" x14ac:dyDescent="0.25">
      <c r="H1953" s="37"/>
      <c r="I1953" s="79"/>
      <c r="J1953" s="70"/>
      <c r="K1953" s="57"/>
      <c r="L1953" s="11"/>
      <c r="M1953" s="41"/>
      <c r="N1953" s="11"/>
    </row>
    <row r="1954" spans="8:14" x14ac:dyDescent="0.25">
      <c r="H1954" s="37"/>
      <c r="I1954" s="79"/>
      <c r="J1954" s="70"/>
      <c r="K1954" s="57"/>
      <c r="L1954" s="11"/>
      <c r="M1954" s="41"/>
      <c r="N1954" s="11"/>
    </row>
    <row r="1955" spans="8:14" x14ac:dyDescent="0.25">
      <c r="H1955" s="37"/>
      <c r="I1955" s="79"/>
      <c r="J1955" s="70"/>
      <c r="K1955" s="57"/>
      <c r="L1955" s="11"/>
      <c r="M1955" s="41"/>
      <c r="N1955" s="11"/>
    </row>
    <row r="1956" spans="8:14" x14ac:dyDescent="0.25">
      <c r="H1956" s="37"/>
      <c r="I1956" s="79"/>
      <c r="J1956" s="70"/>
      <c r="K1956" s="57"/>
      <c r="L1956" s="11"/>
      <c r="M1956" s="41"/>
      <c r="N1956" s="11"/>
    </row>
    <row r="1957" spans="8:14" x14ac:dyDescent="0.25">
      <c r="H1957" s="37"/>
      <c r="I1957" s="79"/>
      <c r="J1957" s="70"/>
      <c r="K1957" s="57"/>
      <c r="L1957" s="11"/>
      <c r="M1957" s="41"/>
      <c r="N1957" s="11"/>
    </row>
    <row r="1958" spans="8:14" x14ac:dyDescent="0.25">
      <c r="H1958" s="37"/>
      <c r="I1958" s="79"/>
      <c r="J1958" s="70"/>
      <c r="K1958" s="57"/>
      <c r="L1958" s="11"/>
      <c r="M1958" s="41"/>
      <c r="N1958" s="11"/>
    </row>
    <row r="1959" spans="8:14" x14ac:dyDescent="0.25">
      <c r="H1959" s="37"/>
      <c r="I1959" s="79"/>
      <c r="J1959" s="70"/>
      <c r="K1959" s="57"/>
      <c r="L1959" s="11"/>
      <c r="M1959" s="41"/>
      <c r="N1959" s="11"/>
    </row>
    <row r="1960" spans="8:14" x14ac:dyDescent="0.25">
      <c r="H1960" s="37"/>
      <c r="I1960" s="79"/>
      <c r="J1960" s="70"/>
      <c r="K1960" s="57"/>
      <c r="L1960" s="11"/>
      <c r="M1960" s="41"/>
      <c r="N1960" s="11"/>
    </row>
    <row r="1961" spans="8:14" x14ac:dyDescent="0.25">
      <c r="H1961" s="37"/>
      <c r="I1961" s="79"/>
      <c r="J1961" s="70"/>
      <c r="K1961" s="57"/>
      <c r="L1961" s="11"/>
      <c r="M1961" s="41"/>
      <c r="N1961" s="11"/>
    </row>
    <row r="1962" spans="8:14" x14ac:dyDescent="0.25">
      <c r="H1962" s="37"/>
      <c r="I1962" s="79"/>
      <c r="J1962" s="70"/>
      <c r="K1962" s="57"/>
      <c r="L1962" s="11"/>
      <c r="M1962" s="41"/>
      <c r="N1962" s="11"/>
    </row>
    <row r="1963" spans="8:14" x14ac:dyDescent="0.25">
      <c r="H1963" s="37"/>
      <c r="I1963" s="79"/>
      <c r="J1963" s="70"/>
      <c r="K1963" s="57"/>
      <c r="L1963" s="11"/>
      <c r="M1963" s="41"/>
      <c r="N1963" s="11"/>
    </row>
    <row r="1964" spans="8:14" x14ac:dyDescent="0.25">
      <c r="H1964" s="37"/>
      <c r="I1964" s="79"/>
      <c r="J1964" s="70"/>
      <c r="K1964" s="57"/>
      <c r="L1964" s="11"/>
      <c r="M1964" s="41"/>
      <c r="N1964" s="11"/>
    </row>
    <row r="1965" spans="8:14" x14ac:dyDescent="0.25">
      <c r="H1965" s="37"/>
      <c r="I1965" s="79"/>
      <c r="J1965" s="70"/>
      <c r="K1965" s="57"/>
      <c r="L1965" s="11"/>
      <c r="M1965" s="41"/>
      <c r="N1965" s="11"/>
    </row>
    <row r="1966" spans="8:14" x14ac:dyDescent="0.25">
      <c r="H1966" s="37"/>
      <c r="I1966" s="79"/>
      <c r="J1966" s="70"/>
      <c r="K1966" s="57"/>
      <c r="L1966" s="11"/>
      <c r="M1966" s="41"/>
      <c r="N1966" s="11"/>
    </row>
    <row r="1967" spans="8:14" x14ac:dyDescent="0.25">
      <c r="H1967" s="37"/>
      <c r="I1967" s="79"/>
      <c r="J1967" s="70"/>
      <c r="K1967" s="57"/>
      <c r="L1967" s="11"/>
      <c r="M1967" s="41"/>
      <c r="N1967" s="11"/>
    </row>
    <row r="1968" spans="8:14" x14ac:dyDescent="0.25">
      <c r="H1968" s="37"/>
      <c r="I1968" s="79"/>
      <c r="J1968" s="70"/>
      <c r="K1968" s="57"/>
      <c r="L1968" s="11"/>
      <c r="M1968" s="41"/>
      <c r="N1968" s="11"/>
    </row>
    <row r="1969" spans="8:14" x14ac:dyDescent="0.25">
      <c r="H1969" s="37"/>
      <c r="I1969" s="79"/>
      <c r="J1969" s="70"/>
      <c r="K1969" s="57"/>
      <c r="L1969" s="11"/>
      <c r="M1969" s="41"/>
      <c r="N1969" s="11"/>
    </row>
    <row r="1970" spans="8:14" x14ac:dyDescent="0.25">
      <c r="H1970" s="37"/>
      <c r="I1970" s="79"/>
      <c r="J1970" s="70"/>
      <c r="K1970" s="57"/>
      <c r="L1970" s="11"/>
      <c r="M1970" s="41"/>
      <c r="N1970" s="11"/>
    </row>
    <row r="1971" spans="8:14" x14ac:dyDescent="0.25">
      <c r="H1971" s="37"/>
      <c r="I1971" s="79"/>
      <c r="J1971" s="70"/>
      <c r="K1971" s="57"/>
      <c r="L1971" s="11"/>
      <c r="M1971" s="41"/>
      <c r="N1971" s="11"/>
    </row>
    <row r="1972" spans="8:14" x14ac:dyDescent="0.25">
      <c r="H1972" s="37"/>
      <c r="I1972" s="79"/>
      <c r="J1972" s="70"/>
      <c r="K1972" s="57"/>
      <c r="L1972" s="11"/>
      <c r="M1972" s="41"/>
      <c r="N1972" s="11"/>
    </row>
    <row r="1973" spans="8:14" x14ac:dyDescent="0.25">
      <c r="H1973" s="37"/>
      <c r="I1973" s="79"/>
      <c r="J1973" s="70"/>
      <c r="K1973" s="57"/>
      <c r="L1973" s="11"/>
      <c r="M1973" s="41"/>
      <c r="N1973" s="11"/>
    </row>
    <row r="1974" spans="8:14" x14ac:dyDescent="0.25">
      <c r="H1974" s="37"/>
      <c r="I1974" s="79"/>
      <c r="J1974" s="70"/>
      <c r="K1974" s="57"/>
      <c r="L1974" s="11"/>
      <c r="M1974" s="41"/>
      <c r="N1974" s="11"/>
    </row>
    <row r="1975" spans="8:14" x14ac:dyDescent="0.25">
      <c r="H1975" s="37"/>
      <c r="I1975" s="79"/>
      <c r="J1975" s="70"/>
      <c r="K1975" s="57"/>
      <c r="L1975" s="11"/>
      <c r="M1975" s="41"/>
      <c r="N1975" s="11"/>
    </row>
    <row r="1976" spans="8:14" x14ac:dyDescent="0.25">
      <c r="H1976" s="37"/>
      <c r="I1976" s="79"/>
      <c r="J1976" s="70"/>
      <c r="K1976" s="57"/>
      <c r="L1976" s="11"/>
      <c r="M1976" s="41"/>
      <c r="N1976" s="11"/>
    </row>
    <row r="1977" spans="8:14" x14ac:dyDescent="0.25">
      <c r="H1977" s="37"/>
      <c r="I1977" s="79"/>
      <c r="J1977" s="70"/>
      <c r="K1977" s="57"/>
      <c r="L1977" s="11"/>
      <c r="M1977" s="41"/>
      <c r="N1977" s="11"/>
    </row>
    <row r="1978" spans="8:14" x14ac:dyDescent="0.25">
      <c r="H1978" s="37"/>
      <c r="I1978" s="79"/>
      <c r="J1978" s="70"/>
      <c r="K1978" s="57"/>
      <c r="L1978" s="11"/>
      <c r="M1978" s="41"/>
      <c r="N1978" s="11"/>
    </row>
    <row r="1979" spans="8:14" x14ac:dyDescent="0.25">
      <c r="H1979" s="37"/>
      <c r="I1979" s="79"/>
      <c r="J1979" s="70"/>
      <c r="K1979" s="57"/>
      <c r="L1979" s="11"/>
      <c r="M1979" s="41"/>
      <c r="N1979" s="11"/>
    </row>
    <row r="1980" spans="8:14" x14ac:dyDescent="0.25">
      <c r="H1980" s="37"/>
      <c r="I1980" s="79"/>
      <c r="J1980" s="70"/>
      <c r="K1980" s="57"/>
      <c r="L1980" s="11"/>
      <c r="M1980" s="41"/>
      <c r="N1980" s="11"/>
    </row>
    <row r="1981" spans="8:14" x14ac:dyDescent="0.25">
      <c r="H1981" s="37"/>
      <c r="I1981" s="79"/>
      <c r="J1981" s="70"/>
      <c r="K1981" s="57"/>
      <c r="L1981" s="11"/>
      <c r="M1981" s="41"/>
      <c r="N1981" s="11"/>
    </row>
    <row r="1982" spans="8:14" x14ac:dyDescent="0.25">
      <c r="H1982" s="37"/>
      <c r="I1982" s="79"/>
      <c r="J1982" s="70"/>
      <c r="K1982" s="57"/>
      <c r="L1982" s="11"/>
      <c r="M1982" s="41"/>
      <c r="N1982" s="11"/>
    </row>
    <row r="1983" spans="8:14" x14ac:dyDescent="0.25">
      <c r="H1983" s="37"/>
      <c r="I1983" s="79"/>
      <c r="J1983" s="70"/>
      <c r="K1983" s="57"/>
      <c r="L1983" s="11"/>
      <c r="M1983" s="41"/>
      <c r="N1983" s="11"/>
    </row>
    <row r="1984" spans="8:14" x14ac:dyDescent="0.25">
      <c r="H1984" s="37"/>
      <c r="I1984" s="79"/>
      <c r="J1984" s="70"/>
      <c r="K1984" s="57"/>
      <c r="L1984" s="11"/>
      <c r="M1984" s="41"/>
      <c r="N1984" s="11"/>
    </row>
    <row r="1985" spans="8:14" x14ac:dyDescent="0.25">
      <c r="H1985" s="37"/>
      <c r="I1985" s="79"/>
      <c r="J1985" s="70"/>
      <c r="K1985" s="57"/>
      <c r="L1985" s="11"/>
      <c r="M1985" s="41"/>
      <c r="N1985" s="11"/>
    </row>
    <row r="1986" spans="8:14" x14ac:dyDescent="0.25">
      <c r="H1986" s="37"/>
      <c r="I1986" s="79"/>
      <c r="J1986" s="70"/>
      <c r="K1986" s="57"/>
      <c r="L1986" s="11"/>
      <c r="M1986" s="41"/>
      <c r="N1986" s="11"/>
    </row>
    <row r="1987" spans="8:14" x14ac:dyDescent="0.25">
      <c r="H1987" s="37"/>
      <c r="I1987" s="79"/>
      <c r="J1987" s="70"/>
      <c r="K1987" s="57"/>
      <c r="L1987" s="11"/>
      <c r="M1987" s="41"/>
      <c r="N1987" s="11"/>
    </row>
    <row r="1988" spans="8:14" x14ac:dyDescent="0.25">
      <c r="H1988" s="37"/>
      <c r="I1988" s="79"/>
      <c r="J1988" s="70"/>
      <c r="K1988" s="57"/>
      <c r="L1988" s="11"/>
      <c r="M1988" s="41"/>
      <c r="N1988" s="11"/>
    </row>
    <row r="1989" spans="8:14" x14ac:dyDescent="0.25">
      <c r="H1989" s="37"/>
      <c r="I1989" s="79"/>
      <c r="J1989" s="70"/>
      <c r="K1989" s="57"/>
      <c r="L1989" s="11"/>
      <c r="M1989" s="41"/>
      <c r="N1989" s="11"/>
    </row>
    <row r="1990" spans="8:14" x14ac:dyDescent="0.25">
      <c r="H1990" s="37"/>
      <c r="I1990" s="79"/>
      <c r="J1990" s="70"/>
      <c r="K1990" s="57"/>
      <c r="L1990" s="11"/>
      <c r="M1990" s="41"/>
      <c r="N1990" s="11"/>
    </row>
    <row r="1991" spans="8:14" x14ac:dyDescent="0.25">
      <c r="H1991" s="37"/>
      <c r="I1991" s="79"/>
      <c r="J1991" s="70"/>
      <c r="K1991" s="57"/>
      <c r="L1991" s="11"/>
      <c r="M1991" s="41"/>
      <c r="N1991" s="11"/>
    </row>
    <row r="1992" spans="8:14" x14ac:dyDescent="0.25">
      <c r="H1992" s="37"/>
      <c r="I1992" s="79"/>
      <c r="J1992" s="70"/>
      <c r="K1992" s="57"/>
      <c r="L1992" s="11"/>
      <c r="M1992" s="41"/>
      <c r="N1992" s="11"/>
    </row>
    <row r="1993" spans="8:14" x14ac:dyDescent="0.25">
      <c r="H1993" s="37"/>
      <c r="I1993" s="79"/>
      <c r="J1993" s="70"/>
      <c r="K1993" s="57"/>
      <c r="L1993" s="11"/>
      <c r="M1993" s="41"/>
      <c r="N1993" s="11"/>
    </row>
    <row r="1994" spans="8:14" x14ac:dyDescent="0.25">
      <c r="H1994" s="37"/>
      <c r="I1994" s="79"/>
      <c r="J1994" s="70"/>
      <c r="K1994" s="57"/>
      <c r="L1994" s="11"/>
      <c r="M1994" s="41"/>
      <c r="N1994" s="11"/>
    </row>
    <row r="1995" spans="8:14" x14ac:dyDescent="0.25">
      <c r="H1995" s="37"/>
      <c r="I1995" s="79"/>
      <c r="J1995" s="70"/>
      <c r="K1995" s="57"/>
      <c r="L1995" s="11"/>
      <c r="M1995" s="41"/>
      <c r="N1995" s="11"/>
    </row>
    <row r="1996" spans="8:14" x14ac:dyDescent="0.25">
      <c r="H1996" s="37"/>
      <c r="I1996" s="79"/>
      <c r="J1996" s="70"/>
      <c r="K1996" s="57"/>
      <c r="L1996" s="11"/>
      <c r="M1996" s="41"/>
      <c r="N1996" s="11"/>
    </row>
    <row r="1997" spans="8:14" x14ac:dyDescent="0.25">
      <c r="H1997" s="37"/>
      <c r="I1997" s="79"/>
      <c r="J1997" s="70"/>
      <c r="K1997" s="57"/>
      <c r="L1997" s="11"/>
      <c r="M1997" s="41"/>
      <c r="N1997" s="11"/>
    </row>
    <row r="1998" spans="8:14" x14ac:dyDescent="0.25">
      <c r="H1998" s="37"/>
      <c r="I1998" s="79"/>
      <c r="J1998" s="70"/>
      <c r="K1998" s="57"/>
      <c r="L1998" s="11"/>
      <c r="M1998" s="41"/>
      <c r="N1998" s="11"/>
    </row>
    <row r="1999" spans="8:14" x14ac:dyDescent="0.25">
      <c r="H1999" s="37"/>
      <c r="I1999" s="79"/>
      <c r="J1999" s="70"/>
      <c r="K1999" s="57"/>
      <c r="L1999" s="11"/>
      <c r="M1999" s="41"/>
      <c r="N1999" s="11"/>
    </row>
    <row r="2000" spans="8:14" x14ac:dyDescent="0.25">
      <c r="H2000" s="37"/>
      <c r="I2000" s="79"/>
      <c r="J2000" s="70"/>
      <c r="K2000" s="57"/>
      <c r="L2000" s="11"/>
      <c r="M2000" s="41"/>
      <c r="N2000" s="11"/>
    </row>
    <row r="2001" spans="8:14" x14ac:dyDescent="0.25">
      <c r="H2001" s="37"/>
      <c r="I2001" s="79"/>
      <c r="J2001" s="70"/>
      <c r="K2001" s="57"/>
      <c r="L2001" s="11"/>
      <c r="M2001" s="41"/>
      <c r="N2001" s="11"/>
    </row>
    <row r="2002" spans="8:14" x14ac:dyDescent="0.25">
      <c r="H2002" s="37"/>
      <c r="I2002" s="79"/>
      <c r="J2002" s="70"/>
      <c r="K2002" s="57"/>
      <c r="L2002" s="11"/>
      <c r="M2002" s="41"/>
      <c r="N2002" s="11"/>
    </row>
    <row r="2003" spans="8:14" x14ac:dyDescent="0.25">
      <c r="H2003" s="37"/>
      <c r="I2003" s="79"/>
      <c r="J2003" s="70"/>
      <c r="K2003" s="57"/>
      <c r="L2003" s="11"/>
      <c r="M2003" s="41"/>
      <c r="N2003" s="11"/>
    </row>
    <row r="2004" spans="8:14" x14ac:dyDescent="0.25">
      <c r="H2004" s="37"/>
      <c r="I2004" s="79"/>
      <c r="J2004" s="70"/>
      <c r="K2004" s="57"/>
      <c r="L2004" s="11"/>
      <c r="M2004" s="41"/>
      <c r="N2004" s="11"/>
    </row>
    <row r="2005" spans="8:14" x14ac:dyDescent="0.25">
      <c r="H2005" s="37"/>
      <c r="I2005" s="79"/>
      <c r="J2005" s="70"/>
      <c r="K2005" s="57"/>
      <c r="L2005" s="11"/>
      <c r="M2005" s="41"/>
      <c r="N2005" s="11"/>
    </row>
    <row r="2006" spans="8:14" x14ac:dyDescent="0.25">
      <c r="H2006" s="37"/>
      <c r="I2006" s="79"/>
      <c r="J2006" s="70"/>
      <c r="K2006" s="57"/>
      <c r="L2006" s="11"/>
      <c r="M2006" s="41"/>
      <c r="N2006" s="11"/>
    </row>
    <row r="2007" spans="8:14" x14ac:dyDescent="0.25">
      <c r="H2007" s="37"/>
      <c r="I2007" s="79"/>
      <c r="J2007" s="70"/>
      <c r="K2007" s="57"/>
      <c r="L2007" s="11"/>
      <c r="M2007" s="41"/>
      <c r="N2007" s="11"/>
    </row>
    <row r="2008" spans="8:14" x14ac:dyDescent="0.25">
      <c r="H2008" s="37"/>
      <c r="I2008" s="79"/>
      <c r="J2008" s="70"/>
      <c r="K2008" s="57"/>
      <c r="L2008" s="11"/>
      <c r="M2008" s="41"/>
      <c r="N2008" s="11"/>
    </row>
    <row r="2009" spans="8:14" x14ac:dyDescent="0.25">
      <c r="H2009" s="37"/>
      <c r="I2009" s="79"/>
      <c r="J2009" s="70"/>
      <c r="K2009" s="57"/>
      <c r="L2009" s="11"/>
      <c r="M2009" s="41"/>
      <c r="N2009" s="11"/>
    </row>
    <row r="2010" spans="8:14" x14ac:dyDescent="0.25">
      <c r="H2010" s="37"/>
      <c r="I2010" s="79"/>
      <c r="J2010" s="70"/>
      <c r="K2010" s="57"/>
      <c r="L2010" s="11"/>
      <c r="M2010" s="41"/>
      <c r="N2010" s="11"/>
    </row>
    <row r="2011" spans="8:14" x14ac:dyDescent="0.25">
      <c r="H2011" s="37"/>
      <c r="I2011" s="79"/>
      <c r="J2011" s="70"/>
      <c r="K2011" s="57"/>
      <c r="L2011" s="11"/>
      <c r="M2011" s="41"/>
      <c r="N2011" s="11"/>
    </row>
    <row r="2012" spans="8:14" x14ac:dyDescent="0.25">
      <c r="H2012" s="37"/>
      <c r="I2012" s="79"/>
      <c r="J2012" s="70"/>
      <c r="K2012" s="57"/>
      <c r="L2012" s="11"/>
      <c r="M2012" s="41"/>
      <c r="N2012" s="11"/>
    </row>
    <row r="2013" spans="8:14" x14ac:dyDescent="0.25">
      <c r="H2013" s="37"/>
      <c r="I2013" s="79"/>
      <c r="J2013" s="70"/>
      <c r="K2013" s="57"/>
      <c r="L2013" s="11"/>
      <c r="M2013" s="41"/>
      <c r="N2013" s="11"/>
    </row>
    <row r="2014" spans="8:14" x14ac:dyDescent="0.25">
      <c r="H2014" s="37"/>
      <c r="I2014" s="79"/>
      <c r="J2014" s="70"/>
      <c r="K2014" s="57"/>
      <c r="L2014" s="11"/>
      <c r="M2014" s="41"/>
      <c r="N2014" s="11"/>
    </row>
    <row r="2015" spans="8:14" x14ac:dyDescent="0.25">
      <c r="H2015" s="37"/>
      <c r="I2015" s="79"/>
      <c r="J2015" s="70"/>
      <c r="K2015" s="57"/>
      <c r="L2015" s="11"/>
      <c r="M2015" s="41"/>
      <c r="N2015" s="11"/>
    </row>
    <row r="2016" spans="8:14" x14ac:dyDescent="0.25">
      <c r="H2016" s="37"/>
      <c r="I2016" s="79"/>
      <c r="J2016" s="70"/>
      <c r="K2016" s="57"/>
      <c r="L2016" s="11"/>
      <c r="M2016" s="41"/>
      <c r="N2016" s="11"/>
    </row>
    <row r="2017" spans="8:14" x14ac:dyDescent="0.25">
      <c r="H2017" s="37"/>
      <c r="I2017" s="79"/>
      <c r="J2017" s="70"/>
      <c r="K2017" s="57"/>
      <c r="L2017" s="11"/>
      <c r="M2017" s="41"/>
      <c r="N2017" s="11"/>
    </row>
    <row r="2018" spans="8:14" x14ac:dyDescent="0.25">
      <c r="H2018" s="37"/>
      <c r="I2018" s="79"/>
      <c r="J2018" s="70"/>
      <c r="K2018" s="57"/>
      <c r="L2018" s="11"/>
      <c r="M2018" s="41"/>
      <c r="N2018" s="11"/>
    </row>
    <row r="2019" spans="8:14" x14ac:dyDescent="0.25">
      <c r="H2019" s="37"/>
      <c r="I2019" s="79"/>
      <c r="J2019" s="70"/>
      <c r="K2019" s="57"/>
      <c r="L2019" s="11"/>
      <c r="M2019" s="41"/>
      <c r="N2019" s="11"/>
    </row>
    <row r="2020" spans="8:14" x14ac:dyDescent="0.25">
      <c r="H2020" s="37"/>
      <c r="I2020" s="79"/>
      <c r="J2020" s="70"/>
      <c r="K2020" s="57"/>
      <c r="L2020" s="11"/>
      <c r="M2020" s="41"/>
      <c r="N2020" s="11"/>
    </row>
    <row r="2021" spans="8:14" x14ac:dyDescent="0.25">
      <c r="H2021" s="37"/>
      <c r="I2021" s="79"/>
      <c r="J2021" s="70"/>
      <c r="K2021" s="57"/>
      <c r="L2021" s="11"/>
      <c r="M2021" s="41"/>
      <c r="N2021" s="11"/>
    </row>
    <row r="2022" spans="8:14" x14ac:dyDescent="0.25">
      <c r="H2022" s="37"/>
      <c r="I2022" s="79"/>
      <c r="J2022" s="70"/>
      <c r="K2022" s="57"/>
      <c r="L2022" s="11"/>
      <c r="M2022" s="41"/>
      <c r="N2022" s="11"/>
    </row>
    <row r="2023" spans="8:14" x14ac:dyDescent="0.25">
      <c r="H2023" s="37"/>
      <c r="I2023" s="79"/>
      <c r="J2023" s="70"/>
      <c r="K2023" s="57"/>
      <c r="L2023" s="11"/>
      <c r="M2023" s="41"/>
      <c r="N2023" s="11"/>
    </row>
    <row r="2024" spans="8:14" x14ac:dyDescent="0.25">
      <c r="H2024" s="37"/>
      <c r="I2024" s="79"/>
      <c r="J2024" s="70"/>
      <c r="K2024" s="57"/>
      <c r="L2024" s="11"/>
      <c r="M2024" s="41"/>
      <c r="N2024" s="11"/>
    </row>
    <row r="2025" spans="8:14" x14ac:dyDescent="0.25">
      <c r="H2025" s="37"/>
      <c r="I2025" s="79"/>
      <c r="J2025" s="70"/>
      <c r="K2025" s="57"/>
      <c r="L2025" s="11"/>
      <c r="M2025" s="41"/>
      <c r="N2025" s="11"/>
    </row>
    <row r="2026" spans="8:14" x14ac:dyDescent="0.25">
      <c r="H2026" s="37"/>
      <c r="I2026" s="79"/>
      <c r="J2026" s="70"/>
      <c r="K2026" s="57"/>
      <c r="L2026" s="11"/>
      <c r="M2026" s="41"/>
      <c r="N2026" s="11"/>
    </row>
    <row r="2027" spans="8:14" x14ac:dyDescent="0.25">
      <c r="H2027" s="37"/>
      <c r="I2027" s="79"/>
      <c r="J2027" s="70"/>
      <c r="K2027" s="57"/>
      <c r="L2027" s="11"/>
      <c r="M2027" s="41"/>
      <c r="N2027" s="11"/>
    </row>
    <row r="2028" spans="8:14" x14ac:dyDescent="0.25">
      <c r="H2028" s="37"/>
      <c r="I2028" s="79"/>
      <c r="J2028" s="70"/>
      <c r="K2028" s="57"/>
      <c r="L2028" s="11"/>
      <c r="M2028" s="41"/>
      <c r="N2028" s="11"/>
    </row>
    <row r="2029" spans="8:14" x14ac:dyDescent="0.25">
      <c r="H2029" s="37"/>
      <c r="I2029" s="79"/>
      <c r="J2029" s="70"/>
      <c r="K2029" s="57"/>
      <c r="L2029" s="11"/>
      <c r="M2029" s="41"/>
      <c r="N2029" s="11"/>
    </row>
    <row r="2030" spans="8:14" x14ac:dyDescent="0.25">
      <c r="H2030" s="37"/>
      <c r="I2030" s="79"/>
      <c r="J2030" s="70"/>
      <c r="K2030" s="57"/>
      <c r="L2030" s="11"/>
      <c r="M2030" s="41"/>
      <c r="N2030" s="11"/>
    </row>
    <row r="2031" spans="8:14" x14ac:dyDescent="0.25">
      <c r="H2031" s="37"/>
      <c r="I2031" s="79"/>
      <c r="J2031" s="70"/>
      <c r="K2031" s="57"/>
      <c r="L2031" s="11"/>
      <c r="M2031" s="41"/>
      <c r="N2031" s="11"/>
    </row>
    <row r="2032" spans="8:14" x14ac:dyDescent="0.25">
      <c r="H2032" s="37"/>
      <c r="I2032" s="79"/>
      <c r="J2032" s="70"/>
      <c r="K2032" s="57"/>
      <c r="L2032" s="11"/>
      <c r="M2032" s="41"/>
      <c r="N2032" s="11"/>
    </row>
    <row r="2033" spans="8:14" x14ac:dyDescent="0.25">
      <c r="H2033" s="37"/>
      <c r="I2033" s="79"/>
      <c r="J2033" s="70"/>
      <c r="K2033" s="57"/>
      <c r="L2033" s="11"/>
      <c r="M2033" s="41"/>
      <c r="N2033" s="11"/>
    </row>
    <row r="2034" spans="8:14" x14ac:dyDescent="0.25">
      <c r="H2034" s="37"/>
      <c r="I2034" s="79"/>
      <c r="J2034" s="70"/>
      <c r="K2034" s="57"/>
      <c r="L2034" s="11"/>
      <c r="M2034" s="41"/>
      <c r="N2034" s="11"/>
    </row>
    <row r="2035" spans="8:14" x14ac:dyDescent="0.25">
      <c r="H2035" s="37"/>
      <c r="I2035" s="79"/>
      <c r="J2035" s="70"/>
      <c r="K2035" s="57"/>
      <c r="L2035" s="11"/>
      <c r="M2035" s="41"/>
      <c r="N2035" s="11"/>
    </row>
    <row r="2036" spans="8:14" x14ac:dyDescent="0.25">
      <c r="H2036" s="37"/>
      <c r="I2036" s="79"/>
      <c r="J2036" s="70"/>
      <c r="K2036" s="57"/>
      <c r="L2036" s="11"/>
      <c r="M2036" s="41"/>
      <c r="N2036" s="11"/>
    </row>
    <row r="2037" spans="8:14" x14ac:dyDescent="0.25">
      <c r="H2037" s="37"/>
      <c r="I2037" s="79"/>
      <c r="J2037" s="70"/>
      <c r="K2037" s="57"/>
      <c r="L2037" s="11"/>
      <c r="M2037" s="41"/>
      <c r="N2037" s="11"/>
    </row>
    <row r="2038" spans="8:14" x14ac:dyDescent="0.25">
      <c r="H2038" s="37"/>
      <c r="I2038" s="79"/>
      <c r="J2038" s="70"/>
      <c r="K2038" s="57"/>
      <c r="L2038" s="11"/>
      <c r="M2038" s="41"/>
      <c r="N2038" s="11"/>
    </row>
    <row r="2039" spans="8:14" x14ac:dyDescent="0.25">
      <c r="H2039" s="37"/>
      <c r="I2039" s="79"/>
      <c r="J2039" s="70"/>
      <c r="K2039" s="57"/>
      <c r="L2039" s="11"/>
      <c r="M2039" s="41"/>
      <c r="N2039" s="11"/>
    </row>
    <row r="2040" spans="8:14" x14ac:dyDescent="0.25">
      <c r="H2040" s="37"/>
      <c r="I2040" s="79"/>
      <c r="J2040" s="70"/>
      <c r="K2040" s="57"/>
      <c r="L2040" s="11"/>
      <c r="M2040" s="41"/>
      <c r="N2040" s="11"/>
    </row>
    <row r="2041" spans="8:14" x14ac:dyDescent="0.25">
      <c r="H2041" s="37"/>
      <c r="I2041" s="79"/>
      <c r="J2041" s="70"/>
      <c r="K2041" s="57"/>
      <c r="L2041" s="11"/>
      <c r="M2041" s="41"/>
      <c r="N2041" s="11"/>
    </row>
    <row r="2042" spans="8:14" x14ac:dyDescent="0.25">
      <c r="H2042" s="37"/>
      <c r="I2042" s="79"/>
      <c r="J2042" s="70"/>
      <c r="K2042" s="57"/>
      <c r="L2042" s="11"/>
      <c r="M2042" s="41"/>
      <c r="N2042" s="11"/>
    </row>
    <row r="2043" spans="8:14" x14ac:dyDescent="0.25">
      <c r="H2043" s="37"/>
      <c r="I2043" s="79"/>
      <c r="J2043" s="70"/>
      <c r="K2043" s="57"/>
      <c r="L2043" s="11"/>
      <c r="M2043" s="41"/>
      <c r="N2043" s="11"/>
    </row>
    <row r="2044" spans="8:14" x14ac:dyDescent="0.25">
      <c r="H2044" s="37"/>
      <c r="I2044" s="79"/>
      <c r="J2044" s="70"/>
      <c r="K2044" s="57"/>
      <c r="L2044" s="11"/>
      <c r="M2044" s="41"/>
      <c r="N2044" s="11"/>
    </row>
    <row r="2045" spans="8:14" x14ac:dyDescent="0.25">
      <c r="H2045" s="37"/>
      <c r="I2045" s="79"/>
      <c r="J2045" s="70"/>
      <c r="K2045" s="57"/>
      <c r="L2045" s="11"/>
      <c r="M2045" s="41"/>
      <c r="N2045" s="11"/>
    </row>
    <row r="2046" spans="8:14" x14ac:dyDescent="0.25">
      <c r="H2046" s="37"/>
      <c r="I2046" s="79"/>
      <c r="J2046" s="70"/>
      <c r="K2046" s="57"/>
      <c r="L2046" s="11"/>
      <c r="M2046" s="41"/>
      <c r="N2046" s="11"/>
    </row>
    <row r="2047" spans="8:14" x14ac:dyDescent="0.25">
      <c r="H2047" s="37"/>
      <c r="I2047" s="79"/>
      <c r="J2047" s="70"/>
      <c r="K2047" s="57"/>
      <c r="L2047" s="11"/>
      <c r="M2047" s="41"/>
      <c r="N2047" s="11"/>
    </row>
    <row r="2048" spans="8:14" x14ac:dyDescent="0.25">
      <c r="H2048" s="37"/>
      <c r="I2048" s="79"/>
      <c r="J2048" s="70"/>
      <c r="K2048" s="57"/>
      <c r="L2048" s="11"/>
      <c r="M2048" s="41"/>
      <c r="N2048" s="11"/>
    </row>
    <row r="2049" spans="8:14" x14ac:dyDescent="0.25">
      <c r="H2049" s="37"/>
      <c r="I2049" s="79"/>
      <c r="J2049" s="70"/>
      <c r="K2049" s="57"/>
      <c r="L2049" s="11"/>
      <c r="M2049" s="41"/>
      <c r="N2049" s="11"/>
    </row>
    <row r="2050" spans="8:14" x14ac:dyDescent="0.25">
      <c r="H2050" s="37"/>
      <c r="I2050" s="79"/>
      <c r="J2050" s="70"/>
      <c r="K2050" s="57"/>
      <c r="L2050" s="11"/>
      <c r="M2050" s="41"/>
      <c r="N2050" s="11"/>
    </row>
    <row r="2051" spans="8:14" x14ac:dyDescent="0.25">
      <c r="H2051" s="37"/>
      <c r="I2051" s="79"/>
      <c r="J2051" s="70"/>
      <c r="K2051" s="57"/>
      <c r="L2051" s="11"/>
      <c r="M2051" s="41"/>
      <c r="N2051" s="11"/>
    </row>
    <row r="2052" spans="8:14" x14ac:dyDescent="0.25">
      <c r="H2052" s="37"/>
      <c r="I2052" s="79"/>
      <c r="J2052" s="70"/>
      <c r="K2052" s="57"/>
      <c r="L2052" s="11"/>
      <c r="M2052" s="41"/>
      <c r="N2052" s="11"/>
    </row>
    <row r="2053" spans="8:14" x14ac:dyDescent="0.25">
      <c r="H2053" s="37"/>
      <c r="I2053" s="79"/>
      <c r="J2053" s="70"/>
      <c r="K2053" s="57"/>
      <c r="L2053" s="11"/>
      <c r="M2053" s="41"/>
      <c r="N2053" s="11"/>
    </row>
    <row r="2054" spans="8:14" x14ac:dyDescent="0.25">
      <c r="H2054" s="37"/>
      <c r="I2054" s="79"/>
      <c r="J2054" s="70"/>
      <c r="K2054" s="57"/>
      <c r="L2054" s="11"/>
      <c r="M2054" s="41"/>
      <c r="N2054" s="11"/>
    </row>
    <row r="2055" spans="8:14" x14ac:dyDescent="0.25">
      <c r="H2055" s="37"/>
      <c r="I2055" s="79"/>
      <c r="J2055" s="70"/>
      <c r="K2055" s="57"/>
      <c r="L2055" s="11"/>
      <c r="M2055" s="41"/>
      <c r="N2055" s="11"/>
    </row>
    <row r="2056" spans="8:14" x14ac:dyDescent="0.25">
      <c r="H2056" s="37"/>
      <c r="I2056" s="79"/>
      <c r="J2056" s="70"/>
      <c r="K2056" s="57"/>
      <c r="L2056" s="11"/>
      <c r="M2056" s="41"/>
      <c r="N2056" s="11"/>
    </row>
    <row r="2057" spans="8:14" x14ac:dyDescent="0.25">
      <c r="H2057" s="37"/>
      <c r="I2057" s="79"/>
      <c r="J2057" s="70"/>
      <c r="K2057" s="57"/>
      <c r="L2057" s="11"/>
      <c r="M2057" s="41"/>
      <c r="N2057" s="11"/>
    </row>
    <row r="2058" spans="8:14" x14ac:dyDescent="0.25">
      <c r="H2058" s="37"/>
      <c r="I2058" s="79"/>
      <c r="J2058" s="70"/>
      <c r="K2058" s="57"/>
      <c r="L2058" s="11"/>
      <c r="M2058" s="41"/>
      <c r="N2058" s="11"/>
    </row>
    <row r="2059" spans="8:14" x14ac:dyDescent="0.25">
      <c r="H2059" s="37"/>
      <c r="I2059" s="79"/>
      <c r="J2059" s="70"/>
      <c r="K2059" s="57"/>
      <c r="L2059" s="11"/>
      <c r="M2059" s="41"/>
      <c r="N2059" s="11"/>
    </row>
    <row r="2060" spans="8:14" x14ac:dyDescent="0.25">
      <c r="H2060" s="37"/>
      <c r="I2060" s="79"/>
      <c r="J2060" s="70"/>
      <c r="K2060" s="57"/>
      <c r="L2060" s="11"/>
      <c r="M2060" s="41"/>
      <c r="N2060" s="11"/>
    </row>
    <row r="2061" spans="8:14" x14ac:dyDescent="0.25">
      <c r="H2061" s="37"/>
      <c r="I2061" s="79"/>
      <c r="J2061" s="70"/>
      <c r="K2061" s="57"/>
      <c r="L2061" s="11"/>
      <c r="M2061" s="41"/>
      <c r="N2061" s="11"/>
    </row>
    <row r="2062" spans="8:14" x14ac:dyDescent="0.25">
      <c r="H2062" s="37"/>
      <c r="I2062" s="79"/>
      <c r="J2062" s="70"/>
      <c r="K2062" s="57"/>
      <c r="L2062" s="11"/>
      <c r="M2062" s="41"/>
      <c r="N2062" s="11"/>
    </row>
    <row r="2063" spans="8:14" x14ac:dyDescent="0.25">
      <c r="H2063" s="37"/>
      <c r="I2063" s="79"/>
      <c r="J2063" s="70"/>
      <c r="K2063" s="57"/>
      <c r="L2063" s="11"/>
      <c r="M2063" s="41"/>
      <c r="N2063" s="11"/>
    </row>
    <row r="2064" spans="8:14" x14ac:dyDescent="0.25">
      <c r="H2064" s="37"/>
      <c r="I2064" s="79"/>
      <c r="J2064" s="70"/>
      <c r="K2064" s="57"/>
      <c r="L2064" s="11"/>
      <c r="M2064" s="41"/>
      <c r="N2064" s="11"/>
    </row>
    <row r="2065" spans="8:14" x14ac:dyDescent="0.25">
      <c r="H2065" s="37"/>
      <c r="I2065" s="79"/>
      <c r="J2065" s="70"/>
      <c r="K2065" s="57"/>
      <c r="L2065" s="11"/>
      <c r="M2065" s="41"/>
      <c r="N2065" s="11"/>
    </row>
    <row r="2066" spans="8:14" x14ac:dyDescent="0.25">
      <c r="H2066" s="37"/>
      <c r="I2066" s="79"/>
      <c r="J2066" s="70"/>
      <c r="K2066" s="57"/>
      <c r="L2066" s="11"/>
      <c r="M2066" s="41"/>
      <c r="N2066" s="11"/>
    </row>
    <row r="2067" spans="8:14" x14ac:dyDescent="0.25">
      <c r="H2067" s="37"/>
      <c r="I2067" s="79"/>
      <c r="J2067" s="70"/>
      <c r="K2067" s="57"/>
      <c r="L2067" s="11"/>
      <c r="M2067" s="41"/>
      <c r="N2067" s="11"/>
    </row>
    <row r="2068" spans="8:14" x14ac:dyDescent="0.25">
      <c r="H2068" s="37"/>
      <c r="I2068" s="79"/>
      <c r="J2068" s="70"/>
      <c r="K2068" s="57"/>
      <c r="L2068" s="11"/>
      <c r="M2068" s="41"/>
      <c r="N2068" s="11"/>
    </row>
    <row r="2069" spans="8:14" x14ac:dyDescent="0.25">
      <c r="H2069" s="37"/>
      <c r="I2069" s="79"/>
      <c r="J2069" s="70"/>
      <c r="K2069" s="57"/>
      <c r="L2069" s="11"/>
      <c r="M2069" s="41"/>
      <c r="N2069" s="11"/>
    </row>
    <row r="2070" spans="8:14" x14ac:dyDescent="0.25">
      <c r="H2070" s="37"/>
      <c r="I2070" s="79"/>
      <c r="J2070" s="70"/>
      <c r="K2070" s="57"/>
      <c r="L2070" s="11"/>
      <c r="M2070" s="41"/>
      <c r="N2070" s="11"/>
    </row>
    <row r="2071" spans="8:14" x14ac:dyDescent="0.25">
      <c r="H2071" s="37"/>
      <c r="I2071" s="79"/>
      <c r="J2071" s="70"/>
      <c r="K2071" s="57"/>
      <c r="L2071" s="11"/>
      <c r="M2071" s="41"/>
      <c r="N2071" s="11"/>
    </row>
    <row r="2072" spans="8:14" x14ac:dyDescent="0.25">
      <c r="H2072" s="37"/>
      <c r="I2072" s="79"/>
      <c r="J2072" s="70"/>
      <c r="K2072" s="57"/>
      <c r="L2072" s="11"/>
      <c r="M2072" s="41"/>
      <c r="N2072" s="11"/>
    </row>
    <row r="2073" spans="8:14" x14ac:dyDescent="0.25">
      <c r="H2073" s="37"/>
      <c r="I2073" s="79"/>
      <c r="J2073" s="70"/>
      <c r="K2073" s="57"/>
      <c r="L2073" s="11"/>
      <c r="M2073" s="41"/>
      <c r="N2073" s="11"/>
    </row>
    <row r="2074" spans="8:14" x14ac:dyDescent="0.25">
      <c r="H2074" s="37"/>
      <c r="I2074" s="79"/>
      <c r="J2074" s="70"/>
      <c r="K2074" s="57"/>
      <c r="L2074" s="11"/>
      <c r="M2074" s="41"/>
      <c r="N2074" s="11"/>
    </row>
    <row r="2075" spans="8:14" x14ac:dyDescent="0.25">
      <c r="H2075" s="37"/>
      <c r="I2075" s="79"/>
      <c r="J2075" s="70"/>
      <c r="K2075" s="57"/>
      <c r="L2075" s="11"/>
      <c r="M2075" s="41"/>
      <c r="N2075" s="11"/>
    </row>
    <row r="2076" spans="8:14" x14ac:dyDescent="0.25">
      <c r="H2076" s="37"/>
      <c r="I2076" s="79"/>
      <c r="J2076" s="70"/>
      <c r="K2076" s="57"/>
      <c r="L2076" s="11"/>
      <c r="M2076" s="41"/>
      <c r="N2076" s="11"/>
    </row>
    <row r="2077" spans="8:14" x14ac:dyDescent="0.25">
      <c r="H2077" s="37"/>
      <c r="I2077" s="79"/>
      <c r="J2077" s="70"/>
      <c r="K2077" s="57"/>
      <c r="L2077" s="11"/>
      <c r="M2077" s="41"/>
      <c r="N2077" s="11"/>
    </row>
    <row r="2078" spans="8:14" x14ac:dyDescent="0.25">
      <c r="H2078" s="37"/>
      <c r="I2078" s="79"/>
      <c r="J2078" s="70"/>
      <c r="K2078" s="57"/>
      <c r="L2078" s="11"/>
      <c r="M2078" s="41"/>
      <c r="N2078" s="11"/>
    </row>
    <row r="2079" spans="8:14" x14ac:dyDescent="0.25">
      <c r="H2079" s="37"/>
      <c r="I2079" s="79"/>
      <c r="J2079" s="70"/>
      <c r="K2079" s="57"/>
      <c r="L2079" s="11"/>
      <c r="M2079" s="41"/>
      <c r="N2079" s="11"/>
    </row>
    <row r="2080" spans="8:14" x14ac:dyDescent="0.25">
      <c r="H2080" s="37"/>
      <c r="I2080" s="79"/>
      <c r="J2080" s="70"/>
      <c r="K2080" s="57"/>
      <c r="L2080" s="11"/>
      <c r="M2080" s="41"/>
      <c r="N2080" s="11"/>
    </row>
    <row r="2081" spans="8:14" x14ac:dyDescent="0.25">
      <c r="H2081" s="37"/>
      <c r="I2081" s="79"/>
      <c r="J2081" s="70"/>
      <c r="K2081" s="57"/>
      <c r="L2081" s="11"/>
      <c r="M2081" s="41"/>
      <c r="N2081" s="11"/>
    </row>
    <row r="2082" spans="8:14" x14ac:dyDescent="0.25">
      <c r="H2082" s="37"/>
      <c r="I2082" s="79"/>
      <c r="J2082" s="70"/>
      <c r="K2082" s="57"/>
      <c r="L2082" s="11"/>
      <c r="M2082" s="41"/>
      <c r="N2082" s="11"/>
    </row>
    <row r="2083" spans="8:14" x14ac:dyDescent="0.25">
      <c r="H2083" s="37"/>
      <c r="I2083" s="79"/>
      <c r="J2083" s="70"/>
      <c r="K2083" s="57"/>
      <c r="L2083" s="11"/>
      <c r="M2083" s="41"/>
      <c r="N2083" s="11"/>
    </row>
    <row r="2084" spans="8:14" x14ac:dyDescent="0.25">
      <c r="H2084" s="37"/>
      <c r="I2084" s="79"/>
      <c r="J2084" s="70"/>
      <c r="K2084" s="57"/>
      <c r="L2084" s="11"/>
      <c r="M2084" s="41"/>
      <c r="N2084" s="11"/>
    </row>
    <row r="2085" spans="8:14" x14ac:dyDescent="0.25">
      <c r="H2085" s="37"/>
      <c r="I2085" s="79"/>
      <c r="J2085" s="70"/>
      <c r="K2085" s="57"/>
      <c r="L2085" s="11"/>
      <c r="M2085" s="41"/>
      <c r="N2085" s="11"/>
    </row>
    <row r="2086" spans="8:14" x14ac:dyDescent="0.25">
      <c r="H2086" s="37"/>
      <c r="I2086" s="79"/>
      <c r="J2086" s="70"/>
      <c r="K2086" s="57"/>
      <c r="L2086" s="11"/>
      <c r="M2086" s="41"/>
      <c r="N2086" s="11"/>
    </row>
    <row r="2087" spans="8:14" x14ac:dyDescent="0.25">
      <c r="H2087" s="37"/>
      <c r="I2087" s="79"/>
      <c r="J2087" s="70"/>
      <c r="K2087" s="57"/>
      <c r="L2087" s="11"/>
      <c r="M2087" s="41"/>
      <c r="N2087" s="11"/>
    </row>
    <row r="2088" spans="8:14" x14ac:dyDescent="0.25">
      <c r="H2088" s="37"/>
      <c r="I2088" s="79"/>
      <c r="J2088" s="70"/>
      <c r="K2088" s="57"/>
      <c r="L2088" s="11"/>
      <c r="M2088" s="41"/>
      <c r="N2088" s="11"/>
    </row>
    <row r="2089" spans="8:14" x14ac:dyDescent="0.25">
      <c r="H2089" s="37"/>
      <c r="I2089" s="79"/>
      <c r="J2089" s="70"/>
      <c r="K2089" s="57"/>
      <c r="L2089" s="11"/>
      <c r="M2089" s="41"/>
      <c r="N2089" s="11"/>
    </row>
    <row r="2090" spans="8:14" x14ac:dyDescent="0.25">
      <c r="H2090" s="37"/>
      <c r="I2090" s="79"/>
      <c r="J2090" s="70"/>
      <c r="K2090" s="57"/>
      <c r="L2090" s="11"/>
      <c r="M2090" s="41"/>
      <c r="N2090" s="11"/>
    </row>
    <row r="2091" spans="8:14" x14ac:dyDescent="0.25">
      <c r="H2091" s="37"/>
      <c r="I2091" s="79"/>
      <c r="J2091" s="70"/>
      <c r="K2091" s="57"/>
      <c r="L2091" s="11"/>
      <c r="M2091" s="41"/>
      <c r="N2091" s="11"/>
    </row>
    <row r="2092" spans="8:14" x14ac:dyDescent="0.25">
      <c r="H2092" s="37"/>
      <c r="I2092" s="79"/>
      <c r="J2092" s="70"/>
      <c r="K2092" s="57"/>
      <c r="L2092" s="11"/>
      <c r="M2092" s="41"/>
      <c r="N2092" s="11"/>
    </row>
    <row r="2093" spans="8:14" x14ac:dyDescent="0.25">
      <c r="H2093" s="37"/>
      <c r="I2093" s="79"/>
      <c r="J2093" s="70"/>
      <c r="K2093" s="57"/>
      <c r="L2093" s="11"/>
      <c r="M2093" s="41"/>
      <c r="N2093" s="11"/>
    </row>
    <row r="2094" spans="8:14" x14ac:dyDescent="0.25">
      <c r="H2094" s="37"/>
      <c r="I2094" s="79"/>
      <c r="J2094" s="70"/>
      <c r="K2094" s="57"/>
      <c r="L2094" s="11"/>
      <c r="M2094" s="41"/>
      <c r="N2094" s="11"/>
    </row>
    <row r="2095" spans="8:14" x14ac:dyDescent="0.25">
      <c r="H2095" s="37"/>
      <c r="I2095" s="79"/>
      <c r="J2095" s="70"/>
      <c r="K2095" s="57"/>
      <c r="L2095" s="11"/>
      <c r="M2095" s="41"/>
      <c r="N2095" s="11"/>
    </row>
    <row r="2096" spans="8:14" x14ac:dyDescent="0.25">
      <c r="H2096" s="37"/>
      <c r="I2096" s="79"/>
      <c r="J2096" s="70"/>
      <c r="K2096" s="57"/>
      <c r="L2096" s="11"/>
      <c r="M2096" s="41"/>
      <c r="N2096" s="11"/>
    </row>
    <row r="2097" spans="8:14" x14ac:dyDescent="0.25">
      <c r="H2097" s="37"/>
      <c r="I2097" s="79"/>
      <c r="J2097" s="70"/>
      <c r="K2097" s="57"/>
      <c r="L2097" s="11"/>
      <c r="M2097" s="41"/>
      <c r="N2097" s="11"/>
    </row>
    <row r="2098" spans="8:14" x14ac:dyDescent="0.25">
      <c r="H2098" s="37"/>
      <c r="I2098" s="79"/>
      <c r="J2098" s="70"/>
      <c r="K2098" s="57"/>
      <c r="L2098" s="11"/>
      <c r="M2098" s="41"/>
      <c r="N2098" s="11"/>
    </row>
    <row r="2099" spans="8:14" x14ac:dyDescent="0.25">
      <c r="H2099" s="37"/>
      <c r="I2099" s="79"/>
      <c r="J2099" s="70"/>
      <c r="K2099" s="57"/>
      <c r="L2099" s="11"/>
      <c r="M2099" s="41"/>
      <c r="N2099" s="11"/>
    </row>
    <row r="2100" spans="8:14" x14ac:dyDescent="0.25">
      <c r="H2100" s="37"/>
      <c r="I2100" s="79"/>
      <c r="J2100" s="70"/>
      <c r="K2100" s="57"/>
      <c r="L2100" s="11"/>
      <c r="M2100" s="41"/>
      <c r="N2100" s="11"/>
    </row>
    <row r="2101" spans="8:14" x14ac:dyDescent="0.25">
      <c r="H2101" s="37"/>
      <c r="I2101" s="79"/>
      <c r="J2101" s="70"/>
      <c r="K2101" s="57"/>
      <c r="L2101" s="11"/>
      <c r="M2101" s="41"/>
      <c r="N2101" s="11"/>
    </row>
    <row r="2102" spans="8:14" x14ac:dyDescent="0.25">
      <c r="H2102" s="37"/>
      <c r="I2102" s="79"/>
      <c r="J2102" s="70"/>
      <c r="K2102" s="57"/>
      <c r="L2102" s="11"/>
      <c r="M2102" s="41"/>
      <c r="N2102" s="11"/>
    </row>
    <row r="2103" spans="8:14" x14ac:dyDescent="0.25">
      <c r="H2103" s="37"/>
      <c r="I2103" s="79"/>
      <c r="J2103" s="70"/>
      <c r="K2103" s="57"/>
      <c r="L2103" s="11"/>
      <c r="M2103" s="41"/>
      <c r="N2103" s="11"/>
    </row>
    <row r="2104" spans="8:14" x14ac:dyDescent="0.25">
      <c r="H2104" s="37"/>
      <c r="I2104" s="79"/>
      <c r="J2104" s="70"/>
      <c r="K2104" s="57"/>
      <c r="L2104" s="11"/>
      <c r="M2104" s="41"/>
      <c r="N2104" s="11"/>
    </row>
    <row r="2105" spans="8:14" x14ac:dyDescent="0.25">
      <c r="H2105" s="37"/>
      <c r="I2105" s="79"/>
      <c r="J2105" s="70"/>
      <c r="K2105" s="57"/>
      <c r="L2105" s="11"/>
      <c r="M2105" s="41"/>
      <c r="N2105" s="11"/>
    </row>
    <row r="2106" spans="8:14" x14ac:dyDescent="0.25">
      <c r="H2106" s="37"/>
      <c r="I2106" s="79"/>
      <c r="J2106" s="70"/>
      <c r="K2106" s="57"/>
      <c r="L2106" s="11"/>
      <c r="M2106" s="41"/>
      <c r="N2106" s="11"/>
    </row>
    <row r="2107" spans="8:14" x14ac:dyDescent="0.25">
      <c r="H2107" s="37"/>
      <c r="I2107" s="79"/>
      <c r="J2107" s="70"/>
      <c r="K2107" s="57"/>
      <c r="L2107" s="11"/>
      <c r="M2107" s="41"/>
      <c r="N2107" s="11"/>
    </row>
    <row r="2108" spans="8:14" x14ac:dyDescent="0.25">
      <c r="H2108" s="37"/>
      <c r="I2108" s="79"/>
      <c r="J2108" s="70"/>
      <c r="K2108" s="57"/>
      <c r="L2108" s="11"/>
      <c r="M2108" s="41"/>
      <c r="N2108" s="11"/>
    </row>
    <row r="2109" spans="8:14" x14ac:dyDescent="0.25">
      <c r="H2109" s="37"/>
      <c r="I2109" s="79"/>
      <c r="J2109" s="70"/>
      <c r="K2109" s="57"/>
      <c r="L2109" s="11"/>
      <c r="M2109" s="41"/>
      <c r="N2109" s="11"/>
    </row>
    <row r="2110" spans="8:14" x14ac:dyDescent="0.25">
      <c r="H2110" s="37"/>
      <c r="I2110" s="79"/>
      <c r="J2110" s="70"/>
      <c r="K2110" s="57"/>
      <c r="L2110" s="11"/>
      <c r="M2110" s="41"/>
      <c r="N2110" s="11"/>
    </row>
    <row r="2111" spans="8:14" x14ac:dyDescent="0.25">
      <c r="H2111" s="37"/>
      <c r="I2111" s="79"/>
      <c r="J2111" s="70"/>
      <c r="K2111" s="57"/>
      <c r="L2111" s="11"/>
      <c r="M2111" s="41"/>
      <c r="N2111" s="11"/>
    </row>
    <row r="2112" spans="8:14" x14ac:dyDescent="0.25">
      <c r="H2112" s="37"/>
      <c r="I2112" s="79"/>
      <c r="J2112" s="70"/>
      <c r="K2112" s="57"/>
      <c r="L2112" s="11"/>
      <c r="M2112" s="41"/>
      <c r="N2112" s="11"/>
    </row>
    <row r="2113" spans="8:14" x14ac:dyDescent="0.25">
      <c r="H2113" s="37"/>
      <c r="I2113" s="79"/>
      <c r="J2113" s="70"/>
      <c r="K2113" s="57"/>
      <c r="L2113" s="11"/>
      <c r="M2113" s="41"/>
      <c r="N2113" s="11"/>
    </row>
    <row r="2114" spans="8:14" x14ac:dyDescent="0.25">
      <c r="H2114" s="37"/>
      <c r="I2114" s="79"/>
      <c r="J2114" s="70"/>
      <c r="K2114" s="57"/>
      <c r="L2114" s="11"/>
      <c r="M2114" s="41"/>
      <c r="N2114" s="11"/>
    </row>
    <row r="2115" spans="8:14" x14ac:dyDescent="0.25">
      <c r="H2115" s="37"/>
      <c r="I2115" s="79"/>
      <c r="J2115" s="70"/>
      <c r="K2115" s="57"/>
      <c r="L2115" s="11"/>
      <c r="M2115" s="41"/>
      <c r="N2115" s="11"/>
    </row>
    <row r="2116" spans="8:14" x14ac:dyDescent="0.25">
      <c r="H2116" s="37"/>
      <c r="I2116" s="79"/>
      <c r="J2116" s="70"/>
      <c r="K2116" s="57"/>
      <c r="L2116" s="11"/>
      <c r="M2116" s="41"/>
      <c r="N2116" s="11"/>
    </row>
    <row r="2117" spans="8:14" x14ac:dyDescent="0.25">
      <c r="H2117" s="37"/>
      <c r="I2117" s="79"/>
      <c r="J2117" s="70"/>
      <c r="K2117" s="57"/>
      <c r="L2117" s="11"/>
      <c r="M2117" s="41"/>
      <c r="N2117" s="11"/>
    </row>
    <row r="2118" spans="8:14" x14ac:dyDescent="0.25">
      <c r="H2118" s="37"/>
      <c r="I2118" s="79"/>
      <c r="J2118" s="70"/>
      <c r="K2118" s="57"/>
      <c r="L2118" s="11"/>
      <c r="M2118" s="41"/>
      <c r="N2118" s="11"/>
    </row>
    <row r="2119" spans="8:14" x14ac:dyDescent="0.25">
      <c r="H2119" s="37"/>
      <c r="I2119" s="79"/>
      <c r="J2119" s="70"/>
      <c r="K2119" s="57"/>
      <c r="L2119" s="11"/>
      <c r="M2119" s="41"/>
      <c r="N2119" s="11"/>
    </row>
    <row r="2120" spans="8:14" x14ac:dyDescent="0.25">
      <c r="H2120" s="37"/>
      <c r="I2120" s="79"/>
      <c r="J2120" s="70"/>
      <c r="K2120" s="57"/>
      <c r="L2120" s="11"/>
      <c r="M2120" s="41"/>
      <c r="N2120" s="11"/>
    </row>
    <row r="2121" spans="8:14" x14ac:dyDescent="0.25">
      <c r="H2121" s="37"/>
      <c r="I2121" s="79"/>
      <c r="J2121" s="70"/>
      <c r="K2121" s="57"/>
      <c r="L2121" s="11"/>
      <c r="M2121" s="41"/>
      <c r="N2121" s="11"/>
    </row>
    <row r="2122" spans="8:14" x14ac:dyDescent="0.25">
      <c r="H2122" s="37"/>
      <c r="I2122" s="79"/>
      <c r="J2122" s="70"/>
      <c r="K2122" s="57"/>
      <c r="L2122" s="11"/>
      <c r="M2122" s="41"/>
      <c r="N2122" s="11"/>
    </row>
    <row r="2123" spans="8:14" x14ac:dyDescent="0.25">
      <c r="H2123" s="37"/>
      <c r="I2123" s="79"/>
      <c r="J2123" s="70"/>
      <c r="K2123" s="57"/>
      <c r="L2123" s="11"/>
      <c r="M2123" s="41"/>
      <c r="N2123" s="11"/>
    </row>
    <row r="2124" spans="8:14" x14ac:dyDescent="0.25">
      <c r="H2124" s="37"/>
      <c r="I2124" s="79"/>
      <c r="J2124" s="70"/>
      <c r="K2124" s="57"/>
      <c r="L2124" s="11"/>
      <c r="M2124" s="41"/>
      <c r="N2124" s="11"/>
    </row>
    <row r="2125" spans="8:14" x14ac:dyDescent="0.25">
      <c r="H2125" s="37"/>
      <c r="I2125" s="79"/>
      <c r="J2125" s="70"/>
      <c r="K2125" s="57"/>
      <c r="L2125" s="11"/>
      <c r="M2125" s="41"/>
      <c r="N2125" s="11"/>
    </row>
    <row r="2126" spans="8:14" x14ac:dyDescent="0.25">
      <c r="H2126" s="37"/>
      <c r="I2126" s="79"/>
      <c r="J2126" s="70"/>
      <c r="K2126" s="57"/>
      <c r="L2126" s="11"/>
      <c r="M2126" s="41"/>
      <c r="N2126" s="11"/>
    </row>
    <row r="2127" spans="8:14" x14ac:dyDescent="0.25">
      <c r="H2127" s="37"/>
      <c r="I2127" s="79"/>
      <c r="J2127" s="70"/>
      <c r="K2127" s="57"/>
      <c r="L2127" s="11"/>
      <c r="M2127" s="41"/>
      <c r="N2127" s="11"/>
    </row>
    <row r="2128" spans="8:14" x14ac:dyDescent="0.25">
      <c r="H2128" s="37"/>
      <c r="I2128" s="79"/>
      <c r="J2128" s="70"/>
      <c r="K2128" s="57"/>
      <c r="L2128" s="11"/>
      <c r="M2128" s="41"/>
      <c r="N2128" s="11"/>
    </row>
    <row r="2129" spans="8:14" x14ac:dyDescent="0.25">
      <c r="H2129" s="37"/>
      <c r="I2129" s="79"/>
      <c r="J2129" s="70"/>
      <c r="K2129" s="57"/>
      <c r="L2129" s="11"/>
      <c r="M2129" s="41"/>
      <c r="N2129" s="11"/>
    </row>
    <row r="2130" spans="8:14" x14ac:dyDescent="0.25">
      <c r="H2130" s="37"/>
      <c r="I2130" s="79"/>
      <c r="J2130" s="70"/>
      <c r="K2130" s="57"/>
      <c r="L2130" s="11"/>
      <c r="M2130" s="41"/>
      <c r="N2130" s="11"/>
    </row>
    <row r="2131" spans="8:14" x14ac:dyDescent="0.25">
      <c r="H2131" s="37"/>
      <c r="I2131" s="79"/>
      <c r="J2131" s="70"/>
      <c r="K2131" s="57"/>
      <c r="L2131" s="11"/>
      <c r="M2131" s="41"/>
      <c r="N2131" s="11"/>
    </row>
    <row r="2132" spans="8:14" x14ac:dyDescent="0.25">
      <c r="H2132" s="37"/>
      <c r="I2132" s="79"/>
      <c r="J2132" s="70"/>
      <c r="K2132" s="57"/>
      <c r="L2132" s="11"/>
      <c r="M2132" s="41"/>
      <c r="N2132" s="11"/>
    </row>
    <row r="2133" spans="8:14" x14ac:dyDescent="0.25">
      <c r="H2133" s="37"/>
      <c r="I2133" s="79"/>
      <c r="J2133" s="70"/>
      <c r="K2133" s="57"/>
      <c r="L2133" s="11"/>
      <c r="M2133" s="41"/>
      <c r="N2133" s="11"/>
    </row>
    <row r="2134" spans="8:14" x14ac:dyDescent="0.25">
      <c r="H2134" s="37"/>
      <c r="I2134" s="79"/>
      <c r="J2134" s="70"/>
      <c r="K2134" s="57"/>
      <c r="L2134" s="11"/>
      <c r="M2134" s="41"/>
      <c r="N2134" s="11"/>
    </row>
    <row r="2135" spans="8:14" x14ac:dyDescent="0.25">
      <c r="H2135" s="37"/>
      <c r="I2135" s="79"/>
      <c r="J2135" s="70"/>
      <c r="K2135" s="57"/>
      <c r="L2135" s="11"/>
      <c r="M2135" s="41"/>
      <c r="N2135" s="11"/>
    </row>
    <row r="2136" spans="8:14" x14ac:dyDescent="0.25">
      <c r="H2136" s="37"/>
      <c r="I2136" s="79"/>
      <c r="J2136" s="70"/>
      <c r="K2136" s="57"/>
      <c r="L2136" s="11"/>
      <c r="M2136" s="41"/>
      <c r="N2136" s="11"/>
    </row>
    <row r="2137" spans="8:14" x14ac:dyDescent="0.25">
      <c r="H2137" s="37"/>
      <c r="I2137" s="79"/>
      <c r="J2137" s="70"/>
      <c r="K2137" s="57"/>
      <c r="L2137" s="11"/>
      <c r="M2137" s="41"/>
      <c r="N2137" s="11"/>
    </row>
    <row r="2138" spans="8:14" x14ac:dyDescent="0.25">
      <c r="H2138" s="37"/>
      <c r="I2138" s="79"/>
      <c r="J2138" s="70"/>
      <c r="K2138" s="57"/>
      <c r="L2138" s="11"/>
      <c r="M2138" s="41"/>
      <c r="N2138" s="11"/>
    </row>
    <row r="2139" spans="8:14" x14ac:dyDescent="0.25">
      <c r="H2139" s="37"/>
      <c r="I2139" s="79"/>
      <c r="J2139" s="70"/>
      <c r="K2139" s="57"/>
      <c r="L2139" s="11"/>
      <c r="M2139" s="41"/>
      <c r="N2139" s="11"/>
    </row>
    <row r="2140" spans="8:14" x14ac:dyDescent="0.25">
      <c r="H2140" s="37"/>
      <c r="I2140" s="79"/>
      <c r="J2140" s="70"/>
      <c r="K2140" s="57"/>
      <c r="L2140" s="11"/>
      <c r="M2140" s="41"/>
      <c r="N2140" s="11"/>
    </row>
    <row r="2141" spans="8:14" x14ac:dyDescent="0.25">
      <c r="H2141" s="37"/>
      <c r="I2141" s="79"/>
      <c r="J2141" s="70"/>
      <c r="K2141" s="57"/>
      <c r="L2141" s="11"/>
      <c r="M2141" s="41"/>
      <c r="N2141" s="11"/>
    </row>
    <row r="2142" spans="8:14" x14ac:dyDescent="0.25">
      <c r="H2142" s="37"/>
      <c r="I2142" s="79"/>
      <c r="J2142" s="70"/>
      <c r="K2142" s="57"/>
      <c r="L2142" s="11"/>
      <c r="M2142" s="41"/>
      <c r="N2142" s="11"/>
    </row>
    <row r="2143" spans="8:14" x14ac:dyDescent="0.25">
      <c r="H2143" s="37"/>
      <c r="I2143" s="79"/>
      <c r="J2143" s="70"/>
      <c r="K2143" s="57"/>
      <c r="L2143" s="11"/>
      <c r="M2143" s="41"/>
      <c r="N2143" s="11"/>
    </row>
    <row r="2144" spans="8:14" x14ac:dyDescent="0.25">
      <c r="H2144" s="37"/>
      <c r="I2144" s="79"/>
      <c r="J2144" s="70"/>
      <c r="K2144" s="57"/>
      <c r="L2144" s="11"/>
      <c r="M2144" s="41"/>
      <c r="N2144" s="11"/>
    </row>
    <row r="2145" spans="8:14" x14ac:dyDescent="0.25">
      <c r="H2145" s="37"/>
      <c r="I2145" s="79"/>
      <c r="J2145" s="70"/>
      <c r="K2145" s="57"/>
      <c r="L2145" s="11"/>
      <c r="M2145" s="41"/>
      <c r="N2145" s="11"/>
    </row>
    <row r="2146" spans="8:14" x14ac:dyDescent="0.25">
      <c r="H2146" s="37"/>
      <c r="I2146" s="79"/>
      <c r="J2146" s="70"/>
      <c r="K2146" s="57"/>
      <c r="L2146" s="11"/>
      <c r="M2146" s="41"/>
      <c r="N2146" s="11"/>
    </row>
    <row r="2147" spans="8:14" x14ac:dyDescent="0.25">
      <c r="H2147" s="37"/>
      <c r="I2147" s="79"/>
      <c r="J2147" s="70"/>
      <c r="K2147" s="57"/>
      <c r="L2147" s="11"/>
      <c r="M2147" s="41"/>
      <c r="N2147" s="11"/>
    </row>
    <row r="2148" spans="8:14" x14ac:dyDescent="0.25">
      <c r="H2148" s="37"/>
      <c r="I2148" s="79"/>
      <c r="J2148" s="70"/>
      <c r="K2148" s="57"/>
      <c r="L2148" s="11"/>
      <c r="M2148" s="41"/>
      <c r="N2148" s="11"/>
    </row>
    <row r="2149" spans="8:14" x14ac:dyDescent="0.25">
      <c r="H2149" s="37"/>
      <c r="I2149" s="79"/>
      <c r="J2149" s="70"/>
      <c r="K2149" s="57"/>
      <c r="L2149" s="11"/>
      <c r="M2149" s="41"/>
      <c r="N2149" s="11"/>
    </row>
    <row r="2150" spans="8:14" x14ac:dyDescent="0.25">
      <c r="H2150" s="37"/>
      <c r="I2150" s="79"/>
      <c r="J2150" s="70"/>
      <c r="K2150" s="57"/>
      <c r="L2150" s="11"/>
      <c r="M2150" s="41"/>
      <c r="N2150" s="11"/>
    </row>
    <row r="2151" spans="8:14" x14ac:dyDescent="0.25">
      <c r="H2151" s="37"/>
      <c r="I2151" s="79"/>
      <c r="J2151" s="70"/>
      <c r="K2151" s="57"/>
      <c r="L2151" s="11"/>
      <c r="M2151" s="41"/>
      <c r="N2151" s="11"/>
    </row>
    <row r="2152" spans="8:14" x14ac:dyDescent="0.25">
      <c r="H2152" s="37"/>
      <c r="I2152" s="79"/>
      <c r="J2152" s="70"/>
      <c r="K2152" s="57"/>
      <c r="L2152" s="11"/>
      <c r="M2152" s="41"/>
      <c r="N2152" s="11"/>
    </row>
    <row r="2153" spans="8:14" x14ac:dyDescent="0.25">
      <c r="H2153" s="37"/>
      <c r="I2153" s="79"/>
      <c r="J2153" s="70"/>
      <c r="K2153" s="57"/>
      <c r="L2153" s="11"/>
      <c r="M2153" s="41"/>
      <c r="N2153" s="11"/>
    </row>
    <row r="2154" spans="8:14" x14ac:dyDescent="0.25">
      <c r="H2154" s="37"/>
      <c r="I2154" s="79"/>
      <c r="J2154" s="70"/>
      <c r="K2154" s="57"/>
      <c r="L2154" s="11"/>
      <c r="M2154" s="41"/>
      <c r="N2154" s="11"/>
    </row>
    <row r="2155" spans="8:14" x14ac:dyDescent="0.25">
      <c r="H2155" s="37"/>
      <c r="I2155" s="79"/>
      <c r="J2155" s="70"/>
      <c r="K2155" s="57"/>
      <c r="L2155" s="11"/>
      <c r="M2155" s="41"/>
      <c r="N2155" s="11"/>
    </row>
    <row r="2156" spans="8:14" x14ac:dyDescent="0.25">
      <c r="H2156" s="37"/>
      <c r="I2156" s="79"/>
      <c r="J2156" s="70"/>
      <c r="K2156" s="57"/>
      <c r="L2156" s="11"/>
      <c r="M2156" s="41"/>
      <c r="N2156" s="11"/>
    </row>
    <row r="2157" spans="8:14" x14ac:dyDescent="0.25">
      <c r="H2157" s="37"/>
      <c r="I2157" s="79"/>
      <c r="J2157" s="70"/>
      <c r="K2157" s="57"/>
      <c r="L2157" s="11"/>
      <c r="M2157" s="41"/>
      <c r="N2157" s="11"/>
    </row>
    <row r="2158" spans="8:14" x14ac:dyDescent="0.25">
      <c r="H2158" s="37"/>
      <c r="I2158" s="79"/>
      <c r="J2158" s="70"/>
      <c r="K2158" s="57"/>
      <c r="L2158" s="11"/>
      <c r="M2158" s="41"/>
      <c r="N2158" s="11"/>
    </row>
    <row r="2159" spans="8:14" x14ac:dyDescent="0.25">
      <c r="H2159" s="37"/>
      <c r="I2159" s="79"/>
      <c r="J2159" s="70"/>
      <c r="K2159" s="57"/>
      <c r="L2159" s="11"/>
      <c r="M2159" s="41"/>
      <c r="N2159" s="11"/>
    </row>
    <row r="2160" spans="8:14" x14ac:dyDescent="0.25">
      <c r="H2160" s="37"/>
      <c r="I2160" s="79"/>
      <c r="J2160" s="70"/>
      <c r="K2160" s="57"/>
      <c r="L2160" s="11"/>
      <c r="M2160" s="41"/>
      <c r="N2160" s="11"/>
    </row>
    <row r="2161" spans="8:14" x14ac:dyDescent="0.25">
      <c r="H2161" s="37"/>
      <c r="I2161" s="79"/>
      <c r="J2161" s="70"/>
      <c r="K2161" s="57"/>
      <c r="L2161" s="11"/>
      <c r="M2161" s="41"/>
      <c r="N2161" s="11"/>
    </row>
    <row r="2162" spans="8:14" x14ac:dyDescent="0.25">
      <c r="H2162" s="37"/>
      <c r="I2162" s="79"/>
      <c r="J2162" s="70"/>
      <c r="K2162" s="57"/>
      <c r="L2162" s="11"/>
      <c r="M2162" s="41"/>
      <c r="N2162" s="11"/>
    </row>
    <row r="2163" spans="8:14" x14ac:dyDescent="0.25">
      <c r="H2163" s="37"/>
      <c r="I2163" s="79"/>
      <c r="J2163" s="70"/>
      <c r="K2163" s="57"/>
      <c r="L2163" s="11"/>
      <c r="M2163" s="41"/>
      <c r="N2163" s="11"/>
    </row>
    <row r="2164" spans="8:14" x14ac:dyDescent="0.25">
      <c r="H2164" s="37"/>
      <c r="I2164" s="79"/>
      <c r="J2164" s="70"/>
      <c r="K2164" s="57"/>
      <c r="L2164" s="11"/>
      <c r="M2164" s="41"/>
      <c r="N2164" s="11"/>
    </row>
    <row r="2165" spans="8:14" x14ac:dyDescent="0.25">
      <c r="H2165" s="37"/>
      <c r="I2165" s="79"/>
      <c r="J2165" s="70"/>
      <c r="K2165" s="57"/>
      <c r="L2165" s="11"/>
      <c r="M2165" s="41"/>
      <c r="N2165" s="11"/>
    </row>
    <row r="2166" spans="8:14" x14ac:dyDescent="0.25">
      <c r="H2166" s="37"/>
      <c r="I2166" s="79"/>
      <c r="J2166" s="70"/>
      <c r="K2166" s="57"/>
      <c r="L2166" s="11"/>
      <c r="M2166" s="41"/>
      <c r="N2166" s="11"/>
    </row>
    <row r="2167" spans="8:14" x14ac:dyDescent="0.25">
      <c r="H2167" s="37"/>
      <c r="I2167" s="79"/>
      <c r="J2167" s="70"/>
      <c r="K2167" s="57"/>
      <c r="L2167" s="11"/>
      <c r="M2167" s="41"/>
      <c r="N2167" s="11"/>
    </row>
    <row r="2168" spans="8:14" x14ac:dyDescent="0.25">
      <c r="H2168" s="37"/>
      <c r="I2168" s="79"/>
      <c r="J2168" s="70"/>
      <c r="K2168" s="57"/>
      <c r="L2168" s="11"/>
      <c r="M2168" s="41"/>
      <c r="N2168" s="11"/>
    </row>
    <row r="2169" spans="8:14" x14ac:dyDescent="0.25">
      <c r="H2169" s="37"/>
      <c r="I2169" s="79"/>
      <c r="J2169" s="70"/>
      <c r="K2169" s="57"/>
      <c r="L2169" s="11"/>
      <c r="M2169" s="41"/>
      <c r="N2169" s="11"/>
    </row>
    <row r="2170" spans="8:14" x14ac:dyDescent="0.25">
      <c r="H2170" s="37"/>
      <c r="I2170" s="79"/>
      <c r="J2170" s="70"/>
      <c r="K2170" s="57"/>
      <c r="L2170" s="11"/>
      <c r="M2170" s="41"/>
      <c r="N2170" s="11"/>
    </row>
    <row r="2171" spans="8:14" x14ac:dyDescent="0.25">
      <c r="H2171" s="37"/>
      <c r="I2171" s="79"/>
      <c r="J2171" s="70"/>
      <c r="K2171" s="57"/>
      <c r="L2171" s="11"/>
      <c r="M2171" s="41"/>
      <c r="N2171" s="11"/>
    </row>
    <row r="2172" spans="8:14" x14ac:dyDescent="0.25">
      <c r="H2172" s="37"/>
      <c r="I2172" s="79"/>
      <c r="J2172" s="70"/>
      <c r="K2172" s="57"/>
      <c r="L2172" s="11"/>
      <c r="M2172" s="41"/>
      <c r="N2172" s="11"/>
    </row>
    <row r="2173" spans="8:14" x14ac:dyDescent="0.25">
      <c r="H2173" s="37"/>
      <c r="I2173" s="79"/>
      <c r="J2173" s="70"/>
      <c r="K2173" s="57"/>
      <c r="L2173" s="11"/>
      <c r="M2173" s="41"/>
      <c r="N2173" s="11"/>
    </row>
    <row r="2174" spans="8:14" x14ac:dyDescent="0.25">
      <c r="H2174" s="37"/>
      <c r="I2174" s="79"/>
      <c r="J2174" s="70"/>
      <c r="K2174" s="57"/>
      <c r="L2174" s="11"/>
      <c r="M2174" s="41"/>
      <c r="N2174" s="11"/>
    </row>
    <row r="2175" spans="8:14" x14ac:dyDescent="0.25">
      <c r="H2175" s="37"/>
      <c r="I2175" s="79"/>
      <c r="J2175" s="70"/>
      <c r="K2175" s="57"/>
      <c r="L2175" s="11"/>
      <c r="M2175" s="41"/>
      <c r="N2175" s="11"/>
    </row>
    <row r="2176" spans="8:14" x14ac:dyDescent="0.25">
      <c r="H2176" s="37"/>
      <c r="I2176" s="79"/>
      <c r="J2176" s="70"/>
      <c r="K2176" s="57"/>
      <c r="L2176" s="11"/>
      <c r="M2176" s="41"/>
      <c r="N2176" s="11"/>
    </row>
    <row r="2177" spans="8:14" x14ac:dyDescent="0.25">
      <c r="H2177" s="37"/>
      <c r="I2177" s="79"/>
      <c r="J2177" s="70"/>
      <c r="K2177" s="57"/>
      <c r="L2177" s="11"/>
      <c r="M2177" s="41"/>
      <c r="N2177" s="11"/>
    </row>
    <row r="2178" spans="8:14" x14ac:dyDescent="0.25">
      <c r="H2178" s="37"/>
      <c r="I2178" s="79"/>
      <c r="J2178" s="70"/>
      <c r="K2178" s="57"/>
      <c r="L2178" s="11"/>
      <c r="M2178" s="41"/>
      <c r="N2178" s="11"/>
    </row>
    <row r="2179" spans="8:14" x14ac:dyDescent="0.25">
      <c r="H2179" s="37"/>
      <c r="I2179" s="79"/>
      <c r="J2179" s="70"/>
      <c r="K2179" s="57"/>
      <c r="L2179" s="11"/>
      <c r="M2179" s="41"/>
      <c r="N2179" s="11"/>
    </row>
    <row r="2180" spans="8:14" x14ac:dyDescent="0.25">
      <c r="H2180" s="37"/>
      <c r="I2180" s="79"/>
      <c r="J2180" s="70"/>
      <c r="K2180" s="57"/>
      <c r="L2180" s="11"/>
      <c r="M2180" s="41"/>
      <c r="N2180" s="11"/>
    </row>
    <row r="2181" spans="8:14" x14ac:dyDescent="0.25">
      <c r="H2181" s="37"/>
      <c r="I2181" s="79"/>
      <c r="J2181" s="70"/>
      <c r="K2181" s="57"/>
      <c r="L2181" s="11"/>
      <c r="M2181" s="41"/>
      <c r="N2181" s="11"/>
    </row>
    <row r="2182" spans="8:14" x14ac:dyDescent="0.25">
      <c r="H2182" s="37"/>
      <c r="I2182" s="79"/>
      <c r="J2182" s="70"/>
      <c r="K2182" s="57"/>
      <c r="L2182" s="11"/>
      <c r="M2182" s="41"/>
      <c r="N2182" s="11"/>
    </row>
    <row r="2183" spans="8:14" x14ac:dyDescent="0.25">
      <c r="H2183" s="37"/>
      <c r="I2183" s="79"/>
      <c r="J2183" s="70"/>
      <c r="K2183" s="57"/>
      <c r="L2183" s="11"/>
      <c r="M2183" s="41"/>
      <c r="N2183" s="11"/>
    </row>
    <row r="2184" spans="8:14" x14ac:dyDescent="0.25">
      <c r="H2184" s="37"/>
      <c r="I2184" s="79"/>
      <c r="J2184" s="70"/>
      <c r="K2184" s="57"/>
      <c r="L2184" s="11"/>
      <c r="M2184" s="41"/>
      <c r="N2184" s="11"/>
    </row>
    <row r="2185" spans="8:14" x14ac:dyDescent="0.25">
      <c r="H2185" s="37"/>
      <c r="I2185" s="79"/>
      <c r="J2185" s="70"/>
      <c r="K2185" s="57"/>
      <c r="L2185" s="11"/>
      <c r="M2185" s="41"/>
      <c r="N2185" s="11"/>
    </row>
    <row r="2186" spans="8:14" x14ac:dyDescent="0.25">
      <c r="H2186" s="37"/>
      <c r="I2186" s="79"/>
      <c r="J2186" s="70"/>
      <c r="K2186" s="57"/>
      <c r="L2186" s="11"/>
      <c r="M2186" s="41"/>
      <c r="N2186" s="11"/>
    </row>
    <row r="2187" spans="8:14" x14ac:dyDescent="0.25">
      <c r="H2187" s="37"/>
      <c r="I2187" s="79"/>
      <c r="J2187" s="70"/>
      <c r="K2187" s="57"/>
      <c r="L2187" s="11"/>
      <c r="M2187" s="41"/>
      <c r="N2187" s="11"/>
    </row>
    <row r="2188" spans="8:14" x14ac:dyDescent="0.25">
      <c r="H2188" s="37"/>
      <c r="I2188" s="79"/>
      <c r="J2188" s="70"/>
      <c r="K2188" s="57"/>
      <c r="L2188" s="11"/>
      <c r="M2188" s="41"/>
      <c r="N2188" s="11"/>
    </row>
    <row r="2189" spans="8:14" x14ac:dyDescent="0.25">
      <c r="H2189" s="37"/>
      <c r="I2189" s="79"/>
      <c r="J2189" s="70"/>
      <c r="K2189" s="57"/>
      <c r="L2189" s="11"/>
      <c r="M2189" s="41"/>
      <c r="N2189" s="11"/>
    </row>
    <row r="2190" spans="8:14" x14ac:dyDescent="0.25">
      <c r="H2190" s="37"/>
      <c r="I2190" s="79"/>
      <c r="J2190" s="70"/>
      <c r="K2190" s="57"/>
      <c r="L2190" s="11"/>
      <c r="M2190" s="41"/>
      <c r="N2190" s="11"/>
    </row>
    <row r="2191" spans="8:14" x14ac:dyDescent="0.25">
      <c r="H2191" s="37"/>
      <c r="I2191" s="79"/>
      <c r="J2191" s="70"/>
      <c r="K2191" s="57"/>
      <c r="L2191" s="11"/>
      <c r="M2191" s="41"/>
      <c r="N2191" s="11"/>
    </row>
    <row r="2192" spans="8:14" x14ac:dyDescent="0.25">
      <c r="H2192" s="37"/>
      <c r="I2192" s="79"/>
      <c r="J2192" s="70"/>
      <c r="K2192" s="57"/>
      <c r="L2192" s="11"/>
      <c r="M2192" s="41"/>
      <c r="N2192" s="11"/>
    </row>
    <row r="2193" spans="8:14" x14ac:dyDescent="0.25">
      <c r="H2193" s="37"/>
      <c r="I2193" s="79"/>
      <c r="J2193" s="70"/>
      <c r="K2193" s="57"/>
      <c r="L2193" s="11"/>
      <c r="M2193" s="41"/>
      <c r="N2193" s="11"/>
    </row>
    <row r="2194" spans="8:14" x14ac:dyDescent="0.25">
      <c r="H2194" s="37"/>
      <c r="I2194" s="79"/>
      <c r="J2194" s="70"/>
      <c r="K2194" s="57"/>
      <c r="L2194" s="11"/>
      <c r="M2194" s="41"/>
      <c r="N2194" s="11"/>
    </row>
    <row r="2195" spans="8:14" x14ac:dyDescent="0.25">
      <c r="H2195" s="37"/>
      <c r="I2195" s="79"/>
      <c r="J2195" s="70"/>
      <c r="K2195" s="57"/>
      <c r="L2195" s="11"/>
      <c r="M2195" s="41"/>
      <c r="N2195" s="11"/>
    </row>
    <row r="2196" spans="8:14" x14ac:dyDescent="0.25">
      <c r="H2196" s="37"/>
      <c r="I2196" s="79"/>
      <c r="J2196" s="70"/>
      <c r="K2196" s="57"/>
      <c r="L2196" s="11"/>
      <c r="M2196" s="41"/>
      <c r="N2196" s="11"/>
    </row>
    <row r="2197" spans="8:14" x14ac:dyDescent="0.25">
      <c r="H2197" s="37"/>
      <c r="I2197" s="79"/>
      <c r="J2197" s="70"/>
      <c r="K2197" s="57"/>
      <c r="L2197" s="11"/>
      <c r="M2197" s="41"/>
      <c r="N2197" s="11"/>
    </row>
    <row r="2198" spans="8:14" x14ac:dyDescent="0.25">
      <c r="H2198" s="37"/>
      <c r="I2198" s="79"/>
      <c r="J2198" s="70"/>
      <c r="K2198" s="57"/>
      <c r="L2198" s="11"/>
      <c r="M2198" s="41"/>
      <c r="N2198" s="11"/>
    </row>
    <row r="2199" spans="8:14" x14ac:dyDescent="0.25">
      <c r="H2199" s="37"/>
      <c r="I2199" s="79"/>
      <c r="J2199" s="70"/>
      <c r="K2199" s="57"/>
      <c r="L2199" s="11"/>
      <c r="M2199" s="41"/>
      <c r="N2199" s="11"/>
    </row>
    <row r="2200" spans="8:14" x14ac:dyDescent="0.25">
      <c r="H2200" s="37"/>
      <c r="I2200" s="79"/>
      <c r="J2200" s="70"/>
      <c r="K2200" s="57"/>
      <c r="L2200" s="11"/>
      <c r="M2200" s="41"/>
      <c r="N2200" s="11"/>
    </row>
    <row r="2201" spans="8:14" x14ac:dyDescent="0.25">
      <c r="H2201" s="37"/>
      <c r="I2201" s="79"/>
      <c r="J2201" s="70"/>
      <c r="K2201" s="57"/>
      <c r="L2201" s="11"/>
      <c r="M2201" s="41"/>
      <c r="N2201" s="11"/>
    </row>
    <row r="2202" spans="8:14" x14ac:dyDescent="0.25">
      <c r="H2202" s="37"/>
      <c r="I2202" s="79"/>
      <c r="J2202" s="70"/>
      <c r="K2202" s="57"/>
      <c r="L2202" s="11"/>
      <c r="M2202" s="41"/>
      <c r="N2202" s="11"/>
    </row>
    <row r="2203" spans="8:14" x14ac:dyDescent="0.25">
      <c r="H2203" s="37"/>
      <c r="I2203" s="79"/>
      <c r="J2203" s="70"/>
      <c r="K2203" s="57"/>
      <c r="L2203" s="11"/>
      <c r="M2203" s="41"/>
      <c r="N2203" s="11"/>
    </row>
    <row r="2204" spans="8:14" x14ac:dyDescent="0.25">
      <c r="H2204" s="37"/>
      <c r="I2204" s="79"/>
      <c r="J2204" s="70"/>
      <c r="K2204" s="57"/>
      <c r="L2204" s="11"/>
      <c r="M2204" s="41"/>
      <c r="N2204" s="11"/>
    </row>
    <row r="2205" spans="8:14" x14ac:dyDescent="0.25">
      <c r="H2205" s="37"/>
      <c r="I2205" s="79"/>
      <c r="J2205" s="70"/>
      <c r="K2205" s="57"/>
      <c r="L2205" s="11"/>
      <c r="M2205" s="41"/>
      <c r="N2205" s="11"/>
    </row>
    <row r="2206" spans="8:14" x14ac:dyDescent="0.25">
      <c r="H2206" s="37"/>
      <c r="I2206" s="79"/>
      <c r="J2206" s="70"/>
      <c r="K2206" s="57"/>
      <c r="L2206" s="11"/>
      <c r="M2206" s="41"/>
      <c r="N2206" s="11"/>
    </row>
    <row r="2207" spans="8:14" x14ac:dyDescent="0.25">
      <c r="H2207" s="37"/>
      <c r="I2207" s="79"/>
      <c r="J2207" s="70"/>
      <c r="K2207" s="57"/>
      <c r="L2207" s="11"/>
      <c r="M2207" s="41"/>
      <c r="N2207" s="11"/>
    </row>
    <row r="2208" spans="8:14" x14ac:dyDescent="0.25">
      <c r="H2208" s="37"/>
      <c r="I2208" s="79"/>
      <c r="J2208" s="70"/>
      <c r="K2208" s="57"/>
      <c r="L2208" s="11"/>
      <c r="M2208" s="41"/>
      <c r="N2208" s="11"/>
    </row>
    <row r="2209" spans="8:14" x14ac:dyDescent="0.25">
      <c r="H2209" s="37"/>
      <c r="I2209" s="79"/>
      <c r="J2209" s="70"/>
      <c r="K2209" s="57"/>
      <c r="L2209" s="11"/>
      <c r="M2209" s="41"/>
      <c r="N2209" s="11"/>
    </row>
    <row r="2210" spans="8:14" x14ac:dyDescent="0.25">
      <c r="H2210" s="37"/>
      <c r="I2210" s="79"/>
      <c r="J2210" s="70"/>
      <c r="K2210" s="57"/>
      <c r="L2210" s="11"/>
      <c r="M2210" s="41"/>
      <c r="N2210" s="11"/>
    </row>
    <row r="2211" spans="8:14" x14ac:dyDescent="0.25">
      <c r="H2211" s="37"/>
      <c r="I2211" s="79"/>
      <c r="J2211" s="70"/>
      <c r="K2211" s="57"/>
      <c r="L2211" s="11"/>
      <c r="M2211" s="41"/>
      <c r="N2211" s="11"/>
    </row>
    <row r="2212" spans="8:14" x14ac:dyDescent="0.25">
      <c r="H2212" s="37"/>
      <c r="I2212" s="79"/>
      <c r="J2212" s="70"/>
      <c r="K2212" s="57"/>
      <c r="L2212" s="11"/>
      <c r="M2212" s="41"/>
      <c r="N2212" s="11"/>
    </row>
    <row r="2213" spans="8:14" x14ac:dyDescent="0.25">
      <c r="H2213" s="37"/>
      <c r="I2213" s="79"/>
      <c r="J2213" s="70"/>
      <c r="K2213" s="57"/>
      <c r="L2213" s="11"/>
      <c r="M2213" s="41"/>
      <c r="N2213" s="11"/>
    </row>
    <row r="2214" spans="8:14" x14ac:dyDescent="0.25">
      <c r="H2214" s="37"/>
      <c r="I2214" s="79"/>
      <c r="J2214" s="70"/>
      <c r="K2214" s="57"/>
      <c r="L2214" s="11"/>
      <c r="M2214" s="41"/>
      <c r="N2214" s="11"/>
    </row>
    <row r="2215" spans="8:14" x14ac:dyDescent="0.25">
      <c r="H2215" s="37"/>
      <c r="I2215" s="79"/>
      <c r="J2215" s="70"/>
      <c r="K2215" s="57"/>
      <c r="L2215" s="11"/>
      <c r="M2215" s="41"/>
      <c r="N2215" s="11"/>
    </row>
    <row r="2216" spans="8:14" x14ac:dyDescent="0.25">
      <c r="H2216" s="37"/>
      <c r="I2216" s="79"/>
      <c r="J2216" s="70"/>
      <c r="K2216" s="57"/>
      <c r="L2216" s="11"/>
      <c r="M2216" s="41"/>
      <c r="N2216" s="11"/>
    </row>
    <row r="2217" spans="8:14" x14ac:dyDescent="0.25">
      <c r="H2217" s="37"/>
      <c r="I2217" s="79"/>
      <c r="J2217" s="70"/>
      <c r="K2217" s="57"/>
      <c r="L2217" s="11"/>
      <c r="M2217" s="41"/>
      <c r="N2217" s="11"/>
    </row>
    <row r="2218" spans="8:14" x14ac:dyDescent="0.25">
      <c r="H2218" s="37"/>
      <c r="I2218" s="79"/>
      <c r="J2218" s="70"/>
      <c r="K2218" s="57"/>
      <c r="L2218" s="11"/>
      <c r="M2218" s="41"/>
      <c r="N2218" s="11"/>
    </row>
    <row r="2219" spans="8:14" x14ac:dyDescent="0.25">
      <c r="H2219" s="37"/>
      <c r="I2219" s="79"/>
      <c r="J2219" s="70"/>
      <c r="K2219" s="57"/>
      <c r="L2219" s="11"/>
      <c r="M2219" s="41"/>
      <c r="N2219" s="11"/>
    </row>
    <row r="2220" spans="8:14" x14ac:dyDescent="0.25">
      <c r="H2220" s="37"/>
      <c r="I2220" s="79"/>
      <c r="J2220" s="70"/>
      <c r="K2220" s="57"/>
      <c r="L2220" s="11"/>
      <c r="M2220" s="41"/>
      <c r="N2220" s="11"/>
    </row>
    <row r="2221" spans="8:14" x14ac:dyDescent="0.25">
      <c r="H2221" s="37"/>
      <c r="I2221" s="79"/>
      <c r="J2221" s="70"/>
      <c r="K2221" s="57"/>
      <c r="L2221" s="11"/>
      <c r="M2221" s="41"/>
      <c r="N2221" s="11"/>
    </row>
    <row r="2222" spans="8:14" x14ac:dyDescent="0.25">
      <c r="H2222" s="37"/>
      <c r="I2222" s="79"/>
      <c r="J2222" s="70"/>
      <c r="K2222" s="57"/>
      <c r="L2222" s="11"/>
      <c r="M2222" s="41"/>
      <c r="N2222" s="11"/>
    </row>
    <row r="2223" spans="8:14" x14ac:dyDescent="0.25">
      <c r="H2223" s="37"/>
      <c r="I2223" s="79"/>
      <c r="J2223" s="70"/>
      <c r="K2223" s="57"/>
      <c r="L2223" s="11"/>
      <c r="M2223" s="41"/>
      <c r="N2223" s="11"/>
    </row>
    <row r="2224" spans="8:14" x14ac:dyDescent="0.25">
      <c r="H2224" s="37"/>
      <c r="I2224" s="79"/>
      <c r="J2224" s="70"/>
      <c r="K2224" s="57"/>
      <c r="L2224" s="11"/>
      <c r="M2224" s="41"/>
      <c r="N2224" s="11"/>
    </row>
    <row r="2225" spans="8:14" x14ac:dyDescent="0.25">
      <c r="H2225" s="37"/>
      <c r="I2225" s="79"/>
      <c r="J2225" s="70"/>
      <c r="K2225" s="57"/>
      <c r="L2225" s="11"/>
      <c r="M2225" s="41"/>
      <c r="N2225" s="11"/>
    </row>
    <row r="2226" spans="8:14" x14ac:dyDescent="0.25">
      <c r="H2226" s="37"/>
      <c r="I2226" s="79"/>
      <c r="J2226" s="70"/>
      <c r="K2226" s="57"/>
      <c r="L2226" s="11"/>
      <c r="M2226" s="41"/>
      <c r="N2226" s="11"/>
    </row>
    <row r="2227" spans="8:14" x14ac:dyDescent="0.25">
      <c r="H2227" s="37"/>
      <c r="I2227" s="79"/>
      <c r="J2227" s="70"/>
      <c r="K2227" s="57"/>
      <c r="L2227" s="11"/>
      <c r="M2227" s="41"/>
      <c r="N2227" s="11"/>
    </row>
    <row r="2228" spans="8:14" x14ac:dyDescent="0.25">
      <c r="H2228" s="37"/>
      <c r="I2228" s="79"/>
      <c r="J2228" s="70"/>
      <c r="K2228" s="57"/>
      <c r="L2228" s="11"/>
      <c r="M2228" s="41"/>
      <c r="N2228" s="11"/>
    </row>
    <row r="2229" spans="8:14" x14ac:dyDescent="0.25">
      <c r="H2229" s="37"/>
      <c r="I2229" s="79"/>
      <c r="J2229" s="70"/>
      <c r="K2229" s="57"/>
      <c r="L2229" s="11"/>
      <c r="M2229" s="41"/>
      <c r="N2229" s="11"/>
    </row>
    <row r="2230" spans="8:14" x14ac:dyDescent="0.25">
      <c r="H2230" s="37"/>
      <c r="I2230" s="79"/>
      <c r="J2230" s="70"/>
      <c r="K2230" s="57"/>
      <c r="L2230" s="11"/>
      <c r="M2230" s="41"/>
      <c r="N2230" s="11"/>
    </row>
    <row r="2231" spans="8:14" x14ac:dyDescent="0.25">
      <c r="H2231" s="37"/>
      <c r="I2231" s="79"/>
      <c r="J2231" s="70"/>
      <c r="K2231" s="57"/>
      <c r="L2231" s="11"/>
      <c r="M2231" s="41"/>
      <c r="N2231" s="11"/>
    </row>
    <row r="2232" spans="8:14" x14ac:dyDescent="0.25">
      <c r="H2232" s="37"/>
      <c r="I2232" s="79"/>
      <c r="J2232" s="70"/>
      <c r="K2232" s="57"/>
      <c r="L2232" s="11"/>
      <c r="M2232" s="41"/>
      <c r="N2232" s="11"/>
    </row>
    <row r="2233" spans="8:14" x14ac:dyDescent="0.25">
      <c r="H2233" s="37"/>
      <c r="I2233" s="79"/>
      <c r="J2233" s="70"/>
      <c r="K2233" s="57"/>
      <c r="L2233" s="11"/>
      <c r="M2233" s="41"/>
      <c r="N2233" s="11"/>
    </row>
    <row r="2234" spans="8:14" x14ac:dyDescent="0.25">
      <c r="H2234" s="37"/>
      <c r="I2234" s="79"/>
      <c r="J2234" s="70"/>
      <c r="K2234" s="57"/>
      <c r="L2234" s="11"/>
      <c r="M2234" s="41"/>
      <c r="N2234" s="11"/>
    </row>
    <row r="2235" spans="8:14" x14ac:dyDescent="0.25">
      <c r="H2235" s="37"/>
      <c r="I2235" s="79"/>
      <c r="J2235" s="70"/>
      <c r="K2235" s="57"/>
      <c r="L2235" s="11"/>
      <c r="M2235" s="41"/>
      <c r="N2235" s="11"/>
    </row>
    <row r="2236" spans="8:14" x14ac:dyDescent="0.25">
      <c r="H2236" s="37"/>
      <c r="I2236" s="79"/>
      <c r="J2236" s="70"/>
      <c r="K2236" s="57"/>
      <c r="L2236" s="11"/>
      <c r="M2236" s="41"/>
      <c r="N2236" s="11"/>
    </row>
    <row r="2237" spans="8:14" x14ac:dyDescent="0.25">
      <c r="H2237" s="37"/>
      <c r="I2237" s="79"/>
      <c r="J2237" s="70"/>
      <c r="K2237" s="57"/>
      <c r="L2237" s="11"/>
      <c r="M2237" s="41"/>
      <c r="N2237" s="11"/>
    </row>
    <row r="2238" spans="8:14" x14ac:dyDescent="0.25">
      <c r="H2238" s="37"/>
      <c r="I2238" s="79"/>
      <c r="J2238" s="70"/>
      <c r="K2238" s="57"/>
      <c r="L2238" s="11"/>
      <c r="M2238" s="41"/>
      <c r="N2238" s="11"/>
    </row>
    <row r="2239" spans="8:14" x14ac:dyDescent="0.25">
      <c r="H2239" s="37"/>
      <c r="I2239" s="79"/>
      <c r="J2239" s="70"/>
      <c r="K2239" s="57"/>
      <c r="L2239" s="11"/>
      <c r="M2239" s="41"/>
      <c r="N2239" s="11"/>
    </row>
    <row r="2240" spans="8:14" x14ac:dyDescent="0.25">
      <c r="H2240" s="37"/>
      <c r="I2240" s="79"/>
      <c r="J2240" s="70"/>
      <c r="K2240" s="57"/>
      <c r="L2240" s="11"/>
      <c r="M2240" s="41"/>
      <c r="N2240" s="11"/>
    </row>
    <row r="2241" spans="8:14" x14ac:dyDescent="0.25">
      <c r="H2241" s="37"/>
      <c r="I2241" s="79"/>
      <c r="J2241" s="70"/>
      <c r="K2241" s="57"/>
      <c r="L2241" s="11"/>
      <c r="M2241" s="41"/>
      <c r="N2241" s="11"/>
    </row>
    <row r="2242" spans="8:14" x14ac:dyDescent="0.25">
      <c r="H2242" s="37"/>
      <c r="I2242" s="79"/>
      <c r="J2242" s="70"/>
      <c r="K2242" s="57"/>
      <c r="L2242" s="11"/>
      <c r="M2242" s="41"/>
      <c r="N2242" s="11"/>
    </row>
    <row r="2243" spans="8:14" x14ac:dyDescent="0.25">
      <c r="H2243" s="37"/>
      <c r="I2243" s="79"/>
      <c r="J2243" s="70"/>
      <c r="K2243" s="57"/>
      <c r="L2243" s="11"/>
      <c r="M2243" s="41"/>
      <c r="N2243" s="11"/>
    </row>
    <row r="2244" spans="8:14" x14ac:dyDescent="0.25">
      <c r="H2244" s="37"/>
      <c r="I2244" s="79"/>
      <c r="J2244" s="70"/>
      <c r="K2244" s="57"/>
      <c r="L2244" s="11"/>
      <c r="M2244" s="41"/>
      <c r="N2244" s="11"/>
    </row>
    <row r="2245" spans="8:14" x14ac:dyDescent="0.25">
      <c r="H2245" s="37"/>
      <c r="I2245" s="79"/>
      <c r="J2245" s="70"/>
      <c r="K2245" s="57"/>
      <c r="L2245" s="11"/>
      <c r="M2245" s="41"/>
      <c r="N2245" s="11"/>
    </row>
    <row r="2246" spans="8:14" x14ac:dyDescent="0.25">
      <c r="H2246" s="37"/>
      <c r="I2246" s="79"/>
      <c r="J2246" s="70"/>
      <c r="K2246" s="57"/>
      <c r="L2246" s="11"/>
      <c r="M2246" s="41"/>
      <c r="N2246" s="11"/>
    </row>
    <row r="2247" spans="8:14" x14ac:dyDescent="0.25">
      <c r="H2247" s="37"/>
      <c r="I2247" s="79"/>
      <c r="J2247" s="70"/>
      <c r="K2247" s="57"/>
      <c r="L2247" s="11"/>
      <c r="M2247" s="41"/>
      <c r="N2247" s="11"/>
    </row>
    <row r="2248" spans="8:14" x14ac:dyDescent="0.25">
      <c r="H2248" s="37"/>
      <c r="I2248" s="79"/>
      <c r="J2248" s="70"/>
      <c r="K2248" s="57"/>
      <c r="L2248" s="11"/>
      <c r="M2248" s="41"/>
      <c r="N2248" s="11"/>
    </row>
    <row r="2249" spans="8:14" x14ac:dyDescent="0.25">
      <c r="H2249" s="37"/>
      <c r="I2249" s="79"/>
      <c r="J2249" s="70"/>
      <c r="K2249" s="57"/>
      <c r="L2249" s="11"/>
      <c r="M2249" s="41"/>
      <c r="N2249" s="11"/>
    </row>
    <row r="2250" spans="8:14" x14ac:dyDescent="0.25">
      <c r="H2250" s="37"/>
      <c r="I2250" s="79"/>
      <c r="J2250" s="70"/>
      <c r="K2250" s="57"/>
      <c r="L2250" s="11"/>
      <c r="M2250" s="41"/>
      <c r="N2250" s="11"/>
    </row>
    <row r="2251" spans="8:14" x14ac:dyDescent="0.25">
      <c r="H2251" s="37"/>
      <c r="I2251" s="79"/>
      <c r="J2251" s="70"/>
      <c r="K2251" s="57"/>
      <c r="L2251" s="11"/>
      <c r="M2251" s="41"/>
      <c r="N2251" s="11"/>
    </row>
    <row r="2252" spans="8:14" x14ac:dyDescent="0.25">
      <c r="H2252" s="37"/>
      <c r="I2252" s="79"/>
      <c r="J2252" s="70"/>
      <c r="K2252" s="57"/>
      <c r="L2252" s="11"/>
      <c r="M2252" s="41"/>
      <c r="N2252" s="11"/>
    </row>
    <row r="2253" spans="8:14" x14ac:dyDescent="0.25">
      <c r="H2253" s="37"/>
      <c r="I2253" s="79"/>
      <c r="J2253" s="70"/>
      <c r="K2253" s="57"/>
      <c r="L2253" s="11"/>
      <c r="M2253" s="41"/>
      <c r="N2253" s="11"/>
    </row>
    <row r="2254" spans="8:14" x14ac:dyDescent="0.25">
      <c r="H2254" s="37"/>
      <c r="I2254" s="79"/>
      <c r="J2254" s="70"/>
      <c r="K2254" s="57"/>
      <c r="L2254" s="11"/>
      <c r="M2254" s="41"/>
      <c r="N2254" s="11"/>
    </row>
    <row r="2255" spans="8:14" x14ac:dyDescent="0.25">
      <c r="H2255" s="37"/>
      <c r="I2255" s="79"/>
      <c r="J2255" s="70"/>
      <c r="K2255" s="57"/>
      <c r="L2255" s="11"/>
      <c r="M2255" s="41"/>
      <c r="N2255" s="11"/>
    </row>
    <row r="2256" spans="8:14" x14ac:dyDescent="0.25">
      <c r="H2256" s="37"/>
      <c r="I2256" s="79"/>
      <c r="J2256" s="70"/>
      <c r="K2256" s="57"/>
      <c r="L2256" s="11"/>
      <c r="M2256" s="41"/>
      <c r="N2256" s="11"/>
    </row>
    <row r="2257" spans="8:14" x14ac:dyDescent="0.25">
      <c r="H2257" s="37"/>
      <c r="I2257" s="79"/>
      <c r="J2257" s="70"/>
      <c r="K2257" s="57"/>
      <c r="L2257" s="11"/>
      <c r="M2257" s="41"/>
      <c r="N2257" s="11"/>
    </row>
    <row r="2258" spans="8:14" x14ac:dyDescent="0.25">
      <c r="H2258" s="37"/>
      <c r="I2258" s="79"/>
      <c r="J2258" s="70"/>
      <c r="K2258" s="57"/>
      <c r="L2258" s="11"/>
      <c r="M2258" s="41"/>
      <c r="N2258" s="11"/>
    </row>
    <row r="2259" spans="8:14" x14ac:dyDescent="0.25">
      <c r="H2259" s="37"/>
      <c r="I2259" s="79"/>
      <c r="J2259" s="70"/>
      <c r="K2259" s="57"/>
      <c r="L2259" s="11"/>
      <c r="M2259" s="41"/>
      <c r="N2259" s="11"/>
    </row>
    <row r="2260" spans="8:14" x14ac:dyDescent="0.25">
      <c r="H2260" s="37"/>
      <c r="I2260" s="79"/>
      <c r="J2260" s="70"/>
      <c r="K2260" s="57"/>
      <c r="L2260" s="11"/>
      <c r="M2260" s="41"/>
      <c r="N2260" s="11"/>
    </row>
    <row r="2261" spans="8:14" x14ac:dyDescent="0.25">
      <c r="H2261" s="37"/>
      <c r="I2261" s="79"/>
      <c r="J2261" s="70"/>
      <c r="K2261" s="57"/>
      <c r="L2261" s="11"/>
      <c r="M2261" s="41"/>
      <c r="N2261" s="11"/>
    </row>
    <row r="2262" spans="8:14" x14ac:dyDescent="0.25">
      <c r="H2262" s="37"/>
      <c r="I2262" s="79"/>
      <c r="J2262" s="70"/>
      <c r="K2262" s="57"/>
      <c r="L2262" s="11"/>
      <c r="M2262" s="41"/>
      <c r="N2262" s="11"/>
    </row>
    <row r="2263" spans="8:14" x14ac:dyDescent="0.25">
      <c r="H2263" s="37"/>
      <c r="I2263" s="79"/>
      <c r="J2263" s="70"/>
      <c r="K2263" s="57"/>
      <c r="L2263" s="11"/>
      <c r="M2263" s="41"/>
      <c r="N2263" s="11"/>
    </row>
    <row r="2264" spans="8:14" x14ac:dyDescent="0.25">
      <c r="H2264" s="37"/>
      <c r="I2264" s="79"/>
      <c r="J2264" s="70"/>
      <c r="K2264" s="57"/>
      <c r="L2264" s="11"/>
      <c r="M2264" s="41"/>
      <c r="N2264" s="11"/>
    </row>
    <row r="2265" spans="8:14" x14ac:dyDescent="0.25">
      <c r="H2265" s="37"/>
      <c r="I2265" s="79"/>
      <c r="J2265" s="70"/>
      <c r="K2265" s="57"/>
      <c r="L2265" s="11"/>
      <c r="M2265" s="41"/>
      <c r="N2265" s="11"/>
    </row>
    <row r="2266" spans="8:14" x14ac:dyDescent="0.25">
      <c r="H2266" s="37"/>
      <c r="I2266" s="79"/>
      <c r="J2266" s="70"/>
      <c r="K2266" s="57"/>
      <c r="L2266" s="11"/>
      <c r="M2266" s="41"/>
      <c r="N2266" s="11"/>
    </row>
    <row r="2267" spans="8:14" x14ac:dyDescent="0.25">
      <c r="H2267" s="37"/>
      <c r="I2267" s="79"/>
      <c r="J2267" s="70"/>
      <c r="K2267" s="57"/>
      <c r="L2267" s="11"/>
      <c r="M2267" s="41"/>
      <c r="N2267" s="11"/>
    </row>
    <row r="2268" spans="8:14" x14ac:dyDescent="0.25">
      <c r="H2268" s="37"/>
      <c r="I2268" s="79"/>
      <c r="J2268" s="70"/>
      <c r="K2268" s="57"/>
      <c r="L2268" s="11"/>
      <c r="M2268" s="41"/>
      <c r="N2268" s="11"/>
    </row>
    <row r="2269" spans="8:14" x14ac:dyDescent="0.25">
      <c r="H2269" s="37"/>
      <c r="I2269" s="79"/>
      <c r="J2269" s="70"/>
      <c r="K2269" s="57"/>
      <c r="L2269" s="11"/>
      <c r="M2269" s="41"/>
      <c r="N2269" s="11"/>
    </row>
    <row r="2270" spans="8:14" x14ac:dyDescent="0.25">
      <c r="H2270" s="37"/>
      <c r="I2270" s="79"/>
      <c r="J2270" s="70"/>
      <c r="K2270" s="57"/>
      <c r="L2270" s="11"/>
      <c r="M2270" s="41"/>
      <c r="N2270" s="11"/>
    </row>
    <row r="2271" spans="8:14" x14ac:dyDescent="0.25">
      <c r="H2271" s="37"/>
      <c r="I2271" s="79"/>
      <c r="J2271" s="70"/>
      <c r="K2271" s="57"/>
      <c r="L2271" s="11"/>
      <c r="M2271" s="41"/>
      <c r="N2271" s="11"/>
    </row>
    <row r="2272" spans="8:14" x14ac:dyDescent="0.25">
      <c r="H2272" s="37"/>
      <c r="I2272" s="79"/>
      <c r="J2272" s="70"/>
      <c r="K2272" s="57"/>
      <c r="L2272" s="11"/>
      <c r="M2272" s="41"/>
      <c r="N2272" s="11"/>
    </row>
    <row r="2273" spans="8:14" x14ac:dyDescent="0.25">
      <c r="H2273" s="37"/>
      <c r="I2273" s="79"/>
      <c r="J2273" s="70"/>
      <c r="K2273" s="57"/>
      <c r="L2273" s="11"/>
      <c r="M2273" s="41"/>
      <c r="N2273" s="11"/>
    </row>
    <row r="2274" spans="8:14" x14ac:dyDescent="0.25">
      <c r="H2274" s="37"/>
      <c r="I2274" s="79"/>
      <c r="J2274" s="70"/>
      <c r="K2274" s="57"/>
      <c r="L2274" s="11"/>
      <c r="M2274" s="41"/>
      <c r="N2274" s="11"/>
    </row>
    <row r="2275" spans="8:14" x14ac:dyDescent="0.25">
      <c r="H2275" s="37"/>
      <c r="I2275" s="79"/>
      <c r="J2275" s="70"/>
      <c r="K2275" s="57"/>
      <c r="L2275" s="11"/>
      <c r="M2275" s="41"/>
      <c r="N2275" s="11"/>
    </row>
    <row r="2276" spans="8:14" x14ac:dyDescent="0.25">
      <c r="H2276" s="37"/>
      <c r="I2276" s="79"/>
      <c r="J2276" s="70"/>
      <c r="K2276" s="57"/>
      <c r="L2276" s="11"/>
      <c r="M2276" s="41"/>
      <c r="N2276" s="11"/>
    </row>
    <row r="2277" spans="8:14" x14ac:dyDescent="0.25">
      <c r="H2277" s="37"/>
      <c r="I2277" s="79"/>
      <c r="J2277" s="70"/>
      <c r="K2277" s="57"/>
      <c r="L2277" s="11"/>
      <c r="M2277" s="41"/>
      <c r="N2277" s="11"/>
    </row>
    <row r="2278" spans="8:14" x14ac:dyDescent="0.25">
      <c r="H2278" s="37"/>
      <c r="I2278" s="79"/>
      <c r="J2278" s="70"/>
      <c r="K2278" s="57"/>
      <c r="L2278" s="11"/>
      <c r="M2278" s="41"/>
      <c r="N2278" s="11"/>
    </row>
    <row r="2279" spans="8:14" x14ac:dyDescent="0.25">
      <c r="H2279" s="37"/>
      <c r="I2279" s="79"/>
      <c r="J2279" s="70"/>
      <c r="K2279" s="57"/>
      <c r="L2279" s="11"/>
      <c r="M2279" s="41"/>
      <c r="N2279" s="11"/>
    </row>
    <row r="2280" spans="8:14" x14ac:dyDescent="0.25">
      <c r="H2280" s="37"/>
      <c r="I2280" s="79"/>
      <c r="J2280" s="70"/>
      <c r="K2280" s="57"/>
      <c r="L2280" s="11"/>
      <c r="M2280" s="41"/>
      <c r="N2280" s="11"/>
    </row>
    <row r="2281" spans="8:14" x14ac:dyDescent="0.25">
      <c r="H2281" s="37"/>
      <c r="I2281" s="79"/>
      <c r="J2281" s="70"/>
      <c r="K2281" s="57"/>
      <c r="L2281" s="11"/>
      <c r="M2281" s="41"/>
      <c r="N2281" s="11"/>
    </row>
    <row r="2282" spans="8:14" x14ac:dyDescent="0.25">
      <c r="H2282" s="37"/>
      <c r="I2282" s="79"/>
      <c r="J2282" s="70"/>
      <c r="K2282" s="57"/>
      <c r="L2282" s="11"/>
      <c r="M2282" s="41"/>
      <c r="N2282" s="11"/>
    </row>
    <row r="2283" spans="8:14" x14ac:dyDescent="0.25">
      <c r="H2283" s="37"/>
      <c r="I2283" s="79"/>
      <c r="J2283" s="70"/>
      <c r="K2283" s="57"/>
      <c r="L2283" s="11"/>
      <c r="M2283" s="41"/>
      <c r="N2283" s="11"/>
    </row>
    <row r="2284" spans="8:14" x14ac:dyDescent="0.25">
      <c r="H2284" s="37"/>
      <c r="I2284" s="79"/>
      <c r="J2284" s="70"/>
      <c r="K2284" s="57"/>
      <c r="L2284" s="11"/>
      <c r="M2284" s="41"/>
      <c r="N2284" s="11"/>
    </row>
    <row r="2285" spans="8:14" x14ac:dyDescent="0.25">
      <c r="H2285" s="37"/>
      <c r="I2285" s="79"/>
      <c r="J2285" s="70"/>
      <c r="K2285" s="57"/>
      <c r="L2285" s="11"/>
      <c r="M2285" s="41"/>
      <c r="N2285" s="11"/>
    </row>
    <row r="2286" spans="8:14" x14ac:dyDescent="0.25">
      <c r="H2286" s="37"/>
      <c r="I2286" s="79"/>
      <c r="J2286" s="70"/>
      <c r="K2286" s="57"/>
      <c r="L2286" s="11"/>
      <c r="M2286" s="41"/>
      <c r="N2286" s="11"/>
    </row>
    <row r="2287" spans="8:14" x14ac:dyDescent="0.25">
      <c r="H2287" s="37"/>
      <c r="I2287" s="79"/>
      <c r="J2287" s="70"/>
      <c r="K2287" s="57"/>
      <c r="L2287" s="11"/>
      <c r="M2287" s="41"/>
      <c r="N2287" s="11"/>
    </row>
    <row r="2288" spans="8:14" x14ac:dyDescent="0.25">
      <c r="H2288" s="37"/>
      <c r="I2288" s="79"/>
      <c r="J2288" s="70"/>
      <c r="K2288" s="57"/>
      <c r="L2288" s="11"/>
      <c r="M2288" s="41"/>
      <c r="N2288" s="11"/>
    </row>
    <row r="2289" spans="8:14" x14ac:dyDescent="0.25">
      <c r="H2289" s="37"/>
      <c r="I2289" s="79"/>
      <c r="J2289" s="70"/>
      <c r="K2289" s="57"/>
      <c r="L2289" s="11"/>
      <c r="M2289" s="41"/>
      <c r="N2289" s="11"/>
    </row>
    <row r="2290" spans="8:14" x14ac:dyDescent="0.25">
      <c r="H2290" s="37"/>
      <c r="I2290" s="79"/>
      <c r="J2290" s="70"/>
      <c r="K2290" s="57"/>
      <c r="L2290" s="11"/>
      <c r="M2290" s="41"/>
      <c r="N2290" s="11"/>
    </row>
    <row r="2291" spans="8:14" x14ac:dyDescent="0.25">
      <c r="H2291" s="37"/>
      <c r="I2291" s="79"/>
      <c r="J2291" s="70"/>
      <c r="K2291" s="57"/>
      <c r="L2291" s="11"/>
      <c r="M2291" s="41"/>
      <c r="N2291" s="11"/>
    </row>
    <row r="2292" spans="8:14" x14ac:dyDescent="0.25">
      <c r="H2292" s="37"/>
      <c r="I2292" s="79"/>
      <c r="J2292" s="70"/>
      <c r="K2292" s="57"/>
      <c r="L2292" s="11"/>
      <c r="M2292" s="41"/>
      <c r="N2292" s="11"/>
    </row>
    <row r="2293" spans="8:14" x14ac:dyDescent="0.25">
      <c r="H2293" s="37"/>
      <c r="I2293" s="79"/>
      <c r="J2293" s="70"/>
      <c r="K2293" s="57"/>
      <c r="L2293" s="11"/>
      <c r="M2293" s="41"/>
      <c r="N2293" s="11"/>
    </row>
    <row r="2294" spans="8:14" x14ac:dyDescent="0.25">
      <c r="H2294" s="37"/>
      <c r="I2294" s="79"/>
      <c r="J2294" s="70"/>
      <c r="K2294" s="57"/>
      <c r="L2294" s="11"/>
      <c r="M2294" s="41"/>
      <c r="N2294" s="11"/>
    </row>
    <row r="2295" spans="8:14" x14ac:dyDescent="0.25">
      <c r="H2295" s="37"/>
      <c r="I2295" s="79"/>
      <c r="J2295" s="70"/>
      <c r="K2295" s="57"/>
      <c r="L2295" s="11"/>
      <c r="M2295" s="41"/>
      <c r="N2295" s="11"/>
    </row>
    <row r="2296" spans="8:14" x14ac:dyDescent="0.25">
      <c r="H2296" s="37"/>
      <c r="I2296" s="79"/>
      <c r="J2296" s="70"/>
      <c r="K2296" s="57"/>
      <c r="L2296" s="11"/>
      <c r="M2296" s="41"/>
      <c r="N2296" s="11"/>
    </row>
    <row r="2297" spans="8:14" x14ac:dyDescent="0.25">
      <c r="H2297" s="37"/>
      <c r="I2297" s="79"/>
      <c r="J2297" s="70"/>
      <c r="K2297" s="57"/>
      <c r="L2297" s="11"/>
      <c r="M2297" s="41"/>
      <c r="N2297" s="11"/>
    </row>
    <row r="2298" spans="8:14" x14ac:dyDescent="0.25">
      <c r="H2298" s="37"/>
      <c r="I2298" s="79"/>
      <c r="J2298" s="70"/>
      <c r="K2298" s="57"/>
      <c r="L2298" s="11"/>
      <c r="M2298" s="41"/>
      <c r="N2298" s="11"/>
    </row>
    <row r="2299" spans="8:14" x14ac:dyDescent="0.25">
      <c r="H2299" s="37"/>
      <c r="I2299" s="79"/>
      <c r="J2299" s="70"/>
      <c r="K2299" s="57"/>
      <c r="L2299" s="11"/>
      <c r="M2299" s="41"/>
      <c r="N2299" s="11"/>
    </row>
    <row r="2300" spans="8:14" x14ac:dyDescent="0.25">
      <c r="H2300" s="37"/>
      <c r="I2300" s="79"/>
      <c r="J2300" s="70"/>
      <c r="K2300" s="57"/>
      <c r="L2300" s="11"/>
      <c r="M2300" s="41"/>
      <c r="N2300" s="11"/>
    </row>
    <row r="2301" spans="8:14" x14ac:dyDescent="0.25">
      <c r="H2301" s="37"/>
      <c r="I2301" s="79"/>
      <c r="J2301" s="70"/>
      <c r="K2301" s="57"/>
      <c r="L2301" s="11"/>
      <c r="M2301" s="41"/>
      <c r="N2301" s="11"/>
    </row>
    <row r="2302" spans="8:14" x14ac:dyDescent="0.25">
      <c r="H2302" s="37"/>
      <c r="I2302" s="79"/>
      <c r="J2302" s="70"/>
      <c r="K2302" s="57"/>
      <c r="L2302" s="11"/>
      <c r="M2302" s="41"/>
      <c r="N2302" s="11"/>
    </row>
    <row r="2303" spans="8:14" x14ac:dyDescent="0.25">
      <c r="H2303" s="37"/>
      <c r="I2303" s="79"/>
      <c r="J2303" s="70"/>
      <c r="K2303" s="57"/>
      <c r="L2303" s="11"/>
      <c r="M2303" s="41"/>
      <c r="N2303" s="11"/>
    </row>
    <row r="2304" spans="8:14" x14ac:dyDescent="0.25">
      <c r="H2304" s="37"/>
      <c r="I2304" s="79"/>
      <c r="J2304" s="70"/>
      <c r="K2304" s="57"/>
      <c r="L2304" s="11"/>
      <c r="M2304" s="41"/>
      <c r="N2304" s="11"/>
    </row>
    <row r="2305" spans="8:14" x14ac:dyDescent="0.25">
      <c r="H2305" s="37"/>
      <c r="I2305" s="79"/>
      <c r="J2305" s="70"/>
      <c r="K2305" s="57"/>
      <c r="L2305" s="11"/>
      <c r="M2305" s="41"/>
      <c r="N2305" s="11"/>
    </row>
    <row r="2306" spans="8:14" x14ac:dyDescent="0.25">
      <c r="H2306" s="37"/>
      <c r="I2306" s="79"/>
      <c r="J2306" s="70"/>
      <c r="K2306" s="57"/>
      <c r="L2306" s="11"/>
      <c r="M2306" s="41"/>
      <c r="N2306" s="11"/>
    </row>
    <row r="2307" spans="8:14" x14ac:dyDescent="0.25">
      <c r="H2307" s="37"/>
      <c r="I2307" s="79"/>
      <c r="J2307" s="70"/>
      <c r="K2307" s="57"/>
      <c r="L2307" s="11"/>
      <c r="M2307" s="41"/>
      <c r="N2307" s="11"/>
    </row>
    <row r="2308" spans="8:14" x14ac:dyDescent="0.25">
      <c r="H2308" s="37"/>
      <c r="I2308" s="79"/>
      <c r="J2308" s="70"/>
      <c r="K2308" s="57"/>
      <c r="L2308" s="11"/>
      <c r="M2308" s="41"/>
      <c r="N2308" s="11"/>
    </row>
    <row r="2309" spans="8:14" x14ac:dyDescent="0.25">
      <c r="H2309" s="37"/>
      <c r="I2309" s="79"/>
      <c r="J2309" s="70"/>
      <c r="K2309" s="57"/>
      <c r="L2309" s="11"/>
      <c r="M2309" s="41"/>
      <c r="N2309" s="11"/>
    </row>
    <row r="2310" spans="8:14" x14ac:dyDescent="0.25">
      <c r="H2310" s="37"/>
      <c r="I2310" s="79"/>
      <c r="J2310" s="70"/>
      <c r="K2310" s="57"/>
      <c r="L2310" s="11"/>
      <c r="M2310" s="41"/>
      <c r="N2310" s="11"/>
    </row>
    <row r="2311" spans="8:14" x14ac:dyDescent="0.25">
      <c r="H2311" s="37"/>
      <c r="I2311" s="79"/>
      <c r="J2311" s="70"/>
      <c r="K2311" s="57"/>
      <c r="L2311" s="11"/>
      <c r="M2311" s="41"/>
      <c r="N2311" s="11"/>
    </row>
    <row r="2312" spans="8:14" x14ac:dyDescent="0.25">
      <c r="H2312" s="37"/>
      <c r="I2312" s="79"/>
      <c r="J2312" s="70"/>
      <c r="K2312" s="57"/>
      <c r="L2312" s="11"/>
      <c r="M2312" s="41"/>
      <c r="N2312" s="11"/>
    </row>
    <row r="2313" spans="8:14" x14ac:dyDescent="0.25">
      <c r="H2313" s="37"/>
      <c r="I2313" s="79"/>
      <c r="J2313" s="70"/>
      <c r="K2313" s="57"/>
      <c r="L2313" s="11"/>
      <c r="M2313" s="41"/>
      <c r="N2313" s="11"/>
    </row>
    <row r="2314" spans="8:14" x14ac:dyDescent="0.25">
      <c r="H2314" s="37"/>
      <c r="I2314" s="79"/>
      <c r="J2314" s="70"/>
      <c r="K2314" s="57"/>
      <c r="L2314" s="11"/>
      <c r="M2314" s="41"/>
      <c r="N2314" s="11"/>
    </row>
    <row r="2315" spans="8:14" x14ac:dyDescent="0.25">
      <c r="H2315" s="37"/>
      <c r="I2315" s="79"/>
      <c r="J2315" s="70"/>
      <c r="K2315" s="57"/>
      <c r="L2315" s="11"/>
      <c r="M2315" s="41"/>
      <c r="N2315" s="11"/>
    </row>
    <row r="2316" spans="8:14" x14ac:dyDescent="0.25">
      <c r="H2316" s="37"/>
      <c r="I2316" s="79"/>
      <c r="J2316" s="70"/>
      <c r="K2316" s="57"/>
      <c r="L2316" s="11"/>
      <c r="M2316" s="41"/>
      <c r="N2316" s="11"/>
    </row>
    <row r="2317" spans="8:14" x14ac:dyDescent="0.25">
      <c r="H2317" s="37"/>
      <c r="I2317" s="79"/>
      <c r="J2317" s="70"/>
      <c r="K2317" s="57"/>
      <c r="L2317" s="11"/>
      <c r="M2317" s="41"/>
      <c r="N2317" s="11"/>
    </row>
    <row r="2318" spans="8:14" x14ac:dyDescent="0.25">
      <c r="H2318" s="37"/>
      <c r="I2318" s="79"/>
      <c r="J2318" s="70"/>
      <c r="K2318" s="57"/>
      <c r="L2318" s="11"/>
      <c r="M2318" s="41"/>
      <c r="N2318" s="11"/>
    </row>
    <row r="2319" spans="8:14" x14ac:dyDescent="0.25">
      <c r="H2319" s="37"/>
      <c r="I2319" s="79"/>
      <c r="J2319" s="70"/>
      <c r="K2319" s="57"/>
      <c r="L2319" s="11"/>
      <c r="M2319" s="41"/>
      <c r="N2319" s="11"/>
    </row>
    <row r="2320" spans="8:14" x14ac:dyDescent="0.25">
      <c r="H2320" s="37"/>
      <c r="I2320" s="79"/>
      <c r="J2320" s="70"/>
      <c r="K2320" s="57"/>
      <c r="L2320" s="11"/>
      <c r="M2320" s="41"/>
      <c r="N2320" s="11"/>
    </row>
    <row r="2321" spans="8:14" x14ac:dyDescent="0.25">
      <c r="H2321" s="37"/>
      <c r="I2321" s="79"/>
      <c r="J2321" s="70"/>
      <c r="K2321" s="57"/>
      <c r="L2321" s="11"/>
      <c r="M2321" s="41"/>
      <c r="N2321" s="11"/>
    </row>
    <row r="2322" spans="8:14" x14ac:dyDescent="0.25">
      <c r="H2322" s="37"/>
      <c r="I2322" s="79"/>
      <c r="J2322" s="70"/>
      <c r="K2322" s="57"/>
      <c r="L2322" s="11"/>
      <c r="M2322" s="41"/>
      <c r="N2322" s="11"/>
    </row>
    <row r="2323" spans="8:14" x14ac:dyDescent="0.25">
      <c r="H2323" s="37"/>
      <c r="I2323" s="79"/>
      <c r="J2323" s="70"/>
      <c r="K2323" s="57"/>
      <c r="L2323" s="11"/>
      <c r="M2323" s="41"/>
      <c r="N2323" s="11"/>
    </row>
    <row r="2324" spans="8:14" x14ac:dyDescent="0.25">
      <c r="H2324" s="37"/>
      <c r="I2324" s="79"/>
      <c r="J2324" s="70"/>
      <c r="K2324" s="57"/>
      <c r="L2324" s="11"/>
      <c r="M2324" s="41"/>
      <c r="N2324" s="11"/>
    </row>
    <row r="2325" spans="8:14" x14ac:dyDescent="0.25">
      <c r="H2325" s="37"/>
      <c r="I2325" s="79"/>
      <c r="J2325" s="70"/>
      <c r="K2325" s="57"/>
      <c r="L2325" s="11"/>
      <c r="M2325" s="41"/>
      <c r="N2325" s="11"/>
    </row>
    <row r="2326" spans="8:14" x14ac:dyDescent="0.25">
      <c r="H2326" s="37"/>
      <c r="I2326" s="79"/>
      <c r="J2326" s="70"/>
      <c r="K2326" s="57"/>
      <c r="L2326" s="11"/>
      <c r="M2326" s="41"/>
      <c r="N2326" s="11"/>
    </row>
    <row r="2327" spans="8:14" x14ac:dyDescent="0.25">
      <c r="H2327" s="37"/>
      <c r="I2327" s="79"/>
      <c r="J2327" s="70"/>
      <c r="K2327" s="57"/>
      <c r="L2327" s="11"/>
      <c r="M2327" s="41"/>
      <c r="N2327" s="11"/>
    </row>
    <row r="2328" spans="8:14" x14ac:dyDescent="0.25">
      <c r="H2328" s="37"/>
      <c r="I2328" s="79"/>
      <c r="J2328" s="70"/>
      <c r="K2328" s="57"/>
      <c r="L2328" s="11"/>
      <c r="M2328" s="41"/>
      <c r="N2328" s="11"/>
    </row>
    <row r="2329" spans="8:14" x14ac:dyDescent="0.25">
      <c r="H2329" s="37"/>
      <c r="I2329" s="79"/>
      <c r="J2329" s="70"/>
      <c r="K2329" s="57"/>
      <c r="L2329" s="11"/>
      <c r="M2329" s="41"/>
      <c r="N2329" s="11"/>
    </row>
    <row r="2330" spans="8:14" x14ac:dyDescent="0.25">
      <c r="H2330" s="37"/>
      <c r="I2330" s="79"/>
      <c r="J2330" s="70"/>
      <c r="K2330" s="57"/>
      <c r="L2330" s="11"/>
      <c r="M2330" s="41"/>
      <c r="N2330" s="11"/>
    </row>
    <row r="2331" spans="8:14" x14ac:dyDescent="0.25">
      <c r="H2331" s="37"/>
      <c r="I2331" s="79"/>
      <c r="J2331" s="70"/>
      <c r="K2331" s="57"/>
      <c r="L2331" s="11"/>
      <c r="M2331" s="41"/>
      <c r="N2331" s="11"/>
    </row>
    <row r="2332" spans="8:14" x14ac:dyDescent="0.25">
      <c r="H2332" s="37"/>
      <c r="I2332" s="79"/>
      <c r="J2332" s="70"/>
      <c r="K2332" s="57"/>
      <c r="L2332" s="11"/>
      <c r="M2332" s="41"/>
      <c r="N2332" s="11"/>
    </row>
    <row r="2333" spans="8:14" x14ac:dyDescent="0.25">
      <c r="H2333" s="37"/>
      <c r="I2333" s="79"/>
      <c r="J2333" s="70"/>
      <c r="K2333" s="57"/>
      <c r="L2333" s="11"/>
      <c r="M2333" s="41"/>
      <c r="N2333" s="11"/>
    </row>
    <row r="2334" spans="8:14" x14ac:dyDescent="0.25">
      <c r="H2334" s="37"/>
      <c r="I2334" s="79"/>
      <c r="J2334" s="70"/>
      <c r="K2334" s="57"/>
      <c r="L2334" s="11"/>
      <c r="M2334" s="41"/>
      <c r="N2334" s="11"/>
    </row>
    <row r="2335" spans="8:14" x14ac:dyDescent="0.25">
      <c r="H2335" s="37"/>
      <c r="I2335" s="79"/>
      <c r="J2335" s="70"/>
      <c r="K2335" s="57"/>
      <c r="L2335" s="11"/>
      <c r="M2335" s="41"/>
      <c r="N2335" s="11"/>
    </row>
    <row r="2336" spans="8:14" x14ac:dyDescent="0.25">
      <c r="H2336" s="37"/>
      <c r="I2336" s="79"/>
      <c r="J2336" s="70"/>
      <c r="K2336" s="57"/>
      <c r="L2336" s="11"/>
      <c r="M2336" s="41"/>
      <c r="N2336" s="11"/>
    </row>
    <row r="2337" spans="8:14" x14ac:dyDescent="0.25">
      <c r="H2337" s="37"/>
      <c r="I2337" s="79"/>
      <c r="J2337" s="70"/>
      <c r="K2337" s="57"/>
      <c r="L2337" s="11"/>
      <c r="M2337" s="41"/>
      <c r="N2337" s="11"/>
    </row>
    <row r="2338" spans="8:14" x14ac:dyDescent="0.25">
      <c r="H2338" s="37"/>
      <c r="I2338" s="79"/>
      <c r="J2338" s="70"/>
      <c r="K2338" s="57"/>
      <c r="L2338" s="11"/>
      <c r="M2338" s="41"/>
      <c r="N2338" s="11"/>
    </row>
    <row r="2339" spans="8:14" x14ac:dyDescent="0.25">
      <c r="H2339" s="37"/>
      <c r="I2339" s="79"/>
      <c r="J2339" s="70"/>
      <c r="K2339" s="57"/>
      <c r="L2339" s="11"/>
      <c r="M2339" s="41"/>
      <c r="N2339" s="11"/>
    </row>
    <row r="2340" spans="8:14" x14ac:dyDescent="0.25">
      <c r="H2340" s="37"/>
      <c r="I2340" s="79"/>
      <c r="J2340" s="70"/>
      <c r="K2340" s="57"/>
      <c r="L2340" s="11"/>
      <c r="M2340" s="41"/>
      <c r="N2340" s="11"/>
    </row>
    <row r="2341" spans="8:14" x14ac:dyDescent="0.25">
      <c r="H2341" s="37"/>
      <c r="I2341" s="79"/>
      <c r="J2341" s="70"/>
      <c r="K2341" s="57"/>
      <c r="L2341" s="11"/>
      <c r="M2341" s="41"/>
      <c r="N2341" s="11"/>
    </row>
    <row r="2342" spans="8:14" x14ac:dyDescent="0.25">
      <c r="H2342" s="37"/>
      <c r="I2342" s="79"/>
      <c r="J2342" s="70"/>
      <c r="K2342" s="57"/>
      <c r="L2342" s="11"/>
      <c r="M2342" s="41"/>
      <c r="N2342" s="11"/>
    </row>
    <row r="2343" spans="8:14" x14ac:dyDescent="0.25">
      <c r="H2343" s="37"/>
      <c r="I2343" s="79"/>
      <c r="J2343" s="70"/>
      <c r="K2343" s="57"/>
      <c r="L2343" s="11"/>
      <c r="M2343" s="41"/>
      <c r="N2343" s="11"/>
    </row>
    <row r="2344" spans="8:14" x14ac:dyDescent="0.25">
      <c r="H2344" s="37"/>
      <c r="I2344" s="79"/>
      <c r="J2344" s="70"/>
      <c r="K2344" s="57"/>
      <c r="L2344" s="11"/>
      <c r="M2344" s="41"/>
      <c r="N2344" s="11"/>
    </row>
    <row r="2345" spans="8:14" x14ac:dyDescent="0.25">
      <c r="H2345" s="37"/>
      <c r="I2345" s="79"/>
      <c r="J2345" s="70"/>
      <c r="K2345" s="57"/>
      <c r="L2345" s="11"/>
      <c r="M2345" s="41"/>
      <c r="N2345" s="11"/>
    </row>
    <row r="2346" spans="8:14" x14ac:dyDescent="0.25">
      <c r="H2346" s="37"/>
      <c r="I2346" s="79"/>
      <c r="J2346" s="70"/>
      <c r="K2346" s="57"/>
      <c r="L2346" s="11"/>
      <c r="M2346" s="41"/>
      <c r="N2346" s="11"/>
    </row>
    <row r="2347" spans="8:14" x14ac:dyDescent="0.25">
      <c r="H2347" s="37"/>
      <c r="I2347" s="79"/>
      <c r="J2347" s="70"/>
      <c r="K2347" s="57"/>
      <c r="L2347" s="11"/>
      <c r="M2347" s="41"/>
      <c r="N2347" s="11"/>
    </row>
    <row r="2348" spans="8:14" x14ac:dyDescent="0.25">
      <c r="H2348" s="37"/>
      <c r="I2348" s="79"/>
      <c r="J2348" s="70"/>
      <c r="K2348" s="57"/>
      <c r="L2348" s="11"/>
      <c r="M2348" s="41"/>
      <c r="N2348" s="11"/>
    </row>
    <row r="2349" spans="8:14" x14ac:dyDescent="0.25">
      <c r="H2349" s="37"/>
      <c r="I2349" s="79"/>
      <c r="J2349" s="70"/>
      <c r="K2349" s="57"/>
      <c r="L2349" s="11"/>
      <c r="M2349" s="41"/>
      <c r="N2349" s="11"/>
    </row>
    <row r="2350" spans="8:14" x14ac:dyDescent="0.25">
      <c r="H2350" s="37"/>
      <c r="I2350" s="79"/>
      <c r="J2350" s="70"/>
      <c r="K2350" s="57"/>
      <c r="L2350" s="11"/>
      <c r="M2350" s="41"/>
      <c r="N2350" s="11"/>
    </row>
    <row r="2351" spans="8:14" x14ac:dyDescent="0.25">
      <c r="H2351" s="37"/>
      <c r="I2351" s="79"/>
      <c r="J2351" s="70"/>
      <c r="K2351" s="57"/>
      <c r="L2351" s="11"/>
      <c r="M2351" s="41"/>
      <c r="N2351" s="11"/>
    </row>
    <row r="2352" spans="8:14" x14ac:dyDescent="0.25">
      <c r="H2352" s="37"/>
      <c r="I2352" s="79"/>
      <c r="J2352" s="70"/>
      <c r="K2352" s="57"/>
      <c r="L2352" s="11"/>
      <c r="M2352" s="41"/>
      <c r="N2352" s="11"/>
    </row>
    <row r="2353" spans="8:14" x14ac:dyDescent="0.25">
      <c r="H2353" s="37"/>
      <c r="I2353" s="79"/>
      <c r="J2353" s="70"/>
      <c r="K2353" s="57"/>
      <c r="L2353" s="11"/>
      <c r="M2353" s="41"/>
      <c r="N2353" s="11"/>
    </row>
    <row r="2354" spans="8:14" x14ac:dyDescent="0.25">
      <c r="H2354" s="37"/>
      <c r="I2354" s="79"/>
      <c r="J2354" s="70"/>
      <c r="K2354" s="57"/>
      <c r="L2354" s="11"/>
      <c r="M2354" s="41"/>
      <c r="N2354" s="11"/>
    </row>
    <row r="2355" spans="8:14" x14ac:dyDescent="0.25">
      <c r="H2355" s="37"/>
      <c r="I2355" s="79"/>
      <c r="J2355" s="70"/>
      <c r="K2355" s="57"/>
      <c r="L2355" s="11"/>
      <c r="M2355" s="41"/>
      <c r="N2355" s="11"/>
    </row>
    <row r="2356" spans="8:14" x14ac:dyDescent="0.25">
      <c r="H2356" s="37"/>
      <c r="I2356" s="79"/>
      <c r="J2356" s="70"/>
      <c r="K2356" s="57"/>
      <c r="L2356" s="11"/>
      <c r="M2356" s="41"/>
      <c r="N2356" s="11"/>
    </row>
    <row r="2357" spans="8:14" x14ac:dyDescent="0.25">
      <c r="H2357" s="37"/>
      <c r="I2357" s="79"/>
      <c r="J2357" s="70"/>
      <c r="K2357" s="57"/>
      <c r="L2357" s="11"/>
      <c r="M2357" s="41"/>
      <c r="N2357" s="11"/>
    </row>
    <row r="2358" spans="8:14" x14ac:dyDescent="0.25">
      <c r="H2358" s="37"/>
      <c r="I2358" s="79"/>
      <c r="J2358" s="70"/>
      <c r="K2358" s="57"/>
      <c r="L2358" s="11"/>
      <c r="M2358" s="41"/>
      <c r="N2358" s="11"/>
    </row>
    <row r="2359" spans="8:14" x14ac:dyDescent="0.25">
      <c r="H2359" s="37"/>
      <c r="I2359" s="79"/>
      <c r="J2359" s="70"/>
      <c r="K2359" s="57"/>
      <c r="L2359" s="11"/>
      <c r="M2359" s="41"/>
      <c r="N2359" s="11"/>
    </row>
    <row r="2360" spans="8:14" x14ac:dyDescent="0.25">
      <c r="H2360" s="37"/>
      <c r="I2360" s="79"/>
      <c r="J2360" s="70"/>
      <c r="K2360" s="57"/>
      <c r="L2360" s="11"/>
      <c r="M2360" s="41"/>
      <c r="N2360" s="11"/>
    </row>
    <row r="2361" spans="8:14" x14ac:dyDescent="0.25">
      <c r="H2361" s="37"/>
      <c r="I2361" s="79"/>
      <c r="J2361" s="70"/>
      <c r="K2361" s="57"/>
      <c r="L2361" s="11"/>
      <c r="M2361" s="41"/>
      <c r="N2361" s="11"/>
    </row>
    <row r="2362" spans="8:14" x14ac:dyDescent="0.25">
      <c r="H2362" s="37"/>
      <c r="I2362" s="79"/>
      <c r="J2362" s="70"/>
      <c r="K2362" s="57"/>
      <c r="L2362" s="11"/>
      <c r="M2362" s="41"/>
      <c r="N2362" s="11"/>
    </row>
    <row r="2363" spans="8:14" x14ac:dyDescent="0.25">
      <c r="H2363" s="37"/>
      <c r="I2363" s="79"/>
      <c r="J2363" s="70"/>
      <c r="K2363" s="57"/>
      <c r="L2363" s="11"/>
      <c r="M2363" s="41"/>
      <c r="N2363" s="11"/>
    </row>
    <row r="2364" spans="8:14" x14ac:dyDescent="0.25">
      <c r="H2364" s="37"/>
      <c r="I2364" s="79"/>
      <c r="J2364" s="70"/>
      <c r="K2364" s="57"/>
      <c r="L2364" s="11"/>
      <c r="M2364" s="41"/>
      <c r="N2364" s="11"/>
    </row>
    <row r="2365" spans="8:14" x14ac:dyDescent="0.25">
      <c r="H2365" s="37"/>
      <c r="I2365" s="79"/>
      <c r="J2365" s="70"/>
      <c r="K2365" s="57"/>
      <c r="L2365" s="11"/>
      <c r="M2365" s="41"/>
      <c r="N2365" s="11"/>
    </row>
    <row r="2366" spans="8:14" x14ac:dyDescent="0.25">
      <c r="H2366" s="37"/>
      <c r="I2366" s="79"/>
      <c r="J2366" s="70"/>
      <c r="K2366" s="57"/>
      <c r="L2366" s="11"/>
      <c r="M2366" s="41"/>
      <c r="N2366" s="11"/>
    </row>
    <row r="2367" spans="8:14" x14ac:dyDescent="0.25">
      <c r="H2367" s="37"/>
      <c r="I2367" s="79"/>
      <c r="J2367" s="70"/>
      <c r="K2367" s="57"/>
      <c r="L2367" s="11"/>
      <c r="M2367" s="41"/>
      <c r="N2367" s="11"/>
    </row>
    <row r="2368" spans="8:14" x14ac:dyDescent="0.25">
      <c r="H2368" s="37"/>
      <c r="I2368" s="79"/>
      <c r="J2368" s="70"/>
      <c r="K2368" s="57"/>
      <c r="L2368" s="11"/>
      <c r="M2368" s="41"/>
      <c r="N2368" s="11"/>
    </row>
    <row r="2369" spans="8:14" x14ac:dyDescent="0.25">
      <c r="H2369" s="37"/>
      <c r="I2369" s="79"/>
      <c r="J2369" s="70"/>
      <c r="K2369" s="57"/>
      <c r="L2369" s="11"/>
      <c r="M2369" s="41"/>
      <c r="N2369" s="11"/>
    </row>
    <row r="2370" spans="8:14" x14ac:dyDescent="0.25">
      <c r="H2370" s="37"/>
      <c r="I2370" s="79"/>
      <c r="J2370" s="70"/>
      <c r="K2370" s="57"/>
      <c r="L2370" s="11"/>
      <c r="M2370" s="41"/>
      <c r="N2370" s="11"/>
    </row>
    <row r="2371" spans="8:14" x14ac:dyDescent="0.25">
      <c r="H2371" s="37"/>
      <c r="I2371" s="79"/>
      <c r="J2371" s="70"/>
      <c r="K2371" s="57"/>
      <c r="L2371" s="11"/>
      <c r="M2371" s="41"/>
      <c r="N2371" s="11"/>
    </row>
    <row r="2372" spans="8:14" x14ac:dyDescent="0.25">
      <c r="H2372" s="37"/>
      <c r="I2372" s="79"/>
      <c r="J2372" s="70"/>
      <c r="K2372" s="57"/>
      <c r="L2372" s="11"/>
      <c r="M2372" s="41"/>
      <c r="N2372" s="11"/>
    </row>
    <row r="2373" spans="8:14" x14ac:dyDescent="0.25">
      <c r="H2373" s="37"/>
      <c r="I2373" s="79"/>
      <c r="J2373" s="70"/>
      <c r="K2373" s="57"/>
      <c r="L2373" s="11"/>
      <c r="M2373" s="41"/>
      <c r="N2373" s="11"/>
    </row>
    <row r="2374" spans="8:14" x14ac:dyDescent="0.25">
      <c r="H2374" s="37"/>
      <c r="I2374" s="79"/>
      <c r="J2374" s="70"/>
      <c r="K2374" s="57"/>
      <c r="L2374" s="11"/>
      <c r="M2374" s="41"/>
      <c r="N2374" s="11"/>
    </row>
    <row r="2375" spans="8:14" x14ac:dyDescent="0.25">
      <c r="H2375" s="37"/>
      <c r="I2375" s="79"/>
      <c r="J2375" s="70"/>
      <c r="K2375" s="57"/>
      <c r="L2375" s="11"/>
      <c r="M2375" s="41"/>
      <c r="N2375" s="11"/>
    </row>
    <row r="2376" spans="8:14" x14ac:dyDescent="0.25">
      <c r="H2376" s="37"/>
      <c r="I2376" s="79"/>
      <c r="J2376" s="70"/>
      <c r="K2376" s="57"/>
      <c r="L2376" s="11"/>
      <c r="M2376" s="41"/>
      <c r="N2376" s="11"/>
    </row>
    <row r="2377" spans="8:14" x14ac:dyDescent="0.25">
      <c r="H2377" s="37"/>
      <c r="I2377" s="79"/>
      <c r="J2377" s="70"/>
      <c r="K2377" s="57"/>
      <c r="L2377" s="11"/>
      <c r="M2377" s="41"/>
      <c r="N2377" s="11"/>
    </row>
    <row r="2378" spans="8:14" x14ac:dyDescent="0.25">
      <c r="H2378" s="37"/>
      <c r="I2378" s="79"/>
      <c r="J2378" s="70"/>
      <c r="K2378" s="57"/>
      <c r="L2378" s="11"/>
      <c r="M2378" s="41"/>
      <c r="N2378" s="11"/>
    </row>
    <row r="2379" spans="8:14" x14ac:dyDescent="0.25">
      <c r="H2379" s="37"/>
      <c r="I2379" s="79"/>
      <c r="J2379" s="70"/>
      <c r="K2379" s="57"/>
      <c r="L2379" s="11"/>
      <c r="M2379" s="41"/>
      <c r="N2379" s="11"/>
    </row>
    <row r="2380" spans="8:14" x14ac:dyDescent="0.25">
      <c r="H2380" s="37"/>
      <c r="I2380" s="79"/>
      <c r="J2380" s="70"/>
      <c r="K2380" s="57"/>
      <c r="L2380" s="11"/>
      <c r="M2380" s="41"/>
      <c r="N2380" s="11"/>
    </row>
    <row r="2381" spans="8:14" x14ac:dyDescent="0.25">
      <c r="H2381" s="37"/>
      <c r="I2381" s="79"/>
      <c r="J2381" s="70"/>
      <c r="K2381" s="57"/>
      <c r="L2381" s="11"/>
      <c r="M2381" s="41"/>
      <c r="N2381" s="11"/>
    </row>
    <row r="2382" spans="8:14" x14ac:dyDescent="0.25">
      <c r="H2382" s="37"/>
      <c r="I2382" s="79"/>
      <c r="J2382" s="70"/>
      <c r="K2382" s="57"/>
      <c r="L2382" s="11"/>
      <c r="M2382" s="41"/>
      <c r="N2382" s="11"/>
    </row>
    <row r="2383" spans="8:14" x14ac:dyDescent="0.25">
      <c r="H2383" s="37"/>
      <c r="I2383" s="79"/>
      <c r="J2383" s="70"/>
      <c r="K2383" s="57"/>
      <c r="L2383" s="11"/>
      <c r="M2383" s="41"/>
      <c r="N2383" s="11"/>
    </row>
    <row r="2384" spans="8:14" x14ac:dyDescent="0.25">
      <c r="H2384" s="37"/>
      <c r="I2384" s="79"/>
      <c r="J2384" s="70"/>
      <c r="K2384" s="57"/>
      <c r="L2384" s="11"/>
      <c r="M2384" s="41"/>
      <c r="N2384" s="11"/>
    </row>
    <row r="2385" spans="8:14" x14ac:dyDescent="0.25">
      <c r="H2385" s="37"/>
      <c r="I2385" s="79"/>
      <c r="J2385" s="70"/>
      <c r="K2385" s="57"/>
      <c r="L2385" s="11"/>
      <c r="M2385" s="41"/>
      <c r="N2385" s="11"/>
    </row>
    <row r="2386" spans="8:14" x14ac:dyDescent="0.25">
      <c r="H2386" s="37"/>
      <c r="I2386" s="79"/>
      <c r="J2386" s="70"/>
      <c r="K2386" s="57"/>
      <c r="L2386" s="11"/>
      <c r="M2386" s="41"/>
      <c r="N2386" s="11"/>
    </row>
    <row r="2387" spans="8:14" x14ac:dyDescent="0.25">
      <c r="H2387" s="37"/>
      <c r="I2387" s="79"/>
      <c r="J2387" s="70"/>
      <c r="K2387" s="57"/>
      <c r="L2387" s="11"/>
      <c r="M2387" s="41"/>
      <c r="N2387" s="11"/>
    </row>
    <row r="2388" spans="8:14" x14ac:dyDescent="0.25">
      <c r="H2388" s="37"/>
      <c r="I2388" s="79"/>
      <c r="J2388" s="70"/>
      <c r="K2388" s="57"/>
      <c r="L2388" s="11"/>
      <c r="M2388" s="41"/>
      <c r="N2388" s="11"/>
    </row>
    <row r="2389" spans="8:14" x14ac:dyDescent="0.25">
      <c r="H2389" s="37"/>
      <c r="I2389" s="79"/>
      <c r="J2389" s="70"/>
      <c r="K2389" s="57"/>
      <c r="L2389" s="11"/>
      <c r="M2389" s="41"/>
      <c r="N2389" s="11"/>
    </row>
    <row r="2390" spans="8:14" x14ac:dyDescent="0.25">
      <c r="H2390" s="37"/>
      <c r="I2390" s="79"/>
      <c r="J2390" s="70"/>
      <c r="K2390" s="57"/>
      <c r="L2390" s="11"/>
      <c r="M2390" s="41"/>
      <c r="N2390" s="11"/>
    </row>
    <row r="2391" spans="8:14" x14ac:dyDescent="0.25">
      <c r="H2391" s="37"/>
      <c r="I2391" s="79"/>
      <c r="J2391" s="70"/>
      <c r="K2391" s="57"/>
      <c r="L2391" s="11"/>
      <c r="M2391" s="41"/>
      <c r="N2391" s="11"/>
    </row>
    <row r="2392" spans="8:14" x14ac:dyDescent="0.25">
      <c r="H2392" s="37"/>
      <c r="I2392" s="79"/>
      <c r="J2392" s="70"/>
      <c r="K2392" s="57"/>
      <c r="L2392" s="11"/>
      <c r="M2392" s="41"/>
      <c r="N2392" s="11"/>
    </row>
    <row r="2393" spans="8:14" x14ac:dyDescent="0.25">
      <c r="H2393" s="37"/>
      <c r="I2393" s="79"/>
      <c r="J2393" s="70"/>
      <c r="K2393" s="57"/>
      <c r="L2393" s="11"/>
      <c r="M2393" s="41"/>
      <c r="N2393" s="11"/>
    </row>
    <row r="2394" spans="8:14" x14ac:dyDescent="0.25">
      <c r="H2394" s="37"/>
      <c r="I2394" s="79"/>
      <c r="J2394" s="70"/>
      <c r="K2394" s="57"/>
      <c r="L2394" s="11"/>
      <c r="M2394" s="41"/>
      <c r="N2394" s="11"/>
    </row>
    <row r="2395" spans="8:14" x14ac:dyDescent="0.25">
      <c r="H2395" s="37"/>
      <c r="I2395" s="79"/>
      <c r="J2395" s="70"/>
      <c r="K2395" s="57"/>
      <c r="L2395" s="11"/>
      <c r="M2395" s="41"/>
      <c r="N2395" s="11"/>
    </row>
    <row r="2396" spans="8:14" x14ac:dyDescent="0.25">
      <c r="H2396" s="37"/>
      <c r="I2396" s="79"/>
      <c r="J2396" s="70"/>
      <c r="K2396" s="57"/>
      <c r="L2396" s="11"/>
      <c r="M2396" s="41"/>
      <c r="N2396" s="11"/>
    </row>
    <row r="2397" spans="8:14" x14ac:dyDescent="0.25">
      <c r="H2397" s="37"/>
      <c r="I2397" s="79"/>
      <c r="J2397" s="70"/>
      <c r="K2397" s="57"/>
      <c r="L2397" s="11"/>
      <c r="M2397" s="41"/>
      <c r="N2397" s="11"/>
    </row>
    <row r="2398" spans="8:14" x14ac:dyDescent="0.25">
      <c r="H2398" s="37"/>
      <c r="I2398" s="79"/>
      <c r="J2398" s="70"/>
      <c r="K2398" s="57"/>
      <c r="L2398" s="11"/>
      <c r="M2398" s="41"/>
      <c r="N2398" s="11"/>
    </row>
    <row r="2399" spans="8:14" x14ac:dyDescent="0.25">
      <c r="H2399" s="37"/>
      <c r="I2399" s="79"/>
      <c r="J2399" s="70"/>
      <c r="K2399" s="57"/>
      <c r="L2399" s="11"/>
      <c r="M2399" s="41"/>
      <c r="N2399" s="11"/>
    </row>
    <row r="2400" spans="8:14" x14ac:dyDescent="0.25">
      <c r="H2400" s="37"/>
      <c r="I2400" s="79"/>
      <c r="J2400" s="70"/>
      <c r="K2400" s="57"/>
      <c r="L2400" s="11"/>
      <c r="M2400" s="41"/>
      <c r="N2400" s="11"/>
    </row>
    <row r="2401" spans="8:14" x14ac:dyDescent="0.25">
      <c r="H2401" s="37"/>
      <c r="I2401" s="79"/>
      <c r="J2401" s="70"/>
      <c r="K2401" s="57"/>
      <c r="L2401" s="11"/>
      <c r="M2401" s="41"/>
      <c r="N2401" s="11"/>
    </row>
    <row r="2402" spans="8:14" x14ac:dyDescent="0.25">
      <c r="H2402" s="37"/>
      <c r="I2402" s="79"/>
      <c r="J2402" s="70"/>
      <c r="K2402" s="57"/>
      <c r="L2402" s="11"/>
      <c r="M2402" s="41"/>
      <c r="N2402" s="11"/>
    </row>
    <row r="2403" spans="8:14" x14ac:dyDescent="0.25">
      <c r="H2403" s="37"/>
      <c r="I2403" s="79"/>
      <c r="J2403" s="70"/>
      <c r="K2403" s="57"/>
      <c r="L2403" s="11"/>
      <c r="M2403" s="41"/>
      <c r="N2403" s="11"/>
    </row>
    <row r="2404" spans="8:14" x14ac:dyDescent="0.25">
      <c r="H2404" s="37"/>
      <c r="I2404" s="79"/>
      <c r="J2404" s="70"/>
      <c r="K2404" s="57"/>
      <c r="L2404" s="11"/>
      <c r="M2404" s="41"/>
      <c r="N2404" s="11"/>
    </row>
    <row r="2405" spans="8:14" x14ac:dyDescent="0.25">
      <c r="H2405" s="37"/>
      <c r="I2405" s="79"/>
      <c r="J2405" s="70"/>
      <c r="K2405" s="57"/>
      <c r="L2405" s="11"/>
      <c r="M2405" s="41"/>
      <c r="N2405" s="11"/>
    </row>
    <row r="2406" spans="8:14" x14ac:dyDescent="0.25">
      <c r="H2406" s="37"/>
      <c r="I2406" s="79"/>
      <c r="J2406" s="70"/>
      <c r="K2406" s="57"/>
      <c r="L2406" s="11"/>
      <c r="M2406" s="41"/>
      <c r="N2406" s="11"/>
    </row>
    <row r="2407" spans="8:14" x14ac:dyDescent="0.25">
      <c r="H2407" s="37"/>
      <c r="I2407" s="79"/>
      <c r="J2407" s="70"/>
      <c r="K2407" s="57"/>
      <c r="L2407" s="11"/>
      <c r="M2407" s="41"/>
      <c r="N2407" s="11"/>
    </row>
    <row r="2408" spans="8:14" x14ac:dyDescent="0.25">
      <c r="H2408" s="37"/>
      <c r="I2408" s="79"/>
      <c r="J2408" s="70"/>
      <c r="K2408" s="57"/>
      <c r="L2408" s="11"/>
      <c r="M2408" s="41"/>
      <c r="N2408" s="11"/>
    </row>
    <row r="2409" spans="8:14" x14ac:dyDescent="0.25">
      <c r="H2409" s="37"/>
      <c r="I2409" s="79"/>
      <c r="J2409" s="70"/>
      <c r="K2409" s="57"/>
      <c r="L2409" s="11"/>
      <c r="M2409" s="41"/>
      <c r="N2409" s="11"/>
    </row>
    <row r="2410" spans="8:14" x14ac:dyDescent="0.25">
      <c r="H2410" s="37"/>
      <c r="I2410" s="79"/>
      <c r="J2410" s="70"/>
      <c r="K2410" s="57"/>
      <c r="L2410" s="11"/>
      <c r="M2410" s="41"/>
      <c r="N2410" s="11"/>
    </row>
    <row r="2411" spans="8:14" x14ac:dyDescent="0.25">
      <c r="H2411" s="37"/>
      <c r="I2411" s="79"/>
      <c r="J2411" s="70"/>
      <c r="K2411" s="57"/>
      <c r="L2411" s="11"/>
      <c r="M2411" s="41"/>
      <c r="N2411" s="11"/>
    </row>
    <row r="2412" spans="8:14" x14ac:dyDescent="0.25">
      <c r="H2412" s="37"/>
      <c r="I2412" s="79"/>
      <c r="J2412" s="70"/>
      <c r="K2412" s="57"/>
      <c r="L2412" s="11"/>
      <c r="M2412" s="41"/>
      <c r="N2412" s="11"/>
    </row>
    <row r="2413" spans="8:14" x14ac:dyDescent="0.25">
      <c r="H2413" s="37"/>
      <c r="I2413" s="79"/>
      <c r="J2413" s="70"/>
      <c r="K2413" s="57"/>
      <c r="L2413" s="11"/>
      <c r="M2413" s="41"/>
      <c r="N2413" s="11"/>
    </row>
    <row r="2414" spans="8:14" x14ac:dyDescent="0.25">
      <c r="H2414" s="37"/>
      <c r="I2414" s="79"/>
      <c r="J2414" s="70"/>
      <c r="K2414" s="57"/>
      <c r="L2414" s="11"/>
      <c r="M2414" s="41"/>
      <c r="N2414" s="11"/>
    </row>
    <row r="2415" spans="8:14" x14ac:dyDescent="0.25">
      <c r="H2415" s="37"/>
      <c r="I2415" s="79"/>
      <c r="J2415" s="70"/>
      <c r="K2415" s="57"/>
      <c r="L2415" s="11"/>
      <c r="M2415" s="41"/>
      <c r="N2415" s="11"/>
    </row>
    <row r="2416" spans="8:14" x14ac:dyDescent="0.25">
      <c r="H2416" s="37"/>
      <c r="I2416" s="79"/>
      <c r="J2416" s="70"/>
      <c r="K2416" s="57"/>
      <c r="L2416" s="11"/>
      <c r="M2416" s="41"/>
      <c r="N2416" s="11"/>
    </row>
    <row r="2417" spans="8:14" x14ac:dyDescent="0.25">
      <c r="H2417" s="37"/>
      <c r="I2417" s="79"/>
      <c r="J2417" s="70"/>
      <c r="K2417" s="57"/>
      <c r="L2417" s="11"/>
      <c r="M2417" s="41"/>
      <c r="N2417" s="11"/>
    </row>
    <row r="2418" spans="8:14" x14ac:dyDescent="0.25">
      <c r="H2418" s="37"/>
      <c r="I2418" s="79"/>
      <c r="J2418" s="70"/>
      <c r="K2418" s="57"/>
      <c r="L2418" s="11"/>
      <c r="M2418" s="41"/>
      <c r="N2418" s="11"/>
    </row>
    <row r="2419" spans="8:14" x14ac:dyDescent="0.25">
      <c r="H2419" s="37"/>
      <c r="I2419" s="79"/>
      <c r="J2419" s="70"/>
      <c r="K2419" s="57"/>
      <c r="L2419" s="11"/>
      <c r="M2419" s="41"/>
      <c r="N2419" s="11"/>
    </row>
    <row r="2420" spans="8:14" x14ac:dyDescent="0.25">
      <c r="H2420" s="37"/>
      <c r="I2420" s="79"/>
      <c r="J2420" s="70"/>
      <c r="K2420" s="57"/>
      <c r="L2420" s="11"/>
      <c r="M2420" s="41"/>
      <c r="N2420" s="11"/>
    </row>
    <row r="2421" spans="8:14" x14ac:dyDescent="0.25">
      <c r="H2421" s="37"/>
      <c r="I2421" s="79"/>
      <c r="J2421" s="70"/>
      <c r="K2421" s="57"/>
      <c r="L2421" s="11"/>
      <c r="M2421" s="41"/>
      <c r="N2421" s="11"/>
    </row>
    <row r="2422" spans="8:14" x14ac:dyDescent="0.25">
      <c r="H2422" s="37"/>
      <c r="I2422" s="79"/>
      <c r="J2422" s="70"/>
      <c r="K2422" s="57"/>
      <c r="L2422" s="11"/>
      <c r="M2422" s="41"/>
      <c r="N2422" s="11"/>
    </row>
    <row r="2423" spans="8:14" x14ac:dyDescent="0.25">
      <c r="H2423" s="37"/>
      <c r="I2423" s="79"/>
      <c r="J2423" s="70"/>
      <c r="K2423" s="57"/>
      <c r="L2423" s="11"/>
      <c r="M2423" s="41"/>
      <c r="N2423" s="11"/>
    </row>
    <row r="2424" spans="8:14" x14ac:dyDescent="0.25">
      <c r="H2424" s="37"/>
      <c r="I2424" s="79"/>
      <c r="J2424" s="70"/>
      <c r="K2424" s="57"/>
      <c r="L2424" s="11"/>
      <c r="M2424" s="41"/>
      <c r="N2424" s="11"/>
    </row>
    <row r="2425" spans="8:14" x14ac:dyDescent="0.25">
      <c r="H2425" s="37"/>
      <c r="I2425" s="79"/>
      <c r="J2425" s="70"/>
      <c r="K2425" s="57"/>
      <c r="L2425" s="11"/>
      <c r="M2425" s="41"/>
      <c r="N2425" s="11"/>
    </row>
    <row r="2426" spans="8:14" x14ac:dyDescent="0.25">
      <c r="H2426" s="37"/>
      <c r="I2426" s="79"/>
      <c r="J2426" s="70"/>
      <c r="K2426" s="57"/>
      <c r="L2426" s="11"/>
      <c r="M2426" s="41"/>
      <c r="N2426" s="11"/>
    </row>
    <row r="2427" spans="8:14" x14ac:dyDescent="0.25">
      <c r="H2427" s="37"/>
      <c r="I2427" s="79"/>
      <c r="J2427" s="70"/>
      <c r="K2427" s="57"/>
      <c r="L2427" s="11"/>
      <c r="M2427" s="41"/>
      <c r="N2427" s="11"/>
    </row>
    <row r="2428" spans="8:14" x14ac:dyDescent="0.25">
      <c r="H2428" s="37"/>
      <c r="I2428" s="79"/>
      <c r="J2428" s="70"/>
      <c r="K2428" s="57"/>
      <c r="L2428" s="11"/>
      <c r="M2428" s="41"/>
      <c r="N2428" s="11"/>
    </row>
    <row r="2429" spans="8:14" x14ac:dyDescent="0.25">
      <c r="H2429" s="37"/>
      <c r="I2429" s="79"/>
      <c r="J2429" s="70"/>
      <c r="K2429" s="57"/>
      <c r="L2429" s="11"/>
      <c r="M2429" s="41"/>
      <c r="N2429" s="11"/>
    </row>
    <row r="2430" spans="8:14" x14ac:dyDescent="0.25">
      <c r="H2430" s="37"/>
      <c r="I2430" s="79"/>
      <c r="J2430" s="70"/>
      <c r="K2430" s="57"/>
      <c r="L2430" s="11"/>
      <c r="M2430" s="41"/>
      <c r="N2430" s="11"/>
    </row>
    <row r="2431" spans="8:14" x14ac:dyDescent="0.25">
      <c r="H2431" s="37"/>
      <c r="I2431" s="79"/>
      <c r="J2431" s="70"/>
      <c r="K2431" s="57"/>
      <c r="L2431" s="11"/>
      <c r="M2431" s="41"/>
      <c r="N2431" s="11"/>
    </row>
    <row r="2432" spans="8:14" x14ac:dyDescent="0.25">
      <c r="H2432" s="37"/>
      <c r="I2432" s="79"/>
      <c r="J2432" s="70"/>
      <c r="K2432" s="57"/>
      <c r="L2432" s="11"/>
      <c r="M2432" s="41"/>
      <c r="N2432" s="11"/>
    </row>
    <row r="2433" spans="8:14" x14ac:dyDescent="0.25">
      <c r="H2433" s="37"/>
      <c r="I2433" s="79"/>
      <c r="J2433" s="70"/>
      <c r="K2433" s="57"/>
      <c r="L2433" s="11"/>
      <c r="M2433" s="41"/>
      <c r="N2433" s="11"/>
    </row>
    <row r="2434" spans="8:14" x14ac:dyDescent="0.25">
      <c r="H2434" s="37"/>
      <c r="I2434" s="79"/>
      <c r="J2434" s="70"/>
      <c r="K2434" s="57"/>
      <c r="L2434" s="11"/>
      <c r="M2434" s="41"/>
      <c r="N2434" s="11"/>
    </row>
    <row r="2435" spans="8:14" x14ac:dyDescent="0.25">
      <c r="H2435" s="37"/>
      <c r="I2435" s="79"/>
      <c r="J2435" s="70"/>
      <c r="K2435" s="57"/>
      <c r="L2435" s="11"/>
      <c r="M2435" s="41"/>
      <c r="N2435" s="11"/>
    </row>
    <row r="2436" spans="8:14" x14ac:dyDescent="0.25">
      <c r="H2436" s="37"/>
      <c r="I2436" s="79"/>
      <c r="J2436" s="70"/>
      <c r="K2436" s="57"/>
      <c r="L2436" s="11"/>
      <c r="M2436" s="41"/>
      <c r="N2436" s="11"/>
    </row>
    <row r="2437" spans="8:14" x14ac:dyDescent="0.25">
      <c r="H2437" s="37"/>
      <c r="I2437" s="79"/>
      <c r="J2437" s="70"/>
      <c r="K2437" s="57"/>
      <c r="L2437" s="11"/>
      <c r="M2437" s="41"/>
      <c r="N2437" s="11"/>
    </row>
    <row r="2438" spans="8:14" x14ac:dyDescent="0.25">
      <c r="H2438" s="37"/>
      <c r="I2438" s="79"/>
      <c r="J2438" s="70"/>
      <c r="K2438" s="57"/>
      <c r="L2438" s="11"/>
      <c r="M2438" s="41"/>
      <c r="N2438" s="11"/>
    </row>
    <row r="2439" spans="8:14" x14ac:dyDescent="0.25">
      <c r="H2439" s="37"/>
      <c r="I2439" s="79"/>
      <c r="J2439" s="70"/>
      <c r="K2439" s="57"/>
      <c r="L2439" s="11"/>
      <c r="M2439" s="41"/>
      <c r="N2439" s="11"/>
    </row>
    <row r="2440" spans="8:14" x14ac:dyDescent="0.25">
      <c r="H2440" s="37"/>
      <c r="I2440" s="79"/>
      <c r="J2440" s="70"/>
      <c r="K2440" s="57"/>
      <c r="L2440" s="11"/>
      <c r="M2440" s="41"/>
      <c r="N2440" s="11"/>
    </row>
    <row r="2441" spans="8:14" x14ac:dyDescent="0.25">
      <c r="H2441" s="37"/>
      <c r="I2441" s="79"/>
      <c r="J2441" s="70"/>
      <c r="K2441" s="57"/>
      <c r="L2441" s="11"/>
      <c r="M2441" s="41"/>
      <c r="N2441" s="11"/>
    </row>
    <row r="2442" spans="8:14" x14ac:dyDescent="0.25">
      <c r="H2442" s="37"/>
      <c r="I2442" s="79"/>
      <c r="J2442" s="70"/>
      <c r="K2442" s="57"/>
      <c r="L2442" s="11"/>
      <c r="M2442" s="41"/>
      <c r="N2442" s="11"/>
    </row>
    <row r="2443" spans="8:14" x14ac:dyDescent="0.25">
      <c r="H2443" s="37"/>
      <c r="I2443" s="79"/>
      <c r="J2443" s="70"/>
      <c r="K2443" s="57"/>
      <c r="L2443" s="11"/>
      <c r="M2443" s="41"/>
      <c r="N2443" s="11"/>
    </row>
    <row r="2444" spans="8:14" x14ac:dyDescent="0.25">
      <c r="H2444" s="37"/>
      <c r="I2444" s="79"/>
      <c r="J2444" s="70"/>
      <c r="K2444" s="57"/>
      <c r="L2444" s="11"/>
      <c r="M2444" s="41"/>
      <c r="N2444" s="11"/>
    </row>
    <row r="2445" spans="8:14" x14ac:dyDescent="0.25">
      <c r="H2445" s="37"/>
      <c r="I2445" s="79"/>
      <c r="J2445" s="70"/>
      <c r="K2445" s="57"/>
      <c r="L2445" s="11"/>
      <c r="M2445" s="41"/>
      <c r="N2445" s="11"/>
    </row>
    <row r="2446" spans="8:14" x14ac:dyDescent="0.25">
      <c r="H2446" s="37"/>
      <c r="I2446" s="79"/>
      <c r="J2446" s="70"/>
      <c r="K2446" s="57"/>
      <c r="L2446" s="11"/>
      <c r="M2446" s="41"/>
      <c r="N2446" s="11"/>
    </row>
    <row r="2447" spans="8:14" x14ac:dyDescent="0.25">
      <c r="H2447" s="37"/>
      <c r="I2447" s="79"/>
      <c r="J2447" s="70"/>
      <c r="K2447" s="57"/>
      <c r="L2447" s="11"/>
      <c r="M2447" s="41"/>
      <c r="N2447" s="11"/>
    </row>
    <row r="2448" spans="8:14" x14ac:dyDescent="0.25">
      <c r="H2448" s="37"/>
      <c r="I2448" s="79"/>
      <c r="J2448" s="70"/>
      <c r="K2448" s="57"/>
      <c r="L2448" s="11"/>
      <c r="M2448" s="41"/>
      <c r="N2448" s="11"/>
    </row>
    <row r="2449" spans="8:14" x14ac:dyDescent="0.25">
      <c r="H2449" s="37"/>
      <c r="I2449" s="79"/>
      <c r="J2449" s="70"/>
      <c r="K2449" s="57"/>
      <c r="L2449" s="11"/>
      <c r="M2449" s="41"/>
      <c r="N2449" s="11"/>
    </row>
    <row r="2450" spans="8:14" x14ac:dyDescent="0.25">
      <c r="H2450" s="37"/>
      <c r="I2450" s="79"/>
      <c r="J2450" s="70"/>
      <c r="K2450" s="57"/>
      <c r="L2450" s="11"/>
      <c r="M2450" s="41"/>
      <c r="N2450" s="11"/>
    </row>
    <row r="2451" spans="8:14" x14ac:dyDescent="0.25">
      <c r="H2451" s="37"/>
      <c r="I2451" s="79"/>
      <c r="J2451" s="70"/>
      <c r="K2451" s="57"/>
      <c r="L2451" s="11"/>
      <c r="M2451" s="41"/>
      <c r="N2451" s="11"/>
    </row>
    <row r="2452" spans="8:14" x14ac:dyDescent="0.25">
      <c r="H2452" s="37"/>
      <c r="I2452" s="79"/>
      <c r="J2452" s="70"/>
      <c r="K2452" s="57"/>
      <c r="L2452" s="11"/>
      <c r="M2452" s="41"/>
      <c r="N2452" s="11"/>
    </row>
    <row r="2453" spans="8:14" x14ac:dyDescent="0.25">
      <c r="H2453" s="37"/>
      <c r="I2453" s="79"/>
      <c r="J2453" s="70"/>
      <c r="K2453" s="57"/>
      <c r="L2453" s="11"/>
      <c r="M2453" s="41"/>
      <c r="N2453" s="11"/>
    </row>
    <row r="2454" spans="8:14" x14ac:dyDescent="0.25">
      <c r="H2454" s="37"/>
      <c r="I2454" s="79"/>
      <c r="J2454" s="70"/>
      <c r="K2454" s="57"/>
      <c r="L2454" s="11"/>
      <c r="M2454" s="41"/>
      <c r="N2454" s="11"/>
    </row>
    <row r="2455" spans="8:14" x14ac:dyDescent="0.25">
      <c r="H2455" s="37"/>
      <c r="I2455" s="79"/>
      <c r="J2455" s="70"/>
      <c r="K2455" s="57"/>
      <c r="L2455" s="11"/>
      <c r="M2455" s="41"/>
      <c r="N2455" s="11"/>
    </row>
    <row r="2456" spans="8:14" x14ac:dyDescent="0.25">
      <c r="H2456" s="37"/>
      <c r="I2456" s="79"/>
      <c r="J2456" s="70"/>
      <c r="K2456" s="57"/>
      <c r="L2456" s="11"/>
      <c r="M2456" s="41"/>
      <c r="N2456" s="11"/>
    </row>
    <row r="2457" spans="8:14" x14ac:dyDescent="0.25">
      <c r="H2457" s="37"/>
      <c r="I2457" s="79"/>
      <c r="J2457" s="70"/>
      <c r="K2457" s="57"/>
      <c r="L2457" s="11"/>
      <c r="M2457" s="41"/>
      <c r="N2457" s="11"/>
    </row>
    <row r="2458" spans="8:14" x14ac:dyDescent="0.25">
      <c r="H2458" s="37"/>
      <c r="I2458" s="79"/>
      <c r="J2458" s="70"/>
      <c r="K2458" s="57"/>
      <c r="L2458" s="11"/>
      <c r="M2458" s="41"/>
      <c r="N2458" s="11"/>
    </row>
    <row r="2459" spans="8:14" x14ac:dyDescent="0.25">
      <c r="H2459" s="37"/>
      <c r="I2459" s="79"/>
      <c r="J2459" s="70"/>
      <c r="K2459" s="57"/>
      <c r="L2459" s="11"/>
      <c r="M2459" s="41"/>
      <c r="N2459" s="11"/>
    </row>
    <row r="2460" spans="8:14" x14ac:dyDescent="0.25">
      <c r="H2460" s="37"/>
      <c r="I2460" s="79"/>
      <c r="J2460" s="70"/>
      <c r="K2460" s="57"/>
      <c r="L2460" s="11"/>
      <c r="M2460" s="41"/>
      <c r="N2460" s="11"/>
    </row>
    <row r="2461" spans="8:14" x14ac:dyDescent="0.25">
      <c r="H2461" s="37"/>
      <c r="I2461" s="79"/>
      <c r="J2461" s="70"/>
      <c r="K2461" s="57"/>
      <c r="L2461" s="11"/>
      <c r="M2461" s="41"/>
      <c r="N2461" s="11"/>
    </row>
    <row r="2462" spans="8:14" x14ac:dyDescent="0.25">
      <c r="H2462" s="37"/>
      <c r="I2462" s="79"/>
      <c r="J2462" s="70"/>
      <c r="K2462" s="57"/>
      <c r="L2462" s="11"/>
      <c r="M2462" s="41"/>
      <c r="N2462" s="11"/>
    </row>
    <row r="2463" spans="8:14" x14ac:dyDescent="0.25">
      <c r="H2463" s="37"/>
      <c r="I2463" s="79"/>
      <c r="J2463" s="70"/>
      <c r="K2463" s="57"/>
      <c r="L2463" s="11"/>
      <c r="M2463" s="41"/>
      <c r="N2463" s="11"/>
    </row>
    <row r="2464" spans="8:14" x14ac:dyDescent="0.25">
      <c r="H2464" s="37"/>
      <c r="I2464" s="79"/>
      <c r="J2464" s="70"/>
      <c r="K2464" s="57"/>
      <c r="L2464" s="11"/>
      <c r="M2464" s="41"/>
      <c r="N2464" s="11"/>
    </row>
    <row r="2465" spans="8:14" x14ac:dyDescent="0.25">
      <c r="H2465" s="37"/>
      <c r="I2465" s="79"/>
      <c r="J2465" s="70"/>
      <c r="K2465" s="57"/>
      <c r="L2465" s="11"/>
      <c r="M2465" s="41"/>
      <c r="N2465" s="11"/>
    </row>
    <row r="2466" spans="8:14" x14ac:dyDescent="0.25">
      <c r="H2466" s="37"/>
      <c r="I2466" s="79"/>
      <c r="J2466" s="70"/>
      <c r="K2466" s="57"/>
      <c r="L2466" s="11"/>
      <c r="M2466" s="41"/>
      <c r="N2466" s="11"/>
    </row>
    <row r="2467" spans="8:14" x14ac:dyDescent="0.25">
      <c r="H2467" s="37"/>
      <c r="I2467" s="79"/>
      <c r="J2467" s="70"/>
      <c r="K2467" s="57"/>
      <c r="L2467" s="11"/>
      <c r="M2467" s="41"/>
      <c r="N2467" s="11"/>
    </row>
    <row r="2468" spans="8:14" x14ac:dyDescent="0.25">
      <c r="H2468" s="37"/>
      <c r="I2468" s="79"/>
      <c r="J2468" s="70"/>
      <c r="K2468" s="57"/>
      <c r="L2468" s="11"/>
      <c r="M2468" s="41"/>
      <c r="N2468" s="11"/>
    </row>
    <row r="2469" spans="8:14" x14ac:dyDescent="0.25">
      <c r="H2469" s="37"/>
      <c r="I2469" s="79"/>
      <c r="J2469" s="70"/>
      <c r="K2469" s="57"/>
      <c r="L2469" s="11"/>
      <c r="M2469" s="41"/>
      <c r="N2469" s="11"/>
    </row>
    <row r="2470" spans="8:14" x14ac:dyDescent="0.25">
      <c r="H2470" s="37"/>
      <c r="I2470" s="79"/>
      <c r="J2470" s="70"/>
      <c r="K2470" s="57"/>
      <c r="L2470" s="11"/>
      <c r="M2470" s="41"/>
      <c r="N2470" s="11"/>
    </row>
    <row r="2471" spans="8:14" x14ac:dyDescent="0.25">
      <c r="H2471" s="37"/>
      <c r="I2471" s="79"/>
      <c r="J2471" s="70"/>
      <c r="K2471" s="57"/>
      <c r="L2471" s="11"/>
      <c r="M2471" s="41"/>
      <c r="N2471" s="11"/>
    </row>
    <row r="2472" spans="8:14" x14ac:dyDescent="0.25">
      <c r="H2472" s="37"/>
      <c r="I2472" s="79"/>
      <c r="J2472" s="70"/>
      <c r="K2472" s="57"/>
      <c r="L2472" s="11"/>
      <c r="M2472" s="41"/>
      <c r="N2472" s="11"/>
    </row>
    <row r="2473" spans="8:14" x14ac:dyDescent="0.25">
      <c r="H2473" s="37"/>
      <c r="I2473" s="79"/>
      <c r="J2473" s="70"/>
      <c r="K2473" s="57"/>
      <c r="L2473" s="11"/>
      <c r="M2473" s="41"/>
      <c r="N2473" s="11"/>
    </row>
    <row r="2474" spans="8:14" x14ac:dyDescent="0.25">
      <c r="H2474" s="37"/>
      <c r="I2474" s="79"/>
      <c r="J2474" s="70"/>
      <c r="K2474" s="57"/>
      <c r="L2474" s="11"/>
      <c r="M2474" s="41"/>
      <c r="N2474" s="11"/>
    </row>
    <row r="2475" spans="8:14" x14ac:dyDescent="0.25">
      <c r="H2475" s="37"/>
      <c r="I2475" s="79"/>
      <c r="J2475" s="70"/>
      <c r="K2475" s="57"/>
      <c r="L2475" s="11"/>
      <c r="M2475" s="41"/>
      <c r="N2475" s="11"/>
    </row>
    <row r="2476" spans="8:14" x14ac:dyDescent="0.25">
      <c r="H2476" s="37"/>
      <c r="I2476" s="79"/>
      <c r="J2476" s="70"/>
      <c r="K2476" s="57"/>
      <c r="L2476" s="11"/>
      <c r="M2476" s="41"/>
      <c r="N2476" s="11"/>
    </row>
    <row r="2477" spans="8:14" x14ac:dyDescent="0.25">
      <c r="H2477" s="37"/>
      <c r="I2477" s="79"/>
      <c r="J2477" s="70"/>
      <c r="K2477" s="57"/>
      <c r="L2477" s="11"/>
      <c r="M2477" s="41"/>
      <c r="N2477" s="11"/>
    </row>
    <row r="2478" spans="8:14" x14ac:dyDescent="0.25">
      <c r="H2478" s="37"/>
      <c r="I2478" s="79"/>
      <c r="J2478" s="70"/>
      <c r="K2478" s="57"/>
      <c r="L2478" s="11"/>
      <c r="M2478" s="41"/>
      <c r="N2478" s="11"/>
    </row>
    <row r="2479" spans="8:14" x14ac:dyDescent="0.25">
      <c r="H2479" s="37"/>
      <c r="I2479" s="79"/>
      <c r="J2479" s="70"/>
      <c r="K2479" s="57"/>
      <c r="L2479" s="11"/>
      <c r="M2479" s="41"/>
      <c r="N2479" s="11"/>
    </row>
    <row r="2480" spans="8:14" x14ac:dyDescent="0.25">
      <c r="H2480" s="37"/>
      <c r="I2480" s="79"/>
      <c r="J2480" s="70"/>
      <c r="K2480" s="57"/>
      <c r="L2480" s="11"/>
      <c r="M2480" s="41"/>
      <c r="N2480" s="11"/>
    </row>
    <row r="2481" spans="8:14" x14ac:dyDescent="0.25">
      <c r="H2481" s="37"/>
      <c r="I2481" s="79"/>
      <c r="J2481" s="70"/>
      <c r="K2481" s="57"/>
      <c r="L2481" s="11"/>
      <c r="M2481" s="41"/>
      <c r="N2481" s="11"/>
    </row>
    <row r="2482" spans="8:14" x14ac:dyDescent="0.25">
      <c r="H2482" s="37"/>
      <c r="I2482" s="79"/>
      <c r="J2482" s="70"/>
      <c r="K2482" s="57"/>
      <c r="L2482" s="11"/>
      <c r="M2482" s="41"/>
      <c r="N2482" s="11"/>
    </row>
    <row r="2483" spans="8:14" x14ac:dyDescent="0.25">
      <c r="H2483" s="37"/>
      <c r="I2483" s="79"/>
      <c r="J2483" s="70"/>
      <c r="K2483" s="57"/>
      <c r="L2483" s="11"/>
      <c r="M2483" s="41"/>
      <c r="N2483" s="11"/>
    </row>
    <row r="2484" spans="8:14" x14ac:dyDescent="0.25">
      <c r="H2484" s="37"/>
      <c r="I2484" s="79"/>
      <c r="J2484" s="70"/>
      <c r="K2484" s="57"/>
      <c r="L2484" s="11"/>
      <c r="M2484" s="41"/>
      <c r="N2484" s="11"/>
    </row>
    <row r="2485" spans="8:14" x14ac:dyDescent="0.25">
      <c r="H2485" s="37"/>
      <c r="I2485" s="79"/>
      <c r="J2485" s="70"/>
      <c r="K2485" s="57"/>
      <c r="L2485" s="11"/>
      <c r="M2485" s="41"/>
      <c r="N2485" s="11"/>
    </row>
    <row r="2486" spans="8:14" x14ac:dyDescent="0.25">
      <c r="H2486" s="37"/>
      <c r="I2486" s="79"/>
      <c r="J2486" s="70"/>
      <c r="K2486" s="57"/>
      <c r="L2486" s="11"/>
      <c r="M2486" s="41"/>
      <c r="N2486" s="11"/>
    </row>
    <row r="2487" spans="8:14" x14ac:dyDescent="0.25">
      <c r="H2487" s="37"/>
      <c r="I2487" s="79"/>
      <c r="J2487" s="70"/>
      <c r="K2487" s="57"/>
      <c r="L2487" s="11"/>
      <c r="M2487" s="41"/>
      <c r="N2487" s="11"/>
    </row>
    <row r="2488" spans="8:14" x14ac:dyDescent="0.25">
      <c r="H2488" s="37"/>
      <c r="I2488" s="79"/>
      <c r="J2488" s="70"/>
      <c r="K2488" s="57"/>
      <c r="L2488" s="11"/>
      <c r="M2488" s="41"/>
      <c r="N2488" s="11"/>
    </row>
    <row r="2489" spans="8:14" x14ac:dyDescent="0.25">
      <c r="H2489" s="37"/>
      <c r="I2489" s="79"/>
      <c r="J2489" s="70"/>
      <c r="K2489" s="57"/>
      <c r="L2489" s="11"/>
      <c r="M2489" s="41"/>
      <c r="N2489" s="11"/>
    </row>
    <row r="2490" spans="8:14" x14ac:dyDescent="0.25">
      <c r="H2490" s="37"/>
      <c r="I2490" s="79"/>
      <c r="J2490" s="70"/>
      <c r="K2490" s="57"/>
      <c r="L2490" s="11"/>
      <c r="M2490" s="41"/>
      <c r="N2490" s="11"/>
    </row>
    <row r="2491" spans="8:14" x14ac:dyDescent="0.25">
      <c r="H2491" s="37"/>
      <c r="I2491" s="79"/>
      <c r="J2491" s="70"/>
      <c r="K2491" s="57"/>
      <c r="L2491" s="11"/>
      <c r="M2491" s="41"/>
      <c r="N2491" s="11"/>
    </row>
    <row r="2492" spans="8:14" x14ac:dyDescent="0.25">
      <c r="H2492" s="37"/>
      <c r="I2492" s="79"/>
      <c r="J2492" s="70"/>
      <c r="K2492" s="57"/>
      <c r="L2492" s="11"/>
      <c r="M2492" s="41"/>
      <c r="N2492" s="11"/>
    </row>
    <row r="2493" spans="8:14" x14ac:dyDescent="0.25">
      <c r="H2493" s="37"/>
      <c r="I2493" s="79"/>
      <c r="J2493" s="70"/>
      <c r="K2493" s="57"/>
      <c r="L2493" s="11"/>
      <c r="M2493" s="41"/>
      <c r="N2493" s="11"/>
    </row>
    <row r="2494" spans="8:14" x14ac:dyDescent="0.25">
      <c r="H2494" s="37"/>
      <c r="I2494" s="79"/>
      <c r="J2494" s="70"/>
      <c r="K2494" s="57"/>
      <c r="L2494" s="11"/>
      <c r="M2494" s="41"/>
      <c r="N2494" s="11"/>
    </row>
    <row r="2495" spans="8:14" x14ac:dyDescent="0.25">
      <c r="H2495" s="37"/>
      <c r="I2495" s="79"/>
      <c r="J2495" s="70"/>
      <c r="K2495" s="57"/>
      <c r="L2495" s="11"/>
      <c r="M2495" s="41"/>
      <c r="N2495" s="11"/>
    </row>
    <row r="2496" spans="8:14" x14ac:dyDescent="0.25">
      <c r="H2496" s="37"/>
      <c r="I2496" s="79"/>
      <c r="J2496" s="70"/>
      <c r="K2496" s="57"/>
      <c r="L2496" s="11"/>
      <c r="M2496" s="41"/>
      <c r="N2496" s="11"/>
    </row>
    <row r="2497" spans="8:14" x14ac:dyDescent="0.25">
      <c r="H2497" s="37"/>
      <c r="I2497" s="79"/>
      <c r="J2497" s="70"/>
      <c r="K2497" s="57"/>
      <c r="L2497" s="11"/>
      <c r="M2497" s="41"/>
      <c r="N2497" s="11"/>
    </row>
    <row r="2498" spans="8:14" x14ac:dyDescent="0.25">
      <c r="H2498" s="37"/>
      <c r="I2498" s="79"/>
      <c r="J2498" s="70"/>
      <c r="K2498" s="57"/>
      <c r="L2498" s="11"/>
      <c r="M2498" s="41"/>
      <c r="N2498" s="11"/>
    </row>
    <row r="2499" spans="8:14" x14ac:dyDescent="0.25">
      <c r="H2499" s="37"/>
      <c r="I2499" s="79"/>
      <c r="J2499" s="70"/>
      <c r="K2499" s="57"/>
      <c r="L2499" s="11"/>
      <c r="M2499" s="41"/>
      <c r="N2499" s="11"/>
    </row>
    <row r="2500" spans="8:14" x14ac:dyDescent="0.25">
      <c r="H2500" s="37"/>
      <c r="I2500" s="79"/>
      <c r="J2500" s="70"/>
      <c r="K2500" s="57"/>
      <c r="L2500" s="11"/>
      <c r="M2500" s="41"/>
      <c r="N2500" s="11"/>
    </row>
    <row r="2501" spans="8:14" x14ac:dyDescent="0.25">
      <c r="H2501" s="37"/>
      <c r="I2501" s="79"/>
      <c r="J2501" s="70"/>
      <c r="K2501" s="57"/>
      <c r="L2501" s="11"/>
      <c r="M2501" s="41"/>
      <c r="N2501" s="11"/>
    </row>
    <row r="2502" spans="8:14" x14ac:dyDescent="0.25">
      <c r="H2502" s="37"/>
      <c r="I2502" s="79"/>
      <c r="J2502" s="70"/>
      <c r="K2502" s="57"/>
      <c r="L2502" s="11"/>
      <c r="M2502" s="41"/>
      <c r="N2502" s="11"/>
    </row>
    <row r="2503" spans="8:14" x14ac:dyDescent="0.25">
      <c r="H2503" s="37"/>
      <c r="I2503" s="79"/>
      <c r="J2503" s="70"/>
      <c r="K2503" s="57"/>
      <c r="L2503" s="11"/>
      <c r="M2503" s="41"/>
      <c r="N2503" s="11"/>
    </row>
    <row r="2504" spans="8:14" x14ac:dyDescent="0.25">
      <c r="H2504" s="37"/>
      <c r="I2504" s="79"/>
      <c r="J2504" s="70"/>
      <c r="K2504" s="57"/>
      <c r="L2504" s="11"/>
      <c r="M2504" s="41"/>
      <c r="N2504" s="11"/>
    </row>
    <row r="2505" spans="8:14" x14ac:dyDescent="0.25">
      <c r="H2505" s="37"/>
      <c r="I2505" s="79"/>
      <c r="J2505" s="70"/>
      <c r="K2505" s="57"/>
      <c r="L2505" s="11"/>
      <c r="M2505" s="41"/>
      <c r="N2505" s="11"/>
    </row>
    <row r="2506" spans="8:14" x14ac:dyDescent="0.25">
      <c r="H2506" s="37"/>
      <c r="I2506" s="79"/>
      <c r="J2506" s="70"/>
      <c r="K2506" s="57"/>
      <c r="L2506" s="11"/>
      <c r="M2506" s="41"/>
      <c r="N2506" s="11"/>
    </row>
    <row r="2507" spans="8:14" x14ac:dyDescent="0.25">
      <c r="H2507" s="37"/>
      <c r="I2507" s="79"/>
      <c r="J2507" s="70"/>
      <c r="K2507" s="57"/>
      <c r="L2507" s="11"/>
      <c r="M2507" s="41"/>
      <c r="N2507" s="11"/>
    </row>
    <row r="2508" spans="8:14" x14ac:dyDescent="0.25">
      <c r="H2508" s="37"/>
      <c r="I2508" s="79"/>
      <c r="J2508" s="70"/>
      <c r="K2508" s="57"/>
      <c r="L2508" s="11"/>
      <c r="M2508" s="41"/>
      <c r="N2508" s="11"/>
    </row>
    <row r="2509" spans="8:14" x14ac:dyDescent="0.25">
      <c r="H2509" s="37"/>
      <c r="I2509" s="79"/>
      <c r="J2509" s="70"/>
      <c r="K2509" s="57"/>
      <c r="L2509" s="11"/>
      <c r="M2509" s="41"/>
      <c r="N2509" s="11"/>
    </row>
    <row r="2510" spans="8:14" x14ac:dyDescent="0.25">
      <c r="H2510" s="37"/>
      <c r="I2510" s="79"/>
      <c r="J2510" s="70"/>
      <c r="K2510" s="57"/>
      <c r="L2510" s="11"/>
      <c r="M2510" s="41"/>
      <c r="N2510" s="11"/>
    </row>
    <row r="2511" spans="8:14" x14ac:dyDescent="0.25">
      <c r="H2511" s="37"/>
      <c r="I2511" s="79"/>
      <c r="J2511" s="70"/>
      <c r="K2511" s="57"/>
      <c r="L2511" s="11"/>
      <c r="M2511" s="41"/>
      <c r="N2511" s="11"/>
    </row>
    <row r="2512" spans="8:14" x14ac:dyDescent="0.25">
      <c r="H2512" s="37"/>
      <c r="I2512" s="79"/>
      <c r="J2512" s="70"/>
      <c r="K2512" s="57"/>
      <c r="L2512" s="11"/>
      <c r="M2512" s="41"/>
      <c r="N2512" s="11"/>
    </row>
    <row r="2513" spans="8:14" x14ac:dyDescent="0.25">
      <c r="H2513" s="37"/>
      <c r="I2513" s="79"/>
      <c r="J2513" s="70"/>
      <c r="K2513" s="57"/>
      <c r="L2513" s="11"/>
      <c r="M2513" s="41"/>
      <c r="N2513" s="11"/>
    </row>
    <row r="2514" spans="8:14" x14ac:dyDescent="0.25">
      <c r="H2514" s="37"/>
      <c r="I2514" s="79"/>
      <c r="J2514" s="70"/>
      <c r="K2514" s="57"/>
      <c r="L2514" s="11"/>
      <c r="M2514" s="41"/>
      <c r="N2514" s="11"/>
    </row>
    <row r="2515" spans="8:14" x14ac:dyDescent="0.25">
      <c r="H2515" s="37"/>
      <c r="I2515" s="79"/>
      <c r="J2515" s="70"/>
      <c r="K2515" s="57"/>
      <c r="L2515" s="11"/>
      <c r="M2515" s="41"/>
      <c r="N2515" s="11"/>
    </row>
    <row r="2516" spans="8:14" x14ac:dyDescent="0.25">
      <c r="H2516" s="37"/>
      <c r="I2516" s="79"/>
      <c r="J2516" s="70"/>
      <c r="K2516" s="57"/>
      <c r="L2516" s="11"/>
      <c r="M2516" s="41"/>
      <c r="N2516" s="11"/>
    </row>
    <row r="2517" spans="8:14" x14ac:dyDescent="0.25">
      <c r="H2517" s="37"/>
      <c r="I2517" s="79"/>
      <c r="J2517" s="70"/>
      <c r="K2517" s="57"/>
      <c r="L2517" s="11"/>
      <c r="M2517" s="41"/>
      <c r="N2517" s="11"/>
    </row>
    <row r="2518" spans="8:14" x14ac:dyDescent="0.25">
      <c r="H2518" s="37"/>
      <c r="I2518" s="79"/>
      <c r="J2518" s="70"/>
      <c r="K2518" s="57"/>
      <c r="L2518" s="11"/>
      <c r="M2518" s="41"/>
      <c r="N2518" s="11"/>
    </row>
    <row r="2519" spans="8:14" x14ac:dyDescent="0.25">
      <c r="H2519" s="37"/>
      <c r="I2519" s="79"/>
      <c r="J2519" s="70"/>
      <c r="K2519" s="57"/>
      <c r="L2519" s="11"/>
      <c r="M2519" s="41"/>
      <c r="N2519" s="11"/>
    </row>
    <row r="2520" spans="8:14" x14ac:dyDescent="0.25">
      <c r="H2520" s="37"/>
      <c r="I2520" s="79"/>
      <c r="J2520" s="70"/>
      <c r="K2520" s="57"/>
      <c r="L2520" s="11"/>
      <c r="M2520" s="41"/>
      <c r="N2520" s="11"/>
    </row>
    <row r="2521" spans="8:14" x14ac:dyDescent="0.25">
      <c r="H2521" s="37"/>
      <c r="I2521" s="79"/>
      <c r="J2521" s="70"/>
      <c r="K2521" s="57"/>
      <c r="L2521" s="11"/>
      <c r="M2521" s="41"/>
      <c r="N2521" s="11"/>
    </row>
    <row r="2522" spans="8:14" x14ac:dyDescent="0.25">
      <c r="H2522" s="37"/>
      <c r="I2522" s="79"/>
      <c r="J2522" s="70"/>
      <c r="K2522" s="57"/>
      <c r="L2522" s="11"/>
      <c r="M2522" s="41"/>
      <c r="N2522" s="11"/>
    </row>
    <row r="2523" spans="8:14" x14ac:dyDescent="0.25">
      <c r="H2523" s="37"/>
      <c r="I2523" s="79"/>
      <c r="J2523" s="70"/>
      <c r="K2523" s="57"/>
      <c r="L2523" s="11"/>
      <c r="M2523" s="41"/>
      <c r="N2523" s="11"/>
    </row>
    <row r="2524" spans="8:14" x14ac:dyDescent="0.25">
      <c r="H2524" s="37"/>
      <c r="I2524" s="79"/>
      <c r="J2524" s="70"/>
      <c r="K2524" s="57"/>
      <c r="L2524" s="11"/>
      <c r="M2524" s="41"/>
      <c r="N2524" s="11"/>
    </row>
    <row r="2525" spans="8:14" x14ac:dyDescent="0.25">
      <c r="H2525" s="37"/>
      <c r="I2525" s="79"/>
      <c r="J2525" s="70"/>
      <c r="K2525" s="57"/>
      <c r="L2525" s="11"/>
      <c r="M2525" s="41"/>
      <c r="N2525" s="11"/>
    </row>
    <row r="2526" spans="8:14" x14ac:dyDescent="0.25">
      <c r="H2526" s="37"/>
      <c r="I2526" s="79"/>
      <c r="J2526" s="70"/>
      <c r="K2526" s="57"/>
      <c r="L2526" s="11"/>
      <c r="M2526" s="41"/>
      <c r="N2526" s="11"/>
    </row>
    <row r="2527" spans="8:14" x14ac:dyDescent="0.25">
      <c r="H2527" s="37"/>
      <c r="I2527" s="79"/>
      <c r="J2527" s="70"/>
      <c r="K2527" s="57"/>
      <c r="L2527" s="11"/>
      <c r="M2527" s="41"/>
      <c r="N2527" s="11"/>
    </row>
    <row r="2528" spans="8:14" x14ac:dyDescent="0.25">
      <c r="H2528" s="37"/>
      <c r="I2528" s="79"/>
      <c r="J2528" s="70"/>
      <c r="K2528" s="57"/>
      <c r="L2528" s="11"/>
      <c r="M2528" s="41"/>
      <c r="N2528" s="11"/>
    </row>
    <row r="2529" spans="8:14" x14ac:dyDescent="0.25">
      <c r="H2529" s="37"/>
      <c r="I2529" s="79"/>
      <c r="J2529" s="70"/>
      <c r="K2529" s="57"/>
      <c r="L2529" s="11"/>
      <c r="M2529" s="41"/>
      <c r="N2529" s="11"/>
    </row>
    <row r="2530" spans="8:14" x14ac:dyDescent="0.25">
      <c r="H2530" s="37"/>
      <c r="I2530" s="79"/>
      <c r="J2530" s="70"/>
      <c r="K2530" s="57"/>
      <c r="L2530" s="11"/>
      <c r="M2530" s="41"/>
      <c r="N2530" s="11"/>
    </row>
    <row r="2531" spans="8:14" x14ac:dyDescent="0.25">
      <c r="H2531" s="37"/>
      <c r="I2531" s="79"/>
      <c r="J2531" s="70"/>
      <c r="K2531" s="57"/>
      <c r="L2531" s="11"/>
      <c r="M2531" s="41"/>
      <c r="N2531" s="11"/>
    </row>
    <row r="2532" spans="8:14" x14ac:dyDescent="0.25">
      <c r="H2532" s="37"/>
      <c r="I2532" s="79"/>
      <c r="J2532" s="70"/>
      <c r="K2532" s="57"/>
      <c r="L2532" s="11"/>
      <c r="M2532" s="41"/>
      <c r="N2532" s="11"/>
    </row>
    <row r="2533" spans="8:14" x14ac:dyDescent="0.25">
      <c r="H2533" s="37"/>
      <c r="I2533" s="79"/>
      <c r="J2533" s="70"/>
      <c r="K2533" s="57"/>
      <c r="L2533" s="11"/>
      <c r="M2533" s="41"/>
      <c r="N2533" s="11"/>
    </row>
    <row r="2534" spans="8:14" x14ac:dyDescent="0.25">
      <c r="H2534" s="37"/>
      <c r="I2534" s="79"/>
      <c r="J2534" s="70"/>
      <c r="K2534" s="57"/>
      <c r="L2534" s="11"/>
      <c r="M2534" s="41"/>
      <c r="N2534" s="11"/>
    </row>
    <row r="2535" spans="8:14" x14ac:dyDescent="0.25">
      <c r="H2535" s="37"/>
      <c r="I2535" s="79"/>
      <c r="J2535" s="70"/>
      <c r="K2535" s="57"/>
      <c r="L2535" s="11"/>
      <c r="M2535" s="41"/>
      <c r="N2535" s="11"/>
    </row>
    <row r="2536" spans="8:14" x14ac:dyDescent="0.25">
      <c r="H2536" s="37"/>
      <c r="I2536" s="79"/>
      <c r="J2536" s="70"/>
      <c r="K2536" s="57"/>
      <c r="L2536" s="11"/>
      <c r="M2536" s="41"/>
      <c r="N2536" s="11"/>
    </row>
    <row r="2537" spans="8:14" x14ac:dyDescent="0.25">
      <c r="H2537" s="37"/>
      <c r="I2537" s="79"/>
      <c r="J2537" s="70"/>
      <c r="K2537" s="57"/>
      <c r="L2537" s="11"/>
      <c r="M2537" s="41"/>
      <c r="N2537" s="11"/>
    </row>
    <row r="2538" spans="8:14" x14ac:dyDescent="0.25">
      <c r="H2538" s="37"/>
      <c r="I2538" s="79"/>
      <c r="J2538" s="70"/>
      <c r="K2538" s="57"/>
      <c r="L2538" s="11"/>
      <c r="M2538" s="41"/>
      <c r="N2538" s="11"/>
    </row>
    <row r="2539" spans="8:14" x14ac:dyDescent="0.25">
      <c r="H2539" s="37"/>
      <c r="I2539" s="79"/>
      <c r="J2539" s="70"/>
      <c r="K2539" s="57"/>
      <c r="L2539" s="11"/>
      <c r="M2539" s="41"/>
      <c r="N2539" s="11"/>
    </row>
    <row r="2540" spans="8:14" x14ac:dyDescent="0.25">
      <c r="H2540" s="37"/>
      <c r="I2540" s="79"/>
      <c r="J2540" s="70"/>
      <c r="K2540" s="57"/>
      <c r="L2540" s="11"/>
      <c r="M2540" s="41"/>
      <c r="N2540" s="11"/>
    </row>
    <row r="2541" spans="8:14" x14ac:dyDescent="0.25">
      <c r="H2541" s="37"/>
      <c r="I2541" s="79"/>
      <c r="J2541" s="70"/>
      <c r="K2541" s="57"/>
      <c r="L2541" s="11"/>
      <c r="M2541" s="41"/>
      <c r="N2541" s="11"/>
    </row>
    <row r="2542" spans="8:14" x14ac:dyDescent="0.25">
      <c r="H2542" s="37"/>
      <c r="I2542" s="79"/>
      <c r="J2542" s="70"/>
      <c r="K2542" s="57"/>
      <c r="L2542" s="11"/>
      <c r="M2542" s="41"/>
      <c r="N2542" s="11"/>
    </row>
    <row r="2543" spans="8:14" x14ac:dyDescent="0.25">
      <c r="H2543" s="37"/>
      <c r="I2543" s="79"/>
      <c r="J2543" s="70"/>
      <c r="K2543" s="57"/>
      <c r="L2543" s="11"/>
      <c r="M2543" s="41"/>
      <c r="N2543" s="11"/>
    </row>
    <row r="2544" spans="8:14" x14ac:dyDescent="0.25">
      <c r="H2544" s="37"/>
      <c r="I2544" s="79"/>
      <c r="J2544" s="70"/>
      <c r="K2544" s="57"/>
      <c r="L2544" s="11"/>
      <c r="M2544" s="41"/>
      <c r="N2544" s="11"/>
    </row>
    <row r="2545" spans="8:14" x14ac:dyDescent="0.25">
      <c r="H2545" s="37"/>
      <c r="I2545" s="79"/>
      <c r="J2545" s="70"/>
      <c r="K2545" s="57"/>
      <c r="L2545" s="11"/>
      <c r="M2545" s="41"/>
      <c r="N2545" s="11"/>
    </row>
    <row r="2546" spans="8:14" x14ac:dyDescent="0.25">
      <c r="H2546" s="37"/>
      <c r="I2546" s="79"/>
      <c r="J2546" s="70"/>
      <c r="K2546" s="57"/>
      <c r="L2546" s="11"/>
      <c r="M2546" s="41"/>
      <c r="N2546" s="11"/>
    </row>
    <row r="2547" spans="8:14" x14ac:dyDescent="0.25">
      <c r="H2547" s="37"/>
      <c r="I2547" s="79"/>
      <c r="J2547" s="70"/>
      <c r="K2547" s="57"/>
      <c r="L2547" s="11"/>
      <c r="M2547" s="41"/>
      <c r="N2547" s="11"/>
    </row>
    <row r="2548" spans="8:14" x14ac:dyDescent="0.25">
      <c r="H2548" s="37"/>
      <c r="I2548" s="79"/>
      <c r="J2548" s="70"/>
      <c r="K2548" s="57"/>
      <c r="L2548" s="11"/>
      <c r="M2548" s="41"/>
      <c r="N2548" s="11"/>
    </row>
    <row r="2549" spans="8:14" x14ac:dyDescent="0.25">
      <c r="H2549" s="37"/>
      <c r="I2549" s="79"/>
      <c r="J2549" s="70"/>
      <c r="K2549" s="57"/>
      <c r="L2549" s="11"/>
      <c r="M2549" s="41"/>
      <c r="N2549" s="11"/>
    </row>
    <row r="2550" spans="8:14" x14ac:dyDescent="0.25">
      <c r="H2550" s="37"/>
      <c r="I2550" s="79"/>
      <c r="J2550" s="70"/>
      <c r="K2550" s="57"/>
      <c r="L2550" s="11"/>
      <c r="M2550" s="41"/>
      <c r="N2550" s="11"/>
    </row>
    <row r="2551" spans="8:14" x14ac:dyDescent="0.25">
      <c r="H2551" s="37"/>
      <c r="I2551" s="79"/>
      <c r="J2551" s="70"/>
      <c r="K2551" s="57"/>
      <c r="L2551" s="11"/>
      <c r="M2551" s="41"/>
      <c r="N2551" s="11"/>
    </row>
    <row r="2552" spans="8:14" x14ac:dyDescent="0.25">
      <c r="H2552" s="37"/>
      <c r="I2552" s="79"/>
      <c r="J2552" s="70"/>
      <c r="K2552" s="57"/>
      <c r="L2552" s="11"/>
      <c r="M2552" s="41"/>
      <c r="N2552" s="11"/>
    </row>
    <row r="2553" spans="8:14" x14ac:dyDescent="0.25">
      <c r="H2553" s="37"/>
      <c r="I2553" s="79"/>
      <c r="J2553" s="70"/>
      <c r="K2553" s="57"/>
      <c r="L2553" s="11"/>
      <c r="M2553" s="41"/>
      <c r="N2553" s="11"/>
    </row>
    <row r="2554" spans="8:14" x14ac:dyDescent="0.25">
      <c r="H2554" s="37"/>
      <c r="I2554" s="79"/>
      <c r="J2554" s="70"/>
      <c r="K2554" s="57"/>
      <c r="L2554" s="11"/>
      <c r="M2554" s="41"/>
      <c r="N2554" s="11"/>
    </row>
    <row r="2555" spans="8:14" x14ac:dyDescent="0.25">
      <c r="H2555" s="37"/>
      <c r="I2555" s="79"/>
      <c r="J2555" s="70"/>
      <c r="K2555" s="57"/>
      <c r="L2555" s="11"/>
      <c r="M2555" s="41"/>
      <c r="N2555" s="11"/>
    </row>
    <row r="2556" spans="8:14" x14ac:dyDescent="0.25">
      <c r="H2556" s="37"/>
      <c r="I2556" s="79"/>
      <c r="J2556" s="70"/>
      <c r="K2556" s="57"/>
      <c r="L2556" s="11"/>
      <c r="M2556" s="41"/>
      <c r="N2556" s="11"/>
    </row>
    <row r="2557" spans="8:14" x14ac:dyDescent="0.25">
      <c r="H2557" s="37"/>
      <c r="I2557" s="79"/>
      <c r="J2557" s="70"/>
      <c r="K2557" s="57"/>
      <c r="L2557" s="11"/>
      <c r="M2557" s="41"/>
      <c r="N2557" s="11"/>
    </row>
    <row r="2558" spans="8:14" x14ac:dyDescent="0.25">
      <c r="H2558" s="37"/>
      <c r="I2558" s="79"/>
      <c r="J2558" s="70"/>
      <c r="K2558" s="57"/>
      <c r="L2558" s="11"/>
      <c r="M2558" s="41"/>
      <c r="N2558" s="11"/>
    </row>
    <row r="2559" spans="8:14" x14ac:dyDescent="0.25">
      <c r="H2559" s="37"/>
      <c r="I2559" s="79"/>
      <c r="J2559" s="70"/>
      <c r="K2559" s="57"/>
      <c r="L2559" s="11"/>
      <c r="M2559" s="41"/>
      <c r="N2559" s="11"/>
    </row>
    <row r="2560" spans="8:14" x14ac:dyDescent="0.25">
      <c r="H2560" s="37"/>
      <c r="I2560" s="79"/>
      <c r="J2560" s="70"/>
      <c r="K2560" s="57"/>
      <c r="L2560" s="11"/>
      <c r="M2560" s="41"/>
      <c r="N2560" s="11"/>
    </row>
    <row r="2561" spans="8:14" x14ac:dyDescent="0.25">
      <c r="H2561" s="37"/>
      <c r="I2561" s="79"/>
      <c r="J2561" s="70"/>
      <c r="K2561" s="57"/>
      <c r="L2561" s="11"/>
      <c r="M2561" s="41"/>
      <c r="N2561" s="11"/>
    </row>
    <row r="2562" spans="8:14" x14ac:dyDescent="0.25">
      <c r="H2562" s="37"/>
      <c r="I2562" s="79"/>
      <c r="J2562" s="70"/>
      <c r="K2562" s="57"/>
      <c r="L2562" s="11"/>
      <c r="M2562" s="41"/>
      <c r="N2562" s="11"/>
    </row>
    <row r="2563" spans="8:14" x14ac:dyDescent="0.25">
      <c r="H2563" s="37"/>
      <c r="I2563" s="79"/>
      <c r="J2563" s="70"/>
      <c r="K2563" s="57"/>
      <c r="L2563" s="11"/>
      <c r="M2563" s="41"/>
      <c r="N2563" s="11"/>
    </row>
    <row r="2564" spans="8:14" x14ac:dyDescent="0.25">
      <c r="H2564" s="37"/>
      <c r="I2564" s="79"/>
      <c r="J2564" s="70"/>
      <c r="K2564" s="57"/>
      <c r="L2564" s="11"/>
      <c r="M2564" s="41"/>
      <c r="N2564" s="11"/>
    </row>
    <row r="2565" spans="8:14" x14ac:dyDescent="0.25">
      <c r="H2565" s="37"/>
      <c r="I2565" s="79"/>
      <c r="J2565" s="70"/>
      <c r="K2565" s="57"/>
      <c r="L2565" s="11"/>
      <c r="M2565" s="41"/>
      <c r="N2565" s="11"/>
    </row>
    <row r="2566" spans="8:14" x14ac:dyDescent="0.25">
      <c r="H2566" s="37"/>
      <c r="I2566" s="79"/>
      <c r="J2566" s="70"/>
      <c r="K2566" s="57"/>
      <c r="L2566" s="11"/>
      <c r="M2566" s="41"/>
      <c r="N2566" s="11"/>
    </row>
    <row r="2567" spans="8:14" x14ac:dyDescent="0.25">
      <c r="H2567" s="37"/>
      <c r="I2567" s="79"/>
      <c r="J2567" s="70"/>
      <c r="K2567" s="57"/>
      <c r="L2567" s="11"/>
      <c r="M2567" s="41"/>
      <c r="N2567" s="11"/>
    </row>
    <row r="2568" spans="8:14" x14ac:dyDescent="0.25">
      <c r="H2568" s="37"/>
      <c r="I2568" s="79"/>
      <c r="J2568" s="70"/>
      <c r="K2568" s="57"/>
      <c r="L2568" s="11"/>
      <c r="M2568" s="41"/>
      <c r="N2568" s="11"/>
    </row>
    <row r="2569" spans="8:14" x14ac:dyDescent="0.25">
      <c r="H2569" s="37"/>
      <c r="I2569" s="79"/>
      <c r="J2569" s="70"/>
      <c r="K2569" s="57"/>
      <c r="L2569" s="11"/>
      <c r="M2569" s="41"/>
      <c r="N2569" s="11"/>
    </row>
    <row r="2570" spans="8:14" x14ac:dyDescent="0.25">
      <c r="H2570" s="37"/>
      <c r="I2570" s="79"/>
      <c r="J2570" s="70"/>
      <c r="K2570" s="57"/>
      <c r="L2570" s="11"/>
      <c r="M2570" s="41"/>
      <c r="N2570" s="11"/>
    </row>
    <row r="2571" spans="8:14" x14ac:dyDescent="0.25">
      <c r="H2571" s="37"/>
      <c r="I2571" s="79"/>
      <c r="J2571" s="70"/>
      <c r="K2571" s="57"/>
      <c r="L2571" s="11"/>
      <c r="M2571" s="41"/>
      <c r="N2571" s="11"/>
    </row>
    <row r="2572" spans="8:14" x14ac:dyDescent="0.25">
      <c r="H2572" s="37"/>
      <c r="I2572" s="79"/>
      <c r="J2572" s="70"/>
      <c r="K2572" s="57"/>
      <c r="L2572" s="11"/>
      <c r="M2572" s="41"/>
      <c r="N2572" s="11"/>
    </row>
    <row r="2573" spans="8:14" x14ac:dyDescent="0.25">
      <c r="H2573" s="37"/>
      <c r="I2573" s="79"/>
      <c r="J2573" s="70"/>
      <c r="K2573" s="57"/>
      <c r="L2573" s="11"/>
      <c r="M2573" s="41"/>
      <c r="N2573" s="11"/>
    </row>
    <row r="2574" spans="8:14" x14ac:dyDescent="0.25">
      <c r="H2574" s="37"/>
      <c r="I2574" s="79"/>
      <c r="J2574" s="70"/>
      <c r="K2574" s="57"/>
      <c r="L2574" s="11"/>
      <c r="M2574" s="41"/>
      <c r="N2574" s="11"/>
    </row>
    <row r="2575" spans="8:14" x14ac:dyDescent="0.25">
      <c r="H2575" s="37"/>
      <c r="I2575" s="79"/>
      <c r="J2575" s="70"/>
      <c r="K2575" s="57"/>
      <c r="L2575" s="11"/>
      <c r="M2575" s="41"/>
      <c r="N2575" s="11"/>
    </row>
    <row r="2576" spans="8:14" x14ac:dyDescent="0.25">
      <c r="H2576" s="37"/>
      <c r="I2576" s="79"/>
      <c r="J2576" s="70"/>
      <c r="K2576" s="57"/>
      <c r="L2576" s="11"/>
      <c r="M2576" s="41"/>
      <c r="N2576" s="11"/>
    </row>
    <row r="2577" spans="8:14" x14ac:dyDescent="0.25">
      <c r="H2577" s="37"/>
      <c r="I2577" s="79"/>
      <c r="J2577" s="70"/>
      <c r="K2577" s="57"/>
      <c r="L2577" s="11"/>
      <c r="M2577" s="41"/>
      <c r="N2577" s="11"/>
    </row>
    <row r="2578" spans="8:14" x14ac:dyDescent="0.25">
      <c r="H2578" s="37"/>
      <c r="I2578" s="79"/>
      <c r="J2578" s="70"/>
      <c r="K2578" s="57"/>
      <c r="L2578" s="11"/>
      <c r="M2578" s="41"/>
      <c r="N2578" s="11"/>
    </row>
    <row r="2579" spans="8:14" x14ac:dyDescent="0.25">
      <c r="H2579" s="37"/>
      <c r="I2579" s="79"/>
      <c r="J2579" s="70"/>
      <c r="K2579" s="57"/>
      <c r="L2579" s="11"/>
      <c r="M2579" s="41"/>
      <c r="N2579" s="11"/>
    </row>
    <row r="2580" spans="8:14" x14ac:dyDescent="0.25">
      <c r="H2580" s="37"/>
      <c r="I2580" s="79"/>
      <c r="J2580" s="70"/>
      <c r="K2580" s="57"/>
      <c r="L2580" s="11"/>
      <c r="M2580" s="41"/>
      <c r="N2580" s="11"/>
    </row>
    <row r="2581" spans="8:14" x14ac:dyDescent="0.25">
      <c r="H2581" s="37"/>
      <c r="I2581" s="79"/>
      <c r="J2581" s="70"/>
      <c r="K2581" s="57"/>
      <c r="L2581" s="11"/>
      <c r="M2581" s="41"/>
      <c r="N2581" s="11"/>
    </row>
    <row r="2582" spans="8:14" x14ac:dyDescent="0.25">
      <c r="H2582" s="37"/>
      <c r="I2582" s="79"/>
      <c r="J2582" s="70"/>
      <c r="K2582" s="57"/>
      <c r="L2582" s="11"/>
      <c r="M2582" s="41"/>
      <c r="N2582" s="11"/>
    </row>
    <row r="2583" spans="8:14" x14ac:dyDescent="0.25">
      <c r="H2583" s="37"/>
      <c r="I2583" s="79"/>
      <c r="J2583" s="70"/>
      <c r="K2583" s="57"/>
      <c r="L2583" s="11"/>
      <c r="M2583" s="41"/>
      <c r="N2583" s="11"/>
    </row>
    <row r="2584" spans="8:14" x14ac:dyDescent="0.25">
      <c r="H2584" s="37"/>
      <c r="I2584" s="79"/>
      <c r="J2584" s="70"/>
      <c r="K2584" s="57"/>
      <c r="L2584" s="11"/>
      <c r="M2584" s="41"/>
      <c r="N2584" s="11"/>
    </row>
    <row r="2585" spans="8:14" x14ac:dyDescent="0.25">
      <c r="H2585" s="37"/>
      <c r="I2585" s="79"/>
      <c r="J2585" s="70"/>
      <c r="K2585" s="57"/>
      <c r="L2585" s="11"/>
      <c r="M2585" s="41"/>
      <c r="N2585" s="11"/>
    </row>
    <row r="2586" spans="8:14" x14ac:dyDescent="0.25">
      <c r="H2586" s="37"/>
      <c r="I2586" s="79"/>
      <c r="J2586" s="70"/>
      <c r="K2586" s="57"/>
      <c r="L2586" s="11"/>
      <c r="M2586" s="41"/>
      <c r="N2586" s="11"/>
    </row>
    <row r="2587" spans="8:14" x14ac:dyDescent="0.25">
      <c r="H2587" s="37"/>
      <c r="I2587" s="79"/>
      <c r="J2587" s="70"/>
      <c r="K2587" s="57"/>
      <c r="L2587" s="11"/>
      <c r="M2587" s="41"/>
      <c r="N2587" s="11"/>
    </row>
    <row r="2588" spans="8:14" x14ac:dyDescent="0.25">
      <c r="H2588" s="37"/>
      <c r="I2588" s="79"/>
      <c r="J2588" s="70"/>
      <c r="K2588" s="57"/>
      <c r="L2588" s="11"/>
      <c r="M2588" s="41"/>
      <c r="N2588" s="11"/>
    </row>
    <row r="2589" spans="8:14" x14ac:dyDescent="0.25">
      <c r="H2589" s="37"/>
      <c r="I2589" s="79"/>
      <c r="J2589" s="70"/>
      <c r="K2589" s="57"/>
      <c r="L2589" s="11"/>
      <c r="M2589" s="41"/>
      <c r="N2589" s="11"/>
    </row>
    <row r="2590" spans="8:14" x14ac:dyDescent="0.25">
      <c r="H2590" s="37"/>
      <c r="I2590" s="79"/>
      <c r="J2590" s="70"/>
      <c r="K2590" s="57"/>
      <c r="L2590" s="11"/>
      <c r="M2590" s="41"/>
      <c r="N2590" s="11"/>
    </row>
    <row r="2591" spans="8:14" x14ac:dyDescent="0.25">
      <c r="H2591" s="37"/>
      <c r="I2591" s="79"/>
      <c r="J2591" s="70"/>
      <c r="K2591" s="57"/>
      <c r="L2591" s="11"/>
      <c r="M2591" s="41"/>
      <c r="N2591" s="11"/>
    </row>
    <row r="2592" spans="8:14" x14ac:dyDescent="0.25">
      <c r="H2592" s="37"/>
      <c r="I2592" s="79"/>
      <c r="J2592" s="70"/>
      <c r="K2592" s="57"/>
      <c r="L2592" s="11"/>
      <c r="M2592" s="41"/>
      <c r="N2592" s="11"/>
    </row>
    <row r="2593" spans="8:14" x14ac:dyDescent="0.25">
      <c r="H2593" s="37"/>
      <c r="I2593" s="79"/>
      <c r="J2593" s="70"/>
      <c r="K2593" s="57"/>
      <c r="L2593" s="11"/>
      <c r="M2593" s="41"/>
      <c r="N2593" s="11"/>
    </row>
    <row r="2594" spans="8:14" x14ac:dyDescent="0.25">
      <c r="H2594" s="37"/>
      <c r="I2594" s="79"/>
      <c r="J2594" s="70"/>
      <c r="K2594" s="57"/>
      <c r="L2594" s="11"/>
      <c r="M2594" s="41"/>
      <c r="N2594" s="11"/>
    </row>
    <row r="2595" spans="8:14" x14ac:dyDescent="0.25">
      <c r="H2595" s="37"/>
      <c r="I2595" s="79"/>
      <c r="J2595" s="70"/>
      <c r="K2595" s="57"/>
      <c r="L2595" s="11"/>
      <c r="M2595" s="41"/>
      <c r="N2595" s="11"/>
    </row>
    <row r="2596" spans="8:14" x14ac:dyDescent="0.25">
      <c r="H2596" s="37"/>
      <c r="I2596" s="79"/>
      <c r="J2596" s="70"/>
      <c r="K2596" s="57"/>
      <c r="L2596" s="11"/>
      <c r="M2596" s="41"/>
      <c r="N2596" s="11"/>
    </row>
    <row r="2597" spans="8:14" x14ac:dyDescent="0.25">
      <c r="H2597" s="37"/>
      <c r="I2597" s="79"/>
      <c r="J2597" s="70"/>
      <c r="K2597" s="57"/>
      <c r="L2597" s="11"/>
      <c r="M2597" s="41"/>
      <c r="N2597" s="11"/>
    </row>
    <row r="2598" spans="8:14" x14ac:dyDescent="0.25">
      <c r="H2598" s="37"/>
      <c r="I2598" s="79"/>
      <c r="J2598" s="70"/>
      <c r="K2598" s="57"/>
      <c r="L2598" s="11"/>
      <c r="M2598" s="41"/>
      <c r="N2598" s="11"/>
    </row>
    <row r="2599" spans="8:14" x14ac:dyDescent="0.25">
      <c r="H2599" s="37"/>
      <c r="I2599" s="79"/>
      <c r="J2599" s="70"/>
      <c r="K2599" s="57"/>
      <c r="L2599" s="11"/>
      <c r="M2599" s="41"/>
      <c r="N2599" s="11"/>
    </row>
    <row r="2600" spans="8:14" x14ac:dyDescent="0.25">
      <c r="H2600" s="37"/>
      <c r="I2600" s="79"/>
      <c r="J2600" s="70"/>
      <c r="K2600" s="57"/>
      <c r="L2600" s="11"/>
      <c r="M2600" s="41"/>
      <c r="N2600" s="11"/>
    </row>
    <row r="2601" spans="8:14" x14ac:dyDescent="0.25">
      <c r="H2601" s="37"/>
      <c r="I2601" s="79"/>
      <c r="J2601" s="70"/>
      <c r="K2601" s="57"/>
      <c r="L2601" s="11"/>
      <c r="M2601" s="41"/>
      <c r="N2601" s="11"/>
    </row>
    <row r="2602" spans="8:14" x14ac:dyDescent="0.25">
      <c r="H2602" s="37"/>
      <c r="I2602" s="79"/>
      <c r="J2602" s="70"/>
      <c r="K2602" s="57"/>
      <c r="L2602" s="11"/>
      <c r="M2602" s="41"/>
      <c r="N2602" s="11"/>
    </row>
    <row r="2603" spans="8:14" x14ac:dyDescent="0.25">
      <c r="H2603" s="37"/>
      <c r="I2603" s="79"/>
      <c r="J2603" s="70"/>
      <c r="K2603" s="57"/>
      <c r="L2603" s="11"/>
      <c r="M2603" s="41"/>
      <c r="N2603" s="11"/>
    </row>
    <row r="2604" spans="8:14" x14ac:dyDescent="0.25">
      <c r="H2604" s="37"/>
      <c r="I2604" s="79"/>
      <c r="J2604" s="70"/>
      <c r="K2604" s="57"/>
      <c r="L2604" s="11"/>
      <c r="M2604" s="41"/>
      <c r="N2604" s="11"/>
    </row>
    <row r="2605" spans="8:14" x14ac:dyDescent="0.25">
      <c r="H2605" s="37"/>
      <c r="I2605" s="79"/>
      <c r="J2605" s="70"/>
      <c r="K2605" s="57"/>
      <c r="L2605" s="11"/>
      <c r="M2605" s="41"/>
      <c r="N2605" s="11"/>
    </row>
    <row r="2606" spans="8:14" x14ac:dyDescent="0.25">
      <c r="H2606" s="37"/>
      <c r="I2606" s="79"/>
      <c r="J2606" s="70"/>
      <c r="K2606" s="57"/>
      <c r="L2606" s="11"/>
      <c r="M2606" s="41"/>
      <c r="N2606" s="11"/>
    </row>
    <row r="2607" spans="8:14" x14ac:dyDescent="0.25">
      <c r="H2607" s="37"/>
      <c r="I2607" s="79"/>
      <c r="J2607" s="70"/>
      <c r="K2607" s="57"/>
      <c r="L2607" s="11"/>
      <c r="M2607" s="41"/>
      <c r="N2607" s="11"/>
    </row>
    <row r="2608" spans="8:14" x14ac:dyDescent="0.25">
      <c r="H2608" s="37"/>
      <c r="I2608" s="79"/>
      <c r="J2608" s="70"/>
      <c r="K2608" s="57"/>
      <c r="L2608" s="11"/>
      <c r="M2608" s="41"/>
      <c r="N2608" s="11"/>
    </row>
    <row r="2609" spans="8:14" x14ac:dyDescent="0.25">
      <c r="H2609" s="37"/>
      <c r="I2609" s="79"/>
      <c r="J2609" s="70"/>
      <c r="K2609" s="57"/>
      <c r="L2609" s="11"/>
      <c r="M2609" s="41"/>
      <c r="N2609" s="11"/>
    </row>
    <row r="2610" spans="8:14" x14ac:dyDescent="0.25">
      <c r="H2610" s="37"/>
      <c r="I2610" s="79"/>
      <c r="J2610" s="70"/>
      <c r="K2610" s="57"/>
      <c r="L2610" s="11"/>
      <c r="M2610" s="41"/>
      <c r="N2610" s="11"/>
    </row>
    <row r="2611" spans="8:14" x14ac:dyDescent="0.25">
      <c r="H2611" s="37"/>
      <c r="I2611" s="79"/>
      <c r="J2611" s="70"/>
      <c r="K2611" s="57"/>
      <c r="L2611" s="11"/>
      <c r="M2611" s="41"/>
      <c r="N2611" s="11"/>
    </row>
    <row r="2612" spans="8:14" x14ac:dyDescent="0.25">
      <c r="H2612" s="37"/>
      <c r="I2612" s="79"/>
      <c r="J2612" s="70"/>
      <c r="K2612" s="57"/>
      <c r="L2612" s="11"/>
      <c r="M2612" s="41"/>
      <c r="N2612" s="11"/>
    </row>
    <row r="2613" spans="8:14" x14ac:dyDescent="0.25">
      <c r="H2613" s="37"/>
      <c r="I2613" s="79"/>
      <c r="J2613" s="70"/>
      <c r="K2613" s="57"/>
      <c r="L2613" s="11"/>
      <c r="M2613" s="41"/>
      <c r="N2613" s="11"/>
    </row>
    <row r="2614" spans="8:14" x14ac:dyDescent="0.25">
      <c r="H2614" s="37"/>
      <c r="I2614" s="79"/>
      <c r="J2614" s="70"/>
      <c r="K2614" s="57"/>
      <c r="L2614" s="11"/>
      <c r="M2614" s="41"/>
      <c r="N2614" s="11"/>
    </row>
    <row r="2615" spans="8:14" x14ac:dyDescent="0.25">
      <c r="H2615" s="37"/>
      <c r="I2615" s="79"/>
      <c r="J2615" s="70"/>
      <c r="K2615" s="57"/>
      <c r="L2615" s="11"/>
      <c r="M2615" s="41"/>
      <c r="N2615" s="11"/>
    </row>
    <row r="2616" spans="8:14" x14ac:dyDescent="0.25">
      <c r="H2616" s="37"/>
      <c r="I2616" s="79"/>
      <c r="J2616" s="70"/>
      <c r="K2616" s="57"/>
      <c r="L2616" s="11"/>
      <c r="M2616" s="41"/>
      <c r="N2616" s="11"/>
    </row>
    <row r="2617" spans="8:14" x14ac:dyDescent="0.25">
      <c r="H2617" s="37"/>
      <c r="I2617" s="79"/>
      <c r="J2617" s="70"/>
      <c r="K2617" s="57"/>
      <c r="L2617" s="11"/>
      <c r="M2617" s="41"/>
      <c r="N2617" s="11"/>
    </row>
    <row r="2618" spans="8:14" x14ac:dyDescent="0.25">
      <c r="H2618" s="37"/>
      <c r="I2618" s="79"/>
      <c r="J2618" s="70"/>
      <c r="K2618" s="57"/>
      <c r="L2618" s="11"/>
      <c r="M2618" s="41"/>
      <c r="N2618" s="11"/>
    </row>
    <row r="2619" spans="8:14" x14ac:dyDescent="0.25">
      <c r="H2619" s="37"/>
      <c r="I2619" s="79"/>
      <c r="J2619" s="70"/>
      <c r="K2619" s="57"/>
      <c r="L2619" s="11"/>
      <c r="M2619" s="41"/>
      <c r="N2619" s="11"/>
    </row>
    <row r="2620" spans="8:14" x14ac:dyDescent="0.25">
      <c r="H2620" s="37"/>
      <c r="I2620" s="79"/>
      <c r="J2620" s="70"/>
      <c r="K2620" s="57"/>
      <c r="L2620" s="11"/>
      <c r="M2620" s="41"/>
      <c r="N2620" s="11"/>
    </row>
    <row r="2621" spans="8:14" x14ac:dyDescent="0.25">
      <c r="H2621" s="37"/>
      <c r="I2621" s="79"/>
      <c r="J2621" s="70"/>
      <c r="K2621" s="57"/>
      <c r="L2621" s="11"/>
      <c r="M2621" s="41"/>
      <c r="N2621" s="11"/>
    </row>
    <row r="2622" spans="8:14" x14ac:dyDescent="0.25">
      <c r="H2622" s="37"/>
      <c r="I2622" s="79"/>
      <c r="J2622" s="70"/>
      <c r="K2622" s="57"/>
      <c r="L2622" s="11"/>
      <c r="M2622" s="41"/>
      <c r="N2622" s="11"/>
    </row>
    <row r="2623" spans="8:14" x14ac:dyDescent="0.25">
      <c r="H2623" s="37"/>
      <c r="I2623" s="79"/>
      <c r="J2623" s="70"/>
      <c r="K2623" s="57"/>
      <c r="L2623" s="11"/>
      <c r="M2623" s="41"/>
      <c r="N2623" s="11"/>
    </row>
    <row r="2624" spans="8:14" x14ac:dyDescent="0.25">
      <c r="H2624" s="37"/>
      <c r="I2624" s="79"/>
      <c r="J2624" s="70"/>
      <c r="K2624" s="57"/>
      <c r="L2624" s="11"/>
      <c r="M2624" s="41"/>
      <c r="N2624" s="11"/>
    </row>
    <row r="2625" spans="8:14" x14ac:dyDescent="0.25">
      <c r="H2625" s="37"/>
      <c r="I2625" s="79"/>
      <c r="J2625" s="70"/>
      <c r="K2625" s="57"/>
      <c r="L2625" s="11"/>
      <c r="M2625" s="41"/>
      <c r="N2625" s="11"/>
    </row>
    <row r="2626" spans="8:14" x14ac:dyDescent="0.25">
      <c r="H2626" s="37"/>
      <c r="I2626" s="79"/>
      <c r="J2626" s="70"/>
      <c r="K2626" s="57"/>
      <c r="L2626" s="11"/>
      <c r="M2626" s="41"/>
      <c r="N2626" s="11"/>
    </row>
    <row r="2627" spans="8:14" x14ac:dyDescent="0.25">
      <c r="H2627" s="37"/>
      <c r="I2627" s="79"/>
      <c r="J2627" s="70"/>
      <c r="K2627" s="57"/>
      <c r="L2627" s="11"/>
      <c r="M2627" s="41"/>
      <c r="N2627" s="11"/>
    </row>
    <row r="2628" spans="8:14" x14ac:dyDescent="0.25">
      <c r="H2628" s="37"/>
      <c r="I2628" s="79"/>
      <c r="J2628" s="70"/>
      <c r="K2628" s="57"/>
      <c r="L2628" s="11"/>
      <c r="M2628" s="41"/>
      <c r="N2628" s="11"/>
    </row>
    <row r="2629" spans="8:14" x14ac:dyDescent="0.25">
      <c r="H2629" s="37"/>
      <c r="I2629" s="79"/>
      <c r="J2629" s="70"/>
      <c r="K2629" s="57"/>
      <c r="L2629" s="11"/>
      <c r="M2629" s="41"/>
      <c r="N2629" s="11"/>
    </row>
    <row r="2630" spans="8:14" x14ac:dyDescent="0.25">
      <c r="H2630" s="37"/>
      <c r="I2630" s="79"/>
      <c r="J2630" s="70"/>
      <c r="K2630" s="57"/>
      <c r="L2630" s="11"/>
      <c r="M2630" s="41"/>
      <c r="N2630" s="11"/>
    </row>
    <row r="2631" spans="8:14" x14ac:dyDescent="0.25">
      <c r="H2631" s="37"/>
      <c r="I2631" s="79"/>
      <c r="J2631" s="70"/>
      <c r="K2631" s="57"/>
      <c r="L2631" s="11"/>
      <c r="M2631" s="41"/>
      <c r="N2631" s="11"/>
    </row>
    <row r="2632" spans="8:14" x14ac:dyDescent="0.25">
      <c r="H2632" s="37"/>
      <c r="I2632" s="79"/>
      <c r="J2632" s="70"/>
      <c r="K2632" s="57"/>
      <c r="L2632" s="11"/>
      <c r="M2632" s="41"/>
      <c r="N2632" s="11"/>
    </row>
    <row r="2633" spans="8:14" x14ac:dyDescent="0.25">
      <c r="H2633" s="37"/>
      <c r="I2633" s="79"/>
      <c r="J2633" s="70"/>
      <c r="K2633" s="57"/>
      <c r="L2633" s="11"/>
      <c r="M2633" s="41"/>
      <c r="N2633" s="11"/>
    </row>
    <row r="2634" spans="8:14" x14ac:dyDescent="0.25">
      <c r="H2634" s="37"/>
      <c r="I2634" s="79"/>
      <c r="J2634" s="70"/>
      <c r="K2634" s="57"/>
      <c r="L2634" s="11"/>
      <c r="M2634" s="41"/>
      <c r="N2634" s="11"/>
    </row>
    <row r="2635" spans="8:14" x14ac:dyDescent="0.25">
      <c r="H2635" s="37"/>
      <c r="I2635" s="79"/>
      <c r="J2635" s="70"/>
      <c r="K2635" s="57"/>
      <c r="L2635" s="11"/>
      <c r="M2635" s="41"/>
      <c r="N2635" s="11"/>
    </row>
    <row r="2636" spans="8:14" x14ac:dyDescent="0.25">
      <c r="H2636" s="37"/>
      <c r="I2636" s="79"/>
      <c r="J2636" s="70"/>
      <c r="K2636" s="57"/>
      <c r="L2636" s="11"/>
      <c r="M2636" s="41"/>
      <c r="N2636" s="11"/>
    </row>
    <row r="2637" spans="8:14" x14ac:dyDescent="0.25">
      <c r="H2637" s="37"/>
      <c r="I2637" s="79"/>
      <c r="J2637" s="70"/>
      <c r="K2637" s="57"/>
      <c r="L2637" s="11"/>
      <c r="M2637" s="41"/>
      <c r="N2637" s="11"/>
    </row>
    <row r="2638" spans="8:14" x14ac:dyDescent="0.25">
      <c r="H2638" s="37"/>
      <c r="I2638" s="79"/>
      <c r="J2638" s="70"/>
      <c r="K2638" s="57"/>
      <c r="L2638" s="11"/>
      <c r="M2638" s="41"/>
      <c r="N2638" s="11"/>
    </row>
    <row r="2639" spans="8:14" x14ac:dyDescent="0.25">
      <c r="H2639" s="37"/>
      <c r="I2639" s="79"/>
      <c r="J2639" s="70"/>
      <c r="K2639" s="57"/>
      <c r="L2639" s="11"/>
      <c r="M2639" s="41"/>
      <c r="N2639" s="11"/>
    </row>
    <row r="2640" spans="8:14" x14ac:dyDescent="0.25">
      <c r="H2640" s="37"/>
      <c r="I2640" s="79"/>
      <c r="J2640" s="70"/>
      <c r="K2640" s="57"/>
      <c r="L2640" s="11"/>
      <c r="M2640" s="41"/>
      <c r="N2640" s="11"/>
    </row>
    <row r="2641" spans="8:14" x14ac:dyDescent="0.25">
      <c r="H2641" s="37"/>
      <c r="I2641" s="79"/>
      <c r="J2641" s="70"/>
      <c r="K2641" s="57"/>
      <c r="L2641" s="11"/>
      <c r="M2641" s="41"/>
      <c r="N2641" s="11"/>
    </row>
    <row r="2642" spans="8:14" x14ac:dyDescent="0.25">
      <c r="H2642" s="37"/>
      <c r="I2642" s="79"/>
      <c r="J2642" s="70"/>
      <c r="K2642" s="57"/>
      <c r="L2642" s="11"/>
      <c r="M2642" s="41"/>
      <c r="N2642" s="11"/>
    </row>
    <row r="2643" spans="8:14" x14ac:dyDescent="0.25">
      <c r="H2643" s="37"/>
      <c r="I2643" s="79"/>
      <c r="J2643" s="70"/>
      <c r="K2643" s="57"/>
      <c r="L2643" s="11"/>
      <c r="M2643" s="41"/>
      <c r="N2643" s="11"/>
    </row>
    <row r="2644" spans="8:14" x14ac:dyDescent="0.25">
      <c r="H2644" s="37"/>
      <c r="I2644" s="79"/>
      <c r="J2644" s="70"/>
      <c r="K2644" s="57"/>
      <c r="L2644" s="11"/>
      <c r="M2644" s="41"/>
      <c r="N2644" s="11"/>
    </row>
    <row r="2645" spans="8:14" x14ac:dyDescent="0.25">
      <c r="H2645" s="37"/>
      <c r="I2645" s="79"/>
      <c r="J2645" s="70"/>
      <c r="K2645" s="57"/>
      <c r="L2645" s="11"/>
      <c r="M2645" s="41"/>
      <c r="N2645" s="11"/>
    </row>
    <row r="2646" spans="8:14" x14ac:dyDescent="0.25">
      <c r="H2646" s="37"/>
      <c r="I2646" s="79"/>
      <c r="J2646" s="70"/>
      <c r="K2646" s="57"/>
      <c r="L2646" s="11"/>
      <c r="M2646" s="41"/>
      <c r="N2646" s="11"/>
    </row>
    <row r="2647" spans="8:14" x14ac:dyDescent="0.25">
      <c r="H2647" s="37"/>
      <c r="I2647" s="79"/>
      <c r="J2647" s="70"/>
      <c r="K2647" s="57"/>
      <c r="L2647" s="11"/>
      <c r="M2647" s="41"/>
      <c r="N2647" s="11"/>
    </row>
    <row r="2648" spans="8:14" x14ac:dyDescent="0.25">
      <c r="H2648" s="37"/>
      <c r="I2648" s="79"/>
      <c r="J2648" s="70"/>
      <c r="K2648" s="57"/>
      <c r="L2648" s="11"/>
      <c r="M2648" s="41"/>
      <c r="N2648" s="11"/>
    </row>
    <row r="2649" spans="8:14" x14ac:dyDescent="0.25">
      <c r="H2649" s="37"/>
      <c r="I2649" s="79"/>
      <c r="J2649" s="70"/>
      <c r="K2649" s="57"/>
      <c r="L2649" s="11"/>
      <c r="M2649" s="41"/>
      <c r="N2649" s="11"/>
    </row>
    <row r="2650" spans="8:14" x14ac:dyDescent="0.25">
      <c r="H2650" s="37"/>
      <c r="I2650" s="79"/>
      <c r="J2650" s="70"/>
      <c r="K2650" s="57"/>
      <c r="L2650" s="11"/>
      <c r="M2650" s="41"/>
      <c r="N2650" s="11"/>
    </row>
    <row r="2651" spans="8:14" x14ac:dyDescent="0.25">
      <c r="H2651" s="37"/>
      <c r="I2651" s="79"/>
      <c r="J2651" s="70"/>
      <c r="K2651" s="57"/>
      <c r="L2651" s="11"/>
      <c r="M2651" s="41"/>
      <c r="N2651" s="11"/>
    </row>
    <row r="2652" spans="8:14" x14ac:dyDescent="0.25">
      <c r="H2652" s="37"/>
      <c r="I2652" s="79"/>
      <c r="J2652" s="70"/>
      <c r="K2652" s="57"/>
      <c r="L2652" s="11"/>
      <c r="M2652" s="41"/>
      <c r="N2652" s="11"/>
    </row>
    <row r="2653" spans="8:14" x14ac:dyDescent="0.25">
      <c r="H2653" s="37"/>
      <c r="I2653" s="79"/>
      <c r="J2653" s="70"/>
      <c r="K2653" s="57"/>
      <c r="L2653" s="11"/>
      <c r="M2653" s="41"/>
      <c r="N2653" s="11"/>
    </row>
    <row r="2654" spans="8:14" x14ac:dyDescent="0.25">
      <c r="H2654" s="37"/>
      <c r="I2654" s="79"/>
      <c r="J2654" s="70"/>
      <c r="K2654" s="57"/>
      <c r="L2654" s="11"/>
      <c r="M2654" s="41"/>
      <c r="N2654" s="11"/>
    </row>
    <row r="2655" spans="8:14" x14ac:dyDescent="0.25">
      <c r="H2655" s="37"/>
      <c r="I2655" s="79"/>
      <c r="J2655" s="70"/>
      <c r="K2655" s="57"/>
      <c r="L2655" s="11"/>
      <c r="M2655" s="41"/>
      <c r="N2655" s="11"/>
    </row>
    <row r="2656" spans="8:14" x14ac:dyDescent="0.25">
      <c r="H2656" s="37"/>
      <c r="I2656" s="79"/>
      <c r="J2656" s="70"/>
      <c r="K2656" s="57"/>
      <c r="L2656" s="11"/>
      <c r="M2656" s="41"/>
      <c r="N2656" s="11"/>
    </row>
    <row r="2657" spans="8:14" x14ac:dyDescent="0.25">
      <c r="H2657" s="37"/>
      <c r="I2657" s="79"/>
      <c r="J2657" s="70"/>
      <c r="K2657" s="57"/>
      <c r="L2657" s="11"/>
      <c r="M2657" s="41"/>
      <c r="N2657" s="11"/>
    </row>
    <row r="2658" spans="8:14" x14ac:dyDescent="0.25">
      <c r="H2658" s="37"/>
      <c r="I2658" s="79"/>
      <c r="J2658" s="70"/>
      <c r="K2658" s="57"/>
      <c r="L2658" s="11"/>
      <c r="M2658" s="41"/>
      <c r="N2658" s="11"/>
    </row>
    <row r="2659" spans="8:14" x14ac:dyDescent="0.25">
      <c r="H2659" s="37"/>
      <c r="I2659" s="79"/>
      <c r="J2659" s="70"/>
      <c r="K2659" s="57"/>
      <c r="L2659" s="11"/>
      <c r="M2659" s="41"/>
      <c r="N2659" s="11"/>
    </row>
    <row r="2660" spans="8:14" x14ac:dyDescent="0.25">
      <c r="H2660" s="37"/>
      <c r="I2660" s="79"/>
      <c r="J2660" s="70"/>
      <c r="K2660" s="57"/>
      <c r="L2660" s="11"/>
      <c r="M2660" s="41"/>
      <c r="N2660" s="11"/>
    </row>
    <row r="2661" spans="8:14" x14ac:dyDescent="0.25">
      <c r="H2661" s="37"/>
      <c r="I2661" s="79"/>
      <c r="J2661" s="70"/>
      <c r="K2661" s="57"/>
      <c r="L2661" s="11"/>
      <c r="M2661" s="41"/>
      <c r="N2661" s="11"/>
    </row>
    <row r="2662" spans="8:14" x14ac:dyDescent="0.25">
      <c r="H2662" s="37"/>
      <c r="I2662" s="79"/>
      <c r="J2662" s="70"/>
      <c r="K2662" s="57"/>
      <c r="L2662" s="11"/>
      <c r="M2662" s="41"/>
      <c r="N2662" s="11"/>
    </row>
    <row r="2663" spans="8:14" x14ac:dyDescent="0.25">
      <c r="H2663" s="37"/>
      <c r="I2663" s="79"/>
      <c r="J2663" s="70"/>
      <c r="K2663" s="57"/>
      <c r="L2663" s="11"/>
      <c r="M2663" s="41"/>
      <c r="N2663" s="11"/>
    </row>
    <row r="2664" spans="8:14" x14ac:dyDescent="0.25">
      <c r="H2664" s="37"/>
      <c r="I2664" s="79"/>
      <c r="J2664" s="70"/>
      <c r="K2664" s="57"/>
      <c r="L2664" s="11"/>
      <c r="M2664" s="41"/>
      <c r="N2664" s="11"/>
    </row>
    <row r="2665" spans="8:14" x14ac:dyDescent="0.25">
      <c r="H2665" s="37"/>
      <c r="I2665" s="79"/>
      <c r="J2665" s="70"/>
      <c r="K2665" s="57"/>
      <c r="L2665" s="11"/>
      <c r="M2665" s="41"/>
      <c r="N2665" s="11"/>
    </row>
    <row r="2666" spans="8:14" x14ac:dyDescent="0.25">
      <c r="H2666" s="37"/>
      <c r="I2666" s="79"/>
      <c r="J2666" s="70"/>
      <c r="K2666" s="57"/>
      <c r="L2666" s="11"/>
      <c r="M2666" s="41"/>
      <c r="N2666" s="11"/>
    </row>
    <row r="2667" spans="8:14" x14ac:dyDescent="0.25">
      <c r="H2667" s="37"/>
      <c r="I2667" s="79"/>
      <c r="J2667" s="70"/>
      <c r="K2667" s="57"/>
      <c r="L2667" s="11"/>
      <c r="M2667" s="41"/>
      <c r="N2667" s="11"/>
    </row>
    <row r="2668" spans="8:14" x14ac:dyDescent="0.25">
      <c r="H2668" s="37"/>
      <c r="I2668" s="79"/>
      <c r="J2668" s="70"/>
      <c r="K2668" s="57"/>
      <c r="L2668" s="11"/>
      <c r="M2668" s="41"/>
      <c r="N2668" s="11"/>
    </row>
    <row r="2669" spans="8:14" x14ac:dyDescent="0.25">
      <c r="H2669" s="37"/>
      <c r="I2669" s="79"/>
      <c r="J2669" s="70"/>
      <c r="K2669" s="57"/>
      <c r="L2669" s="11"/>
      <c r="M2669" s="41"/>
      <c r="N2669" s="11"/>
    </row>
    <row r="2670" spans="8:14" x14ac:dyDescent="0.25">
      <c r="H2670" s="37"/>
      <c r="I2670" s="79"/>
      <c r="J2670" s="70"/>
      <c r="K2670" s="57"/>
      <c r="L2670" s="11"/>
      <c r="M2670" s="41"/>
      <c r="N2670" s="11"/>
    </row>
    <row r="2671" spans="8:14" x14ac:dyDescent="0.25">
      <c r="H2671" s="37"/>
      <c r="I2671" s="79"/>
      <c r="J2671" s="70"/>
      <c r="K2671" s="57"/>
      <c r="L2671" s="11"/>
      <c r="M2671" s="41"/>
      <c r="N2671" s="11"/>
    </row>
    <row r="2672" spans="8:14" x14ac:dyDescent="0.25">
      <c r="H2672" s="37"/>
      <c r="I2672" s="79"/>
      <c r="J2672" s="70"/>
      <c r="K2672" s="57"/>
      <c r="L2672" s="11"/>
      <c r="M2672" s="41"/>
      <c r="N2672" s="11"/>
    </row>
    <row r="2673" spans="8:14" x14ac:dyDescent="0.25">
      <c r="H2673" s="37"/>
      <c r="I2673" s="79"/>
      <c r="J2673" s="70"/>
      <c r="K2673" s="57"/>
      <c r="L2673" s="11"/>
      <c r="M2673" s="41"/>
      <c r="N2673" s="11"/>
    </row>
    <row r="2674" spans="8:14" x14ac:dyDescent="0.25">
      <c r="H2674" s="37"/>
      <c r="I2674" s="79"/>
      <c r="J2674" s="70"/>
      <c r="K2674" s="57"/>
      <c r="L2674" s="11"/>
      <c r="M2674" s="41"/>
      <c r="N2674" s="11"/>
    </row>
    <row r="2675" spans="8:14" x14ac:dyDescent="0.25">
      <c r="H2675" s="37"/>
      <c r="I2675" s="79"/>
      <c r="J2675" s="70"/>
      <c r="K2675" s="57"/>
      <c r="L2675" s="11"/>
      <c r="M2675" s="41"/>
      <c r="N2675" s="11"/>
    </row>
    <row r="2676" spans="8:14" x14ac:dyDescent="0.25">
      <c r="H2676" s="37"/>
      <c r="I2676" s="79"/>
      <c r="J2676" s="70"/>
      <c r="K2676" s="57"/>
      <c r="L2676" s="11"/>
      <c r="M2676" s="41"/>
      <c r="N2676" s="11"/>
    </row>
    <row r="2677" spans="8:14" x14ac:dyDescent="0.25">
      <c r="H2677" s="37"/>
      <c r="I2677" s="79"/>
      <c r="J2677" s="70"/>
      <c r="K2677" s="57"/>
      <c r="L2677" s="11"/>
      <c r="M2677" s="41"/>
      <c r="N2677" s="11"/>
    </row>
    <row r="2678" spans="8:14" x14ac:dyDescent="0.25">
      <c r="H2678" s="37"/>
      <c r="I2678" s="79"/>
      <c r="J2678" s="70"/>
      <c r="K2678" s="57"/>
      <c r="L2678" s="11"/>
      <c r="M2678" s="41"/>
      <c r="N2678" s="11"/>
    </row>
    <row r="2679" spans="8:14" x14ac:dyDescent="0.25">
      <c r="H2679" s="37"/>
      <c r="I2679" s="79"/>
      <c r="J2679" s="70"/>
      <c r="K2679" s="57"/>
      <c r="L2679" s="11"/>
      <c r="M2679" s="41"/>
      <c r="N2679" s="11"/>
    </row>
    <row r="2680" spans="8:14" x14ac:dyDescent="0.25">
      <c r="H2680" s="37"/>
      <c r="I2680" s="79"/>
      <c r="J2680" s="70"/>
      <c r="K2680" s="57"/>
      <c r="L2680" s="11"/>
      <c r="M2680" s="41"/>
      <c r="N2680" s="11"/>
    </row>
    <row r="2681" spans="8:14" x14ac:dyDescent="0.25">
      <c r="H2681" s="37"/>
      <c r="I2681" s="79"/>
      <c r="J2681" s="70"/>
      <c r="K2681" s="57"/>
      <c r="L2681" s="11"/>
      <c r="M2681" s="41"/>
      <c r="N2681" s="11"/>
    </row>
    <row r="2682" spans="8:14" x14ac:dyDescent="0.25">
      <c r="H2682" s="37"/>
      <c r="I2682" s="79"/>
      <c r="J2682" s="70"/>
      <c r="K2682" s="57"/>
      <c r="L2682" s="11"/>
      <c r="M2682" s="41"/>
      <c r="N2682" s="11"/>
    </row>
    <row r="2683" spans="8:14" x14ac:dyDescent="0.25">
      <c r="H2683" s="37"/>
      <c r="I2683" s="79"/>
      <c r="J2683" s="70"/>
      <c r="K2683" s="57"/>
      <c r="L2683" s="11"/>
      <c r="M2683" s="41"/>
      <c r="N2683" s="11"/>
    </row>
    <row r="2684" spans="8:14" x14ac:dyDescent="0.25">
      <c r="H2684" s="37"/>
      <c r="I2684" s="79"/>
      <c r="J2684" s="70"/>
      <c r="K2684" s="57"/>
      <c r="L2684" s="11"/>
      <c r="M2684" s="41"/>
      <c r="N2684" s="11"/>
    </row>
    <row r="2685" spans="8:14" x14ac:dyDescent="0.25">
      <c r="H2685" s="37"/>
      <c r="I2685" s="79"/>
      <c r="J2685" s="70"/>
      <c r="K2685" s="57"/>
      <c r="L2685" s="11"/>
      <c r="M2685" s="41"/>
      <c r="N2685" s="11"/>
    </row>
    <row r="2686" spans="8:14" x14ac:dyDescent="0.25">
      <c r="H2686" s="37"/>
      <c r="I2686" s="79"/>
      <c r="J2686" s="70"/>
      <c r="K2686" s="57"/>
      <c r="L2686" s="11"/>
      <c r="M2686" s="41"/>
      <c r="N2686" s="11"/>
    </row>
    <row r="2687" spans="8:14" x14ac:dyDescent="0.25">
      <c r="H2687" s="37"/>
      <c r="I2687" s="79"/>
      <c r="J2687" s="70"/>
      <c r="K2687" s="57"/>
      <c r="L2687" s="11"/>
      <c r="M2687" s="41"/>
      <c r="N2687" s="11"/>
    </row>
    <row r="2688" spans="8:14" x14ac:dyDescent="0.25">
      <c r="H2688" s="37"/>
      <c r="I2688" s="79"/>
      <c r="J2688" s="70"/>
      <c r="K2688" s="57"/>
      <c r="L2688" s="11"/>
      <c r="M2688" s="41"/>
      <c r="N2688" s="11"/>
    </row>
    <row r="2689" spans="8:14" x14ac:dyDescent="0.25">
      <c r="H2689" s="37"/>
      <c r="I2689" s="79"/>
      <c r="J2689" s="70"/>
      <c r="K2689" s="57"/>
      <c r="L2689" s="11"/>
      <c r="M2689" s="41"/>
      <c r="N2689" s="11"/>
    </row>
    <row r="2690" spans="8:14" x14ac:dyDescent="0.25">
      <c r="H2690" s="37"/>
      <c r="I2690" s="79"/>
      <c r="J2690" s="70"/>
      <c r="K2690" s="57"/>
      <c r="L2690" s="11"/>
      <c r="M2690" s="41"/>
      <c r="N2690" s="11"/>
    </row>
    <row r="2691" spans="8:14" x14ac:dyDescent="0.25">
      <c r="H2691" s="37"/>
      <c r="I2691" s="79"/>
      <c r="J2691" s="70"/>
      <c r="K2691" s="57"/>
      <c r="L2691" s="11"/>
      <c r="M2691" s="41"/>
      <c r="N2691" s="11"/>
    </row>
    <row r="2692" spans="8:14" x14ac:dyDescent="0.25">
      <c r="H2692" s="37"/>
      <c r="I2692" s="79"/>
      <c r="J2692" s="70"/>
      <c r="K2692" s="57"/>
      <c r="L2692" s="11"/>
      <c r="M2692" s="41"/>
      <c r="N2692" s="11"/>
    </row>
    <row r="2693" spans="8:14" x14ac:dyDescent="0.25">
      <c r="H2693" s="37"/>
      <c r="I2693" s="79"/>
      <c r="J2693" s="70"/>
      <c r="K2693" s="57"/>
      <c r="L2693" s="11"/>
      <c r="M2693" s="41"/>
      <c r="N2693" s="11"/>
    </row>
    <row r="2694" spans="8:14" x14ac:dyDescent="0.25">
      <c r="H2694" s="37"/>
      <c r="I2694" s="79"/>
      <c r="J2694" s="70"/>
      <c r="K2694" s="57"/>
      <c r="L2694" s="11"/>
      <c r="M2694" s="41"/>
      <c r="N2694" s="11"/>
    </row>
    <row r="2695" spans="8:14" x14ac:dyDescent="0.25">
      <c r="H2695" s="37"/>
      <c r="I2695" s="79"/>
      <c r="J2695" s="70"/>
      <c r="K2695" s="57"/>
      <c r="L2695" s="11"/>
      <c r="M2695" s="41"/>
      <c r="N2695" s="11"/>
    </row>
    <row r="2696" spans="8:14" x14ac:dyDescent="0.25">
      <c r="H2696" s="37"/>
      <c r="I2696" s="79"/>
      <c r="J2696" s="70"/>
      <c r="K2696" s="57"/>
      <c r="L2696" s="11"/>
      <c r="M2696" s="41"/>
      <c r="N2696" s="11"/>
    </row>
    <row r="2697" spans="8:14" x14ac:dyDescent="0.25">
      <c r="H2697" s="37"/>
      <c r="I2697" s="79"/>
      <c r="J2697" s="70"/>
      <c r="K2697" s="57"/>
      <c r="L2697" s="11"/>
      <c r="M2697" s="41"/>
      <c r="N2697" s="11"/>
    </row>
    <row r="2698" spans="8:14" x14ac:dyDescent="0.25">
      <c r="H2698" s="37"/>
      <c r="I2698" s="79"/>
      <c r="J2698" s="70"/>
      <c r="K2698" s="57"/>
      <c r="L2698" s="11"/>
      <c r="M2698" s="41"/>
      <c r="N2698" s="11"/>
    </row>
    <row r="2699" spans="8:14" x14ac:dyDescent="0.25">
      <c r="H2699" s="37"/>
      <c r="I2699" s="79"/>
      <c r="J2699" s="70"/>
      <c r="K2699" s="57"/>
      <c r="L2699" s="11"/>
      <c r="M2699" s="41"/>
      <c r="N2699" s="11"/>
    </row>
    <row r="2700" spans="8:14" x14ac:dyDescent="0.25">
      <c r="H2700" s="37"/>
      <c r="I2700" s="79"/>
      <c r="J2700" s="70"/>
      <c r="K2700" s="57"/>
      <c r="L2700" s="11"/>
      <c r="M2700" s="41"/>
      <c r="N2700" s="11"/>
    </row>
    <row r="2701" spans="8:14" x14ac:dyDescent="0.25">
      <c r="H2701" s="37"/>
      <c r="I2701" s="79"/>
      <c r="J2701" s="70"/>
      <c r="K2701" s="57"/>
      <c r="L2701" s="11"/>
      <c r="M2701" s="41"/>
      <c r="N2701" s="11"/>
    </row>
    <row r="2702" spans="8:14" x14ac:dyDescent="0.25">
      <c r="H2702" s="37"/>
      <c r="I2702" s="79"/>
      <c r="J2702" s="70"/>
      <c r="K2702" s="57"/>
      <c r="L2702" s="11"/>
      <c r="M2702" s="41"/>
      <c r="N2702" s="11"/>
    </row>
    <row r="2703" spans="8:14" x14ac:dyDescent="0.25">
      <c r="H2703" s="37"/>
      <c r="I2703" s="79"/>
      <c r="J2703" s="70"/>
      <c r="K2703" s="57"/>
      <c r="L2703" s="11"/>
      <c r="M2703" s="41"/>
      <c r="N2703" s="11"/>
    </row>
    <row r="2704" spans="8:14" x14ac:dyDescent="0.25">
      <c r="H2704" s="37"/>
      <c r="I2704" s="79"/>
      <c r="J2704" s="70"/>
      <c r="K2704" s="57"/>
      <c r="L2704" s="11"/>
      <c r="M2704" s="41"/>
      <c r="N2704" s="11"/>
    </row>
    <row r="2705" spans="8:14" x14ac:dyDescent="0.25">
      <c r="H2705" s="37"/>
      <c r="I2705" s="79"/>
      <c r="J2705" s="70"/>
      <c r="K2705" s="57"/>
      <c r="L2705" s="11"/>
      <c r="M2705" s="41"/>
      <c r="N2705" s="11"/>
    </row>
    <row r="2706" spans="8:14" x14ac:dyDescent="0.25">
      <c r="H2706" s="37"/>
      <c r="I2706" s="79"/>
      <c r="J2706" s="70"/>
      <c r="K2706" s="57"/>
      <c r="L2706" s="11"/>
      <c r="M2706" s="41"/>
      <c r="N2706" s="11"/>
    </row>
    <row r="2707" spans="8:14" x14ac:dyDescent="0.25">
      <c r="H2707" s="37"/>
      <c r="I2707" s="79"/>
      <c r="J2707" s="70"/>
      <c r="K2707" s="57"/>
      <c r="L2707" s="11"/>
      <c r="M2707" s="41"/>
      <c r="N2707" s="11"/>
    </row>
    <row r="2708" spans="8:14" x14ac:dyDescent="0.25">
      <c r="H2708" s="37"/>
      <c r="I2708" s="79"/>
      <c r="J2708" s="70"/>
      <c r="K2708" s="57"/>
      <c r="L2708" s="11"/>
      <c r="M2708" s="41"/>
      <c r="N2708" s="11"/>
    </row>
    <row r="2709" spans="8:14" x14ac:dyDescent="0.25">
      <c r="H2709" s="37"/>
      <c r="I2709" s="79"/>
      <c r="J2709" s="70"/>
      <c r="K2709" s="57"/>
      <c r="L2709" s="11"/>
      <c r="M2709" s="41"/>
      <c r="N2709" s="11"/>
    </row>
    <row r="2710" spans="8:14" x14ac:dyDescent="0.25">
      <c r="H2710" s="37"/>
      <c r="I2710" s="79"/>
      <c r="J2710" s="70"/>
      <c r="K2710" s="57"/>
      <c r="L2710" s="11"/>
      <c r="M2710" s="41"/>
      <c r="N2710" s="11"/>
    </row>
    <row r="2711" spans="8:14" x14ac:dyDescent="0.25">
      <c r="H2711" s="37"/>
      <c r="I2711" s="79"/>
      <c r="J2711" s="70"/>
      <c r="K2711" s="57"/>
      <c r="L2711" s="11"/>
      <c r="M2711" s="41"/>
      <c r="N2711" s="11"/>
    </row>
    <row r="2712" spans="8:14" x14ac:dyDescent="0.25">
      <c r="H2712" s="37"/>
      <c r="I2712" s="79"/>
      <c r="J2712" s="70"/>
      <c r="K2712" s="57"/>
      <c r="L2712" s="11"/>
      <c r="M2712" s="41"/>
      <c r="N2712" s="11"/>
    </row>
    <row r="2713" spans="8:14" x14ac:dyDescent="0.25">
      <c r="H2713" s="37"/>
      <c r="I2713" s="79"/>
      <c r="J2713" s="70"/>
      <c r="K2713" s="57"/>
      <c r="L2713" s="11"/>
      <c r="M2713" s="41"/>
      <c r="N2713" s="11"/>
    </row>
    <row r="2714" spans="8:14" x14ac:dyDescent="0.25">
      <c r="H2714" s="37"/>
      <c r="I2714" s="79"/>
      <c r="J2714" s="70"/>
      <c r="K2714" s="57"/>
      <c r="L2714" s="11"/>
      <c r="M2714" s="41"/>
      <c r="N2714" s="11"/>
    </row>
    <row r="2715" spans="8:14" x14ac:dyDescent="0.25">
      <c r="H2715" s="37"/>
      <c r="I2715" s="79"/>
      <c r="J2715" s="70"/>
      <c r="K2715" s="57"/>
      <c r="L2715" s="11"/>
      <c r="M2715" s="41"/>
      <c r="N2715" s="11"/>
    </row>
    <row r="2716" spans="8:14" x14ac:dyDescent="0.25">
      <c r="H2716" s="37"/>
      <c r="I2716" s="79"/>
      <c r="J2716" s="70"/>
      <c r="K2716" s="57"/>
      <c r="L2716" s="11"/>
      <c r="M2716" s="41"/>
      <c r="N2716" s="11"/>
    </row>
    <row r="2717" spans="8:14" x14ac:dyDescent="0.25">
      <c r="H2717" s="37"/>
      <c r="I2717" s="79"/>
      <c r="J2717" s="70"/>
      <c r="K2717" s="57"/>
      <c r="L2717" s="11"/>
      <c r="M2717" s="41"/>
      <c r="N2717" s="11"/>
    </row>
    <row r="2718" spans="8:14" x14ac:dyDescent="0.25">
      <c r="H2718" s="37"/>
      <c r="I2718" s="79"/>
      <c r="J2718" s="70"/>
      <c r="K2718" s="57"/>
      <c r="L2718" s="11"/>
      <c r="M2718" s="41"/>
      <c r="N2718" s="11"/>
    </row>
    <row r="2719" spans="8:14" x14ac:dyDescent="0.25">
      <c r="H2719" s="37"/>
      <c r="I2719" s="79"/>
      <c r="J2719" s="70"/>
      <c r="K2719" s="57"/>
      <c r="L2719" s="11"/>
      <c r="M2719" s="41"/>
      <c r="N2719" s="11"/>
    </row>
    <row r="2720" spans="8:14" x14ac:dyDescent="0.25">
      <c r="H2720" s="37"/>
      <c r="I2720" s="79"/>
      <c r="J2720" s="70"/>
      <c r="K2720" s="57"/>
      <c r="L2720" s="11"/>
      <c r="M2720" s="41"/>
      <c r="N2720" s="11"/>
    </row>
    <row r="2721" spans="8:14" x14ac:dyDescent="0.25">
      <c r="H2721" s="37"/>
      <c r="I2721" s="79"/>
      <c r="J2721" s="70"/>
      <c r="K2721" s="57"/>
      <c r="L2721" s="11"/>
      <c r="M2721" s="41"/>
      <c r="N2721" s="11"/>
    </row>
    <row r="2722" spans="8:14" x14ac:dyDescent="0.25">
      <c r="H2722" s="37"/>
      <c r="I2722" s="79"/>
      <c r="J2722" s="70"/>
      <c r="K2722" s="57"/>
      <c r="L2722" s="11"/>
      <c r="M2722" s="41"/>
      <c r="N2722" s="11"/>
    </row>
    <row r="2723" spans="8:14" x14ac:dyDescent="0.25">
      <c r="H2723" s="37"/>
      <c r="I2723" s="79"/>
      <c r="J2723" s="70"/>
      <c r="K2723" s="57"/>
      <c r="L2723" s="11"/>
      <c r="M2723" s="41"/>
      <c r="N2723" s="11"/>
    </row>
    <row r="2724" spans="8:14" x14ac:dyDescent="0.25">
      <c r="H2724" s="37"/>
      <c r="I2724" s="79"/>
      <c r="J2724" s="70"/>
      <c r="K2724" s="57"/>
      <c r="L2724" s="11"/>
      <c r="M2724" s="41"/>
      <c r="N2724" s="11"/>
    </row>
    <row r="2725" spans="8:14" x14ac:dyDescent="0.25">
      <c r="H2725" s="37"/>
      <c r="I2725" s="79"/>
      <c r="J2725" s="70"/>
      <c r="K2725" s="57"/>
      <c r="L2725" s="11"/>
      <c r="M2725" s="41"/>
      <c r="N2725" s="11"/>
    </row>
    <row r="2726" spans="8:14" x14ac:dyDescent="0.25">
      <c r="H2726" s="37"/>
      <c r="I2726" s="79"/>
      <c r="J2726" s="70"/>
      <c r="K2726" s="57"/>
      <c r="L2726" s="11"/>
      <c r="M2726" s="41"/>
      <c r="N2726" s="11"/>
    </row>
    <row r="2727" spans="8:14" x14ac:dyDescent="0.25">
      <c r="H2727" s="37"/>
      <c r="I2727" s="79"/>
      <c r="J2727" s="70"/>
      <c r="K2727" s="57"/>
      <c r="L2727" s="11"/>
      <c r="M2727" s="41"/>
      <c r="N2727" s="11"/>
    </row>
    <row r="2728" spans="8:14" x14ac:dyDescent="0.25">
      <c r="H2728" s="37"/>
      <c r="I2728" s="79"/>
      <c r="J2728" s="70"/>
      <c r="K2728" s="57"/>
      <c r="L2728" s="11"/>
      <c r="M2728" s="41"/>
      <c r="N2728" s="11"/>
    </row>
    <row r="2729" spans="8:14" x14ac:dyDescent="0.25">
      <c r="H2729" s="37"/>
      <c r="I2729" s="79"/>
      <c r="J2729" s="70"/>
      <c r="K2729" s="57"/>
      <c r="L2729" s="11"/>
      <c r="M2729" s="41"/>
      <c r="N2729" s="11"/>
    </row>
    <row r="2730" spans="8:14" x14ac:dyDescent="0.25">
      <c r="H2730" s="37"/>
      <c r="I2730" s="79"/>
      <c r="J2730" s="70"/>
      <c r="K2730" s="57"/>
      <c r="L2730" s="11"/>
      <c r="M2730" s="41"/>
      <c r="N2730" s="11"/>
    </row>
    <row r="2731" spans="8:14" x14ac:dyDescent="0.25">
      <c r="H2731" s="37"/>
      <c r="I2731" s="79"/>
      <c r="J2731" s="70"/>
      <c r="K2731" s="57"/>
      <c r="L2731" s="11"/>
      <c r="M2731" s="41"/>
      <c r="N2731" s="11"/>
    </row>
    <row r="2732" spans="8:14" x14ac:dyDescent="0.25">
      <c r="H2732" s="37"/>
      <c r="I2732" s="79"/>
      <c r="J2732" s="70"/>
      <c r="K2732" s="57"/>
      <c r="L2732" s="11"/>
      <c r="M2732" s="41"/>
      <c r="N2732" s="11"/>
    </row>
    <row r="2733" spans="8:14" x14ac:dyDescent="0.25">
      <c r="H2733" s="37"/>
      <c r="I2733" s="79"/>
      <c r="J2733" s="70"/>
      <c r="K2733" s="57"/>
      <c r="L2733" s="11"/>
      <c r="M2733" s="41"/>
      <c r="N2733" s="11"/>
    </row>
    <row r="2734" spans="8:14" x14ac:dyDescent="0.25">
      <c r="H2734" s="37"/>
      <c r="I2734" s="79"/>
      <c r="J2734" s="70"/>
      <c r="K2734" s="57"/>
      <c r="L2734" s="11"/>
      <c r="M2734" s="41"/>
      <c r="N2734" s="11"/>
    </row>
    <row r="2735" spans="8:14" x14ac:dyDescent="0.25">
      <c r="H2735" s="37"/>
      <c r="I2735" s="79"/>
      <c r="J2735" s="70"/>
      <c r="K2735" s="57"/>
      <c r="L2735" s="11"/>
      <c r="M2735" s="41"/>
      <c r="N2735" s="11"/>
    </row>
    <row r="2736" spans="8:14" x14ac:dyDescent="0.25">
      <c r="H2736" s="37"/>
      <c r="I2736" s="79"/>
      <c r="J2736" s="70"/>
      <c r="K2736" s="57"/>
      <c r="L2736" s="11"/>
      <c r="M2736" s="41"/>
      <c r="N2736" s="11"/>
    </row>
    <row r="2737" spans="8:14" x14ac:dyDescent="0.25">
      <c r="H2737" s="37"/>
      <c r="I2737" s="79"/>
      <c r="J2737" s="70"/>
      <c r="K2737" s="57"/>
      <c r="L2737" s="11"/>
      <c r="M2737" s="41"/>
      <c r="N2737" s="11"/>
    </row>
    <row r="2738" spans="8:14" x14ac:dyDescent="0.25">
      <c r="H2738" s="37"/>
      <c r="I2738" s="79"/>
      <c r="J2738" s="70"/>
      <c r="K2738" s="57"/>
      <c r="L2738" s="11"/>
      <c r="M2738" s="41"/>
      <c r="N2738" s="11"/>
    </row>
    <row r="2739" spans="8:14" x14ac:dyDescent="0.25">
      <c r="H2739" s="37"/>
      <c r="I2739" s="79"/>
      <c r="J2739" s="70"/>
      <c r="K2739" s="57"/>
      <c r="L2739" s="11"/>
      <c r="M2739" s="41"/>
      <c r="N2739" s="11"/>
    </row>
    <row r="2740" spans="8:14" x14ac:dyDescent="0.25">
      <c r="H2740" s="37"/>
      <c r="I2740" s="79"/>
      <c r="J2740" s="70"/>
      <c r="K2740" s="57"/>
      <c r="L2740" s="11"/>
      <c r="M2740" s="41"/>
      <c r="N2740" s="11"/>
    </row>
    <row r="2741" spans="8:14" x14ac:dyDescent="0.25">
      <c r="H2741" s="37"/>
      <c r="I2741" s="79"/>
      <c r="J2741" s="70"/>
      <c r="K2741" s="57"/>
      <c r="L2741" s="11"/>
      <c r="M2741" s="41"/>
      <c r="N2741" s="11"/>
    </row>
    <row r="2742" spans="8:14" x14ac:dyDescent="0.25">
      <c r="H2742" s="37"/>
      <c r="I2742" s="79"/>
      <c r="J2742" s="70"/>
      <c r="K2742" s="57"/>
      <c r="L2742" s="11"/>
      <c r="M2742" s="41"/>
      <c r="N2742" s="11"/>
    </row>
    <row r="2743" spans="8:14" x14ac:dyDescent="0.25">
      <c r="H2743" s="37"/>
      <c r="I2743" s="79"/>
      <c r="J2743" s="70"/>
      <c r="K2743" s="57"/>
      <c r="L2743" s="11"/>
      <c r="M2743" s="41"/>
      <c r="N2743" s="11"/>
    </row>
    <row r="2744" spans="8:14" x14ac:dyDescent="0.25">
      <c r="H2744" s="37"/>
      <c r="I2744" s="79"/>
      <c r="J2744" s="70"/>
      <c r="K2744" s="57"/>
      <c r="L2744" s="11"/>
      <c r="M2744" s="41"/>
      <c r="N2744" s="11"/>
    </row>
    <row r="2745" spans="8:14" x14ac:dyDescent="0.25">
      <c r="H2745" s="37"/>
      <c r="I2745" s="79"/>
      <c r="J2745" s="70"/>
      <c r="K2745" s="57"/>
      <c r="L2745" s="11"/>
      <c r="M2745" s="41"/>
      <c r="N2745" s="11"/>
    </row>
    <row r="2746" spans="8:14" x14ac:dyDescent="0.25">
      <c r="H2746" s="37"/>
      <c r="I2746" s="79"/>
      <c r="J2746" s="70"/>
      <c r="K2746" s="57"/>
      <c r="L2746" s="11"/>
      <c r="M2746" s="41"/>
      <c r="N2746" s="11"/>
    </row>
    <row r="2747" spans="8:14" x14ac:dyDescent="0.25">
      <c r="H2747" s="37"/>
      <c r="I2747" s="79"/>
      <c r="J2747" s="70"/>
      <c r="K2747" s="57"/>
      <c r="L2747" s="11"/>
      <c r="M2747" s="41"/>
      <c r="N2747" s="11"/>
    </row>
    <row r="2748" spans="8:14" x14ac:dyDescent="0.25">
      <c r="H2748" s="37"/>
      <c r="I2748" s="79"/>
      <c r="J2748" s="70"/>
      <c r="K2748" s="57"/>
      <c r="L2748" s="11"/>
      <c r="M2748" s="41"/>
      <c r="N2748" s="11"/>
    </row>
    <row r="2749" spans="8:14" x14ac:dyDescent="0.25">
      <c r="H2749" s="37"/>
      <c r="I2749" s="79"/>
      <c r="J2749" s="70"/>
      <c r="K2749" s="57"/>
      <c r="L2749" s="11"/>
      <c r="M2749" s="41"/>
      <c r="N2749" s="11"/>
    </row>
    <row r="2750" spans="8:14" x14ac:dyDescent="0.25">
      <c r="H2750" s="37"/>
      <c r="I2750" s="79"/>
      <c r="J2750" s="70"/>
      <c r="K2750" s="57"/>
      <c r="L2750" s="11"/>
      <c r="M2750" s="41"/>
      <c r="N2750" s="11"/>
    </row>
    <row r="2751" spans="8:14" x14ac:dyDescent="0.25">
      <c r="H2751" s="37"/>
      <c r="I2751" s="79"/>
      <c r="J2751" s="70"/>
      <c r="K2751" s="57"/>
      <c r="L2751" s="11"/>
      <c r="M2751" s="41"/>
      <c r="N2751" s="11"/>
    </row>
    <row r="2752" spans="8:14" x14ac:dyDescent="0.25">
      <c r="H2752" s="37"/>
      <c r="I2752" s="79"/>
      <c r="J2752" s="70"/>
      <c r="K2752" s="57"/>
      <c r="L2752" s="11"/>
      <c r="M2752" s="41"/>
      <c r="N2752" s="11"/>
    </row>
    <row r="2753" spans="8:14" x14ac:dyDescent="0.25">
      <c r="H2753" s="37"/>
      <c r="I2753" s="79"/>
      <c r="J2753" s="70"/>
      <c r="K2753" s="57"/>
      <c r="L2753" s="11"/>
      <c r="M2753" s="41"/>
      <c r="N2753" s="11"/>
    </row>
    <row r="2754" spans="8:14" x14ac:dyDescent="0.25">
      <c r="H2754" s="37"/>
      <c r="I2754" s="79"/>
      <c r="J2754" s="70"/>
      <c r="K2754" s="57"/>
      <c r="L2754" s="11"/>
      <c r="M2754" s="41"/>
      <c r="N2754" s="11"/>
    </row>
    <row r="2755" spans="8:14" x14ac:dyDescent="0.25">
      <c r="H2755" s="37"/>
      <c r="I2755" s="79"/>
      <c r="J2755" s="70"/>
      <c r="K2755" s="57"/>
      <c r="L2755" s="11"/>
      <c r="M2755" s="41"/>
      <c r="N2755" s="11"/>
    </row>
    <row r="2756" spans="8:14" x14ac:dyDescent="0.25">
      <c r="H2756" s="37"/>
      <c r="I2756" s="79"/>
      <c r="J2756" s="70"/>
      <c r="K2756" s="57"/>
      <c r="L2756" s="11"/>
      <c r="M2756" s="41"/>
      <c r="N2756" s="11"/>
    </row>
    <row r="2757" spans="8:14" x14ac:dyDescent="0.25">
      <c r="H2757" s="37"/>
      <c r="I2757" s="79"/>
      <c r="J2757" s="70"/>
      <c r="K2757" s="57"/>
      <c r="L2757" s="11"/>
      <c r="M2757" s="41"/>
      <c r="N2757" s="11"/>
    </row>
    <row r="2758" spans="8:14" x14ac:dyDescent="0.25">
      <c r="H2758" s="37"/>
      <c r="I2758" s="79"/>
      <c r="J2758" s="70"/>
      <c r="K2758" s="57"/>
      <c r="L2758" s="11"/>
      <c r="M2758" s="41"/>
      <c r="N2758" s="11"/>
    </row>
    <row r="2759" spans="8:14" x14ac:dyDescent="0.25">
      <c r="H2759" s="37"/>
      <c r="I2759" s="79"/>
      <c r="J2759" s="70"/>
      <c r="K2759" s="57"/>
      <c r="L2759" s="11"/>
      <c r="M2759" s="41"/>
      <c r="N2759" s="11"/>
    </row>
    <row r="2760" spans="8:14" x14ac:dyDescent="0.25">
      <c r="H2760" s="37"/>
      <c r="I2760" s="79"/>
      <c r="J2760" s="70"/>
      <c r="K2760" s="57"/>
      <c r="L2760" s="11"/>
      <c r="M2760" s="41"/>
      <c r="N2760" s="11"/>
    </row>
    <row r="2761" spans="8:14" x14ac:dyDescent="0.25">
      <c r="H2761" s="37"/>
      <c r="I2761" s="79"/>
      <c r="J2761" s="70"/>
      <c r="K2761" s="57"/>
      <c r="L2761" s="11"/>
      <c r="M2761" s="41"/>
      <c r="N2761" s="11"/>
    </row>
    <row r="2762" spans="8:14" x14ac:dyDescent="0.25">
      <c r="H2762" s="37"/>
      <c r="I2762" s="79"/>
      <c r="J2762" s="70"/>
      <c r="K2762" s="57"/>
      <c r="L2762" s="11"/>
      <c r="M2762" s="41"/>
      <c r="N2762" s="11"/>
    </row>
    <row r="2763" spans="8:14" x14ac:dyDescent="0.25">
      <c r="H2763" s="37"/>
      <c r="I2763" s="79"/>
      <c r="J2763" s="70"/>
      <c r="K2763" s="57"/>
      <c r="L2763" s="11"/>
      <c r="M2763" s="41"/>
      <c r="N2763" s="11"/>
    </row>
    <row r="2764" spans="8:14" x14ac:dyDescent="0.25">
      <c r="H2764" s="37"/>
      <c r="I2764" s="79"/>
      <c r="J2764" s="70"/>
      <c r="K2764" s="57"/>
      <c r="L2764" s="11"/>
      <c r="M2764" s="41"/>
      <c r="N2764" s="11"/>
    </row>
    <row r="2765" spans="8:14" x14ac:dyDescent="0.25">
      <c r="H2765" s="37"/>
      <c r="I2765" s="79"/>
      <c r="J2765" s="70"/>
      <c r="K2765" s="57"/>
      <c r="L2765" s="11"/>
      <c r="M2765" s="41"/>
      <c r="N2765" s="11"/>
    </row>
    <row r="2766" spans="8:14" x14ac:dyDescent="0.25">
      <c r="H2766" s="37"/>
      <c r="I2766" s="79"/>
      <c r="J2766" s="70"/>
      <c r="K2766" s="57"/>
      <c r="L2766" s="11"/>
      <c r="M2766" s="41"/>
      <c r="N2766" s="11"/>
    </row>
    <row r="2767" spans="8:14" x14ac:dyDescent="0.25">
      <c r="H2767" s="37"/>
      <c r="I2767" s="79"/>
      <c r="J2767" s="70"/>
      <c r="K2767" s="57"/>
      <c r="L2767" s="11"/>
      <c r="M2767" s="41"/>
      <c r="N2767" s="11"/>
    </row>
    <row r="2768" spans="8:14" x14ac:dyDescent="0.25">
      <c r="H2768" s="37"/>
      <c r="I2768" s="79"/>
      <c r="J2768" s="70"/>
      <c r="K2768" s="57"/>
      <c r="L2768" s="11"/>
      <c r="M2768" s="41"/>
      <c r="N2768" s="11"/>
    </row>
    <row r="2769" spans="8:14" x14ac:dyDescent="0.25">
      <c r="H2769" s="37"/>
      <c r="I2769" s="79"/>
      <c r="J2769" s="70"/>
      <c r="K2769" s="57"/>
      <c r="L2769" s="11"/>
      <c r="M2769" s="41"/>
      <c r="N2769" s="11"/>
    </row>
    <row r="2770" spans="8:14" x14ac:dyDescent="0.25">
      <c r="H2770" s="37"/>
      <c r="I2770" s="79"/>
      <c r="J2770" s="70"/>
      <c r="K2770" s="57"/>
      <c r="L2770" s="11"/>
      <c r="M2770" s="41"/>
      <c r="N2770" s="11"/>
    </row>
    <row r="2771" spans="8:14" x14ac:dyDescent="0.25">
      <c r="H2771" s="37"/>
      <c r="I2771" s="79"/>
      <c r="J2771" s="70"/>
      <c r="K2771" s="57"/>
      <c r="L2771" s="11"/>
      <c r="M2771" s="41"/>
      <c r="N2771" s="11"/>
    </row>
    <row r="2772" spans="8:14" x14ac:dyDescent="0.25">
      <c r="H2772" s="37"/>
      <c r="I2772" s="79"/>
      <c r="J2772" s="70"/>
      <c r="K2772" s="57"/>
      <c r="L2772" s="11"/>
      <c r="M2772" s="41"/>
      <c r="N2772" s="11"/>
    </row>
    <row r="2773" spans="8:14" x14ac:dyDescent="0.25">
      <c r="H2773" s="37"/>
      <c r="I2773" s="79"/>
      <c r="J2773" s="70"/>
      <c r="K2773" s="57"/>
      <c r="L2773" s="11"/>
      <c r="M2773" s="41"/>
      <c r="N2773" s="11"/>
    </row>
    <row r="2774" spans="8:14" x14ac:dyDescent="0.25">
      <c r="H2774" s="37"/>
      <c r="I2774" s="79"/>
      <c r="J2774" s="70"/>
      <c r="K2774" s="57"/>
      <c r="L2774" s="11"/>
      <c r="M2774" s="41"/>
      <c r="N2774" s="11"/>
    </row>
    <row r="2775" spans="8:14" x14ac:dyDescent="0.25">
      <c r="H2775" s="37"/>
      <c r="I2775" s="79"/>
      <c r="J2775" s="70"/>
      <c r="K2775" s="57"/>
      <c r="L2775" s="11"/>
      <c r="M2775" s="41"/>
      <c r="N2775" s="11"/>
    </row>
    <row r="2776" spans="8:14" x14ac:dyDescent="0.25">
      <c r="H2776" s="37"/>
      <c r="I2776" s="79"/>
      <c r="J2776" s="70"/>
      <c r="K2776" s="57"/>
      <c r="L2776" s="11"/>
      <c r="M2776" s="41"/>
      <c r="N2776" s="11"/>
    </row>
    <row r="2777" spans="8:14" x14ac:dyDescent="0.25">
      <c r="H2777" s="37"/>
      <c r="I2777" s="79"/>
      <c r="J2777" s="70"/>
      <c r="K2777" s="57"/>
      <c r="L2777" s="11"/>
      <c r="M2777" s="41"/>
      <c r="N2777" s="11"/>
    </row>
    <row r="2778" spans="8:14" x14ac:dyDescent="0.25">
      <c r="H2778" s="37"/>
      <c r="I2778" s="79"/>
      <c r="J2778" s="70"/>
      <c r="K2778" s="57"/>
      <c r="L2778" s="11"/>
      <c r="M2778" s="41"/>
      <c r="N2778" s="11"/>
    </row>
    <row r="2779" spans="8:14" x14ac:dyDescent="0.25">
      <c r="H2779" s="37"/>
      <c r="I2779" s="79"/>
      <c r="J2779" s="70"/>
      <c r="K2779" s="57"/>
      <c r="L2779" s="11"/>
      <c r="M2779" s="41"/>
      <c r="N2779" s="11"/>
    </row>
    <row r="2780" spans="8:14" x14ac:dyDescent="0.25">
      <c r="H2780" s="37"/>
      <c r="I2780" s="79"/>
      <c r="J2780" s="70"/>
      <c r="K2780" s="57"/>
      <c r="L2780" s="11"/>
      <c r="M2780" s="41"/>
      <c r="N2780" s="11"/>
    </row>
    <row r="2781" spans="8:14" x14ac:dyDescent="0.25">
      <c r="H2781" s="37"/>
      <c r="I2781" s="79"/>
      <c r="J2781" s="70"/>
      <c r="K2781" s="57"/>
      <c r="L2781" s="11"/>
      <c r="M2781" s="41"/>
      <c r="N2781" s="11"/>
    </row>
    <row r="2782" spans="8:14" x14ac:dyDescent="0.25">
      <c r="H2782" s="37"/>
      <c r="I2782" s="79"/>
      <c r="J2782" s="70"/>
      <c r="K2782" s="57"/>
      <c r="L2782" s="11"/>
      <c r="M2782" s="41"/>
      <c r="N2782" s="11"/>
    </row>
    <row r="2783" spans="8:14" x14ac:dyDescent="0.25">
      <c r="H2783" s="37"/>
      <c r="I2783" s="79"/>
      <c r="J2783" s="70"/>
      <c r="K2783" s="57"/>
      <c r="L2783" s="11"/>
      <c r="M2783" s="41"/>
      <c r="N2783" s="11"/>
    </row>
    <row r="2784" spans="8:14" x14ac:dyDescent="0.25">
      <c r="H2784" s="37"/>
      <c r="I2784" s="79"/>
      <c r="J2784" s="70"/>
      <c r="K2784" s="57"/>
      <c r="L2784" s="11"/>
      <c r="M2784" s="41"/>
      <c r="N2784" s="11"/>
    </row>
    <row r="2785" spans="8:14" x14ac:dyDescent="0.25">
      <c r="H2785" s="37"/>
      <c r="I2785" s="79"/>
      <c r="J2785" s="70"/>
      <c r="K2785" s="57"/>
      <c r="L2785" s="11"/>
      <c r="M2785" s="41"/>
      <c r="N2785" s="11"/>
    </row>
    <row r="2786" spans="8:14" x14ac:dyDescent="0.25">
      <c r="H2786" s="37"/>
      <c r="I2786" s="79"/>
      <c r="J2786" s="70"/>
      <c r="K2786" s="57"/>
      <c r="L2786" s="11"/>
      <c r="M2786" s="41"/>
      <c r="N2786" s="11"/>
    </row>
    <row r="2787" spans="8:14" x14ac:dyDescent="0.25">
      <c r="H2787" s="37"/>
      <c r="I2787" s="79"/>
      <c r="J2787" s="70"/>
      <c r="K2787" s="57"/>
      <c r="L2787" s="11"/>
      <c r="M2787" s="41"/>
      <c r="N2787" s="11"/>
    </row>
    <row r="2788" spans="8:14" x14ac:dyDescent="0.25">
      <c r="H2788" s="37"/>
      <c r="I2788" s="79"/>
      <c r="J2788" s="70"/>
      <c r="K2788" s="57"/>
      <c r="L2788" s="11"/>
      <c r="M2788" s="41"/>
      <c r="N2788" s="11"/>
    </row>
    <row r="2789" spans="8:14" x14ac:dyDescent="0.25">
      <c r="H2789" s="37"/>
      <c r="I2789" s="79"/>
      <c r="J2789" s="70"/>
      <c r="K2789" s="57"/>
      <c r="L2789" s="11"/>
      <c r="M2789" s="41"/>
      <c r="N2789" s="11"/>
    </row>
    <row r="2790" spans="8:14" x14ac:dyDescent="0.25">
      <c r="H2790" s="37"/>
      <c r="I2790" s="79"/>
      <c r="J2790" s="70"/>
      <c r="K2790" s="57"/>
      <c r="L2790" s="11"/>
      <c r="M2790" s="41"/>
      <c r="N2790" s="11"/>
    </row>
    <row r="2791" spans="8:14" x14ac:dyDescent="0.25">
      <c r="H2791" s="37"/>
      <c r="I2791" s="79"/>
      <c r="J2791" s="70"/>
      <c r="K2791" s="57"/>
      <c r="L2791" s="11"/>
      <c r="M2791" s="41"/>
      <c r="N2791" s="11"/>
    </row>
    <row r="2792" spans="8:14" x14ac:dyDescent="0.25">
      <c r="H2792" s="37"/>
      <c r="I2792" s="79"/>
      <c r="J2792" s="70"/>
      <c r="K2792" s="57"/>
      <c r="L2792" s="11"/>
      <c r="M2792" s="41"/>
      <c r="N2792" s="11"/>
    </row>
    <row r="2793" spans="8:14" x14ac:dyDescent="0.25">
      <c r="H2793" s="37"/>
      <c r="I2793" s="79"/>
      <c r="J2793" s="70"/>
      <c r="K2793" s="57"/>
      <c r="L2793" s="11"/>
      <c r="M2793" s="41"/>
      <c r="N2793" s="11"/>
    </row>
    <row r="2794" spans="8:14" x14ac:dyDescent="0.25">
      <c r="H2794" s="37"/>
      <c r="I2794" s="79"/>
      <c r="J2794" s="70"/>
      <c r="K2794" s="57"/>
      <c r="L2794" s="11"/>
      <c r="M2794" s="41"/>
      <c r="N2794" s="11"/>
    </row>
    <row r="2795" spans="8:14" x14ac:dyDescent="0.25">
      <c r="H2795" s="37"/>
      <c r="I2795" s="79"/>
      <c r="J2795" s="70"/>
      <c r="K2795" s="57"/>
      <c r="L2795" s="11"/>
      <c r="M2795" s="41"/>
      <c r="N2795" s="11"/>
    </row>
    <row r="2796" spans="8:14" x14ac:dyDescent="0.25">
      <c r="H2796" s="37"/>
      <c r="I2796" s="79"/>
      <c r="J2796" s="70"/>
      <c r="K2796" s="57"/>
      <c r="L2796" s="11"/>
      <c r="M2796" s="41"/>
      <c r="N2796" s="11"/>
    </row>
    <row r="2797" spans="8:14" x14ac:dyDescent="0.25">
      <c r="H2797" s="37"/>
      <c r="I2797" s="79"/>
      <c r="J2797" s="70"/>
      <c r="K2797" s="57"/>
      <c r="L2797" s="11"/>
      <c r="M2797" s="41"/>
      <c r="N2797" s="11"/>
    </row>
    <row r="2798" spans="8:14" x14ac:dyDescent="0.25">
      <c r="H2798" s="37"/>
      <c r="I2798" s="79"/>
      <c r="J2798" s="70"/>
      <c r="K2798" s="57"/>
      <c r="L2798" s="11"/>
      <c r="M2798" s="41"/>
      <c r="N2798" s="11"/>
    </row>
    <row r="2799" spans="8:14" x14ac:dyDescent="0.25">
      <c r="H2799" s="37"/>
      <c r="I2799" s="79"/>
      <c r="J2799" s="70"/>
      <c r="K2799" s="57"/>
      <c r="L2799" s="11"/>
      <c r="M2799" s="41"/>
      <c r="N2799" s="11"/>
    </row>
    <row r="2800" spans="8:14" x14ac:dyDescent="0.25">
      <c r="H2800" s="37"/>
      <c r="I2800" s="79"/>
      <c r="J2800" s="70"/>
      <c r="K2800" s="57"/>
      <c r="L2800" s="11"/>
      <c r="M2800" s="41"/>
      <c r="N2800" s="11"/>
    </row>
    <row r="2801" spans="8:14" x14ac:dyDescent="0.25">
      <c r="H2801" s="37"/>
      <c r="I2801" s="79"/>
      <c r="J2801" s="70"/>
      <c r="K2801" s="57"/>
      <c r="L2801" s="11"/>
      <c r="M2801" s="41"/>
      <c r="N2801" s="11"/>
    </row>
    <row r="2802" spans="8:14" x14ac:dyDescent="0.25">
      <c r="H2802" s="37"/>
      <c r="I2802" s="79"/>
      <c r="J2802" s="70"/>
      <c r="K2802" s="57"/>
      <c r="L2802" s="11"/>
      <c r="M2802" s="41"/>
      <c r="N2802" s="11"/>
    </row>
    <row r="2803" spans="8:14" x14ac:dyDescent="0.25">
      <c r="H2803" s="37"/>
      <c r="I2803" s="79"/>
      <c r="J2803" s="70"/>
      <c r="K2803" s="57"/>
      <c r="L2803" s="11"/>
      <c r="M2803" s="41"/>
      <c r="N2803" s="11"/>
    </row>
    <row r="2804" spans="8:14" x14ac:dyDescent="0.25">
      <c r="H2804" s="37"/>
      <c r="I2804" s="79"/>
      <c r="J2804" s="70"/>
      <c r="K2804" s="57"/>
      <c r="L2804" s="11"/>
      <c r="M2804" s="41"/>
      <c r="N2804" s="11"/>
    </row>
    <row r="2805" spans="8:14" x14ac:dyDescent="0.25">
      <c r="H2805" s="37"/>
      <c r="I2805" s="79"/>
      <c r="J2805" s="70"/>
      <c r="K2805" s="57"/>
      <c r="L2805" s="11"/>
      <c r="M2805" s="41"/>
      <c r="N2805" s="11"/>
    </row>
    <row r="2806" spans="8:14" x14ac:dyDescent="0.25">
      <c r="H2806" s="37"/>
      <c r="I2806" s="79"/>
      <c r="J2806" s="70"/>
      <c r="K2806" s="57"/>
      <c r="L2806" s="11"/>
      <c r="M2806" s="41"/>
      <c r="N2806" s="11"/>
    </row>
    <row r="2807" spans="8:14" x14ac:dyDescent="0.25">
      <c r="H2807" s="37"/>
      <c r="I2807" s="79"/>
      <c r="J2807" s="70"/>
      <c r="K2807" s="57"/>
      <c r="L2807" s="11"/>
      <c r="M2807" s="41"/>
      <c r="N2807" s="11"/>
    </row>
    <row r="2808" spans="8:14" x14ac:dyDescent="0.25">
      <c r="H2808" s="37"/>
      <c r="I2808" s="79"/>
      <c r="J2808" s="70"/>
      <c r="K2808" s="57"/>
      <c r="L2808" s="11"/>
      <c r="M2808" s="41"/>
      <c r="N2808" s="11"/>
    </row>
    <row r="2809" spans="8:14" x14ac:dyDescent="0.25">
      <c r="H2809" s="37"/>
      <c r="I2809" s="79"/>
      <c r="J2809" s="70"/>
      <c r="K2809" s="57"/>
      <c r="L2809" s="11"/>
      <c r="M2809" s="41"/>
      <c r="N2809" s="11"/>
    </row>
    <row r="2810" spans="8:14" x14ac:dyDescent="0.25">
      <c r="H2810" s="37"/>
      <c r="I2810" s="79"/>
      <c r="J2810" s="70"/>
      <c r="K2810" s="57"/>
      <c r="L2810" s="11"/>
      <c r="M2810" s="41"/>
      <c r="N2810" s="11"/>
    </row>
    <row r="2811" spans="8:14" x14ac:dyDescent="0.25">
      <c r="H2811" s="37"/>
      <c r="I2811" s="79"/>
      <c r="J2811" s="70"/>
      <c r="K2811" s="57"/>
      <c r="L2811" s="11"/>
      <c r="M2811" s="41"/>
      <c r="N2811" s="11"/>
    </row>
    <row r="2812" spans="8:14" x14ac:dyDescent="0.25">
      <c r="H2812" s="37"/>
      <c r="I2812" s="79"/>
      <c r="J2812" s="70"/>
      <c r="K2812" s="57"/>
      <c r="L2812" s="11"/>
      <c r="M2812" s="41"/>
      <c r="N2812" s="11"/>
    </row>
    <row r="2813" spans="8:14" x14ac:dyDescent="0.25">
      <c r="H2813" s="37"/>
      <c r="I2813" s="79"/>
      <c r="J2813" s="70"/>
      <c r="K2813" s="57"/>
      <c r="L2813" s="11"/>
      <c r="M2813" s="41"/>
      <c r="N2813" s="11"/>
    </row>
    <row r="2814" spans="8:14" x14ac:dyDescent="0.25">
      <c r="H2814" s="37"/>
      <c r="I2814" s="79"/>
      <c r="J2814" s="70"/>
      <c r="K2814" s="57"/>
      <c r="L2814" s="11"/>
      <c r="M2814" s="41"/>
      <c r="N2814" s="11"/>
    </row>
    <row r="2815" spans="8:14" x14ac:dyDescent="0.25">
      <c r="H2815" s="37"/>
      <c r="I2815" s="79"/>
      <c r="J2815" s="70"/>
      <c r="K2815" s="57"/>
      <c r="L2815" s="11"/>
      <c r="M2815" s="41"/>
      <c r="N2815" s="11"/>
    </row>
    <row r="2816" spans="8:14" x14ac:dyDescent="0.25">
      <c r="H2816" s="37"/>
      <c r="I2816" s="79"/>
      <c r="J2816" s="70"/>
      <c r="K2816" s="57"/>
      <c r="L2816" s="11"/>
      <c r="M2816" s="41"/>
      <c r="N2816" s="11"/>
    </row>
    <row r="2817" spans="8:14" x14ac:dyDescent="0.25">
      <c r="H2817" s="37"/>
      <c r="I2817" s="79"/>
      <c r="J2817" s="70"/>
      <c r="K2817" s="57"/>
      <c r="L2817" s="11"/>
      <c r="M2817" s="41"/>
      <c r="N2817" s="11"/>
    </row>
    <row r="2818" spans="8:14" x14ac:dyDescent="0.25">
      <c r="H2818" s="37"/>
      <c r="I2818" s="79"/>
      <c r="J2818" s="70"/>
      <c r="K2818" s="57"/>
      <c r="L2818" s="11"/>
      <c r="M2818" s="41"/>
      <c r="N2818" s="11"/>
    </row>
    <row r="2819" spans="8:14" x14ac:dyDescent="0.25">
      <c r="H2819" s="37"/>
      <c r="I2819" s="79"/>
      <c r="J2819" s="70"/>
      <c r="K2819" s="57"/>
      <c r="L2819" s="11"/>
      <c r="M2819" s="41"/>
      <c r="N2819" s="11"/>
    </row>
    <row r="2820" spans="8:14" x14ac:dyDescent="0.25">
      <c r="H2820" s="37"/>
      <c r="I2820" s="79"/>
      <c r="J2820" s="70"/>
      <c r="K2820" s="57"/>
      <c r="L2820" s="11"/>
      <c r="M2820" s="41"/>
      <c r="N2820" s="11"/>
    </row>
    <row r="2821" spans="8:14" x14ac:dyDescent="0.25">
      <c r="H2821" s="37"/>
      <c r="I2821" s="79"/>
      <c r="J2821" s="70"/>
      <c r="K2821" s="57"/>
      <c r="L2821" s="11"/>
      <c r="M2821" s="41"/>
      <c r="N2821" s="11"/>
    </row>
    <row r="2822" spans="8:14" x14ac:dyDescent="0.25">
      <c r="H2822" s="37"/>
      <c r="I2822" s="79"/>
      <c r="J2822" s="70"/>
      <c r="K2822" s="57"/>
      <c r="L2822" s="11"/>
      <c r="M2822" s="41"/>
      <c r="N2822" s="11"/>
    </row>
    <row r="2823" spans="8:14" x14ac:dyDescent="0.25">
      <c r="H2823" s="37"/>
      <c r="I2823" s="79"/>
      <c r="J2823" s="70"/>
      <c r="K2823" s="57"/>
      <c r="L2823" s="11"/>
      <c r="M2823" s="41"/>
      <c r="N2823" s="11"/>
    </row>
    <row r="2824" spans="8:14" x14ac:dyDescent="0.25">
      <c r="H2824" s="37"/>
      <c r="I2824" s="79"/>
      <c r="J2824" s="70"/>
      <c r="K2824" s="57"/>
      <c r="L2824" s="11"/>
      <c r="M2824" s="41"/>
      <c r="N2824" s="11"/>
    </row>
    <row r="2825" spans="8:14" x14ac:dyDescent="0.25">
      <c r="H2825" s="37"/>
      <c r="I2825" s="79"/>
      <c r="J2825" s="70"/>
      <c r="K2825" s="57"/>
      <c r="L2825" s="11"/>
      <c r="M2825" s="41"/>
      <c r="N2825" s="11"/>
    </row>
    <row r="2826" spans="8:14" x14ac:dyDescent="0.25">
      <c r="H2826" s="37"/>
      <c r="I2826" s="79"/>
      <c r="J2826" s="70"/>
      <c r="K2826" s="57"/>
      <c r="L2826" s="11"/>
      <c r="M2826" s="41"/>
      <c r="N2826" s="11"/>
    </row>
    <row r="2827" spans="8:14" x14ac:dyDescent="0.25">
      <c r="H2827" s="37"/>
      <c r="I2827" s="79"/>
      <c r="J2827" s="70"/>
      <c r="K2827" s="57"/>
      <c r="L2827" s="11"/>
      <c r="M2827" s="41"/>
      <c r="N2827" s="11"/>
    </row>
    <row r="2828" spans="8:14" x14ac:dyDescent="0.25">
      <c r="H2828" s="37"/>
      <c r="I2828" s="79"/>
      <c r="J2828" s="70"/>
      <c r="K2828" s="57"/>
      <c r="L2828" s="11"/>
      <c r="M2828" s="41"/>
      <c r="N2828" s="11"/>
    </row>
    <row r="2829" spans="8:14" x14ac:dyDescent="0.25">
      <c r="H2829" s="37"/>
      <c r="I2829" s="79"/>
      <c r="J2829" s="70"/>
      <c r="K2829" s="57"/>
      <c r="L2829" s="11"/>
      <c r="M2829" s="41"/>
      <c r="N2829" s="11"/>
    </row>
    <row r="2830" spans="8:14" x14ac:dyDescent="0.25">
      <c r="H2830" s="37"/>
      <c r="I2830" s="79"/>
      <c r="J2830" s="70"/>
      <c r="K2830" s="57"/>
      <c r="L2830" s="11"/>
      <c r="M2830" s="41"/>
      <c r="N2830" s="11"/>
    </row>
    <row r="2831" spans="8:14" x14ac:dyDescent="0.25">
      <c r="H2831" s="37"/>
      <c r="I2831" s="79"/>
      <c r="J2831" s="70"/>
      <c r="K2831" s="57"/>
      <c r="L2831" s="11"/>
      <c r="M2831" s="41"/>
      <c r="N2831" s="11"/>
    </row>
    <row r="2832" spans="8:14" x14ac:dyDescent="0.25">
      <c r="H2832" s="37"/>
      <c r="I2832" s="79"/>
      <c r="J2832" s="70"/>
      <c r="K2832" s="57"/>
      <c r="L2832" s="11"/>
      <c r="M2832" s="41"/>
      <c r="N2832" s="11"/>
    </row>
    <row r="2833" spans="8:14" x14ac:dyDescent="0.25">
      <c r="H2833" s="37"/>
      <c r="I2833" s="79"/>
      <c r="J2833" s="70"/>
      <c r="K2833" s="57"/>
      <c r="L2833" s="11"/>
      <c r="M2833" s="41"/>
      <c r="N2833" s="11"/>
    </row>
    <row r="2834" spans="8:14" x14ac:dyDescent="0.25">
      <c r="H2834" s="37"/>
      <c r="I2834" s="79"/>
      <c r="J2834" s="70"/>
      <c r="K2834" s="57"/>
      <c r="L2834" s="11"/>
      <c r="M2834" s="41"/>
      <c r="N2834" s="11"/>
    </row>
    <row r="2835" spans="8:14" x14ac:dyDescent="0.25">
      <c r="H2835" s="37"/>
      <c r="I2835" s="79"/>
      <c r="J2835" s="70"/>
      <c r="K2835" s="57"/>
      <c r="L2835" s="11"/>
      <c r="M2835" s="41"/>
      <c r="N2835" s="11"/>
    </row>
    <row r="2836" spans="8:14" x14ac:dyDescent="0.25">
      <c r="H2836" s="37"/>
      <c r="I2836" s="79"/>
      <c r="J2836" s="70"/>
      <c r="K2836" s="57"/>
      <c r="L2836" s="11"/>
      <c r="M2836" s="41"/>
      <c r="N2836" s="11"/>
    </row>
    <row r="2837" spans="8:14" x14ac:dyDescent="0.25">
      <c r="H2837" s="37"/>
      <c r="I2837" s="79"/>
      <c r="J2837" s="70"/>
      <c r="K2837" s="57"/>
      <c r="L2837" s="11"/>
      <c r="M2837" s="41"/>
      <c r="N2837" s="11"/>
    </row>
    <row r="2838" spans="8:14" x14ac:dyDescent="0.25">
      <c r="H2838" s="37"/>
      <c r="I2838" s="79"/>
      <c r="J2838" s="70"/>
      <c r="K2838" s="57"/>
      <c r="L2838" s="11"/>
      <c r="M2838" s="41"/>
      <c r="N2838" s="11"/>
    </row>
    <row r="2839" spans="8:14" x14ac:dyDescent="0.25">
      <c r="H2839" s="37"/>
      <c r="I2839" s="79"/>
      <c r="J2839" s="70"/>
      <c r="K2839" s="57"/>
      <c r="L2839" s="11"/>
      <c r="M2839" s="41"/>
      <c r="N2839" s="11"/>
    </row>
    <row r="2840" spans="8:14" x14ac:dyDescent="0.25">
      <c r="H2840" s="37"/>
      <c r="I2840" s="79"/>
      <c r="J2840" s="70"/>
      <c r="K2840" s="57"/>
      <c r="L2840" s="11"/>
      <c r="M2840" s="41"/>
      <c r="N2840" s="11"/>
    </row>
    <row r="2841" spans="8:14" x14ac:dyDescent="0.25">
      <c r="H2841" s="37"/>
      <c r="I2841" s="79"/>
      <c r="J2841" s="70"/>
      <c r="K2841" s="57"/>
      <c r="L2841" s="11"/>
      <c r="M2841" s="41"/>
      <c r="N2841" s="11"/>
    </row>
    <row r="2842" spans="8:14" x14ac:dyDescent="0.25">
      <c r="H2842" s="37"/>
      <c r="I2842" s="79"/>
      <c r="J2842" s="70"/>
      <c r="K2842" s="57"/>
      <c r="L2842" s="11"/>
      <c r="M2842" s="41"/>
      <c r="N2842" s="11"/>
    </row>
    <row r="2843" spans="8:14" x14ac:dyDescent="0.25">
      <c r="H2843" s="37"/>
      <c r="I2843" s="79"/>
      <c r="J2843" s="70"/>
      <c r="K2843" s="57"/>
      <c r="L2843" s="11"/>
      <c r="M2843" s="41"/>
      <c r="N2843" s="11"/>
    </row>
    <row r="2844" spans="8:14" x14ac:dyDescent="0.25">
      <c r="H2844" s="37"/>
      <c r="I2844" s="79"/>
      <c r="J2844" s="70"/>
      <c r="K2844" s="57"/>
      <c r="L2844" s="11"/>
      <c r="M2844" s="41"/>
      <c r="N2844" s="11"/>
    </row>
    <row r="2845" spans="8:14" x14ac:dyDescent="0.25">
      <c r="H2845" s="37"/>
      <c r="I2845" s="79"/>
      <c r="J2845" s="70"/>
      <c r="K2845" s="57"/>
      <c r="L2845" s="11"/>
      <c r="M2845" s="41"/>
      <c r="N2845" s="11"/>
    </row>
    <row r="2846" spans="8:14" x14ac:dyDescent="0.25">
      <c r="H2846" s="37"/>
      <c r="I2846" s="79"/>
      <c r="J2846" s="70"/>
      <c r="K2846" s="57"/>
      <c r="L2846" s="11"/>
      <c r="M2846" s="41"/>
      <c r="N2846" s="11"/>
    </row>
    <row r="2847" spans="8:14" x14ac:dyDescent="0.25">
      <c r="H2847" s="37"/>
      <c r="I2847" s="79"/>
      <c r="J2847" s="70"/>
      <c r="K2847" s="57"/>
      <c r="L2847" s="11"/>
      <c r="M2847" s="41"/>
      <c r="N2847" s="11"/>
    </row>
    <row r="2848" spans="8:14" x14ac:dyDescent="0.25">
      <c r="H2848" s="37"/>
      <c r="I2848" s="79"/>
      <c r="J2848" s="70"/>
      <c r="K2848" s="57"/>
      <c r="L2848" s="11"/>
      <c r="M2848" s="41"/>
      <c r="N2848" s="11"/>
    </row>
    <row r="2849" spans="8:14" x14ac:dyDescent="0.25">
      <c r="H2849" s="37"/>
      <c r="I2849" s="79"/>
      <c r="J2849" s="70"/>
      <c r="K2849" s="57"/>
      <c r="L2849" s="11"/>
      <c r="M2849" s="41"/>
      <c r="N2849" s="11"/>
    </row>
    <row r="2850" spans="8:14" x14ac:dyDescent="0.25">
      <c r="H2850" s="37"/>
      <c r="I2850" s="79"/>
      <c r="J2850" s="70"/>
      <c r="K2850" s="57"/>
      <c r="L2850" s="11"/>
      <c r="M2850" s="41"/>
      <c r="N2850" s="11"/>
    </row>
    <row r="2851" spans="8:14" x14ac:dyDescent="0.25">
      <c r="H2851" s="37"/>
      <c r="I2851" s="79"/>
      <c r="J2851" s="70"/>
      <c r="K2851" s="57"/>
      <c r="L2851" s="11"/>
      <c r="M2851" s="41"/>
      <c r="N2851" s="11"/>
    </row>
    <row r="2852" spans="8:14" x14ac:dyDescent="0.25">
      <c r="H2852" s="37"/>
      <c r="I2852" s="79"/>
      <c r="J2852" s="70"/>
      <c r="K2852" s="57"/>
      <c r="L2852" s="11"/>
      <c r="M2852" s="41"/>
      <c r="N2852" s="11"/>
    </row>
    <row r="2853" spans="8:14" x14ac:dyDescent="0.25">
      <c r="H2853" s="37"/>
      <c r="I2853" s="79"/>
      <c r="J2853" s="70"/>
      <c r="K2853" s="57"/>
      <c r="L2853" s="11"/>
      <c r="M2853" s="41"/>
      <c r="N2853" s="11"/>
    </row>
    <row r="2854" spans="8:14" x14ac:dyDescent="0.25">
      <c r="H2854" s="37"/>
      <c r="I2854" s="79"/>
      <c r="J2854" s="70"/>
      <c r="K2854" s="57"/>
      <c r="L2854" s="11"/>
      <c r="M2854" s="41"/>
      <c r="N2854" s="11"/>
    </row>
    <row r="2855" spans="8:14" x14ac:dyDescent="0.25">
      <c r="H2855" s="37"/>
      <c r="I2855" s="79"/>
      <c r="J2855" s="70"/>
      <c r="K2855" s="57"/>
      <c r="L2855" s="11"/>
      <c r="M2855" s="41"/>
      <c r="N2855" s="11"/>
    </row>
    <row r="2856" spans="8:14" x14ac:dyDescent="0.25">
      <c r="H2856" s="37"/>
      <c r="I2856" s="79"/>
      <c r="J2856" s="70"/>
      <c r="K2856" s="57"/>
      <c r="L2856" s="11"/>
      <c r="M2856" s="41"/>
      <c r="N2856" s="11"/>
    </row>
    <row r="2857" spans="8:14" x14ac:dyDescent="0.25">
      <c r="H2857" s="37"/>
      <c r="I2857" s="79"/>
      <c r="J2857" s="70"/>
      <c r="K2857" s="57"/>
      <c r="L2857" s="11"/>
      <c r="M2857" s="41"/>
      <c r="N2857" s="11"/>
    </row>
    <row r="2858" spans="8:14" x14ac:dyDescent="0.25">
      <c r="H2858" s="37"/>
      <c r="I2858" s="79"/>
      <c r="J2858" s="70"/>
      <c r="K2858" s="57"/>
      <c r="L2858" s="11"/>
      <c r="M2858" s="41"/>
      <c r="N2858" s="11"/>
    </row>
    <row r="2859" spans="8:14" x14ac:dyDescent="0.25">
      <c r="H2859" s="37"/>
      <c r="I2859" s="79"/>
      <c r="J2859" s="70"/>
      <c r="K2859" s="57"/>
      <c r="L2859" s="11"/>
      <c r="M2859" s="41"/>
      <c r="N2859" s="11"/>
    </row>
    <row r="2860" spans="8:14" x14ac:dyDescent="0.25">
      <c r="H2860" s="37"/>
      <c r="I2860" s="79"/>
      <c r="J2860" s="70"/>
      <c r="K2860" s="57"/>
      <c r="L2860" s="11"/>
      <c r="M2860" s="41"/>
      <c r="N2860" s="11"/>
    </row>
    <row r="2861" spans="8:14" x14ac:dyDescent="0.25">
      <c r="H2861" s="37"/>
      <c r="I2861" s="79"/>
      <c r="J2861" s="70"/>
      <c r="K2861" s="57"/>
      <c r="L2861" s="11"/>
      <c r="M2861" s="41"/>
      <c r="N2861" s="11"/>
    </row>
    <row r="2862" spans="8:14" x14ac:dyDescent="0.25">
      <c r="H2862" s="37"/>
      <c r="I2862" s="79"/>
      <c r="J2862" s="70"/>
      <c r="K2862" s="57"/>
      <c r="L2862" s="11"/>
      <c r="M2862" s="41"/>
      <c r="N2862" s="11"/>
    </row>
    <row r="2863" spans="8:14" x14ac:dyDescent="0.25">
      <c r="H2863" s="37"/>
      <c r="I2863" s="79"/>
      <c r="J2863" s="70"/>
      <c r="K2863" s="57"/>
      <c r="L2863" s="11"/>
      <c r="M2863" s="41"/>
      <c r="N2863" s="11"/>
    </row>
    <row r="2864" spans="8:14" x14ac:dyDescent="0.25">
      <c r="H2864" s="37"/>
      <c r="I2864" s="79"/>
      <c r="J2864" s="70"/>
      <c r="K2864" s="57"/>
      <c r="L2864" s="11"/>
      <c r="M2864" s="41"/>
      <c r="N2864" s="11"/>
    </row>
    <row r="2865" spans="8:14" x14ac:dyDescent="0.25">
      <c r="H2865" s="37"/>
      <c r="I2865" s="79"/>
      <c r="J2865" s="70"/>
      <c r="K2865" s="57"/>
      <c r="L2865" s="11"/>
      <c r="M2865" s="41"/>
      <c r="N2865" s="11"/>
    </row>
    <row r="2866" spans="8:14" x14ac:dyDescent="0.25">
      <c r="H2866" s="37"/>
      <c r="I2866" s="79"/>
      <c r="J2866" s="70"/>
      <c r="K2866" s="57"/>
      <c r="L2866" s="11"/>
      <c r="M2866" s="41"/>
      <c r="N2866" s="11"/>
    </row>
    <row r="2867" spans="8:14" x14ac:dyDescent="0.25">
      <c r="H2867" s="37"/>
      <c r="I2867" s="79"/>
      <c r="J2867" s="70"/>
      <c r="K2867" s="57"/>
      <c r="L2867" s="11"/>
      <c r="M2867" s="41"/>
      <c r="N2867" s="11"/>
    </row>
    <row r="2868" spans="8:14" x14ac:dyDescent="0.25">
      <c r="H2868" s="37"/>
      <c r="I2868" s="79"/>
      <c r="J2868" s="70"/>
      <c r="K2868" s="57"/>
      <c r="L2868" s="11"/>
      <c r="M2868" s="41"/>
      <c r="N2868" s="11"/>
    </row>
    <row r="2869" spans="8:14" x14ac:dyDescent="0.25">
      <c r="H2869" s="37"/>
      <c r="I2869" s="79"/>
      <c r="J2869" s="70"/>
      <c r="K2869" s="57"/>
      <c r="L2869" s="11"/>
      <c r="M2869" s="41"/>
      <c r="N2869" s="11"/>
    </row>
    <row r="2870" spans="8:14" x14ac:dyDescent="0.25">
      <c r="H2870" s="37"/>
      <c r="I2870" s="79"/>
      <c r="J2870" s="70"/>
      <c r="K2870" s="57"/>
      <c r="L2870" s="11"/>
      <c r="M2870" s="41"/>
      <c r="N2870" s="11"/>
    </row>
    <row r="2871" spans="8:14" x14ac:dyDescent="0.25">
      <c r="H2871" s="37"/>
      <c r="I2871" s="79"/>
      <c r="J2871" s="70"/>
      <c r="K2871" s="57"/>
      <c r="L2871" s="11"/>
      <c r="M2871" s="41"/>
      <c r="N2871" s="11"/>
    </row>
    <row r="2872" spans="8:14" x14ac:dyDescent="0.25">
      <c r="H2872" s="37"/>
      <c r="I2872" s="79"/>
      <c r="J2872" s="70"/>
      <c r="K2872" s="57"/>
      <c r="L2872" s="11"/>
      <c r="M2872" s="41"/>
      <c r="N2872" s="11"/>
    </row>
    <row r="2873" spans="8:14" x14ac:dyDescent="0.25">
      <c r="H2873" s="37"/>
      <c r="I2873" s="79"/>
      <c r="J2873" s="70"/>
      <c r="K2873" s="57"/>
      <c r="L2873" s="11"/>
      <c r="M2873" s="41"/>
      <c r="N2873" s="11"/>
    </row>
    <row r="2874" spans="8:14" x14ac:dyDescent="0.25">
      <c r="H2874" s="37"/>
      <c r="I2874" s="79"/>
      <c r="J2874" s="70"/>
      <c r="K2874" s="57"/>
      <c r="L2874" s="11"/>
      <c r="M2874" s="41"/>
      <c r="N2874" s="11"/>
    </row>
    <row r="2875" spans="8:14" x14ac:dyDescent="0.25">
      <c r="H2875" s="37"/>
      <c r="I2875" s="79"/>
      <c r="J2875" s="70"/>
      <c r="K2875" s="57"/>
      <c r="L2875" s="11"/>
      <c r="M2875" s="41"/>
      <c r="N2875" s="11"/>
    </row>
    <row r="2876" spans="8:14" x14ac:dyDescent="0.25">
      <c r="H2876" s="37"/>
      <c r="I2876" s="79"/>
      <c r="J2876" s="70"/>
      <c r="K2876" s="57"/>
      <c r="L2876" s="11"/>
      <c r="M2876" s="41"/>
      <c r="N2876" s="11"/>
    </row>
    <row r="2877" spans="8:14" x14ac:dyDescent="0.25">
      <c r="H2877" s="37"/>
      <c r="I2877" s="79"/>
      <c r="J2877" s="70"/>
      <c r="K2877" s="57"/>
      <c r="L2877" s="11"/>
      <c r="M2877" s="41"/>
      <c r="N2877" s="11"/>
    </row>
    <row r="2878" spans="8:14" x14ac:dyDescent="0.25">
      <c r="H2878" s="37"/>
      <c r="I2878" s="79"/>
      <c r="J2878" s="70"/>
      <c r="K2878" s="57"/>
      <c r="L2878" s="11"/>
      <c r="M2878" s="41"/>
      <c r="N2878" s="11"/>
    </row>
    <row r="2879" spans="8:14" x14ac:dyDescent="0.25">
      <c r="H2879" s="37"/>
      <c r="I2879" s="79"/>
      <c r="J2879" s="70"/>
      <c r="K2879" s="57"/>
      <c r="L2879" s="11"/>
      <c r="M2879" s="41"/>
      <c r="N2879" s="11"/>
    </row>
    <row r="2880" spans="8:14" x14ac:dyDescent="0.25">
      <c r="H2880" s="37"/>
      <c r="I2880" s="79"/>
      <c r="J2880" s="70"/>
      <c r="K2880" s="57"/>
      <c r="L2880" s="11"/>
      <c r="M2880" s="41"/>
      <c r="N2880" s="11"/>
    </row>
    <row r="2881" spans="8:14" x14ac:dyDescent="0.25">
      <c r="H2881" s="37"/>
      <c r="I2881" s="79"/>
      <c r="J2881" s="70"/>
      <c r="K2881" s="57"/>
      <c r="L2881" s="11"/>
      <c r="M2881" s="41"/>
      <c r="N2881" s="11"/>
    </row>
    <row r="2882" spans="8:14" x14ac:dyDescent="0.25">
      <c r="H2882" s="37"/>
      <c r="I2882" s="79"/>
      <c r="J2882" s="70"/>
      <c r="K2882" s="57"/>
      <c r="L2882" s="11"/>
      <c r="M2882" s="41"/>
      <c r="N2882" s="11"/>
    </row>
    <row r="2883" spans="8:14" x14ac:dyDescent="0.25">
      <c r="H2883" s="37"/>
      <c r="I2883" s="79"/>
      <c r="J2883" s="70"/>
      <c r="K2883" s="57"/>
      <c r="L2883" s="11"/>
      <c r="M2883" s="41"/>
      <c r="N2883" s="11"/>
    </row>
    <row r="2884" spans="8:14" x14ac:dyDescent="0.25">
      <c r="H2884" s="37"/>
      <c r="I2884" s="79"/>
      <c r="J2884" s="70"/>
      <c r="K2884" s="57"/>
      <c r="L2884" s="11"/>
      <c r="M2884" s="41"/>
      <c r="N2884" s="11"/>
    </row>
    <row r="2885" spans="8:14" x14ac:dyDescent="0.25">
      <c r="H2885" s="37"/>
      <c r="I2885" s="79"/>
      <c r="J2885" s="70"/>
      <c r="K2885" s="57"/>
      <c r="L2885" s="11"/>
      <c r="M2885" s="41"/>
      <c r="N2885" s="11"/>
    </row>
    <row r="2886" spans="8:14" x14ac:dyDescent="0.25">
      <c r="H2886" s="37"/>
      <c r="I2886" s="79"/>
      <c r="J2886" s="70"/>
      <c r="K2886" s="57"/>
      <c r="L2886" s="11"/>
      <c r="M2886" s="41"/>
      <c r="N2886" s="11"/>
    </row>
    <row r="2887" spans="8:14" x14ac:dyDescent="0.25">
      <c r="H2887" s="37"/>
      <c r="I2887" s="79"/>
      <c r="J2887" s="70"/>
      <c r="K2887" s="57"/>
      <c r="L2887" s="11"/>
      <c r="M2887" s="41"/>
      <c r="N2887" s="11"/>
    </row>
    <row r="2888" spans="8:14" x14ac:dyDescent="0.25">
      <c r="H2888" s="37"/>
      <c r="I2888" s="79"/>
      <c r="J2888" s="70"/>
      <c r="K2888" s="57"/>
      <c r="L2888" s="11"/>
      <c r="M2888" s="41"/>
      <c r="N2888" s="11"/>
    </row>
    <row r="2889" spans="8:14" x14ac:dyDescent="0.25">
      <c r="H2889" s="37"/>
      <c r="I2889" s="79"/>
      <c r="J2889" s="70"/>
      <c r="K2889" s="57"/>
      <c r="L2889" s="11"/>
      <c r="M2889" s="41"/>
      <c r="N2889" s="11"/>
    </row>
    <row r="2890" spans="8:14" x14ac:dyDescent="0.25">
      <c r="H2890" s="37"/>
      <c r="I2890" s="79"/>
      <c r="J2890" s="70"/>
      <c r="K2890" s="57"/>
      <c r="L2890" s="11"/>
      <c r="M2890" s="41"/>
      <c r="N2890" s="11"/>
    </row>
    <row r="2891" spans="8:14" x14ac:dyDescent="0.25">
      <c r="H2891" s="37"/>
      <c r="I2891" s="79"/>
      <c r="J2891" s="70"/>
      <c r="K2891" s="57"/>
      <c r="L2891" s="11"/>
      <c r="M2891" s="41"/>
      <c r="N2891" s="11"/>
    </row>
    <row r="2892" spans="8:14" x14ac:dyDescent="0.25">
      <c r="H2892" s="37"/>
      <c r="I2892" s="79"/>
      <c r="J2892" s="70"/>
      <c r="K2892" s="57"/>
      <c r="L2892" s="11"/>
      <c r="M2892" s="41"/>
      <c r="N2892" s="11"/>
    </row>
    <row r="2893" spans="8:14" x14ac:dyDescent="0.25">
      <c r="H2893" s="37"/>
      <c r="I2893" s="79"/>
      <c r="J2893" s="70"/>
      <c r="K2893" s="57"/>
      <c r="L2893" s="11"/>
      <c r="M2893" s="41"/>
      <c r="N2893" s="11"/>
    </row>
    <row r="2894" spans="8:14" x14ac:dyDescent="0.25">
      <c r="H2894" s="37"/>
      <c r="I2894" s="79"/>
      <c r="J2894" s="70"/>
      <c r="K2894" s="57"/>
      <c r="L2894" s="11"/>
      <c r="M2894" s="41"/>
      <c r="N2894" s="11"/>
    </row>
    <row r="2895" spans="8:14" x14ac:dyDescent="0.25">
      <c r="H2895" s="37"/>
      <c r="I2895" s="79"/>
      <c r="J2895" s="70"/>
      <c r="K2895" s="57"/>
      <c r="L2895" s="11"/>
      <c r="M2895" s="41"/>
      <c r="N2895" s="11"/>
    </row>
    <row r="2896" spans="8:14" x14ac:dyDescent="0.25">
      <c r="H2896" s="37"/>
      <c r="I2896" s="79"/>
      <c r="J2896" s="70"/>
      <c r="K2896" s="57"/>
      <c r="L2896" s="11"/>
      <c r="M2896" s="41"/>
      <c r="N2896" s="11"/>
    </row>
    <row r="2897" spans="8:14" x14ac:dyDescent="0.25">
      <c r="H2897" s="37"/>
      <c r="I2897" s="79"/>
      <c r="J2897" s="70"/>
      <c r="K2897" s="57"/>
      <c r="L2897" s="11"/>
      <c r="M2897" s="41"/>
      <c r="N2897" s="11"/>
    </row>
    <row r="2898" spans="8:14" x14ac:dyDescent="0.25">
      <c r="H2898" s="37"/>
      <c r="I2898" s="79"/>
      <c r="J2898" s="70"/>
      <c r="K2898" s="57"/>
      <c r="L2898" s="11"/>
      <c r="M2898" s="41"/>
      <c r="N2898" s="11"/>
    </row>
    <row r="2899" spans="8:14" x14ac:dyDescent="0.25">
      <c r="H2899" s="37"/>
      <c r="I2899" s="79"/>
      <c r="J2899" s="70"/>
      <c r="K2899" s="57"/>
      <c r="L2899" s="11"/>
      <c r="M2899" s="41"/>
      <c r="N2899" s="11"/>
    </row>
    <row r="2900" spans="8:14" x14ac:dyDescent="0.25">
      <c r="H2900" s="37"/>
      <c r="I2900" s="79"/>
      <c r="J2900" s="70"/>
      <c r="K2900" s="57"/>
      <c r="L2900" s="11"/>
      <c r="M2900" s="41"/>
      <c r="N2900" s="11"/>
    </row>
    <row r="2901" spans="8:14" x14ac:dyDescent="0.25">
      <c r="H2901" s="37"/>
      <c r="I2901" s="79"/>
      <c r="J2901" s="70"/>
      <c r="K2901" s="57"/>
      <c r="L2901" s="11"/>
      <c r="M2901" s="41"/>
      <c r="N2901" s="11"/>
    </row>
    <row r="2902" spans="8:14" x14ac:dyDescent="0.25">
      <c r="H2902" s="37"/>
      <c r="I2902" s="79"/>
      <c r="J2902" s="70"/>
      <c r="K2902" s="57"/>
      <c r="L2902" s="11"/>
      <c r="M2902" s="41"/>
      <c r="N2902" s="11"/>
    </row>
    <row r="2903" spans="8:14" x14ac:dyDescent="0.25">
      <c r="H2903" s="37"/>
      <c r="I2903" s="79"/>
      <c r="J2903" s="70"/>
      <c r="K2903" s="57"/>
      <c r="L2903" s="11"/>
      <c r="M2903" s="41"/>
      <c r="N2903" s="11"/>
    </row>
    <row r="2904" spans="8:14" x14ac:dyDescent="0.25">
      <c r="H2904" s="37"/>
      <c r="I2904" s="79"/>
      <c r="J2904" s="70"/>
      <c r="K2904" s="57"/>
      <c r="L2904" s="11"/>
      <c r="M2904" s="41"/>
      <c r="N2904" s="11"/>
    </row>
    <row r="2905" spans="8:14" x14ac:dyDescent="0.25">
      <c r="H2905" s="37"/>
      <c r="I2905" s="79"/>
      <c r="J2905" s="70"/>
      <c r="K2905" s="57"/>
      <c r="L2905" s="11"/>
      <c r="M2905" s="41"/>
      <c r="N2905" s="11"/>
    </row>
    <row r="2906" spans="8:14" x14ac:dyDescent="0.25">
      <c r="H2906" s="37"/>
      <c r="I2906" s="79"/>
      <c r="J2906" s="70"/>
      <c r="K2906" s="57"/>
      <c r="L2906" s="11"/>
      <c r="M2906" s="41"/>
      <c r="N2906" s="11"/>
    </row>
    <row r="2907" spans="8:14" x14ac:dyDescent="0.25">
      <c r="H2907" s="37"/>
      <c r="I2907" s="79"/>
      <c r="J2907" s="70"/>
      <c r="K2907" s="57"/>
      <c r="L2907" s="11"/>
      <c r="M2907" s="41"/>
      <c r="N2907" s="11"/>
    </row>
    <row r="2908" spans="8:14" x14ac:dyDescent="0.25">
      <c r="H2908" s="37"/>
      <c r="I2908" s="79"/>
      <c r="J2908" s="70"/>
      <c r="K2908" s="57"/>
      <c r="L2908" s="11"/>
      <c r="M2908" s="41"/>
      <c r="N2908" s="11"/>
    </row>
    <row r="2909" spans="8:14" x14ac:dyDescent="0.25">
      <c r="H2909" s="37"/>
      <c r="I2909" s="79"/>
      <c r="J2909" s="70"/>
      <c r="K2909" s="57"/>
      <c r="L2909" s="11"/>
      <c r="M2909" s="41"/>
      <c r="N2909" s="11"/>
    </row>
    <row r="2910" spans="8:14" x14ac:dyDescent="0.25">
      <c r="H2910" s="37"/>
      <c r="I2910" s="79"/>
      <c r="J2910" s="70"/>
      <c r="K2910" s="57"/>
      <c r="L2910" s="11"/>
      <c r="M2910" s="41"/>
      <c r="N2910" s="11"/>
    </row>
    <row r="2911" spans="8:14" x14ac:dyDescent="0.25">
      <c r="H2911" s="37"/>
      <c r="I2911" s="79"/>
      <c r="J2911" s="70"/>
      <c r="K2911" s="57"/>
      <c r="L2911" s="11"/>
      <c r="M2911" s="41"/>
      <c r="N2911" s="11"/>
    </row>
    <row r="2912" spans="8:14" x14ac:dyDescent="0.25">
      <c r="H2912" s="37"/>
      <c r="I2912" s="79"/>
      <c r="J2912" s="70"/>
      <c r="K2912" s="57"/>
      <c r="L2912" s="11"/>
      <c r="M2912" s="41"/>
      <c r="N2912" s="11"/>
    </row>
    <row r="2913" spans="8:14" x14ac:dyDescent="0.25">
      <c r="H2913" s="37"/>
      <c r="I2913" s="79"/>
      <c r="J2913" s="70"/>
      <c r="K2913" s="57"/>
      <c r="L2913" s="11"/>
      <c r="M2913" s="41"/>
      <c r="N2913" s="11"/>
    </row>
    <row r="2914" spans="8:14" x14ac:dyDescent="0.25">
      <c r="H2914" s="37"/>
      <c r="I2914" s="79"/>
      <c r="J2914" s="70"/>
      <c r="K2914" s="57"/>
      <c r="L2914" s="11"/>
      <c r="M2914" s="41"/>
      <c r="N2914" s="11"/>
    </row>
    <row r="2915" spans="8:14" x14ac:dyDescent="0.25">
      <c r="H2915" s="37"/>
      <c r="I2915" s="79"/>
      <c r="J2915" s="70"/>
      <c r="K2915" s="57"/>
      <c r="L2915" s="11"/>
      <c r="M2915" s="41"/>
      <c r="N2915" s="11"/>
    </row>
    <row r="2916" spans="8:14" x14ac:dyDescent="0.25">
      <c r="H2916" s="37"/>
      <c r="I2916" s="79"/>
      <c r="J2916" s="70"/>
      <c r="K2916" s="57"/>
      <c r="L2916" s="11"/>
      <c r="M2916" s="41"/>
      <c r="N2916" s="11"/>
    </row>
    <row r="2917" spans="8:14" x14ac:dyDescent="0.25">
      <c r="H2917" s="37"/>
      <c r="I2917" s="79"/>
      <c r="J2917" s="70"/>
      <c r="K2917" s="57"/>
      <c r="L2917" s="11"/>
      <c r="M2917" s="41"/>
      <c r="N2917" s="11"/>
    </row>
    <row r="2918" spans="8:14" x14ac:dyDescent="0.25">
      <c r="H2918" s="37"/>
      <c r="I2918" s="79"/>
      <c r="J2918" s="70"/>
      <c r="K2918" s="57"/>
      <c r="L2918" s="11"/>
      <c r="M2918" s="41"/>
      <c r="N2918" s="11"/>
    </row>
    <row r="2919" spans="8:14" x14ac:dyDescent="0.25">
      <c r="H2919" s="37"/>
      <c r="I2919" s="79"/>
      <c r="J2919" s="70"/>
      <c r="K2919" s="57"/>
      <c r="L2919" s="11"/>
      <c r="M2919" s="41"/>
      <c r="N2919" s="11"/>
    </row>
    <row r="2920" spans="8:14" x14ac:dyDescent="0.25">
      <c r="H2920" s="37"/>
      <c r="I2920" s="79"/>
      <c r="J2920" s="70"/>
      <c r="K2920" s="57"/>
      <c r="L2920" s="11"/>
      <c r="M2920" s="41"/>
      <c r="N2920" s="11"/>
    </row>
    <row r="2921" spans="8:14" x14ac:dyDescent="0.25">
      <c r="H2921" s="37"/>
      <c r="I2921" s="79"/>
      <c r="J2921" s="70"/>
      <c r="K2921" s="57"/>
      <c r="L2921" s="11"/>
      <c r="M2921" s="41"/>
      <c r="N2921" s="11"/>
    </row>
    <row r="2922" spans="8:14" x14ac:dyDescent="0.25">
      <c r="H2922" s="37"/>
      <c r="I2922" s="79"/>
      <c r="J2922" s="70"/>
      <c r="K2922" s="57"/>
      <c r="L2922" s="11"/>
      <c r="M2922" s="41"/>
      <c r="N2922" s="11"/>
    </row>
    <row r="2923" spans="8:14" x14ac:dyDescent="0.25">
      <c r="H2923" s="37"/>
      <c r="I2923" s="79"/>
      <c r="J2923" s="70"/>
      <c r="K2923" s="57"/>
      <c r="L2923" s="11"/>
      <c r="M2923" s="41"/>
      <c r="N2923" s="11"/>
    </row>
    <row r="2924" spans="8:14" x14ac:dyDescent="0.25">
      <c r="H2924" s="37"/>
      <c r="I2924" s="79"/>
      <c r="J2924" s="70"/>
      <c r="K2924" s="57"/>
      <c r="L2924" s="11"/>
      <c r="M2924" s="41"/>
      <c r="N2924" s="11"/>
    </row>
    <row r="2925" spans="8:14" x14ac:dyDescent="0.25">
      <c r="H2925" s="37"/>
      <c r="I2925" s="79"/>
      <c r="J2925" s="70"/>
      <c r="K2925" s="57"/>
      <c r="L2925" s="11"/>
      <c r="M2925" s="41"/>
      <c r="N2925" s="11"/>
    </row>
    <row r="2926" spans="8:14" x14ac:dyDescent="0.25">
      <c r="H2926" s="37"/>
      <c r="I2926" s="79"/>
      <c r="J2926" s="70"/>
      <c r="K2926" s="57"/>
      <c r="L2926" s="11"/>
      <c r="M2926" s="41"/>
      <c r="N2926" s="11"/>
    </row>
    <row r="2927" spans="8:14" x14ac:dyDescent="0.25">
      <c r="H2927" s="37"/>
      <c r="I2927" s="79"/>
      <c r="J2927" s="70"/>
      <c r="K2927" s="57"/>
      <c r="L2927" s="11"/>
      <c r="M2927" s="41"/>
      <c r="N2927" s="11"/>
    </row>
    <row r="2928" spans="8:14" x14ac:dyDescent="0.25">
      <c r="H2928" s="37"/>
      <c r="I2928" s="79"/>
      <c r="J2928" s="70"/>
      <c r="K2928" s="57"/>
      <c r="L2928" s="11"/>
      <c r="M2928" s="41"/>
      <c r="N2928" s="11"/>
    </row>
    <row r="2929" spans="8:14" x14ac:dyDescent="0.25">
      <c r="H2929" s="37"/>
      <c r="I2929" s="79"/>
      <c r="J2929" s="70"/>
      <c r="K2929" s="57"/>
      <c r="L2929" s="11"/>
      <c r="M2929" s="41"/>
      <c r="N2929" s="11"/>
    </row>
    <row r="2930" spans="8:14" x14ac:dyDescent="0.25">
      <c r="H2930" s="37"/>
      <c r="I2930" s="79"/>
      <c r="J2930" s="70"/>
      <c r="K2930" s="57"/>
      <c r="L2930" s="11"/>
      <c r="M2930" s="41"/>
      <c r="N2930" s="11"/>
    </row>
    <row r="2931" spans="8:14" x14ac:dyDescent="0.25">
      <c r="H2931" s="37"/>
      <c r="I2931" s="79"/>
      <c r="J2931" s="70"/>
      <c r="K2931" s="57"/>
      <c r="L2931" s="11"/>
      <c r="M2931" s="41"/>
      <c r="N2931" s="11"/>
    </row>
    <row r="2932" spans="8:14" x14ac:dyDescent="0.25">
      <c r="H2932" s="37"/>
      <c r="I2932" s="79"/>
      <c r="J2932" s="70"/>
      <c r="K2932" s="57"/>
      <c r="L2932" s="11"/>
      <c r="M2932" s="41"/>
      <c r="N2932" s="11"/>
    </row>
    <row r="2933" spans="8:14" x14ac:dyDescent="0.25">
      <c r="H2933" s="37"/>
      <c r="I2933" s="79"/>
      <c r="J2933" s="70"/>
      <c r="K2933" s="57"/>
      <c r="L2933" s="11"/>
      <c r="M2933" s="41"/>
      <c r="N2933" s="11"/>
    </row>
    <row r="2934" spans="8:14" x14ac:dyDescent="0.25">
      <c r="H2934" s="37"/>
      <c r="I2934" s="79"/>
      <c r="J2934" s="70"/>
      <c r="K2934" s="57"/>
      <c r="L2934" s="11"/>
      <c r="M2934" s="41"/>
      <c r="N2934" s="11"/>
    </row>
    <row r="2935" spans="8:14" x14ac:dyDescent="0.25">
      <c r="H2935" s="37"/>
      <c r="I2935" s="79"/>
      <c r="J2935" s="70"/>
      <c r="K2935" s="57"/>
      <c r="L2935" s="11"/>
      <c r="M2935" s="41"/>
      <c r="N2935" s="11"/>
    </row>
    <row r="2936" spans="8:14" x14ac:dyDescent="0.25">
      <c r="H2936" s="37"/>
      <c r="I2936" s="79"/>
      <c r="J2936" s="70"/>
      <c r="K2936" s="57"/>
      <c r="L2936" s="11"/>
      <c r="M2936" s="41"/>
      <c r="N2936" s="11"/>
    </row>
    <row r="2937" spans="8:14" x14ac:dyDescent="0.25">
      <c r="H2937" s="37"/>
      <c r="I2937" s="79"/>
      <c r="J2937" s="70"/>
      <c r="K2937" s="57"/>
      <c r="L2937" s="11"/>
      <c r="M2937" s="41"/>
      <c r="N2937" s="11"/>
    </row>
    <row r="2938" spans="8:14" x14ac:dyDescent="0.25">
      <c r="H2938" s="37"/>
      <c r="I2938" s="79"/>
      <c r="J2938" s="70"/>
      <c r="K2938" s="57"/>
      <c r="L2938" s="11"/>
      <c r="M2938" s="41"/>
      <c r="N2938" s="11"/>
    </row>
    <row r="2939" spans="8:14" x14ac:dyDescent="0.25">
      <c r="H2939" s="37"/>
      <c r="I2939" s="79"/>
      <c r="J2939" s="70"/>
      <c r="K2939" s="57"/>
      <c r="L2939" s="11"/>
      <c r="M2939" s="41"/>
      <c r="N2939" s="11"/>
    </row>
    <row r="2940" spans="8:14" x14ac:dyDescent="0.25">
      <c r="H2940" s="37"/>
      <c r="I2940" s="79"/>
      <c r="J2940" s="70"/>
      <c r="K2940" s="57"/>
      <c r="L2940" s="11"/>
      <c r="M2940" s="41"/>
      <c r="N2940" s="11"/>
    </row>
    <row r="2941" spans="8:14" x14ac:dyDescent="0.25">
      <c r="H2941" s="37"/>
      <c r="I2941" s="79"/>
      <c r="J2941" s="70"/>
      <c r="K2941" s="57"/>
      <c r="L2941" s="11"/>
      <c r="M2941" s="41"/>
      <c r="N2941" s="11"/>
    </row>
    <row r="2942" spans="8:14" x14ac:dyDescent="0.25">
      <c r="H2942" s="37"/>
      <c r="I2942" s="79"/>
      <c r="J2942" s="70"/>
      <c r="K2942" s="57"/>
      <c r="L2942" s="11"/>
      <c r="M2942" s="41"/>
      <c r="N2942" s="11"/>
    </row>
    <row r="2943" spans="8:14" x14ac:dyDescent="0.25">
      <c r="H2943" s="37"/>
      <c r="I2943" s="79"/>
      <c r="J2943" s="70"/>
      <c r="K2943" s="57"/>
      <c r="L2943" s="11"/>
      <c r="M2943" s="41"/>
      <c r="N2943" s="11"/>
    </row>
    <row r="2944" spans="8:14" x14ac:dyDescent="0.25">
      <c r="H2944" s="37"/>
      <c r="I2944" s="79"/>
      <c r="J2944" s="70"/>
      <c r="K2944" s="57"/>
      <c r="L2944" s="11"/>
      <c r="M2944" s="41"/>
      <c r="N2944" s="11"/>
    </row>
    <row r="2945" spans="8:14" x14ac:dyDescent="0.25">
      <c r="H2945" s="37"/>
      <c r="I2945" s="79"/>
      <c r="J2945" s="70"/>
      <c r="K2945" s="57"/>
      <c r="L2945" s="11"/>
      <c r="M2945" s="41"/>
      <c r="N2945" s="11"/>
    </row>
    <row r="2946" spans="8:14" x14ac:dyDescent="0.25">
      <c r="H2946" s="37"/>
      <c r="I2946" s="79"/>
      <c r="J2946" s="70"/>
      <c r="K2946" s="57"/>
      <c r="L2946" s="11"/>
      <c r="M2946" s="41"/>
      <c r="N2946" s="11"/>
    </row>
    <row r="2947" spans="8:14" x14ac:dyDescent="0.25">
      <c r="H2947" s="37"/>
      <c r="I2947" s="79"/>
      <c r="J2947" s="70"/>
      <c r="K2947" s="57"/>
      <c r="L2947" s="11"/>
      <c r="M2947" s="41"/>
      <c r="N2947" s="11"/>
    </row>
    <row r="2948" spans="8:14" x14ac:dyDescent="0.25">
      <c r="H2948" s="37"/>
      <c r="I2948" s="79"/>
      <c r="J2948" s="70"/>
      <c r="K2948" s="57"/>
      <c r="L2948" s="11"/>
      <c r="M2948" s="41"/>
      <c r="N2948" s="11"/>
    </row>
    <row r="2949" spans="8:14" x14ac:dyDescent="0.25">
      <c r="H2949" s="37"/>
      <c r="I2949" s="79"/>
      <c r="J2949" s="70"/>
      <c r="K2949" s="57"/>
      <c r="L2949" s="11"/>
      <c r="M2949" s="41"/>
      <c r="N2949" s="11"/>
    </row>
    <row r="2950" spans="8:14" x14ac:dyDescent="0.25">
      <c r="H2950" s="37"/>
      <c r="I2950" s="79"/>
      <c r="J2950" s="70"/>
      <c r="K2950" s="57"/>
      <c r="L2950" s="11"/>
      <c r="M2950" s="41"/>
      <c r="N2950" s="11"/>
    </row>
    <row r="2951" spans="8:14" x14ac:dyDescent="0.25">
      <c r="H2951" s="37"/>
      <c r="I2951" s="79"/>
      <c r="J2951" s="70"/>
      <c r="K2951" s="57"/>
      <c r="L2951" s="11"/>
      <c r="M2951" s="41"/>
      <c r="N2951" s="11"/>
    </row>
    <row r="2952" spans="8:14" x14ac:dyDescent="0.25">
      <c r="H2952" s="37"/>
      <c r="I2952" s="79"/>
      <c r="J2952" s="70"/>
      <c r="K2952" s="57"/>
      <c r="L2952" s="11"/>
      <c r="M2952" s="41"/>
      <c r="N2952" s="11"/>
    </row>
    <row r="2953" spans="8:14" x14ac:dyDescent="0.25">
      <c r="H2953" s="37"/>
      <c r="I2953" s="79"/>
      <c r="J2953" s="70"/>
      <c r="K2953" s="57"/>
      <c r="L2953" s="11"/>
      <c r="M2953" s="41"/>
      <c r="N2953" s="11"/>
    </row>
    <row r="2954" spans="8:14" x14ac:dyDescent="0.25">
      <c r="H2954" s="37"/>
      <c r="I2954" s="79"/>
      <c r="J2954" s="70"/>
      <c r="K2954" s="57"/>
      <c r="L2954" s="11"/>
      <c r="M2954" s="41"/>
      <c r="N2954" s="11"/>
    </row>
    <row r="2955" spans="8:14" x14ac:dyDescent="0.25">
      <c r="H2955" s="37"/>
      <c r="I2955" s="79"/>
      <c r="J2955" s="70"/>
      <c r="K2955" s="57"/>
      <c r="L2955" s="11"/>
      <c r="M2955" s="41"/>
      <c r="N2955" s="11"/>
    </row>
    <row r="2956" spans="8:14" x14ac:dyDescent="0.25">
      <c r="H2956" s="37"/>
      <c r="I2956" s="79"/>
      <c r="J2956" s="70"/>
      <c r="K2956" s="57"/>
      <c r="L2956" s="11"/>
      <c r="M2956" s="41"/>
      <c r="N2956" s="11"/>
    </row>
    <row r="2957" spans="8:14" x14ac:dyDescent="0.25">
      <c r="H2957" s="37"/>
      <c r="I2957" s="79"/>
      <c r="J2957" s="70"/>
      <c r="K2957" s="57"/>
      <c r="L2957" s="11"/>
      <c r="M2957" s="41"/>
      <c r="N2957" s="11"/>
    </row>
    <row r="2958" spans="8:14" x14ac:dyDescent="0.25">
      <c r="H2958" s="37"/>
      <c r="I2958" s="79"/>
      <c r="J2958" s="70"/>
      <c r="K2958" s="57"/>
      <c r="L2958" s="11"/>
      <c r="M2958" s="41"/>
      <c r="N2958" s="11"/>
    </row>
    <row r="2959" spans="8:14" x14ac:dyDescent="0.25">
      <c r="H2959" s="37"/>
      <c r="I2959" s="79"/>
      <c r="J2959" s="70"/>
      <c r="K2959" s="57"/>
      <c r="L2959" s="11"/>
      <c r="M2959" s="41"/>
      <c r="N2959" s="11"/>
    </row>
    <row r="2960" spans="8:14" x14ac:dyDescent="0.25">
      <c r="H2960" s="37"/>
      <c r="I2960" s="79"/>
      <c r="J2960" s="70"/>
      <c r="K2960" s="57"/>
      <c r="L2960" s="11"/>
      <c r="M2960" s="41"/>
      <c r="N2960" s="11"/>
    </row>
    <row r="2961" spans="8:14" x14ac:dyDescent="0.25">
      <c r="H2961" s="37"/>
      <c r="I2961" s="79"/>
      <c r="J2961" s="70"/>
      <c r="K2961" s="57"/>
      <c r="L2961" s="11"/>
      <c r="M2961" s="41"/>
      <c r="N2961" s="11"/>
    </row>
    <row r="2962" spans="8:14" x14ac:dyDescent="0.25">
      <c r="H2962" s="37"/>
      <c r="I2962" s="79"/>
      <c r="J2962" s="70"/>
      <c r="K2962" s="57"/>
      <c r="L2962" s="11"/>
      <c r="M2962" s="41"/>
      <c r="N2962" s="11"/>
    </row>
    <row r="2963" spans="8:14" x14ac:dyDescent="0.25">
      <c r="H2963" s="37"/>
      <c r="I2963" s="79"/>
      <c r="J2963" s="70"/>
      <c r="K2963" s="57"/>
      <c r="L2963" s="11"/>
      <c r="M2963" s="41"/>
      <c r="N2963" s="11"/>
    </row>
    <row r="2964" spans="8:14" x14ac:dyDescent="0.25">
      <c r="H2964" s="37"/>
      <c r="I2964" s="79"/>
      <c r="J2964" s="70"/>
      <c r="K2964" s="57"/>
      <c r="L2964" s="11"/>
      <c r="M2964" s="41"/>
      <c r="N2964" s="11"/>
    </row>
    <row r="2965" spans="8:14" x14ac:dyDescent="0.25">
      <c r="H2965" s="37"/>
      <c r="I2965" s="79"/>
      <c r="J2965" s="70"/>
      <c r="K2965" s="57"/>
      <c r="L2965" s="11"/>
      <c r="M2965" s="41"/>
      <c r="N2965" s="11"/>
    </row>
    <row r="2966" spans="8:14" x14ac:dyDescent="0.25">
      <c r="H2966" s="37"/>
      <c r="I2966" s="79"/>
      <c r="J2966" s="70"/>
      <c r="K2966" s="57"/>
      <c r="L2966" s="11"/>
      <c r="M2966" s="41"/>
      <c r="N2966" s="11"/>
    </row>
    <row r="2967" spans="8:14" x14ac:dyDescent="0.25">
      <c r="H2967" s="37"/>
      <c r="I2967" s="79"/>
      <c r="J2967" s="70"/>
      <c r="K2967" s="57"/>
      <c r="L2967" s="11"/>
      <c r="M2967" s="41"/>
      <c r="N2967" s="11"/>
    </row>
    <row r="2968" spans="8:14" x14ac:dyDescent="0.25">
      <c r="H2968" s="37"/>
      <c r="I2968" s="79"/>
      <c r="J2968" s="70"/>
      <c r="K2968" s="57"/>
      <c r="L2968" s="11"/>
      <c r="M2968" s="41"/>
      <c r="N2968" s="11"/>
    </row>
    <row r="2969" spans="8:14" x14ac:dyDescent="0.25">
      <c r="H2969" s="37"/>
      <c r="I2969" s="79"/>
      <c r="J2969" s="70"/>
      <c r="K2969" s="57"/>
      <c r="L2969" s="11"/>
      <c r="M2969" s="41"/>
      <c r="N2969" s="11"/>
    </row>
    <row r="2970" spans="8:14" x14ac:dyDescent="0.25">
      <c r="H2970" s="37"/>
      <c r="I2970" s="79"/>
      <c r="J2970" s="70"/>
      <c r="K2970" s="57"/>
      <c r="L2970" s="11"/>
      <c r="M2970" s="41"/>
      <c r="N2970" s="11"/>
    </row>
    <row r="2971" spans="8:14" x14ac:dyDescent="0.25">
      <c r="H2971" s="37"/>
      <c r="I2971" s="79"/>
      <c r="J2971" s="70"/>
      <c r="K2971" s="57"/>
      <c r="L2971" s="11"/>
      <c r="M2971" s="41"/>
      <c r="N2971" s="11"/>
    </row>
    <row r="2972" spans="8:14" x14ac:dyDescent="0.25">
      <c r="H2972" s="37"/>
      <c r="I2972" s="79"/>
      <c r="J2972" s="70"/>
      <c r="K2972" s="57"/>
      <c r="L2972" s="11"/>
      <c r="M2972" s="41"/>
      <c r="N2972" s="11"/>
    </row>
    <row r="2973" spans="8:14" x14ac:dyDescent="0.25">
      <c r="H2973" s="37"/>
      <c r="I2973" s="79"/>
      <c r="J2973" s="70"/>
      <c r="K2973" s="57"/>
      <c r="L2973" s="11"/>
      <c r="M2973" s="41"/>
      <c r="N2973" s="11"/>
    </row>
    <row r="2974" spans="8:14" x14ac:dyDescent="0.25">
      <c r="H2974" s="37"/>
      <c r="I2974" s="79"/>
      <c r="J2974" s="70"/>
      <c r="K2974" s="57"/>
      <c r="L2974" s="11"/>
      <c r="M2974" s="41"/>
      <c r="N2974" s="11"/>
    </row>
    <row r="2975" spans="8:14" x14ac:dyDescent="0.25">
      <c r="H2975" s="37"/>
      <c r="I2975" s="79"/>
      <c r="J2975" s="70"/>
      <c r="K2975" s="57"/>
      <c r="L2975" s="11"/>
      <c r="M2975" s="41"/>
      <c r="N2975" s="11"/>
    </row>
    <row r="2976" spans="8:14" x14ac:dyDescent="0.25">
      <c r="H2976" s="37"/>
      <c r="I2976" s="79"/>
      <c r="J2976" s="70"/>
      <c r="K2976" s="57"/>
      <c r="L2976" s="11"/>
      <c r="M2976" s="41"/>
      <c r="N2976" s="11"/>
    </row>
    <row r="2977" spans="8:14" x14ac:dyDescent="0.25">
      <c r="H2977" s="37"/>
      <c r="I2977" s="79"/>
      <c r="J2977" s="70"/>
      <c r="K2977" s="57"/>
      <c r="L2977" s="11"/>
      <c r="M2977" s="41"/>
      <c r="N2977" s="11"/>
    </row>
    <row r="2978" spans="8:14" x14ac:dyDescent="0.25">
      <c r="H2978" s="37"/>
      <c r="I2978" s="79"/>
      <c r="J2978" s="70"/>
      <c r="K2978" s="57"/>
      <c r="L2978" s="11"/>
      <c r="M2978" s="41"/>
      <c r="N2978" s="11"/>
    </row>
    <row r="2979" spans="8:14" x14ac:dyDescent="0.25">
      <c r="H2979" s="37"/>
      <c r="I2979" s="79"/>
      <c r="J2979" s="70"/>
      <c r="K2979" s="57"/>
      <c r="L2979" s="11"/>
      <c r="M2979" s="41"/>
      <c r="N2979" s="11"/>
    </row>
    <row r="2980" spans="8:14" x14ac:dyDescent="0.25">
      <c r="H2980" s="37"/>
      <c r="I2980" s="79"/>
      <c r="J2980" s="70"/>
      <c r="K2980" s="57"/>
      <c r="L2980" s="11"/>
      <c r="M2980" s="41"/>
      <c r="N2980" s="11"/>
    </row>
    <row r="2981" spans="8:14" x14ac:dyDescent="0.25">
      <c r="H2981" s="37"/>
      <c r="I2981" s="79"/>
      <c r="J2981" s="70"/>
      <c r="K2981" s="57"/>
      <c r="L2981" s="11"/>
      <c r="M2981" s="41"/>
      <c r="N2981" s="11"/>
    </row>
    <row r="2982" spans="8:14" x14ac:dyDescent="0.25">
      <c r="H2982" s="37"/>
      <c r="I2982" s="79"/>
      <c r="J2982" s="70"/>
      <c r="K2982" s="57"/>
      <c r="L2982" s="11"/>
      <c r="M2982" s="41"/>
      <c r="N2982" s="11"/>
    </row>
    <row r="2983" spans="8:14" x14ac:dyDescent="0.25">
      <c r="H2983" s="37"/>
      <c r="I2983" s="79"/>
      <c r="J2983" s="70"/>
      <c r="K2983" s="57"/>
      <c r="L2983" s="11"/>
      <c r="M2983" s="41"/>
      <c r="N2983" s="11"/>
    </row>
    <row r="2984" spans="8:14" x14ac:dyDescent="0.25">
      <c r="H2984" s="37"/>
      <c r="I2984" s="79"/>
      <c r="J2984" s="70"/>
      <c r="K2984" s="57"/>
      <c r="L2984" s="11"/>
      <c r="M2984" s="41"/>
      <c r="N2984" s="11"/>
    </row>
    <row r="2985" spans="8:14" x14ac:dyDescent="0.25">
      <c r="H2985" s="37"/>
      <c r="I2985" s="79"/>
      <c r="J2985" s="70"/>
      <c r="K2985" s="57"/>
      <c r="L2985" s="11"/>
      <c r="M2985" s="41"/>
      <c r="N2985" s="11"/>
    </row>
    <row r="2986" spans="8:14" x14ac:dyDescent="0.25">
      <c r="H2986" s="37"/>
      <c r="I2986" s="79"/>
      <c r="J2986" s="70"/>
      <c r="K2986" s="57"/>
      <c r="L2986" s="11"/>
      <c r="M2986" s="41"/>
      <c r="N2986" s="11"/>
    </row>
    <row r="2987" spans="8:14" x14ac:dyDescent="0.25">
      <c r="H2987" s="37"/>
      <c r="I2987" s="79"/>
      <c r="J2987" s="70"/>
      <c r="K2987" s="57"/>
      <c r="L2987" s="11"/>
      <c r="M2987" s="41"/>
      <c r="N2987" s="11"/>
    </row>
    <row r="2988" spans="8:14" x14ac:dyDescent="0.25">
      <c r="H2988" s="37"/>
      <c r="I2988" s="79"/>
      <c r="J2988" s="70"/>
      <c r="K2988" s="57"/>
      <c r="L2988" s="11"/>
      <c r="M2988" s="41"/>
      <c r="N2988" s="11"/>
    </row>
    <row r="2989" spans="8:14" x14ac:dyDescent="0.25">
      <c r="H2989" s="37"/>
      <c r="I2989" s="79"/>
      <c r="J2989" s="70"/>
      <c r="K2989" s="57"/>
      <c r="L2989" s="11"/>
      <c r="M2989" s="41"/>
      <c r="N2989" s="11"/>
    </row>
    <row r="2990" spans="8:14" x14ac:dyDescent="0.25">
      <c r="H2990" s="37"/>
      <c r="I2990" s="79"/>
      <c r="J2990" s="70"/>
      <c r="K2990" s="57"/>
      <c r="L2990" s="11"/>
      <c r="M2990" s="41"/>
      <c r="N2990" s="11"/>
    </row>
    <row r="2991" spans="8:14" x14ac:dyDescent="0.25">
      <c r="H2991" s="37"/>
      <c r="I2991" s="79"/>
      <c r="J2991" s="70"/>
      <c r="K2991" s="57"/>
      <c r="L2991" s="11"/>
      <c r="M2991" s="41"/>
      <c r="N2991" s="11"/>
    </row>
    <row r="2992" spans="8:14" x14ac:dyDescent="0.25">
      <c r="H2992" s="37"/>
      <c r="I2992" s="79"/>
      <c r="J2992" s="70"/>
      <c r="K2992" s="57"/>
      <c r="L2992" s="11"/>
      <c r="M2992" s="41"/>
      <c r="N2992" s="11"/>
    </row>
    <row r="2993" spans="8:14" x14ac:dyDescent="0.25">
      <c r="H2993" s="37"/>
      <c r="I2993" s="79"/>
      <c r="J2993" s="70"/>
      <c r="K2993" s="57"/>
      <c r="L2993" s="11"/>
      <c r="M2993" s="41"/>
      <c r="N2993" s="11"/>
    </row>
    <row r="2994" spans="8:14" x14ac:dyDescent="0.25">
      <c r="H2994" s="37"/>
      <c r="I2994" s="79"/>
      <c r="J2994" s="70"/>
      <c r="K2994" s="57"/>
      <c r="L2994" s="11"/>
      <c r="M2994" s="41"/>
      <c r="N2994" s="11"/>
    </row>
    <row r="2995" spans="8:14" x14ac:dyDescent="0.25">
      <c r="H2995" s="37"/>
      <c r="I2995" s="79"/>
      <c r="J2995" s="70"/>
      <c r="K2995" s="57"/>
      <c r="L2995" s="11"/>
      <c r="M2995" s="41"/>
      <c r="N2995" s="11"/>
    </row>
    <row r="2996" spans="8:14" x14ac:dyDescent="0.25">
      <c r="H2996" s="37"/>
      <c r="I2996" s="79"/>
      <c r="J2996" s="70"/>
      <c r="K2996" s="57"/>
      <c r="L2996" s="11"/>
      <c r="M2996" s="41"/>
      <c r="N2996" s="11"/>
    </row>
    <row r="2997" spans="8:14" x14ac:dyDescent="0.25">
      <c r="H2997" s="37"/>
      <c r="I2997" s="79"/>
      <c r="J2997" s="70"/>
      <c r="K2997" s="57"/>
      <c r="L2997" s="11"/>
      <c r="M2997" s="41"/>
      <c r="N2997" s="11"/>
    </row>
    <row r="2998" spans="8:14" x14ac:dyDescent="0.25">
      <c r="H2998" s="37"/>
      <c r="I2998" s="79"/>
      <c r="J2998" s="70"/>
      <c r="K2998" s="57"/>
      <c r="L2998" s="11"/>
      <c r="M2998" s="41"/>
      <c r="N2998" s="11"/>
    </row>
    <row r="2999" spans="8:14" x14ac:dyDescent="0.25">
      <c r="H2999" s="37"/>
      <c r="I2999" s="79"/>
      <c r="J2999" s="70"/>
      <c r="K2999" s="57"/>
      <c r="L2999" s="11"/>
      <c r="M2999" s="41"/>
      <c r="N2999" s="11"/>
    </row>
    <row r="3000" spans="8:14" x14ac:dyDescent="0.25">
      <c r="H3000" s="37"/>
      <c r="I3000" s="79"/>
      <c r="J3000" s="70"/>
      <c r="K3000" s="57"/>
      <c r="L3000" s="11"/>
      <c r="M3000" s="41"/>
      <c r="N3000" s="11"/>
    </row>
    <row r="3001" spans="8:14" x14ac:dyDescent="0.25">
      <c r="H3001" s="37"/>
      <c r="I3001" s="79"/>
      <c r="J3001" s="70"/>
      <c r="K3001" s="57"/>
      <c r="L3001" s="11"/>
      <c r="M3001" s="41"/>
      <c r="N3001" s="11"/>
    </row>
    <row r="3002" spans="8:14" x14ac:dyDescent="0.25">
      <c r="H3002" s="37"/>
      <c r="I3002" s="79"/>
      <c r="J3002" s="70"/>
      <c r="K3002" s="57"/>
      <c r="L3002" s="11"/>
      <c r="M3002" s="41"/>
      <c r="N3002" s="11"/>
    </row>
    <row r="3003" spans="8:14" x14ac:dyDescent="0.25">
      <c r="H3003" s="37"/>
      <c r="I3003" s="79"/>
      <c r="J3003" s="70"/>
      <c r="K3003" s="57"/>
      <c r="L3003" s="11"/>
      <c r="M3003" s="41"/>
      <c r="N3003" s="11"/>
    </row>
    <row r="3004" spans="8:14" x14ac:dyDescent="0.25">
      <c r="H3004" s="37"/>
      <c r="I3004" s="79"/>
      <c r="J3004" s="70"/>
      <c r="K3004" s="57"/>
      <c r="L3004" s="11"/>
      <c r="M3004" s="41"/>
      <c r="N3004" s="11"/>
    </row>
    <row r="3005" spans="8:14" x14ac:dyDescent="0.25">
      <c r="H3005" s="37"/>
      <c r="I3005" s="79"/>
      <c r="J3005" s="70"/>
      <c r="K3005" s="57"/>
      <c r="L3005" s="11"/>
      <c r="M3005" s="41"/>
      <c r="N3005" s="11"/>
    </row>
    <row r="3006" spans="8:14" x14ac:dyDescent="0.25">
      <c r="H3006" s="37"/>
      <c r="I3006" s="79"/>
      <c r="J3006" s="70"/>
      <c r="K3006" s="57"/>
      <c r="L3006" s="11"/>
      <c r="M3006" s="41"/>
      <c r="N3006" s="11"/>
    </row>
    <row r="3007" spans="8:14" x14ac:dyDescent="0.25">
      <c r="H3007" s="37"/>
      <c r="I3007" s="79"/>
      <c r="J3007" s="70"/>
      <c r="K3007" s="57"/>
      <c r="L3007" s="11"/>
      <c r="M3007" s="41"/>
      <c r="N3007" s="11"/>
    </row>
    <row r="3008" spans="8:14" x14ac:dyDescent="0.25">
      <c r="H3008" s="37"/>
      <c r="I3008" s="79"/>
      <c r="J3008" s="70"/>
      <c r="K3008" s="57"/>
      <c r="L3008" s="11"/>
      <c r="M3008" s="41"/>
      <c r="N3008" s="11"/>
    </row>
    <row r="3009" spans="8:14" x14ac:dyDescent="0.25">
      <c r="H3009" s="37"/>
      <c r="I3009" s="79"/>
      <c r="J3009" s="70"/>
      <c r="K3009" s="57"/>
      <c r="L3009" s="11"/>
      <c r="M3009" s="41"/>
      <c r="N3009" s="11"/>
    </row>
    <row r="3010" spans="8:14" x14ac:dyDescent="0.25">
      <c r="H3010" s="37"/>
      <c r="I3010" s="79"/>
      <c r="J3010" s="70"/>
      <c r="K3010" s="57"/>
      <c r="L3010" s="11"/>
      <c r="M3010" s="41"/>
      <c r="N3010" s="11"/>
    </row>
    <row r="3011" spans="8:14" x14ac:dyDescent="0.25">
      <c r="H3011" s="37"/>
      <c r="I3011" s="79"/>
      <c r="J3011" s="70"/>
      <c r="K3011" s="57"/>
      <c r="L3011" s="11"/>
      <c r="M3011" s="41"/>
      <c r="N3011" s="11"/>
    </row>
    <row r="3012" spans="8:14" x14ac:dyDescent="0.25">
      <c r="H3012" s="37"/>
      <c r="I3012" s="79"/>
      <c r="J3012" s="70"/>
      <c r="K3012" s="57"/>
      <c r="L3012" s="11"/>
      <c r="M3012" s="41"/>
      <c r="N3012" s="11"/>
    </row>
    <row r="3013" spans="8:14" x14ac:dyDescent="0.25">
      <c r="H3013" s="37"/>
      <c r="I3013" s="79"/>
      <c r="J3013" s="70"/>
      <c r="K3013" s="57"/>
      <c r="L3013" s="11"/>
      <c r="M3013" s="41"/>
      <c r="N3013" s="11"/>
    </row>
    <row r="3014" spans="8:14" x14ac:dyDescent="0.25">
      <c r="H3014" s="37"/>
      <c r="I3014" s="79"/>
      <c r="J3014" s="70"/>
      <c r="K3014" s="57"/>
      <c r="L3014" s="11"/>
      <c r="M3014" s="41"/>
      <c r="N3014" s="11"/>
    </row>
    <row r="3015" spans="8:14" x14ac:dyDescent="0.25">
      <c r="H3015" s="37"/>
      <c r="I3015" s="79"/>
      <c r="J3015" s="70"/>
      <c r="K3015" s="57"/>
      <c r="L3015" s="11"/>
      <c r="M3015" s="41"/>
      <c r="N3015" s="11"/>
    </row>
    <row r="3016" spans="8:14" x14ac:dyDescent="0.25">
      <c r="H3016" s="37"/>
      <c r="I3016" s="79"/>
      <c r="J3016" s="70"/>
      <c r="K3016" s="57"/>
      <c r="L3016" s="11"/>
      <c r="M3016" s="41"/>
      <c r="N3016" s="11"/>
    </row>
    <row r="3017" spans="8:14" x14ac:dyDescent="0.25">
      <c r="H3017" s="37"/>
      <c r="I3017" s="79"/>
      <c r="J3017" s="70"/>
      <c r="K3017" s="57"/>
      <c r="L3017" s="11"/>
      <c r="M3017" s="41"/>
      <c r="N3017" s="11"/>
    </row>
    <row r="3018" spans="8:14" x14ac:dyDescent="0.25">
      <c r="H3018" s="37"/>
      <c r="I3018" s="79"/>
      <c r="J3018" s="70"/>
      <c r="K3018" s="57"/>
      <c r="L3018" s="11"/>
      <c r="M3018" s="41"/>
      <c r="N3018" s="11"/>
    </row>
    <row r="3019" spans="8:14" x14ac:dyDescent="0.25">
      <c r="H3019" s="37"/>
      <c r="I3019" s="79"/>
      <c r="J3019" s="70"/>
      <c r="K3019" s="57"/>
      <c r="L3019" s="11"/>
      <c r="M3019" s="41"/>
      <c r="N3019" s="11"/>
    </row>
    <row r="3020" spans="8:14" x14ac:dyDescent="0.25">
      <c r="H3020" s="37"/>
      <c r="I3020" s="79"/>
      <c r="J3020" s="70"/>
      <c r="K3020" s="57"/>
      <c r="L3020" s="11"/>
      <c r="M3020" s="41"/>
      <c r="N3020" s="11"/>
    </row>
    <row r="3021" spans="8:14" x14ac:dyDescent="0.25">
      <c r="H3021" s="37"/>
      <c r="I3021" s="79"/>
      <c r="J3021" s="70"/>
      <c r="K3021" s="57"/>
      <c r="L3021" s="11"/>
      <c r="M3021" s="41"/>
      <c r="N3021" s="11"/>
    </row>
    <row r="3022" spans="8:14" x14ac:dyDescent="0.25">
      <c r="H3022" s="37"/>
      <c r="I3022" s="79"/>
      <c r="J3022" s="70"/>
      <c r="K3022" s="57"/>
      <c r="L3022" s="11"/>
      <c r="M3022" s="41"/>
      <c r="N3022" s="11"/>
    </row>
    <row r="3023" spans="8:14" x14ac:dyDescent="0.25">
      <c r="H3023" s="37"/>
      <c r="I3023" s="79"/>
      <c r="J3023" s="70"/>
      <c r="K3023" s="57"/>
      <c r="L3023" s="11"/>
      <c r="M3023" s="41"/>
      <c r="N3023" s="11"/>
    </row>
    <row r="3024" spans="8:14" x14ac:dyDescent="0.25">
      <c r="H3024" s="37"/>
      <c r="I3024" s="79"/>
      <c r="J3024" s="70"/>
      <c r="K3024" s="57"/>
      <c r="L3024" s="11"/>
      <c r="M3024" s="41"/>
      <c r="N3024" s="11"/>
    </row>
    <row r="3025" spans="8:14" x14ac:dyDescent="0.25">
      <c r="H3025" s="37"/>
      <c r="I3025" s="79"/>
      <c r="J3025" s="70"/>
      <c r="K3025" s="57"/>
      <c r="L3025" s="11"/>
      <c r="M3025" s="41"/>
      <c r="N3025" s="11"/>
    </row>
    <row r="3026" spans="8:14" x14ac:dyDescent="0.25">
      <c r="H3026" s="37"/>
      <c r="I3026" s="79"/>
      <c r="J3026" s="70"/>
      <c r="K3026" s="57"/>
      <c r="L3026" s="11"/>
      <c r="M3026" s="41"/>
      <c r="N3026" s="11"/>
    </row>
    <row r="3027" spans="8:14" x14ac:dyDescent="0.25">
      <c r="H3027" s="37"/>
      <c r="I3027" s="79"/>
      <c r="J3027" s="70"/>
      <c r="K3027" s="57"/>
      <c r="L3027" s="11"/>
      <c r="M3027" s="41"/>
      <c r="N3027" s="11"/>
    </row>
    <row r="3028" spans="8:14" x14ac:dyDescent="0.25">
      <c r="H3028" s="37"/>
      <c r="I3028" s="79"/>
      <c r="J3028" s="70"/>
      <c r="K3028" s="57"/>
      <c r="L3028" s="11"/>
      <c r="M3028" s="41"/>
      <c r="N3028" s="11"/>
    </row>
    <row r="3029" spans="8:14" x14ac:dyDescent="0.25">
      <c r="H3029" s="37"/>
      <c r="I3029" s="79"/>
      <c r="J3029" s="70"/>
      <c r="K3029" s="57"/>
      <c r="L3029" s="11"/>
      <c r="M3029" s="41"/>
      <c r="N3029" s="11"/>
    </row>
    <row r="3030" spans="8:14" x14ac:dyDescent="0.25">
      <c r="H3030" s="37"/>
      <c r="I3030" s="79"/>
      <c r="J3030" s="70"/>
      <c r="K3030" s="57"/>
      <c r="L3030" s="11"/>
      <c r="M3030" s="41"/>
      <c r="N3030" s="11"/>
    </row>
    <row r="3031" spans="8:14" x14ac:dyDescent="0.25">
      <c r="H3031" s="37"/>
      <c r="I3031" s="79"/>
      <c r="J3031" s="70"/>
      <c r="K3031" s="57"/>
      <c r="L3031" s="11"/>
      <c r="M3031" s="41"/>
      <c r="N3031" s="11"/>
    </row>
    <row r="3032" spans="8:14" x14ac:dyDescent="0.25">
      <c r="H3032" s="37"/>
      <c r="I3032" s="79"/>
      <c r="J3032" s="70"/>
      <c r="K3032" s="57"/>
      <c r="L3032" s="11"/>
      <c r="M3032" s="41"/>
      <c r="N3032" s="11"/>
    </row>
    <row r="3033" spans="8:14" x14ac:dyDescent="0.25">
      <c r="H3033" s="37"/>
      <c r="I3033" s="79"/>
      <c r="J3033" s="70"/>
      <c r="K3033" s="57"/>
      <c r="L3033" s="11"/>
      <c r="M3033" s="41"/>
      <c r="N3033" s="11"/>
    </row>
    <row r="3034" spans="8:14" x14ac:dyDescent="0.25">
      <c r="H3034" s="37"/>
      <c r="I3034" s="79"/>
      <c r="J3034" s="70"/>
      <c r="K3034" s="57"/>
      <c r="L3034" s="11"/>
      <c r="M3034" s="41"/>
      <c r="N3034" s="11"/>
    </row>
    <row r="3035" spans="8:14" x14ac:dyDescent="0.25">
      <c r="H3035" s="37"/>
      <c r="I3035" s="79"/>
      <c r="J3035" s="70"/>
      <c r="K3035" s="57"/>
      <c r="L3035" s="11"/>
      <c r="M3035" s="41"/>
      <c r="N3035" s="11"/>
    </row>
    <row r="3036" spans="8:14" x14ac:dyDescent="0.25">
      <c r="H3036" s="37"/>
      <c r="I3036" s="79"/>
      <c r="J3036" s="70"/>
      <c r="K3036" s="57"/>
      <c r="L3036" s="11"/>
      <c r="M3036" s="41"/>
      <c r="N3036" s="11"/>
    </row>
    <row r="3037" spans="8:14" x14ac:dyDescent="0.25">
      <c r="H3037" s="37"/>
      <c r="I3037" s="79"/>
      <c r="J3037" s="70"/>
      <c r="K3037" s="57"/>
      <c r="L3037" s="11"/>
      <c r="M3037" s="41"/>
      <c r="N3037" s="11"/>
    </row>
    <row r="3038" spans="8:14" x14ac:dyDescent="0.25">
      <c r="H3038" s="37"/>
      <c r="I3038" s="79"/>
      <c r="J3038" s="70"/>
      <c r="K3038" s="57"/>
      <c r="L3038" s="11"/>
      <c r="M3038" s="41"/>
      <c r="N3038" s="11"/>
    </row>
    <row r="3039" spans="8:14" x14ac:dyDescent="0.25">
      <c r="H3039" s="37"/>
      <c r="I3039" s="79"/>
      <c r="J3039" s="70"/>
      <c r="K3039" s="57"/>
      <c r="L3039" s="11"/>
      <c r="M3039" s="41"/>
      <c r="N3039" s="11"/>
    </row>
    <row r="3040" spans="8:14" x14ac:dyDescent="0.25">
      <c r="H3040" s="37"/>
      <c r="I3040" s="79"/>
      <c r="J3040" s="70"/>
      <c r="K3040" s="57"/>
      <c r="L3040" s="11"/>
      <c r="M3040" s="41"/>
      <c r="N3040" s="11"/>
    </row>
    <row r="3041" spans="8:14" x14ac:dyDescent="0.25">
      <c r="H3041" s="37"/>
      <c r="I3041" s="79"/>
      <c r="J3041" s="70"/>
      <c r="K3041" s="57"/>
      <c r="L3041" s="11"/>
      <c r="M3041" s="41"/>
      <c r="N3041" s="11"/>
    </row>
    <row r="3042" spans="8:14" x14ac:dyDescent="0.25">
      <c r="H3042" s="37"/>
      <c r="I3042" s="79"/>
      <c r="J3042" s="70"/>
      <c r="K3042" s="57"/>
      <c r="L3042" s="11"/>
      <c r="M3042" s="41"/>
      <c r="N3042" s="11"/>
    </row>
    <row r="3043" spans="8:14" x14ac:dyDescent="0.25">
      <c r="H3043" s="37"/>
      <c r="I3043" s="79"/>
      <c r="J3043" s="70"/>
      <c r="K3043" s="57"/>
      <c r="L3043" s="11"/>
      <c r="M3043" s="41"/>
      <c r="N3043" s="11"/>
    </row>
    <row r="3044" spans="8:14" x14ac:dyDescent="0.25">
      <c r="H3044" s="37"/>
      <c r="I3044" s="79"/>
      <c r="J3044" s="70"/>
      <c r="K3044" s="57"/>
      <c r="L3044" s="11"/>
      <c r="M3044" s="41"/>
      <c r="N3044" s="11"/>
    </row>
    <row r="3045" spans="8:14" x14ac:dyDescent="0.25">
      <c r="H3045" s="37"/>
      <c r="I3045" s="79"/>
      <c r="J3045" s="70"/>
      <c r="K3045" s="57"/>
      <c r="L3045" s="11"/>
      <c r="M3045" s="41"/>
      <c r="N3045" s="11"/>
    </row>
    <row r="3046" spans="8:14" x14ac:dyDescent="0.25">
      <c r="H3046" s="37"/>
      <c r="I3046" s="79"/>
      <c r="J3046" s="70"/>
      <c r="K3046" s="57"/>
      <c r="L3046" s="11"/>
      <c r="M3046" s="41"/>
      <c r="N3046" s="11"/>
    </row>
    <row r="3047" spans="8:14" x14ac:dyDescent="0.25">
      <c r="H3047" s="37"/>
      <c r="I3047" s="79"/>
      <c r="J3047" s="70"/>
      <c r="K3047" s="57"/>
      <c r="L3047" s="11"/>
      <c r="M3047" s="41"/>
      <c r="N3047" s="11"/>
    </row>
    <row r="3048" spans="8:14" x14ac:dyDescent="0.25">
      <c r="H3048" s="37"/>
      <c r="I3048" s="79"/>
      <c r="J3048" s="70"/>
      <c r="K3048" s="57"/>
      <c r="L3048" s="11"/>
      <c r="M3048" s="41"/>
      <c r="N3048" s="11"/>
    </row>
    <row r="3049" spans="8:14" x14ac:dyDescent="0.25">
      <c r="H3049" s="37"/>
      <c r="I3049" s="79"/>
      <c r="J3049" s="70"/>
      <c r="K3049" s="57"/>
      <c r="L3049" s="11"/>
      <c r="M3049" s="41"/>
      <c r="N3049" s="11"/>
    </row>
    <row r="3050" spans="8:14" x14ac:dyDescent="0.25">
      <c r="H3050" s="37"/>
      <c r="I3050" s="79"/>
      <c r="J3050" s="70"/>
      <c r="K3050" s="57"/>
      <c r="L3050" s="11"/>
      <c r="M3050" s="41"/>
      <c r="N3050" s="11"/>
    </row>
    <row r="3051" spans="8:14" x14ac:dyDescent="0.25">
      <c r="H3051" s="37"/>
      <c r="I3051" s="79"/>
      <c r="J3051" s="70"/>
      <c r="K3051" s="57"/>
      <c r="L3051" s="11"/>
      <c r="M3051" s="41"/>
      <c r="N3051" s="11"/>
    </row>
    <row r="3052" spans="8:14" x14ac:dyDescent="0.25">
      <c r="H3052" s="37"/>
      <c r="I3052" s="79"/>
      <c r="J3052" s="70"/>
      <c r="K3052" s="57"/>
      <c r="L3052" s="11"/>
      <c r="M3052" s="41"/>
      <c r="N3052" s="11"/>
    </row>
    <row r="3053" spans="8:14" x14ac:dyDescent="0.25">
      <c r="H3053" s="37"/>
      <c r="I3053" s="79"/>
      <c r="J3053" s="70"/>
      <c r="K3053" s="57"/>
      <c r="L3053" s="11"/>
      <c r="M3053" s="41"/>
      <c r="N3053" s="11"/>
    </row>
    <row r="3054" spans="8:14" x14ac:dyDescent="0.25">
      <c r="H3054" s="37"/>
      <c r="I3054" s="79"/>
      <c r="J3054" s="70"/>
      <c r="K3054" s="57"/>
      <c r="L3054" s="11"/>
      <c r="M3054" s="41"/>
      <c r="N3054" s="11"/>
    </row>
    <row r="3055" spans="8:14" x14ac:dyDescent="0.25">
      <c r="H3055" s="37"/>
      <c r="I3055" s="79"/>
      <c r="J3055" s="70"/>
      <c r="K3055" s="57"/>
      <c r="L3055" s="11"/>
      <c r="M3055" s="41"/>
      <c r="N3055" s="11"/>
    </row>
    <row r="3056" spans="8:14" x14ac:dyDescent="0.25">
      <c r="H3056" s="37"/>
      <c r="I3056" s="79"/>
      <c r="J3056" s="70"/>
      <c r="K3056" s="57"/>
      <c r="L3056" s="11"/>
      <c r="M3056" s="41"/>
      <c r="N3056" s="11"/>
    </row>
    <row r="3057" spans="8:14" x14ac:dyDescent="0.25">
      <c r="H3057" s="37"/>
      <c r="I3057" s="79"/>
      <c r="J3057" s="70"/>
      <c r="K3057" s="57"/>
      <c r="L3057" s="11"/>
      <c r="M3057" s="41"/>
      <c r="N3057" s="11"/>
    </row>
    <row r="3058" spans="8:14" x14ac:dyDescent="0.25">
      <c r="H3058" s="37"/>
      <c r="I3058" s="79"/>
      <c r="J3058" s="70"/>
      <c r="K3058" s="57"/>
      <c r="L3058" s="11"/>
      <c r="M3058" s="41"/>
      <c r="N3058" s="11"/>
    </row>
    <row r="3059" spans="8:14" x14ac:dyDescent="0.25">
      <c r="H3059" s="37"/>
      <c r="I3059" s="79"/>
      <c r="J3059" s="70"/>
      <c r="K3059" s="57"/>
      <c r="L3059" s="11"/>
      <c r="M3059" s="41"/>
      <c r="N3059" s="11"/>
    </row>
    <row r="3060" spans="8:14" x14ac:dyDescent="0.25">
      <c r="H3060" s="37"/>
      <c r="I3060" s="79"/>
      <c r="J3060" s="70"/>
      <c r="K3060" s="57"/>
      <c r="L3060" s="11"/>
      <c r="M3060" s="41"/>
      <c r="N3060" s="11"/>
    </row>
    <row r="3061" spans="8:14" x14ac:dyDescent="0.25">
      <c r="H3061" s="37"/>
      <c r="I3061" s="79"/>
      <c r="J3061" s="70"/>
      <c r="K3061" s="57"/>
      <c r="L3061" s="11"/>
      <c r="M3061" s="41"/>
      <c r="N3061" s="11"/>
    </row>
    <row r="3062" spans="8:14" x14ac:dyDescent="0.25">
      <c r="H3062" s="37"/>
      <c r="I3062" s="79"/>
      <c r="J3062" s="70"/>
      <c r="K3062" s="57"/>
      <c r="L3062" s="11"/>
      <c r="M3062" s="41"/>
      <c r="N3062" s="11"/>
    </row>
    <row r="3063" spans="8:14" x14ac:dyDescent="0.25">
      <c r="H3063" s="37"/>
      <c r="I3063" s="79"/>
      <c r="J3063" s="70"/>
      <c r="K3063" s="57"/>
      <c r="L3063" s="11"/>
      <c r="M3063" s="41"/>
      <c r="N3063" s="11"/>
    </row>
    <row r="3064" spans="8:14" x14ac:dyDescent="0.25">
      <c r="H3064" s="37"/>
      <c r="I3064" s="79"/>
      <c r="J3064" s="70"/>
      <c r="K3064" s="57"/>
      <c r="L3064" s="11"/>
      <c r="M3064" s="41"/>
      <c r="N3064" s="11"/>
    </row>
    <row r="3065" spans="8:14" x14ac:dyDescent="0.25">
      <c r="H3065" s="37"/>
      <c r="I3065" s="79"/>
      <c r="J3065" s="70"/>
      <c r="K3065" s="57"/>
      <c r="L3065" s="11"/>
      <c r="M3065" s="41"/>
      <c r="N3065" s="11"/>
    </row>
    <row r="3066" spans="8:14" x14ac:dyDescent="0.25">
      <c r="H3066" s="37"/>
      <c r="I3066" s="79"/>
      <c r="J3066" s="70"/>
      <c r="K3066" s="57"/>
      <c r="L3066" s="11"/>
      <c r="M3066" s="41"/>
      <c r="N3066" s="11"/>
    </row>
    <row r="3067" spans="8:14" x14ac:dyDescent="0.25">
      <c r="H3067" s="37"/>
      <c r="I3067" s="79"/>
      <c r="J3067" s="70"/>
      <c r="K3067" s="57"/>
      <c r="L3067" s="11"/>
      <c r="M3067" s="41"/>
      <c r="N3067" s="11"/>
    </row>
    <row r="3068" spans="8:14" x14ac:dyDescent="0.25">
      <c r="H3068" s="37"/>
      <c r="I3068" s="79"/>
      <c r="J3068" s="70"/>
      <c r="K3068" s="57"/>
      <c r="L3068" s="11"/>
      <c r="M3068" s="41"/>
      <c r="N3068" s="11"/>
    </row>
    <row r="3069" spans="8:14" x14ac:dyDescent="0.25">
      <c r="H3069" s="37"/>
      <c r="I3069" s="79"/>
      <c r="J3069" s="70"/>
      <c r="K3069" s="57"/>
      <c r="L3069" s="11"/>
      <c r="M3069" s="41"/>
      <c r="N3069" s="11"/>
    </row>
    <row r="3070" spans="8:14" x14ac:dyDescent="0.25">
      <c r="H3070" s="37"/>
      <c r="I3070" s="79"/>
      <c r="J3070" s="70"/>
      <c r="K3070" s="57"/>
      <c r="L3070" s="11"/>
      <c r="M3070" s="41"/>
      <c r="N3070" s="11"/>
    </row>
    <row r="3071" spans="8:14" x14ac:dyDescent="0.25">
      <c r="H3071" s="37"/>
      <c r="I3071" s="79"/>
      <c r="J3071" s="70"/>
      <c r="K3071" s="57"/>
      <c r="L3071" s="11"/>
      <c r="M3071" s="41"/>
      <c r="N3071" s="11"/>
    </row>
    <row r="3072" spans="8:14" x14ac:dyDescent="0.25">
      <c r="H3072" s="37"/>
      <c r="I3072" s="79"/>
      <c r="J3072" s="70"/>
      <c r="K3072" s="57"/>
      <c r="L3072" s="11"/>
      <c r="M3072" s="41"/>
      <c r="N3072" s="11"/>
    </row>
    <row r="3073" spans="8:14" x14ac:dyDescent="0.25">
      <c r="H3073" s="37"/>
      <c r="I3073" s="79"/>
      <c r="J3073" s="70"/>
      <c r="K3073" s="57"/>
      <c r="L3073" s="11"/>
      <c r="M3073" s="41"/>
      <c r="N3073" s="11"/>
    </row>
    <row r="3074" spans="8:14" x14ac:dyDescent="0.25">
      <c r="H3074" s="37"/>
      <c r="I3074" s="79"/>
      <c r="J3074" s="70"/>
      <c r="K3074" s="57"/>
      <c r="L3074" s="11"/>
      <c r="M3074" s="41"/>
      <c r="N3074" s="11"/>
    </row>
    <row r="3075" spans="8:14" x14ac:dyDescent="0.25">
      <c r="H3075" s="37"/>
      <c r="I3075" s="79"/>
      <c r="J3075" s="70"/>
      <c r="K3075" s="57"/>
      <c r="L3075" s="11"/>
      <c r="M3075" s="41"/>
      <c r="N3075" s="11"/>
    </row>
    <row r="3076" spans="8:14" x14ac:dyDescent="0.25">
      <c r="H3076" s="37"/>
      <c r="I3076" s="79"/>
      <c r="J3076" s="70"/>
      <c r="K3076" s="57"/>
      <c r="L3076" s="11"/>
      <c r="M3076" s="41"/>
      <c r="N3076" s="11"/>
    </row>
    <row r="3077" spans="8:14" x14ac:dyDescent="0.25">
      <c r="H3077" s="37"/>
      <c r="I3077" s="79"/>
      <c r="J3077" s="70"/>
      <c r="K3077" s="57"/>
      <c r="L3077" s="11"/>
      <c r="M3077" s="41"/>
      <c r="N3077" s="11"/>
    </row>
    <row r="3078" spans="8:14" x14ac:dyDescent="0.25">
      <c r="H3078" s="37"/>
      <c r="I3078" s="79"/>
      <c r="J3078" s="70"/>
      <c r="K3078" s="57"/>
      <c r="L3078" s="11"/>
      <c r="M3078" s="41"/>
      <c r="N3078" s="11"/>
    </row>
    <row r="3079" spans="8:14" x14ac:dyDescent="0.25">
      <c r="H3079" s="37"/>
      <c r="I3079" s="79"/>
      <c r="J3079" s="70"/>
      <c r="K3079" s="57"/>
      <c r="L3079" s="11"/>
      <c r="M3079" s="41"/>
      <c r="N3079" s="11"/>
    </row>
    <row r="3080" spans="8:14" x14ac:dyDescent="0.25">
      <c r="H3080" s="37"/>
      <c r="I3080" s="79"/>
      <c r="J3080" s="70"/>
      <c r="K3080" s="57"/>
      <c r="L3080" s="11"/>
      <c r="M3080" s="41"/>
      <c r="N3080" s="11"/>
    </row>
    <row r="3081" spans="8:14" x14ac:dyDescent="0.25">
      <c r="H3081" s="37"/>
      <c r="I3081" s="79"/>
      <c r="J3081" s="70"/>
      <c r="K3081" s="57"/>
      <c r="L3081" s="11"/>
      <c r="M3081" s="41"/>
      <c r="N3081" s="11"/>
    </row>
    <row r="3082" spans="8:14" x14ac:dyDescent="0.25">
      <c r="H3082" s="37"/>
      <c r="I3082" s="79"/>
      <c r="J3082" s="70"/>
      <c r="K3082" s="57"/>
      <c r="L3082" s="11"/>
      <c r="M3082" s="41"/>
      <c r="N3082" s="11"/>
    </row>
    <row r="3083" spans="8:14" x14ac:dyDescent="0.25">
      <c r="H3083" s="37"/>
      <c r="I3083" s="79"/>
      <c r="J3083" s="70"/>
      <c r="K3083" s="57"/>
      <c r="L3083" s="11"/>
      <c r="M3083" s="41"/>
      <c r="N3083" s="11"/>
    </row>
    <row r="3084" spans="8:14" x14ac:dyDescent="0.25">
      <c r="H3084" s="37"/>
      <c r="I3084" s="79"/>
      <c r="J3084" s="70"/>
      <c r="K3084" s="57"/>
      <c r="L3084" s="11"/>
      <c r="M3084" s="41"/>
      <c r="N3084" s="11"/>
    </row>
    <row r="3085" spans="8:14" x14ac:dyDescent="0.25">
      <c r="H3085" s="37"/>
      <c r="I3085" s="79"/>
      <c r="J3085" s="70"/>
      <c r="K3085" s="57"/>
      <c r="L3085" s="11"/>
      <c r="M3085" s="41"/>
      <c r="N3085" s="11"/>
    </row>
    <row r="3086" spans="8:14" x14ac:dyDescent="0.25">
      <c r="H3086" s="37"/>
      <c r="I3086" s="79"/>
      <c r="J3086" s="70"/>
      <c r="K3086" s="57"/>
      <c r="L3086" s="11"/>
      <c r="M3086" s="41"/>
      <c r="N3086" s="11"/>
    </row>
    <row r="3087" spans="8:14" x14ac:dyDescent="0.25">
      <c r="H3087" s="37"/>
      <c r="I3087" s="79"/>
      <c r="J3087" s="70"/>
      <c r="K3087" s="57"/>
      <c r="L3087" s="11"/>
      <c r="M3087" s="41"/>
      <c r="N3087" s="11"/>
    </row>
    <row r="3088" spans="8:14" x14ac:dyDescent="0.25">
      <c r="H3088" s="37"/>
      <c r="I3088" s="79"/>
      <c r="J3088" s="70"/>
      <c r="K3088" s="57"/>
      <c r="L3088" s="11"/>
      <c r="M3088" s="41"/>
      <c r="N3088" s="11"/>
    </row>
    <row r="3089" spans="8:14" x14ac:dyDescent="0.25">
      <c r="H3089" s="37"/>
      <c r="I3089" s="79"/>
      <c r="J3089" s="70"/>
      <c r="K3089" s="57"/>
      <c r="L3089" s="11"/>
      <c r="M3089" s="41"/>
      <c r="N3089" s="11"/>
    </row>
    <row r="3090" spans="8:14" x14ac:dyDescent="0.25">
      <c r="H3090" s="37"/>
      <c r="I3090" s="79"/>
      <c r="J3090" s="70"/>
      <c r="K3090" s="57"/>
      <c r="L3090" s="11"/>
      <c r="M3090" s="41"/>
      <c r="N3090" s="11"/>
    </row>
    <row r="3091" spans="8:14" x14ac:dyDescent="0.25">
      <c r="H3091" s="37"/>
      <c r="I3091" s="79"/>
      <c r="J3091" s="70"/>
      <c r="K3091" s="57"/>
      <c r="L3091" s="11"/>
      <c r="M3091" s="41"/>
      <c r="N3091" s="11"/>
    </row>
    <row r="3092" spans="8:14" x14ac:dyDescent="0.25">
      <c r="H3092" s="37"/>
      <c r="I3092" s="79"/>
      <c r="J3092" s="70"/>
      <c r="K3092" s="57"/>
      <c r="L3092" s="11"/>
      <c r="M3092" s="41"/>
      <c r="N3092" s="11"/>
    </row>
    <row r="3093" spans="8:14" x14ac:dyDescent="0.25">
      <c r="H3093" s="37"/>
      <c r="I3093" s="79"/>
      <c r="J3093" s="70"/>
      <c r="K3093" s="57"/>
      <c r="L3093" s="11"/>
      <c r="M3093" s="41"/>
      <c r="N3093" s="11"/>
    </row>
    <row r="3094" spans="8:14" x14ac:dyDescent="0.25">
      <c r="H3094" s="37"/>
      <c r="I3094" s="79"/>
      <c r="J3094" s="70"/>
      <c r="K3094" s="57"/>
      <c r="L3094" s="11"/>
      <c r="M3094" s="41"/>
      <c r="N3094" s="11"/>
    </row>
    <row r="3095" spans="8:14" x14ac:dyDescent="0.25">
      <c r="H3095" s="37"/>
      <c r="I3095" s="79"/>
      <c r="J3095" s="70"/>
      <c r="K3095" s="57"/>
      <c r="L3095" s="11"/>
      <c r="M3095" s="41"/>
      <c r="N3095" s="11"/>
    </row>
    <row r="3096" spans="8:14" x14ac:dyDescent="0.25">
      <c r="H3096" s="37"/>
      <c r="I3096" s="79"/>
      <c r="J3096" s="70"/>
      <c r="K3096" s="57"/>
      <c r="L3096" s="11"/>
      <c r="M3096" s="41"/>
      <c r="N3096" s="11"/>
    </row>
    <row r="3097" spans="8:14" x14ac:dyDescent="0.25">
      <c r="H3097" s="37"/>
      <c r="I3097" s="79"/>
      <c r="J3097" s="70"/>
      <c r="K3097" s="57"/>
      <c r="L3097" s="11"/>
      <c r="M3097" s="41"/>
      <c r="N3097" s="11"/>
    </row>
    <row r="3098" spans="8:14" x14ac:dyDescent="0.25">
      <c r="H3098" s="37"/>
      <c r="I3098" s="79"/>
      <c r="J3098" s="70"/>
      <c r="K3098" s="57"/>
      <c r="L3098" s="11"/>
      <c r="M3098" s="41"/>
      <c r="N3098" s="11"/>
    </row>
    <row r="3099" spans="8:14" x14ac:dyDescent="0.25">
      <c r="H3099" s="37"/>
      <c r="I3099" s="79"/>
      <c r="J3099" s="70"/>
      <c r="K3099" s="57"/>
      <c r="L3099" s="11"/>
      <c r="M3099" s="41"/>
      <c r="N3099" s="11"/>
    </row>
    <row r="3100" spans="8:14" x14ac:dyDescent="0.25">
      <c r="H3100" s="37"/>
      <c r="I3100" s="79"/>
      <c r="J3100" s="70"/>
      <c r="K3100" s="57"/>
      <c r="L3100" s="11"/>
      <c r="M3100" s="41"/>
      <c r="N3100" s="11"/>
    </row>
    <row r="3101" spans="8:14" x14ac:dyDescent="0.25">
      <c r="H3101" s="37"/>
      <c r="I3101" s="79"/>
      <c r="J3101" s="70"/>
      <c r="K3101" s="57"/>
      <c r="L3101" s="11"/>
      <c r="M3101" s="41"/>
      <c r="N3101" s="11"/>
    </row>
    <row r="3102" spans="8:14" x14ac:dyDescent="0.25">
      <c r="H3102" s="37"/>
      <c r="I3102" s="79"/>
      <c r="J3102" s="70"/>
      <c r="K3102" s="57"/>
      <c r="L3102" s="11"/>
      <c r="M3102" s="41"/>
      <c r="N3102" s="11"/>
    </row>
    <row r="3103" spans="8:14" x14ac:dyDescent="0.25">
      <c r="H3103" s="37"/>
      <c r="I3103" s="79"/>
      <c r="J3103" s="70"/>
      <c r="K3103" s="57"/>
      <c r="L3103" s="11"/>
      <c r="M3103" s="41"/>
      <c r="N3103" s="11"/>
    </row>
    <row r="3104" spans="8:14" x14ac:dyDescent="0.25">
      <c r="H3104" s="37"/>
      <c r="I3104" s="79"/>
      <c r="J3104" s="70"/>
      <c r="K3104" s="57"/>
      <c r="L3104" s="11"/>
      <c r="M3104" s="41"/>
      <c r="N3104" s="11"/>
    </row>
    <row r="3105" spans="8:14" x14ac:dyDescent="0.25">
      <c r="H3105" s="37"/>
      <c r="I3105" s="79"/>
      <c r="J3105" s="70"/>
      <c r="K3105" s="57"/>
      <c r="L3105" s="11"/>
      <c r="M3105" s="41"/>
      <c r="N3105" s="11"/>
    </row>
    <row r="3106" spans="8:14" x14ac:dyDescent="0.25">
      <c r="H3106" s="37"/>
      <c r="I3106" s="79"/>
      <c r="J3106" s="70"/>
      <c r="K3106" s="57"/>
      <c r="L3106" s="11"/>
      <c r="M3106" s="41"/>
      <c r="N3106" s="11"/>
    </row>
    <row r="3107" spans="8:14" x14ac:dyDescent="0.25">
      <c r="H3107" s="37"/>
      <c r="I3107" s="79"/>
      <c r="J3107" s="70"/>
      <c r="K3107" s="57"/>
      <c r="L3107" s="11"/>
      <c r="M3107" s="41"/>
      <c r="N3107" s="11"/>
    </row>
    <row r="3108" spans="8:14" x14ac:dyDescent="0.25">
      <c r="H3108" s="37"/>
      <c r="I3108" s="79"/>
      <c r="J3108" s="70"/>
      <c r="K3108" s="57"/>
      <c r="L3108" s="11"/>
      <c r="M3108" s="41"/>
      <c r="N3108" s="11"/>
    </row>
    <row r="3109" spans="8:14" x14ac:dyDescent="0.25">
      <c r="H3109" s="37"/>
      <c r="I3109" s="79"/>
      <c r="J3109" s="70"/>
      <c r="K3109" s="57"/>
      <c r="L3109" s="11"/>
      <c r="M3109" s="41"/>
      <c r="N3109" s="11"/>
    </row>
    <row r="3110" spans="8:14" x14ac:dyDescent="0.25">
      <c r="H3110" s="37"/>
      <c r="I3110" s="79"/>
      <c r="J3110" s="70"/>
      <c r="K3110" s="57"/>
      <c r="L3110" s="11"/>
      <c r="M3110" s="41"/>
      <c r="N3110" s="11"/>
    </row>
    <row r="3111" spans="8:14" x14ac:dyDescent="0.25">
      <c r="H3111" s="37"/>
      <c r="I3111" s="79"/>
      <c r="J3111" s="70"/>
      <c r="K3111" s="57"/>
      <c r="L3111" s="11"/>
      <c r="M3111" s="41"/>
      <c r="N3111" s="11"/>
    </row>
    <row r="3112" spans="8:14" x14ac:dyDescent="0.25">
      <c r="H3112" s="37"/>
      <c r="I3112" s="79"/>
      <c r="J3112" s="70"/>
      <c r="K3112" s="57"/>
      <c r="L3112" s="11"/>
      <c r="M3112" s="41"/>
      <c r="N3112" s="11"/>
    </row>
    <row r="3113" spans="8:14" x14ac:dyDescent="0.25">
      <c r="H3113" s="37"/>
      <c r="I3113" s="79"/>
      <c r="J3113" s="70"/>
      <c r="K3113" s="57"/>
      <c r="L3113" s="11"/>
      <c r="M3113" s="41"/>
      <c r="N3113" s="11"/>
    </row>
    <row r="3114" spans="8:14" x14ac:dyDescent="0.25">
      <c r="H3114" s="37"/>
      <c r="I3114" s="79"/>
      <c r="J3114" s="70"/>
      <c r="K3114" s="57"/>
      <c r="L3114" s="11"/>
      <c r="M3114" s="41"/>
      <c r="N3114" s="11"/>
    </row>
    <row r="3115" spans="8:14" x14ac:dyDescent="0.25">
      <c r="H3115" s="37"/>
      <c r="I3115" s="79"/>
      <c r="J3115" s="70"/>
      <c r="K3115" s="57"/>
      <c r="L3115" s="11"/>
      <c r="M3115" s="41"/>
      <c r="N3115" s="11"/>
    </row>
    <row r="3116" spans="8:14" x14ac:dyDescent="0.25">
      <c r="H3116" s="37"/>
      <c r="I3116" s="79"/>
      <c r="J3116" s="70"/>
      <c r="K3116" s="57"/>
      <c r="L3116" s="11"/>
      <c r="M3116" s="41"/>
      <c r="N3116" s="11"/>
    </row>
    <row r="3117" spans="8:14" x14ac:dyDescent="0.25">
      <c r="H3117" s="37"/>
      <c r="I3117" s="79"/>
      <c r="J3117" s="70"/>
      <c r="K3117" s="57"/>
      <c r="L3117" s="11"/>
      <c r="M3117" s="41"/>
      <c r="N3117" s="11"/>
    </row>
    <row r="3118" spans="8:14" x14ac:dyDescent="0.25">
      <c r="H3118" s="37"/>
      <c r="I3118" s="79"/>
      <c r="J3118" s="70"/>
      <c r="K3118" s="57"/>
      <c r="L3118" s="11"/>
      <c r="M3118" s="41"/>
      <c r="N3118" s="11"/>
    </row>
    <row r="3119" spans="8:14" x14ac:dyDescent="0.25">
      <c r="H3119" s="37"/>
      <c r="I3119" s="79"/>
      <c r="J3119" s="70"/>
      <c r="K3119" s="57"/>
      <c r="L3119" s="11"/>
      <c r="M3119" s="41"/>
      <c r="N3119" s="11"/>
    </row>
    <row r="3120" spans="8:14" x14ac:dyDescent="0.25">
      <c r="H3120" s="37"/>
      <c r="I3120" s="79"/>
      <c r="J3120" s="70"/>
      <c r="K3120" s="57"/>
      <c r="L3120" s="11"/>
      <c r="M3120" s="41"/>
      <c r="N3120" s="11"/>
    </row>
    <row r="3121" spans="8:14" x14ac:dyDescent="0.25">
      <c r="H3121" s="37"/>
      <c r="I3121" s="79"/>
      <c r="J3121" s="70"/>
      <c r="K3121" s="57"/>
      <c r="L3121" s="11"/>
      <c r="M3121" s="41"/>
      <c r="N3121" s="11"/>
    </row>
    <row r="3122" spans="8:14" x14ac:dyDescent="0.25">
      <c r="H3122" s="37"/>
      <c r="I3122" s="79"/>
      <c r="J3122" s="70"/>
      <c r="K3122" s="57"/>
      <c r="L3122" s="11"/>
      <c r="M3122" s="41"/>
      <c r="N3122" s="11"/>
    </row>
    <row r="3123" spans="8:14" x14ac:dyDescent="0.25">
      <c r="H3123" s="37"/>
      <c r="I3123" s="79"/>
      <c r="J3123" s="70"/>
      <c r="K3123" s="57"/>
      <c r="L3123" s="11"/>
      <c r="M3123" s="41"/>
      <c r="N3123" s="11"/>
    </row>
    <row r="3124" spans="8:14" x14ac:dyDescent="0.25">
      <c r="H3124" s="37"/>
      <c r="I3124" s="79"/>
      <c r="J3124" s="70"/>
      <c r="K3124" s="57"/>
      <c r="L3124" s="11"/>
      <c r="M3124" s="41"/>
      <c r="N3124" s="11"/>
    </row>
    <row r="3125" spans="8:14" x14ac:dyDescent="0.25">
      <c r="H3125" s="37"/>
      <c r="I3125" s="79"/>
      <c r="J3125" s="70"/>
      <c r="K3125" s="57"/>
      <c r="L3125" s="11"/>
      <c r="M3125" s="41"/>
      <c r="N3125" s="11"/>
    </row>
    <row r="3126" spans="8:14" x14ac:dyDescent="0.25">
      <c r="H3126" s="37"/>
      <c r="I3126" s="79"/>
      <c r="J3126" s="70"/>
      <c r="K3126" s="57"/>
      <c r="L3126" s="11"/>
      <c r="M3126" s="41"/>
      <c r="N3126" s="11"/>
    </row>
    <row r="3127" spans="8:14" x14ac:dyDescent="0.25">
      <c r="H3127" s="37"/>
      <c r="I3127" s="79"/>
      <c r="J3127" s="70"/>
      <c r="K3127" s="57"/>
      <c r="L3127" s="11"/>
      <c r="M3127" s="41"/>
      <c r="N3127" s="11"/>
    </row>
    <row r="3128" spans="8:14" x14ac:dyDescent="0.25">
      <c r="H3128" s="37"/>
      <c r="I3128" s="79"/>
      <c r="J3128" s="70"/>
      <c r="K3128" s="57"/>
      <c r="L3128" s="11"/>
      <c r="M3128" s="41"/>
      <c r="N3128" s="11"/>
    </row>
    <row r="3129" spans="8:14" x14ac:dyDescent="0.25">
      <c r="H3129" s="37"/>
      <c r="I3129" s="79"/>
      <c r="J3129" s="70"/>
      <c r="K3129" s="57"/>
      <c r="L3129" s="11"/>
      <c r="M3129" s="41"/>
      <c r="N3129" s="11"/>
    </row>
    <row r="3130" spans="8:14" x14ac:dyDescent="0.25">
      <c r="H3130" s="37"/>
      <c r="I3130" s="79"/>
      <c r="J3130" s="70"/>
      <c r="K3130" s="57"/>
      <c r="L3130" s="11"/>
      <c r="M3130" s="41"/>
      <c r="N3130" s="11"/>
    </row>
    <row r="3131" spans="8:14" x14ac:dyDescent="0.25">
      <c r="H3131" s="37"/>
      <c r="I3131" s="79"/>
      <c r="J3131" s="70"/>
      <c r="K3131" s="57"/>
      <c r="L3131" s="11"/>
      <c r="M3131" s="41"/>
      <c r="N3131" s="11"/>
    </row>
    <row r="3132" spans="8:14" x14ac:dyDescent="0.25">
      <c r="H3132" s="37"/>
      <c r="I3132" s="79"/>
      <c r="J3132" s="70"/>
      <c r="K3132" s="57"/>
      <c r="L3132" s="11"/>
      <c r="M3132" s="41"/>
      <c r="N3132" s="11"/>
    </row>
    <row r="3133" spans="8:14" x14ac:dyDescent="0.25">
      <c r="H3133" s="37"/>
      <c r="I3133" s="79"/>
      <c r="J3133" s="70"/>
      <c r="K3133" s="57"/>
      <c r="L3133" s="11"/>
      <c r="M3133" s="41"/>
      <c r="N3133" s="11"/>
    </row>
    <row r="3134" spans="8:14" x14ac:dyDescent="0.25">
      <c r="H3134" s="37"/>
      <c r="I3134" s="79"/>
      <c r="J3134" s="70"/>
      <c r="K3134" s="57"/>
      <c r="L3134" s="11"/>
      <c r="M3134" s="41"/>
      <c r="N3134" s="11"/>
    </row>
    <row r="3135" spans="8:14" x14ac:dyDescent="0.25">
      <c r="H3135" s="37"/>
      <c r="I3135" s="79"/>
      <c r="J3135" s="70"/>
      <c r="K3135" s="57"/>
      <c r="L3135" s="11"/>
      <c r="M3135" s="41"/>
      <c r="N3135" s="11"/>
    </row>
    <row r="3136" spans="8:14" x14ac:dyDescent="0.25">
      <c r="H3136" s="37"/>
      <c r="I3136" s="79"/>
      <c r="J3136" s="70"/>
      <c r="K3136" s="57"/>
      <c r="L3136" s="11"/>
      <c r="M3136" s="41"/>
      <c r="N3136" s="11"/>
    </row>
    <row r="3137" spans="8:14" x14ac:dyDescent="0.25">
      <c r="H3137" s="37"/>
      <c r="I3137" s="79"/>
      <c r="J3137" s="70"/>
      <c r="K3137" s="57"/>
      <c r="L3137" s="11"/>
      <c r="M3137" s="41"/>
      <c r="N3137" s="11"/>
    </row>
    <row r="3138" spans="8:14" x14ac:dyDescent="0.25">
      <c r="H3138" s="37"/>
      <c r="I3138" s="79"/>
      <c r="J3138" s="70"/>
      <c r="K3138" s="57"/>
      <c r="L3138" s="11"/>
      <c r="M3138" s="41"/>
      <c r="N3138" s="11"/>
    </row>
    <row r="3139" spans="8:14" x14ac:dyDescent="0.25">
      <c r="H3139" s="37"/>
      <c r="I3139" s="79"/>
      <c r="J3139" s="70"/>
      <c r="K3139" s="57"/>
      <c r="L3139" s="11"/>
      <c r="M3139" s="41"/>
      <c r="N3139" s="11"/>
    </row>
    <row r="3140" spans="8:14" x14ac:dyDescent="0.25">
      <c r="H3140" s="37"/>
      <c r="I3140" s="79"/>
      <c r="J3140" s="70"/>
      <c r="K3140" s="57"/>
      <c r="L3140" s="11"/>
      <c r="M3140" s="41"/>
      <c r="N3140" s="11"/>
    </row>
    <row r="3141" spans="8:14" x14ac:dyDescent="0.25">
      <c r="H3141" s="37"/>
      <c r="I3141" s="79"/>
      <c r="J3141" s="70"/>
      <c r="K3141" s="57"/>
      <c r="L3141" s="11"/>
      <c r="M3141" s="41"/>
      <c r="N3141" s="11"/>
    </row>
    <row r="3142" spans="8:14" x14ac:dyDescent="0.25">
      <c r="H3142" s="37"/>
      <c r="I3142" s="79"/>
      <c r="J3142" s="70"/>
      <c r="K3142" s="57"/>
      <c r="L3142" s="11"/>
      <c r="M3142" s="41"/>
      <c r="N3142" s="11"/>
    </row>
    <row r="3143" spans="8:14" x14ac:dyDescent="0.25">
      <c r="H3143" s="37"/>
      <c r="I3143" s="79"/>
      <c r="J3143" s="70"/>
      <c r="K3143" s="57"/>
      <c r="L3143" s="11"/>
      <c r="M3143" s="41"/>
      <c r="N3143" s="11"/>
    </row>
    <row r="3144" spans="8:14" x14ac:dyDescent="0.25">
      <c r="H3144" s="37"/>
      <c r="I3144" s="79"/>
      <c r="J3144" s="70"/>
      <c r="K3144" s="57"/>
      <c r="L3144" s="11"/>
      <c r="M3144" s="41"/>
      <c r="N3144" s="11"/>
    </row>
    <row r="3145" spans="8:14" x14ac:dyDescent="0.25">
      <c r="H3145" s="37"/>
      <c r="I3145" s="79"/>
      <c r="J3145" s="70"/>
      <c r="K3145" s="57"/>
      <c r="L3145" s="11"/>
      <c r="M3145" s="41"/>
      <c r="N3145" s="11"/>
    </row>
    <row r="3146" spans="8:14" x14ac:dyDescent="0.25">
      <c r="H3146" s="37"/>
      <c r="I3146" s="79"/>
      <c r="J3146" s="70"/>
      <c r="K3146" s="57"/>
      <c r="L3146" s="11"/>
      <c r="M3146" s="41"/>
      <c r="N3146" s="11"/>
    </row>
    <row r="3147" spans="8:14" x14ac:dyDescent="0.25">
      <c r="H3147" s="37"/>
      <c r="I3147" s="79"/>
      <c r="J3147" s="70"/>
      <c r="K3147" s="57"/>
      <c r="L3147" s="11"/>
      <c r="M3147" s="41"/>
      <c r="N3147" s="11"/>
    </row>
    <row r="3148" spans="8:14" x14ac:dyDescent="0.25">
      <c r="H3148" s="37"/>
      <c r="I3148" s="79"/>
      <c r="J3148" s="70"/>
      <c r="K3148" s="57"/>
      <c r="L3148" s="11"/>
      <c r="M3148" s="41"/>
      <c r="N3148" s="11"/>
    </row>
    <row r="3149" spans="8:14" x14ac:dyDescent="0.25">
      <c r="H3149" s="37"/>
      <c r="I3149" s="79"/>
      <c r="J3149" s="70"/>
      <c r="K3149" s="57"/>
      <c r="L3149" s="11"/>
      <c r="M3149" s="41"/>
      <c r="N3149" s="11"/>
    </row>
    <row r="3150" spans="8:14" x14ac:dyDescent="0.25">
      <c r="H3150" s="37"/>
      <c r="I3150" s="79"/>
      <c r="J3150" s="70"/>
      <c r="K3150" s="57"/>
      <c r="L3150" s="11"/>
      <c r="M3150" s="41"/>
      <c r="N3150" s="11"/>
    </row>
    <row r="3151" spans="8:14" x14ac:dyDescent="0.25">
      <c r="H3151" s="37"/>
      <c r="I3151" s="79"/>
      <c r="J3151" s="70"/>
      <c r="K3151" s="57"/>
      <c r="L3151" s="11"/>
      <c r="M3151" s="41"/>
      <c r="N3151" s="11"/>
    </row>
    <row r="3152" spans="8:14" x14ac:dyDescent="0.25">
      <c r="H3152" s="37"/>
      <c r="I3152" s="79"/>
      <c r="J3152" s="70"/>
      <c r="K3152" s="57"/>
      <c r="L3152" s="11"/>
      <c r="M3152" s="41"/>
      <c r="N3152" s="11"/>
    </row>
    <row r="3153" spans="8:14" x14ac:dyDescent="0.25">
      <c r="H3153" s="37"/>
      <c r="I3153" s="79"/>
      <c r="J3153" s="70"/>
      <c r="K3153" s="57"/>
      <c r="L3153" s="11"/>
      <c r="M3153" s="41"/>
      <c r="N3153" s="11"/>
    </row>
    <row r="3154" spans="8:14" x14ac:dyDescent="0.25">
      <c r="H3154" s="37"/>
      <c r="I3154" s="79"/>
      <c r="J3154" s="70"/>
      <c r="K3154" s="57"/>
      <c r="L3154" s="11"/>
      <c r="M3154" s="41"/>
      <c r="N3154" s="11"/>
    </row>
    <row r="3155" spans="8:14" x14ac:dyDescent="0.25">
      <c r="H3155" s="37"/>
      <c r="I3155" s="79"/>
      <c r="J3155" s="70"/>
      <c r="K3155" s="57"/>
      <c r="L3155" s="11"/>
      <c r="M3155" s="41"/>
      <c r="N3155" s="11"/>
    </row>
    <row r="3156" spans="8:14" x14ac:dyDescent="0.25">
      <c r="H3156" s="37"/>
      <c r="I3156" s="79"/>
      <c r="J3156" s="70"/>
      <c r="K3156" s="57"/>
      <c r="L3156" s="11"/>
      <c r="M3156" s="41"/>
      <c r="N3156" s="11"/>
    </row>
    <row r="3157" spans="8:14" x14ac:dyDescent="0.25">
      <c r="H3157" s="37"/>
      <c r="I3157" s="79"/>
      <c r="J3157" s="70"/>
      <c r="K3157" s="57"/>
      <c r="L3157" s="11"/>
      <c r="M3157" s="41"/>
      <c r="N3157" s="11"/>
    </row>
    <row r="3158" spans="8:14" x14ac:dyDescent="0.25">
      <c r="H3158" s="37"/>
      <c r="I3158" s="79"/>
      <c r="J3158" s="70"/>
      <c r="K3158" s="57"/>
      <c r="L3158" s="11"/>
      <c r="M3158" s="41"/>
      <c r="N3158" s="11"/>
    </row>
    <row r="3159" spans="8:14" x14ac:dyDescent="0.25">
      <c r="H3159" s="37"/>
      <c r="I3159" s="79"/>
      <c r="J3159" s="70"/>
      <c r="K3159" s="57"/>
      <c r="L3159" s="11"/>
      <c r="M3159" s="41"/>
      <c r="N3159" s="11"/>
    </row>
    <row r="3160" spans="8:14" x14ac:dyDescent="0.25">
      <c r="H3160" s="37"/>
      <c r="I3160" s="79"/>
      <c r="J3160" s="70"/>
      <c r="K3160" s="57"/>
      <c r="L3160" s="11"/>
      <c r="M3160" s="41"/>
      <c r="N3160" s="11"/>
    </row>
    <row r="3161" spans="8:14" x14ac:dyDescent="0.25">
      <c r="H3161" s="37"/>
      <c r="I3161" s="79"/>
      <c r="J3161" s="70"/>
      <c r="K3161" s="57"/>
      <c r="L3161" s="11"/>
      <c r="M3161" s="41"/>
      <c r="N3161" s="11"/>
    </row>
    <row r="3162" spans="8:14" x14ac:dyDescent="0.25">
      <c r="H3162" s="37"/>
      <c r="I3162" s="79"/>
      <c r="J3162" s="70"/>
      <c r="K3162" s="57"/>
      <c r="L3162" s="11"/>
      <c r="M3162" s="41"/>
      <c r="N3162" s="11"/>
    </row>
    <row r="3163" spans="8:14" x14ac:dyDescent="0.25">
      <c r="H3163" s="37"/>
      <c r="I3163" s="79"/>
      <c r="J3163" s="70"/>
      <c r="K3163" s="57"/>
      <c r="L3163" s="11"/>
      <c r="M3163" s="41"/>
      <c r="N3163" s="11"/>
    </row>
    <row r="3164" spans="8:14" x14ac:dyDescent="0.25">
      <c r="H3164" s="37"/>
      <c r="I3164" s="79"/>
      <c r="J3164" s="70"/>
      <c r="K3164" s="57"/>
      <c r="L3164" s="11"/>
      <c r="M3164" s="41"/>
      <c r="N3164" s="11"/>
    </row>
    <row r="3165" spans="8:14" x14ac:dyDescent="0.25">
      <c r="H3165" s="37"/>
      <c r="I3165" s="79"/>
      <c r="J3165" s="70"/>
      <c r="K3165" s="57"/>
      <c r="L3165" s="11"/>
      <c r="M3165" s="41"/>
      <c r="N3165" s="11"/>
    </row>
    <row r="3166" spans="8:14" x14ac:dyDescent="0.25">
      <c r="H3166" s="37"/>
      <c r="I3166" s="79"/>
      <c r="J3166" s="70"/>
      <c r="K3166" s="57"/>
      <c r="L3166" s="11"/>
      <c r="M3166" s="41"/>
      <c r="N3166" s="11"/>
    </row>
    <row r="3167" spans="8:14" x14ac:dyDescent="0.25">
      <c r="H3167" s="37"/>
      <c r="I3167" s="79"/>
      <c r="J3167" s="70"/>
      <c r="K3167" s="57"/>
      <c r="L3167" s="11"/>
      <c r="M3167" s="41"/>
      <c r="N3167" s="11"/>
    </row>
    <row r="3168" spans="8:14" x14ac:dyDescent="0.25">
      <c r="H3168" s="37"/>
      <c r="I3168" s="79"/>
      <c r="J3168" s="70"/>
      <c r="K3168" s="57"/>
      <c r="L3168" s="11"/>
      <c r="M3168" s="41"/>
      <c r="N3168" s="11"/>
    </row>
    <row r="3169" spans="8:14" x14ac:dyDescent="0.25">
      <c r="H3169" s="37"/>
      <c r="I3169" s="79"/>
      <c r="J3169" s="70"/>
      <c r="K3169" s="57"/>
      <c r="L3169" s="11"/>
      <c r="M3169" s="41"/>
      <c r="N3169" s="11"/>
    </row>
    <row r="3170" spans="8:14" x14ac:dyDescent="0.25">
      <c r="H3170" s="37"/>
      <c r="I3170" s="79"/>
      <c r="J3170" s="70"/>
      <c r="K3170" s="57"/>
      <c r="L3170" s="11"/>
      <c r="M3170" s="41"/>
      <c r="N3170" s="11"/>
    </row>
    <row r="3171" spans="8:14" x14ac:dyDescent="0.25">
      <c r="H3171" s="37"/>
      <c r="I3171" s="79"/>
      <c r="J3171" s="70"/>
      <c r="K3171" s="57"/>
      <c r="L3171" s="11"/>
      <c r="M3171" s="41"/>
      <c r="N3171" s="11"/>
    </row>
    <row r="3172" spans="8:14" x14ac:dyDescent="0.25">
      <c r="H3172" s="37"/>
      <c r="I3172" s="79"/>
      <c r="J3172" s="70"/>
      <c r="K3172" s="57"/>
      <c r="L3172" s="11"/>
      <c r="M3172" s="41"/>
      <c r="N3172" s="11"/>
    </row>
    <row r="3173" spans="8:14" x14ac:dyDescent="0.25">
      <c r="H3173" s="37"/>
      <c r="I3173" s="79"/>
      <c r="J3173" s="70"/>
      <c r="K3173" s="57"/>
      <c r="L3173" s="11"/>
      <c r="M3173" s="41"/>
      <c r="N3173" s="11"/>
    </row>
    <row r="3174" spans="8:14" x14ac:dyDescent="0.25">
      <c r="H3174" s="37"/>
      <c r="I3174" s="79"/>
      <c r="J3174" s="70"/>
      <c r="K3174" s="57"/>
      <c r="L3174" s="11"/>
      <c r="M3174" s="41"/>
      <c r="N3174" s="11"/>
    </row>
    <row r="3175" spans="8:14" x14ac:dyDescent="0.25">
      <c r="H3175" s="37"/>
      <c r="I3175" s="79"/>
      <c r="J3175" s="70"/>
      <c r="K3175" s="57"/>
      <c r="L3175" s="11"/>
      <c r="M3175" s="41"/>
      <c r="N3175" s="11"/>
    </row>
    <row r="3176" spans="8:14" x14ac:dyDescent="0.25">
      <c r="H3176" s="37"/>
      <c r="I3176" s="79"/>
      <c r="J3176" s="70"/>
      <c r="K3176" s="57"/>
      <c r="L3176" s="11"/>
      <c r="M3176" s="41"/>
      <c r="N3176" s="11"/>
    </row>
    <row r="3177" spans="8:14" x14ac:dyDescent="0.25">
      <c r="H3177" s="37"/>
      <c r="I3177" s="79"/>
      <c r="J3177" s="70"/>
      <c r="K3177" s="57"/>
      <c r="L3177" s="11"/>
      <c r="M3177" s="41"/>
      <c r="N3177" s="11"/>
    </row>
    <row r="3178" spans="8:14" x14ac:dyDescent="0.25">
      <c r="H3178" s="37"/>
      <c r="I3178" s="79"/>
      <c r="J3178" s="70"/>
      <c r="K3178" s="57"/>
      <c r="L3178" s="11"/>
      <c r="M3178" s="41"/>
      <c r="N3178" s="11"/>
    </row>
    <row r="3179" spans="8:14" x14ac:dyDescent="0.25">
      <c r="H3179" s="37"/>
      <c r="I3179" s="79"/>
      <c r="J3179" s="70"/>
      <c r="K3179" s="57"/>
      <c r="L3179" s="11"/>
      <c r="M3179" s="41"/>
      <c r="N3179" s="11"/>
    </row>
    <row r="3180" spans="8:14" x14ac:dyDescent="0.25">
      <c r="H3180" s="37"/>
      <c r="I3180" s="79"/>
      <c r="J3180" s="70"/>
      <c r="K3180" s="57"/>
      <c r="L3180" s="11"/>
      <c r="M3180" s="41"/>
      <c r="N3180" s="11"/>
    </row>
    <row r="3181" spans="8:14" x14ac:dyDescent="0.25">
      <c r="H3181" s="37"/>
      <c r="I3181" s="79"/>
      <c r="J3181" s="70"/>
      <c r="K3181" s="57"/>
      <c r="L3181" s="11"/>
      <c r="M3181" s="41"/>
      <c r="N3181" s="11"/>
    </row>
    <row r="3182" spans="8:14" x14ac:dyDescent="0.25">
      <c r="H3182" s="37"/>
      <c r="I3182" s="79"/>
      <c r="J3182" s="70"/>
      <c r="K3182" s="57"/>
      <c r="L3182" s="11"/>
      <c r="M3182" s="41"/>
      <c r="N3182" s="11"/>
    </row>
    <row r="3183" spans="8:14" x14ac:dyDescent="0.25">
      <c r="H3183" s="37"/>
      <c r="I3183" s="79"/>
      <c r="J3183" s="70"/>
      <c r="K3183" s="57"/>
      <c r="L3183" s="11"/>
      <c r="M3183" s="41"/>
      <c r="N3183" s="11"/>
    </row>
    <row r="3184" spans="8:14" x14ac:dyDescent="0.25">
      <c r="H3184" s="37"/>
      <c r="I3184" s="79"/>
      <c r="J3184" s="70"/>
      <c r="K3184" s="57"/>
      <c r="L3184" s="11"/>
      <c r="M3184" s="41"/>
      <c r="N3184" s="11"/>
    </row>
    <row r="3185" spans="8:14" x14ac:dyDescent="0.25">
      <c r="H3185" s="37"/>
      <c r="I3185" s="79"/>
      <c r="J3185" s="70"/>
      <c r="K3185" s="57"/>
      <c r="L3185" s="11"/>
      <c r="M3185" s="41"/>
      <c r="N3185" s="11"/>
    </row>
    <row r="3186" spans="8:14" x14ac:dyDescent="0.25">
      <c r="H3186" s="37"/>
      <c r="I3186" s="79"/>
      <c r="J3186" s="70"/>
      <c r="K3186" s="57"/>
      <c r="L3186" s="11"/>
      <c r="M3186" s="41"/>
      <c r="N3186" s="11"/>
    </row>
    <row r="3187" spans="8:14" x14ac:dyDescent="0.25">
      <c r="H3187" s="37"/>
      <c r="I3187" s="79"/>
      <c r="J3187" s="70"/>
      <c r="K3187" s="57"/>
      <c r="L3187" s="11"/>
      <c r="M3187" s="41"/>
      <c r="N3187" s="11"/>
    </row>
    <row r="3188" spans="8:14" x14ac:dyDescent="0.25">
      <c r="H3188" s="37"/>
      <c r="I3188" s="79"/>
      <c r="J3188" s="70"/>
      <c r="K3188" s="57"/>
      <c r="L3188" s="11"/>
      <c r="M3188" s="41"/>
      <c r="N3188" s="11"/>
    </row>
    <row r="3189" spans="8:14" x14ac:dyDescent="0.25">
      <c r="H3189" s="37"/>
      <c r="I3189" s="79"/>
      <c r="J3189" s="70"/>
      <c r="K3189" s="57"/>
      <c r="L3189" s="11"/>
      <c r="M3189" s="41"/>
      <c r="N3189" s="11"/>
    </row>
    <row r="3190" spans="8:14" x14ac:dyDescent="0.25">
      <c r="H3190" s="37"/>
      <c r="I3190" s="79"/>
      <c r="J3190" s="70"/>
      <c r="K3190" s="57"/>
      <c r="L3190" s="11"/>
      <c r="M3190" s="41"/>
      <c r="N3190" s="11"/>
    </row>
    <row r="3191" spans="8:14" x14ac:dyDescent="0.25">
      <c r="H3191" s="37"/>
      <c r="I3191" s="79"/>
      <c r="J3191" s="70"/>
      <c r="K3191" s="57"/>
      <c r="L3191" s="11"/>
      <c r="M3191" s="41"/>
      <c r="N3191" s="11"/>
    </row>
    <row r="3192" spans="8:14" x14ac:dyDescent="0.25">
      <c r="H3192" s="37"/>
      <c r="I3192" s="79"/>
      <c r="J3192" s="70"/>
      <c r="K3192" s="57"/>
      <c r="L3192" s="11"/>
      <c r="M3192" s="41"/>
      <c r="N3192" s="11"/>
    </row>
    <row r="3193" spans="8:14" x14ac:dyDescent="0.25">
      <c r="H3193" s="37"/>
      <c r="I3193" s="79"/>
      <c r="J3193" s="70"/>
      <c r="K3193" s="57"/>
      <c r="L3193" s="11"/>
      <c r="M3193" s="41"/>
      <c r="N3193" s="11"/>
    </row>
    <row r="3194" spans="8:14" x14ac:dyDescent="0.25">
      <c r="H3194" s="37"/>
      <c r="I3194" s="79"/>
      <c r="J3194" s="70"/>
      <c r="K3194" s="57"/>
      <c r="L3194" s="11"/>
      <c r="M3194" s="41"/>
      <c r="N3194" s="11"/>
    </row>
    <row r="3195" spans="8:14" x14ac:dyDescent="0.25">
      <c r="H3195" s="37"/>
      <c r="I3195" s="79"/>
      <c r="J3195" s="70"/>
      <c r="K3195" s="57"/>
      <c r="L3195" s="11"/>
      <c r="M3195" s="41"/>
      <c r="N3195" s="11"/>
    </row>
    <row r="3196" spans="8:14" x14ac:dyDescent="0.25">
      <c r="H3196" s="37"/>
      <c r="I3196" s="79"/>
      <c r="J3196" s="70"/>
      <c r="K3196" s="57"/>
      <c r="L3196" s="11"/>
      <c r="M3196" s="41"/>
      <c r="N3196" s="11"/>
    </row>
    <row r="3197" spans="8:14" x14ac:dyDescent="0.25">
      <c r="H3197" s="37"/>
      <c r="I3197" s="79"/>
      <c r="J3197" s="70"/>
      <c r="K3197" s="57"/>
      <c r="L3197" s="11"/>
      <c r="M3197" s="41"/>
      <c r="N3197" s="11"/>
    </row>
    <row r="3198" spans="8:14" x14ac:dyDescent="0.25">
      <c r="H3198" s="37"/>
      <c r="I3198" s="79"/>
      <c r="J3198" s="70"/>
      <c r="K3198" s="57"/>
      <c r="L3198" s="11"/>
      <c r="M3198" s="41"/>
      <c r="N3198" s="11"/>
    </row>
    <row r="3199" spans="8:14" x14ac:dyDescent="0.25">
      <c r="H3199" s="37"/>
      <c r="I3199" s="79"/>
      <c r="J3199" s="70"/>
      <c r="K3199" s="57"/>
      <c r="L3199" s="11"/>
      <c r="M3199" s="41"/>
      <c r="N3199" s="11"/>
    </row>
    <row r="3200" spans="8:14" x14ac:dyDescent="0.25">
      <c r="H3200" s="37"/>
      <c r="I3200" s="79"/>
      <c r="J3200" s="70"/>
      <c r="K3200" s="57"/>
      <c r="L3200" s="11"/>
      <c r="M3200" s="41"/>
      <c r="N3200" s="11"/>
    </row>
    <row r="3201" spans="8:14" x14ac:dyDescent="0.25">
      <c r="H3201" s="37"/>
      <c r="I3201" s="79"/>
      <c r="J3201" s="70"/>
      <c r="K3201" s="57"/>
      <c r="L3201" s="11"/>
      <c r="M3201" s="41"/>
      <c r="N3201" s="11"/>
    </row>
    <row r="3202" spans="8:14" x14ac:dyDescent="0.25">
      <c r="H3202" s="37"/>
      <c r="I3202" s="79"/>
      <c r="J3202" s="70"/>
      <c r="K3202" s="57"/>
      <c r="L3202" s="11"/>
      <c r="M3202" s="41"/>
      <c r="N3202" s="11"/>
    </row>
    <row r="3203" spans="8:14" x14ac:dyDescent="0.25">
      <c r="H3203" s="37"/>
      <c r="I3203" s="79"/>
      <c r="J3203" s="70"/>
      <c r="K3203" s="57"/>
      <c r="L3203" s="11"/>
      <c r="M3203" s="41"/>
      <c r="N3203" s="11"/>
    </row>
    <row r="3204" spans="8:14" x14ac:dyDescent="0.25">
      <c r="H3204" s="37"/>
      <c r="I3204" s="79"/>
      <c r="J3204" s="70"/>
      <c r="K3204" s="57"/>
      <c r="L3204" s="11"/>
      <c r="M3204" s="41"/>
      <c r="N3204" s="11"/>
    </row>
    <row r="3205" spans="8:14" x14ac:dyDescent="0.25">
      <c r="H3205" s="37"/>
      <c r="I3205" s="79"/>
      <c r="J3205" s="70"/>
      <c r="K3205" s="57"/>
      <c r="L3205" s="11"/>
      <c r="M3205" s="41"/>
      <c r="N3205" s="11"/>
    </row>
    <row r="3206" spans="8:14" x14ac:dyDescent="0.25">
      <c r="H3206" s="37"/>
      <c r="I3206" s="79"/>
      <c r="J3206" s="70"/>
      <c r="K3206" s="57"/>
      <c r="L3206" s="11"/>
      <c r="M3206" s="41"/>
      <c r="N3206" s="11"/>
    </row>
    <row r="3207" spans="8:14" x14ac:dyDescent="0.25">
      <c r="H3207" s="37"/>
      <c r="I3207" s="79"/>
      <c r="J3207" s="70"/>
      <c r="K3207" s="57"/>
      <c r="L3207" s="11"/>
      <c r="M3207" s="41"/>
      <c r="N3207" s="11"/>
    </row>
    <row r="3208" spans="8:14" x14ac:dyDescent="0.25">
      <c r="H3208" s="37"/>
      <c r="I3208" s="79"/>
      <c r="J3208" s="70"/>
      <c r="K3208" s="57"/>
      <c r="L3208" s="11"/>
      <c r="M3208" s="41"/>
      <c r="N3208" s="11"/>
    </row>
    <row r="3209" spans="8:14" x14ac:dyDescent="0.25">
      <c r="H3209" s="37"/>
      <c r="I3209" s="79"/>
      <c r="J3209" s="70"/>
      <c r="K3209" s="57"/>
      <c r="L3209" s="11"/>
      <c r="M3209" s="41"/>
      <c r="N3209" s="11"/>
    </row>
    <row r="3210" spans="8:14" x14ac:dyDescent="0.25">
      <c r="H3210" s="37"/>
      <c r="I3210" s="79"/>
      <c r="J3210" s="70"/>
      <c r="K3210" s="57"/>
      <c r="L3210" s="11"/>
      <c r="M3210" s="41"/>
      <c r="N3210" s="11"/>
    </row>
    <row r="3211" spans="8:14" x14ac:dyDescent="0.25">
      <c r="H3211" s="37"/>
      <c r="I3211" s="79"/>
      <c r="J3211" s="70"/>
      <c r="K3211" s="57"/>
      <c r="L3211" s="11"/>
      <c r="M3211" s="41"/>
      <c r="N3211" s="11"/>
    </row>
    <row r="3212" spans="8:14" x14ac:dyDescent="0.25">
      <c r="H3212" s="37"/>
      <c r="I3212" s="79"/>
      <c r="J3212" s="70"/>
      <c r="K3212" s="57"/>
      <c r="L3212" s="11"/>
      <c r="M3212" s="41"/>
      <c r="N3212" s="11"/>
    </row>
    <row r="3213" spans="8:14" x14ac:dyDescent="0.25">
      <c r="H3213" s="37"/>
      <c r="I3213" s="79"/>
      <c r="J3213" s="70"/>
      <c r="K3213" s="57"/>
      <c r="L3213" s="11"/>
      <c r="M3213" s="41"/>
      <c r="N3213" s="11"/>
    </row>
    <row r="3214" spans="8:14" x14ac:dyDescent="0.25">
      <c r="H3214" s="37"/>
      <c r="I3214" s="79"/>
      <c r="J3214" s="70"/>
      <c r="K3214" s="57"/>
      <c r="L3214" s="11"/>
      <c r="M3214" s="41"/>
      <c r="N3214" s="11"/>
    </row>
    <row r="3215" spans="8:14" x14ac:dyDescent="0.25">
      <c r="H3215" s="37"/>
      <c r="I3215" s="79"/>
      <c r="J3215" s="70"/>
      <c r="K3215" s="57"/>
      <c r="L3215" s="11"/>
      <c r="M3215" s="41"/>
      <c r="N3215" s="11"/>
    </row>
    <row r="3216" spans="8:14" x14ac:dyDescent="0.25">
      <c r="H3216" s="37"/>
      <c r="I3216" s="79"/>
      <c r="J3216" s="70"/>
      <c r="K3216" s="57"/>
      <c r="L3216" s="11"/>
      <c r="M3216" s="41"/>
      <c r="N3216" s="11"/>
    </row>
    <row r="3217" spans="8:14" x14ac:dyDescent="0.25">
      <c r="H3217" s="37"/>
      <c r="I3217" s="79"/>
      <c r="J3217" s="70"/>
      <c r="K3217" s="57"/>
      <c r="L3217" s="11"/>
      <c r="M3217" s="41"/>
      <c r="N3217" s="11"/>
    </row>
    <row r="3218" spans="8:14" x14ac:dyDescent="0.25">
      <c r="H3218" s="37"/>
      <c r="I3218" s="79"/>
      <c r="J3218" s="70"/>
      <c r="K3218" s="57"/>
      <c r="L3218" s="11"/>
      <c r="M3218" s="41"/>
      <c r="N3218" s="11"/>
    </row>
    <row r="3219" spans="8:14" x14ac:dyDescent="0.25">
      <c r="H3219" s="37"/>
      <c r="I3219" s="79"/>
      <c r="J3219" s="70"/>
      <c r="K3219" s="57"/>
      <c r="L3219" s="11"/>
      <c r="M3219" s="41"/>
      <c r="N3219" s="11"/>
    </row>
    <row r="3220" spans="8:14" x14ac:dyDescent="0.25">
      <c r="H3220" s="37"/>
      <c r="I3220" s="79"/>
      <c r="J3220" s="70"/>
      <c r="K3220" s="57"/>
      <c r="L3220" s="11"/>
      <c r="M3220" s="41"/>
      <c r="N3220" s="11"/>
    </row>
    <row r="3221" spans="8:14" x14ac:dyDescent="0.25">
      <c r="H3221" s="37"/>
      <c r="I3221" s="79"/>
      <c r="J3221" s="70"/>
      <c r="K3221" s="57"/>
      <c r="L3221" s="11"/>
      <c r="M3221" s="41"/>
      <c r="N3221" s="11"/>
    </row>
    <row r="3222" spans="8:14" x14ac:dyDescent="0.25">
      <c r="H3222" s="37"/>
      <c r="I3222" s="79"/>
      <c r="J3222" s="70"/>
      <c r="K3222" s="57"/>
      <c r="L3222" s="11"/>
      <c r="M3222" s="41"/>
      <c r="N3222" s="11"/>
    </row>
    <row r="3223" spans="8:14" x14ac:dyDescent="0.25">
      <c r="H3223" s="37"/>
      <c r="I3223" s="79"/>
      <c r="J3223" s="70"/>
      <c r="K3223" s="57"/>
      <c r="L3223" s="11"/>
      <c r="M3223" s="41"/>
      <c r="N3223" s="11"/>
    </row>
    <row r="3224" spans="8:14" x14ac:dyDescent="0.25">
      <c r="H3224" s="37"/>
      <c r="I3224" s="79"/>
      <c r="J3224" s="70"/>
      <c r="K3224" s="57"/>
      <c r="L3224" s="11"/>
      <c r="M3224" s="41"/>
      <c r="N3224" s="11"/>
    </row>
    <row r="3225" spans="8:14" x14ac:dyDescent="0.25">
      <c r="H3225" s="37"/>
      <c r="I3225" s="79"/>
      <c r="J3225" s="70"/>
      <c r="K3225" s="57"/>
      <c r="L3225" s="11"/>
      <c r="M3225" s="41"/>
      <c r="N3225" s="11"/>
    </row>
    <row r="3226" spans="8:14" x14ac:dyDescent="0.25">
      <c r="H3226" s="37"/>
      <c r="I3226" s="79"/>
      <c r="J3226" s="70"/>
      <c r="K3226" s="57"/>
      <c r="L3226" s="11"/>
      <c r="M3226" s="41"/>
      <c r="N3226" s="11"/>
    </row>
    <row r="3227" spans="8:14" x14ac:dyDescent="0.25">
      <c r="H3227" s="37"/>
      <c r="I3227" s="79"/>
      <c r="J3227" s="70"/>
      <c r="K3227" s="57"/>
      <c r="L3227" s="11"/>
      <c r="M3227" s="41"/>
      <c r="N3227" s="11"/>
    </row>
    <row r="3228" spans="8:14" x14ac:dyDescent="0.25">
      <c r="H3228" s="37"/>
      <c r="I3228" s="79"/>
      <c r="J3228" s="70"/>
      <c r="K3228" s="57"/>
      <c r="L3228" s="11"/>
      <c r="M3228" s="41"/>
      <c r="N3228" s="11"/>
    </row>
    <row r="3229" spans="8:14" x14ac:dyDescent="0.25">
      <c r="H3229" s="37"/>
      <c r="I3229" s="79"/>
      <c r="J3229" s="70"/>
      <c r="K3229" s="57"/>
      <c r="L3229" s="11"/>
      <c r="M3229" s="41"/>
      <c r="N3229" s="11"/>
    </row>
    <row r="3230" spans="8:14" x14ac:dyDescent="0.25">
      <c r="H3230" s="37"/>
      <c r="I3230" s="79"/>
      <c r="J3230" s="70"/>
      <c r="K3230" s="57"/>
      <c r="L3230" s="11"/>
      <c r="M3230" s="41"/>
      <c r="N3230" s="11"/>
    </row>
    <row r="3231" spans="8:14" x14ac:dyDescent="0.25">
      <c r="H3231" s="37"/>
      <c r="I3231" s="79"/>
      <c r="J3231" s="70"/>
      <c r="K3231" s="57"/>
      <c r="L3231" s="11"/>
      <c r="M3231" s="41"/>
      <c r="N3231" s="11"/>
    </row>
    <row r="3232" spans="8:14" x14ac:dyDescent="0.25">
      <c r="H3232" s="37"/>
      <c r="I3232" s="79"/>
      <c r="J3232" s="70"/>
      <c r="K3232" s="57"/>
      <c r="L3232" s="11"/>
      <c r="M3232" s="41"/>
      <c r="N3232" s="11"/>
    </row>
    <row r="3233" spans="8:14" x14ac:dyDescent="0.25">
      <c r="H3233" s="37"/>
      <c r="I3233" s="79"/>
      <c r="J3233" s="70"/>
      <c r="K3233" s="57"/>
      <c r="L3233" s="11"/>
      <c r="M3233" s="41"/>
      <c r="N3233" s="11"/>
    </row>
    <row r="3234" spans="8:14" x14ac:dyDescent="0.25">
      <c r="H3234" s="37"/>
      <c r="I3234" s="79"/>
      <c r="J3234" s="70"/>
      <c r="K3234" s="57"/>
      <c r="L3234" s="11"/>
      <c r="M3234" s="41"/>
      <c r="N3234" s="11"/>
    </row>
    <row r="3235" spans="8:14" x14ac:dyDescent="0.25">
      <c r="H3235" s="37"/>
      <c r="I3235" s="79"/>
      <c r="J3235" s="70"/>
      <c r="K3235" s="57"/>
      <c r="L3235" s="11"/>
      <c r="M3235" s="41"/>
      <c r="N3235" s="11"/>
    </row>
    <row r="3236" spans="8:14" x14ac:dyDescent="0.25">
      <c r="H3236" s="37"/>
      <c r="I3236" s="79"/>
      <c r="J3236" s="70"/>
      <c r="K3236" s="57"/>
      <c r="L3236" s="11"/>
      <c r="M3236" s="41"/>
      <c r="N3236" s="11"/>
    </row>
    <row r="3237" spans="8:14" x14ac:dyDescent="0.25">
      <c r="H3237" s="37"/>
      <c r="I3237" s="79"/>
      <c r="J3237" s="70"/>
      <c r="K3237" s="57"/>
      <c r="L3237" s="11"/>
      <c r="M3237" s="41"/>
      <c r="N3237" s="11"/>
    </row>
    <row r="3238" spans="8:14" x14ac:dyDescent="0.25">
      <c r="H3238" s="37"/>
      <c r="I3238" s="79"/>
      <c r="J3238" s="70"/>
      <c r="K3238" s="57"/>
      <c r="L3238" s="11"/>
      <c r="M3238" s="41"/>
      <c r="N3238" s="11"/>
    </row>
    <row r="3239" spans="8:14" x14ac:dyDescent="0.25">
      <c r="H3239" s="37"/>
      <c r="I3239" s="79"/>
      <c r="J3239" s="70"/>
      <c r="K3239" s="57"/>
      <c r="L3239" s="11"/>
      <c r="M3239" s="41"/>
      <c r="N3239" s="11"/>
    </row>
    <row r="3240" spans="8:14" x14ac:dyDescent="0.25">
      <c r="H3240" s="37"/>
      <c r="I3240" s="79"/>
      <c r="J3240" s="70"/>
      <c r="K3240" s="57"/>
      <c r="L3240" s="11"/>
      <c r="M3240" s="41"/>
      <c r="N3240" s="11"/>
    </row>
    <row r="3241" spans="8:14" x14ac:dyDescent="0.25">
      <c r="H3241" s="37"/>
      <c r="I3241" s="79"/>
      <c r="J3241" s="70"/>
      <c r="K3241" s="57"/>
      <c r="L3241" s="11"/>
      <c r="M3241" s="41"/>
      <c r="N3241" s="11"/>
    </row>
    <row r="3242" spans="8:14" x14ac:dyDescent="0.25">
      <c r="H3242" s="37"/>
      <c r="I3242" s="79"/>
      <c r="J3242" s="70"/>
      <c r="K3242" s="57"/>
      <c r="L3242" s="11"/>
      <c r="M3242" s="41"/>
      <c r="N3242" s="11"/>
    </row>
    <row r="3243" spans="8:14" x14ac:dyDescent="0.25">
      <c r="H3243" s="37"/>
      <c r="I3243" s="79"/>
      <c r="J3243" s="70"/>
      <c r="K3243" s="57"/>
      <c r="L3243" s="11"/>
      <c r="M3243" s="41"/>
      <c r="N3243" s="11"/>
    </row>
    <row r="3244" spans="8:14" x14ac:dyDescent="0.25">
      <c r="H3244" s="37"/>
      <c r="I3244" s="79"/>
      <c r="J3244" s="70"/>
      <c r="K3244" s="57"/>
      <c r="L3244" s="11"/>
      <c r="M3244" s="41"/>
      <c r="N3244" s="11"/>
    </row>
    <row r="3245" spans="8:14" x14ac:dyDescent="0.25">
      <c r="H3245" s="37"/>
      <c r="I3245" s="79"/>
      <c r="J3245" s="70"/>
      <c r="K3245" s="57"/>
      <c r="L3245" s="11"/>
      <c r="M3245" s="41"/>
      <c r="N3245" s="11"/>
    </row>
    <row r="3246" spans="8:14" x14ac:dyDescent="0.25">
      <c r="H3246" s="37"/>
      <c r="I3246" s="79"/>
      <c r="J3246" s="70"/>
      <c r="K3246" s="57"/>
      <c r="L3246" s="11"/>
      <c r="M3246" s="41"/>
      <c r="N3246" s="11"/>
    </row>
    <row r="3247" spans="8:14" x14ac:dyDescent="0.25">
      <c r="H3247" s="37"/>
      <c r="I3247" s="79"/>
      <c r="J3247" s="70"/>
      <c r="K3247" s="57"/>
      <c r="L3247" s="11"/>
      <c r="M3247" s="41"/>
      <c r="N3247" s="11"/>
    </row>
    <row r="3248" spans="8:14" x14ac:dyDescent="0.25">
      <c r="H3248" s="37"/>
      <c r="I3248" s="79"/>
      <c r="J3248" s="70"/>
      <c r="K3248" s="57"/>
      <c r="L3248" s="11"/>
      <c r="M3248" s="41"/>
      <c r="N3248" s="11"/>
    </row>
    <row r="3249" spans="8:14" x14ac:dyDescent="0.25">
      <c r="H3249" s="37"/>
      <c r="I3249" s="79"/>
      <c r="J3249" s="70"/>
      <c r="K3249" s="57"/>
      <c r="L3249" s="11"/>
      <c r="M3249" s="41"/>
      <c r="N3249" s="11"/>
    </row>
    <row r="3250" spans="8:14" x14ac:dyDescent="0.25">
      <c r="H3250" s="37"/>
      <c r="I3250" s="79"/>
      <c r="J3250" s="70"/>
      <c r="K3250" s="57"/>
      <c r="L3250" s="11"/>
      <c r="M3250" s="41"/>
      <c r="N3250" s="11"/>
    </row>
    <row r="3251" spans="8:14" x14ac:dyDescent="0.25">
      <c r="H3251" s="37"/>
      <c r="I3251" s="79"/>
      <c r="J3251" s="70"/>
      <c r="K3251" s="57"/>
      <c r="L3251" s="11"/>
      <c r="M3251" s="41"/>
      <c r="N3251" s="11"/>
    </row>
    <row r="3252" spans="8:14" x14ac:dyDescent="0.25">
      <c r="H3252" s="37"/>
      <c r="I3252" s="79"/>
      <c r="J3252" s="70"/>
      <c r="K3252" s="57"/>
      <c r="L3252" s="11"/>
      <c r="M3252" s="41"/>
      <c r="N3252" s="11"/>
    </row>
    <row r="3253" spans="8:14" x14ac:dyDescent="0.25">
      <c r="H3253" s="37"/>
      <c r="I3253" s="79"/>
      <c r="J3253" s="70"/>
      <c r="K3253" s="57"/>
      <c r="L3253" s="11"/>
      <c r="M3253" s="41"/>
      <c r="N3253" s="11"/>
    </row>
    <row r="3254" spans="8:14" x14ac:dyDescent="0.25">
      <c r="H3254" s="37"/>
      <c r="I3254" s="79"/>
      <c r="J3254" s="70"/>
      <c r="K3254" s="57"/>
      <c r="L3254" s="11"/>
      <c r="M3254" s="41"/>
      <c r="N3254" s="11"/>
    </row>
    <row r="3255" spans="8:14" x14ac:dyDescent="0.25">
      <c r="H3255" s="37"/>
      <c r="I3255" s="79"/>
      <c r="J3255" s="70"/>
      <c r="K3255" s="57"/>
      <c r="L3255" s="11"/>
      <c r="M3255" s="41"/>
      <c r="N3255" s="11"/>
    </row>
    <row r="3256" spans="8:14" x14ac:dyDescent="0.25">
      <c r="H3256" s="37"/>
      <c r="I3256" s="79"/>
      <c r="J3256" s="70"/>
      <c r="K3256" s="57"/>
      <c r="L3256" s="11"/>
      <c r="M3256" s="41"/>
      <c r="N3256" s="11"/>
    </row>
    <row r="3257" spans="8:14" x14ac:dyDescent="0.25">
      <c r="H3257" s="37"/>
      <c r="I3257" s="79"/>
      <c r="J3257" s="70"/>
      <c r="K3257" s="57"/>
      <c r="L3257" s="11"/>
      <c r="M3257" s="41"/>
      <c r="N3257" s="11"/>
    </row>
    <row r="3258" spans="8:14" x14ac:dyDescent="0.25">
      <c r="H3258" s="37"/>
      <c r="I3258" s="79"/>
      <c r="J3258" s="70"/>
      <c r="K3258" s="57"/>
      <c r="L3258" s="11"/>
      <c r="M3258" s="41"/>
      <c r="N3258" s="11"/>
    </row>
    <row r="3259" spans="8:14" x14ac:dyDescent="0.25">
      <c r="H3259" s="37"/>
      <c r="I3259" s="79"/>
      <c r="J3259" s="70"/>
      <c r="K3259" s="57"/>
      <c r="L3259" s="11"/>
      <c r="M3259" s="41"/>
      <c r="N3259" s="11"/>
    </row>
    <row r="3260" spans="8:14" x14ac:dyDescent="0.25">
      <c r="H3260" s="37"/>
      <c r="I3260" s="79"/>
      <c r="J3260" s="70"/>
      <c r="K3260" s="57"/>
      <c r="L3260" s="11"/>
      <c r="M3260" s="41"/>
      <c r="N3260" s="11"/>
    </row>
    <row r="3261" spans="8:14" x14ac:dyDescent="0.25">
      <c r="H3261" s="37"/>
      <c r="I3261" s="79"/>
      <c r="J3261" s="70"/>
      <c r="K3261" s="57"/>
      <c r="L3261" s="11"/>
      <c r="M3261" s="41"/>
      <c r="N3261" s="11"/>
    </row>
    <row r="3262" spans="8:14" x14ac:dyDescent="0.25">
      <c r="H3262" s="37"/>
      <c r="I3262" s="79"/>
      <c r="J3262" s="70"/>
      <c r="K3262" s="57"/>
      <c r="L3262" s="11"/>
      <c r="M3262" s="41"/>
      <c r="N3262" s="11"/>
    </row>
    <row r="3263" spans="8:14" x14ac:dyDescent="0.25">
      <c r="H3263" s="37"/>
      <c r="I3263" s="79"/>
      <c r="J3263" s="70"/>
      <c r="K3263" s="57"/>
      <c r="L3263" s="11"/>
      <c r="M3263" s="41"/>
      <c r="N3263" s="11"/>
    </row>
    <row r="3264" spans="8:14" x14ac:dyDescent="0.25">
      <c r="H3264" s="37"/>
      <c r="I3264" s="79"/>
      <c r="J3264" s="70"/>
      <c r="K3264" s="57"/>
      <c r="L3264" s="11"/>
      <c r="M3264" s="41"/>
      <c r="N3264" s="11"/>
    </row>
    <row r="3265" spans="8:14" x14ac:dyDescent="0.25">
      <c r="H3265" s="37"/>
      <c r="I3265" s="79"/>
      <c r="J3265" s="70"/>
      <c r="K3265" s="57"/>
      <c r="L3265" s="11"/>
      <c r="M3265" s="41"/>
      <c r="N3265" s="11"/>
    </row>
    <row r="3266" spans="8:14" x14ac:dyDescent="0.25">
      <c r="H3266" s="37"/>
      <c r="I3266" s="79"/>
      <c r="J3266" s="70"/>
      <c r="K3266" s="57"/>
      <c r="L3266" s="11"/>
      <c r="M3266" s="41"/>
      <c r="N3266" s="11"/>
    </row>
    <row r="3267" spans="8:14" x14ac:dyDescent="0.25">
      <c r="H3267" s="37"/>
      <c r="I3267" s="79"/>
      <c r="J3267" s="70"/>
      <c r="K3267" s="57"/>
      <c r="L3267" s="11"/>
      <c r="M3267" s="41"/>
      <c r="N3267" s="11"/>
    </row>
    <row r="3268" spans="8:14" x14ac:dyDescent="0.25">
      <c r="H3268" s="37"/>
      <c r="I3268" s="79"/>
      <c r="J3268" s="70"/>
      <c r="K3268" s="57"/>
      <c r="L3268" s="11"/>
      <c r="M3268" s="41"/>
      <c r="N3268" s="11"/>
    </row>
    <row r="3269" spans="8:14" x14ac:dyDescent="0.25">
      <c r="H3269" s="37"/>
      <c r="I3269" s="79"/>
      <c r="J3269" s="70"/>
      <c r="K3269" s="57"/>
      <c r="L3269" s="11"/>
      <c r="M3269" s="41"/>
      <c r="N3269" s="11"/>
    </row>
    <row r="3270" spans="8:14" x14ac:dyDescent="0.25">
      <c r="H3270" s="37"/>
      <c r="I3270" s="79"/>
      <c r="J3270" s="70"/>
      <c r="K3270" s="57"/>
      <c r="L3270" s="11"/>
      <c r="M3270" s="41"/>
      <c r="N3270" s="11"/>
    </row>
    <row r="3271" spans="8:14" x14ac:dyDescent="0.25">
      <c r="H3271" s="37"/>
      <c r="I3271" s="79"/>
      <c r="J3271" s="70"/>
      <c r="K3271" s="57"/>
      <c r="L3271" s="11"/>
      <c r="M3271" s="41"/>
      <c r="N3271" s="11"/>
    </row>
    <row r="3272" spans="8:14" x14ac:dyDescent="0.25">
      <c r="H3272" s="37"/>
      <c r="I3272" s="79"/>
      <c r="J3272" s="70"/>
      <c r="K3272" s="57"/>
      <c r="L3272" s="11"/>
      <c r="M3272" s="41"/>
      <c r="N3272" s="11"/>
    </row>
    <row r="3273" spans="8:14" x14ac:dyDescent="0.25">
      <c r="H3273" s="37"/>
      <c r="I3273" s="79"/>
      <c r="J3273" s="70"/>
      <c r="K3273" s="57"/>
      <c r="L3273" s="11"/>
      <c r="M3273" s="41"/>
      <c r="N3273" s="11"/>
    </row>
    <row r="3274" spans="8:14" x14ac:dyDescent="0.25">
      <c r="H3274" s="37"/>
      <c r="I3274" s="79"/>
      <c r="J3274" s="70"/>
      <c r="K3274" s="57"/>
      <c r="L3274" s="11"/>
      <c r="M3274" s="41"/>
      <c r="N3274" s="11"/>
    </row>
    <row r="3275" spans="8:14" x14ac:dyDescent="0.25">
      <c r="H3275" s="37"/>
      <c r="I3275" s="79"/>
      <c r="J3275" s="70"/>
      <c r="K3275" s="57"/>
      <c r="L3275" s="11"/>
      <c r="M3275" s="41"/>
      <c r="N3275" s="11"/>
    </row>
    <row r="3276" spans="8:14" x14ac:dyDescent="0.25">
      <c r="H3276" s="37"/>
      <c r="I3276" s="79"/>
      <c r="J3276" s="70"/>
      <c r="K3276" s="57"/>
      <c r="L3276" s="11"/>
      <c r="M3276" s="41"/>
      <c r="N3276" s="11"/>
    </row>
    <row r="3277" spans="8:14" x14ac:dyDescent="0.25">
      <c r="H3277" s="37"/>
      <c r="I3277" s="79"/>
      <c r="J3277" s="70"/>
      <c r="K3277" s="57"/>
      <c r="L3277" s="11"/>
      <c r="M3277" s="41"/>
      <c r="N3277" s="11"/>
    </row>
    <row r="3278" spans="8:14" x14ac:dyDescent="0.25">
      <c r="H3278" s="37"/>
      <c r="I3278" s="79"/>
      <c r="J3278" s="70"/>
      <c r="K3278" s="57"/>
      <c r="L3278" s="11"/>
      <c r="M3278" s="41"/>
      <c r="N3278" s="11"/>
    </row>
    <row r="3279" spans="8:14" x14ac:dyDescent="0.25">
      <c r="H3279" s="37"/>
      <c r="I3279" s="79"/>
      <c r="J3279" s="70"/>
      <c r="K3279" s="57"/>
      <c r="L3279" s="11"/>
      <c r="M3279" s="41"/>
      <c r="N3279" s="11"/>
    </row>
    <row r="3280" spans="8:14" x14ac:dyDescent="0.25">
      <c r="H3280" s="37"/>
      <c r="I3280" s="79"/>
      <c r="J3280" s="70"/>
      <c r="K3280" s="57"/>
      <c r="L3280" s="11"/>
      <c r="M3280" s="41"/>
      <c r="N3280" s="11"/>
    </row>
    <row r="3281" spans="8:14" x14ac:dyDescent="0.25">
      <c r="H3281" s="37"/>
      <c r="I3281" s="79"/>
      <c r="J3281" s="70"/>
      <c r="K3281" s="57"/>
      <c r="L3281" s="11"/>
      <c r="M3281" s="41"/>
      <c r="N3281" s="11"/>
    </row>
    <row r="3282" spans="8:14" x14ac:dyDescent="0.25">
      <c r="H3282" s="37"/>
      <c r="I3282" s="79"/>
      <c r="J3282" s="70"/>
      <c r="K3282" s="57"/>
      <c r="L3282" s="11"/>
      <c r="M3282" s="41"/>
      <c r="N3282" s="11"/>
    </row>
    <row r="3283" spans="8:14" x14ac:dyDescent="0.25">
      <c r="H3283" s="37"/>
      <c r="I3283" s="79"/>
      <c r="J3283" s="70"/>
      <c r="K3283" s="57"/>
      <c r="L3283" s="11"/>
      <c r="M3283" s="41"/>
      <c r="N3283" s="11"/>
    </row>
    <row r="3284" spans="8:14" x14ac:dyDescent="0.25">
      <c r="H3284" s="37"/>
      <c r="I3284" s="79"/>
      <c r="J3284" s="70"/>
      <c r="K3284" s="57"/>
      <c r="L3284" s="11"/>
      <c r="M3284" s="41"/>
      <c r="N3284" s="11"/>
    </row>
    <row r="3285" spans="8:14" x14ac:dyDescent="0.25">
      <c r="H3285" s="37"/>
      <c r="I3285" s="79"/>
      <c r="J3285" s="70"/>
      <c r="K3285" s="57"/>
      <c r="L3285" s="11"/>
      <c r="M3285" s="41"/>
      <c r="N3285" s="11"/>
    </row>
    <row r="3286" spans="8:14" x14ac:dyDescent="0.25">
      <c r="H3286" s="37"/>
      <c r="I3286" s="79"/>
      <c r="J3286" s="70"/>
      <c r="K3286" s="57"/>
      <c r="L3286" s="11"/>
      <c r="M3286" s="41"/>
      <c r="N3286" s="11"/>
    </row>
    <row r="3287" spans="8:14" x14ac:dyDescent="0.25">
      <c r="H3287" s="37"/>
      <c r="I3287" s="79"/>
      <c r="J3287" s="70"/>
      <c r="K3287" s="57"/>
      <c r="L3287" s="11"/>
      <c r="M3287" s="41"/>
      <c r="N3287" s="11"/>
    </row>
    <row r="3288" spans="8:14" x14ac:dyDescent="0.25">
      <c r="H3288" s="37"/>
      <c r="I3288" s="79"/>
      <c r="J3288" s="70"/>
      <c r="K3288" s="57"/>
      <c r="L3288" s="11"/>
      <c r="M3288" s="41"/>
      <c r="N3288" s="11"/>
    </row>
    <row r="3289" spans="8:14" x14ac:dyDescent="0.25">
      <c r="H3289" s="37"/>
      <c r="I3289" s="79"/>
      <c r="J3289" s="70"/>
      <c r="K3289" s="57"/>
      <c r="L3289" s="11"/>
      <c r="M3289" s="41"/>
      <c r="N3289" s="11"/>
    </row>
    <row r="3290" spans="8:14" x14ac:dyDescent="0.25">
      <c r="H3290" s="37"/>
      <c r="I3290" s="79"/>
      <c r="J3290" s="70"/>
      <c r="K3290" s="57"/>
      <c r="L3290" s="11"/>
      <c r="M3290" s="41"/>
      <c r="N3290" s="11"/>
    </row>
    <row r="3291" spans="8:14" x14ac:dyDescent="0.25">
      <c r="H3291" s="37"/>
      <c r="I3291" s="79"/>
      <c r="J3291" s="70"/>
      <c r="K3291" s="57"/>
      <c r="L3291" s="11"/>
      <c r="M3291" s="41"/>
      <c r="N3291" s="11"/>
    </row>
    <row r="3292" spans="8:14" x14ac:dyDescent="0.25">
      <c r="H3292" s="37"/>
      <c r="I3292" s="79"/>
      <c r="J3292" s="70"/>
      <c r="K3292" s="57"/>
      <c r="L3292" s="11"/>
      <c r="M3292" s="41"/>
      <c r="N3292" s="11"/>
    </row>
    <row r="3293" spans="8:14" x14ac:dyDescent="0.25">
      <c r="H3293" s="37"/>
      <c r="I3293" s="79"/>
      <c r="J3293" s="70"/>
      <c r="K3293" s="57"/>
      <c r="L3293" s="11"/>
      <c r="M3293" s="41"/>
      <c r="N3293" s="11"/>
    </row>
    <row r="3294" spans="8:14" x14ac:dyDescent="0.25">
      <c r="H3294" s="37"/>
      <c r="I3294" s="79"/>
      <c r="J3294" s="70"/>
      <c r="K3294" s="57"/>
      <c r="L3294" s="11"/>
      <c r="M3294" s="41"/>
      <c r="N3294" s="11"/>
    </row>
    <row r="3295" spans="8:14" x14ac:dyDescent="0.25">
      <c r="H3295" s="37"/>
      <c r="I3295" s="79"/>
      <c r="J3295" s="70"/>
      <c r="K3295" s="57"/>
      <c r="L3295" s="11"/>
      <c r="M3295" s="41"/>
      <c r="N3295" s="11"/>
    </row>
    <row r="3296" spans="8:14" x14ac:dyDescent="0.25">
      <c r="H3296" s="37"/>
      <c r="I3296" s="79"/>
      <c r="J3296" s="70"/>
      <c r="K3296" s="57"/>
      <c r="L3296" s="11"/>
      <c r="M3296" s="41"/>
      <c r="N3296" s="11"/>
    </row>
    <row r="3297" spans="8:14" x14ac:dyDescent="0.25">
      <c r="H3297" s="37"/>
      <c r="I3297" s="79"/>
      <c r="J3297" s="70"/>
      <c r="K3297" s="57"/>
      <c r="L3297" s="11"/>
      <c r="M3297" s="41"/>
      <c r="N3297" s="11"/>
    </row>
    <row r="3298" spans="8:14" x14ac:dyDescent="0.25">
      <c r="H3298" s="37"/>
      <c r="I3298" s="79"/>
      <c r="J3298" s="70"/>
      <c r="K3298" s="57"/>
      <c r="L3298" s="11"/>
      <c r="M3298" s="41"/>
      <c r="N3298" s="11"/>
    </row>
    <row r="3299" spans="8:14" x14ac:dyDescent="0.25">
      <c r="H3299" s="37"/>
      <c r="I3299" s="79"/>
      <c r="J3299" s="70"/>
      <c r="K3299" s="57"/>
      <c r="L3299" s="11"/>
      <c r="M3299" s="41"/>
      <c r="N3299" s="11"/>
    </row>
    <row r="3300" spans="8:14" x14ac:dyDescent="0.25">
      <c r="H3300" s="37"/>
      <c r="I3300" s="79"/>
      <c r="J3300" s="70"/>
      <c r="K3300" s="57"/>
      <c r="L3300" s="11"/>
      <c r="M3300" s="41"/>
      <c r="N3300" s="11"/>
    </row>
    <row r="3301" spans="8:14" x14ac:dyDescent="0.25">
      <c r="H3301" s="37"/>
      <c r="I3301" s="79"/>
      <c r="J3301" s="70"/>
      <c r="K3301" s="57"/>
      <c r="L3301" s="11"/>
      <c r="M3301" s="41"/>
      <c r="N3301" s="11"/>
    </row>
    <row r="3302" spans="8:14" x14ac:dyDescent="0.25">
      <c r="H3302" s="37"/>
      <c r="I3302" s="79"/>
      <c r="J3302" s="70"/>
      <c r="K3302" s="57"/>
      <c r="L3302" s="11"/>
      <c r="M3302" s="41"/>
      <c r="N3302" s="11"/>
    </row>
    <row r="3303" spans="8:14" x14ac:dyDescent="0.25">
      <c r="H3303" s="37"/>
      <c r="I3303" s="79"/>
      <c r="J3303" s="70"/>
      <c r="K3303" s="57"/>
      <c r="L3303" s="11"/>
      <c r="M3303" s="41"/>
      <c r="N3303" s="11"/>
    </row>
    <row r="3304" spans="8:14" x14ac:dyDescent="0.25">
      <c r="H3304" s="37"/>
      <c r="I3304" s="79"/>
      <c r="J3304" s="70"/>
      <c r="K3304" s="57"/>
      <c r="L3304" s="11"/>
      <c r="M3304" s="41"/>
      <c r="N3304" s="11"/>
    </row>
    <row r="3305" spans="8:14" x14ac:dyDescent="0.25">
      <c r="H3305" s="37"/>
      <c r="I3305" s="79"/>
      <c r="J3305" s="70"/>
      <c r="K3305" s="57"/>
      <c r="L3305" s="11"/>
      <c r="M3305" s="41"/>
      <c r="N3305" s="11"/>
    </row>
    <row r="3306" spans="8:14" x14ac:dyDescent="0.25">
      <c r="H3306" s="37"/>
      <c r="I3306" s="79"/>
      <c r="J3306" s="70"/>
      <c r="K3306" s="57"/>
      <c r="L3306" s="11"/>
      <c r="M3306" s="41"/>
      <c r="N3306" s="11"/>
    </row>
    <row r="3307" spans="8:14" x14ac:dyDescent="0.25">
      <c r="H3307" s="37"/>
      <c r="I3307" s="79"/>
      <c r="J3307" s="70"/>
      <c r="K3307" s="57"/>
      <c r="L3307" s="11"/>
      <c r="M3307" s="41"/>
      <c r="N3307" s="11"/>
    </row>
    <row r="3308" spans="8:14" x14ac:dyDescent="0.25">
      <c r="H3308" s="37"/>
      <c r="I3308" s="79"/>
      <c r="J3308" s="70"/>
      <c r="K3308" s="57"/>
      <c r="L3308" s="11"/>
      <c r="M3308" s="41"/>
      <c r="N3308" s="11"/>
    </row>
    <row r="3309" spans="8:14" x14ac:dyDescent="0.25">
      <c r="H3309" s="37"/>
      <c r="I3309" s="79"/>
      <c r="J3309" s="70"/>
      <c r="K3309" s="57"/>
      <c r="L3309" s="11"/>
      <c r="M3309" s="41"/>
      <c r="N3309" s="11"/>
    </row>
    <row r="3310" spans="8:14" x14ac:dyDescent="0.25">
      <c r="H3310" s="37"/>
      <c r="I3310" s="79"/>
      <c r="J3310" s="70"/>
      <c r="K3310" s="57"/>
      <c r="L3310" s="11"/>
      <c r="M3310" s="41"/>
      <c r="N3310" s="11"/>
    </row>
    <row r="3311" spans="8:14" x14ac:dyDescent="0.25">
      <c r="H3311" s="37"/>
      <c r="I3311" s="79"/>
      <c r="J3311" s="70"/>
      <c r="K3311" s="57"/>
      <c r="L3311" s="11"/>
      <c r="M3311" s="41"/>
      <c r="N3311" s="11"/>
    </row>
    <row r="3312" spans="8:14" x14ac:dyDescent="0.25">
      <c r="H3312" s="37"/>
      <c r="I3312" s="79"/>
      <c r="J3312" s="70"/>
      <c r="K3312" s="57"/>
      <c r="L3312" s="11"/>
      <c r="M3312" s="41"/>
      <c r="N3312" s="11"/>
    </row>
    <row r="3313" spans="8:14" x14ac:dyDescent="0.25">
      <c r="H3313" s="37"/>
      <c r="I3313" s="79"/>
      <c r="J3313" s="70"/>
      <c r="K3313" s="57"/>
      <c r="L3313" s="11"/>
      <c r="M3313" s="41"/>
      <c r="N3313" s="11"/>
    </row>
    <row r="3314" spans="8:14" x14ac:dyDescent="0.25">
      <c r="H3314" s="37"/>
      <c r="I3314" s="79"/>
      <c r="J3314" s="70"/>
      <c r="K3314" s="57"/>
      <c r="L3314" s="11"/>
      <c r="M3314" s="41"/>
      <c r="N3314" s="11"/>
    </row>
    <row r="3315" spans="8:14" x14ac:dyDescent="0.25">
      <c r="H3315" s="37"/>
      <c r="I3315" s="79"/>
      <c r="J3315" s="70"/>
      <c r="K3315" s="57"/>
      <c r="L3315" s="11"/>
      <c r="M3315" s="41"/>
      <c r="N3315" s="11"/>
    </row>
    <row r="3316" spans="8:14" x14ac:dyDescent="0.25">
      <c r="H3316" s="37"/>
      <c r="I3316" s="79"/>
      <c r="J3316" s="70"/>
      <c r="K3316" s="57"/>
      <c r="L3316" s="11"/>
      <c r="M3316" s="41"/>
      <c r="N3316" s="11"/>
    </row>
    <row r="3317" spans="8:14" x14ac:dyDescent="0.25">
      <c r="H3317" s="37"/>
      <c r="I3317" s="79"/>
      <c r="J3317" s="70"/>
      <c r="K3317" s="57"/>
      <c r="L3317" s="11"/>
      <c r="M3317" s="41"/>
      <c r="N3317" s="11"/>
    </row>
    <row r="3318" spans="8:14" x14ac:dyDescent="0.25">
      <c r="H3318" s="37"/>
      <c r="I3318" s="79"/>
      <c r="J3318" s="70"/>
      <c r="K3318" s="57"/>
      <c r="L3318" s="11"/>
      <c r="M3318" s="41"/>
      <c r="N3318" s="11"/>
    </row>
    <row r="3319" spans="8:14" x14ac:dyDescent="0.25">
      <c r="H3319" s="37"/>
      <c r="I3319" s="79"/>
      <c r="J3319" s="70"/>
      <c r="K3319" s="57"/>
      <c r="L3319" s="11"/>
      <c r="M3319" s="41"/>
      <c r="N3319" s="11"/>
    </row>
    <row r="3320" spans="8:14" x14ac:dyDescent="0.25">
      <c r="H3320" s="37"/>
      <c r="I3320" s="79"/>
      <c r="J3320" s="70"/>
      <c r="K3320" s="57"/>
      <c r="L3320" s="11"/>
      <c r="M3320" s="41"/>
      <c r="N3320" s="11"/>
    </row>
    <row r="3321" spans="8:14" x14ac:dyDescent="0.25">
      <c r="H3321" s="37"/>
      <c r="I3321" s="79"/>
      <c r="J3321" s="70"/>
      <c r="K3321" s="57"/>
      <c r="L3321" s="11"/>
      <c r="M3321" s="41"/>
      <c r="N3321" s="11"/>
    </row>
    <row r="3322" spans="8:14" x14ac:dyDescent="0.25">
      <c r="H3322" s="37"/>
      <c r="I3322" s="79"/>
      <c r="J3322" s="70"/>
      <c r="K3322" s="57"/>
      <c r="L3322" s="11"/>
      <c r="M3322" s="41"/>
      <c r="N3322" s="11"/>
    </row>
    <row r="3323" spans="8:14" x14ac:dyDescent="0.25">
      <c r="H3323" s="37"/>
      <c r="I3323" s="79"/>
      <c r="J3323" s="70"/>
      <c r="K3323" s="57"/>
      <c r="L3323" s="11"/>
      <c r="M3323" s="41"/>
      <c r="N3323" s="11"/>
    </row>
    <row r="3324" spans="8:14" x14ac:dyDescent="0.25">
      <c r="H3324" s="37"/>
      <c r="I3324" s="79"/>
      <c r="J3324" s="70"/>
      <c r="K3324" s="57"/>
      <c r="L3324" s="11"/>
      <c r="M3324" s="41"/>
      <c r="N3324" s="11"/>
    </row>
    <row r="3325" spans="8:14" x14ac:dyDescent="0.25">
      <c r="H3325" s="37"/>
      <c r="I3325" s="79"/>
      <c r="J3325" s="70"/>
      <c r="K3325" s="57"/>
      <c r="L3325" s="11"/>
      <c r="M3325" s="41"/>
      <c r="N3325" s="11"/>
    </row>
    <row r="3326" spans="8:14" x14ac:dyDescent="0.25">
      <c r="H3326" s="37"/>
      <c r="I3326" s="79"/>
      <c r="J3326" s="70"/>
      <c r="K3326" s="57"/>
      <c r="L3326" s="11"/>
      <c r="M3326" s="41"/>
      <c r="N3326" s="11"/>
    </row>
    <row r="3327" spans="8:14" x14ac:dyDescent="0.25">
      <c r="H3327" s="37"/>
      <c r="I3327" s="79"/>
      <c r="J3327" s="70"/>
      <c r="K3327" s="57"/>
      <c r="L3327" s="11"/>
      <c r="M3327" s="41"/>
      <c r="N3327" s="11"/>
    </row>
    <row r="3328" spans="8:14" x14ac:dyDescent="0.25">
      <c r="H3328" s="37"/>
      <c r="I3328" s="79"/>
      <c r="J3328" s="70"/>
      <c r="K3328" s="57"/>
      <c r="L3328" s="11"/>
      <c r="M3328" s="41"/>
      <c r="N3328" s="11"/>
    </row>
    <row r="3329" spans="8:14" x14ac:dyDescent="0.25">
      <c r="H3329" s="37"/>
      <c r="I3329" s="79"/>
      <c r="J3329" s="70"/>
      <c r="K3329" s="57"/>
      <c r="L3329" s="11"/>
      <c r="M3329" s="41"/>
      <c r="N3329" s="11"/>
    </row>
    <row r="3330" spans="8:14" x14ac:dyDescent="0.25">
      <c r="H3330" s="37"/>
      <c r="I3330" s="79"/>
      <c r="J3330" s="70"/>
      <c r="K3330" s="57"/>
      <c r="L3330" s="11"/>
      <c r="M3330" s="41"/>
      <c r="N3330" s="11"/>
    </row>
    <row r="3331" spans="8:14" x14ac:dyDescent="0.25">
      <c r="H3331" s="37"/>
      <c r="I3331" s="79"/>
      <c r="J3331" s="70"/>
      <c r="K3331" s="57"/>
      <c r="L3331" s="11"/>
      <c r="M3331" s="41"/>
      <c r="N3331" s="11"/>
    </row>
    <row r="3332" spans="8:14" x14ac:dyDescent="0.25">
      <c r="H3332" s="37"/>
      <c r="I3332" s="79"/>
      <c r="J3332" s="70"/>
      <c r="K3332" s="57"/>
      <c r="L3332" s="11"/>
      <c r="M3332" s="41"/>
      <c r="N3332" s="11"/>
    </row>
    <row r="3333" spans="8:14" x14ac:dyDescent="0.25">
      <c r="H3333" s="37"/>
      <c r="I3333" s="79"/>
      <c r="J3333" s="70"/>
      <c r="K3333" s="57"/>
      <c r="L3333" s="11"/>
      <c r="M3333" s="41"/>
      <c r="N3333" s="11"/>
    </row>
    <row r="3334" spans="8:14" x14ac:dyDescent="0.25">
      <c r="H3334" s="37"/>
      <c r="I3334" s="79"/>
      <c r="J3334" s="70"/>
      <c r="K3334" s="57"/>
      <c r="L3334" s="11"/>
      <c r="M3334" s="41"/>
      <c r="N3334" s="11"/>
    </row>
    <row r="3335" spans="8:14" x14ac:dyDescent="0.25">
      <c r="H3335" s="37"/>
      <c r="I3335" s="79"/>
      <c r="J3335" s="70"/>
      <c r="K3335" s="57"/>
      <c r="L3335" s="11"/>
      <c r="M3335" s="41"/>
      <c r="N3335" s="11"/>
    </row>
    <row r="3336" spans="8:14" x14ac:dyDescent="0.25">
      <c r="H3336" s="37"/>
      <c r="I3336" s="79"/>
      <c r="J3336" s="70"/>
      <c r="K3336" s="57"/>
      <c r="L3336" s="11"/>
      <c r="M3336" s="41"/>
      <c r="N3336" s="11"/>
    </row>
    <row r="3337" spans="8:14" x14ac:dyDescent="0.25">
      <c r="H3337" s="37"/>
      <c r="I3337" s="79"/>
      <c r="J3337" s="70"/>
      <c r="K3337" s="57"/>
      <c r="L3337" s="11"/>
      <c r="M3337" s="41"/>
      <c r="N3337" s="11"/>
    </row>
    <row r="3338" spans="8:14" x14ac:dyDescent="0.25">
      <c r="H3338" s="37"/>
      <c r="I3338" s="79"/>
      <c r="J3338" s="70"/>
      <c r="K3338" s="57"/>
      <c r="L3338" s="11"/>
      <c r="M3338" s="41"/>
      <c r="N3338" s="11"/>
    </row>
    <row r="3339" spans="8:14" x14ac:dyDescent="0.25">
      <c r="H3339" s="37"/>
      <c r="I3339" s="79"/>
      <c r="J3339" s="70"/>
      <c r="K3339" s="57"/>
      <c r="L3339" s="11"/>
      <c r="M3339" s="41"/>
      <c r="N3339" s="11"/>
    </row>
    <row r="3340" spans="8:14" x14ac:dyDescent="0.25">
      <c r="H3340" s="37"/>
      <c r="I3340" s="79"/>
      <c r="J3340" s="70"/>
      <c r="K3340" s="57"/>
      <c r="L3340" s="11"/>
      <c r="M3340" s="41"/>
      <c r="N3340" s="11"/>
    </row>
    <row r="3341" spans="8:14" x14ac:dyDescent="0.25">
      <c r="H3341" s="37"/>
      <c r="I3341" s="79"/>
      <c r="J3341" s="70"/>
      <c r="K3341" s="57"/>
      <c r="L3341" s="11"/>
      <c r="M3341" s="41"/>
      <c r="N3341" s="11"/>
    </row>
    <row r="3342" spans="8:14" x14ac:dyDescent="0.25">
      <c r="H3342" s="37"/>
      <c r="I3342" s="79"/>
      <c r="J3342" s="70"/>
      <c r="K3342" s="57"/>
      <c r="L3342" s="11"/>
      <c r="M3342" s="41"/>
      <c r="N3342" s="11"/>
    </row>
    <row r="3343" spans="8:14" x14ac:dyDescent="0.25">
      <c r="H3343" s="37"/>
      <c r="I3343" s="79"/>
      <c r="J3343" s="70"/>
      <c r="K3343" s="57"/>
      <c r="L3343" s="11"/>
      <c r="M3343" s="41"/>
      <c r="N3343" s="11"/>
    </row>
    <row r="3344" spans="8:14" x14ac:dyDescent="0.25">
      <c r="H3344" s="37"/>
      <c r="I3344" s="79"/>
      <c r="J3344" s="70"/>
      <c r="K3344" s="57"/>
      <c r="L3344" s="11"/>
      <c r="M3344" s="41"/>
      <c r="N3344" s="11"/>
    </row>
    <row r="3345" spans="8:14" x14ac:dyDescent="0.25">
      <c r="H3345" s="37"/>
      <c r="I3345" s="79"/>
      <c r="J3345" s="70"/>
      <c r="K3345" s="57"/>
      <c r="L3345" s="11"/>
      <c r="M3345" s="41"/>
      <c r="N3345" s="11"/>
    </row>
    <row r="3346" spans="8:14" x14ac:dyDescent="0.25">
      <c r="H3346" s="37"/>
      <c r="I3346" s="79"/>
      <c r="J3346" s="70"/>
      <c r="K3346" s="57"/>
      <c r="L3346" s="11"/>
      <c r="M3346" s="41"/>
      <c r="N3346" s="11"/>
    </row>
    <row r="3347" spans="8:14" x14ac:dyDescent="0.25">
      <c r="H3347" s="37"/>
      <c r="I3347" s="79"/>
      <c r="J3347" s="70"/>
      <c r="K3347" s="57"/>
      <c r="L3347" s="11"/>
      <c r="M3347" s="41"/>
      <c r="N3347" s="11"/>
    </row>
    <row r="3348" spans="8:14" x14ac:dyDescent="0.25">
      <c r="H3348" s="37"/>
      <c r="I3348" s="79"/>
      <c r="J3348" s="70"/>
      <c r="K3348" s="57"/>
      <c r="L3348" s="11"/>
      <c r="M3348" s="41"/>
      <c r="N3348" s="11"/>
    </row>
    <row r="3349" spans="8:14" x14ac:dyDescent="0.25">
      <c r="H3349" s="37"/>
      <c r="I3349" s="79"/>
      <c r="J3349" s="70"/>
      <c r="K3349" s="57"/>
      <c r="L3349" s="11"/>
      <c r="M3349" s="41"/>
      <c r="N3349" s="11"/>
    </row>
    <row r="3350" spans="8:14" x14ac:dyDescent="0.25">
      <c r="H3350" s="37"/>
      <c r="I3350" s="79"/>
      <c r="J3350" s="70"/>
      <c r="K3350" s="57"/>
      <c r="L3350" s="11"/>
      <c r="M3350" s="41"/>
      <c r="N3350" s="11"/>
    </row>
    <row r="3351" spans="8:14" x14ac:dyDescent="0.25">
      <c r="H3351" s="37"/>
      <c r="I3351" s="79"/>
      <c r="J3351" s="70"/>
      <c r="K3351" s="57"/>
      <c r="L3351" s="11"/>
      <c r="M3351" s="41"/>
      <c r="N3351" s="11"/>
    </row>
    <row r="3352" spans="8:14" x14ac:dyDescent="0.25">
      <c r="H3352" s="37"/>
      <c r="I3352" s="79"/>
      <c r="J3352" s="70"/>
      <c r="K3352" s="57"/>
      <c r="L3352" s="11"/>
      <c r="M3352" s="41"/>
      <c r="N3352" s="11"/>
    </row>
    <row r="3353" spans="8:14" x14ac:dyDescent="0.25">
      <c r="H3353" s="37"/>
      <c r="I3353" s="79"/>
      <c r="J3353" s="70"/>
      <c r="K3353" s="57"/>
      <c r="L3353" s="11"/>
      <c r="M3353" s="41"/>
      <c r="N3353" s="11"/>
    </row>
    <row r="3354" spans="8:14" x14ac:dyDescent="0.25">
      <c r="H3354" s="37"/>
      <c r="I3354" s="79"/>
      <c r="J3354" s="70"/>
      <c r="K3354" s="57"/>
      <c r="L3354" s="11"/>
      <c r="M3354" s="41"/>
      <c r="N3354" s="11"/>
    </row>
    <row r="3355" spans="8:14" x14ac:dyDescent="0.25">
      <c r="H3355" s="37"/>
      <c r="I3355" s="79"/>
      <c r="J3355" s="70"/>
      <c r="K3355" s="57"/>
      <c r="L3355" s="11"/>
      <c r="M3355" s="41"/>
      <c r="N3355" s="11"/>
    </row>
    <row r="3356" spans="8:14" x14ac:dyDescent="0.25">
      <c r="H3356" s="37"/>
      <c r="I3356" s="79"/>
      <c r="J3356" s="70"/>
      <c r="K3356" s="57"/>
      <c r="L3356" s="11"/>
      <c r="M3356" s="41"/>
      <c r="N3356" s="11"/>
    </row>
    <row r="3357" spans="8:14" x14ac:dyDescent="0.25">
      <c r="H3357" s="37"/>
      <c r="I3357" s="79"/>
      <c r="J3357" s="70"/>
      <c r="K3357" s="57"/>
      <c r="L3357" s="11"/>
      <c r="M3357" s="41"/>
      <c r="N3357" s="11"/>
    </row>
    <row r="3358" spans="8:14" x14ac:dyDescent="0.25">
      <c r="H3358" s="37"/>
      <c r="I3358" s="79"/>
      <c r="J3358" s="70"/>
      <c r="K3358" s="57"/>
      <c r="L3358" s="11"/>
      <c r="M3358" s="41"/>
      <c r="N3358" s="11"/>
    </row>
    <row r="3359" spans="8:14" x14ac:dyDescent="0.25">
      <c r="H3359" s="37"/>
      <c r="I3359" s="79"/>
      <c r="J3359" s="70"/>
      <c r="K3359" s="57"/>
      <c r="L3359" s="11"/>
      <c r="M3359" s="41"/>
      <c r="N3359" s="11"/>
    </row>
    <row r="3360" spans="8:14" x14ac:dyDescent="0.25">
      <c r="H3360" s="37"/>
      <c r="I3360" s="79"/>
      <c r="J3360" s="70"/>
      <c r="K3360" s="57"/>
      <c r="L3360" s="11"/>
      <c r="M3360" s="41"/>
      <c r="N3360" s="11"/>
    </row>
    <row r="3361" spans="8:14" x14ac:dyDescent="0.25">
      <c r="H3361" s="37"/>
      <c r="I3361" s="79"/>
      <c r="J3361" s="70"/>
      <c r="K3361" s="57"/>
      <c r="L3361" s="11"/>
      <c r="M3361" s="41"/>
      <c r="N3361" s="11"/>
    </row>
    <row r="3362" spans="8:14" x14ac:dyDescent="0.25">
      <c r="H3362" s="37"/>
      <c r="I3362" s="79"/>
      <c r="J3362" s="70"/>
      <c r="K3362" s="57"/>
      <c r="L3362" s="11"/>
      <c r="M3362" s="41"/>
      <c r="N3362" s="11"/>
    </row>
    <row r="3363" spans="8:14" x14ac:dyDescent="0.25">
      <c r="H3363" s="37"/>
      <c r="I3363" s="79"/>
      <c r="J3363" s="70"/>
      <c r="K3363" s="57"/>
      <c r="L3363" s="11"/>
      <c r="M3363" s="41"/>
      <c r="N3363" s="11"/>
    </row>
    <row r="3364" spans="8:14" x14ac:dyDescent="0.25">
      <c r="H3364" s="37"/>
      <c r="I3364" s="79"/>
      <c r="J3364" s="70"/>
      <c r="K3364" s="57"/>
      <c r="L3364" s="11"/>
      <c r="M3364" s="41"/>
      <c r="N3364" s="11"/>
    </row>
    <row r="3365" spans="8:14" x14ac:dyDescent="0.25">
      <c r="H3365" s="37"/>
      <c r="I3365" s="79"/>
      <c r="J3365" s="70"/>
      <c r="K3365" s="57"/>
      <c r="L3365" s="11"/>
      <c r="M3365" s="41"/>
      <c r="N3365" s="11"/>
    </row>
    <row r="3366" spans="8:14" x14ac:dyDescent="0.25">
      <c r="H3366" s="37"/>
      <c r="I3366" s="79"/>
      <c r="J3366" s="70"/>
      <c r="K3366" s="57"/>
      <c r="L3366" s="11"/>
      <c r="M3366" s="41"/>
      <c r="N3366" s="11"/>
    </row>
    <row r="3367" spans="8:14" x14ac:dyDescent="0.25">
      <c r="H3367" s="37"/>
      <c r="I3367" s="79"/>
      <c r="J3367" s="70"/>
      <c r="K3367" s="57"/>
      <c r="L3367" s="11"/>
      <c r="M3367" s="41"/>
      <c r="N3367" s="11"/>
    </row>
    <row r="3368" spans="8:14" x14ac:dyDescent="0.25">
      <c r="H3368" s="37"/>
      <c r="I3368" s="79"/>
      <c r="J3368" s="70"/>
      <c r="K3368" s="57"/>
      <c r="L3368" s="11"/>
      <c r="M3368" s="41"/>
      <c r="N3368" s="11"/>
    </row>
    <row r="3369" spans="8:14" x14ac:dyDescent="0.25">
      <c r="H3369" s="37"/>
      <c r="I3369" s="79"/>
      <c r="J3369" s="70"/>
      <c r="K3369" s="57"/>
      <c r="L3369" s="11"/>
      <c r="M3369" s="41"/>
      <c r="N3369" s="11"/>
    </row>
    <row r="3370" spans="8:14" x14ac:dyDescent="0.25">
      <c r="H3370" s="37"/>
      <c r="I3370" s="79"/>
      <c r="J3370" s="70"/>
      <c r="K3370" s="57"/>
      <c r="L3370" s="11"/>
      <c r="M3370" s="41"/>
      <c r="N3370" s="11"/>
    </row>
    <row r="3371" spans="8:14" x14ac:dyDescent="0.25">
      <c r="H3371" s="37"/>
      <c r="I3371" s="79"/>
      <c r="J3371" s="70"/>
      <c r="K3371" s="57"/>
      <c r="L3371" s="11"/>
      <c r="M3371" s="41"/>
      <c r="N3371" s="11"/>
    </row>
    <row r="3372" spans="8:14" x14ac:dyDescent="0.25">
      <c r="H3372" s="37"/>
      <c r="I3372" s="79"/>
      <c r="J3372" s="70"/>
      <c r="K3372" s="57"/>
      <c r="L3372" s="11"/>
      <c r="M3372" s="41"/>
      <c r="N3372" s="11"/>
    </row>
    <row r="3373" spans="8:14" x14ac:dyDescent="0.25">
      <c r="H3373" s="37"/>
      <c r="I3373" s="79"/>
      <c r="J3373" s="70"/>
      <c r="K3373" s="57"/>
      <c r="L3373" s="11"/>
      <c r="M3373" s="41"/>
      <c r="N3373" s="11"/>
    </row>
    <row r="3374" spans="8:14" x14ac:dyDescent="0.25">
      <c r="H3374" s="37"/>
      <c r="I3374" s="79"/>
      <c r="J3374" s="70"/>
      <c r="K3374" s="57"/>
      <c r="L3374" s="11"/>
      <c r="M3374" s="41"/>
      <c r="N3374" s="11"/>
    </row>
    <row r="3375" spans="8:14" x14ac:dyDescent="0.25">
      <c r="H3375" s="37"/>
      <c r="I3375" s="79"/>
      <c r="J3375" s="70"/>
      <c r="K3375" s="57"/>
      <c r="L3375" s="11"/>
      <c r="M3375" s="41"/>
      <c r="N3375" s="11"/>
    </row>
    <row r="3376" spans="8:14" x14ac:dyDescent="0.25">
      <c r="H3376" s="37"/>
      <c r="I3376" s="79"/>
      <c r="J3376" s="70"/>
      <c r="K3376" s="57"/>
      <c r="L3376" s="11"/>
      <c r="M3376" s="41"/>
      <c r="N3376" s="11"/>
    </row>
    <row r="3377" spans="8:14" x14ac:dyDescent="0.25">
      <c r="H3377" s="37"/>
      <c r="I3377" s="79"/>
      <c r="J3377" s="70"/>
      <c r="K3377" s="57"/>
      <c r="L3377" s="11"/>
      <c r="M3377" s="41"/>
      <c r="N3377" s="11"/>
    </row>
    <row r="3378" spans="8:14" x14ac:dyDescent="0.25">
      <c r="H3378" s="37"/>
      <c r="I3378" s="79"/>
      <c r="J3378" s="70"/>
      <c r="K3378" s="57"/>
      <c r="L3378" s="11"/>
      <c r="M3378" s="41"/>
      <c r="N3378" s="11"/>
    </row>
    <row r="3379" spans="8:14" x14ac:dyDescent="0.25">
      <c r="H3379" s="37"/>
      <c r="I3379" s="79"/>
      <c r="J3379" s="70"/>
      <c r="K3379" s="57"/>
      <c r="L3379" s="11"/>
      <c r="M3379" s="41"/>
      <c r="N3379" s="11"/>
    </row>
    <row r="3380" spans="8:14" x14ac:dyDescent="0.25">
      <c r="H3380" s="37"/>
      <c r="I3380" s="79"/>
      <c r="J3380" s="70"/>
      <c r="K3380" s="57"/>
      <c r="L3380" s="11"/>
      <c r="M3380" s="41"/>
      <c r="N3380" s="11"/>
    </row>
    <row r="3381" spans="8:14" x14ac:dyDescent="0.25">
      <c r="H3381" s="37"/>
      <c r="I3381" s="79"/>
      <c r="J3381" s="70"/>
      <c r="K3381" s="57"/>
      <c r="L3381" s="11"/>
      <c r="M3381" s="41"/>
      <c r="N3381" s="11"/>
    </row>
    <row r="3382" spans="8:14" x14ac:dyDescent="0.25">
      <c r="H3382" s="37"/>
      <c r="I3382" s="79"/>
      <c r="J3382" s="70"/>
      <c r="K3382" s="57"/>
      <c r="L3382" s="11"/>
      <c r="M3382" s="41"/>
      <c r="N3382" s="11"/>
    </row>
    <row r="3383" spans="8:14" x14ac:dyDescent="0.25">
      <c r="H3383" s="37"/>
      <c r="I3383" s="79"/>
      <c r="J3383" s="70"/>
      <c r="K3383" s="57"/>
      <c r="L3383" s="11"/>
      <c r="M3383" s="41"/>
      <c r="N3383" s="11"/>
    </row>
    <row r="3384" spans="8:14" x14ac:dyDescent="0.25">
      <c r="H3384" s="37"/>
      <c r="I3384" s="79"/>
      <c r="J3384" s="70"/>
      <c r="K3384" s="57"/>
      <c r="L3384" s="11"/>
      <c r="M3384" s="41"/>
      <c r="N3384" s="11"/>
    </row>
    <row r="3385" spans="8:14" x14ac:dyDescent="0.25">
      <c r="H3385" s="37"/>
      <c r="I3385" s="79"/>
      <c r="J3385" s="70"/>
      <c r="K3385" s="57"/>
      <c r="L3385" s="11"/>
      <c r="M3385" s="41"/>
      <c r="N3385" s="11"/>
    </row>
    <row r="3386" spans="8:14" x14ac:dyDescent="0.25">
      <c r="H3386" s="37"/>
      <c r="I3386" s="79"/>
      <c r="J3386" s="70"/>
      <c r="K3386" s="57"/>
      <c r="L3386" s="11"/>
      <c r="M3386" s="41"/>
      <c r="N3386" s="11"/>
    </row>
    <row r="3387" spans="8:14" x14ac:dyDescent="0.25">
      <c r="H3387" s="37"/>
      <c r="I3387" s="79"/>
      <c r="J3387" s="70"/>
      <c r="K3387" s="57"/>
      <c r="L3387" s="11"/>
      <c r="M3387" s="41"/>
      <c r="N3387" s="11"/>
    </row>
    <row r="3388" spans="8:14" x14ac:dyDescent="0.25">
      <c r="H3388" s="37"/>
      <c r="I3388" s="79"/>
      <c r="J3388" s="70"/>
      <c r="K3388" s="57"/>
      <c r="L3388" s="11"/>
      <c r="M3388" s="41"/>
      <c r="N3388" s="11"/>
    </row>
    <row r="3389" spans="8:14" x14ac:dyDescent="0.25">
      <c r="H3389" s="37"/>
      <c r="I3389" s="79"/>
      <c r="J3389" s="70"/>
      <c r="K3389" s="57"/>
      <c r="L3389" s="11"/>
      <c r="M3389" s="41"/>
      <c r="N3389" s="11"/>
    </row>
    <row r="3390" spans="8:14" x14ac:dyDescent="0.25">
      <c r="H3390" s="37"/>
      <c r="I3390" s="79"/>
      <c r="J3390" s="70"/>
      <c r="K3390" s="57"/>
      <c r="L3390" s="11"/>
      <c r="M3390" s="41"/>
      <c r="N3390" s="11"/>
    </row>
    <row r="3391" spans="8:14" x14ac:dyDescent="0.25">
      <c r="H3391" s="37"/>
      <c r="I3391" s="79"/>
      <c r="J3391" s="70"/>
      <c r="K3391" s="57"/>
      <c r="L3391" s="11"/>
      <c r="M3391" s="41"/>
      <c r="N3391" s="11"/>
    </row>
    <row r="3392" spans="8:14" x14ac:dyDescent="0.25">
      <c r="H3392" s="37"/>
      <c r="I3392" s="79"/>
      <c r="J3392" s="70"/>
      <c r="K3392" s="57"/>
      <c r="L3392" s="11"/>
      <c r="M3392" s="41"/>
      <c r="N3392" s="11"/>
    </row>
    <row r="3393" spans="8:14" x14ac:dyDescent="0.25">
      <c r="H3393" s="37"/>
      <c r="I3393" s="79"/>
      <c r="J3393" s="70"/>
      <c r="K3393" s="57"/>
      <c r="L3393" s="11"/>
      <c r="M3393" s="41"/>
      <c r="N3393" s="11"/>
    </row>
    <row r="3394" spans="8:14" x14ac:dyDescent="0.25">
      <c r="H3394" s="37"/>
      <c r="I3394" s="79"/>
      <c r="J3394" s="70"/>
      <c r="K3394" s="57"/>
      <c r="L3394" s="11"/>
      <c r="M3394" s="41"/>
      <c r="N3394" s="11"/>
    </row>
    <row r="3395" spans="8:14" x14ac:dyDescent="0.25">
      <c r="H3395" s="37"/>
      <c r="I3395" s="79"/>
      <c r="J3395" s="70"/>
      <c r="K3395" s="57"/>
      <c r="L3395" s="11"/>
      <c r="M3395" s="41"/>
      <c r="N3395" s="11"/>
    </row>
    <row r="3396" spans="8:14" x14ac:dyDescent="0.25">
      <c r="H3396" s="37"/>
      <c r="I3396" s="79"/>
      <c r="J3396" s="70"/>
      <c r="K3396" s="57"/>
      <c r="L3396" s="11"/>
      <c r="M3396" s="41"/>
      <c r="N3396" s="11"/>
    </row>
    <row r="3397" spans="8:14" x14ac:dyDescent="0.25">
      <c r="H3397" s="37"/>
      <c r="I3397" s="79"/>
      <c r="J3397" s="70"/>
      <c r="K3397" s="57"/>
      <c r="L3397" s="11"/>
      <c r="M3397" s="41"/>
      <c r="N3397" s="11"/>
    </row>
    <row r="3398" spans="8:14" x14ac:dyDescent="0.25">
      <c r="H3398" s="37"/>
      <c r="I3398" s="79"/>
      <c r="J3398" s="70"/>
      <c r="K3398" s="57"/>
      <c r="L3398" s="11"/>
      <c r="M3398" s="41"/>
      <c r="N3398" s="11"/>
    </row>
    <row r="3399" spans="8:14" x14ac:dyDescent="0.25">
      <c r="H3399" s="37"/>
      <c r="I3399" s="79"/>
      <c r="J3399" s="70"/>
      <c r="K3399" s="57"/>
      <c r="L3399" s="11"/>
      <c r="M3399" s="41"/>
      <c r="N3399" s="11"/>
    </row>
    <row r="3400" spans="8:14" x14ac:dyDescent="0.25">
      <c r="H3400" s="37"/>
      <c r="I3400" s="79"/>
      <c r="J3400" s="70"/>
      <c r="K3400" s="57"/>
      <c r="L3400" s="11"/>
      <c r="M3400" s="41"/>
      <c r="N3400" s="11"/>
    </row>
    <row r="3401" spans="8:14" x14ac:dyDescent="0.25">
      <c r="H3401" s="37"/>
      <c r="I3401" s="79"/>
      <c r="J3401" s="70"/>
      <c r="K3401" s="57"/>
      <c r="L3401" s="11"/>
      <c r="M3401" s="41"/>
      <c r="N3401" s="11"/>
    </row>
    <row r="3402" spans="8:14" x14ac:dyDescent="0.25">
      <c r="H3402" s="37"/>
      <c r="I3402" s="79"/>
      <c r="J3402" s="70"/>
      <c r="K3402" s="57"/>
      <c r="L3402" s="11"/>
      <c r="M3402" s="41"/>
      <c r="N3402" s="11"/>
    </row>
    <row r="3403" spans="8:14" x14ac:dyDescent="0.25">
      <c r="H3403" s="37"/>
      <c r="I3403" s="79"/>
      <c r="J3403" s="70"/>
      <c r="K3403" s="57"/>
      <c r="L3403" s="11"/>
      <c r="M3403" s="41"/>
      <c r="N3403" s="11"/>
    </row>
    <row r="3404" spans="8:14" x14ac:dyDescent="0.25">
      <c r="H3404" s="37"/>
      <c r="I3404" s="79"/>
      <c r="J3404" s="70"/>
      <c r="K3404" s="57"/>
      <c r="L3404" s="11"/>
      <c r="M3404" s="41"/>
      <c r="N3404" s="11"/>
    </row>
    <row r="3405" spans="8:14" x14ac:dyDescent="0.25">
      <c r="H3405" s="37"/>
      <c r="I3405" s="79"/>
      <c r="J3405" s="70"/>
      <c r="K3405" s="57"/>
      <c r="L3405" s="11"/>
      <c r="M3405" s="41"/>
      <c r="N3405" s="11"/>
    </row>
    <row r="3406" spans="8:14" x14ac:dyDescent="0.25">
      <c r="H3406" s="37"/>
      <c r="I3406" s="79"/>
      <c r="J3406" s="70"/>
      <c r="K3406" s="57"/>
      <c r="L3406" s="11"/>
      <c r="M3406" s="41"/>
      <c r="N3406" s="11"/>
    </row>
    <row r="3407" spans="8:14" x14ac:dyDescent="0.25">
      <c r="H3407" s="37"/>
      <c r="I3407" s="79"/>
      <c r="J3407" s="70"/>
      <c r="K3407" s="57"/>
      <c r="L3407" s="11"/>
      <c r="M3407" s="41"/>
      <c r="N3407" s="11"/>
    </row>
    <row r="3408" spans="8:14" x14ac:dyDescent="0.25">
      <c r="H3408" s="37"/>
      <c r="I3408" s="79"/>
      <c r="J3408" s="70"/>
      <c r="K3408" s="57"/>
      <c r="L3408" s="11"/>
      <c r="M3408" s="41"/>
      <c r="N3408" s="11"/>
    </row>
    <row r="3409" spans="8:14" x14ac:dyDescent="0.25">
      <c r="H3409" s="37"/>
      <c r="I3409" s="79"/>
      <c r="J3409" s="70"/>
      <c r="K3409" s="57"/>
      <c r="L3409" s="11"/>
      <c r="M3409" s="41"/>
      <c r="N3409" s="11"/>
    </row>
    <row r="3410" spans="8:14" x14ac:dyDescent="0.25">
      <c r="H3410" s="37"/>
      <c r="I3410" s="79"/>
      <c r="J3410" s="70"/>
      <c r="K3410" s="57"/>
      <c r="L3410" s="11"/>
      <c r="M3410" s="41"/>
      <c r="N3410" s="11"/>
    </row>
    <row r="3411" spans="8:14" x14ac:dyDescent="0.25">
      <c r="H3411" s="37"/>
      <c r="I3411" s="79"/>
      <c r="J3411" s="70"/>
      <c r="K3411" s="57"/>
      <c r="L3411" s="11"/>
      <c r="M3411" s="41"/>
      <c r="N3411" s="11"/>
    </row>
    <row r="3412" spans="8:14" x14ac:dyDescent="0.25">
      <c r="H3412" s="37"/>
      <c r="I3412" s="79"/>
      <c r="J3412" s="70"/>
      <c r="K3412" s="57"/>
      <c r="L3412" s="11"/>
      <c r="M3412" s="41"/>
      <c r="N3412" s="11"/>
    </row>
    <row r="3413" spans="8:14" x14ac:dyDescent="0.25">
      <c r="H3413" s="37"/>
      <c r="I3413" s="79"/>
      <c r="J3413" s="70"/>
      <c r="K3413" s="57"/>
      <c r="L3413" s="11"/>
      <c r="M3413" s="41"/>
      <c r="N3413" s="11"/>
    </row>
    <row r="3414" spans="8:14" x14ac:dyDescent="0.25">
      <c r="H3414" s="37"/>
      <c r="I3414" s="79"/>
      <c r="J3414" s="70"/>
      <c r="K3414" s="57"/>
      <c r="L3414" s="11"/>
      <c r="M3414" s="41"/>
      <c r="N3414" s="11"/>
    </row>
    <row r="3415" spans="8:14" x14ac:dyDescent="0.25">
      <c r="H3415" s="37"/>
      <c r="I3415" s="79"/>
      <c r="J3415" s="70"/>
      <c r="K3415" s="57"/>
      <c r="L3415" s="11"/>
      <c r="M3415" s="41"/>
      <c r="N3415" s="11"/>
    </row>
    <row r="3416" spans="8:14" x14ac:dyDescent="0.25">
      <c r="H3416" s="37"/>
      <c r="I3416" s="79"/>
      <c r="J3416" s="70"/>
      <c r="K3416" s="57"/>
      <c r="L3416" s="11"/>
      <c r="M3416" s="41"/>
      <c r="N3416" s="11"/>
    </row>
    <row r="3417" spans="8:14" x14ac:dyDescent="0.25">
      <c r="H3417" s="37"/>
      <c r="I3417" s="79"/>
      <c r="J3417" s="70"/>
      <c r="K3417" s="57"/>
      <c r="L3417" s="11"/>
      <c r="M3417" s="41"/>
      <c r="N3417" s="11"/>
    </row>
    <row r="3418" spans="8:14" x14ac:dyDescent="0.25">
      <c r="H3418" s="37"/>
      <c r="I3418" s="79"/>
      <c r="J3418" s="70"/>
      <c r="K3418" s="57"/>
      <c r="L3418" s="11"/>
      <c r="M3418" s="41"/>
      <c r="N3418" s="11"/>
    </row>
    <row r="3419" spans="8:14" x14ac:dyDescent="0.25">
      <c r="H3419" s="37"/>
      <c r="I3419" s="79"/>
      <c r="J3419" s="70"/>
      <c r="K3419" s="57"/>
      <c r="L3419" s="11"/>
      <c r="M3419" s="41"/>
      <c r="N3419" s="11"/>
    </row>
    <row r="3420" spans="8:14" x14ac:dyDescent="0.25">
      <c r="H3420" s="37"/>
      <c r="I3420" s="79"/>
      <c r="J3420" s="70"/>
      <c r="K3420" s="57"/>
      <c r="L3420" s="11"/>
      <c r="M3420" s="41"/>
      <c r="N3420" s="11"/>
    </row>
    <row r="3421" spans="8:14" x14ac:dyDescent="0.25">
      <c r="H3421" s="37"/>
      <c r="I3421" s="79"/>
      <c r="J3421" s="70"/>
      <c r="K3421" s="57"/>
      <c r="L3421" s="11"/>
      <c r="M3421" s="41"/>
      <c r="N3421" s="11"/>
    </row>
    <row r="3422" spans="8:14" x14ac:dyDescent="0.25">
      <c r="H3422" s="37"/>
      <c r="I3422" s="79"/>
      <c r="J3422" s="70"/>
      <c r="K3422" s="57"/>
      <c r="L3422" s="11"/>
      <c r="M3422" s="41"/>
      <c r="N3422" s="11"/>
    </row>
    <row r="3423" spans="8:14" x14ac:dyDescent="0.25">
      <c r="H3423" s="37"/>
      <c r="I3423" s="79"/>
      <c r="J3423" s="70"/>
      <c r="K3423" s="57"/>
      <c r="L3423" s="11"/>
      <c r="M3423" s="41"/>
      <c r="N3423" s="11"/>
    </row>
    <row r="3424" spans="8:14" x14ac:dyDescent="0.25">
      <c r="H3424" s="37"/>
      <c r="I3424" s="79"/>
      <c r="J3424" s="70"/>
      <c r="K3424" s="57"/>
      <c r="L3424" s="11"/>
      <c r="M3424" s="41"/>
      <c r="N3424" s="11"/>
    </row>
    <row r="3425" spans="8:14" x14ac:dyDescent="0.25">
      <c r="H3425" s="37"/>
      <c r="I3425" s="79"/>
      <c r="J3425" s="70"/>
      <c r="K3425" s="57"/>
      <c r="L3425" s="11"/>
      <c r="M3425" s="41"/>
      <c r="N3425" s="11"/>
    </row>
    <row r="3426" spans="8:14" x14ac:dyDescent="0.25">
      <c r="H3426" s="37"/>
      <c r="I3426" s="79"/>
      <c r="J3426" s="70"/>
      <c r="K3426" s="57"/>
      <c r="L3426" s="11"/>
      <c r="M3426" s="41"/>
      <c r="N3426" s="11"/>
    </row>
    <row r="3427" spans="8:14" x14ac:dyDescent="0.25">
      <c r="H3427" s="37"/>
      <c r="I3427" s="79"/>
      <c r="J3427" s="70"/>
      <c r="K3427" s="57"/>
      <c r="L3427" s="11"/>
      <c r="M3427" s="41"/>
      <c r="N3427" s="11"/>
    </row>
    <row r="3428" spans="8:14" x14ac:dyDescent="0.25">
      <c r="H3428" s="37"/>
      <c r="I3428" s="79"/>
      <c r="J3428" s="70"/>
      <c r="K3428" s="57"/>
      <c r="L3428" s="11"/>
      <c r="M3428" s="41"/>
      <c r="N3428" s="11"/>
    </row>
    <row r="3429" spans="8:14" x14ac:dyDescent="0.25">
      <c r="H3429" s="37"/>
      <c r="I3429" s="79"/>
      <c r="J3429" s="70"/>
      <c r="K3429" s="57"/>
      <c r="L3429" s="11"/>
      <c r="M3429" s="41"/>
      <c r="N3429" s="11"/>
    </row>
    <row r="3430" spans="8:14" x14ac:dyDescent="0.25">
      <c r="H3430" s="37"/>
      <c r="I3430" s="79"/>
      <c r="J3430" s="70"/>
      <c r="K3430" s="57"/>
      <c r="L3430" s="11"/>
      <c r="M3430" s="41"/>
      <c r="N3430" s="11"/>
    </row>
    <row r="3431" spans="8:14" x14ac:dyDescent="0.25">
      <c r="H3431" s="37"/>
      <c r="I3431" s="79"/>
      <c r="J3431" s="70"/>
      <c r="K3431" s="57"/>
      <c r="L3431" s="11"/>
      <c r="M3431" s="41"/>
      <c r="N3431" s="11"/>
    </row>
    <row r="3432" spans="8:14" x14ac:dyDescent="0.25">
      <c r="H3432" s="37"/>
      <c r="I3432" s="79"/>
      <c r="J3432" s="70"/>
      <c r="K3432" s="57"/>
      <c r="L3432" s="11"/>
      <c r="M3432" s="41"/>
      <c r="N3432" s="11"/>
    </row>
    <row r="3433" spans="8:14" x14ac:dyDescent="0.25">
      <c r="H3433" s="37"/>
      <c r="I3433" s="79"/>
      <c r="J3433" s="70"/>
      <c r="K3433" s="57"/>
      <c r="L3433" s="11"/>
      <c r="M3433" s="41"/>
      <c r="N3433" s="11"/>
    </row>
    <row r="3434" spans="8:14" x14ac:dyDescent="0.25">
      <c r="H3434" s="37"/>
      <c r="I3434" s="79"/>
      <c r="J3434" s="70"/>
      <c r="K3434" s="57"/>
      <c r="L3434" s="11"/>
      <c r="M3434" s="41"/>
      <c r="N3434" s="11"/>
    </row>
    <row r="3435" spans="8:14" x14ac:dyDescent="0.25">
      <c r="H3435" s="37"/>
      <c r="I3435" s="79"/>
      <c r="J3435" s="70"/>
      <c r="K3435" s="57"/>
      <c r="L3435" s="11"/>
      <c r="M3435" s="41"/>
      <c r="N3435" s="11"/>
    </row>
    <row r="3436" spans="8:14" x14ac:dyDescent="0.25">
      <c r="H3436" s="37"/>
      <c r="I3436" s="79"/>
      <c r="J3436" s="70"/>
      <c r="K3436" s="57"/>
      <c r="L3436" s="11"/>
      <c r="M3436" s="41"/>
      <c r="N3436" s="11"/>
    </row>
    <row r="3437" spans="8:14" x14ac:dyDescent="0.25">
      <c r="H3437" s="37"/>
      <c r="I3437" s="79"/>
      <c r="J3437" s="70"/>
      <c r="K3437" s="57"/>
      <c r="L3437" s="11"/>
      <c r="M3437" s="41"/>
      <c r="N3437" s="11"/>
    </row>
    <row r="3438" spans="8:14" x14ac:dyDescent="0.25">
      <c r="H3438" s="37"/>
      <c r="I3438" s="79"/>
      <c r="J3438" s="70"/>
      <c r="K3438" s="57"/>
      <c r="L3438" s="11"/>
      <c r="M3438" s="41"/>
      <c r="N3438" s="11"/>
    </row>
    <row r="3439" spans="8:14" x14ac:dyDescent="0.25">
      <c r="H3439" s="37"/>
      <c r="I3439" s="79"/>
      <c r="J3439" s="70"/>
      <c r="K3439" s="57"/>
      <c r="L3439" s="11"/>
      <c r="M3439" s="41"/>
      <c r="N3439" s="11"/>
    </row>
    <row r="3440" spans="8:14" x14ac:dyDescent="0.25">
      <c r="H3440" s="37"/>
      <c r="I3440" s="79"/>
      <c r="J3440" s="70"/>
      <c r="K3440" s="57"/>
      <c r="L3440" s="11"/>
      <c r="M3440" s="41"/>
      <c r="N3440" s="11"/>
    </row>
    <row r="3441" spans="8:14" x14ac:dyDescent="0.25">
      <c r="H3441" s="37"/>
      <c r="I3441" s="79"/>
      <c r="J3441" s="70"/>
      <c r="K3441" s="57"/>
      <c r="L3441" s="11"/>
      <c r="M3441" s="41"/>
      <c r="N3441" s="11"/>
    </row>
    <row r="3442" spans="8:14" x14ac:dyDescent="0.25">
      <c r="H3442" s="37"/>
      <c r="I3442" s="79"/>
      <c r="J3442" s="70"/>
      <c r="K3442" s="57"/>
      <c r="L3442" s="11"/>
      <c r="M3442" s="41"/>
      <c r="N3442" s="11"/>
    </row>
    <row r="3443" spans="8:14" x14ac:dyDescent="0.25">
      <c r="H3443" s="37"/>
      <c r="I3443" s="79"/>
      <c r="J3443" s="70"/>
      <c r="K3443" s="57"/>
      <c r="L3443" s="11"/>
      <c r="M3443" s="41"/>
      <c r="N3443" s="11"/>
    </row>
    <row r="3444" spans="8:14" x14ac:dyDescent="0.25">
      <c r="H3444" s="37"/>
      <c r="I3444" s="79"/>
      <c r="J3444" s="70"/>
      <c r="K3444" s="57"/>
      <c r="L3444" s="11"/>
      <c r="M3444" s="41"/>
      <c r="N3444" s="11"/>
    </row>
    <row r="3445" spans="8:14" x14ac:dyDescent="0.25">
      <c r="H3445" s="37"/>
      <c r="I3445" s="79"/>
      <c r="J3445" s="70"/>
      <c r="K3445" s="57"/>
      <c r="L3445" s="11"/>
      <c r="M3445" s="41"/>
      <c r="N3445" s="11"/>
    </row>
    <row r="3446" spans="8:14" x14ac:dyDescent="0.25">
      <c r="H3446" s="37"/>
      <c r="I3446" s="79"/>
      <c r="J3446" s="70"/>
      <c r="K3446" s="57"/>
      <c r="L3446" s="11"/>
      <c r="M3446" s="41"/>
      <c r="N3446" s="11"/>
    </row>
    <row r="3447" spans="8:14" x14ac:dyDescent="0.25">
      <c r="H3447" s="37"/>
      <c r="I3447" s="79"/>
      <c r="J3447" s="70"/>
      <c r="K3447" s="57"/>
      <c r="L3447" s="11"/>
      <c r="M3447" s="41"/>
      <c r="N3447" s="11"/>
    </row>
    <row r="3448" spans="8:14" x14ac:dyDescent="0.25">
      <c r="H3448" s="37"/>
      <c r="I3448" s="79"/>
      <c r="J3448" s="70"/>
      <c r="K3448" s="57"/>
      <c r="L3448" s="11"/>
      <c r="M3448" s="41"/>
      <c r="N3448" s="11"/>
    </row>
    <row r="3449" spans="8:14" x14ac:dyDescent="0.25">
      <c r="H3449" s="37"/>
      <c r="I3449" s="79"/>
      <c r="J3449" s="70"/>
      <c r="K3449" s="57"/>
      <c r="L3449" s="11"/>
      <c r="M3449" s="41"/>
      <c r="N3449" s="11"/>
    </row>
    <row r="3450" spans="8:14" x14ac:dyDescent="0.25">
      <c r="H3450" s="37"/>
      <c r="I3450" s="79"/>
      <c r="J3450" s="70"/>
      <c r="K3450" s="57"/>
      <c r="L3450" s="11"/>
      <c r="M3450" s="41"/>
      <c r="N3450" s="11"/>
    </row>
    <row r="3451" spans="8:14" x14ac:dyDescent="0.25">
      <c r="H3451" s="37"/>
      <c r="I3451" s="79"/>
      <c r="J3451" s="70"/>
      <c r="K3451" s="57"/>
      <c r="L3451" s="11"/>
      <c r="M3451" s="41"/>
      <c r="N3451" s="11"/>
    </row>
    <row r="3452" spans="8:14" x14ac:dyDescent="0.25">
      <c r="H3452" s="37"/>
      <c r="I3452" s="79"/>
      <c r="J3452" s="70"/>
      <c r="K3452" s="57"/>
      <c r="L3452" s="11"/>
      <c r="M3452" s="41"/>
      <c r="N3452" s="11"/>
    </row>
    <row r="3453" spans="8:14" x14ac:dyDescent="0.25">
      <c r="H3453" s="37"/>
      <c r="I3453" s="79"/>
      <c r="J3453" s="70"/>
      <c r="K3453" s="57"/>
      <c r="L3453" s="11"/>
      <c r="M3453" s="41"/>
      <c r="N3453" s="11"/>
    </row>
    <row r="3454" spans="8:14" x14ac:dyDescent="0.25">
      <c r="H3454" s="37"/>
      <c r="I3454" s="79"/>
      <c r="J3454" s="70"/>
      <c r="K3454" s="57"/>
      <c r="L3454" s="11"/>
      <c r="M3454" s="41"/>
      <c r="N3454" s="11"/>
    </row>
    <row r="3455" spans="8:14" x14ac:dyDescent="0.25">
      <c r="H3455" s="37"/>
      <c r="I3455" s="79"/>
      <c r="J3455" s="70"/>
      <c r="K3455" s="57"/>
      <c r="L3455" s="11"/>
      <c r="M3455" s="41"/>
      <c r="N3455" s="11"/>
    </row>
    <row r="3456" spans="8:14" x14ac:dyDescent="0.25">
      <c r="H3456" s="37"/>
      <c r="I3456" s="79"/>
      <c r="J3456" s="70"/>
      <c r="K3456" s="57"/>
      <c r="L3456" s="11"/>
      <c r="M3456" s="41"/>
      <c r="N3456" s="11"/>
    </row>
    <row r="3457" spans="8:14" x14ac:dyDescent="0.25">
      <c r="H3457" s="37"/>
      <c r="I3457" s="79"/>
      <c r="J3457" s="70"/>
      <c r="K3457" s="57"/>
      <c r="L3457" s="11"/>
      <c r="M3457" s="41"/>
      <c r="N3457" s="11"/>
    </row>
    <row r="3458" spans="8:14" x14ac:dyDescent="0.25">
      <c r="H3458" s="37"/>
      <c r="I3458" s="79"/>
      <c r="J3458" s="70"/>
      <c r="K3458" s="57"/>
      <c r="L3458" s="11"/>
      <c r="M3458" s="41"/>
      <c r="N3458" s="11"/>
    </row>
    <row r="3459" spans="8:14" x14ac:dyDescent="0.25">
      <c r="H3459" s="37"/>
      <c r="I3459" s="79"/>
      <c r="J3459" s="70"/>
      <c r="K3459" s="57"/>
      <c r="L3459" s="11"/>
      <c r="M3459" s="41"/>
      <c r="N3459" s="11"/>
    </row>
    <row r="3460" spans="8:14" x14ac:dyDescent="0.25">
      <c r="H3460" s="37"/>
      <c r="I3460" s="79"/>
      <c r="J3460" s="70"/>
      <c r="K3460" s="57"/>
      <c r="L3460" s="11"/>
      <c r="M3460" s="41"/>
      <c r="N3460" s="11"/>
    </row>
    <row r="3461" spans="8:14" x14ac:dyDescent="0.25">
      <c r="H3461" s="37"/>
      <c r="I3461" s="79"/>
      <c r="J3461" s="70"/>
      <c r="K3461" s="57"/>
      <c r="L3461" s="11"/>
      <c r="M3461" s="41"/>
      <c r="N3461" s="11"/>
    </row>
    <row r="3462" spans="8:14" x14ac:dyDescent="0.25">
      <c r="H3462" s="37"/>
      <c r="I3462" s="79"/>
      <c r="J3462" s="70"/>
      <c r="K3462" s="57"/>
      <c r="L3462" s="11"/>
      <c r="M3462" s="41"/>
      <c r="N3462" s="11"/>
    </row>
    <row r="3463" spans="8:14" x14ac:dyDescent="0.25">
      <c r="H3463" s="37"/>
      <c r="I3463" s="79"/>
      <c r="J3463" s="70"/>
      <c r="K3463" s="57"/>
      <c r="L3463" s="11"/>
      <c r="M3463" s="41"/>
      <c r="N3463" s="11"/>
    </row>
    <row r="3464" spans="8:14" x14ac:dyDescent="0.25">
      <c r="H3464" s="37"/>
      <c r="I3464" s="79"/>
      <c r="J3464" s="70"/>
      <c r="K3464" s="57"/>
      <c r="L3464" s="11"/>
      <c r="M3464" s="41"/>
      <c r="N3464" s="11"/>
    </row>
    <row r="3465" spans="8:14" x14ac:dyDescent="0.25">
      <c r="H3465" s="37"/>
      <c r="I3465" s="79"/>
      <c r="J3465" s="70"/>
      <c r="K3465" s="57"/>
      <c r="L3465" s="11"/>
      <c r="M3465" s="41"/>
      <c r="N3465" s="11"/>
    </row>
    <row r="3466" spans="8:14" x14ac:dyDescent="0.25">
      <c r="H3466" s="37"/>
      <c r="I3466" s="79"/>
      <c r="J3466" s="70"/>
      <c r="K3466" s="57"/>
      <c r="L3466" s="11"/>
      <c r="M3466" s="41"/>
      <c r="N3466" s="11"/>
    </row>
    <row r="3467" spans="8:14" x14ac:dyDescent="0.25">
      <c r="H3467" s="37"/>
      <c r="I3467" s="79"/>
      <c r="J3467" s="70"/>
      <c r="K3467" s="57"/>
      <c r="L3467" s="11"/>
      <c r="M3467" s="41"/>
      <c r="N3467" s="11"/>
    </row>
    <row r="3468" spans="8:14" x14ac:dyDescent="0.25">
      <c r="H3468" s="37"/>
      <c r="I3468" s="79"/>
      <c r="J3468" s="70"/>
      <c r="K3468" s="57"/>
      <c r="L3468" s="11"/>
      <c r="M3468" s="41"/>
      <c r="N3468" s="11"/>
    </row>
    <row r="3469" spans="8:14" x14ac:dyDescent="0.25">
      <c r="H3469" s="37"/>
      <c r="I3469" s="79"/>
      <c r="J3469" s="70"/>
      <c r="K3469" s="57"/>
      <c r="L3469" s="11"/>
      <c r="M3469" s="41"/>
      <c r="N3469" s="11"/>
    </row>
    <row r="3470" spans="8:14" x14ac:dyDescent="0.25">
      <c r="H3470" s="37"/>
      <c r="I3470" s="79"/>
      <c r="J3470" s="70"/>
      <c r="K3470" s="57"/>
      <c r="L3470" s="11"/>
      <c r="M3470" s="41"/>
      <c r="N3470" s="11"/>
    </row>
    <row r="3471" spans="8:14" x14ac:dyDescent="0.25">
      <c r="H3471" s="37"/>
      <c r="I3471" s="79"/>
      <c r="J3471" s="70"/>
      <c r="K3471" s="57"/>
      <c r="L3471" s="11"/>
      <c r="M3471" s="41"/>
      <c r="N3471" s="11"/>
    </row>
    <row r="3472" spans="8:14" x14ac:dyDescent="0.25">
      <c r="H3472" s="37"/>
      <c r="I3472" s="79"/>
      <c r="J3472" s="70"/>
      <c r="K3472" s="57"/>
      <c r="L3472" s="11"/>
      <c r="M3472" s="41"/>
      <c r="N3472" s="11"/>
    </row>
    <row r="3473" spans="8:14" x14ac:dyDescent="0.25">
      <c r="H3473" s="37"/>
      <c r="I3473" s="79"/>
      <c r="J3473" s="70"/>
      <c r="K3473" s="57"/>
      <c r="L3473" s="11"/>
      <c r="M3473" s="41"/>
      <c r="N3473" s="11"/>
    </row>
    <row r="3474" spans="8:14" x14ac:dyDescent="0.25">
      <c r="H3474" s="37"/>
      <c r="I3474" s="79"/>
      <c r="J3474" s="70"/>
      <c r="K3474" s="57"/>
      <c r="L3474" s="11"/>
      <c r="M3474" s="41"/>
      <c r="N3474" s="11"/>
    </row>
    <row r="3475" spans="8:14" x14ac:dyDescent="0.25">
      <c r="H3475" s="37"/>
      <c r="I3475" s="79"/>
      <c r="J3475" s="70"/>
      <c r="K3475" s="57"/>
      <c r="L3475" s="11"/>
      <c r="M3475" s="41"/>
      <c r="N3475" s="11"/>
    </row>
    <row r="3476" spans="8:14" x14ac:dyDescent="0.25">
      <c r="H3476" s="37"/>
      <c r="I3476" s="79"/>
      <c r="J3476" s="70"/>
      <c r="K3476" s="57"/>
      <c r="L3476" s="11"/>
      <c r="M3476" s="41"/>
      <c r="N3476" s="11"/>
    </row>
    <row r="3477" spans="8:14" x14ac:dyDescent="0.25">
      <c r="H3477" s="37"/>
      <c r="I3477" s="79"/>
      <c r="J3477" s="70"/>
      <c r="K3477" s="57"/>
      <c r="L3477" s="11"/>
      <c r="M3477" s="41"/>
      <c r="N3477" s="11"/>
    </row>
    <row r="3478" spans="8:14" x14ac:dyDescent="0.25">
      <c r="H3478" s="37"/>
      <c r="I3478" s="79"/>
      <c r="J3478" s="70"/>
      <c r="K3478" s="57"/>
      <c r="L3478" s="11"/>
      <c r="M3478" s="41"/>
      <c r="N3478" s="11"/>
    </row>
    <row r="3479" spans="8:14" x14ac:dyDescent="0.25">
      <c r="H3479" s="37"/>
      <c r="I3479" s="79"/>
      <c r="J3479" s="70"/>
      <c r="K3479" s="57"/>
      <c r="L3479" s="11"/>
      <c r="M3479" s="41"/>
      <c r="N3479" s="11"/>
    </row>
    <row r="3480" spans="8:14" x14ac:dyDescent="0.25">
      <c r="H3480" s="37"/>
      <c r="I3480" s="79"/>
      <c r="J3480" s="70"/>
      <c r="K3480" s="57"/>
      <c r="L3480" s="11"/>
      <c r="M3480" s="41"/>
      <c r="N3480" s="11"/>
    </row>
    <row r="3481" spans="8:14" x14ac:dyDescent="0.25">
      <c r="H3481" s="37"/>
      <c r="I3481" s="79"/>
      <c r="J3481" s="70"/>
      <c r="K3481" s="57"/>
      <c r="L3481" s="11"/>
      <c r="M3481" s="41"/>
      <c r="N3481" s="11"/>
    </row>
    <row r="3482" spans="8:14" x14ac:dyDescent="0.25">
      <c r="H3482" s="37"/>
      <c r="I3482" s="79"/>
      <c r="J3482" s="70"/>
      <c r="K3482" s="57"/>
      <c r="L3482" s="11"/>
      <c r="M3482" s="41"/>
      <c r="N3482" s="11"/>
    </row>
    <row r="3483" spans="8:14" x14ac:dyDescent="0.25">
      <c r="H3483" s="37"/>
      <c r="I3483" s="79"/>
      <c r="J3483" s="70"/>
      <c r="K3483" s="57"/>
      <c r="L3483" s="11"/>
      <c r="M3483" s="41"/>
      <c r="N3483" s="11"/>
    </row>
    <row r="3484" spans="8:14" x14ac:dyDescent="0.25">
      <c r="H3484" s="37"/>
      <c r="I3484" s="79"/>
      <c r="J3484" s="70"/>
      <c r="K3484" s="57"/>
      <c r="L3484" s="11"/>
      <c r="M3484" s="41"/>
      <c r="N3484" s="11"/>
    </row>
    <row r="3485" spans="8:14" x14ac:dyDescent="0.25">
      <c r="H3485" s="37"/>
      <c r="I3485" s="79"/>
      <c r="J3485" s="70"/>
      <c r="K3485" s="57"/>
      <c r="L3485" s="11"/>
      <c r="M3485" s="41"/>
      <c r="N3485" s="11"/>
    </row>
    <row r="3486" spans="8:14" x14ac:dyDescent="0.25">
      <c r="H3486" s="37"/>
      <c r="I3486" s="79"/>
      <c r="J3486" s="70"/>
      <c r="K3486" s="57"/>
      <c r="L3486" s="11"/>
      <c r="M3486" s="41"/>
      <c r="N3486" s="11"/>
    </row>
    <row r="3487" spans="8:14" x14ac:dyDescent="0.25">
      <c r="H3487" s="37"/>
      <c r="I3487" s="79"/>
      <c r="J3487" s="70"/>
      <c r="K3487" s="57"/>
      <c r="L3487" s="11"/>
      <c r="M3487" s="41"/>
      <c r="N3487" s="11"/>
    </row>
    <row r="3488" spans="8:14" x14ac:dyDescent="0.25">
      <c r="H3488" s="37"/>
      <c r="I3488" s="79"/>
      <c r="J3488" s="70"/>
      <c r="K3488" s="57"/>
      <c r="L3488" s="11"/>
      <c r="M3488" s="41"/>
      <c r="N3488" s="11"/>
    </row>
    <row r="3489" spans="8:14" x14ac:dyDescent="0.25">
      <c r="H3489" s="37"/>
      <c r="I3489" s="79"/>
      <c r="J3489" s="70"/>
      <c r="K3489" s="57"/>
      <c r="L3489" s="11"/>
      <c r="M3489" s="41"/>
      <c r="N3489" s="11"/>
    </row>
    <row r="3490" spans="8:14" x14ac:dyDescent="0.25">
      <c r="H3490" s="37"/>
      <c r="I3490" s="79"/>
      <c r="J3490" s="70"/>
      <c r="K3490" s="57"/>
      <c r="L3490" s="11"/>
      <c r="M3490" s="41"/>
      <c r="N3490" s="11"/>
    </row>
    <row r="3491" spans="8:14" x14ac:dyDescent="0.25">
      <c r="H3491" s="37"/>
      <c r="I3491" s="79"/>
      <c r="J3491" s="70"/>
      <c r="K3491" s="57"/>
      <c r="L3491" s="11"/>
      <c r="M3491" s="41"/>
      <c r="N3491" s="11"/>
    </row>
    <row r="3492" spans="8:14" x14ac:dyDescent="0.25">
      <c r="H3492" s="37"/>
      <c r="I3492" s="79"/>
      <c r="J3492" s="70"/>
      <c r="K3492" s="57"/>
      <c r="L3492" s="11"/>
      <c r="M3492" s="41"/>
      <c r="N3492" s="11"/>
    </row>
    <row r="3493" spans="8:14" x14ac:dyDescent="0.25">
      <c r="H3493" s="37"/>
      <c r="I3493" s="79"/>
      <c r="J3493" s="70"/>
      <c r="K3493" s="57"/>
      <c r="L3493" s="11"/>
      <c r="M3493" s="41"/>
      <c r="N3493" s="11"/>
    </row>
    <row r="3494" spans="8:14" x14ac:dyDescent="0.25">
      <c r="H3494" s="37"/>
      <c r="I3494" s="79"/>
      <c r="J3494" s="70"/>
      <c r="K3494" s="57"/>
      <c r="L3494" s="11"/>
      <c r="M3494" s="41"/>
      <c r="N3494" s="11"/>
    </row>
    <row r="3495" spans="8:14" x14ac:dyDescent="0.25">
      <c r="H3495" s="37"/>
      <c r="I3495" s="79"/>
      <c r="J3495" s="70"/>
      <c r="K3495" s="57"/>
      <c r="L3495" s="11"/>
      <c r="M3495" s="41"/>
      <c r="N3495" s="11"/>
    </row>
    <row r="3496" spans="8:14" x14ac:dyDescent="0.25">
      <c r="H3496" s="37"/>
      <c r="I3496" s="79"/>
      <c r="J3496" s="70"/>
      <c r="K3496" s="57"/>
      <c r="L3496" s="11"/>
      <c r="M3496" s="41"/>
      <c r="N3496" s="11"/>
    </row>
    <row r="3497" spans="8:14" x14ac:dyDescent="0.25">
      <c r="H3497" s="37"/>
      <c r="I3497" s="79"/>
      <c r="J3497" s="70"/>
      <c r="K3497" s="57"/>
      <c r="L3497" s="11"/>
      <c r="M3497" s="41"/>
      <c r="N3497" s="11"/>
    </row>
    <row r="3498" spans="8:14" x14ac:dyDescent="0.25">
      <c r="H3498" s="37"/>
      <c r="I3498" s="79"/>
      <c r="J3498" s="70"/>
      <c r="K3498" s="57"/>
      <c r="L3498" s="11"/>
      <c r="M3498" s="41"/>
      <c r="N3498" s="11"/>
    </row>
    <row r="3499" spans="8:14" x14ac:dyDescent="0.25">
      <c r="H3499" s="37"/>
      <c r="I3499" s="79"/>
      <c r="J3499" s="70"/>
      <c r="K3499" s="57"/>
      <c r="L3499" s="11"/>
      <c r="M3499" s="41"/>
      <c r="N3499" s="11"/>
    </row>
    <row r="3500" spans="8:14" x14ac:dyDescent="0.25">
      <c r="H3500" s="37"/>
      <c r="I3500" s="79"/>
      <c r="J3500" s="70"/>
      <c r="K3500" s="57"/>
      <c r="L3500" s="11"/>
      <c r="M3500" s="41"/>
      <c r="N3500" s="11"/>
    </row>
    <row r="3501" spans="8:14" x14ac:dyDescent="0.25">
      <c r="H3501" s="37"/>
      <c r="I3501" s="79"/>
      <c r="J3501" s="70"/>
      <c r="K3501" s="57"/>
      <c r="L3501" s="11"/>
      <c r="M3501" s="41"/>
      <c r="N3501" s="11"/>
    </row>
    <row r="3502" spans="8:14" x14ac:dyDescent="0.25">
      <c r="H3502" s="37"/>
      <c r="I3502" s="79"/>
      <c r="J3502" s="70"/>
      <c r="K3502" s="57"/>
      <c r="L3502" s="11"/>
      <c r="M3502" s="41"/>
      <c r="N3502" s="11"/>
    </row>
    <row r="3503" spans="8:14" x14ac:dyDescent="0.25">
      <c r="H3503" s="37"/>
      <c r="I3503" s="79"/>
      <c r="J3503" s="70"/>
      <c r="K3503" s="57"/>
      <c r="L3503" s="11"/>
      <c r="M3503" s="41"/>
      <c r="N3503" s="11"/>
    </row>
    <row r="3504" spans="8:14" x14ac:dyDescent="0.25">
      <c r="H3504" s="37"/>
      <c r="I3504" s="79"/>
      <c r="J3504" s="70"/>
      <c r="K3504" s="57"/>
      <c r="L3504" s="11"/>
      <c r="M3504" s="41"/>
      <c r="N3504" s="11"/>
    </row>
    <row r="3505" spans="8:14" x14ac:dyDescent="0.25">
      <c r="H3505" s="37"/>
      <c r="I3505" s="79"/>
      <c r="J3505" s="70"/>
      <c r="K3505" s="57"/>
      <c r="L3505" s="11"/>
      <c r="M3505" s="41"/>
      <c r="N3505" s="11"/>
    </row>
    <row r="3506" spans="8:14" x14ac:dyDescent="0.25">
      <c r="H3506" s="37"/>
      <c r="I3506" s="79"/>
      <c r="J3506" s="70"/>
      <c r="K3506" s="57"/>
      <c r="L3506" s="11"/>
      <c r="M3506" s="41"/>
      <c r="N3506" s="11"/>
    </row>
    <row r="3507" spans="8:14" x14ac:dyDescent="0.25">
      <c r="H3507" s="37"/>
      <c r="I3507" s="79"/>
      <c r="J3507" s="70"/>
      <c r="K3507" s="57"/>
      <c r="L3507" s="11"/>
      <c r="M3507" s="41"/>
      <c r="N3507" s="11"/>
    </row>
    <row r="3508" spans="8:14" x14ac:dyDescent="0.25">
      <c r="H3508" s="37"/>
      <c r="I3508" s="79"/>
      <c r="J3508" s="70"/>
      <c r="K3508" s="57"/>
      <c r="L3508" s="11"/>
      <c r="M3508" s="41"/>
      <c r="N3508" s="11"/>
    </row>
    <row r="3509" spans="8:14" x14ac:dyDescent="0.25">
      <c r="H3509" s="37"/>
      <c r="I3509" s="79"/>
      <c r="J3509" s="70"/>
      <c r="K3509" s="57"/>
      <c r="L3509" s="11"/>
      <c r="M3509" s="41"/>
      <c r="N3509" s="11"/>
    </row>
    <row r="3510" spans="8:14" x14ac:dyDescent="0.25">
      <c r="H3510" s="37"/>
      <c r="I3510" s="79"/>
      <c r="J3510" s="70"/>
      <c r="K3510" s="57"/>
      <c r="L3510" s="11"/>
      <c r="M3510" s="41"/>
      <c r="N3510" s="11"/>
    </row>
    <row r="3511" spans="8:14" x14ac:dyDescent="0.25">
      <c r="H3511" s="37"/>
      <c r="I3511" s="79"/>
      <c r="J3511" s="70"/>
      <c r="K3511" s="57"/>
      <c r="L3511" s="11"/>
      <c r="M3511" s="41"/>
      <c r="N3511" s="11"/>
    </row>
    <row r="3512" spans="8:14" x14ac:dyDescent="0.25">
      <c r="H3512" s="37"/>
      <c r="I3512" s="79"/>
      <c r="J3512" s="70"/>
      <c r="K3512" s="57"/>
      <c r="L3512" s="11"/>
      <c r="M3512" s="41"/>
      <c r="N3512" s="11"/>
    </row>
    <row r="3513" spans="8:14" x14ac:dyDescent="0.25">
      <c r="H3513" s="37"/>
      <c r="I3513" s="79"/>
      <c r="J3513" s="70"/>
      <c r="K3513" s="57"/>
      <c r="L3513" s="11"/>
      <c r="M3513" s="41"/>
      <c r="N3513" s="11"/>
    </row>
    <row r="3514" spans="8:14" x14ac:dyDescent="0.25">
      <c r="H3514" s="37"/>
      <c r="I3514" s="79"/>
      <c r="J3514" s="70"/>
      <c r="K3514" s="57"/>
      <c r="L3514" s="11"/>
      <c r="M3514" s="41"/>
      <c r="N3514" s="11"/>
    </row>
    <row r="3515" spans="8:14" x14ac:dyDescent="0.25">
      <c r="H3515" s="37"/>
      <c r="I3515" s="79"/>
      <c r="J3515" s="70"/>
      <c r="K3515" s="57"/>
      <c r="L3515" s="11"/>
      <c r="M3515" s="41"/>
      <c r="N3515" s="11"/>
    </row>
    <row r="3516" spans="8:14" x14ac:dyDescent="0.25">
      <c r="H3516" s="37"/>
      <c r="I3516" s="79"/>
      <c r="J3516" s="70"/>
      <c r="K3516" s="57"/>
      <c r="L3516" s="11"/>
      <c r="M3516" s="41"/>
      <c r="N3516" s="11"/>
    </row>
    <row r="3517" spans="8:14" x14ac:dyDescent="0.25">
      <c r="H3517" s="37"/>
      <c r="I3517" s="79"/>
      <c r="J3517" s="70"/>
      <c r="K3517" s="57"/>
      <c r="L3517" s="11"/>
      <c r="M3517" s="41"/>
      <c r="N3517" s="11"/>
    </row>
    <row r="3518" spans="8:14" x14ac:dyDescent="0.25">
      <c r="H3518" s="37"/>
      <c r="I3518" s="79"/>
      <c r="J3518" s="70"/>
      <c r="K3518" s="57"/>
      <c r="L3518" s="11"/>
      <c r="M3518" s="41"/>
      <c r="N3518" s="11"/>
    </row>
    <row r="3519" spans="8:14" x14ac:dyDescent="0.25">
      <c r="H3519" s="37"/>
      <c r="I3519" s="79"/>
      <c r="J3519" s="70"/>
      <c r="K3519" s="57"/>
      <c r="L3519" s="11"/>
      <c r="M3519" s="41"/>
      <c r="N3519" s="11"/>
    </row>
    <row r="3520" spans="8:14" x14ac:dyDescent="0.25">
      <c r="H3520" s="37"/>
      <c r="I3520" s="79"/>
      <c r="J3520" s="70"/>
      <c r="K3520" s="57"/>
      <c r="L3520" s="11"/>
      <c r="M3520" s="41"/>
      <c r="N3520" s="11"/>
    </row>
    <row r="3521" spans="8:14" x14ac:dyDescent="0.25">
      <c r="H3521" s="37"/>
      <c r="I3521" s="79"/>
      <c r="J3521" s="70"/>
      <c r="K3521" s="57"/>
      <c r="L3521" s="11"/>
      <c r="M3521" s="41"/>
      <c r="N3521" s="11"/>
    </row>
    <row r="3522" spans="8:14" x14ac:dyDescent="0.25">
      <c r="H3522" s="37"/>
      <c r="I3522" s="79"/>
      <c r="J3522" s="70"/>
      <c r="K3522" s="57"/>
      <c r="L3522" s="11"/>
      <c r="M3522" s="41"/>
      <c r="N3522" s="11"/>
    </row>
    <row r="3523" spans="8:14" x14ac:dyDescent="0.25">
      <c r="H3523" s="37"/>
      <c r="I3523" s="79"/>
      <c r="J3523" s="70"/>
      <c r="K3523" s="57"/>
      <c r="L3523" s="11"/>
      <c r="M3523" s="41"/>
      <c r="N3523" s="11"/>
    </row>
    <row r="3524" spans="8:14" x14ac:dyDescent="0.25">
      <c r="H3524" s="37"/>
      <c r="I3524" s="79"/>
      <c r="J3524" s="70"/>
      <c r="K3524" s="57"/>
      <c r="L3524" s="11"/>
      <c r="M3524" s="41"/>
      <c r="N3524" s="11"/>
    </row>
    <row r="3525" spans="8:14" x14ac:dyDescent="0.25">
      <c r="H3525" s="37"/>
      <c r="I3525" s="79"/>
      <c r="J3525" s="70"/>
      <c r="K3525" s="57"/>
      <c r="L3525" s="11"/>
      <c r="M3525" s="41"/>
      <c r="N3525" s="11"/>
    </row>
    <row r="3526" spans="8:14" x14ac:dyDescent="0.25">
      <c r="H3526" s="37"/>
      <c r="I3526" s="79"/>
      <c r="J3526" s="70"/>
      <c r="K3526" s="57"/>
      <c r="L3526" s="11"/>
      <c r="M3526" s="41"/>
      <c r="N3526" s="11"/>
    </row>
    <row r="3527" spans="8:14" x14ac:dyDescent="0.25">
      <c r="H3527" s="37"/>
      <c r="I3527" s="79"/>
      <c r="J3527" s="70"/>
      <c r="K3527" s="57"/>
      <c r="L3527" s="11"/>
      <c r="M3527" s="41"/>
      <c r="N3527" s="11"/>
    </row>
    <row r="3528" spans="8:14" x14ac:dyDescent="0.25">
      <c r="H3528" s="37"/>
      <c r="I3528" s="79"/>
      <c r="J3528" s="70"/>
      <c r="K3528" s="57"/>
      <c r="L3528" s="11"/>
      <c r="M3528" s="41"/>
      <c r="N3528" s="11"/>
    </row>
    <row r="3529" spans="8:14" x14ac:dyDescent="0.25">
      <c r="H3529" s="37"/>
      <c r="I3529" s="79"/>
      <c r="J3529" s="70"/>
      <c r="K3529" s="57"/>
      <c r="L3529" s="11"/>
      <c r="M3529" s="41"/>
      <c r="N3529" s="11"/>
    </row>
    <row r="3530" spans="8:14" x14ac:dyDescent="0.25">
      <c r="H3530" s="37"/>
      <c r="I3530" s="79"/>
      <c r="J3530" s="70"/>
      <c r="K3530" s="57"/>
      <c r="L3530" s="11"/>
      <c r="M3530" s="41"/>
      <c r="N3530" s="11"/>
    </row>
    <row r="3531" spans="8:14" x14ac:dyDescent="0.25">
      <c r="H3531" s="37"/>
      <c r="I3531" s="79"/>
      <c r="J3531" s="70"/>
      <c r="K3531" s="57"/>
      <c r="L3531" s="11"/>
      <c r="M3531" s="41"/>
      <c r="N3531" s="11"/>
    </row>
    <row r="3532" spans="8:14" x14ac:dyDescent="0.25">
      <c r="H3532" s="37"/>
      <c r="I3532" s="79"/>
      <c r="J3532" s="70"/>
      <c r="K3532" s="57"/>
      <c r="L3532" s="11"/>
      <c r="M3532" s="41"/>
      <c r="N3532" s="11"/>
    </row>
    <row r="3533" spans="8:14" x14ac:dyDescent="0.25">
      <c r="H3533" s="37"/>
      <c r="I3533" s="79"/>
      <c r="J3533" s="70"/>
      <c r="K3533" s="57"/>
      <c r="L3533" s="11"/>
      <c r="M3533" s="41"/>
      <c r="N3533" s="11"/>
    </row>
    <row r="3534" spans="8:14" x14ac:dyDescent="0.25">
      <c r="H3534" s="37"/>
      <c r="I3534" s="79"/>
      <c r="J3534" s="70"/>
      <c r="K3534" s="57"/>
      <c r="L3534" s="11"/>
      <c r="M3534" s="41"/>
      <c r="N3534" s="11"/>
    </row>
    <row r="3535" spans="8:14" x14ac:dyDescent="0.25">
      <c r="H3535" s="37"/>
      <c r="I3535" s="79"/>
      <c r="J3535" s="70"/>
      <c r="K3535" s="57"/>
      <c r="L3535" s="11"/>
      <c r="M3535" s="41"/>
      <c r="N3535" s="11"/>
    </row>
    <row r="3536" spans="8:14" x14ac:dyDescent="0.25">
      <c r="H3536" s="37"/>
      <c r="I3536" s="79"/>
      <c r="J3536" s="70"/>
      <c r="K3536" s="57"/>
      <c r="L3536" s="11"/>
      <c r="M3536" s="41"/>
      <c r="N3536" s="11"/>
    </row>
    <row r="3537" spans="8:14" x14ac:dyDescent="0.25">
      <c r="H3537" s="37"/>
      <c r="I3537" s="79"/>
      <c r="J3537" s="70"/>
      <c r="K3537" s="57"/>
      <c r="L3537" s="11"/>
      <c r="M3537" s="41"/>
      <c r="N3537" s="11"/>
    </row>
    <row r="3538" spans="8:14" x14ac:dyDescent="0.25">
      <c r="H3538" s="37"/>
      <c r="I3538" s="79"/>
      <c r="J3538" s="70"/>
      <c r="K3538" s="57"/>
      <c r="L3538" s="11"/>
      <c r="M3538" s="41"/>
      <c r="N3538" s="11"/>
    </row>
    <row r="3539" spans="8:14" x14ac:dyDescent="0.25">
      <c r="H3539" s="37"/>
      <c r="I3539" s="79"/>
      <c r="J3539" s="70"/>
      <c r="K3539" s="57"/>
      <c r="L3539" s="11"/>
      <c r="M3539" s="41"/>
      <c r="N3539" s="11"/>
    </row>
    <row r="3540" spans="8:14" x14ac:dyDescent="0.25">
      <c r="H3540" s="37"/>
      <c r="I3540" s="79"/>
      <c r="J3540" s="70"/>
      <c r="K3540" s="57"/>
      <c r="L3540" s="11"/>
      <c r="M3540" s="41"/>
      <c r="N3540" s="11"/>
    </row>
    <row r="3541" spans="8:14" x14ac:dyDescent="0.25">
      <c r="H3541" s="37"/>
      <c r="I3541" s="79"/>
      <c r="J3541" s="70"/>
      <c r="K3541" s="57"/>
      <c r="L3541" s="11"/>
      <c r="M3541" s="41"/>
      <c r="N3541" s="11"/>
    </row>
    <row r="3542" spans="8:14" x14ac:dyDescent="0.25">
      <c r="H3542" s="37"/>
      <c r="I3542" s="79"/>
      <c r="J3542" s="70"/>
      <c r="K3542" s="57"/>
      <c r="L3542" s="11"/>
      <c r="M3542" s="41"/>
      <c r="N3542" s="11"/>
    </row>
    <row r="3543" spans="8:14" x14ac:dyDescent="0.25">
      <c r="H3543" s="37"/>
      <c r="I3543" s="79"/>
      <c r="J3543" s="70"/>
      <c r="K3543" s="57"/>
      <c r="L3543" s="11"/>
      <c r="M3543" s="41"/>
      <c r="N3543" s="11"/>
    </row>
    <row r="3544" spans="8:14" x14ac:dyDescent="0.25">
      <c r="H3544" s="37"/>
      <c r="I3544" s="79"/>
      <c r="J3544" s="70"/>
      <c r="K3544" s="57"/>
      <c r="L3544" s="11"/>
      <c r="M3544" s="41"/>
      <c r="N3544" s="11"/>
    </row>
    <row r="3545" spans="8:14" x14ac:dyDescent="0.25">
      <c r="H3545" s="37"/>
      <c r="I3545" s="79"/>
      <c r="J3545" s="70"/>
      <c r="K3545" s="57"/>
      <c r="L3545" s="11"/>
      <c r="M3545" s="41"/>
      <c r="N3545" s="11"/>
    </row>
    <row r="3546" spans="8:14" x14ac:dyDescent="0.25">
      <c r="H3546" s="37"/>
      <c r="I3546" s="79"/>
      <c r="J3546" s="70"/>
      <c r="K3546" s="57"/>
      <c r="L3546" s="11"/>
      <c r="M3546" s="41"/>
      <c r="N3546" s="11"/>
    </row>
    <row r="3547" spans="8:14" x14ac:dyDescent="0.25">
      <c r="H3547" s="37"/>
      <c r="I3547" s="79"/>
      <c r="J3547" s="70"/>
      <c r="K3547" s="57"/>
      <c r="L3547" s="11"/>
      <c r="M3547" s="41"/>
      <c r="N3547" s="11"/>
    </row>
    <row r="3548" spans="8:14" x14ac:dyDescent="0.25">
      <c r="H3548" s="37"/>
      <c r="I3548" s="79"/>
      <c r="J3548" s="70"/>
      <c r="K3548" s="57"/>
      <c r="L3548" s="11"/>
      <c r="M3548" s="41"/>
      <c r="N3548" s="11"/>
    </row>
    <row r="3549" spans="8:14" x14ac:dyDescent="0.25">
      <c r="H3549" s="37"/>
      <c r="I3549" s="79"/>
      <c r="J3549" s="70"/>
      <c r="K3549" s="57"/>
      <c r="L3549" s="11"/>
      <c r="M3549" s="41"/>
      <c r="N3549" s="11"/>
    </row>
    <row r="3550" spans="8:14" x14ac:dyDescent="0.25">
      <c r="H3550" s="37"/>
      <c r="I3550" s="79"/>
      <c r="J3550" s="70"/>
      <c r="K3550" s="57"/>
      <c r="L3550" s="11"/>
      <c r="M3550" s="41"/>
      <c r="N3550" s="11"/>
    </row>
    <row r="3551" spans="8:14" x14ac:dyDescent="0.25">
      <c r="H3551" s="37"/>
      <c r="I3551" s="79"/>
      <c r="J3551" s="70"/>
      <c r="K3551" s="57"/>
      <c r="L3551" s="11"/>
      <c r="M3551" s="41"/>
      <c r="N3551" s="11"/>
    </row>
    <row r="3552" spans="8:14" x14ac:dyDescent="0.25">
      <c r="H3552" s="37"/>
      <c r="I3552" s="79"/>
      <c r="J3552" s="70"/>
      <c r="K3552" s="57"/>
      <c r="L3552" s="11"/>
      <c r="M3552" s="41"/>
      <c r="N3552" s="11"/>
    </row>
    <row r="3553" spans="8:14" x14ac:dyDescent="0.25">
      <c r="H3553" s="37"/>
      <c r="I3553" s="79"/>
      <c r="J3553" s="70"/>
      <c r="K3553" s="57"/>
      <c r="L3553" s="11"/>
      <c r="M3553" s="41"/>
      <c r="N3553" s="11"/>
    </row>
    <row r="3554" spans="8:14" x14ac:dyDescent="0.25">
      <c r="H3554" s="37"/>
      <c r="I3554" s="79"/>
      <c r="J3554" s="70"/>
      <c r="K3554" s="57"/>
      <c r="L3554" s="11"/>
      <c r="M3554" s="41"/>
      <c r="N3554" s="11"/>
    </row>
    <row r="3555" spans="8:14" x14ac:dyDescent="0.25">
      <c r="H3555" s="37"/>
      <c r="I3555" s="79"/>
      <c r="J3555" s="70"/>
      <c r="K3555" s="57"/>
      <c r="L3555" s="11"/>
      <c r="M3555" s="41"/>
      <c r="N3555" s="11"/>
    </row>
    <row r="3556" spans="8:14" x14ac:dyDescent="0.25">
      <c r="H3556" s="37"/>
      <c r="I3556" s="79"/>
      <c r="J3556" s="70"/>
      <c r="K3556" s="57"/>
      <c r="L3556" s="11"/>
      <c r="M3556" s="41"/>
      <c r="N3556" s="11"/>
    </row>
    <row r="3557" spans="8:14" x14ac:dyDescent="0.25">
      <c r="H3557" s="37"/>
      <c r="I3557" s="79"/>
      <c r="J3557" s="70"/>
      <c r="K3557" s="57"/>
      <c r="L3557" s="11"/>
      <c r="M3557" s="41"/>
      <c r="N3557" s="11"/>
    </row>
    <row r="3558" spans="8:14" x14ac:dyDescent="0.25">
      <c r="H3558" s="37"/>
      <c r="I3558" s="79"/>
      <c r="J3558" s="70"/>
      <c r="K3558" s="57"/>
      <c r="L3558" s="11"/>
      <c r="M3558" s="41"/>
      <c r="N3558" s="11"/>
    </row>
    <row r="3559" spans="8:14" x14ac:dyDescent="0.25">
      <c r="H3559" s="37"/>
      <c r="I3559" s="79"/>
      <c r="J3559" s="70"/>
      <c r="K3559" s="57"/>
      <c r="L3559" s="11"/>
      <c r="M3559" s="41"/>
      <c r="N3559" s="11"/>
    </row>
    <row r="3560" spans="8:14" x14ac:dyDescent="0.25">
      <c r="H3560" s="37"/>
      <c r="I3560" s="79"/>
      <c r="J3560" s="70"/>
      <c r="K3560" s="57"/>
      <c r="L3560" s="11"/>
      <c r="M3560" s="41"/>
      <c r="N3560" s="11"/>
    </row>
    <row r="3561" spans="8:14" x14ac:dyDescent="0.25">
      <c r="H3561" s="37"/>
      <c r="I3561" s="79"/>
      <c r="J3561" s="70"/>
      <c r="K3561" s="57"/>
      <c r="L3561" s="11"/>
      <c r="M3561" s="41"/>
      <c r="N3561" s="11"/>
    </row>
    <row r="3562" spans="8:14" x14ac:dyDescent="0.25">
      <c r="H3562" s="37"/>
      <c r="I3562" s="79"/>
      <c r="J3562" s="70"/>
      <c r="K3562" s="57"/>
      <c r="L3562" s="11"/>
      <c r="M3562" s="41"/>
      <c r="N3562" s="11"/>
    </row>
    <row r="3563" spans="8:14" x14ac:dyDescent="0.25">
      <c r="H3563" s="37"/>
      <c r="I3563" s="79"/>
      <c r="J3563" s="70"/>
      <c r="K3563" s="57"/>
      <c r="L3563" s="11"/>
      <c r="M3563" s="41"/>
      <c r="N3563" s="11"/>
    </row>
    <row r="3564" spans="8:14" x14ac:dyDescent="0.25">
      <c r="H3564" s="37"/>
      <c r="I3564" s="79"/>
      <c r="J3564" s="70"/>
      <c r="K3564" s="57"/>
      <c r="L3564" s="11"/>
      <c r="M3564" s="41"/>
      <c r="N3564" s="11"/>
    </row>
    <row r="3565" spans="8:14" x14ac:dyDescent="0.25">
      <c r="H3565" s="37"/>
      <c r="I3565" s="79"/>
      <c r="J3565" s="70"/>
      <c r="K3565" s="57"/>
      <c r="L3565" s="11"/>
      <c r="M3565" s="41"/>
      <c r="N3565" s="11"/>
    </row>
    <row r="3566" spans="8:14" x14ac:dyDescent="0.25">
      <c r="H3566" s="37"/>
      <c r="I3566" s="79"/>
      <c r="J3566" s="70"/>
      <c r="K3566" s="57"/>
      <c r="L3566" s="11"/>
      <c r="M3566" s="41"/>
      <c r="N3566" s="11"/>
    </row>
    <row r="3567" spans="8:14" x14ac:dyDescent="0.25">
      <c r="H3567" s="37"/>
      <c r="I3567" s="79"/>
      <c r="J3567" s="70"/>
      <c r="K3567" s="57"/>
      <c r="L3567" s="11"/>
      <c r="M3567" s="41"/>
      <c r="N3567" s="11"/>
    </row>
    <row r="3568" spans="8:14" x14ac:dyDescent="0.25">
      <c r="H3568" s="37"/>
      <c r="I3568" s="79"/>
      <c r="J3568" s="70"/>
      <c r="K3568" s="57"/>
      <c r="L3568" s="11"/>
      <c r="M3568" s="41"/>
      <c r="N3568" s="11"/>
    </row>
    <row r="3569" spans="8:14" x14ac:dyDescent="0.25">
      <c r="H3569" s="37"/>
      <c r="I3569" s="79"/>
      <c r="J3569" s="70"/>
      <c r="K3569" s="57"/>
      <c r="L3569" s="11"/>
      <c r="M3569" s="41"/>
      <c r="N3569" s="11"/>
    </row>
    <row r="3570" spans="8:14" x14ac:dyDescent="0.25">
      <c r="H3570" s="37"/>
      <c r="I3570" s="79"/>
      <c r="J3570" s="70"/>
      <c r="K3570" s="57"/>
      <c r="L3570" s="11"/>
      <c r="M3570" s="41"/>
      <c r="N3570" s="11"/>
    </row>
    <row r="3571" spans="8:14" x14ac:dyDescent="0.25">
      <c r="H3571" s="37"/>
      <c r="I3571" s="79"/>
      <c r="J3571" s="70"/>
      <c r="K3571" s="57"/>
      <c r="L3571" s="11"/>
      <c r="M3571" s="41"/>
      <c r="N3571" s="11"/>
    </row>
    <row r="3572" spans="8:14" x14ac:dyDescent="0.25">
      <c r="H3572" s="37"/>
      <c r="I3572" s="79"/>
      <c r="J3572" s="70"/>
      <c r="K3572" s="57"/>
      <c r="L3572" s="11"/>
      <c r="M3572" s="41"/>
      <c r="N3572" s="11"/>
    </row>
    <row r="3573" spans="8:14" x14ac:dyDescent="0.25">
      <c r="H3573" s="37"/>
      <c r="I3573" s="79"/>
      <c r="J3573" s="70"/>
      <c r="K3573" s="57"/>
      <c r="L3573" s="11"/>
      <c r="M3573" s="41"/>
      <c r="N3573" s="11"/>
    </row>
    <row r="3574" spans="8:14" x14ac:dyDescent="0.25">
      <c r="H3574" s="37"/>
      <c r="I3574" s="79"/>
      <c r="J3574" s="70"/>
      <c r="K3574" s="57"/>
      <c r="L3574" s="11"/>
      <c r="M3574" s="41"/>
      <c r="N3574" s="11"/>
    </row>
    <row r="3575" spans="8:14" x14ac:dyDescent="0.25">
      <c r="H3575" s="37"/>
      <c r="I3575" s="79"/>
      <c r="J3575" s="70"/>
      <c r="K3575" s="57"/>
      <c r="L3575" s="11"/>
      <c r="M3575" s="41"/>
      <c r="N3575" s="11"/>
    </row>
    <row r="3576" spans="8:14" x14ac:dyDescent="0.25">
      <c r="H3576" s="37"/>
      <c r="I3576" s="79"/>
      <c r="J3576" s="70"/>
      <c r="K3576" s="57"/>
      <c r="L3576" s="11"/>
      <c r="M3576" s="41"/>
      <c r="N3576" s="11"/>
    </row>
    <row r="3577" spans="8:14" x14ac:dyDescent="0.25">
      <c r="H3577" s="37"/>
      <c r="I3577" s="79"/>
      <c r="J3577" s="70"/>
      <c r="K3577" s="57"/>
      <c r="L3577" s="11"/>
      <c r="M3577" s="41"/>
      <c r="N3577" s="11"/>
    </row>
    <row r="3578" spans="8:14" x14ac:dyDescent="0.25">
      <c r="H3578" s="37"/>
      <c r="I3578" s="79"/>
      <c r="J3578" s="70"/>
      <c r="K3578" s="57"/>
      <c r="L3578" s="11"/>
      <c r="M3578" s="41"/>
      <c r="N3578" s="11"/>
    </row>
    <row r="3579" spans="8:14" x14ac:dyDescent="0.25">
      <c r="H3579" s="37"/>
      <c r="I3579" s="79"/>
      <c r="J3579" s="70"/>
      <c r="K3579" s="57"/>
      <c r="L3579" s="11"/>
      <c r="M3579" s="41"/>
      <c r="N3579" s="11"/>
    </row>
    <row r="3580" spans="8:14" x14ac:dyDescent="0.25">
      <c r="H3580" s="37"/>
      <c r="I3580" s="79"/>
      <c r="J3580" s="70"/>
      <c r="K3580" s="57"/>
      <c r="L3580" s="11"/>
      <c r="M3580" s="41"/>
      <c r="N3580" s="11"/>
    </row>
    <row r="3581" spans="8:14" x14ac:dyDescent="0.25">
      <c r="H3581" s="37"/>
      <c r="I3581" s="79"/>
      <c r="J3581" s="70"/>
      <c r="K3581" s="57"/>
      <c r="L3581" s="11"/>
      <c r="M3581" s="41"/>
      <c r="N3581" s="11"/>
    </row>
    <row r="3582" spans="8:14" x14ac:dyDescent="0.25">
      <c r="H3582" s="37"/>
      <c r="I3582" s="79"/>
      <c r="J3582" s="70"/>
      <c r="K3582" s="57"/>
      <c r="L3582" s="11"/>
      <c r="M3582" s="41"/>
      <c r="N3582" s="11"/>
    </row>
    <row r="3583" spans="8:14" x14ac:dyDescent="0.25">
      <c r="H3583" s="37"/>
      <c r="I3583" s="79"/>
      <c r="J3583" s="70"/>
      <c r="K3583" s="57"/>
      <c r="L3583" s="11"/>
      <c r="M3583" s="41"/>
      <c r="N3583" s="11"/>
    </row>
    <row r="3584" spans="8:14" x14ac:dyDescent="0.25">
      <c r="H3584" s="37"/>
      <c r="I3584" s="79"/>
      <c r="J3584" s="70"/>
      <c r="K3584" s="57"/>
      <c r="L3584" s="11"/>
      <c r="M3584" s="41"/>
      <c r="N3584" s="11"/>
    </row>
    <row r="3585" spans="8:14" x14ac:dyDescent="0.25">
      <c r="H3585" s="37"/>
      <c r="I3585" s="79"/>
      <c r="J3585" s="70"/>
      <c r="K3585" s="57"/>
      <c r="L3585" s="11"/>
      <c r="M3585" s="41"/>
      <c r="N3585" s="11"/>
    </row>
    <row r="3586" spans="8:14" x14ac:dyDescent="0.25">
      <c r="H3586" s="37"/>
      <c r="I3586" s="79"/>
      <c r="J3586" s="70"/>
      <c r="K3586" s="57"/>
      <c r="L3586" s="11"/>
      <c r="M3586" s="41"/>
      <c r="N3586" s="11"/>
    </row>
    <row r="3587" spans="8:14" x14ac:dyDescent="0.25">
      <c r="H3587" s="37"/>
      <c r="I3587" s="79"/>
      <c r="J3587" s="70"/>
      <c r="K3587" s="57"/>
      <c r="L3587" s="11"/>
      <c r="M3587" s="41"/>
      <c r="N3587" s="11"/>
    </row>
    <row r="3588" spans="8:14" x14ac:dyDescent="0.25">
      <c r="H3588" s="37"/>
      <c r="I3588" s="79"/>
      <c r="J3588" s="70"/>
      <c r="K3588" s="57"/>
      <c r="L3588" s="11"/>
      <c r="M3588" s="41"/>
      <c r="N3588" s="11"/>
    </row>
    <row r="3589" spans="8:14" x14ac:dyDescent="0.25">
      <c r="H3589" s="37"/>
      <c r="I3589" s="79"/>
      <c r="J3589" s="70"/>
      <c r="K3589" s="57"/>
      <c r="L3589" s="11"/>
      <c r="M3589" s="41"/>
      <c r="N3589" s="11"/>
    </row>
    <row r="3590" spans="8:14" x14ac:dyDescent="0.25">
      <c r="H3590" s="37"/>
      <c r="I3590" s="79"/>
      <c r="J3590" s="70"/>
      <c r="K3590" s="57"/>
      <c r="L3590" s="11"/>
      <c r="M3590" s="41"/>
      <c r="N3590" s="11"/>
    </row>
    <row r="3591" spans="8:14" x14ac:dyDescent="0.25">
      <c r="H3591" s="37"/>
      <c r="I3591" s="79"/>
      <c r="J3591" s="70"/>
      <c r="K3591" s="57"/>
      <c r="L3591" s="11"/>
      <c r="M3591" s="41"/>
      <c r="N3591" s="11"/>
    </row>
    <row r="3592" spans="8:14" x14ac:dyDescent="0.25">
      <c r="H3592" s="37"/>
      <c r="I3592" s="79"/>
      <c r="J3592" s="70"/>
      <c r="K3592" s="57"/>
      <c r="L3592" s="11"/>
      <c r="M3592" s="41"/>
      <c r="N3592" s="11"/>
    </row>
    <row r="3593" spans="8:14" x14ac:dyDescent="0.25">
      <c r="H3593" s="37"/>
      <c r="I3593" s="79"/>
      <c r="J3593" s="70"/>
      <c r="K3593" s="57"/>
      <c r="L3593" s="11"/>
      <c r="M3593" s="41"/>
      <c r="N3593" s="11"/>
    </row>
    <row r="3594" spans="8:14" x14ac:dyDescent="0.25">
      <c r="H3594" s="37"/>
      <c r="I3594" s="79"/>
      <c r="J3594" s="70"/>
      <c r="K3594" s="57"/>
      <c r="L3594" s="11"/>
      <c r="M3594" s="41"/>
      <c r="N3594" s="11"/>
    </row>
    <row r="3595" spans="8:14" x14ac:dyDescent="0.25">
      <c r="H3595" s="37"/>
      <c r="I3595" s="79"/>
      <c r="J3595" s="70"/>
      <c r="K3595" s="57"/>
      <c r="L3595" s="11"/>
      <c r="M3595" s="41"/>
      <c r="N3595" s="11"/>
    </row>
    <row r="3596" spans="8:14" x14ac:dyDescent="0.25">
      <c r="H3596" s="37"/>
      <c r="I3596" s="79"/>
      <c r="J3596" s="70"/>
      <c r="K3596" s="57"/>
      <c r="L3596" s="11"/>
      <c r="M3596" s="41"/>
      <c r="N3596" s="11"/>
    </row>
    <row r="3597" spans="8:14" x14ac:dyDescent="0.25">
      <c r="H3597" s="37"/>
      <c r="I3597" s="79"/>
      <c r="J3597" s="70"/>
      <c r="K3597" s="57"/>
      <c r="L3597" s="11"/>
      <c r="M3597" s="41"/>
      <c r="N3597" s="11"/>
    </row>
    <row r="3598" spans="8:14" x14ac:dyDescent="0.25">
      <c r="H3598" s="37"/>
      <c r="I3598" s="79"/>
      <c r="J3598" s="70"/>
      <c r="K3598" s="57"/>
      <c r="L3598" s="11"/>
      <c r="M3598" s="41"/>
      <c r="N3598" s="11"/>
    </row>
    <row r="3599" spans="8:14" x14ac:dyDescent="0.25">
      <c r="H3599" s="37"/>
      <c r="I3599" s="79"/>
      <c r="J3599" s="70"/>
      <c r="K3599" s="57"/>
      <c r="L3599" s="11"/>
      <c r="M3599" s="41"/>
      <c r="N3599" s="11"/>
    </row>
    <row r="3600" spans="8:14" x14ac:dyDescent="0.25">
      <c r="H3600" s="37"/>
      <c r="I3600" s="79"/>
      <c r="J3600" s="70"/>
      <c r="K3600" s="57"/>
      <c r="L3600" s="11"/>
      <c r="M3600" s="41"/>
      <c r="N3600" s="11"/>
    </row>
    <row r="3601" spans="8:14" x14ac:dyDescent="0.25">
      <c r="H3601" s="37"/>
      <c r="I3601" s="79"/>
      <c r="J3601" s="70"/>
      <c r="K3601" s="57"/>
      <c r="L3601" s="11"/>
      <c r="M3601" s="41"/>
      <c r="N3601" s="11"/>
    </row>
    <row r="3602" spans="8:14" x14ac:dyDescent="0.25">
      <c r="H3602" s="37"/>
      <c r="I3602" s="79"/>
      <c r="J3602" s="70"/>
      <c r="K3602" s="57"/>
      <c r="L3602" s="11"/>
      <c r="M3602" s="41"/>
      <c r="N3602" s="11"/>
    </row>
    <row r="3603" spans="8:14" x14ac:dyDescent="0.25">
      <c r="H3603" s="37"/>
      <c r="I3603" s="79"/>
      <c r="J3603" s="70"/>
      <c r="K3603" s="57"/>
      <c r="L3603" s="11"/>
      <c r="M3603" s="41"/>
      <c r="N3603" s="11"/>
    </row>
    <row r="3604" spans="8:14" x14ac:dyDescent="0.25">
      <c r="H3604" s="37"/>
      <c r="I3604" s="79"/>
      <c r="J3604" s="70"/>
      <c r="K3604" s="57"/>
      <c r="L3604" s="11"/>
      <c r="M3604" s="41"/>
      <c r="N3604" s="11"/>
    </row>
    <row r="3605" spans="8:14" x14ac:dyDescent="0.25">
      <c r="H3605" s="37"/>
      <c r="I3605" s="79"/>
      <c r="J3605" s="70"/>
      <c r="K3605" s="57"/>
      <c r="L3605" s="11"/>
      <c r="M3605" s="41"/>
      <c r="N3605" s="11"/>
    </row>
    <row r="3606" spans="8:14" x14ac:dyDescent="0.25">
      <c r="H3606" s="37"/>
      <c r="I3606" s="79"/>
      <c r="J3606" s="70"/>
      <c r="K3606" s="57"/>
      <c r="L3606" s="11"/>
      <c r="M3606" s="41"/>
      <c r="N3606" s="11"/>
    </row>
    <row r="3607" spans="8:14" x14ac:dyDescent="0.25">
      <c r="H3607" s="37"/>
      <c r="I3607" s="79"/>
      <c r="J3607" s="70"/>
      <c r="K3607" s="57"/>
      <c r="L3607" s="11"/>
      <c r="M3607" s="41"/>
      <c r="N3607" s="11"/>
    </row>
    <row r="3608" spans="8:14" x14ac:dyDescent="0.25">
      <c r="H3608" s="37"/>
      <c r="I3608" s="79"/>
      <c r="J3608" s="70"/>
      <c r="K3608" s="57"/>
      <c r="L3608" s="11"/>
      <c r="M3608" s="41"/>
      <c r="N3608" s="11"/>
    </row>
    <row r="3609" spans="8:14" x14ac:dyDescent="0.25">
      <c r="H3609" s="37"/>
      <c r="I3609" s="79"/>
      <c r="J3609" s="70"/>
      <c r="K3609" s="57"/>
      <c r="L3609" s="11"/>
      <c r="M3609" s="41"/>
      <c r="N3609" s="11"/>
    </row>
    <row r="3610" spans="8:14" x14ac:dyDescent="0.25">
      <c r="H3610" s="37"/>
      <c r="I3610" s="79"/>
      <c r="J3610" s="70"/>
      <c r="K3610" s="57"/>
      <c r="L3610" s="11"/>
      <c r="M3610" s="41"/>
      <c r="N3610" s="11"/>
    </row>
    <row r="3611" spans="8:14" x14ac:dyDescent="0.25">
      <c r="H3611" s="37"/>
      <c r="I3611" s="79"/>
      <c r="J3611" s="70"/>
      <c r="K3611" s="57"/>
      <c r="L3611" s="11"/>
      <c r="M3611" s="41"/>
      <c r="N3611" s="11"/>
    </row>
    <row r="3612" spans="8:14" x14ac:dyDescent="0.25">
      <c r="H3612" s="37"/>
      <c r="I3612" s="79"/>
      <c r="J3612" s="70"/>
      <c r="K3612" s="57"/>
      <c r="L3612" s="11"/>
      <c r="M3612" s="41"/>
      <c r="N3612" s="11"/>
    </row>
    <row r="3613" spans="8:14" x14ac:dyDescent="0.25">
      <c r="H3613" s="37"/>
      <c r="I3613" s="79"/>
      <c r="J3613" s="70"/>
      <c r="K3613" s="57"/>
      <c r="L3613" s="11"/>
      <c r="M3613" s="41"/>
      <c r="N3613" s="11"/>
    </row>
    <row r="3614" spans="8:14" x14ac:dyDescent="0.25">
      <c r="H3614" s="37"/>
      <c r="I3614" s="79"/>
      <c r="J3614" s="70"/>
      <c r="K3614" s="57"/>
      <c r="L3614" s="11"/>
      <c r="M3614" s="41"/>
      <c r="N3614" s="11"/>
    </row>
    <row r="3615" spans="8:14" x14ac:dyDescent="0.25">
      <c r="H3615" s="37"/>
      <c r="I3615" s="79"/>
      <c r="J3615" s="70"/>
      <c r="K3615" s="57"/>
      <c r="L3615" s="11"/>
      <c r="M3615" s="41"/>
      <c r="N3615" s="11"/>
    </row>
    <row r="3616" spans="8:14" x14ac:dyDescent="0.25">
      <c r="H3616" s="37"/>
      <c r="I3616" s="79"/>
      <c r="J3616" s="70"/>
      <c r="K3616" s="57"/>
      <c r="L3616" s="11"/>
      <c r="M3616" s="41"/>
      <c r="N3616" s="11"/>
    </row>
    <row r="3617" spans="8:14" x14ac:dyDescent="0.25">
      <c r="H3617" s="37"/>
      <c r="I3617" s="79"/>
      <c r="J3617" s="70"/>
      <c r="K3617" s="57"/>
      <c r="L3617" s="11"/>
      <c r="M3617" s="41"/>
      <c r="N3617" s="11"/>
    </row>
    <row r="3618" spans="8:14" x14ac:dyDescent="0.25">
      <c r="H3618" s="37"/>
      <c r="I3618" s="79"/>
      <c r="J3618" s="70"/>
      <c r="K3618" s="57"/>
      <c r="L3618" s="11"/>
      <c r="M3618" s="41"/>
      <c r="N3618" s="11"/>
    </row>
    <row r="3619" spans="8:14" x14ac:dyDescent="0.25">
      <c r="H3619" s="37"/>
      <c r="I3619" s="79"/>
      <c r="J3619" s="70"/>
      <c r="K3619" s="57"/>
      <c r="L3619" s="11"/>
      <c r="M3619" s="41"/>
      <c r="N3619" s="11"/>
    </row>
    <row r="3620" spans="8:14" x14ac:dyDescent="0.25">
      <c r="H3620" s="37"/>
      <c r="I3620" s="79"/>
      <c r="J3620" s="70"/>
      <c r="K3620" s="57"/>
      <c r="L3620" s="11"/>
      <c r="M3620" s="41"/>
      <c r="N3620" s="11"/>
    </row>
    <row r="3621" spans="8:14" x14ac:dyDescent="0.25">
      <c r="H3621" s="37"/>
      <c r="I3621" s="79"/>
      <c r="J3621" s="70"/>
      <c r="K3621" s="57"/>
      <c r="L3621" s="11"/>
      <c r="M3621" s="41"/>
      <c r="N3621" s="11"/>
    </row>
    <row r="3622" spans="8:14" x14ac:dyDescent="0.25">
      <c r="H3622" s="37"/>
      <c r="I3622" s="79"/>
      <c r="J3622" s="70"/>
      <c r="K3622" s="57"/>
      <c r="L3622" s="11"/>
      <c r="M3622" s="41"/>
      <c r="N3622" s="11"/>
    </row>
    <row r="3623" spans="8:14" x14ac:dyDescent="0.25">
      <c r="H3623" s="37"/>
      <c r="I3623" s="79"/>
      <c r="J3623" s="70"/>
      <c r="K3623" s="57"/>
      <c r="L3623" s="11"/>
      <c r="M3623" s="41"/>
      <c r="N3623" s="11"/>
    </row>
    <row r="3624" spans="8:14" x14ac:dyDescent="0.25">
      <c r="H3624" s="37"/>
      <c r="I3624" s="79"/>
      <c r="J3624" s="70"/>
      <c r="K3624" s="57"/>
      <c r="L3624" s="11"/>
      <c r="M3624" s="41"/>
      <c r="N3624" s="11"/>
    </row>
    <row r="3625" spans="8:14" x14ac:dyDescent="0.25">
      <c r="H3625" s="37"/>
      <c r="I3625" s="79"/>
      <c r="J3625" s="70"/>
      <c r="K3625" s="57"/>
      <c r="L3625" s="11"/>
      <c r="M3625" s="41"/>
      <c r="N3625" s="11"/>
    </row>
    <row r="3626" spans="8:14" x14ac:dyDescent="0.25">
      <c r="H3626" s="37"/>
      <c r="I3626" s="79"/>
      <c r="J3626" s="70"/>
      <c r="K3626" s="57"/>
      <c r="L3626" s="11"/>
      <c r="M3626" s="41"/>
      <c r="N3626" s="11"/>
    </row>
    <row r="3627" spans="8:14" x14ac:dyDescent="0.25">
      <c r="H3627" s="37"/>
      <c r="I3627" s="79"/>
      <c r="J3627" s="70"/>
      <c r="K3627" s="57"/>
      <c r="L3627" s="11"/>
      <c r="M3627" s="41"/>
      <c r="N3627" s="11"/>
    </row>
    <row r="3628" spans="8:14" x14ac:dyDescent="0.25">
      <c r="H3628" s="37"/>
      <c r="I3628" s="79"/>
      <c r="J3628" s="70"/>
      <c r="K3628" s="57"/>
      <c r="L3628" s="11"/>
      <c r="M3628" s="41"/>
      <c r="N3628" s="11"/>
    </row>
    <row r="3629" spans="8:14" x14ac:dyDescent="0.25">
      <c r="H3629" s="37"/>
      <c r="I3629" s="79"/>
      <c r="J3629" s="70"/>
      <c r="K3629" s="57"/>
      <c r="L3629" s="11"/>
      <c r="M3629" s="41"/>
      <c r="N3629" s="11"/>
    </row>
    <row r="3630" spans="8:14" x14ac:dyDescent="0.25">
      <c r="H3630" s="37"/>
      <c r="I3630" s="79"/>
      <c r="J3630" s="70"/>
      <c r="K3630" s="57"/>
      <c r="L3630" s="11"/>
      <c r="M3630" s="41"/>
      <c r="N3630" s="11"/>
    </row>
    <row r="3631" spans="8:14" x14ac:dyDescent="0.25">
      <c r="H3631" s="37"/>
      <c r="I3631" s="79"/>
      <c r="J3631" s="70"/>
      <c r="K3631" s="57"/>
      <c r="L3631" s="11"/>
      <c r="M3631" s="41"/>
      <c r="N3631" s="11"/>
    </row>
    <row r="3632" spans="8:14" x14ac:dyDescent="0.25">
      <c r="H3632" s="37"/>
      <c r="I3632" s="79"/>
      <c r="J3632" s="70"/>
      <c r="K3632" s="57"/>
      <c r="L3632" s="11"/>
      <c r="M3632" s="41"/>
      <c r="N3632" s="11"/>
    </row>
    <row r="3633" spans="8:14" x14ac:dyDescent="0.25">
      <c r="H3633" s="37"/>
      <c r="I3633" s="79"/>
      <c r="J3633" s="70"/>
      <c r="K3633" s="57"/>
      <c r="L3633" s="11"/>
      <c r="M3633" s="41"/>
      <c r="N3633" s="11"/>
    </row>
    <row r="3634" spans="8:14" x14ac:dyDescent="0.25">
      <c r="H3634" s="37"/>
      <c r="I3634" s="79"/>
      <c r="J3634" s="70"/>
      <c r="K3634" s="57"/>
      <c r="L3634" s="11"/>
      <c r="M3634" s="41"/>
      <c r="N3634" s="11"/>
    </row>
    <row r="3635" spans="8:14" x14ac:dyDescent="0.25">
      <c r="H3635" s="37"/>
      <c r="I3635" s="79"/>
      <c r="J3635" s="70"/>
      <c r="K3635" s="57"/>
      <c r="L3635" s="11"/>
      <c r="M3635" s="41"/>
      <c r="N3635" s="11"/>
    </row>
    <row r="3636" spans="8:14" x14ac:dyDescent="0.25">
      <c r="H3636" s="37"/>
      <c r="I3636" s="79"/>
      <c r="J3636" s="70"/>
      <c r="K3636" s="57"/>
      <c r="L3636" s="11"/>
      <c r="M3636" s="41"/>
      <c r="N3636" s="11"/>
    </row>
    <row r="3637" spans="8:14" x14ac:dyDescent="0.25">
      <c r="H3637" s="37"/>
      <c r="I3637" s="79"/>
      <c r="J3637" s="70"/>
      <c r="K3637" s="57"/>
      <c r="L3637" s="11"/>
      <c r="M3637" s="41"/>
      <c r="N3637" s="11"/>
    </row>
    <row r="3638" spans="8:14" x14ac:dyDescent="0.25">
      <c r="H3638" s="37"/>
      <c r="I3638" s="79"/>
      <c r="J3638" s="70"/>
      <c r="K3638" s="57"/>
      <c r="L3638" s="11"/>
      <c r="M3638" s="41"/>
      <c r="N3638" s="11"/>
    </row>
    <row r="3639" spans="8:14" x14ac:dyDescent="0.25">
      <c r="H3639" s="37"/>
      <c r="I3639" s="79"/>
      <c r="J3639" s="70"/>
      <c r="K3639" s="57"/>
      <c r="L3639" s="11"/>
      <c r="M3639" s="41"/>
      <c r="N3639" s="11"/>
    </row>
    <row r="3640" spans="8:14" x14ac:dyDescent="0.25">
      <c r="H3640" s="37"/>
      <c r="I3640" s="79"/>
      <c r="J3640" s="70"/>
      <c r="K3640" s="57"/>
      <c r="L3640" s="11"/>
      <c r="M3640" s="41"/>
      <c r="N3640" s="11"/>
    </row>
    <row r="3641" spans="8:14" x14ac:dyDescent="0.25">
      <c r="H3641" s="37"/>
      <c r="I3641" s="79"/>
      <c r="J3641" s="70"/>
      <c r="K3641" s="57"/>
      <c r="L3641" s="11"/>
      <c r="M3641" s="41"/>
      <c r="N3641" s="11"/>
    </row>
    <row r="3642" spans="8:14" x14ac:dyDescent="0.25">
      <c r="H3642" s="37"/>
      <c r="I3642" s="79"/>
      <c r="J3642" s="70"/>
      <c r="K3642" s="57"/>
      <c r="L3642" s="11"/>
      <c r="M3642" s="41"/>
      <c r="N3642" s="11"/>
    </row>
    <row r="3643" spans="8:14" x14ac:dyDescent="0.25">
      <c r="H3643" s="37"/>
      <c r="I3643" s="79"/>
      <c r="J3643" s="70"/>
      <c r="K3643" s="57"/>
      <c r="L3643" s="11"/>
      <c r="M3643" s="41"/>
      <c r="N3643" s="11"/>
    </row>
    <row r="3644" spans="8:14" x14ac:dyDescent="0.25">
      <c r="H3644" s="37"/>
      <c r="I3644" s="79"/>
      <c r="J3644" s="70"/>
      <c r="K3644" s="57"/>
      <c r="L3644" s="11"/>
      <c r="M3644" s="41"/>
      <c r="N3644" s="11"/>
    </row>
    <row r="3645" spans="8:14" x14ac:dyDescent="0.25">
      <c r="H3645" s="37"/>
      <c r="I3645" s="79"/>
      <c r="J3645" s="70"/>
      <c r="K3645" s="57"/>
      <c r="L3645" s="11"/>
      <c r="M3645" s="41"/>
      <c r="N3645" s="11"/>
    </row>
    <row r="3646" spans="8:14" x14ac:dyDescent="0.25">
      <c r="H3646" s="37"/>
      <c r="I3646" s="79"/>
      <c r="J3646" s="70"/>
      <c r="K3646" s="57"/>
      <c r="L3646" s="11"/>
      <c r="M3646" s="41"/>
      <c r="N3646" s="11"/>
    </row>
    <row r="3647" spans="8:14" x14ac:dyDescent="0.25">
      <c r="H3647" s="37"/>
      <c r="I3647" s="79"/>
      <c r="J3647" s="70"/>
      <c r="K3647" s="57"/>
      <c r="L3647" s="11"/>
      <c r="M3647" s="41"/>
      <c r="N3647" s="11"/>
    </row>
    <row r="3648" spans="8:14" x14ac:dyDescent="0.25">
      <c r="H3648" s="37"/>
      <c r="I3648" s="79"/>
      <c r="J3648" s="70"/>
      <c r="K3648" s="57"/>
      <c r="L3648" s="11"/>
      <c r="M3648" s="41"/>
      <c r="N3648" s="11"/>
    </row>
    <row r="3649" spans="8:14" x14ac:dyDescent="0.25">
      <c r="H3649" s="37"/>
      <c r="I3649" s="79"/>
      <c r="J3649" s="70"/>
      <c r="K3649" s="57"/>
      <c r="L3649" s="11"/>
      <c r="M3649" s="41"/>
      <c r="N3649" s="11"/>
    </row>
    <row r="3650" spans="8:14" x14ac:dyDescent="0.25">
      <c r="H3650" s="37"/>
      <c r="I3650" s="79"/>
      <c r="J3650" s="70"/>
      <c r="K3650" s="57"/>
      <c r="L3650" s="11"/>
      <c r="M3650" s="41"/>
      <c r="N3650" s="11"/>
    </row>
    <row r="3651" spans="8:14" x14ac:dyDescent="0.25">
      <c r="H3651" s="37"/>
      <c r="I3651" s="79"/>
      <c r="J3651" s="70"/>
      <c r="K3651" s="57"/>
      <c r="L3651" s="11"/>
      <c r="M3651" s="41"/>
      <c r="N3651" s="11"/>
    </row>
    <row r="3652" spans="8:14" x14ac:dyDescent="0.25">
      <c r="H3652" s="37"/>
      <c r="I3652" s="79"/>
      <c r="J3652" s="70"/>
      <c r="K3652" s="57"/>
      <c r="L3652" s="11"/>
      <c r="M3652" s="41"/>
      <c r="N3652" s="11"/>
    </row>
    <row r="3653" spans="8:14" x14ac:dyDescent="0.25">
      <c r="H3653" s="37"/>
      <c r="I3653" s="79"/>
      <c r="J3653" s="70"/>
      <c r="K3653" s="57"/>
      <c r="L3653" s="11"/>
      <c r="M3653" s="41"/>
      <c r="N3653" s="11"/>
    </row>
    <row r="3654" spans="8:14" x14ac:dyDescent="0.25">
      <c r="H3654" s="37"/>
      <c r="I3654" s="79"/>
      <c r="J3654" s="70"/>
      <c r="K3654" s="57"/>
      <c r="L3654" s="11"/>
      <c r="M3654" s="41"/>
      <c r="N3654" s="11"/>
    </row>
    <row r="3655" spans="8:14" x14ac:dyDescent="0.25">
      <c r="H3655" s="37"/>
      <c r="I3655" s="79"/>
      <c r="J3655" s="70"/>
      <c r="K3655" s="57"/>
      <c r="L3655" s="11"/>
      <c r="M3655" s="41"/>
      <c r="N3655" s="11"/>
    </row>
    <row r="3656" spans="8:14" x14ac:dyDescent="0.25">
      <c r="H3656" s="37"/>
      <c r="I3656" s="79"/>
      <c r="J3656" s="70"/>
      <c r="K3656" s="57"/>
      <c r="L3656" s="11"/>
      <c r="M3656" s="41"/>
      <c r="N3656" s="11"/>
    </row>
    <row r="3657" spans="8:14" x14ac:dyDescent="0.25">
      <c r="H3657" s="37"/>
      <c r="I3657" s="79"/>
      <c r="J3657" s="70"/>
      <c r="K3657" s="57"/>
      <c r="L3657" s="11"/>
      <c r="M3657" s="41"/>
      <c r="N3657" s="11"/>
    </row>
    <row r="3658" spans="8:14" x14ac:dyDescent="0.25">
      <c r="H3658" s="37"/>
      <c r="I3658" s="79"/>
      <c r="J3658" s="70"/>
      <c r="K3658" s="57"/>
      <c r="L3658" s="11"/>
      <c r="M3658" s="41"/>
      <c r="N3658" s="11"/>
    </row>
    <row r="3659" spans="8:14" x14ac:dyDescent="0.25">
      <c r="H3659" s="37"/>
      <c r="I3659" s="79"/>
      <c r="J3659" s="70"/>
      <c r="K3659" s="57"/>
      <c r="L3659" s="11"/>
      <c r="M3659" s="41"/>
      <c r="N3659" s="11"/>
    </row>
    <row r="3660" spans="8:14" x14ac:dyDescent="0.25">
      <c r="H3660" s="37"/>
      <c r="I3660" s="79"/>
      <c r="J3660" s="70"/>
      <c r="K3660" s="57"/>
      <c r="L3660" s="11"/>
      <c r="M3660" s="41"/>
      <c r="N3660" s="11"/>
    </row>
    <row r="3661" spans="8:14" x14ac:dyDescent="0.25">
      <c r="H3661" s="37"/>
      <c r="I3661" s="79"/>
      <c r="J3661" s="70"/>
      <c r="K3661" s="57"/>
      <c r="L3661" s="11"/>
      <c r="M3661" s="41"/>
      <c r="N3661" s="11"/>
    </row>
    <row r="3662" spans="8:14" x14ac:dyDescent="0.25">
      <c r="H3662" s="37"/>
      <c r="I3662" s="79"/>
      <c r="J3662" s="70"/>
      <c r="K3662" s="57"/>
      <c r="L3662" s="11"/>
      <c r="M3662" s="41"/>
      <c r="N3662" s="11"/>
    </row>
    <row r="3663" spans="8:14" x14ac:dyDescent="0.25">
      <c r="H3663" s="37"/>
      <c r="I3663" s="79"/>
      <c r="J3663" s="70"/>
      <c r="K3663" s="57"/>
      <c r="L3663" s="11"/>
      <c r="M3663" s="41"/>
      <c r="N3663" s="11"/>
    </row>
    <row r="3664" spans="8:14" x14ac:dyDescent="0.25">
      <c r="H3664" s="37"/>
      <c r="I3664" s="79"/>
      <c r="J3664" s="70"/>
      <c r="K3664" s="57"/>
      <c r="L3664" s="11"/>
      <c r="M3664" s="41"/>
      <c r="N3664" s="11"/>
    </row>
    <row r="3665" spans="8:14" x14ac:dyDescent="0.25">
      <c r="H3665" s="37"/>
      <c r="I3665" s="79"/>
      <c r="J3665" s="70"/>
      <c r="K3665" s="57"/>
      <c r="L3665" s="11"/>
      <c r="M3665" s="41"/>
      <c r="N3665" s="11"/>
    </row>
    <row r="3666" spans="8:14" x14ac:dyDescent="0.25">
      <c r="H3666" s="37"/>
      <c r="I3666" s="79"/>
      <c r="J3666" s="70"/>
      <c r="K3666" s="57"/>
      <c r="L3666" s="11"/>
      <c r="M3666" s="41"/>
      <c r="N3666" s="11"/>
    </row>
    <row r="3667" spans="8:14" x14ac:dyDescent="0.25">
      <c r="H3667" s="37"/>
      <c r="I3667" s="79"/>
      <c r="J3667" s="70"/>
      <c r="K3667" s="57"/>
      <c r="L3667" s="11"/>
      <c r="M3667" s="41"/>
      <c r="N3667" s="11"/>
    </row>
    <row r="3668" spans="8:14" x14ac:dyDescent="0.25">
      <c r="H3668" s="37"/>
      <c r="I3668" s="79"/>
      <c r="J3668" s="70"/>
      <c r="K3668" s="57"/>
      <c r="L3668" s="11"/>
      <c r="M3668" s="41"/>
      <c r="N3668" s="11"/>
    </row>
    <row r="3669" spans="8:14" x14ac:dyDescent="0.25">
      <c r="H3669" s="37"/>
      <c r="I3669" s="79"/>
      <c r="J3669" s="70"/>
      <c r="K3669" s="57"/>
      <c r="L3669" s="11"/>
      <c r="M3669" s="41"/>
      <c r="N3669" s="11"/>
    </row>
    <row r="3670" spans="8:14" x14ac:dyDescent="0.25">
      <c r="H3670" s="37"/>
      <c r="I3670" s="79"/>
      <c r="J3670" s="70"/>
      <c r="K3670" s="57"/>
      <c r="L3670" s="11"/>
      <c r="M3670" s="41"/>
      <c r="N3670" s="11"/>
    </row>
    <row r="3671" spans="8:14" x14ac:dyDescent="0.25">
      <c r="H3671" s="37"/>
      <c r="I3671" s="79"/>
      <c r="J3671" s="70"/>
      <c r="K3671" s="57"/>
      <c r="L3671" s="11"/>
      <c r="M3671" s="41"/>
      <c r="N3671" s="11"/>
    </row>
    <row r="3672" spans="8:14" x14ac:dyDescent="0.25">
      <c r="H3672" s="37"/>
      <c r="I3672" s="79"/>
      <c r="J3672" s="70"/>
      <c r="K3672" s="57"/>
      <c r="L3672" s="11"/>
      <c r="M3672" s="41"/>
      <c r="N3672" s="11"/>
    </row>
    <row r="3673" spans="8:14" x14ac:dyDescent="0.25">
      <c r="H3673" s="37"/>
      <c r="I3673" s="79"/>
      <c r="J3673" s="70"/>
      <c r="K3673" s="57"/>
      <c r="L3673" s="11"/>
      <c r="M3673" s="41"/>
      <c r="N3673" s="11"/>
    </row>
    <row r="3674" spans="8:14" x14ac:dyDescent="0.25">
      <c r="H3674" s="37"/>
      <c r="I3674" s="79"/>
      <c r="J3674" s="70"/>
      <c r="K3674" s="57"/>
      <c r="L3674" s="11"/>
      <c r="M3674" s="41"/>
      <c r="N3674" s="11"/>
    </row>
    <row r="3675" spans="8:14" x14ac:dyDescent="0.25">
      <c r="H3675" s="37"/>
      <c r="I3675" s="79"/>
      <c r="J3675" s="70"/>
      <c r="K3675" s="57"/>
      <c r="L3675" s="11"/>
      <c r="M3675" s="41"/>
      <c r="N3675" s="11"/>
    </row>
    <row r="3676" spans="8:14" x14ac:dyDescent="0.25">
      <c r="H3676" s="37"/>
      <c r="I3676" s="79"/>
      <c r="J3676" s="70"/>
      <c r="K3676" s="57"/>
      <c r="L3676" s="11"/>
      <c r="M3676" s="41"/>
      <c r="N3676" s="11"/>
    </row>
    <row r="3677" spans="8:14" x14ac:dyDescent="0.25">
      <c r="H3677" s="37"/>
      <c r="I3677" s="79"/>
      <c r="J3677" s="70"/>
      <c r="K3677" s="57"/>
      <c r="L3677" s="11"/>
      <c r="M3677" s="41"/>
      <c r="N3677" s="11"/>
    </row>
    <row r="3678" spans="8:14" x14ac:dyDescent="0.25">
      <c r="H3678" s="37"/>
      <c r="I3678" s="79"/>
      <c r="J3678" s="70"/>
      <c r="K3678" s="57"/>
      <c r="L3678" s="11"/>
      <c r="M3678" s="41"/>
      <c r="N3678" s="11"/>
    </row>
    <row r="3679" spans="8:14" x14ac:dyDescent="0.25">
      <c r="H3679" s="37"/>
      <c r="I3679" s="79"/>
      <c r="J3679" s="70"/>
      <c r="K3679" s="57"/>
      <c r="L3679" s="11"/>
      <c r="M3679" s="41"/>
      <c r="N3679" s="11"/>
    </row>
    <row r="3680" spans="8:14" x14ac:dyDescent="0.25">
      <c r="H3680" s="37"/>
      <c r="I3680" s="79"/>
      <c r="J3680" s="70"/>
      <c r="K3680" s="57"/>
      <c r="L3680" s="11"/>
      <c r="M3680" s="41"/>
      <c r="N3680" s="11"/>
    </row>
    <row r="3681" spans="8:14" x14ac:dyDescent="0.25">
      <c r="H3681" s="37"/>
      <c r="I3681" s="79"/>
      <c r="J3681" s="70"/>
      <c r="K3681" s="57"/>
      <c r="L3681" s="11"/>
      <c r="M3681" s="41"/>
      <c r="N3681" s="11"/>
    </row>
    <row r="3682" spans="8:14" x14ac:dyDescent="0.25">
      <c r="H3682" s="37"/>
      <c r="I3682" s="79"/>
      <c r="J3682" s="70"/>
      <c r="K3682" s="57"/>
      <c r="L3682" s="11"/>
      <c r="M3682" s="41"/>
      <c r="N3682" s="11"/>
    </row>
    <row r="3683" spans="8:14" x14ac:dyDescent="0.25">
      <c r="H3683" s="37"/>
      <c r="I3683" s="79"/>
      <c r="J3683" s="70"/>
      <c r="K3683" s="57"/>
      <c r="L3683" s="11"/>
      <c r="M3683" s="41"/>
      <c r="N3683" s="11"/>
    </row>
    <row r="3684" spans="8:14" x14ac:dyDescent="0.25">
      <c r="H3684" s="37"/>
      <c r="I3684" s="79"/>
      <c r="J3684" s="70"/>
      <c r="K3684" s="57"/>
      <c r="L3684" s="11"/>
      <c r="M3684" s="41"/>
      <c r="N3684" s="11"/>
    </row>
    <row r="3685" spans="8:14" x14ac:dyDescent="0.25">
      <c r="H3685" s="37"/>
      <c r="I3685" s="79"/>
      <c r="J3685" s="70"/>
      <c r="K3685" s="57"/>
      <c r="L3685" s="11"/>
      <c r="M3685" s="41"/>
      <c r="N3685" s="11"/>
    </row>
    <row r="3686" spans="8:14" x14ac:dyDescent="0.25">
      <c r="H3686" s="37"/>
      <c r="I3686" s="79"/>
      <c r="J3686" s="70"/>
      <c r="K3686" s="57"/>
      <c r="L3686" s="11"/>
      <c r="M3686" s="41"/>
      <c r="N3686" s="11"/>
    </row>
    <row r="3687" spans="8:14" x14ac:dyDescent="0.25">
      <c r="H3687" s="37"/>
      <c r="I3687" s="79"/>
      <c r="J3687" s="70"/>
      <c r="K3687" s="57"/>
      <c r="L3687" s="11"/>
      <c r="M3687" s="41"/>
      <c r="N3687" s="11"/>
    </row>
    <row r="3688" spans="8:14" x14ac:dyDescent="0.25">
      <c r="H3688" s="37"/>
      <c r="I3688" s="79"/>
      <c r="J3688" s="70"/>
      <c r="K3688" s="57"/>
      <c r="L3688" s="11"/>
      <c r="M3688" s="41"/>
      <c r="N3688" s="11"/>
    </row>
    <row r="3689" spans="8:14" x14ac:dyDescent="0.25">
      <c r="H3689" s="37"/>
      <c r="I3689" s="79"/>
      <c r="J3689" s="70"/>
      <c r="K3689" s="57"/>
      <c r="L3689" s="11"/>
      <c r="M3689" s="41"/>
      <c r="N3689" s="11"/>
    </row>
    <row r="3690" spans="8:14" x14ac:dyDescent="0.25">
      <c r="H3690" s="37"/>
      <c r="I3690" s="79"/>
      <c r="J3690" s="70"/>
      <c r="K3690" s="57"/>
      <c r="L3690" s="11"/>
      <c r="M3690" s="41"/>
      <c r="N3690" s="11"/>
    </row>
    <row r="3691" spans="8:14" x14ac:dyDescent="0.25">
      <c r="H3691" s="37"/>
      <c r="I3691" s="79"/>
      <c r="J3691" s="70"/>
      <c r="K3691" s="57"/>
      <c r="L3691" s="11"/>
      <c r="M3691" s="41"/>
      <c r="N3691" s="11"/>
    </row>
    <row r="3692" spans="8:14" x14ac:dyDescent="0.25">
      <c r="H3692" s="37"/>
      <c r="I3692" s="79"/>
      <c r="J3692" s="70"/>
      <c r="K3692" s="57"/>
      <c r="L3692" s="11"/>
      <c r="M3692" s="41"/>
      <c r="N3692" s="11"/>
    </row>
    <row r="3693" spans="8:14" x14ac:dyDescent="0.25">
      <c r="H3693" s="37"/>
      <c r="I3693" s="79"/>
      <c r="J3693" s="70"/>
      <c r="K3693" s="57"/>
      <c r="L3693" s="11"/>
      <c r="M3693" s="41"/>
      <c r="N3693" s="11"/>
    </row>
    <row r="3694" spans="8:14" x14ac:dyDescent="0.25">
      <c r="H3694" s="37"/>
      <c r="I3694" s="79"/>
      <c r="J3694" s="70"/>
      <c r="K3694" s="57"/>
      <c r="L3694" s="11"/>
      <c r="M3694" s="41"/>
      <c r="N3694" s="11"/>
    </row>
    <row r="3695" spans="8:14" x14ac:dyDescent="0.25">
      <c r="H3695" s="37"/>
      <c r="I3695" s="79"/>
      <c r="J3695" s="70"/>
      <c r="K3695" s="57"/>
      <c r="L3695" s="11"/>
      <c r="M3695" s="41"/>
      <c r="N3695" s="11"/>
    </row>
    <row r="3696" spans="8:14" x14ac:dyDescent="0.25">
      <c r="H3696" s="37"/>
      <c r="I3696" s="79"/>
      <c r="J3696" s="70"/>
      <c r="K3696" s="57"/>
      <c r="L3696" s="11"/>
      <c r="M3696" s="41"/>
      <c r="N3696" s="11"/>
    </row>
    <row r="3697" spans="8:14" x14ac:dyDescent="0.25">
      <c r="H3697" s="37"/>
      <c r="I3697" s="79"/>
      <c r="J3697" s="70"/>
      <c r="K3697" s="57"/>
      <c r="L3697" s="11"/>
      <c r="M3697" s="41"/>
      <c r="N3697" s="11"/>
    </row>
    <row r="3698" spans="8:14" x14ac:dyDescent="0.25">
      <c r="H3698" s="37"/>
      <c r="I3698" s="79"/>
      <c r="J3698" s="70"/>
      <c r="K3698" s="57"/>
      <c r="L3698" s="11"/>
      <c r="M3698" s="41"/>
      <c r="N3698" s="11"/>
    </row>
    <row r="3699" spans="8:14" x14ac:dyDescent="0.25">
      <c r="H3699" s="37"/>
      <c r="I3699" s="79"/>
      <c r="J3699" s="70"/>
      <c r="K3699" s="57"/>
      <c r="L3699" s="11"/>
      <c r="M3699" s="41"/>
      <c r="N3699" s="11"/>
    </row>
    <row r="3700" spans="8:14" x14ac:dyDescent="0.25">
      <c r="H3700" s="37"/>
      <c r="I3700" s="79"/>
      <c r="J3700" s="70"/>
      <c r="K3700" s="57"/>
      <c r="L3700" s="11"/>
      <c r="M3700" s="41"/>
      <c r="N3700" s="11"/>
    </row>
    <row r="3701" spans="8:14" x14ac:dyDescent="0.25">
      <c r="H3701" s="37"/>
      <c r="I3701" s="79"/>
      <c r="J3701" s="70"/>
      <c r="K3701" s="57"/>
      <c r="L3701" s="11"/>
      <c r="M3701" s="41"/>
      <c r="N3701" s="11"/>
    </row>
    <row r="3702" spans="8:14" x14ac:dyDescent="0.25">
      <c r="H3702" s="37"/>
      <c r="I3702" s="79"/>
      <c r="J3702" s="70"/>
      <c r="K3702" s="57"/>
      <c r="L3702" s="11"/>
      <c r="M3702" s="41"/>
      <c r="N3702" s="11"/>
    </row>
    <row r="3703" spans="8:14" x14ac:dyDescent="0.25">
      <c r="H3703" s="37"/>
      <c r="I3703" s="79"/>
      <c r="J3703" s="70"/>
      <c r="K3703" s="57"/>
      <c r="L3703" s="11"/>
      <c r="M3703" s="41"/>
      <c r="N3703" s="11"/>
    </row>
    <row r="3704" spans="8:14" x14ac:dyDescent="0.25">
      <c r="H3704" s="37"/>
      <c r="I3704" s="79"/>
      <c r="J3704" s="70"/>
      <c r="K3704" s="57"/>
      <c r="L3704" s="11"/>
      <c r="M3704" s="41"/>
      <c r="N3704" s="11"/>
    </row>
    <row r="3705" spans="8:14" x14ac:dyDescent="0.25">
      <c r="H3705" s="37"/>
      <c r="I3705" s="79"/>
      <c r="J3705" s="70"/>
      <c r="K3705" s="57"/>
      <c r="L3705" s="11"/>
      <c r="M3705" s="41"/>
      <c r="N3705" s="11"/>
    </row>
    <row r="3706" spans="8:14" x14ac:dyDescent="0.25">
      <c r="H3706" s="37"/>
      <c r="I3706" s="79"/>
      <c r="J3706" s="70"/>
      <c r="K3706" s="57"/>
      <c r="L3706" s="11"/>
      <c r="M3706" s="41"/>
      <c r="N3706" s="11"/>
    </row>
    <row r="3707" spans="8:14" x14ac:dyDescent="0.25">
      <c r="H3707" s="37"/>
      <c r="I3707" s="79"/>
      <c r="J3707" s="70"/>
      <c r="K3707" s="57"/>
      <c r="L3707" s="11"/>
      <c r="M3707" s="41"/>
      <c r="N3707" s="11"/>
    </row>
    <row r="3708" spans="8:14" x14ac:dyDescent="0.25">
      <c r="H3708" s="37"/>
      <c r="I3708" s="79"/>
      <c r="J3708" s="70"/>
      <c r="K3708" s="57"/>
      <c r="L3708" s="11"/>
      <c r="M3708" s="41"/>
      <c r="N3708" s="11"/>
    </row>
    <row r="3709" spans="8:14" x14ac:dyDescent="0.25">
      <c r="H3709" s="37"/>
      <c r="I3709" s="79"/>
      <c r="J3709" s="70"/>
      <c r="K3709" s="57"/>
      <c r="L3709" s="11"/>
      <c r="M3709" s="41"/>
      <c r="N3709" s="11"/>
    </row>
    <row r="3710" spans="8:14" x14ac:dyDescent="0.25">
      <c r="H3710" s="37"/>
      <c r="I3710" s="79"/>
      <c r="J3710" s="70"/>
      <c r="K3710" s="57"/>
      <c r="L3710" s="11"/>
      <c r="M3710" s="41"/>
      <c r="N3710" s="11"/>
    </row>
    <row r="3711" spans="8:14" x14ac:dyDescent="0.25">
      <c r="H3711" s="37"/>
      <c r="I3711" s="79"/>
      <c r="J3711" s="70"/>
      <c r="K3711" s="57"/>
      <c r="L3711" s="11"/>
      <c r="M3711" s="41"/>
      <c r="N3711" s="11"/>
    </row>
    <row r="3712" spans="8:14" x14ac:dyDescent="0.25">
      <c r="H3712" s="37"/>
      <c r="I3712" s="79"/>
      <c r="J3712" s="70"/>
      <c r="K3712" s="57"/>
      <c r="L3712" s="11"/>
      <c r="M3712" s="41"/>
      <c r="N3712" s="11"/>
    </row>
    <row r="3713" spans="8:14" x14ac:dyDescent="0.25">
      <c r="H3713" s="37"/>
      <c r="I3713" s="79"/>
      <c r="J3713" s="70"/>
      <c r="K3713" s="57"/>
      <c r="L3713" s="11"/>
      <c r="M3713" s="41"/>
      <c r="N3713" s="11"/>
    </row>
    <row r="3714" spans="8:14" x14ac:dyDescent="0.25">
      <c r="H3714" s="37"/>
      <c r="I3714" s="79"/>
      <c r="J3714" s="70"/>
      <c r="K3714" s="57"/>
      <c r="L3714" s="11"/>
      <c r="M3714" s="41"/>
      <c r="N3714" s="11"/>
    </row>
    <row r="3715" spans="8:14" x14ac:dyDescent="0.25">
      <c r="H3715" s="37"/>
      <c r="I3715" s="79"/>
      <c r="J3715" s="70"/>
      <c r="K3715" s="57"/>
      <c r="L3715" s="11"/>
      <c r="M3715" s="41"/>
      <c r="N3715" s="11"/>
    </row>
    <row r="3716" spans="8:14" x14ac:dyDescent="0.25">
      <c r="H3716" s="37"/>
      <c r="I3716" s="79"/>
      <c r="J3716" s="70"/>
      <c r="K3716" s="57"/>
      <c r="L3716" s="11"/>
      <c r="M3716" s="41"/>
      <c r="N3716" s="11"/>
    </row>
    <row r="3717" spans="8:14" x14ac:dyDescent="0.25">
      <c r="H3717" s="37"/>
      <c r="I3717" s="79"/>
      <c r="J3717" s="70"/>
      <c r="K3717" s="57"/>
      <c r="L3717" s="11"/>
      <c r="M3717" s="41"/>
      <c r="N3717" s="11"/>
    </row>
    <row r="3718" spans="8:14" x14ac:dyDescent="0.25">
      <c r="H3718" s="37"/>
      <c r="I3718" s="79"/>
      <c r="J3718" s="70"/>
      <c r="K3718" s="57"/>
      <c r="L3718" s="11"/>
      <c r="M3718" s="41"/>
      <c r="N3718" s="11"/>
    </row>
    <row r="3719" spans="8:14" x14ac:dyDescent="0.25">
      <c r="H3719" s="37"/>
      <c r="I3719" s="79"/>
      <c r="J3719" s="70"/>
      <c r="K3719" s="57"/>
      <c r="L3719" s="11"/>
      <c r="M3719" s="41"/>
      <c r="N3719" s="11"/>
    </row>
    <row r="3720" spans="8:14" x14ac:dyDescent="0.25">
      <c r="H3720" s="37"/>
      <c r="I3720" s="79"/>
      <c r="J3720" s="70"/>
      <c r="K3720" s="57"/>
      <c r="L3720" s="11"/>
      <c r="M3720" s="41"/>
      <c r="N3720" s="11"/>
    </row>
    <row r="3721" spans="8:14" x14ac:dyDescent="0.25">
      <c r="H3721" s="37"/>
      <c r="I3721" s="79"/>
      <c r="J3721" s="70"/>
      <c r="K3721" s="57"/>
      <c r="L3721" s="11"/>
      <c r="M3721" s="41"/>
      <c r="N3721" s="11"/>
    </row>
    <row r="3722" spans="8:14" x14ac:dyDescent="0.25">
      <c r="H3722" s="37"/>
      <c r="I3722" s="79"/>
      <c r="J3722" s="70"/>
      <c r="K3722" s="57"/>
      <c r="L3722" s="11"/>
      <c r="M3722" s="41"/>
      <c r="N3722" s="11"/>
    </row>
    <row r="3723" spans="8:14" x14ac:dyDescent="0.25">
      <c r="H3723" s="37"/>
      <c r="I3723" s="79"/>
      <c r="J3723" s="70"/>
      <c r="K3723" s="57"/>
      <c r="L3723" s="11"/>
      <c r="M3723" s="41"/>
      <c r="N3723" s="11"/>
    </row>
    <row r="3724" spans="8:14" x14ac:dyDescent="0.25">
      <c r="H3724" s="37"/>
      <c r="I3724" s="79"/>
      <c r="J3724" s="70"/>
      <c r="K3724" s="57"/>
      <c r="L3724" s="11"/>
      <c r="M3724" s="41"/>
      <c r="N3724" s="11"/>
    </row>
    <row r="3725" spans="8:14" x14ac:dyDescent="0.25">
      <c r="H3725" s="37"/>
      <c r="I3725" s="79"/>
      <c r="J3725" s="70"/>
      <c r="K3725" s="57"/>
      <c r="L3725" s="11"/>
      <c r="M3725" s="41"/>
      <c r="N3725" s="11"/>
    </row>
    <row r="3726" spans="8:14" x14ac:dyDescent="0.25">
      <c r="H3726" s="37"/>
      <c r="I3726" s="79"/>
      <c r="J3726" s="70"/>
      <c r="K3726" s="57"/>
      <c r="L3726" s="11"/>
      <c r="M3726" s="41"/>
      <c r="N3726" s="11"/>
    </row>
    <row r="3727" spans="8:14" x14ac:dyDescent="0.25">
      <c r="H3727" s="37"/>
      <c r="I3727" s="79"/>
      <c r="J3727" s="70"/>
      <c r="K3727" s="57"/>
      <c r="L3727" s="11"/>
      <c r="M3727" s="41"/>
      <c r="N3727" s="11"/>
    </row>
    <row r="3728" spans="8:14" x14ac:dyDescent="0.25">
      <c r="H3728" s="37"/>
      <c r="I3728" s="79"/>
      <c r="J3728" s="70"/>
      <c r="K3728" s="57"/>
      <c r="L3728" s="11"/>
      <c r="M3728" s="41"/>
      <c r="N3728" s="11"/>
    </row>
    <row r="3729" spans="8:14" x14ac:dyDescent="0.25">
      <c r="H3729" s="37"/>
      <c r="I3729" s="79"/>
      <c r="J3729" s="70"/>
      <c r="K3729" s="57"/>
      <c r="L3729" s="11"/>
      <c r="M3729" s="41"/>
      <c r="N3729" s="11"/>
    </row>
    <row r="3730" spans="8:14" x14ac:dyDescent="0.25">
      <c r="H3730" s="37"/>
      <c r="I3730" s="79"/>
      <c r="J3730" s="70"/>
      <c r="K3730" s="57"/>
      <c r="L3730" s="11"/>
      <c r="M3730" s="41"/>
      <c r="N3730" s="11"/>
    </row>
    <row r="3731" spans="8:14" x14ac:dyDescent="0.25">
      <c r="H3731" s="37"/>
      <c r="I3731" s="79"/>
      <c r="J3731" s="70"/>
      <c r="K3731" s="57"/>
      <c r="L3731" s="11"/>
      <c r="M3731" s="41"/>
      <c r="N3731" s="11"/>
    </row>
    <row r="3732" spans="8:14" x14ac:dyDescent="0.25">
      <c r="H3732" s="37"/>
      <c r="I3732" s="79"/>
      <c r="J3732" s="70"/>
      <c r="K3732" s="57"/>
      <c r="L3732" s="11"/>
      <c r="M3732" s="41"/>
      <c r="N3732" s="11"/>
    </row>
    <row r="3733" spans="8:14" x14ac:dyDescent="0.25">
      <c r="H3733" s="37"/>
      <c r="I3733" s="79"/>
      <c r="J3733" s="70"/>
      <c r="K3733" s="57"/>
      <c r="L3733" s="11"/>
      <c r="M3733" s="41"/>
      <c r="N3733" s="11"/>
    </row>
    <row r="3734" spans="8:14" x14ac:dyDescent="0.25">
      <c r="H3734" s="37"/>
      <c r="I3734" s="79"/>
      <c r="J3734" s="70"/>
      <c r="K3734" s="57"/>
      <c r="L3734" s="11"/>
      <c r="M3734" s="41"/>
      <c r="N3734" s="11"/>
    </row>
    <row r="3735" spans="8:14" x14ac:dyDescent="0.25">
      <c r="H3735" s="37"/>
      <c r="I3735" s="79"/>
      <c r="J3735" s="70"/>
      <c r="K3735" s="57"/>
      <c r="L3735" s="11"/>
      <c r="M3735" s="41"/>
      <c r="N3735" s="11"/>
    </row>
    <row r="3736" spans="8:14" x14ac:dyDescent="0.25">
      <c r="H3736" s="37"/>
      <c r="I3736" s="79"/>
      <c r="J3736" s="70"/>
      <c r="K3736" s="57"/>
      <c r="L3736" s="11"/>
      <c r="M3736" s="41"/>
      <c r="N3736" s="11"/>
    </row>
    <row r="3737" spans="8:14" x14ac:dyDescent="0.25">
      <c r="H3737" s="37"/>
      <c r="I3737" s="79"/>
      <c r="J3737" s="70"/>
      <c r="K3737" s="57"/>
      <c r="L3737" s="11"/>
      <c r="M3737" s="41"/>
      <c r="N3737" s="11"/>
    </row>
    <row r="3738" spans="8:14" x14ac:dyDescent="0.25">
      <c r="H3738" s="37"/>
      <c r="I3738" s="79"/>
      <c r="J3738" s="70"/>
      <c r="K3738" s="57"/>
      <c r="L3738" s="11"/>
      <c r="M3738" s="41"/>
      <c r="N3738" s="11"/>
    </row>
    <row r="3739" spans="8:14" x14ac:dyDescent="0.25">
      <c r="H3739" s="37"/>
      <c r="I3739" s="79"/>
      <c r="J3739" s="70"/>
      <c r="K3739" s="57"/>
      <c r="L3739" s="11"/>
      <c r="M3739" s="41"/>
      <c r="N3739" s="11"/>
    </row>
    <row r="3740" spans="8:14" x14ac:dyDescent="0.25">
      <c r="H3740" s="37"/>
      <c r="I3740" s="79"/>
      <c r="J3740" s="70"/>
      <c r="K3740" s="57"/>
      <c r="L3740" s="11"/>
      <c r="M3740" s="41"/>
      <c r="N3740" s="11"/>
    </row>
    <row r="3741" spans="8:14" x14ac:dyDescent="0.25">
      <c r="H3741" s="37"/>
      <c r="I3741" s="79"/>
      <c r="J3741" s="70"/>
      <c r="K3741" s="57"/>
      <c r="L3741" s="11"/>
      <c r="M3741" s="41"/>
      <c r="N3741" s="11"/>
    </row>
    <row r="3742" spans="8:14" x14ac:dyDescent="0.25">
      <c r="H3742" s="37"/>
      <c r="I3742" s="79"/>
      <c r="J3742" s="70"/>
      <c r="K3742" s="57"/>
      <c r="L3742" s="11"/>
      <c r="M3742" s="41"/>
      <c r="N3742" s="11"/>
    </row>
    <row r="3743" spans="8:14" x14ac:dyDescent="0.25">
      <c r="H3743" s="37"/>
      <c r="I3743" s="79"/>
      <c r="J3743" s="70"/>
      <c r="K3743" s="57"/>
      <c r="L3743" s="11"/>
      <c r="M3743" s="41"/>
      <c r="N3743" s="11"/>
    </row>
    <row r="3744" spans="8:14" x14ac:dyDescent="0.25">
      <c r="H3744" s="37"/>
      <c r="I3744" s="79"/>
      <c r="J3744" s="70"/>
      <c r="K3744" s="57"/>
      <c r="L3744" s="11"/>
      <c r="M3744" s="41"/>
      <c r="N3744" s="11"/>
    </row>
    <row r="3745" spans="8:14" x14ac:dyDescent="0.25">
      <c r="H3745" s="37"/>
      <c r="I3745" s="79"/>
      <c r="J3745" s="70"/>
      <c r="K3745" s="57"/>
      <c r="L3745" s="11"/>
      <c r="M3745" s="41"/>
      <c r="N3745" s="11"/>
    </row>
    <row r="3746" spans="8:14" x14ac:dyDescent="0.25">
      <c r="H3746" s="37"/>
      <c r="I3746" s="79"/>
      <c r="J3746" s="70"/>
      <c r="K3746" s="57"/>
      <c r="L3746" s="11"/>
      <c r="M3746" s="41"/>
      <c r="N3746" s="11"/>
    </row>
    <row r="3747" spans="8:14" x14ac:dyDescent="0.25">
      <c r="H3747" s="37"/>
      <c r="I3747" s="79"/>
      <c r="J3747" s="70"/>
      <c r="K3747" s="57"/>
      <c r="L3747" s="11"/>
      <c r="M3747" s="41"/>
      <c r="N3747" s="11"/>
    </row>
    <row r="3748" spans="8:14" x14ac:dyDescent="0.25">
      <c r="H3748" s="37"/>
      <c r="I3748" s="79"/>
      <c r="J3748" s="70"/>
      <c r="K3748" s="57"/>
      <c r="L3748" s="11"/>
      <c r="M3748" s="41"/>
      <c r="N3748" s="11"/>
    </row>
    <row r="3749" spans="8:14" x14ac:dyDescent="0.25">
      <c r="H3749" s="37"/>
      <c r="I3749" s="79"/>
      <c r="J3749" s="70"/>
      <c r="K3749" s="57"/>
      <c r="L3749" s="11"/>
      <c r="M3749" s="41"/>
      <c r="N3749" s="11"/>
    </row>
    <row r="3750" spans="8:14" x14ac:dyDescent="0.25">
      <c r="H3750" s="37"/>
      <c r="I3750" s="79"/>
      <c r="J3750" s="70"/>
      <c r="K3750" s="57"/>
      <c r="L3750" s="11"/>
      <c r="M3750" s="41"/>
      <c r="N3750" s="11"/>
    </row>
    <row r="3751" spans="8:14" x14ac:dyDescent="0.25">
      <c r="H3751" s="37"/>
      <c r="I3751" s="79"/>
      <c r="J3751" s="70"/>
      <c r="K3751" s="57"/>
      <c r="L3751" s="11"/>
      <c r="M3751" s="41"/>
      <c r="N3751" s="11"/>
    </row>
    <row r="3752" spans="8:14" x14ac:dyDescent="0.25">
      <c r="H3752" s="37"/>
      <c r="I3752" s="79"/>
      <c r="J3752" s="70"/>
      <c r="K3752" s="57"/>
      <c r="L3752" s="11"/>
      <c r="M3752" s="41"/>
      <c r="N3752" s="11"/>
    </row>
    <row r="3753" spans="8:14" x14ac:dyDescent="0.25">
      <c r="H3753" s="37"/>
      <c r="I3753" s="79"/>
      <c r="J3753" s="70"/>
      <c r="K3753" s="57"/>
      <c r="L3753" s="11"/>
      <c r="M3753" s="41"/>
      <c r="N3753" s="11"/>
    </row>
    <row r="3754" spans="8:14" x14ac:dyDescent="0.25">
      <c r="H3754" s="37"/>
      <c r="I3754" s="79"/>
      <c r="J3754" s="70"/>
      <c r="K3754" s="57"/>
      <c r="L3754" s="11"/>
      <c r="M3754" s="41"/>
      <c r="N3754" s="11"/>
    </row>
    <row r="3755" spans="8:14" x14ac:dyDescent="0.25">
      <c r="H3755" s="37"/>
      <c r="I3755" s="79"/>
      <c r="J3755" s="70"/>
      <c r="K3755" s="57"/>
      <c r="L3755" s="11"/>
      <c r="M3755" s="41"/>
      <c r="N3755" s="11"/>
    </row>
    <row r="3756" spans="8:14" x14ac:dyDescent="0.25">
      <c r="H3756" s="37"/>
      <c r="I3756" s="79"/>
      <c r="J3756" s="70"/>
      <c r="K3756" s="57"/>
      <c r="L3756" s="11"/>
      <c r="M3756" s="41"/>
      <c r="N3756" s="11"/>
    </row>
    <row r="3757" spans="8:14" x14ac:dyDescent="0.25">
      <c r="H3757" s="37"/>
      <c r="I3757" s="79"/>
      <c r="J3757" s="70"/>
      <c r="K3757" s="57"/>
      <c r="L3757" s="11"/>
      <c r="M3757" s="41"/>
      <c r="N3757" s="11"/>
    </row>
    <row r="3758" spans="8:14" x14ac:dyDescent="0.25">
      <c r="H3758" s="37"/>
      <c r="I3758" s="79"/>
      <c r="J3758" s="70"/>
      <c r="K3758" s="57"/>
      <c r="L3758" s="11"/>
      <c r="M3758" s="41"/>
      <c r="N3758" s="11"/>
    </row>
    <row r="3759" spans="8:14" x14ac:dyDescent="0.25">
      <c r="H3759" s="37"/>
      <c r="I3759" s="79"/>
      <c r="J3759" s="70"/>
      <c r="K3759" s="57"/>
      <c r="L3759" s="11"/>
      <c r="M3759" s="41"/>
    </row>
    <row r="3760" spans="8:14" x14ac:dyDescent="0.25">
      <c r="H3760" s="37"/>
      <c r="I3760" s="79"/>
      <c r="J3760" s="70"/>
      <c r="K3760" s="57"/>
      <c r="L3760" s="11"/>
      <c r="M3760" s="41"/>
    </row>
    <row r="3761" spans="8:13" x14ac:dyDescent="0.25">
      <c r="H3761" s="37"/>
      <c r="I3761" s="79"/>
      <c r="J3761" s="70"/>
      <c r="K3761" s="57"/>
      <c r="L3761" s="11"/>
      <c r="M3761" s="41"/>
    </row>
    <row r="3762" spans="8:13" x14ac:dyDescent="0.25">
      <c r="H3762" s="37"/>
      <c r="I3762" s="79"/>
      <c r="J3762" s="70"/>
      <c r="K3762" s="57"/>
      <c r="L3762" s="11"/>
      <c r="M3762" s="41"/>
    </row>
    <row r="3763" spans="8:13" x14ac:dyDescent="0.25">
      <c r="H3763" s="37"/>
      <c r="I3763" s="79"/>
      <c r="J3763" s="70"/>
      <c r="K3763" s="57"/>
      <c r="L3763" s="11"/>
      <c r="M3763" s="41"/>
    </row>
    <row r="3764" spans="8:13" x14ac:dyDescent="0.25">
      <c r="H3764" s="37"/>
      <c r="I3764" s="79"/>
      <c r="J3764" s="70"/>
      <c r="K3764" s="57"/>
      <c r="L3764" s="11"/>
      <c r="M3764" s="41"/>
    </row>
    <row r="3765" spans="8:13" x14ac:dyDescent="0.25">
      <c r="H3765" s="37"/>
      <c r="I3765" s="79"/>
      <c r="J3765" s="70"/>
      <c r="K3765" s="57"/>
      <c r="L3765" s="11"/>
      <c r="M3765" s="41"/>
    </row>
    <row r="3766" spans="8:13" x14ac:dyDescent="0.25">
      <c r="H3766" s="37"/>
      <c r="I3766" s="79"/>
      <c r="J3766" s="70"/>
      <c r="K3766" s="57"/>
      <c r="L3766" s="11"/>
      <c r="M3766" s="41"/>
    </row>
    <row r="3767" spans="8:13" x14ac:dyDescent="0.25">
      <c r="H3767" s="37"/>
      <c r="I3767" s="79"/>
      <c r="J3767" s="70"/>
      <c r="K3767" s="57"/>
      <c r="L3767" s="11"/>
      <c r="M3767" s="41"/>
    </row>
    <row r="3768" spans="8:13" x14ac:dyDescent="0.25">
      <c r="H3768" s="37"/>
      <c r="I3768" s="79"/>
      <c r="J3768" s="70"/>
      <c r="K3768" s="57"/>
      <c r="L3768" s="11"/>
      <c r="M3768" s="41"/>
    </row>
    <row r="3769" spans="8:13" x14ac:dyDescent="0.25">
      <c r="H3769" s="37"/>
      <c r="I3769" s="79"/>
      <c r="J3769" s="70"/>
      <c r="K3769" s="57"/>
      <c r="L3769" s="11"/>
      <c r="M3769" s="41"/>
    </row>
    <row r="3770" spans="8:13" x14ac:dyDescent="0.25">
      <c r="H3770" s="37"/>
      <c r="I3770" s="79"/>
      <c r="J3770" s="70"/>
      <c r="K3770" s="57"/>
      <c r="L3770" s="11"/>
      <c r="M3770" s="41"/>
    </row>
    <row r="3771" spans="8:13" x14ac:dyDescent="0.25">
      <c r="H3771" s="37"/>
      <c r="I3771" s="79"/>
      <c r="J3771" s="70"/>
      <c r="K3771" s="57"/>
      <c r="L3771" s="11"/>
      <c r="M3771" s="41"/>
    </row>
    <row r="3772" spans="8:13" x14ac:dyDescent="0.25">
      <c r="H3772" s="37"/>
      <c r="I3772" s="79"/>
      <c r="J3772" s="70"/>
      <c r="K3772" s="57"/>
      <c r="L3772" s="11"/>
      <c r="M3772" s="41"/>
    </row>
    <row r="3773" spans="8:13" x14ac:dyDescent="0.25">
      <c r="H3773" s="37"/>
      <c r="I3773" s="79"/>
      <c r="J3773" s="70"/>
      <c r="K3773" s="57"/>
      <c r="L3773" s="11"/>
      <c r="M3773" s="41"/>
    </row>
    <row r="3774" spans="8:13" x14ac:dyDescent="0.25">
      <c r="H3774" s="37"/>
      <c r="I3774" s="79"/>
      <c r="J3774" s="70"/>
      <c r="K3774" s="57"/>
      <c r="L3774" s="11"/>
      <c r="M3774" s="41"/>
    </row>
    <row r="3775" spans="8:13" x14ac:dyDescent="0.25">
      <c r="H3775" s="37"/>
      <c r="I3775" s="79"/>
      <c r="J3775" s="70"/>
      <c r="K3775" s="57"/>
      <c r="L3775" s="11"/>
      <c r="M3775" s="41"/>
    </row>
    <row r="3776" spans="8:13" x14ac:dyDescent="0.25">
      <c r="H3776" s="37"/>
      <c r="I3776" s="79"/>
      <c r="J3776" s="70"/>
      <c r="K3776" s="57"/>
      <c r="L3776" s="11"/>
      <c r="M3776" s="41"/>
    </row>
    <row r="3777" spans="8:13" x14ac:dyDescent="0.25">
      <c r="H3777" s="37"/>
      <c r="I3777" s="79"/>
      <c r="J3777" s="70"/>
      <c r="K3777" s="57"/>
      <c r="L3777" s="11"/>
      <c r="M3777" s="41"/>
    </row>
    <row r="3778" spans="8:13" x14ac:dyDescent="0.25">
      <c r="H3778" s="37"/>
      <c r="I3778" s="79"/>
      <c r="J3778" s="70"/>
      <c r="K3778" s="57"/>
      <c r="L3778" s="11"/>
      <c r="M3778" s="41"/>
    </row>
    <row r="3779" spans="8:13" x14ac:dyDescent="0.25">
      <c r="H3779" s="37"/>
      <c r="I3779" s="79"/>
      <c r="J3779" s="70"/>
      <c r="K3779" s="57"/>
      <c r="L3779" s="11"/>
      <c r="M3779" s="41"/>
    </row>
    <row r="3780" spans="8:13" x14ac:dyDescent="0.25">
      <c r="H3780" s="37"/>
      <c r="I3780" s="79"/>
      <c r="J3780" s="70"/>
      <c r="K3780" s="57"/>
      <c r="L3780" s="11"/>
      <c r="M3780" s="41"/>
    </row>
    <row r="3781" spans="8:13" x14ac:dyDescent="0.25">
      <c r="H3781" s="37"/>
      <c r="I3781" s="79"/>
      <c r="J3781" s="70"/>
      <c r="K3781" s="57"/>
      <c r="L3781" s="11"/>
      <c r="M3781" s="41"/>
    </row>
    <row r="3782" spans="8:13" x14ac:dyDescent="0.25">
      <c r="H3782" s="37"/>
      <c r="I3782" s="79"/>
      <c r="J3782" s="70"/>
      <c r="K3782" s="57"/>
      <c r="L3782" s="11"/>
      <c r="M3782" s="41"/>
    </row>
    <row r="3783" spans="8:13" x14ac:dyDescent="0.25">
      <c r="H3783" s="37"/>
      <c r="I3783" s="79"/>
      <c r="J3783" s="70"/>
      <c r="K3783" s="57"/>
      <c r="L3783" s="11"/>
      <c r="M3783" s="41"/>
    </row>
    <row r="3784" spans="8:13" x14ac:dyDescent="0.25">
      <c r="H3784" s="37"/>
      <c r="I3784" s="79"/>
      <c r="J3784" s="70"/>
      <c r="K3784" s="57"/>
      <c r="L3784" s="11"/>
      <c r="M3784" s="41"/>
    </row>
    <row r="3785" spans="8:13" x14ac:dyDescent="0.25">
      <c r="H3785" s="37"/>
      <c r="I3785" s="79"/>
      <c r="J3785" s="70"/>
      <c r="K3785" s="57"/>
      <c r="L3785" s="11"/>
      <c r="M3785" s="41"/>
    </row>
    <row r="3786" spans="8:13" x14ac:dyDescent="0.25">
      <c r="H3786" s="37"/>
      <c r="I3786" s="79"/>
      <c r="J3786" s="70"/>
      <c r="K3786" s="57"/>
      <c r="L3786" s="11"/>
      <c r="M3786" s="41"/>
    </row>
    <row r="3787" spans="8:13" x14ac:dyDescent="0.25">
      <c r="H3787" s="37"/>
      <c r="I3787" s="79"/>
      <c r="J3787" s="70"/>
      <c r="K3787" s="57"/>
      <c r="L3787" s="11"/>
      <c r="M3787" s="41"/>
    </row>
    <row r="3788" spans="8:13" x14ac:dyDescent="0.25">
      <c r="H3788" s="37"/>
      <c r="I3788" s="79"/>
      <c r="J3788" s="70"/>
      <c r="K3788" s="57"/>
      <c r="L3788" s="11"/>
      <c r="M3788" s="41"/>
    </row>
    <row r="3789" spans="8:13" x14ac:dyDescent="0.25">
      <c r="H3789" s="37"/>
      <c r="I3789" s="79"/>
      <c r="J3789" s="70"/>
      <c r="K3789" s="57"/>
      <c r="L3789" s="11"/>
      <c r="M3789" s="41"/>
    </row>
    <row r="3790" spans="8:13" x14ac:dyDescent="0.25">
      <c r="H3790" s="37"/>
      <c r="I3790" s="79"/>
      <c r="J3790" s="70"/>
      <c r="K3790" s="57"/>
      <c r="L3790" s="11"/>
      <c r="M3790" s="41"/>
    </row>
    <row r="3791" spans="8:13" x14ac:dyDescent="0.25">
      <c r="H3791" s="37"/>
      <c r="I3791" s="79"/>
      <c r="J3791" s="70"/>
      <c r="K3791" s="57"/>
      <c r="L3791" s="11"/>
      <c r="M3791" s="41"/>
    </row>
    <row r="3792" spans="8:13" x14ac:dyDescent="0.25">
      <c r="H3792" s="37"/>
      <c r="I3792" s="79"/>
      <c r="J3792" s="70"/>
      <c r="K3792" s="57"/>
      <c r="L3792" s="11"/>
      <c r="M3792" s="41"/>
    </row>
    <row r="3793" spans="8:13" x14ac:dyDescent="0.25">
      <c r="H3793" s="37"/>
      <c r="I3793" s="79"/>
      <c r="J3793" s="70"/>
      <c r="K3793" s="57"/>
      <c r="L3793" s="11"/>
      <c r="M3793" s="41"/>
    </row>
    <row r="3794" spans="8:13" x14ac:dyDescent="0.25">
      <c r="H3794" s="37"/>
      <c r="I3794" s="79"/>
      <c r="J3794" s="70"/>
      <c r="K3794" s="57"/>
      <c r="L3794" s="11"/>
      <c r="M3794" s="41"/>
    </row>
    <row r="3795" spans="8:13" x14ac:dyDescent="0.25">
      <c r="H3795" s="37"/>
      <c r="I3795" s="79"/>
      <c r="J3795" s="70"/>
      <c r="K3795" s="57"/>
      <c r="L3795" s="11"/>
      <c r="M3795" s="41"/>
    </row>
    <row r="3796" spans="8:13" x14ac:dyDescent="0.25">
      <c r="H3796" s="37"/>
      <c r="I3796" s="79"/>
      <c r="J3796" s="70"/>
      <c r="K3796" s="57"/>
      <c r="L3796" s="11"/>
      <c r="M3796" s="41"/>
    </row>
    <row r="3797" spans="8:13" x14ac:dyDescent="0.25">
      <c r="H3797" s="37"/>
      <c r="I3797" s="79"/>
      <c r="J3797" s="70"/>
      <c r="K3797" s="57"/>
      <c r="L3797" s="11"/>
      <c r="M3797" s="41"/>
    </row>
    <row r="3798" spans="8:13" x14ac:dyDescent="0.25">
      <c r="H3798" s="37"/>
      <c r="I3798" s="79"/>
      <c r="J3798" s="70"/>
      <c r="K3798" s="57"/>
      <c r="L3798" s="11"/>
      <c r="M3798" s="41"/>
    </row>
    <row r="3799" spans="8:13" x14ac:dyDescent="0.25">
      <c r="H3799" s="37"/>
      <c r="I3799" s="79"/>
      <c r="J3799" s="70"/>
      <c r="K3799" s="57"/>
      <c r="L3799" s="11"/>
      <c r="M3799" s="41"/>
    </row>
    <row r="3800" spans="8:13" x14ac:dyDescent="0.25">
      <c r="H3800" s="37"/>
      <c r="I3800" s="79"/>
      <c r="J3800" s="70"/>
      <c r="K3800" s="57"/>
      <c r="L3800" s="11"/>
      <c r="M3800" s="41"/>
    </row>
    <row r="3801" spans="8:13" x14ac:dyDescent="0.25">
      <c r="H3801" s="37"/>
      <c r="I3801" s="79"/>
      <c r="J3801" s="70"/>
      <c r="K3801" s="57"/>
      <c r="L3801" s="11"/>
      <c r="M3801" s="41"/>
    </row>
    <row r="3802" spans="8:13" x14ac:dyDescent="0.25">
      <c r="H3802" s="37"/>
      <c r="I3802" s="79"/>
      <c r="J3802" s="70"/>
      <c r="K3802" s="57"/>
      <c r="L3802" s="11"/>
      <c r="M3802" s="41"/>
    </row>
    <row r="3803" spans="8:13" x14ac:dyDescent="0.25">
      <c r="H3803" s="37"/>
      <c r="I3803" s="79"/>
      <c r="J3803" s="70"/>
      <c r="K3803" s="57"/>
      <c r="L3803" s="11"/>
      <c r="M3803" s="41"/>
    </row>
    <row r="3804" spans="8:13" x14ac:dyDescent="0.25">
      <c r="H3804" s="37"/>
      <c r="I3804" s="79"/>
      <c r="J3804" s="70"/>
      <c r="K3804" s="57"/>
      <c r="L3804" s="11"/>
      <c r="M3804" s="41"/>
    </row>
    <row r="3805" spans="8:13" x14ac:dyDescent="0.25">
      <c r="H3805" s="37"/>
      <c r="I3805" s="79"/>
      <c r="J3805" s="70"/>
      <c r="K3805" s="57"/>
      <c r="L3805" s="11"/>
      <c r="M3805" s="41"/>
    </row>
    <row r="3806" spans="8:13" x14ac:dyDescent="0.25">
      <c r="H3806" s="37"/>
      <c r="I3806" s="79"/>
      <c r="J3806" s="70"/>
      <c r="K3806" s="57"/>
      <c r="L3806" s="11"/>
      <c r="M3806" s="41"/>
    </row>
    <row r="3807" spans="8:13" x14ac:dyDescent="0.25">
      <c r="H3807" s="37"/>
      <c r="I3807" s="79"/>
      <c r="J3807" s="70"/>
      <c r="K3807" s="57"/>
      <c r="L3807" s="11"/>
      <c r="M3807" s="41"/>
    </row>
    <row r="3808" spans="8:13" x14ac:dyDescent="0.25">
      <c r="H3808" s="37"/>
      <c r="I3808" s="79"/>
      <c r="J3808" s="70"/>
      <c r="K3808" s="57"/>
      <c r="L3808" s="11"/>
      <c r="M3808" s="41"/>
    </row>
    <row r="3809" spans="8:13" x14ac:dyDescent="0.25">
      <c r="H3809" s="37"/>
      <c r="I3809" s="79"/>
      <c r="J3809" s="70"/>
      <c r="K3809" s="57"/>
      <c r="L3809" s="11"/>
      <c r="M3809" s="41"/>
    </row>
    <row r="3810" spans="8:13" x14ac:dyDescent="0.25">
      <c r="H3810" s="37"/>
      <c r="I3810" s="79"/>
      <c r="J3810" s="70"/>
      <c r="K3810" s="57"/>
      <c r="L3810" s="11"/>
      <c r="M3810" s="41"/>
    </row>
  </sheetData>
  <autoFilter ref="A2:O134" xr:uid="{C05F9277-E941-4F8C-B88B-7443D998D414}"/>
  <conditionalFormatting sqref="I150:J3810 J3811:K1048576">
    <cfRule type="containsText" dxfId="112" priority="19" operator="containsText" text="ไม่พบ">
      <formula>NOT(ISERROR(SEARCH("ไม่พบ",I150)))</formula>
    </cfRule>
  </conditionalFormatting>
  <conditionalFormatting sqref="J1">
    <cfRule type="containsText" dxfId="111" priority="4" operator="containsText" text="ไม่พบ">
      <formula>NOT(ISERROR(SEARCH("ไม่พบ",J1)))</formula>
    </cfRule>
  </conditionalFormatting>
  <conditionalFormatting sqref="J2:L2">
    <cfRule type="containsText" dxfId="110" priority="18" operator="containsText" text="ไม่พบ">
      <formula>NOT(ISERROR(SEARCH("ไม่พบ",J2)))</formula>
    </cfRule>
  </conditionalFormatting>
  <conditionalFormatting sqref="N2">
    <cfRule type="duplicateValues" dxfId="109" priority="3"/>
  </conditionalFormatting>
  <conditionalFormatting sqref="N3759:N1047353 N1">
    <cfRule type="duplicateValues" dxfId="108" priority="10"/>
    <cfRule type="duplicateValues" dxfId="107" priority="11"/>
  </conditionalFormatting>
  <conditionalFormatting sqref="N1047354:N1048576 M149:M3810">
    <cfRule type="duplicateValues" dxfId="106" priority="16"/>
    <cfRule type="duplicateValues" dxfId="105" priority="17"/>
  </conditionalFormatting>
  <conditionalFormatting sqref="O2">
    <cfRule type="duplicateValues" dxfId="104" priority="1"/>
    <cfRule type="duplicateValues" dxfId="103" priority="2"/>
  </conditionalFormatting>
  <dataValidations count="2">
    <dataValidation type="list" allowBlank="1" showInputMessage="1" showErrorMessage="1" sqref="L1:L2 K2 L3811:L1048576 K150:K3810" xr:uid="{3D203CAE-950A-49AF-93A7-4D3E95830D08}">
      <formula1>#REF!</formula1>
    </dataValidation>
    <dataValidation type="list" allowBlank="1" showInputMessage="1" showErrorMessage="1" sqref="K1" xr:uid="{F3FC612A-8D6B-4F73-8CC5-77BC36AAB259}">
      <formula1>$M$3:$M$35</formula1>
    </dataValidation>
  </dataValidations>
  <pageMargins left="0.25" right="0.25" top="0.75" bottom="0.75" header="0.3" footer="0.3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85EF-5758-4FBD-AF3D-F2B8AB70A998}">
  <sheetPr>
    <tabColor rgb="FF00B0F0"/>
  </sheetPr>
  <dimension ref="A1:N52"/>
  <sheetViews>
    <sheetView zoomScale="55" zoomScaleNormal="55" workbookViewId="0">
      <pane xSplit="4" ySplit="2" topLeftCell="E3" activePane="bottomRight" state="frozen"/>
      <selection activeCell="A2" sqref="A2"/>
      <selection pane="topRight" activeCell="A2" sqref="A2"/>
      <selection pane="bottomLeft" activeCell="A2" sqref="A2"/>
      <selection pane="bottomRight" activeCell="I3" sqref="B3:I7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2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939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/>
      <c r="C3" s="1"/>
      <c r="D3" s="1"/>
      <c r="E3" s="1"/>
      <c r="F3" s="1"/>
      <c r="G3" s="1"/>
      <c r="H3" s="23"/>
      <c r="I3" s="53"/>
      <c r="J3" s="30"/>
      <c r="M3" s="30"/>
    </row>
    <row r="4" spans="1:13" s="31" customFormat="1" ht="23.4" x14ac:dyDescent="0.6">
      <c r="A4" s="9">
        <v>2</v>
      </c>
      <c r="B4" s="1"/>
      <c r="C4" s="1"/>
      <c r="D4" s="1"/>
      <c r="E4" s="1"/>
      <c r="F4" s="1"/>
      <c r="G4" s="1"/>
      <c r="H4" s="23"/>
      <c r="I4" s="53"/>
      <c r="J4" s="30"/>
      <c r="M4" s="30"/>
    </row>
    <row r="5" spans="1:13" s="31" customFormat="1" ht="23.4" x14ac:dyDescent="0.6">
      <c r="A5" s="9">
        <v>3</v>
      </c>
      <c r="B5" s="1"/>
      <c r="C5" s="1"/>
      <c r="D5" s="1"/>
      <c r="E5" s="1"/>
      <c r="F5" s="1"/>
      <c r="G5" s="1"/>
      <c r="H5" s="23"/>
      <c r="I5" s="53"/>
      <c r="J5" s="30"/>
      <c r="M5" s="30"/>
    </row>
    <row r="6" spans="1:13" s="31" customFormat="1" ht="23.4" x14ac:dyDescent="0.6">
      <c r="A6" s="9">
        <v>4</v>
      </c>
      <c r="B6" s="1"/>
      <c r="C6" s="1"/>
      <c r="D6" s="1"/>
      <c r="E6" s="1"/>
      <c r="F6" s="1"/>
      <c r="G6" s="1"/>
      <c r="H6" s="23"/>
      <c r="I6" s="53"/>
      <c r="J6" s="30"/>
      <c r="M6" s="30"/>
    </row>
    <row r="7" spans="1:13" s="31" customFormat="1" ht="23.4" x14ac:dyDescent="0.6">
      <c r="A7" s="9">
        <v>5</v>
      </c>
      <c r="B7" s="1"/>
      <c r="C7" s="1"/>
      <c r="D7" s="1"/>
      <c r="E7" s="1"/>
      <c r="F7" s="1"/>
      <c r="G7" s="1"/>
      <c r="H7" s="23"/>
      <c r="I7" s="53"/>
      <c r="J7" s="30"/>
      <c r="M7" s="30"/>
    </row>
    <row r="8" spans="1:13" s="31" customFormat="1" ht="23.4" x14ac:dyDescent="0.6">
      <c r="A8" s="9">
        <v>6</v>
      </c>
      <c r="B8" s="1"/>
      <c r="C8" s="1"/>
      <c r="D8" s="1"/>
      <c r="E8" s="1"/>
      <c r="F8" s="1"/>
      <c r="G8" s="1"/>
      <c r="H8" s="23"/>
      <c r="I8" s="53"/>
      <c r="J8" s="30"/>
      <c r="M8" s="30"/>
    </row>
    <row r="9" spans="1:13" s="31" customFormat="1" ht="23.4" x14ac:dyDescent="0.6">
      <c r="A9" s="9">
        <v>7</v>
      </c>
      <c r="B9" s="1"/>
      <c r="C9" s="1"/>
      <c r="D9" s="1"/>
      <c r="E9" s="1"/>
      <c r="F9" s="1"/>
      <c r="G9" s="1"/>
      <c r="H9" s="23"/>
      <c r="I9" s="53"/>
      <c r="J9" s="30"/>
      <c r="M9" s="30"/>
    </row>
    <row r="10" spans="1:13" s="31" customFormat="1" ht="23.4" x14ac:dyDescent="0.6">
      <c r="A10" s="9">
        <v>8</v>
      </c>
      <c r="B10" s="54"/>
      <c r="C10" s="54"/>
      <c r="D10" s="54"/>
      <c r="E10" s="54"/>
      <c r="F10" s="54"/>
      <c r="G10" s="54"/>
      <c r="H10" s="55"/>
      <c r="I10" s="53"/>
      <c r="J10" s="30"/>
      <c r="M10" s="30"/>
    </row>
    <row r="11" spans="1:13" s="31" customFormat="1" ht="23.4" x14ac:dyDescent="0.6">
      <c r="A11" s="9">
        <v>9</v>
      </c>
      <c r="B11" s="54"/>
      <c r="C11" s="54"/>
      <c r="D11" s="54"/>
      <c r="E11" s="54"/>
      <c r="F11" s="54"/>
      <c r="G11" s="54"/>
      <c r="H11" s="55"/>
      <c r="I11" s="53"/>
      <c r="J11" s="30"/>
      <c r="M11" s="30"/>
    </row>
    <row r="12" spans="1:13" s="31" customFormat="1" ht="23.4" x14ac:dyDescent="0.6">
      <c r="A12" s="9">
        <v>10</v>
      </c>
      <c r="B12" s="54"/>
      <c r="C12" s="54"/>
      <c r="D12" s="54"/>
      <c r="E12" s="54"/>
      <c r="F12" s="54"/>
      <c r="G12" s="54"/>
      <c r="H12" s="55"/>
      <c r="I12" s="53"/>
      <c r="J12" s="30"/>
      <c r="M12" s="30"/>
    </row>
    <row r="13" spans="1:13" s="31" customFormat="1" ht="23.4" x14ac:dyDescent="0.6">
      <c r="A13" s="9">
        <v>11</v>
      </c>
      <c r="B13" s="54"/>
      <c r="C13" s="54"/>
      <c r="D13" s="54"/>
      <c r="E13" s="54"/>
      <c r="F13" s="54"/>
      <c r="G13" s="54"/>
      <c r="H13" s="55"/>
      <c r="I13" s="53"/>
      <c r="J13" s="30"/>
      <c r="M13" s="30"/>
    </row>
    <row r="14" spans="1:13" s="31" customFormat="1" ht="23.4" x14ac:dyDescent="0.6">
      <c r="A14" s="9">
        <v>12</v>
      </c>
      <c r="B14" s="54"/>
      <c r="C14" s="54"/>
      <c r="D14" s="54"/>
      <c r="E14" s="54"/>
      <c r="F14" s="54"/>
      <c r="G14" s="54"/>
      <c r="H14" s="55"/>
      <c r="I14" s="53"/>
      <c r="J14" s="30"/>
      <c r="K14" s="121"/>
      <c r="M14" s="30"/>
    </row>
    <row r="15" spans="1:13" s="31" customFormat="1" ht="23.4" x14ac:dyDescent="0.6">
      <c r="A15" s="9">
        <v>13</v>
      </c>
      <c r="B15" s="54"/>
      <c r="C15" s="54"/>
      <c r="D15" s="54"/>
      <c r="E15" s="54"/>
      <c r="F15" s="54"/>
      <c r="G15" s="54"/>
      <c r="H15" s="55"/>
      <c r="I15" s="53"/>
      <c r="J15" s="30"/>
      <c r="M15" s="30"/>
    </row>
    <row r="16" spans="1:13" s="31" customFormat="1" ht="23.4" x14ac:dyDescent="0.6">
      <c r="A16" s="9">
        <v>14</v>
      </c>
      <c r="B16" s="54"/>
      <c r="C16" s="54"/>
      <c r="D16" s="54"/>
      <c r="E16" s="54"/>
      <c r="F16" s="54"/>
      <c r="G16" s="54"/>
      <c r="H16" s="55"/>
      <c r="I16" s="53"/>
      <c r="J16" s="30"/>
      <c r="M16" s="30"/>
    </row>
    <row r="17" spans="1:14" s="31" customFormat="1" ht="23.4" x14ac:dyDescent="0.6">
      <c r="A17" s="9">
        <v>15</v>
      </c>
      <c r="B17" s="54"/>
      <c r="C17" s="54"/>
      <c r="D17" s="54"/>
      <c r="E17" s="54"/>
      <c r="F17" s="54"/>
      <c r="G17" s="54"/>
      <c r="H17" s="55"/>
      <c r="I17" s="53"/>
      <c r="J17" s="30"/>
      <c r="M17" s="30"/>
    </row>
    <row r="18" spans="1:14" s="31" customFormat="1" ht="23.4" x14ac:dyDescent="0.6">
      <c r="A18" s="9">
        <v>16</v>
      </c>
      <c r="B18" s="54"/>
      <c r="C18" s="54"/>
      <c r="D18" s="54"/>
      <c r="E18" s="54"/>
      <c r="F18" s="54"/>
      <c r="G18" s="54"/>
      <c r="H18" s="55"/>
      <c r="I18" s="53"/>
      <c r="J18" s="30"/>
      <c r="M18" s="30"/>
    </row>
    <row r="19" spans="1:14" s="31" customFormat="1" ht="23.4" x14ac:dyDescent="0.6">
      <c r="A19" s="9">
        <v>17</v>
      </c>
      <c r="B19" s="54"/>
      <c r="C19" s="54"/>
      <c r="D19" s="54"/>
      <c r="E19" s="54"/>
      <c r="F19" s="54"/>
      <c r="G19" s="54"/>
      <c r="H19" s="55"/>
      <c r="I19" s="55"/>
      <c r="J19" s="30"/>
      <c r="M19" s="30"/>
    </row>
    <row r="20" spans="1:14" s="31" customFormat="1" ht="23.4" x14ac:dyDescent="0.6">
      <c r="A20" s="9">
        <v>18</v>
      </c>
      <c r="B20" s="54"/>
      <c r="C20" s="54"/>
      <c r="D20" s="54"/>
      <c r="E20" s="54"/>
      <c r="F20" s="54"/>
      <c r="G20" s="54"/>
      <c r="H20" s="55"/>
      <c r="I20" s="53"/>
      <c r="J20" s="30"/>
      <c r="M20" s="30"/>
    </row>
    <row r="21" spans="1:14" s="31" customFormat="1" ht="23.4" x14ac:dyDescent="0.6">
      <c r="A21" s="9">
        <v>19</v>
      </c>
      <c r="B21" s="54"/>
      <c r="C21" s="54"/>
      <c r="D21" s="54"/>
      <c r="E21" s="54"/>
      <c r="F21" s="54"/>
      <c r="G21" s="54"/>
      <c r="H21" s="55"/>
      <c r="I21" s="53"/>
      <c r="J21" s="30"/>
      <c r="M21" s="30"/>
    </row>
    <row r="22" spans="1:14" s="31" customFormat="1" ht="23.4" x14ac:dyDescent="0.6">
      <c r="A22" s="9">
        <v>20</v>
      </c>
      <c r="B22" s="54"/>
      <c r="C22" s="54"/>
      <c r="D22" s="54"/>
      <c r="E22" s="54"/>
      <c r="F22" s="54"/>
      <c r="G22" s="54"/>
      <c r="H22" s="55"/>
      <c r="I22" s="53"/>
      <c r="J22" s="30"/>
      <c r="M22" s="30"/>
    </row>
    <row r="23" spans="1:14" s="31" customFormat="1" ht="23.4" x14ac:dyDescent="0.6">
      <c r="A23" s="9">
        <v>21</v>
      </c>
      <c r="B23" s="54"/>
      <c r="C23" s="54"/>
      <c r="D23" s="54"/>
      <c r="E23" s="54"/>
      <c r="F23" s="54"/>
      <c r="G23" s="54"/>
      <c r="H23" s="55"/>
      <c r="I23" s="53"/>
      <c r="J23" s="30"/>
      <c r="M23" s="30"/>
    </row>
    <row r="24" spans="1:14" s="31" customFormat="1" ht="22.95" customHeight="1" x14ac:dyDescent="0.6">
      <c r="A24" s="9">
        <v>22</v>
      </c>
      <c r="B24" s="54"/>
      <c r="C24" s="54"/>
      <c r="D24" s="54"/>
      <c r="E24" s="54"/>
      <c r="F24" s="54"/>
      <c r="G24" s="54"/>
      <c r="H24" s="55"/>
      <c r="I24" s="53"/>
      <c r="J24" s="30"/>
      <c r="M24" s="30"/>
    </row>
    <row r="25" spans="1:14" s="31" customFormat="1" ht="23.4" x14ac:dyDescent="0.6">
      <c r="A25" s="9">
        <v>23</v>
      </c>
      <c r="B25" s="54"/>
      <c r="C25" s="54"/>
      <c r="D25" s="54"/>
      <c r="E25" s="54"/>
      <c r="F25" s="54"/>
      <c r="G25" s="54"/>
      <c r="H25" s="55"/>
      <c r="I25" s="53"/>
      <c r="J25" s="30"/>
      <c r="M25" s="30"/>
    </row>
    <row r="26" spans="1:14" s="31" customFormat="1" ht="23.4" x14ac:dyDescent="0.6">
      <c r="A26" s="9">
        <v>24</v>
      </c>
      <c r="B26" s="54"/>
      <c r="C26" s="54"/>
      <c r="D26" s="54"/>
      <c r="E26" s="54"/>
      <c r="F26" s="54"/>
      <c r="G26" s="54"/>
      <c r="H26" s="53"/>
      <c r="I26" s="53"/>
      <c r="J26" s="30"/>
      <c r="L26" s="30"/>
    </row>
    <row r="27" spans="1:14" s="31" customFormat="1" ht="23.4" x14ac:dyDescent="0.6">
      <c r="A27" s="9">
        <v>25</v>
      </c>
      <c r="B27" s="54"/>
      <c r="C27" s="54"/>
      <c r="D27" s="54"/>
      <c r="E27" s="54"/>
      <c r="F27" s="54"/>
      <c r="G27" s="54"/>
      <c r="H27" s="53"/>
      <c r="I27" s="53"/>
      <c r="J27" s="30"/>
      <c r="L27" s="30"/>
    </row>
    <row r="28" spans="1:14" s="31" customFormat="1" ht="23.4" x14ac:dyDescent="0.6">
      <c r="A28" s="9">
        <v>26</v>
      </c>
      <c r="B28" s="54"/>
      <c r="C28" s="54"/>
      <c r="D28" s="54"/>
      <c r="E28" s="54"/>
      <c r="F28" s="54"/>
      <c r="G28" s="54"/>
      <c r="H28" s="53"/>
      <c r="I28" s="53"/>
      <c r="J28" s="30"/>
      <c r="L28" s="30"/>
    </row>
    <row r="29" spans="1:14" s="31" customFormat="1" ht="23.4" x14ac:dyDescent="0.6">
      <c r="A29" s="9">
        <v>27</v>
      </c>
      <c r="B29" s="54"/>
      <c r="C29" s="54"/>
      <c r="D29" s="54"/>
      <c r="E29" s="54"/>
      <c r="F29" s="54"/>
      <c r="G29" s="54"/>
      <c r="H29" s="53"/>
      <c r="I29" s="53"/>
      <c r="J29" s="30"/>
      <c r="L29" s="30"/>
    </row>
    <row r="30" spans="1:14" s="31" customFormat="1" ht="23.4" x14ac:dyDescent="0.6">
      <c r="A30" s="9">
        <v>28</v>
      </c>
      <c r="B30" s="54"/>
      <c r="C30" s="54"/>
      <c r="D30" s="54"/>
      <c r="E30" s="54"/>
      <c r="F30" s="54"/>
      <c r="G30" s="54"/>
      <c r="H30" s="53"/>
      <c r="I30" s="53"/>
      <c r="J30" s="30"/>
      <c r="L30" s="30"/>
      <c r="M30" s="31">
        <v>0</v>
      </c>
      <c r="N30" s="31" t="s">
        <v>203</v>
      </c>
    </row>
    <row r="31" spans="1:14" s="31" customFormat="1" ht="23.4" x14ac:dyDescent="0.6">
      <c r="A31" s="9">
        <v>29</v>
      </c>
      <c r="B31" s="54"/>
      <c r="C31" s="54"/>
      <c r="D31" s="54"/>
      <c r="E31" s="54"/>
      <c r="F31" s="54"/>
      <c r="G31" s="54"/>
      <c r="H31" s="53"/>
      <c r="I31" s="53"/>
      <c r="J31" s="30"/>
      <c r="L31" s="30"/>
      <c r="M31" s="31">
        <v>0</v>
      </c>
      <c r="N31" s="31" t="s">
        <v>204</v>
      </c>
    </row>
    <row r="32" spans="1:14" s="31" customFormat="1" ht="23.4" x14ac:dyDescent="0.6">
      <c r="A32" s="9">
        <v>30</v>
      </c>
      <c r="B32" s="54"/>
      <c r="C32" s="54"/>
      <c r="D32" s="54"/>
      <c r="E32" s="54"/>
      <c r="F32" s="54"/>
      <c r="G32" s="54"/>
      <c r="H32" s="53"/>
      <c r="I32" s="53"/>
      <c r="J32" s="30"/>
      <c r="L32" s="30"/>
      <c r="M32" s="31">
        <v>0</v>
      </c>
      <c r="N32" s="31" t="s">
        <v>205</v>
      </c>
    </row>
    <row r="33" spans="1:14" s="31" customFormat="1" ht="23.4" x14ac:dyDescent="0.6">
      <c r="A33" s="9">
        <v>31</v>
      </c>
      <c r="B33" s="54"/>
      <c r="C33" s="54"/>
      <c r="D33" s="54"/>
      <c r="E33" s="54"/>
      <c r="F33" s="54"/>
      <c r="G33" s="54"/>
      <c r="H33" s="53"/>
      <c r="I33" s="53"/>
      <c r="J33" s="30"/>
      <c r="L33" s="30"/>
      <c r="M33" s="31">
        <v>0</v>
      </c>
      <c r="N33" s="31" t="s">
        <v>206</v>
      </c>
    </row>
    <row r="34" spans="1:14" s="31" customFormat="1" ht="23.4" x14ac:dyDescent="0.6">
      <c r="A34" s="9">
        <v>32</v>
      </c>
      <c r="B34" s="54"/>
      <c r="C34" s="54"/>
      <c r="D34" s="54"/>
      <c r="E34" s="54"/>
      <c r="F34" s="54"/>
      <c r="G34" s="54"/>
      <c r="H34" s="53"/>
      <c r="I34" s="53"/>
      <c r="J34" s="30"/>
      <c r="L34" s="30"/>
      <c r="M34" s="31">
        <v>0</v>
      </c>
      <c r="N34" s="31" t="s">
        <v>207</v>
      </c>
    </row>
    <row r="35" spans="1:14" s="31" customFormat="1" ht="23.4" x14ac:dyDescent="0.6">
      <c r="A35" s="9">
        <v>33</v>
      </c>
      <c r="B35" s="54"/>
      <c r="C35" s="54"/>
      <c r="D35" s="54"/>
      <c r="E35" s="54"/>
      <c r="F35" s="54"/>
      <c r="G35" s="54"/>
      <c r="H35" s="53"/>
      <c r="I35" s="53"/>
      <c r="J35" s="30"/>
      <c r="L35" s="30"/>
      <c r="M35" s="31">
        <v>0</v>
      </c>
      <c r="N35" s="31" t="s">
        <v>208</v>
      </c>
    </row>
    <row r="36" spans="1:14" s="31" customFormat="1" ht="23.4" x14ac:dyDescent="0.6">
      <c r="A36" s="9">
        <v>34</v>
      </c>
      <c r="B36" s="54"/>
      <c r="C36" s="54"/>
      <c r="D36" s="54"/>
      <c r="E36" s="54"/>
      <c r="F36" s="54"/>
      <c r="G36" s="54"/>
      <c r="H36" s="53"/>
      <c r="I36" s="53"/>
      <c r="J36" s="30"/>
      <c r="L36" s="30"/>
      <c r="M36" s="31">
        <v>0</v>
      </c>
      <c r="N36" s="31" t="s">
        <v>209</v>
      </c>
    </row>
    <row r="37" spans="1:14" s="31" customFormat="1" ht="23.4" x14ac:dyDescent="0.6">
      <c r="A37" s="9">
        <v>35</v>
      </c>
      <c r="B37" s="54"/>
      <c r="C37" s="54"/>
      <c r="D37" s="54"/>
      <c r="E37" s="54"/>
      <c r="F37" s="54"/>
      <c r="G37" s="54"/>
      <c r="H37" s="53"/>
      <c r="I37" s="53"/>
      <c r="J37" s="30"/>
      <c r="L37" s="30"/>
      <c r="M37" s="31">
        <v>0</v>
      </c>
      <c r="N37" s="31" t="s">
        <v>210</v>
      </c>
    </row>
    <row r="38" spans="1:14" s="31" customFormat="1" ht="23.4" x14ac:dyDescent="0.6">
      <c r="A38" s="9">
        <v>36</v>
      </c>
      <c r="B38" s="54"/>
      <c r="C38" s="54"/>
      <c r="D38" s="54"/>
      <c r="E38" s="54"/>
      <c r="F38" s="54"/>
      <c r="G38" s="54"/>
      <c r="H38" s="53"/>
      <c r="I38" s="53"/>
      <c r="J38" s="30"/>
      <c r="L38" s="30"/>
    </row>
    <row r="39" spans="1:14" s="31" customFormat="1" ht="23.4" x14ac:dyDescent="0.6">
      <c r="A39" s="9">
        <v>37</v>
      </c>
      <c r="B39" s="54"/>
      <c r="C39" s="54"/>
      <c r="D39" s="54"/>
      <c r="E39" s="54"/>
      <c r="F39" s="54"/>
      <c r="G39" s="54"/>
      <c r="H39" s="53"/>
      <c r="I39" s="53"/>
      <c r="J39" s="30"/>
      <c r="L39" s="30"/>
    </row>
    <row r="40" spans="1:14" s="31" customFormat="1" ht="23.4" x14ac:dyDescent="0.6">
      <c r="A40" s="9">
        <v>38</v>
      </c>
      <c r="B40" s="54"/>
      <c r="C40" s="54"/>
      <c r="D40" s="54"/>
      <c r="E40" s="54"/>
      <c r="F40" s="54"/>
      <c r="G40" s="54"/>
      <c r="H40" s="53"/>
      <c r="I40" s="53"/>
      <c r="J40" s="30"/>
      <c r="L40" s="30"/>
    </row>
    <row r="41" spans="1:14" s="31" customFormat="1" ht="23.4" x14ac:dyDescent="0.6">
      <c r="A41" s="9">
        <v>39</v>
      </c>
      <c r="B41" s="54"/>
      <c r="C41" s="54"/>
      <c r="D41" s="54"/>
      <c r="E41" s="54"/>
      <c r="F41" s="54"/>
      <c r="G41" s="54"/>
      <c r="H41" s="53"/>
      <c r="I41" s="53"/>
      <c r="J41" s="30"/>
      <c r="L41" s="30"/>
    </row>
    <row r="42" spans="1:14" s="31" customFormat="1" ht="23.4" x14ac:dyDescent="0.6">
      <c r="A42" s="9">
        <v>40</v>
      </c>
      <c r="B42" s="54"/>
      <c r="C42" s="54"/>
      <c r="D42" s="54"/>
      <c r="E42" s="54"/>
      <c r="F42" s="54"/>
      <c r="G42" s="54"/>
      <c r="H42" s="53"/>
      <c r="I42" s="53"/>
      <c r="J42" s="30"/>
      <c r="L42" s="30"/>
    </row>
    <row r="43" spans="1:14" s="31" customFormat="1" ht="23.4" x14ac:dyDescent="0.6">
      <c r="A43" s="9">
        <v>41</v>
      </c>
      <c r="B43" s="54"/>
      <c r="C43" s="54"/>
      <c r="D43" s="54"/>
      <c r="E43" s="54"/>
      <c r="F43" s="54"/>
      <c r="G43" s="54"/>
      <c r="H43" s="53"/>
      <c r="I43" s="53"/>
      <c r="J43" s="30"/>
      <c r="L43" s="30"/>
    </row>
    <row r="44" spans="1:14" s="31" customFormat="1" ht="23.4" x14ac:dyDescent="0.6">
      <c r="A44" s="9">
        <v>42</v>
      </c>
      <c r="B44" s="54"/>
      <c r="C44" s="54"/>
      <c r="D44" s="54"/>
      <c r="E44" s="54"/>
      <c r="F44" s="54"/>
      <c r="G44" s="54"/>
      <c r="H44" s="53"/>
      <c r="I44" s="53"/>
      <c r="J44" s="30"/>
      <c r="L44" s="30"/>
    </row>
    <row r="45" spans="1:14" s="31" customFormat="1" ht="23.4" x14ac:dyDescent="0.6">
      <c r="A45" s="9">
        <v>43</v>
      </c>
      <c r="B45" s="54"/>
      <c r="C45" s="54"/>
      <c r="D45" s="54"/>
      <c r="E45" s="54"/>
      <c r="F45" s="54"/>
      <c r="G45" s="54"/>
      <c r="H45" s="53"/>
      <c r="I45" s="53"/>
      <c r="J45" s="30"/>
      <c r="L45" s="30"/>
    </row>
    <row r="46" spans="1:14" s="31" customFormat="1" ht="23.4" x14ac:dyDescent="0.6">
      <c r="A46" s="9">
        <v>44</v>
      </c>
      <c r="B46" s="54"/>
      <c r="C46" s="54"/>
      <c r="D46" s="54"/>
      <c r="E46" s="54"/>
      <c r="F46" s="54"/>
      <c r="G46" s="54"/>
      <c r="H46" s="53"/>
      <c r="I46" s="53"/>
      <c r="J46" s="30"/>
      <c r="L46" s="30"/>
    </row>
    <row r="47" spans="1:14" s="31" customFormat="1" ht="23.4" x14ac:dyDescent="0.6">
      <c r="A47" s="9">
        <v>45</v>
      </c>
      <c r="B47" s="54"/>
      <c r="C47" s="54"/>
      <c r="D47" s="54"/>
      <c r="E47" s="54"/>
      <c r="F47" s="54"/>
      <c r="G47" s="54"/>
      <c r="H47" s="53"/>
      <c r="I47" s="53"/>
      <c r="J47" s="30"/>
      <c r="L47" s="30"/>
    </row>
    <row r="48" spans="1:14" s="31" customFormat="1" ht="23.4" x14ac:dyDescent="0.6">
      <c r="A48" s="9">
        <v>46</v>
      </c>
      <c r="B48" s="54"/>
      <c r="C48" s="54"/>
      <c r="D48" s="54"/>
      <c r="E48" s="54"/>
      <c r="F48" s="54"/>
      <c r="G48" s="54"/>
      <c r="H48" s="53"/>
      <c r="I48" s="53"/>
      <c r="J48" s="30"/>
      <c r="L48" s="30"/>
    </row>
    <row r="49" spans="1:12" s="31" customFormat="1" ht="23.4" x14ac:dyDescent="0.6">
      <c r="A49" s="9">
        <v>47</v>
      </c>
      <c r="B49" s="54"/>
      <c r="C49" s="54"/>
      <c r="D49" s="54"/>
      <c r="E49" s="54"/>
      <c r="F49" s="54"/>
      <c r="G49" s="54"/>
      <c r="H49" s="53"/>
      <c r="I49" s="53"/>
      <c r="J49" s="30"/>
      <c r="L49" s="30"/>
    </row>
    <row r="50" spans="1:12" s="31" customFormat="1" ht="23.4" x14ac:dyDescent="0.6">
      <c r="A50" s="9">
        <v>48</v>
      </c>
      <c r="B50" s="54"/>
      <c r="C50" s="54"/>
      <c r="D50" s="54"/>
      <c r="E50" s="54"/>
      <c r="F50" s="54"/>
      <c r="G50" s="54"/>
      <c r="H50" s="53"/>
      <c r="I50" s="53"/>
      <c r="J50" s="30"/>
      <c r="L50" s="30"/>
    </row>
    <row r="51" spans="1:12" ht="27" thickBot="1" x14ac:dyDescent="0.75">
      <c r="A51" s="56"/>
      <c r="B51" s="56"/>
      <c r="C51" s="56"/>
      <c r="D51" s="56"/>
      <c r="E51" s="56"/>
      <c r="F51" s="56"/>
      <c r="G51" s="25" t="s">
        <v>28</v>
      </c>
      <c r="H51" s="26">
        <f>SUM(H3:H50)</f>
        <v>0</v>
      </c>
      <c r="I51" s="16" t="s">
        <v>47</v>
      </c>
      <c r="L51" s="30"/>
    </row>
    <row r="52" spans="1:12" ht="21" thickTop="1" x14ac:dyDescent="0.25">
      <c r="L52" s="30"/>
    </row>
  </sheetData>
  <autoFilter ref="B2:J22" xr:uid="{418B859D-9AEE-4DBC-84AA-2E90E0A86546}">
    <sortState xmlns:xlrd2="http://schemas.microsoft.com/office/spreadsheetml/2017/richdata2" ref="B3:I67">
      <sortCondition ref="G2:G22"/>
    </sortState>
  </autoFilter>
  <conditionalFormatting sqref="H51">
    <cfRule type="containsText" dxfId="102" priority="1" operator="containsText" text="ไม่พบ">
      <formula>NOT(ISERROR(SEARCH("ไม่พบ",H51)))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7199-B4C2-4A9D-B19C-9E4194B6E223}">
  <sheetPr>
    <tabColor rgb="FFFF99FF"/>
    <pageSetUpPr fitToPage="1"/>
  </sheetPr>
  <dimension ref="A1:Y4981"/>
  <sheetViews>
    <sheetView zoomScale="55" zoomScaleNormal="55" workbookViewId="0">
      <pane xSplit="6" ySplit="2" topLeftCell="G3" activePane="bottomRight" state="frozen"/>
      <selection activeCell="N2" sqref="N2:O57"/>
      <selection pane="topRight" activeCell="N2" sqref="N2:O57"/>
      <selection pane="bottomLeft" activeCell="N2" sqref="N2:O57"/>
      <selection pane="bottomRight" activeCell="A6" sqref="A6:L185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7.19921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37" customWidth="1"/>
    <col min="10" max="10" width="15.296875" style="79" bestFit="1" customWidth="1"/>
    <col min="11" max="11" width="65.8984375" style="70" bestFit="1" customWidth="1"/>
    <col min="12" max="12" width="89.59765625" style="57" bestFit="1" customWidth="1"/>
    <col min="13" max="13" width="14.69921875" style="11" customWidth="1"/>
    <col min="14" max="14" width="88.8984375" style="41" bestFit="1" customWidth="1"/>
    <col min="15" max="15" width="17.19921875" style="11" bestFit="1" customWidth="1"/>
    <col min="16" max="16384" width="54.69921875" style="11"/>
  </cols>
  <sheetData>
    <row r="1" spans="1:15" ht="60" customHeight="1" thickBot="1" x14ac:dyDescent="0.75">
      <c r="A1" s="8" t="s">
        <v>938</v>
      </c>
      <c r="I1" s="87" t="s">
        <v>46</v>
      </c>
      <c r="J1" s="26">
        <f>SUBTOTAL(9,J3:J5)</f>
        <v>135</v>
      </c>
      <c r="K1" s="88" t="s">
        <v>47</v>
      </c>
    </row>
    <row r="2" spans="1:15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80" t="s">
        <v>43</v>
      </c>
      <c r="K2" s="6" t="s">
        <v>7</v>
      </c>
      <c r="L2" s="6" t="s">
        <v>7</v>
      </c>
      <c r="N2" s="7" t="s">
        <v>19</v>
      </c>
      <c r="O2" s="7" t="s">
        <v>21</v>
      </c>
    </row>
    <row r="3" spans="1:15" s="14" customFormat="1" ht="25.8" x14ac:dyDescent="0.25">
      <c r="A3" s="13">
        <v>1</v>
      </c>
      <c r="B3" s="54" t="s">
        <v>6203</v>
      </c>
      <c r="C3" s="54" t="s">
        <v>6204</v>
      </c>
      <c r="D3" s="54" t="s">
        <v>945</v>
      </c>
      <c r="E3" s="54" t="s">
        <v>8</v>
      </c>
      <c r="F3" s="54" t="s">
        <v>946</v>
      </c>
      <c r="G3" s="54" t="s">
        <v>6205</v>
      </c>
      <c r="H3" s="55">
        <v>0</v>
      </c>
      <c r="I3" s="81" t="s">
        <v>6207</v>
      </c>
      <c r="J3" s="81">
        <v>45</v>
      </c>
      <c r="K3" s="54" t="s">
        <v>78</v>
      </c>
      <c r="L3" s="54" t="s">
        <v>6206</v>
      </c>
      <c r="N3" s="42" t="s">
        <v>10</v>
      </c>
      <c r="O3" s="34">
        <v>0</v>
      </c>
    </row>
    <row r="4" spans="1:15" s="14" customFormat="1" ht="25.8" x14ac:dyDescent="0.25">
      <c r="A4" s="13">
        <v>2</v>
      </c>
      <c r="B4" s="54" t="s">
        <v>6209</v>
      </c>
      <c r="C4" s="54" t="s">
        <v>6210</v>
      </c>
      <c r="D4" s="54" t="s">
        <v>945</v>
      </c>
      <c r="E4" s="54" t="s">
        <v>8</v>
      </c>
      <c r="F4" s="54" t="s">
        <v>946</v>
      </c>
      <c r="G4" s="54" t="s">
        <v>6208</v>
      </c>
      <c r="H4" s="55">
        <v>0</v>
      </c>
      <c r="I4" s="81" t="s">
        <v>6212</v>
      </c>
      <c r="J4" s="81">
        <v>45</v>
      </c>
      <c r="K4" s="54" t="s">
        <v>78</v>
      </c>
      <c r="L4" s="54" t="s">
        <v>6211</v>
      </c>
      <c r="N4" s="42" t="s">
        <v>13</v>
      </c>
      <c r="O4" s="34">
        <v>0</v>
      </c>
    </row>
    <row r="5" spans="1:15" s="14" customFormat="1" ht="25.8" x14ac:dyDescent="0.25">
      <c r="A5" s="13">
        <v>3</v>
      </c>
      <c r="B5" s="54" t="s">
        <v>6213</v>
      </c>
      <c r="C5" s="54" t="s">
        <v>6214</v>
      </c>
      <c r="D5" s="54" t="s">
        <v>945</v>
      </c>
      <c r="E5" s="54" t="s">
        <v>8</v>
      </c>
      <c r="F5" s="54" t="s">
        <v>946</v>
      </c>
      <c r="G5" s="54" t="s">
        <v>6215</v>
      </c>
      <c r="H5" s="55">
        <v>0</v>
      </c>
      <c r="I5" s="81" t="s">
        <v>6217</v>
      </c>
      <c r="J5" s="81">
        <v>45</v>
      </c>
      <c r="K5" s="54" t="s">
        <v>78</v>
      </c>
      <c r="L5" s="54" t="s">
        <v>6216</v>
      </c>
      <c r="N5" s="42" t="s">
        <v>11</v>
      </c>
      <c r="O5" s="34">
        <v>0</v>
      </c>
    </row>
    <row r="6" spans="1:15" s="14" customFormat="1" ht="25.8" x14ac:dyDescent="0.25">
      <c r="A6" s="12"/>
      <c r="B6" s="11"/>
      <c r="C6" s="11"/>
      <c r="D6" s="11"/>
      <c r="E6" s="11"/>
      <c r="F6" s="11"/>
      <c r="G6" s="11"/>
      <c r="H6" s="11"/>
      <c r="I6" s="11"/>
      <c r="J6" s="11"/>
      <c r="K6" s="11"/>
      <c r="N6" s="42" t="s">
        <v>17</v>
      </c>
      <c r="O6" s="34">
        <v>0</v>
      </c>
    </row>
    <row r="7" spans="1:15" s="14" customFormat="1" ht="25.8" x14ac:dyDescent="0.25">
      <c r="A7" s="12"/>
      <c r="B7" s="11"/>
      <c r="C7" s="11"/>
      <c r="D7" s="11"/>
      <c r="E7" s="11"/>
      <c r="F7" s="11"/>
      <c r="G7" s="11"/>
      <c r="H7" s="37"/>
      <c r="I7" s="79"/>
      <c r="J7" s="70"/>
      <c r="K7" s="57"/>
      <c r="N7" s="42" t="s">
        <v>14</v>
      </c>
      <c r="O7" s="34">
        <v>0</v>
      </c>
    </row>
    <row r="8" spans="1:15" s="14" customFormat="1" ht="25.8" x14ac:dyDescent="0.25">
      <c r="A8" s="12"/>
      <c r="B8" s="11"/>
      <c r="C8" s="11"/>
      <c r="D8" s="11"/>
      <c r="E8" s="11"/>
      <c r="F8" s="11"/>
      <c r="G8" s="11"/>
      <c r="H8" s="37"/>
      <c r="I8" s="79"/>
      <c r="J8" s="70"/>
      <c r="K8" s="57"/>
      <c r="N8" s="42" t="s">
        <v>59</v>
      </c>
      <c r="O8" s="34">
        <v>0</v>
      </c>
    </row>
    <row r="9" spans="1:15" s="14" customFormat="1" ht="25.8" x14ac:dyDescent="0.25">
      <c r="A9" s="12"/>
      <c r="B9" s="11"/>
      <c r="C9" s="11"/>
      <c r="D9" s="11"/>
      <c r="E9" s="11"/>
      <c r="F9" s="11"/>
      <c r="G9" s="11"/>
      <c r="H9" s="37"/>
      <c r="I9" s="79"/>
      <c r="J9" s="70"/>
      <c r="K9" s="57"/>
      <c r="N9" s="42" t="s">
        <v>51</v>
      </c>
      <c r="O9" s="34">
        <v>0</v>
      </c>
    </row>
    <row r="10" spans="1:15" s="14" customFormat="1" ht="25.8" x14ac:dyDescent="0.25">
      <c r="A10" s="12"/>
      <c r="B10" s="11"/>
      <c r="C10" s="11"/>
      <c r="D10" s="11"/>
      <c r="E10" s="11"/>
      <c r="F10" s="11"/>
      <c r="G10" s="11"/>
      <c r="H10" s="37"/>
      <c r="I10" s="79"/>
      <c r="J10" s="70"/>
      <c r="K10" s="57"/>
      <c r="N10" s="42" t="s">
        <v>49</v>
      </c>
      <c r="O10" s="34">
        <v>0</v>
      </c>
    </row>
    <row r="11" spans="1:15" s="14" customFormat="1" ht="25.8" x14ac:dyDescent="0.25">
      <c r="A11" s="12"/>
      <c r="B11" s="11"/>
      <c r="C11" s="11"/>
      <c r="D11" s="11"/>
      <c r="E11" s="11"/>
      <c r="F11" s="11"/>
      <c r="G11" s="11"/>
      <c r="H11" s="37"/>
      <c r="I11" s="79"/>
      <c r="J11" s="70"/>
      <c r="K11" s="57"/>
      <c r="N11" s="42" t="s">
        <v>12</v>
      </c>
      <c r="O11" s="34">
        <v>0</v>
      </c>
    </row>
    <row r="12" spans="1:15" s="14" customFormat="1" ht="25.8" x14ac:dyDescent="0.25">
      <c r="A12" s="12"/>
      <c r="B12" s="11"/>
      <c r="C12" s="11"/>
      <c r="D12" s="11"/>
      <c r="E12" s="11"/>
      <c r="F12" s="11"/>
      <c r="G12" s="11"/>
      <c r="H12" s="37"/>
      <c r="I12" s="79"/>
      <c r="J12" s="70"/>
      <c r="K12" s="57"/>
      <c r="N12" s="42" t="s">
        <v>15</v>
      </c>
      <c r="O12" s="34">
        <v>0</v>
      </c>
    </row>
    <row r="13" spans="1:15" s="14" customFormat="1" ht="25.8" x14ac:dyDescent="0.25">
      <c r="A13" s="12"/>
      <c r="B13" s="11"/>
      <c r="C13" s="11"/>
      <c r="D13" s="11"/>
      <c r="E13" s="11"/>
      <c r="F13" s="11"/>
      <c r="G13" s="11"/>
      <c r="H13" s="37"/>
      <c r="I13" s="79"/>
      <c r="J13" s="70"/>
      <c r="K13" s="57"/>
      <c r="N13" s="42" t="s">
        <v>60</v>
      </c>
      <c r="O13" s="34">
        <v>0</v>
      </c>
    </row>
    <row r="14" spans="1:15" s="14" customFormat="1" ht="25.8" x14ac:dyDescent="0.25">
      <c r="A14" s="12"/>
      <c r="B14" s="11"/>
      <c r="C14" s="11"/>
      <c r="D14" s="11"/>
      <c r="E14" s="11"/>
      <c r="F14" s="11"/>
      <c r="G14" s="11"/>
      <c r="H14" s="37"/>
      <c r="I14" s="79"/>
      <c r="J14" s="70"/>
      <c r="K14" s="57"/>
      <c r="N14" s="42" t="s">
        <v>16</v>
      </c>
      <c r="O14" s="34">
        <v>0</v>
      </c>
    </row>
    <row r="15" spans="1:15" s="14" customFormat="1" ht="25.8" x14ac:dyDescent="0.25">
      <c r="A15" s="12"/>
      <c r="B15" s="11"/>
      <c r="C15" s="11"/>
      <c r="D15" s="11"/>
      <c r="E15" s="11"/>
      <c r="F15" s="11"/>
      <c r="G15" s="11"/>
      <c r="H15" s="37"/>
      <c r="I15" s="79"/>
      <c r="J15" s="70"/>
      <c r="K15" s="57"/>
      <c r="N15" s="42" t="s">
        <v>61</v>
      </c>
      <c r="O15" s="34">
        <v>0</v>
      </c>
    </row>
    <row r="16" spans="1:15" s="14" customFormat="1" ht="25.8" x14ac:dyDescent="0.25">
      <c r="A16" s="12"/>
      <c r="B16" s="11"/>
      <c r="C16" s="11"/>
      <c r="D16" s="11"/>
      <c r="E16" s="11"/>
      <c r="F16" s="11"/>
      <c r="G16" s="11"/>
      <c r="H16" s="37"/>
      <c r="I16" s="79"/>
      <c r="J16" s="70"/>
      <c r="K16" s="57"/>
      <c r="N16" s="42" t="s">
        <v>62</v>
      </c>
      <c r="O16" s="34">
        <v>0</v>
      </c>
    </row>
    <row r="17" spans="1:15" s="14" customFormat="1" ht="25.8" x14ac:dyDescent="0.25">
      <c r="A17" s="12"/>
      <c r="B17" s="11"/>
      <c r="C17" s="11"/>
      <c r="D17" s="11"/>
      <c r="E17" s="11"/>
      <c r="F17" s="11"/>
      <c r="G17" s="11"/>
      <c r="H17" s="37"/>
      <c r="I17" s="79"/>
      <c r="J17" s="70"/>
      <c r="K17" s="57"/>
      <c r="N17" s="42" t="s">
        <v>53</v>
      </c>
      <c r="O17" s="34">
        <v>0</v>
      </c>
    </row>
    <row r="18" spans="1:15" s="14" customFormat="1" ht="25.8" x14ac:dyDescent="0.25">
      <c r="A18" s="12"/>
      <c r="B18" s="11"/>
      <c r="C18" s="11"/>
      <c r="D18" s="11"/>
      <c r="E18" s="11"/>
      <c r="F18" s="11"/>
      <c r="G18" s="11"/>
      <c r="H18" s="37"/>
      <c r="I18" s="79"/>
      <c r="J18" s="70"/>
      <c r="K18" s="57"/>
      <c r="N18" s="42" t="s">
        <v>63</v>
      </c>
      <c r="O18" s="34">
        <v>0</v>
      </c>
    </row>
    <row r="19" spans="1:15" s="14" customFormat="1" ht="25.8" x14ac:dyDescent="0.25">
      <c r="A19" s="12"/>
      <c r="B19" s="11"/>
      <c r="C19" s="11"/>
      <c r="D19" s="11"/>
      <c r="E19" s="11"/>
      <c r="F19" s="11"/>
      <c r="G19" s="11"/>
      <c r="H19" s="37"/>
      <c r="I19" s="79"/>
      <c r="J19" s="70"/>
      <c r="K19" s="57"/>
      <c r="N19" s="42" t="s">
        <v>20</v>
      </c>
      <c r="O19" s="34">
        <v>0</v>
      </c>
    </row>
    <row r="20" spans="1:15" s="14" customFormat="1" ht="25.8" x14ac:dyDescent="0.25">
      <c r="A20" s="12"/>
      <c r="B20" s="11"/>
      <c r="C20" s="11"/>
      <c r="D20" s="11"/>
      <c r="E20" s="11"/>
      <c r="F20" s="11"/>
      <c r="G20" s="11"/>
      <c r="H20" s="37"/>
      <c r="I20" s="79"/>
      <c r="J20" s="70"/>
      <c r="K20" s="57"/>
      <c r="N20" s="42" t="s">
        <v>64</v>
      </c>
      <c r="O20" s="34">
        <v>0</v>
      </c>
    </row>
    <row r="21" spans="1:15" s="14" customFormat="1" ht="25.8" x14ac:dyDescent="0.25">
      <c r="A21" s="12"/>
      <c r="B21" s="11"/>
      <c r="C21" s="11"/>
      <c r="D21" s="11"/>
      <c r="E21" s="11"/>
      <c r="F21" s="11"/>
      <c r="G21" s="11"/>
      <c r="H21" s="37"/>
      <c r="I21" s="79"/>
      <c r="J21" s="70"/>
      <c r="K21" s="57"/>
      <c r="N21" s="42" t="s">
        <v>22</v>
      </c>
      <c r="O21" s="34">
        <v>0</v>
      </c>
    </row>
    <row r="22" spans="1:15" s="14" customFormat="1" ht="25.8" x14ac:dyDescent="0.25">
      <c r="A22" s="12"/>
      <c r="B22" s="11"/>
      <c r="C22" s="11"/>
      <c r="D22" s="11"/>
      <c r="E22" s="11"/>
      <c r="F22" s="11"/>
      <c r="G22" s="11"/>
      <c r="H22" s="37"/>
      <c r="I22" s="79"/>
      <c r="J22" s="70"/>
      <c r="K22" s="57"/>
      <c r="N22" s="42" t="s">
        <v>65</v>
      </c>
      <c r="O22" s="34">
        <v>0</v>
      </c>
    </row>
    <row r="23" spans="1:15" s="14" customFormat="1" ht="25.8" x14ac:dyDescent="0.25">
      <c r="A23" s="12"/>
      <c r="B23" s="11"/>
      <c r="C23" s="11"/>
      <c r="D23" s="11"/>
      <c r="E23" s="11"/>
      <c r="F23" s="11"/>
      <c r="G23" s="11"/>
      <c r="H23" s="37"/>
      <c r="I23" s="79"/>
      <c r="J23" s="70"/>
      <c r="K23" s="57"/>
      <c r="N23" s="42" t="s">
        <v>66</v>
      </c>
      <c r="O23" s="34">
        <v>0</v>
      </c>
    </row>
    <row r="24" spans="1:15" s="14" customFormat="1" ht="25.8" x14ac:dyDescent="0.25">
      <c r="A24" s="12"/>
      <c r="B24" s="11"/>
      <c r="C24" s="11"/>
      <c r="D24" s="11"/>
      <c r="E24" s="11"/>
      <c r="F24" s="11"/>
      <c r="G24" s="11"/>
      <c r="H24" s="37"/>
      <c r="I24" s="79"/>
      <c r="J24" s="70"/>
      <c r="K24" s="57"/>
      <c r="N24" s="42" t="s">
        <v>67</v>
      </c>
      <c r="O24" s="34">
        <v>0</v>
      </c>
    </row>
    <row r="25" spans="1:15" s="14" customFormat="1" ht="25.8" x14ac:dyDescent="0.25">
      <c r="A25" s="12"/>
      <c r="B25" s="11"/>
      <c r="C25" s="11"/>
      <c r="D25" s="11"/>
      <c r="E25" s="11"/>
      <c r="F25" s="11"/>
      <c r="G25" s="11"/>
      <c r="H25" s="37"/>
      <c r="I25" s="79"/>
      <c r="J25" s="70"/>
      <c r="K25" s="57"/>
      <c r="N25" s="42" t="s">
        <v>68</v>
      </c>
      <c r="O25" s="34">
        <v>0</v>
      </c>
    </row>
    <row r="26" spans="1:15" s="14" customFormat="1" ht="25.8" x14ac:dyDescent="0.25">
      <c r="A26" s="12"/>
      <c r="B26" s="11"/>
      <c r="C26" s="11"/>
      <c r="D26" s="11"/>
      <c r="E26" s="11"/>
      <c r="F26" s="11"/>
      <c r="G26" s="11"/>
      <c r="H26" s="37"/>
      <c r="I26" s="79"/>
      <c r="J26" s="70"/>
      <c r="K26" s="57"/>
      <c r="N26" s="42" t="s">
        <v>69</v>
      </c>
      <c r="O26" s="34">
        <v>0</v>
      </c>
    </row>
    <row r="27" spans="1:15" s="14" customFormat="1" ht="25.8" x14ac:dyDescent="0.25">
      <c r="A27" s="12"/>
      <c r="B27" s="11"/>
      <c r="C27" s="11"/>
      <c r="D27" s="11"/>
      <c r="E27" s="11"/>
      <c r="F27" s="11"/>
      <c r="G27" s="11"/>
      <c r="H27" s="37"/>
      <c r="I27" s="79"/>
      <c r="J27" s="70"/>
      <c r="K27" s="57"/>
      <c r="N27" s="42" t="s">
        <v>70</v>
      </c>
      <c r="O27" s="34">
        <v>0</v>
      </c>
    </row>
    <row r="28" spans="1:15" s="14" customFormat="1" ht="25.8" x14ac:dyDescent="0.25">
      <c r="A28" s="12"/>
      <c r="B28" s="11"/>
      <c r="C28" s="11"/>
      <c r="D28" s="11"/>
      <c r="E28" s="11"/>
      <c r="F28" s="11"/>
      <c r="G28" s="11"/>
      <c r="H28" s="37"/>
      <c r="I28" s="79"/>
      <c r="J28" s="70"/>
      <c r="K28" s="57"/>
      <c r="N28" s="42" t="s">
        <v>71</v>
      </c>
      <c r="O28" s="34">
        <v>0</v>
      </c>
    </row>
    <row r="29" spans="1:15" s="14" customFormat="1" ht="25.8" x14ac:dyDescent="0.25">
      <c r="A29" s="12"/>
      <c r="B29" s="11"/>
      <c r="C29" s="11"/>
      <c r="D29" s="11"/>
      <c r="E29" s="11"/>
      <c r="F29" s="11"/>
      <c r="G29" s="11"/>
      <c r="H29" s="37"/>
      <c r="I29" s="79"/>
      <c r="J29" s="70"/>
      <c r="K29" s="57"/>
      <c r="M29" s="62"/>
      <c r="N29" s="42" t="s">
        <v>72</v>
      </c>
      <c r="O29" s="34">
        <v>0</v>
      </c>
    </row>
    <row r="30" spans="1:15" s="14" customFormat="1" ht="25.8" x14ac:dyDescent="0.25">
      <c r="A30" s="12"/>
      <c r="B30" s="11"/>
      <c r="C30" s="11"/>
      <c r="D30" s="11"/>
      <c r="E30" s="11"/>
      <c r="F30" s="11"/>
      <c r="G30" s="11"/>
      <c r="H30" s="37"/>
      <c r="I30" s="79"/>
      <c r="J30" s="70"/>
      <c r="K30" s="57"/>
      <c r="M30" s="81"/>
      <c r="N30" s="42" t="s">
        <v>73</v>
      </c>
      <c r="O30" s="34">
        <v>0</v>
      </c>
    </row>
    <row r="31" spans="1:15" s="14" customFormat="1" ht="25.8" x14ac:dyDescent="0.25">
      <c r="A31" s="12"/>
      <c r="B31" s="11"/>
      <c r="C31" s="11"/>
      <c r="D31" s="11"/>
      <c r="E31" s="11"/>
      <c r="F31" s="11"/>
      <c r="G31" s="11"/>
      <c r="H31" s="37"/>
      <c r="I31" s="79"/>
      <c r="J31" s="70"/>
      <c r="K31" s="57"/>
      <c r="M31" s="81"/>
      <c r="N31" s="42" t="s">
        <v>74</v>
      </c>
      <c r="O31" s="34">
        <v>0</v>
      </c>
    </row>
    <row r="32" spans="1:15" s="14" customFormat="1" ht="25.8" x14ac:dyDescent="0.25">
      <c r="A32" s="12"/>
      <c r="B32" s="11"/>
      <c r="C32" s="11"/>
      <c r="D32" s="11"/>
      <c r="E32" s="11"/>
      <c r="F32" s="11"/>
      <c r="G32" s="11"/>
      <c r="H32" s="37"/>
      <c r="I32" s="79"/>
      <c r="J32" s="70"/>
      <c r="K32" s="57"/>
      <c r="L32" s="11"/>
      <c r="M32" s="81"/>
      <c r="N32" s="42" t="s">
        <v>75</v>
      </c>
      <c r="O32" s="34">
        <v>0</v>
      </c>
    </row>
    <row r="33" spans="1:15" s="14" customFormat="1" ht="25.8" x14ac:dyDescent="0.25">
      <c r="A33" s="12"/>
      <c r="B33" s="11"/>
      <c r="C33" s="11"/>
      <c r="D33" s="11"/>
      <c r="E33" s="11"/>
      <c r="F33" s="11"/>
      <c r="G33" s="11"/>
      <c r="H33" s="37"/>
      <c r="I33" s="79"/>
      <c r="J33" s="70"/>
      <c r="K33" s="57"/>
      <c r="L33" s="11"/>
      <c r="M33" s="81"/>
      <c r="N33" s="42" t="s">
        <v>76</v>
      </c>
      <c r="O33" s="34">
        <v>0</v>
      </c>
    </row>
    <row r="34" spans="1:15" s="14" customFormat="1" ht="25.8" x14ac:dyDescent="0.25">
      <c r="A34" s="12"/>
      <c r="B34" s="11"/>
      <c r="C34" s="11"/>
      <c r="D34" s="11"/>
      <c r="E34" s="11"/>
      <c r="F34" s="11"/>
      <c r="G34" s="11"/>
      <c r="H34" s="37"/>
      <c r="I34" s="79"/>
      <c r="J34" s="70"/>
      <c r="K34" s="57"/>
      <c r="L34" s="11"/>
      <c r="M34" s="81"/>
      <c r="N34" s="42" t="s">
        <v>77</v>
      </c>
      <c r="O34" s="34">
        <v>0</v>
      </c>
    </row>
    <row r="35" spans="1:15" s="14" customFormat="1" ht="25.8" x14ac:dyDescent="0.25">
      <c r="A35" s="12"/>
      <c r="B35" s="11"/>
      <c r="C35" s="11"/>
      <c r="D35" s="11"/>
      <c r="E35" s="11"/>
      <c r="F35" s="11"/>
      <c r="G35" s="11"/>
      <c r="H35" s="37"/>
      <c r="I35" s="79"/>
      <c r="J35" s="70"/>
      <c r="K35" s="57"/>
      <c r="L35" s="11"/>
      <c r="M35" s="81"/>
      <c r="N35" s="42" t="s">
        <v>78</v>
      </c>
      <c r="O35" s="34">
        <v>3</v>
      </c>
    </row>
    <row r="36" spans="1:15" s="14" customFormat="1" ht="25.8" x14ac:dyDescent="0.25">
      <c r="A36" s="12"/>
      <c r="B36" s="11"/>
      <c r="C36" s="11"/>
      <c r="D36" s="11"/>
      <c r="E36" s="11"/>
      <c r="F36" s="11"/>
      <c r="G36" s="11"/>
      <c r="H36" s="37"/>
      <c r="I36" s="79"/>
      <c r="J36" s="70"/>
      <c r="K36" s="57"/>
      <c r="L36" s="11"/>
      <c r="M36" s="62"/>
      <c r="N36" s="42" t="s">
        <v>79</v>
      </c>
      <c r="O36" s="34">
        <v>0</v>
      </c>
    </row>
    <row r="37" spans="1:15" s="14" customFormat="1" ht="25.8" x14ac:dyDescent="0.25">
      <c r="A37" s="12"/>
      <c r="B37" s="11"/>
      <c r="C37" s="11"/>
      <c r="D37" s="11"/>
      <c r="E37" s="11"/>
      <c r="F37" s="11"/>
      <c r="G37" s="11"/>
      <c r="H37" s="37"/>
      <c r="I37" s="79"/>
      <c r="J37" s="70"/>
      <c r="K37" s="57"/>
      <c r="L37" s="11"/>
      <c r="M37" s="81"/>
      <c r="N37" s="42" t="s">
        <v>80</v>
      </c>
      <c r="O37" s="34">
        <v>0</v>
      </c>
    </row>
    <row r="38" spans="1:15" s="14" customFormat="1" ht="25.8" x14ac:dyDescent="0.25">
      <c r="A38" s="12"/>
      <c r="B38" s="11"/>
      <c r="C38" s="11"/>
      <c r="D38" s="11"/>
      <c r="E38" s="11"/>
      <c r="F38" s="11"/>
      <c r="G38" s="11"/>
      <c r="H38" s="37"/>
      <c r="I38" s="79"/>
      <c r="J38" s="70"/>
      <c r="K38" s="57"/>
      <c r="L38" s="11"/>
      <c r="M38" s="81"/>
      <c r="N38" s="42" t="s">
        <v>81</v>
      </c>
      <c r="O38" s="34">
        <v>0</v>
      </c>
    </row>
    <row r="39" spans="1:15" s="14" customFormat="1" ht="25.8" x14ac:dyDescent="0.25">
      <c r="A39" s="12"/>
      <c r="B39" s="11"/>
      <c r="C39" s="11"/>
      <c r="D39" s="11"/>
      <c r="E39" s="11"/>
      <c r="F39" s="11"/>
      <c r="G39" s="11"/>
      <c r="H39" s="37"/>
      <c r="I39" s="79"/>
      <c r="J39" s="70"/>
      <c r="K39" s="57"/>
      <c r="L39" s="11"/>
      <c r="M39" s="81"/>
      <c r="N39" s="42" t="s">
        <v>82</v>
      </c>
      <c r="O39" s="34">
        <v>0</v>
      </c>
    </row>
    <row r="40" spans="1:15" s="14" customFormat="1" ht="25.8" x14ac:dyDescent="0.25">
      <c r="A40" s="12"/>
      <c r="B40" s="11"/>
      <c r="C40" s="11"/>
      <c r="D40" s="11"/>
      <c r="E40" s="11"/>
      <c r="F40" s="11"/>
      <c r="G40" s="11"/>
      <c r="H40" s="37"/>
      <c r="I40" s="79"/>
      <c r="J40" s="70"/>
      <c r="K40" s="57"/>
      <c r="L40" s="11"/>
      <c r="M40" s="62"/>
      <c r="N40" s="42" t="s">
        <v>83</v>
      </c>
      <c r="O40" s="34">
        <v>0</v>
      </c>
    </row>
    <row r="41" spans="1:15" s="14" customFormat="1" ht="25.8" x14ac:dyDescent="0.25">
      <c r="A41" s="12"/>
      <c r="B41" s="11"/>
      <c r="C41" s="11"/>
      <c r="D41" s="11"/>
      <c r="E41" s="11"/>
      <c r="F41" s="11"/>
      <c r="G41" s="11"/>
      <c r="H41" s="37"/>
      <c r="I41" s="79"/>
      <c r="J41" s="70"/>
      <c r="K41" s="57"/>
      <c r="L41" s="11"/>
      <c r="M41" s="62"/>
      <c r="N41" s="42" t="s">
        <v>84</v>
      </c>
      <c r="O41" s="34">
        <v>0</v>
      </c>
    </row>
    <row r="42" spans="1:15" s="14" customFormat="1" ht="25.8" x14ac:dyDescent="0.25">
      <c r="A42" s="12"/>
      <c r="B42" s="11"/>
      <c r="C42" s="11"/>
      <c r="D42" s="11"/>
      <c r="E42" s="11"/>
      <c r="F42" s="11"/>
      <c r="G42" s="11"/>
      <c r="H42" s="37"/>
      <c r="I42" s="79"/>
      <c r="J42" s="70"/>
      <c r="K42" s="57"/>
      <c r="L42" s="11"/>
      <c r="M42" s="62"/>
      <c r="N42" s="42" t="s">
        <v>85</v>
      </c>
      <c r="O42" s="34">
        <v>0</v>
      </c>
    </row>
    <row r="43" spans="1:15" s="14" customFormat="1" ht="25.8" x14ac:dyDescent="0.25">
      <c r="A43" s="12"/>
      <c r="B43" s="11"/>
      <c r="C43" s="11"/>
      <c r="D43" s="11"/>
      <c r="E43" s="11"/>
      <c r="F43" s="11"/>
      <c r="G43" s="11"/>
      <c r="H43" s="37"/>
      <c r="I43" s="79"/>
      <c r="J43" s="70"/>
      <c r="K43" s="57"/>
      <c r="L43" s="11"/>
      <c r="M43" s="62"/>
      <c r="N43" s="42" t="s">
        <v>24</v>
      </c>
      <c r="O43" s="34">
        <v>0</v>
      </c>
    </row>
    <row r="44" spans="1:15" s="14" customFormat="1" ht="25.8" x14ac:dyDescent="0.25">
      <c r="A44" s="12"/>
      <c r="B44" s="11"/>
      <c r="C44" s="11"/>
      <c r="D44" s="11"/>
      <c r="E44" s="11"/>
      <c r="F44" s="11"/>
      <c r="G44" s="11"/>
      <c r="H44" s="37"/>
      <c r="I44" s="79"/>
      <c r="J44" s="70"/>
      <c r="K44" s="57"/>
      <c r="L44" s="11"/>
      <c r="M44" s="62"/>
      <c r="N44" s="42" t="s">
        <v>86</v>
      </c>
      <c r="O44" s="34">
        <v>0</v>
      </c>
    </row>
    <row r="45" spans="1:15" s="14" customFormat="1" ht="25.8" x14ac:dyDescent="0.25">
      <c r="A45" s="12"/>
      <c r="B45" s="11"/>
      <c r="C45" s="11"/>
      <c r="D45" s="11"/>
      <c r="E45" s="11"/>
      <c r="F45" s="11"/>
      <c r="G45" s="11"/>
      <c r="H45" s="37"/>
      <c r="I45" s="79"/>
      <c r="J45" s="70"/>
      <c r="K45" s="57"/>
      <c r="L45" s="11"/>
      <c r="M45" s="72"/>
      <c r="N45" s="42" t="s">
        <v>87</v>
      </c>
      <c r="O45" s="34">
        <v>0</v>
      </c>
    </row>
    <row r="46" spans="1:15" s="14" customFormat="1" ht="25.8" x14ac:dyDescent="0.25">
      <c r="A46" s="12"/>
      <c r="B46" s="11"/>
      <c r="C46" s="11"/>
      <c r="D46" s="11"/>
      <c r="E46" s="11"/>
      <c r="F46" s="11"/>
      <c r="G46" s="11"/>
      <c r="H46" s="37"/>
      <c r="I46" s="79"/>
      <c r="J46" s="70"/>
      <c r="K46" s="57"/>
      <c r="L46" s="11"/>
      <c r="M46" s="62"/>
      <c r="N46" s="42" t="s">
        <v>88</v>
      </c>
      <c r="O46" s="34">
        <v>0</v>
      </c>
    </row>
    <row r="47" spans="1:15" s="14" customFormat="1" ht="25.8" x14ac:dyDescent="0.25">
      <c r="A47" s="12"/>
      <c r="B47" s="11"/>
      <c r="C47" s="11"/>
      <c r="D47" s="11"/>
      <c r="E47" s="11"/>
      <c r="F47" s="11"/>
      <c r="G47" s="11"/>
      <c r="H47" s="37"/>
      <c r="I47" s="79"/>
      <c r="J47" s="70"/>
      <c r="K47" s="57"/>
      <c r="L47" s="11"/>
      <c r="M47" s="81"/>
      <c r="N47" s="42" t="s">
        <v>89</v>
      </c>
      <c r="O47" s="34">
        <v>0</v>
      </c>
    </row>
    <row r="48" spans="1:15" s="14" customFormat="1" ht="25.8" x14ac:dyDescent="0.25">
      <c r="A48" s="12"/>
      <c r="B48" s="11"/>
      <c r="C48" s="11"/>
      <c r="D48" s="11"/>
      <c r="E48" s="11"/>
      <c r="F48" s="11"/>
      <c r="G48" s="11"/>
      <c r="H48" s="37"/>
      <c r="I48" s="79"/>
      <c r="J48" s="70"/>
      <c r="K48" s="57"/>
      <c r="L48" s="11"/>
      <c r="M48" s="72"/>
      <c r="N48" s="42" t="s">
        <v>94</v>
      </c>
      <c r="O48" s="34">
        <v>0</v>
      </c>
    </row>
    <row r="49" spans="1:24" s="14" customFormat="1" ht="25.8" x14ac:dyDescent="0.25">
      <c r="A49" s="12"/>
      <c r="B49" s="11"/>
      <c r="C49" s="11"/>
      <c r="D49" s="11"/>
      <c r="E49" s="11"/>
      <c r="F49" s="11"/>
      <c r="G49" s="11"/>
      <c r="H49" s="37"/>
      <c r="I49" s="79"/>
      <c r="J49" s="70"/>
      <c r="K49" s="57"/>
      <c r="L49" s="11"/>
      <c r="M49" s="62"/>
      <c r="N49" s="42" t="s">
        <v>90</v>
      </c>
      <c r="O49" s="34">
        <v>0</v>
      </c>
    </row>
    <row r="50" spans="1:24" s="14" customFormat="1" ht="25.8" x14ac:dyDescent="0.25">
      <c r="A50" s="12"/>
      <c r="B50" s="11"/>
      <c r="C50" s="11"/>
      <c r="D50" s="11"/>
      <c r="E50" s="11"/>
      <c r="F50" s="11"/>
      <c r="G50" s="11"/>
      <c r="H50" s="37"/>
      <c r="I50" s="79"/>
      <c r="J50" s="70"/>
      <c r="K50" s="57"/>
      <c r="L50" s="11"/>
      <c r="M50" s="62"/>
      <c r="N50" s="42" t="s">
        <v>93</v>
      </c>
      <c r="O50" s="34">
        <v>0</v>
      </c>
    </row>
    <row r="51" spans="1:24" s="14" customFormat="1" ht="25.8" x14ac:dyDescent="0.25">
      <c r="A51" s="12"/>
      <c r="B51" s="11"/>
      <c r="C51" s="11"/>
      <c r="D51" s="11"/>
      <c r="E51" s="11"/>
      <c r="F51" s="11"/>
      <c r="G51" s="11"/>
      <c r="H51" s="37"/>
      <c r="I51" s="79"/>
      <c r="J51" s="70"/>
      <c r="K51" s="57"/>
      <c r="L51" s="11"/>
      <c r="M51" s="81"/>
      <c r="N51" s="42" t="s">
        <v>91</v>
      </c>
      <c r="O51" s="34">
        <v>0</v>
      </c>
    </row>
    <row r="52" spans="1:24" s="14" customFormat="1" ht="25.8" x14ac:dyDescent="0.25">
      <c r="A52" s="12"/>
      <c r="B52" s="11"/>
      <c r="C52" s="11"/>
      <c r="D52" s="11"/>
      <c r="E52" s="11"/>
      <c r="F52" s="11"/>
      <c r="G52" s="11"/>
      <c r="H52" s="37"/>
      <c r="I52" s="79"/>
      <c r="J52" s="70"/>
      <c r="K52" s="57"/>
      <c r="L52" s="11"/>
      <c r="M52" s="72"/>
      <c r="N52" s="42" t="s">
        <v>45</v>
      </c>
      <c r="O52" s="34">
        <v>0</v>
      </c>
    </row>
    <row r="53" spans="1:24" s="14" customFormat="1" ht="25.8" x14ac:dyDescent="0.25">
      <c r="A53" s="12"/>
      <c r="B53" s="11"/>
      <c r="C53" s="11"/>
      <c r="D53" s="11"/>
      <c r="E53" s="11"/>
      <c r="F53" s="11"/>
      <c r="G53" s="11"/>
      <c r="H53" s="37"/>
      <c r="I53" s="79"/>
      <c r="J53" s="70"/>
      <c r="K53" s="57"/>
      <c r="L53" s="11"/>
      <c r="M53" s="62"/>
      <c r="N53" s="42" t="s">
        <v>92</v>
      </c>
      <c r="O53" s="34">
        <v>0</v>
      </c>
    </row>
    <row r="54" spans="1:24" s="14" customFormat="1" ht="25.8" x14ac:dyDescent="0.25">
      <c r="A54" s="12"/>
      <c r="B54" s="11"/>
      <c r="C54" s="11"/>
      <c r="D54" s="11"/>
      <c r="E54" s="11"/>
      <c r="F54" s="11"/>
      <c r="G54" s="11"/>
      <c r="H54" s="37"/>
      <c r="I54" s="79"/>
      <c r="J54" s="70"/>
      <c r="K54" s="57"/>
      <c r="L54" s="11"/>
      <c r="M54" s="62"/>
      <c r="N54" s="42" t="s">
        <v>52</v>
      </c>
      <c r="O54" s="34">
        <v>0</v>
      </c>
    </row>
    <row r="55" spans="1:24" s="14" customFormat="1" ht="25.8" x14ac:dyDescent="0.25">
      <c r="A55" s="12"/>
      <c r="B55" s="11"/>
      <c r="C55" s="11"/>
      <c r="D55" s="11"/>
      <c r="E55" s="11"/>
      <c r="F55" s="11"/>
      <c r="G55" s="11"/>
      <c r="H55" s="37"/>
      <c r="I55" s="79"/>
      <c r="J55" s="70"/>
      <c r="K55" s="57"/>
      <c r="L55" s="11"/>
      <c r="M55" s="62"/>
      <c r="N55" s="42" t="s">
        <v>95</v>
      </c>
      <c r="O55" s="34">
        <v>0</v>
      </c>
    </row>
    <row r="56" spans="1:24" s="14" customFormat="1" ht="25.8" x14ac:dyDescent="0.25">
      <c r="A56" s="12"/>
      <c r="B56" s="11"/>
      <c r="C56" s="11"/>
      <c r="D56" s="11"/>
      <c r="E56" s="11"/>
      <c r="F56" s="11"/>
      <c r="G56" s="11"/>
      <c r="H56" s="37"/>
      <c r="I56" s="79"/>
      <c r="J56" s="70"/>
      <c r="K56" s="57"/>
      <c r="L56" s="11"/>
      <c r="M56" s="62"/>
      <c r="N56" s="42" t="s">
        <v>25</v>
      </c>
      <c r="O56" s="34">
        <v>0</v>
      </c>
    </row>
    <row r="57" spans="1:24" s="14" customFormat="1" ht="27" thickBot="1" x14ac:dyDescent="0.3">
      <c r="A57" s="12"/>
      <c r="B57" s="11"/>
      <c r="C57" s="11"/>
      <c r="D57" s="11"/>
      <c r="E57" s="11"/>
      <c r="F57" s="11"/>
      <c r="G57" s="11"/>
      <c r="H57" s="37"/>
      <c r="I57" s="79"/>
      <c r="J57" s="70"/>
      <c r="K57" s="57"/>
      <c r="L57" s="11"/>
      <c r="M57" s="83"/>
      <c r="N57" s="41"/>
      <c r="O57" s="35">
        <f>SUM(O3:O56)</f>
        <v>3</v>
      </c>
    </row>
    <row r="58" spans="1:24" s="14" customFormat="1" ht="24" thickTop="1" x14ac:dyDescent="0.25">
      <c r="A58" s="12"/>
      <c r="B58" s="11"/>
      <c r="C58" s="11"/>
      <c r="D58" s="11"/>
      <c r="E58" s="11"/>
      <c r="F58" s="11"/>
      <c r="G58" s="11"/>
      <c r="H58" s="37"/>
      <c r="I58" s="79"/>
      <c r="J58" s="70"/>
      <c r="K58" s="57"/>
      <c r="L58" s="11"/>
      <c r="M58" s="41"/>
      <c r="N58" s="11"/>
    </row>
    <row r="59" spans="1:24" s="14" customFormat="1" x14ac:dyDescent="0.25">
      <c r="A59" s="12"/>
      <c r="B59" s="11"/>
      <c r="C59" s="11"/>
      <c r="D59" s="11"/>
      <c r="E59" s="11"/>
      <c r="F59" s="11"/>
      <c r="G59" s="11"/>
      <c r="H59" s="37"/>
      <c r="I59" s="79"/>
      <c r="J59" s="70"/>
      <c r="K59" s="57"/>
      <c r="L59" s="11"/>
      <c r="M59" s="41"/>
      <c r="N59" s="11"/>
    </row>
    <row r="60" spans="1:24" s="14" customFormat="1" x14ac:dyDescent="0.25">
      <c r="A60" s="12"/>
      <c r="B60" s="11"/>
      <c r="C60" s="11"/>
      <c r="D60" s="11"/>
      <c r="E60" s="11"/>
      <c r="F60" s="11"/>
      <c r="G60" s="11"/>
      <c r="H60" s="37"/>
      <c r="I60" s="79"/>
      <c r="J60" s="70"/>
      <c r="K60" s="57"/>
      <c r="L60" s="11"/>
      <c r="M60" s="41"/>
      <c r="N60" s="11"/>
    </row>
    <row r="61" spans="1:24" s="14" customFormat="1" x14ac:dyDescent="0.25">
      <c r="A61" s="12"/>
      <c r="B61" s="11"/>
      <c r="C61" s="11"/>
      <c r="D61" s="11"/>
      <c r="E61" s="11"/>
      <c r="F61" s="11"/>
      <c r="G61" s="11"/>
      <c r="H61" s="37"/>
      <c r="I61" s="79"/>
      <c r="J61" s="70"/>
      <c r="K61" s="57"/>
      <c r="L61" s="11"/>
      <c r="M61" s="41"/>
      <c r="N61" s="11"/>
    </row>
    <row r="62" spans="1:24" s="14" customFormat="1" x14ac:dyDescent="0.25">
      <c r="A62" s="12"/>
      <c r="B62" s="11"/>
      <c r="C62" s="11"/>
      <c r="D62" s="11"/>
      <c r="E62" s="11"/>
      <c r="F62" s="11"/>
      <c r="G62" s="11"/>
      <c r="H62" s="37"/>
      <c r="I62" s="79"/>
      <c r="J62" s="70"/>
      <c r="K62" s="57"/>
      <c r="L62" s="11"/>
      <c r="M62" s="41"/>
      <c r="N62" s="11"/>
    </row>
    <row r="63" spans="1:24" s="14" customFormat="1" x14ac:dyDescent="0.25">
      <c r="A63" s="12"/>
      <c r="B63" s="11"/>
      <c r="C63" s="11"/>
      <c r="D63" s="11"/>
      <c r="E63" s="11"/>
      <c r="F63" s="11"/>
      <c r="G63" s="11"/>
      <c r="H63" s="37"/>
      <c r="I63" s="79"/>
      <c r="J63" s="70"/>
      <c r="K63" s="57"/>
      <c r="L63" s="11"/>
      <c r="M63" s="41"/>
      <c r="N63" s="11"/>
    </row>
    <row r="64" spans="1:24" s="14" customFormat="1" x14ac:dyDescent="0.25">
      <c r="A64" s="12"/>
      <c r="B64" s="11"/>
      <c r="C64" s="11"/>
      <c r="D64" s="11"/>
      <c r="E64" s="11"/>
      <c r="F64" s="11"/>
      <c r="G64" s="11"/>
      <c r="H64" s="37"/>
      <c r="I64" s="79"/>
      <c r="J64" s="70"/>
      <c r="K64" s="57"/>
      <c r="L64" s="11"/>
      <c r="M64" s="41"/>
      <c r="N64" s="11"/>
      <c r="S64" s="11"/>
      <c r="T64" s="11"/>
      <c r="U64" s="11"/>
      <c r="V64" s="11"/>
      <c r="W64" s="11"/>
      <c r="X64" s="11"/>
    </row>
    <row r="65" spans="1:25" s="14" customFormat="1" x14ac:dyDescent="0.25">
      <c r="A65" s="12"/>
      <c r="B65" s="11"/>
      <c r="C65" s="11"/>
      <c r="D65" s="11"/>
      <c r="E65" s="11"/>
      <c r="F65" s="11"/>
      <c r="G65" s="11"/>
      <c r="H65" s="37"/>
      <c r="I65" s="79"/>
      <c r="J65" s="70"/>
      <c r="K65" s="57"/>
      <c r="L65" s="11"/>
      <c r="S65" s="11"/>
      <c r="T65" s="11"/>
      <c r="U65" s="11"/>
      <c r="V65" s="11"/>
      <c r="W65" s="11"/>
      <c r="X65" s="11"/>
      <c r="Y65" s="57" t="s">
        <v>50</v>
      </c>
    </row>
    <row r="66" spans="1:25" s="14" customFormat="1" x14ac:dyDescent="0.25">
      <c r="A66" s="12"/>
      <c r="B66" s="11"/>
      <c r="C66" s="11"/>
      <c r="D66" s="11"/>
      <c r="E66" s="11"/>
      <c r="F66" s="11"/>
      <c r="G66" s="11"/>
      <c r="H66" s="37"/>
      <c r="I66" s="79"/>
      <c r="J66" s="70"/>
      <c r="K66" s="57"/>
      <c r="L66" s="11"/>
      <c r="S66" s="11"/>
      <c r="T66" s="11"/>
      <c r="U66" s="11"/>
      <c r="V66" s="11"/>
      <c r="W66" s="11"/>
      <c r="X66" s="11"/>
      <c r="Y66" s="57" t="s">
        <v>50</v>
      </c>
    </row>
    <row r="67" spans="1:25" s="14" customFormat="1" x14ac:dyDescent="0.25">
      <c r="A67" s="12"/>
      <c r="B67" s="11"/>
      <c r="C67" s="11"/>
      <c r="D67" s="11"/>
      <c r="E67" s="11"/>
      <c r="F67" s="11"/>
      <c r="G67" s="11"/>
      <c r="H67" s="37"/>
      <c r="I67" s="79"/>
      <c r="J67" s="70"/>
      <c r="K67" s="57"/>
      <c r="L67" s="11"/>
      <c r="S67" s="11"/>
      <c r="T67" s="11"/>
      <c r="U67" s="11"/>
      <c r="V67" s="11"/>
      <c r="W67" s="11"/>
      <c r="X67" s="11"/>
      <c r="Y67" s="57" t="s">
        <v>50</v>
      </c>
    </row>
    <row r="68" spans="1:25" x14ac:dyDescent="0.25">
      <c r="H68" s="37"/>
      <c r="I68" s="79"/>
      <c r="J68" s="70"/>
      <c r="K68" s="57"/>
      <c r="L68" s="11"/>
      <c r="N68" s="11"/>
      <c r="Y68" s="11" t="s">
        <v>214</v>
      </c>
    </row>
    <row r="69" spans="1:25" x14ac:dyDescent="0.25">
      <c r="H69" s="37"/>
      <c r="I69" s="79"/>
      <c r="J69" s="70"/>
      <c r="K69" s="57"/>
      <c r="L69" s="11"/>
      <c r="N69" s="11"/>
      <c r="Y69" s="11" t="s">
        <v>50</v>
      </c>
    </row>
    <row r="70" spans="1:25" x14ac:dyDescent="0.25">
      <c r="H70" s="37"/>
      <c r="I70" s="79"/>
      <c r="J70" s="70"/>
      <c r="K70" s="57"/>
      <c r="L70" s="11"/>
      <c r="N70" s="11"/>
      <c r="Y70" s="11" t="s">
        <v>50</v>
      </c>
    </row>
    <row r="71" spans="1:25" x14ac:dyDescent="0.25">
      <c r="H71" s="37"/>
      <c r="I71" s="79"/>
      <c r="J71" s="70"/>
      <c r="K71" s="57"/>
      <c r="L71" s="11"/>
      <c r="N71" s="11"/>
      <c r="Y71" s="11" t="s">
        <v>50</v>
      </c>
    </row>
    <row r="72" spans="1:25" x14ac:dyDescent="0.25">
      <c r="H72" s="37"/>
      <c r="I72" s="79"/>
      <c r="J72" s="70"/>
      <c r="K72" s="57"/>
      <c r="L72" s="11"/>
      <c r="N72" s="11"/>
      <c r="Y72" s="11" t="s">
        <v>50</v>
      </c>
    </row>
    <row r="73" spans="1:25" x14ac:dyDescent="0.25">
      <c r="H73" s="37"/>
      <c r="I73" s="79"/>
      <c r="J73" s="70"/>
      <c r="K73" s="57"/>
      <c r="L73" s="11"/>
      <c r="N73" s="11"/>
      <c r="Y73" s="11" t="s">
        <v>50</v>
      </c>
    </row>
    <row r="74" spans="1:25" x14ac:dyDescent="0.25">
      <c r="H74" s="37"/>
      <c r="I74" s="79"/>
      <c r="J74" s="70"/>
      <c r="K74" s="57"/>
      <c r="L74" s="11"/>
      <c r="N74" s="11"/>
      <c r="Y74" s="11" t="s">
        <v>215</v>
      </c>
    </row>
    <row r="75" spans="1:25" x14ac:dyDescent="0.25">
      <c r="H75" s="37"/>
      <c r="I75" s="79"/>
      <c r="J75" s="70"/>
      <c r="K75" s="57"/>
      <c r="L75" s="11"/>
      <c r="N75" s="11"/>
      <c r="Y75" s="11" t="s">
        <v>50</v>
      </c>
    </row>
    <row r="76" spans="1:25" x14ac:dyDescent="0.25">
      <c r="H76" s="37"/>
      <c r="I76" s="79"/>
      <c r="J76" s="70"/>
      <c r="K76" s="57"/>
      <c r="L76" s="11"/>
      <c r="N76" s="11"/>
      <c r="Y76" s="11" t="s">
        <v>50</v>
      </c>
    </row>
    <row r="77" spans="1:25" x14ac:dyDescent="0.25">
      <c r="H77" s="37"/>
      <c r="I77" s="79"/>
      <c r="J77" s="70"/>
      <c r="K77" s="57"/>
      <c r="L77" s="11"/>
      <c r="N77" s="11"/>
      <c r="Y77" s="11" t="s">
        <v>50</v>
      </c>
    </row>
    <row r="78" spans="1:25" x14ac:dyDescent="0.25">
      <c r="H78" s="37"/>
      <c r="I78" s="79"/>
      <c r="J78" s="70"/>
      <c r="K78" s="57"/>
      <c r="L78" s="11"/>
      <c r="N78" s="11"/>
      <c r="Y78" s="11" t="s">
        <v>50</v>
      </c>
    </row>
    <row r="79" spans="1:25" x14ac:dyDescent="0.25">
      <c r="H79" s="37"/>
      <c r="I79" s="79"/>
      <c r="J79" s="70"/>
      <c r="K79" s="57"/>
      <c r="L79" s="11"/>
      <c r="N79" s="11"/>
      <c r="Y79" s="11" t="s">
        <v>50</v>
      </c>
    </row>
    <row r="80" spans="1:25" x14ac:dyDescent="0.25">
      <c r="H80" s="37"/>
      <c r="I80" s="79"/>
      <c r="J80" s="70"/>
      <c r="K80" s="57"/>
      <c r="L80" s="11"/>
      <c r="N80" s="11"/>
      <c r="Y80" s="11" t="s">
        <v>50</v>
      </c>
    </row>
    <row r="81" spans="8:25" x14ac:dyDescent="0.25">
      <c r="H81" s="37"/>
      <c r="I81" s="79"/>
      <c r="J81" s="70"/>
      <c r="K81" s="57"/>
      <c r="L81" s="11"/>
      <c r="N81" s="11"/>
      <c r="Y81" s="11" t="s">
        <v>216</v>
      </c>
    </row>
    <row r="82" spans="8:25" x14ac:dyDescent="0.25">
      <c r="H82" s="37"/>
      <c r="I82" s="79"/>
      <c r="J82" s="70"/>
      <c r="K82" s="57"/>
      <c r="L82" s="11"/>
      <c r="N82" s="11"/>
      <c r="Y82" s="11" t="s">
        <v>217</v>
      </c>
    </row>
    <row r="83" spans="8:25" x14ac:dyDescent="0.25">
      <c r="H83" s="37"/>
      <c r="I83" s="79"/>
      <c r="J83" s="70"/>
      <c r="K83" s="57"/>
      <c r="L83" s="11"/>
      <c r="N83" s="11"/>
      <c r="Y83" s="11" t="s">
        <v>218</v>
      </c>
    </row>
    <row r="84" spans="8:25" x14ac:dyDescent="0.25">
      <c r="H84" s="37"/>
      <c r="I84" s="79"/>
      <c r="J84" s="70"/>
      <c r="K84" s="57"/>
      <c r="L84" s="11"/>
      <c r="N84" s="11"/>
      <c r="Y84" s="11" t="s">
        <v>219</v>
      </c>
    </row>
    <row r="85" spans="8:25" x14ac:dyDescent="0.25">
      <c r="H85" s="37"/>
      <c r="I85" s="79"/>
      <c r="J85" s="70"/>
      <c r="K85" s="57"/>
      <c r="L85" s="11"/>
      <c r="N85" s="11"/>
      <c r="Y85" s="11" t="s">
        <v>220</v>
      </c>
    </row>
    <row r="86" spans="8:25" x14ac:dyDescent="0.25">
      <c r="H86" s="37"/>
      <c r="I86" s="79"/>
      <c r="J86" s="70"/>
      <c r="K86" s="57"/>
      <c r="L86" s="11"/>
      <c r="N86" s="11"/>
      <c r="Y86" s="11" t="s">
        <v>221</v>
      </c>
    </row>
    <row r="87" spans="8:25" x14ac:dyDescent="0.25">
      <c r="H87" s="37"/>
      <c r="I87" s="79"/>
      <c r="J87" s="70"/>
      <c r="K87" s="57"/>
      <c r="L87" s="11"/>
      <c r="N87" s="11"/>
      <c r="Y87" s="11" t="s">
        <v>222</v>
      </c>
    </row>
    <row r="88" spans="8:25" x14ac:dyDescent="0.25">
      <c r="H88" s="37"/>
      <c r="I88" s="79"/>
      <c r="J88" s="70"/>
      <c r="K88" s="57"/>
      <c r="L88" s="11"/>
      <c r="N88" s="11"/>
      <c r="Y88" s="11" t="s">
        <v>223</v>
      </c>
    </row>
    <row r="89" spans="8:25" x14ac:dyDescent="0.25">
      <c r="H89" s="37"/>
      <c r="I89" s="79"/>
      <c r="J89" s="70"/>
      <c r="K89" s="57"/>
      <c r="L89" s="11"/>
      <c r="N89" s="11"/>
      <c r="Y89" s="11" t="s">
        <v>224</v>
      </c>
    </row>
    <row r="90" spans="8:25" x14ac:dyDescent="0.25">
      <c r="H90" s="37"/>
      <c r="I90" s="79"/>
      <c r="J90" s="70"/>
      <c r="K90" s="57"/>
      <c r="L90" s="11"/>
      <c r="N90" s="11"/>
      <c r="Y90" s="11" t="s">
        <v>225</v>
      </c>
    </row>
    <row r="91" spans="8:25" x14ac:dyDescent="0.25">
      <c r="H91" s="37"/>
      <c r="I91" s="79"/>
      <c r="J91" s="70"/>
      <c r="K91" s="57"/>
      <c r="L91" s="11"/>
      <c r="N91" s="11"/>
      <c r="Y91" s="11" t="s">
        <v>50</v>
      </c>
    </row>
    <row r="92" spans="8:25" x14ac:dyDescent="0.25">
      <c r="H92" s="37"/>
      <c r="I92" s="79"/>
      <c r="J92" s="70"/>
      <c r="K92" s="57"/>
      <c r="L92" s="11"/>
      <c r="N92" s="11"/>
      <c r="Y92" s="11" t="s">
        <v>50</v>
      </c>
    </row>
    <row r="93" spans="8:25" x14ac:dyDescent="0.25">
      <c r="H93" s="37"/>
      <c r="I93" s="79"/>
      <c r="J93" s="70"/>
      <c r="K93" s="57"/>
      <c r="L93" s="11"/>
      <c r="N93" s="11"/>
      <c r="Y93" s="11" t="s">
        <v>50</v>
      </c>
    </row>
    <row r="94" spans="8:25" x14ac:dyDescent="0.25">
      <c r="H94" s="37"/>
      <c r="I94" s="79"/>
      <c r="J94" s="70"/>
      <c r="K94" s="57"/>
      <c r="L94" s="11"/>
      <c r="N94" s="11"/>
      <c r="Y94" s="11" t="s">
        <v>50</v>
      </c>
    </row>
    <row r="95" spans="8:25" x14ac:dyDescent="0.25">
      <c r="H95" s="37"/>
      <c r="I95" s="79"/>
      <c r="J95" s="70"/>
      <c r="K95" s="57"/>
      <c r="L95" s="11"/>
      <c r="N95" s="11"/>
      <c r="Y95" s="11" t="s">
        <v>50</v>
      </c>
    </row>
    <row r="96" spans="8:25" x14ac:dyDescent="0.25">
      <c r="H96" s="37"/>
      <c r="I96" s="79"/>
      <c r="J96" s="70"/>
      <c r="K96" s="57"/>
      <c r="L96" s="11"/>
      <c r="N96" s="11"/>
    </row>
    <row r="97" spans="8:14" x14ac:dyDescent="0.25">
      <c r="H97" s="37"/>
      <c r="I97" s="79"/>
      <c r="J97" s="70"/>
      <c r="K97" s="57"/>
      <c r="L97" s="11"/>
      <c r="N97" s="11"/>
    </row>
    <row r="98" spans="8:14" x14ac:dyDescent="0.25">
      <c r="H98" s="37"/>
      <c r="I98" s="79"/>
      <c r="J98" s="70"/>
      <c r="K98" s="57"/>
      <c r="L98" s="11"/>
      <c r="N98" s="11"/>
    </row>
    <row r="99" spans="8:14" x14ac:dyDescent="0.25">
      <c r="H99" s="37"/>
      <c r="I99" s="79"/>
      <c r="J99" s="70"/>
      <c r="K99" s="57"/>
      <c r="L99" s="11"/>
      <c r="N99" s="11"/>
    </row>
    <row r="100" spans="8:14" x14ac:dyDescent="0.25">
      <c r="H100" s="37"/>
      <c r="I100" s="79"/>
      <c r="J100" s="70"/>
      <c r="K100" s="57"/>
      <c r="L100" s="11"/>
      <c r="N100" s="11"/>
    </row>
    <row r="101" spans="8:14" x14ac:dyDescent="0.25">
      <c r="H101" s="37"/>
      <c r="I101" s="79"/>
      <c r="J101" s="70"/>
      <c r="K101" s="57"/>
      <c r="L101" s="11"/>
      <c r="N101" s="11"/>
    </row>
    <row r="102" spans="8:14" x14ac:dyDescent="0.25">
      <c r="H102" s="37"/>
      <c r="I102" s="79"/>
      <c r="J102" s="70"/>
      <c r="K102" s="57"/>
      <c r="L102" s="11"/>
      <c r="N102" s="11"/>
    </row>
    <row r="103" spans="8:14" x14ac:dyDescent="0.25">
      <c r="H103" s="37"/>
      <c r="I103" s="79"/>
      <c r="J103" s="70"/>
      <c r="K103" s="57"/>
      <c r="L103" s="11"/>
      <c r="N103" s="11"/>
    </row>
    <row r="104" spans="8:14" x14ac:dyDescent="0.25">
      <c r="H104" s="37"/>
      <c r="I104" s="79"/>
      <c r="J104" s="70"/>
      <c r="K104" s="57"/>
      <c r="L104" s="11"/>
      <c r="N104" s="11"/>
    </row>
    <row r="105" spans="8:14" x14ac:dyDescent="0.25">
      <c r="H105" s="37"/>
      <c r="I105" s="79"/>
      <c r="J105" s="70"/>
      <c r="K105" s="57"/>
      <c r="L105" s="11"/>
      <c r="N105" s="11"/>
    </row>
    <row r="106" spans="8:14" x14ac:dyDescent="0.25">
      <c r="H106" s="37"/>
      <c r="I106" s="79"/>
      <c r="J106" s="70"/>
      <c r="K106" s="57"/>
      <c r="L106" s="11"/>
      <c r="N106" s="11"/>
    </row>
    <row r="107" spans="8:14" x14ac:dyDescent="0.25">
      <c r="H107" s="37"/>
      <c r="I107" s="79"/>
      <c r="J107" s="70"/>
      <c r="K107" s="57"/>
      <c r="L107" s="11"/>
      <c r="N107" s="11"/>
    </row>
    <row r="108" spans="8:14" x14ac:dyDescent="0.25">
      <c r="H108" s="37"/>
      <c r="I108" s="79"/>
      <c r="J108" s="70"/>
      <c r="K108" s="57"/>
      <c r="L108" s="11"/>
      <c r="N108" s="11"/>
    </row>
    <row r="109" spans="8:14" x14ac:dyDescent="0.25">
      <c r="H109" s="37"/>
      <c r="I109" s="79"/>
      <c r="J109" s="70"/>
      <c r="K109" s="57"/>
      <c r="L109" s="11"/>
      <c r="N109" s="11"/>
    </row>
    <row r="110" spans="8:14" x14ac:dyDescent="0.25">
      <c r="H110" s="37"/>
      <c r="I110" s="79"/>
      <c r="J110" s="70"/>
      <c r="K110" s="57"/>
      <c r="L110" s="11"/>
      <c r="N110" s="11"/>
    </row>
    <row r="111" spans="8:14" x14ac:dyDescent="0.25">
      <c r="H111" s="37"/>
      <c r="I111" s="79"/>
      <c r="J111" s="70"/>
      <c r="K111" s="57"/>
      <c r="L111" s="11"/>
      <c r="N111" s="11"/>
    </row>
    <row r="112" spans="8:14" x14ac:dyDescent="0.25">
      <c r="H112" s="37"/>
      <c r="I112" s="79"/>
      <c r="J112" s="70"/>
      <c r="K112" s="57"/>
      <c r="L112" s="11"/>
      <c r="N112" s="11"/>
    </row>
    <row r="113" spans="8:14" x14ac:dyDescent="0.25">
      <c r="H113" s="37"/>
      <c r="I113" s="79"/>
      <c r="J113" s="70"/>
      <c r="K113" s="57"/>
      <c r="L113" s="11"/>
      <c r="N113" s="11"/>
    </row>
    <row r="114" spans="8:14" x14ac:dyDescent="0.25">
      <c r="H114" s="37"/>
      <c r="I114" s="79"/>
      <c r="J114" s="70"/>
      <c r="K114" s="57"/>
      <c r="L114" s="11"/>
      <c r="N114" s="11"/>
    </row>
    <row r="115" spans="8:14" x14ac:dyDescent="0.25">
      <c r="H115" s="37"/>
      <c r="I115" s="79"/>
      <c r="J115" s="70"/>
      <c r="K115" s="57"/>
      <c r="L115" s="11"/>
      <c r="N115" s="11"/>
    </row>
    <row r="116" spans="8:14" x14ac:dyDescent="0.25">
      <c r="H116" s="37"/>
      <c r="I116" s="79"/>
      <c r="J116" s="70"/>
      <c r="K116" s="57"/>
      <c r="L116" s="11"/>
      <c r="N116" s="11"/>
    </row>
    <row r="117" spans="8:14" x14ac:dyDescent="0.25">
      <c r="H117" s="37"/>
      <c r="I117" s="79"/>
      <c r="J117" s="70"/>
      <c r="K117" s="57"/>
      <c r="L117" s="11"/>
      <c r="N117" s="11"/>
    </row>
    <row r="118" spans="8:14" x14ac:dyDescent="0.25">
      <c r="H118" s="37"/>
      <c r="I118" s="79"/>
      <c r="J118" s="70"/>
      <c r="K118" s="57"/>
      <c r="L118" s="11"/>
      <c r="N118" s="11"/>
    </row>
    <row r="119" spans="8:14" x14ac:dyDescent="0.25">
      <c r="H119" s="37"/>
      <c r="I119" s="79"/>
      <c r="J119" s="70"/>
      <c r="K119" s="57"/>
      <c r="L119" s="11"/>
      <c r="N119" s="11"/>
    </row>
    <row r="120" spans="8:14" x14ac:dyDescent="0.25">
      <c r="H120" s="37"/>
      <c r="I120" s="79"/>
      <c r="J120" s="70"/>
      <c r="K120" s="57"/>
      <c r="L120" s="11"/>
      <c r="N120" s="11"/>
    </row>
    <row r="121" spans="8:14" x14ac:dyDescent="0.25">
      <c r="H121" s="37"/>
      <c r="I121" s="79"/>
      <c r="J121" s="70"/>
      <c r="K121" s="57"/>
      <c r="L121" s="11"/>
      <c r="N121" s="11"/>
    </row>
    <row r="122" spans="8:14" x14ac:dyDescent="0.25">
      <c r="H122" s="37"/>
      <c r="I122" s="79"/>
      <c r="J122" s="70"/>
      <c r="K122" s="57"/>
      <c r="L122" s="11"/>
      <c r="N122" s="11"/>
    </row>
    <row r="123" spans="8:14" x14ac:dyDescent="0.25">
      <c r="H123" s="37"/>
      <c r="I123" s="79"/>
      <c r="J123" s="70"/>
      <c r="K123" s="57"/>
      <c r="L123" s="11"/>
      <c r="N123" s="11"/>
    </row>
    <row r="124" spans="8:14" x14ac:dyDescent="0.25">
      <c r="H124" s="37"/>
      <c r="I124" s="79"/>
      <c r="J124" s="70"/>
      <c r="K124" s="57"/>
      <c r="L124" s="11"/>
      <c r="N124" s="11"/>
    </row>
    <row r="125" spans="8:14" x14ac:dyDescent="0.25">
      <c r="H125" s="37"/>
      <c r="I125" s="79"/>
      <c r="J125" s="70"/>
      <c r="K125" s="57"/>
      <c r="L125" s="11"/>
      <c r="N125" s="11"/>
    </row>
    <row r="126" spans="8:14" x14ac:dyDescent="0.25">
      <c r="H126" s="37"/>
      <c r="I126" s="79"/>
      <c r="J126" s="70"/>
      <c r="K126" s="57"/>
      <c r="L126" s="11"/>
      <c r="N126" s="11"/>
    </row>
    <row r="127" spans="8:14" x14ac:dyDescent="0.25">
      <c r="H127" s="37"/>
      <c r="I127" s="79"/>
      <c r="J127" s="70"/>
      <c r="K127" s="57"/>
      <c r="L127" s="11"/>
      <c r="N127" s="11"/>
    </row>
    <row r="128" spans="8:14" x14ac:dyDescent="0.25">
      <c r="H128" s="37"/>
      <c r="I128" s="79"/>
      <c r="J128" s="70"/>
      <c r="K128" s="57"/>
      <c r="L128" s="11"/>
      <c r="N128" s="11"/>
    </row>
    <row r="129" spans="8:14" x14ac:dyDescent="0.25">
      <c r="H129" s="37"/>
      <c r="I129" s="79"/>
      <c r="J129" s="70"/>
      <c r="K129" s="57"/>
      <c r="L129" s="11"/>
      <c r="N129" s="11"/>
    </row>
    <row r="130" spans="8:14" x14ac:dyDescent="0.25">
      <c r="H130" s="37"/>
      <c r="I130" s="79"/>
      <c r="J130" s="70"/>
      <c r="K130" s="57"/>
      <c r="L130" s="11"/>
      <c r="N130" s="11"/>
    </row>
    <row r="131" spans="8:14" x14ac:dyDescent="0.25">
      <c r="H131" s="37"/>
      <c r="I131" s="79"/>
      <c r="J131" s="70"/>
      <c r="K131" s="57"/>
      <c r="L131" s="11"/>
      <c r="N131" s="11"/>
    </row>
    <row r="132" spans="8:14" x14ac:dyDescent="0.25">
      <c r="H132" s="37"/>
      <c r="I132" s="79"/>
      <c r="J132" s="70"/>
      <c r="K132" s="57"/>
      <c r="L132" s="11"/>
      <c r="N132" s="11"/>
    </row>
    <row r="133" spans="8:14" x14ac:dyDescent="0.25">
      <c r="H133" s="37"/>
      <c r="I133" s="79"/>
      <c r="J133" s="70"/>
      <c r="K133" s="57"/>
      <c r="L133" s="11"/>
      <c r="N133" s="11"/>
    </row>
    <row r="134" spans="8:14" x14ac:dyDescent="0.25">
      <c r="H134" s="37"/>
      <c r="I134" s="79"/>
      <c r="J134" s="70"/>
      <c r="K134" s="57"/>
      <c r="L134" s="11"/>
      <c r="N134" s="11"/>
    </row>
    <row r="135" spans="8:14" x14ac:dyDescent="0.25">
      <c r="H135" s="37"/>
      <c r="I135" s="79"/>
      <c r="J135" s="70"/>
      <c r="K135" s="57"/>
      <c r="L135" s="11"/>
      <c r="N135" s="11"/>
    </row>
    <row r="136" spans="8:14" x14ac:dyDescent="0.25">
      <c r="H136" s="37"/>
      <c r="I136" s="79"/>
      <c r="J136" s="70"/>
      <c r="K136" s="57"/>
      <c r="L136" s="11"/>
      <c r="N136" s="11"/>
    </row>
    <row r="137" spans="8:14" x14ac:dyDescent="0.25">
      <c r="H137" s="37"/>
      <c r="I137" s="79"/>
      <c r="J137" s="70"/>
      <c r="K137" s="57"/>
      <c r="L137" s="11"/>
      <c r="N137" s="11"/>
    </row>
    <row r="138" spans="8:14" x14ac:dyDescent="0.25">
      <c r="H138" s="37"/>
      <c r="I138" s="79"/>
      <c r="J138" s="70"/>
      <c r="K138" s="57"/>
      <c r="L138" s="11"/>
      <c r="N138" s="11"/>
    </row>
    <row r="139" spans="8:14" x14ac:dyDescent="0.25">
      <c r="H139" s="37"/>
      <c r="I139" s="79"/>
      <c r="J139" s="70"/>
      <c r="K139" s="57"/>
      <c r="L139" s="11"/>
      <c r="N139" s="11"/>
    </row>
    <row r="140" spans="8:14" x14ac:dyDescent="0.25">
      <c r="H140" s="37"/>
      <c r="I140" s="79"/>
      <c r="J140" s="70"/>
      <c r="K140" s="57"/>
      <c r="L140" s="11"/>
      <c r="N140" s="11"/>
    </row>
    <row r="141" spans="8:14" x14ac:dyDescent="0.25">
      <c r="H141" s="37"/>
      <c r="I141" s="79"/>
      <c r="J141" s="70"/>
      <c r="K141" s="57"/>
      <c r="L141" s="11"/>
      <c r="N141" s="11"/>
    </row>
    <row r="142" spans="8:14" x14ac:dyDescent="0.25">
      <c r="H142" s="37"/>
      <c r="I142" s="79"/>
      <c r="J142" s="70"/>
      <c r="K142" s="57"/>
      <c r="L142" s="11"/>
      <c r="N142" s="11"/>
    </row>
    <row r="143" spans="8:14" x14ac:dyDescent="0.25">
      <c r="H143" s="37"/>
      <c r="I143" s="79"/>
      <c r="J143" s="70"/>
      <c r="K143" s="57"/>
      <c r="L143" s="11"/>
      <c r="N143" s="11"/>
    </row>
    <row r="144" spans="8:14" x14ac:dyDescent="0.25">
      <c r="H144" s="37"/>
      <c r="I144" s="79"/>
      <c r="J144" s="70"/>
      <c r="K144" s="57"/>
      <c r="L144" s="11"/>
      <c r="N144" s="11"/>
    </row>
    <row r="145" spans="8:14" x14ac:dyDescent="0.25">
      <c r="H145" s="37"/>
      <c r="I145" s="79"/>
      <c r="J145" s="70"/>
      <c r="K145" s="57"/>
      <c r="L145" s="11"/>
      <c r="N145" s="11"/>
    </row>
    <row r="146" spans="8:14" x14ac:dyDescent="0.25">
      <c r="H146" s="37"/>
      <c r="I146" s="79"/>
      <c r="J146" s="70"/>
      <c r="K146" s="57"/>
      <c r="L146" s="11"/>
      <c r="N146" s="11"/>
    </row>
    <row r="147" spans="8:14" x14ac:dyDescent="0.25">
      <c r="H147" s="37"/>
      <c r="I147" s="79"/>
      <c r="J147" s="70"/>
      <c r="K147" s="57"/>
      <c r="L147" s="11"/>
      <c r="N147" s="11"/>
    </row>
    <row r="148" spans="8:14" x14ac:dyDescent="0.25">
      <c r="H148" s="37"/>
      <c r="I148" s="79"/>
      <c r="J148" s="70"/>
      <c r="K148" s="57"/>
      <c r="L148" s="11"/>
      <c r="N148" s="11"/>
    </row>
    <row r="149" spans="8:14" x14ac:dyDescent="0.25">
      <c r="H149" s="37"/>
      <c r="I149" s="79"/>
      <c r="J149" s="70"/>
      <c r="K149" s="57"/>
      <c r="L149" s="11"/>
      <c r="N149" s="11"/>
    </row>
    <row r="150" spans="8:14" x14ac:dyDescent="0.25">
      <c r="H150" s="37"/>
      <c r="I150" s="79"/>
      <c r="J150" s="70"/>
      <c r="K150" s="57"/>
      <c r="L150" s="11"/>
      <c r="N150" s="11"/>
    </row>
    <row r="151" spans="8:14" x14ac:dyDescent="0.25">
      <c r="H151" s="37"/>
      <c r="I151" s="79"/>
      <c r="J151" s="70"/>
      <c r="K151" s="57"/>
      <c r="L151" s="11"/>
      <c r="N151" s="11"/>
    </row>
    <row r="152" spans="8:14" x14ac:dyDescent="0.25">
      <c r="H152" s="37"/>
      <c r="I152" s="79"/>
      <c r="J152" s="70"/>
      <c r="K152" s="57"/>
      <c r="L152" s="11"/>
      <c r="N152" s="11"/>
    </row>
    <row r="153" spans="8:14" x14ac:dyDescent="0.25">
      <c r="H153" s="37"/>
      <c r="I153" s="79"/>
      <c r="J153" s="70"/>
      <c r="K153" s="57"/>
      <c r="L153" s="11"/>
      <c r="N153" s="11"/>
    </row>
    <row r="154" spans="8:14" x14ac:dyDescent="0.25">
      <c r="H154" s="37"/>
      <c r="I154" s="79"/>
      <c r="J154" s="70"/>
      <c r="K154" s="57"/>
      <c r="L154" s="11"/>
      <c r="N154" s="11"/>
    </row>
    <row r="155" spans="8:14" x14ac:dyDescent="0.25">
      <c r="H155" s="37"/>
      <c r="I155" s="79"/>
      <c r="J155" s="70"/>
      <c r="K155" s="57"/>
      <c r="L155" s="11"/>
      <c r="N155" s="11"/>
    </row>
    <row r="156" spans="8:14" x14ac:dyDescent="0.25">
      <c r="H156" s="37"/>
      <c r="I156" s="79"/>
      <c r="J156" s="70"/>
      <c r="K156" s="57"/>
      <c r="L156" s="11"/>
      <c r="N156" s="11"/>
    </row>
    <row r="157" spans="8:14" x14ac:dyDescent="0.25">
      <c r="H157" s="37"/>
      <c r="I157" s="79"/>
      <c r="J157" s="70"/>
      <c r="K157" s="57"/>
      <c r="L157" s="11"/>
      <c r="N157" s="11"/>
    </row>
    <row r="158" spans="8:14" x14ac:dyDescent="0.25">
      <c r="H158" s="37"/>
      <c r="I158" s="79"/>
      <c r="J158" s="70"/>
      <c r="K158" s="57"/>
      <c r="L158" s="11"/>
      <c r="N158" s="11"/>
    </row>
    <row r="159" spans="8:14" x14ac:dyDescent="0.25">
      <c r="H159" s="37"/>
      <c r="I159" s="79"/>
      <c r="J159" s="70"/>
      <c r="K159" s="57"/>
      <c r="L159" s="11"/>
      <c r="N159" s="11"/>
    </row>
    <row r="160" spans="8:14" x14ac:dyDescent="0.25">
      <c r="H160" s="37"/>
      <c r="I160" s="79"/>
      <c r="J160" s="70"/>
      <c r="K160" s="57"/>
      <c r="L160" s="11"/>
      <c r="N160" s="11"/>
    </row>
    <row r="161" spans="8:14" x14ac:dyDescent="0.25">
      <c r="H161" s="37"/>
      <c r="I161" s="79"/>
      <c r="J161" s="70"/>
      <c r="K161" s="57"/>
      <c r="L161" s="11"/>
      <c r="N161" s="11"/>
    </row>
    <row r="162" spans="8:14" x14ac:dyDescent="0.25">
      <c r="H162" s="37"/>
      <c r="I162" s="79"/>
      <c r="J162" s="70"/>
      <c r="K162" s="57"/>
      <c r="L162" s="11"/>
      <c r="N162" s="11"/>
    </row>
    <row r="163" spans="8:14" x14ac:dyDescent="0.25">
      <c r="H163" s="37"/>
      <c r="I163" s="79"/>
      <c r="J163" s="70"/>
      <c r="K163" s="57"/>
      <c r="L163" s="11"/>
      <c r="N163" s="11"/>
    </row>
    <row r="164" spans="8:14" x14ac:dyDescent="0.25">
      <c r="H164" s="37"/>
      <c r="I164" s="79"/>
      <c r="J164" s="70"/>
      <c r="K164" s="57"/>
      <c r="L164" s="11"/>
      <c r="N164" s="11"/>
    </row>
    <row r="165" spans="8:14" x14ac:dyDescent="0.25">
      <c r="H165" s="37"/>
      <c r="I165" s="79"/>
      <c r="J165" s="70"/>
      <c r="K165" s="57"/>
      <c r="L165" s="11"/>
      <c r="N165" s="11"/>
    </row>
    <row r="166" spans="8:14" x14ac:dyDescent="0.25">
      <c r="H166" s="37"/>
      <c r="I166" s="79"/>
      <c r="J166" s="70"/>
      <c r="K166" s="57"/>
      <c r="L166" s="11"/>
      <c r="N166" s="11"/>
    </row>
    <row r="167" spans="8:14" x14ac:dyDescent="0.25">
      <c r="H167" s="37"/>
      <c r="I167" s="79"/>
      <c r="J167" s="70"/>
      <c r="K167" s="57"/>
      <c r="L167" s="11"/>
      <c r="N167" s="11"/>
    </row>
    <row r="168" spans="8:14" x14ac:dyDescent="0.25">
      <c r="H168" s="37"/>
      <c r="I168" s="79"/>
      <c r="J168" s="70"/>
      <c r="K168" s="57"/>
      <c r="L168" s="11"/>
      <c r="N168" s="11"/>
    </row>
    <row r="169" spans="8:14" x14ac:dyDescent="0.25">
      <c r="H169" s="37"/>
      <c r="I169" s="79"/>
      <c r="J169" s="70"/>
      <c r="K169" s="57"/>
      <c r="L169" s="11"/>
      <c r="N169" s="11"/>
    </row>
    <row r="170" spans="8:14" x14ac:dyDescent="0.25">
      <c r="H170" s="37"/>
      <c r="I170" s="79"/>
      <c r="J170" s="70"/>
      <c r="K170" s="57"/>
      <c r="L170" s="11"/>
      <c r="N170" s="11"/>
    </row>
    <row r="171" spans="8:14" x14ac:dyDescent="0.25">
      <c r="H171" s="37"/>
      <c r="I171" s="79"/>
      <c r="J171" s="70"/>
      <c r="K171" s="57"/>
      <c r="L171" s="11"/>
      <c r="N171" s="11"/>
    </row>
    <row r="172" spans="8:14" x14ac:dyDescent="0.25">
      <c r="H172" s="37"/>
      <c r="I172" s="79"/>
      <c r="J172" s="70"/>
      <c r="K172" s="57"/>
      <c r="L172" s="11"/>
      <c r="N172" s="11"/>
    </row>
    <row r="173" spans="8:14" x14ac:dyDescent="0.25">
      <c r="H173" s="37"/>
      <c r="I173" s="79"/>
      <c r="J173" s="70"/>
      <c r="K173" s="57"/>
      <c r="L173" s="11"/>
      <c r="N173" s="11"/>
    </row>
    <row r="174" spans="8:14" x14ac:dyDescent="0.25">
      <c r="H174" s="37"/>
      <c r="I174" s="79"/>
      <c r="J174" s="70"/>
      <c r="K174" s="57"/>
      <c r="L174" s="11"/>
      <c r="N174" s="11"/>
    </row>
    <row r="175" spans="8:14" x14ac:dyDescent="0.25">
      <c r="H175" s="37"/>
      <c r="I175" s="79"/>
      <c r="J175" s="70"/>
      <c r="K175" s="57"/>
      <c r="L175" s="11"/>
      <c r="N175" s="11"/>
    </row>
    <row r="176" spans="8:14" x14ac:dyDescent="0.25">
      <c r="H176" s="37"/>
      <c r="I176" s="79"/>
      <c r="J176" s="70"/>
      <c r="K176" s="57"/>
      <c r="L176" s="11"/>
      <c r="N176" s="11"/>
    </row>
    <row r="177" spans="8:14" x14ac:dyDescent="0.25">
      <c r="H177" s="37"/>
      <c r="I177" s="79"/>
      <c r="J177" s="70"/>
      <c r="K177" s="57"/>
      <c r="L177" s="11"/>
      <c r="N177" s="11"/>
    </row>
    <row r="178" spans="8:14" x14ac:dyDescent="0.25">
      <c r="H178" s="37"/>
      <c r="I178" s="79"/>
      <c r="J178" s="70"/>
      <c r="K178" s="57"/>
      <c r="L178" s="11"/>
      <c r="N178" s="11"/>
    </row>
    <row r="179" spans="8:14" x14ac:dyDescent="0.25">
      <c r="H179" s="37"/>
      <c r="I179" s="79"/>
      <c r="J179" s="70"/>
      <c r="K179" s="57"/>
      <c r="L179" s="11"/>
      <c r="N179" s="11"/>
    </row>
    <row r="180" spans="8:14" x14ac:dyDescent="0.25">
      <c r="H180" s="37"/>
      <c r="I180" s="79"/>
      <c r="J180" s="70"/>
      <c r="K180" s="57"/>
      <c r="L180" s="11"/>
      <c r="N180" s="11"/>
    </row>
    <row r="181" spans="8:14" x14ac:dyDescent="0.25">
      <c r="H181" s="37"/>
      <c r="I181" s="79"/>
      <c r="J181" s="70"/>
      <c r="K181" s="57"/>
      <c r="L181" s="11"/>
      <c r="N181" s="11"/>
    </row>
    <row r="182" spans="8:14" x14ac:dyDescent="0.25">
      <c r="H182" s="37"/>
      <c r="I182" s="79"/>
      <c r="J182" s="70"/>
      <c r="K182" s="57"/>
      <c r="L182" s="11"/>
      <c r="N182" s="11"/>
    </row>
    <row r="183" spans="8:14" x14ac:dyDescent="0.25">
      <c r="H183" s="37"/>
      <c r="I183" s="79"/>
      <c r="J183" s="70"/>
      <c r="K183" s="57"/>
      <c r="L183" s="11"/>
      <c r="N183" s="11"/>
    </row>
    <row r="184" spans="8:14" x14ac:dyDescent="0.25">
      <c r="H184" s="37"/>
      <c r="I184" s="79"/>
      <c r="J184" s="70"/>
      <c r="K184" s="57"/>
      <c r="L184" s="11"/>
      <c r="N184" s="11"/>
    </row>
    <row r="185" spans="8:14" x14ac:dyDescent="0.25">
      <c r="H185" s="37"/>
      <c r="I185" s="79"/>
      <c r="J185" s="70"/>
      <c r="K185" s="57"/>
      <c r="L185" s="11"/>
      <c r="N185" s="11"/>
    </row>
    <row r="186" spans="8:14" x14ac:dyDescent="0.25">
      <c r="H186" s="37"/>
      <c r="I186" s="79"/>
      <c r="J186" s="70"/>
      <c r="K186" s="57"/>
      <c r="L186" s="11"/>
      <c r="M186" s="41"/>
      <c r="N186" s="11"/>
    </row>
    <row r="187" spans="8:14" x14ac:dyDescent="0.25">
      <c r="H187" s="37"/>
      <c r="I187" s="79"/>
      <c r="J187" s="70"/>
      <c r="K187" s="57"/>
      <c r="L187" s="11"/>
      <c r="M187" s="41"/>
      <c r="N187" s="11"/>
    </row>
    <row r="188" spans="8:14" x14ac:dyDescent="0.25">
      <c r="H188" s="37"/>
      <c r="I188" s="79"/>
      <c r="J188" s="70"/>
      <c r="K188" s="57"/>
      <c r="L188" s="11"/>
      <c r="M188" s="41"/>
      <c r="N188" s="11"/>
    </row>
    <row r="189" spans="8:14" x14ac:dyDescent="0.25">
      <c r="H189" s="37"/>
      <c r="I189" s="79"/>
      <c r="J189" s="70"/>
      <c r="K189" s="57"/>
      <c r="L189" s="11"/>
      <c r="M189" s="41"/>
      <c r="N189" s="11"/>
    </row>
    <row r="190" spans="8:14" x14ac:dyDescent="0.25">
      <c r="H190" s="37"/>
      <c r="I190" s="79"/>
      <c r="J190" s="70"/>
      <c r="K190" s="57"/>
      <c r="L190" s="11"/>
      <c r="M190" s="41"/>
      <c r="N190" s="11"/>
    </row>
    <row r="191" spans="8:14" x14ac:dyDescent="0.25">
      <c r="H191" s="37"/>
      <c r="I191" s="79"/>
      <c r="J191" s="70"/>
      <c r="K191" s="57"/>
      <c r="L191" s="11"/>
      <c r="M191" s="41"/>
      <c r="N191" s="11"/>
    </row>
    <row r="192" spans="8:14" x14ac:dyDescent="0.25">
      <c r="H192" s="37"/>
      <c r="I192" s="79"/>
      <c r="J192" s="70"/>
      <c r="K192" s="57"/>
      <c r="L192" s="11"/>
      <c r="M192" s="41"/>
      <c r="N192" s="11"/>
    </row>
    <row r="193" spans="8:14" x14ac:dyDescent="0.25">
      <c r="H193" s="37"/>
      <c r="I193" s="79"/>
      <c r="J193" s="70"/>
      <c r="K193" s="57"/>
      <c r="L193" s="11"/>
      <c r="M193" s="41"/>
      <c r="N193" s="11"/>
    </row>
    <row r="194" spans="8:14" x14ac:dyDescent="0.25">
      <c r="H194" s="37"/>
      <c r="I194" s="79"/>
      <c r="J194" s="70"/>
      <c r="K194" s="57"/>
      <c r="L194" s="11"/>
      <c r="M194" s="41"/>
      <c r="N194" s="11"/>
    </row>
    <row r="195" spans="8:14" x14ac:dyDescent="0.25">
      <c r="H195" s="37"/>
      <c r="I195" s="79"/>
      <c r="J195" s="70"/>
      <c r="K195" s="57"/>
      <c r="L195" s="11"/>
      <c r="M195" s="41"/>
      <c r="N195" s="11"/>
    </row>
    <row r="196" spans="8:14" x14ac:dyDescent="0.25">
      <c r="H196" s="37"/>
      <c r="I196" s="79"/>
      <c r="J196" s="70"/>
      <c r="K196" s="57"/>
      <c r="L196" s="11"/>
      <c r="M196" s="41"/>
      <c r="N196" s="11"/>
    </row>
    <row r="197" spans="8:14" x14ac:dyDescent="0.25">
      <c r="H197" s="37"/>
      <c r="I197" s="79"/>
      <c r="J197" s="70"/>
      <c r="K197" s="57"/>
      <c r="L197" s="11"/>
      <c r="M197" s="41"/>
      <c r="N197" s="11"/>
    </row>
    <row r="198" spans="8:14" x14ac:dyDescent="0.25">
      <c r="H198" s="37"/>
      <c r="I198" s="79"/>
      <c r="J198" s="70"/>
      <c r="K198" s="57"/>
      <c r="L198" s="11"/>
      <c r="M198" s="41"/>
      <c r="N198" s="11"/>
    </row>
    <row r="199" spans="8:14" x14ac:dyDescent="0.25">
      <c r="H199" s="37"/>
      <c r="I199" s="79"/>
      <c r="J199" s="70"/>
      <c r="K199" s="57"/>
      <c r="L199" s="11"/>
      <c r="M199" s="41"/>
      <c r="N199" s="11"/>
    </row>
    <row r="200" spans="8:14" x14ac:dyDescent="0.25">
      <c r="H200" s="37"/>
      <c r="I200" s="79"/>
      <c r="J200" s="70"/>
      <c r="K200" s="57"/>
      <c r="L200" s="11"/>
      <c r="M200" s="41"/>
      <c r="N200" s="11"/>
    </row>
    <row r="201" spans="8:14" x14ac:dyDescent="0.25">
      <c r="H201" s="37"/>
      <c r="I201" s="79"/>
      <c r="J201" s="70"/>
      <c r="K201" s="57"/>
      <c r="L201" s="11"/>
      <c r="M201" s="41"/>
      <c r="N201" s="11"/>
    </row>
    <row r="202" spans="8:14" x14ac:dyDescent="0.25">
      <c r="H202" s="37"/>
      <c r="I202" s="79"/>
      <c r="J202" s="70"/>
      <c r="K202" s="57"/>
      <c r="L202" s="11"/>
      <c r="M202" s="41"/>
      <c r="N202" s="11"/>
    </row>
    <row r="203" spans="8:14" x14ac:dyDescent="0.25">
      <c r="H203" s="37"/>
      <c r="I203" s="79"/>
      <c r="J203" s="70"/>
      <c r="K203" s="57"/>
      <c r="L203" s="11"/>
      <c r="M203" s="41"/>
      <c r="N203" s="11"/>
    </row>
    <row r="204" spans="8:14" x14ac:dyDescent="0.25">
      <c r="H204" s="37"/>
      <c r="I204" s="79"/>
      <c r="J204" s="70"/>
      <c r="K204" s="57"/>
      <c r="L204" s="11"/>
      <c r="M204" s="41"/>
      <c r="N204" s="11"/>
    </row>
    <row r="205" spans="8:14" x14ac:dyDescent="0.25">
      <c r="H205" s="37"/>
      <c r="I205" s="79"/>
      <c r="J205" s="70"/>
      <c r="K205" s="57"/>
      <c r="L205" s="11"/>
      <c r="M205" s="41"/>
      <c r="N205" s="11"/>
    </row>
    <row r="206" spans="8:14" x14ac:dyDescent="0.25">
      <c r="H206" s="37"/>
      <c r="I206" s="79"/>
      <c r="J206" s="70"/>
      <c r="K206" s="57"/>
      <c r="L206" s="11"/>
      <c r="M206" s="41"/>
      <c r="N206" s="11"/>
    </row>
    <row r="207" spans="8:14" x14ac:dyDescent="0.25">
      <c r="H207" s="37"/>
      <c r="I207" s="79"/>
      <c r="J207" s="70"/>
      <c r="K207" s="57"/>
      <c r="L207" s="11"/>
      <c r="M207" s="41"/>
      <c r="N207" s="11"/>
    </row>
    <row r="208" spans="8:14" x14ac:dyDescent="0.25">
      <c r="H208" s="37"/>
      <c r="I208" s="79"/>
      <c r="J208" s="70"/>
      <c r="K208" s="57"/>
      <c r="L208" s="11"/>
      <c r="M208" s="41"/>
      <c r="N208" s="11"/>
    </row>
    <row r="209" spans="8:14" x14ac:dyDescent="0.25">
      <c r="H209" s="37"/>
      <c r="I209" s="79"/>
      <c r="J209" s="70"/>
      <c r="K209" s="57"/>
      <c r="L209" s="11"/>
      <c r="M209" s="41"/>
      <c r="N209" s="11"/>
    </row>
    <row r="210" spans="8:14" x14ac:dyDescent="0.25">
      <c r="H210" s="37"/>
      <c r="I210" s="79"/>
      <c r="J210" s="70"/>
      <c r="K210" s="57"/>
      <c r="L210" s="11"/>
      <c r="M210" s="41"/>
      <c r="N210" s="11"/>
    </row>
    <row r="211" spans="8:14" x14ac:dyDescent="0.25">
      <c r="H211" s="37"/>
      <c r="I211" s="79"/>
      <c r="J211" s="70"/>
      <c r="K211" s="57"/>
      <c r="L211" s="11"/>
      <c r="M211" s="41"/>
      <c r="N211" s="11"/>
    </row>
    <row r="212" spans="8:14" x14ac:dyDescent="0.25">
      <c r="H212" s="37"/>
      <c r="I212" s="79"/>
      <c r="J212" s="70"/>
      <c r="K212" s="57"/>
      <c r="L212" s="11"/>
      <c r="M212" s="41"/>
      <c r="N212" s="11"/>
    </row>
    <row r="213" spans="8:14" x14ac:dyDescent="0.25">
      <c r="H213" s="37"/>
      <c r="I213" s="79"/>
      <c r="J213" s="70"/>
      <c r="K213" s="57"/>
      <c r="L213" s="11"/>
      <c r="M213" s="41"/>
      <c r="N213" s="11"/>
    </row>
    <row r="214" spans="8:14" x14ac:dyDescent="0.25">
      <c r="H214" s="37"/>
      <c r="I214" s="79"/>
      <c r="J214" s="70"/>
      <c r="K214" s="57"/>
      <c r="L214" s="11"/>
      <c r="M214" s="41"/>
      <c r="N214" s="11"/>
    </row>
    <row r="215" spans="8:14" x14ac:dyDescent="0.25">
      <c r="H215" s="37"/>
      <c r="I215" s="79"/>
      <c r="J215" s="70"/>
      <c r="K215" s="57"/>
      <c r="L215" s="11"/>
      <c r="M215" s="41"/>
      <c r="N215" s="11"/>
    </row>
    <row r="216" spans="8:14" x14ac:dyDescent="0.25">
      <c r="H216" s="37"/>
      <c r="I216" s="79"/>
      <c r="J216" s="70"/>
      <c r="K216" s="57"/>
      <c r="L216" s="11"/>
      <c r="M216" s="41"/>
      <c r="N216" s="11"/>
    </row>
    <row r="217" spans="8:14" x14ac:dyDescent="0.25">
      <c r="H217" s="37"/>
      <c r="I217" s="79"/>
      <c r="J217" s="70"/>
      <c r="K217" s="57"/>
      <c r="L217" s="11"/>
      <c r="M217" s="41"/>
      <c r="N217" s="11"/>
    </row>
    <row r="218" spans="8:14" x14ac:dyDescent="0.25">
      <c r="H218" s="37"/>
      <c r="I218" s="79"/>
      <c r="J218" s="70"/>
      <c r="K218" s="57"/>
      <c r="L218" s="11"/>
      <c r="M218" s="41"/>
      <c r="N218" s="11"/>
    </row>
    <row r="219" spans="8:14" x14ac:dyDescent="0.25">
      <c r="H219" s="37"/>
      <c r="I219" s="79"/>
      <c r="J219" s="70"/>
      <c r="K219" s="57"/>
      <c r="L219" s="11"/>
      <c r="M219" s="41"/>
      <c r="N219" s="11"/>
    </row>
    <row r="220" spans="8:14" x14ac:dyDescent="0.25">
      <c r="H220" s="37"/>
      <c r="I220" s="79"/>
      <c r="J220" s="70"/>
      <c r="K220" s="57"/>
      <c r="L220" s="11"/>
      <c r="M220" s="41"/>
      <c r="N220" s="11"/>
    </row>
    <row r="221" spans="8:14" x14ac:dyDescent="0.25">
      <c r="H221" s="37"/>
      <c r="I221" s="79"/>
      <c r="J221" s="70"/>
      <c r="K221" s="57"/>
      <c r="L221" s="11"/>
      <c r="M221" s="41"/>
      <c r="N221" s="11"/>
    </row>
    <row r="222" spans="8:14" x14ac:dyDescent="0.25">
      <c r="H222" s="37"/>
      <c r="I222" s="79"/>
      <c r="J222" s="70"/>
      <c r="K222" s="57"/>
      <c r="L222" s="11"/>
      <c r="M222" s="41"/>
      <c r="N222" s="11"/>
    </row>
    <row r="223" spans="8:14" x14ac:dyDescent="0.25">
      <c r="H223" s="37"/>
      <c r="I223" s="79"/>
      <c r="J223" s="70"/>
      <c r="K223" s="57"/>
      <c r="L223" s="11"/>
      <c r="M223" s="41"/>
      <c r="N223" s="11"/>
    </row>
    <row r="224" spans="8:14" x14ac:dyDescent="0.25">
      <c r="H224" s="37"/>
      <c r="I224" s="79"/>
      <c r="J224" s="70"/>
      <c r="K224" s="57"/>
      <c r="L224" s="11"/>
      <c r="M224" s="41"/>
      <c r="N224" s="11"/>
    </row>
    <row r="225" spans="8:14" x14ac:dyDescent="0.25">
      <c r="H225" s="37"/>
      <c r="I225" s="79"/>
      <c r="J225" s="70"/>
      <c r="K225" s="57"/>
      <c r="L225" s="11"/>
      <c r="M225" s="41"/>
      <c r="N225" s="11"/>
    </row>
    <row r="226" spans="8:14" x14ac:dyDescent="0.25">
      <c r="H226" s="37"/>
      <c r="I226" s="79"/>
      <c r="J226" s="70"/>
      <c r="K226" s="57"/>
      <c r="L226" s="11"/>
      <c r="M226" s="41"/>
      <c r="N226" s="11"/>
    </row>
    <row r="227" spans="8:14" x14ac:dyDescent="0.25">
      <c r="H227" s="37"/>
      <c r="I227" s="79"/>
      <c r="J227" s="70"/>
      <c r="K227" s="57"/>
      <c r="L227" s="11"/>
      <c r="M227" s="41"/>
      <c r="N227" s="11"/>
    </row>
    <row r="228" spans="8:14" x14ac:dyDescent="0.25">
      <c r="H228" s="37"/>
      <c r="I228" s="79"/>
      <c r="J228" s="70"/>
      <c r="K228" s="57"/>
      <c r="L228" s="11"/>
      <c r="M228" s="41"/>
      <c r="N228" s="11"/>
    </row>
    <row r="229" spans="8:14" x14ac:dyDescent="0.25">
      <c r="H229" s="37"/>
      <c r="I229" s="79"/>
      <c r="J229" s="70"/>
      <c r="K229" s="57"/>
      <c r="L229" s="11"/>
      <c r="M229" s="41"/>
      <c r="N229" s="11"/>
    </row>
    <row r="230" spans="8:14" x14ac:dyDescent="0.25">
      <c r="H230" s="37"/>
      <c r="I230" s="79"/>
      <c r="J230" s="70"/>
      <c r="K230" s="57"/>
      <c r="L230" s="11"/>
      <c r="M230" s="41"/>
      <c r="N230" s="11"/>
    </row>
    <row r="231" spans="8:14" x14ac:dyDescent="0.25">
      <c r="H231" s="37"/>
      <c r="I231" s="79"/>
      <c r="J231" s="70"/>
      <c r="K231" s="57"/>
      <c r="L231" s="11"/>
      <c r="M231" s="41"/>
      <c r="N231" s="11"/>
    </row>
    <row r="232" spans="8:14" x14ac:dyDescent="0.25">
      <c r="H232" s="37"/>
      <c r="I232" s="79"/>
      <c r="J232" s="70"/>
      <c r="K232" s="57"/>
      <c r="L232" s="11"/>
      <c r="M232" s="41"/>
      <c r="N232" s="11"/>
    </row>
    <row r="233" spans="8:14" x14ac:dyDescent="0.25">
      <c r="H233" s="37"/>
      <c r="I233" s="79"/>
      <c r="J233" s="70"/>
      <c r="K233" s="57"/>
      <c r="L233" s="11"/>
      <c r="M233" s="41"/>
      <c r="N233" s="11"/>
    </row>
    <row r="234" spans="8:14" x14ac:dyDescent="0.25">
      <c r="H234" s="37"/>
      <c r="I234" s="79"/>
      <c r="J234" s="70"/>
      <c r="K234" s="57"/>
      <c r="L234" s="11"/>
      <c r="M234" s="41"/>
      <c r="N234" s="11"/>
    </row>
    <row r="235" spans="8:14" x14ac:dyDescent="0.25">
      <c r="H235" s="37"/>
      <c r="I235" s="79"/>
      <c r="J235" s="70"/>
      <c r="K235" s="57"/>
      <c r="L235" s="11"/>
      <c r="M235" s="41"/>
      <c r="N235" s="11"/>
    </row>
    <row r="236" spans="8:14" x14ac:dyDescent="0.25">
      <c r="H236" s="37"/>
      <c r="I236" s="79"/>
      <c r="J236" s="70"/>
      <c r="K236" s="57"/>
      <c r="L236" s="11"/>
      <c r="M236" s="41"/>
      <c r="N236" s="11"/>
    </row>
    <row r="237" spans="8:14" x14ac:dyDescent="0.25">
      <c r="H237" s="37"/>
      <c r="I237" s="79"/>
      <c r="J237" s="70"/>
      <c r="K237" s="57"/>
      <c r="L237" s="11"/>
      <c r="M237" s="41"/>
      <c r="N237" s="11"/>
    </row>
    <row r="238" spans="8:14" x14ac:dyDescent="0.25">
      <c r="H238" s="37"/>
      <c r="I238" s="79"/>
      <c r="J238" s="70"/>
      <c r="K238" s="57"/>
      <c r="L238" s="11"/>
      <c r="M238" s="41"/>
      <c r="N238" s="11"/>
    </row>
    <row r="239" spans="8:14" x14ac:dyDescent="0.25">
      <c r="H239" s="37"/>
      <c r="I239" s="79"/>
      <c r="J239" s="70"/>
      <c r="K239" s="57"/>
      <c r="L239" s="11"/>
      <c r="M239" s="41"/>
      <c r="N239" s="11"/>
    </row>
    <row r="240" spans="8:14" x14ac:dyDescent="0.25">
      <c r="H240" s="37"/>
      <c r="I240" s="79"/>
      <c r="J240" s="70"/>
      <c r="K240" s="57"/>
      <c r="L240" s="11"/>
      <c r="M240" s="41"/>
      <c r="N240" s="11"/>
    </row>
    <row r="241" spans="8:14" x14ac:dyDescent="0.25">
      <c r="H241" s="37"/>
      <c r="I241" s="79"/>
      <c r="J241" s="70"/>
      <c r="K241" s="57"/>
      <c r="L241" s="11"/>
      <c r="M241" s="41"/>
      <c r="N241" s="11"/>
    </row>
    <row r="242" spans="8:14" x14ac:dyDescent="0.25">
      <c r="H242" s="37"/>
      <c r="I242" s="79"/>
      <c r="J242" s="70"/>
      <c r="K242" s="57"/>
      <c r="L242" s="11"/>
      <c r="M242" s="41"/>
      <c r="N242" s="11"/>
    </row>
    <row r="243" spans="8:14" x14ac:dyDescent="0.25">
      <c r="H243" s="37"/>
      <c r="I243" s="79"/>
      <c r="J243" s="70"/>
      <c r="K243" s="57"/>
      <c r="L243" s="11"/>
      <c r="M243" s="41"/>
      <c r="N243" s="11"/>
    </row>
    <row r="244" spans="8:14" x14ac:dyDescent="0.25">
      <c r="H244" s="37"/>
      <c r="I244" s="79"/>
      <c r="J244" s="70"/>
      <c r="K244" s="57"/>
      <c r="L244" s="11"/>
      <c r="M244" s="41"/>
      <c r="N244" s="11"/>
    </row>
    <row r="245" spans="8:14" x14ac:dyDescent="0.25">
      <c r="H245" s="37"/>
      <c r="I245" s="79"/>
      <c r="J245" s="70"/>
      <c r="K245" s="57"/>
      <c r="L245" s="11"/>
      <c r="M245" s="41"/>
      <c r="N245" s="11"/>
    </row>
    <row r="246" spans="8:14" x14ac:dyDescent="0.25">
      <c r="H246" s="37"/>
      <c r="I246" s="79"/>
      <c r="J246" s="70"/>
      <c r="K246" s="57"/>
      <c r="L246" s="11"/>
      <c r="M246" s="41"/>
      <c r="N246" s="11"/>
    </row>
    <row r="247" spans="8:14" x14ac:dyDescent="0.25">
      <c r="H247" s="37"/>
      <c r="I247" s="79"/>
      <c r="J247" s="70"/>
      <c r="K247" s="57"/>
      <c r="L247" s="11"/>
      <c r="M247" s="41"/>
      <c r="N247" s="11"/>
    </row>
    <row r="248" spans="8:14" x14ac:dyDescent="0.25">
      <c r="H248" s="37"/>
      <c r="I248" s="79"/>
      <c r="J248" s="70"/>
      <c r="K248" s="57"/>
      <c r="L248" s="11"/>
      <c r="M248" s="41"/>
      <c r="N248" s="11"/>
    </row>
    <row r="249" spans="8:14" x14ac:dyDescent="0.25">
      <c r="H249" s="37"/>
      <c r="I249" s="79"/>
      <c r="J249" s="70"/>
      <c r="K249" s="57"/>
      <c r="L249" s="11"/>
      <c r="M249" s="41"/>
      <c r="N249" s="11"/>
    </row>
    <row r="250" spans="8:14" x14ac:dyDescent="0.25">
      <c r="H250" s="37"/>
      <c r="I250" s="79"/>
      <c r="J250" s="70"/>
      <c r="K250" s="57"/>
      <c r="L250" s="11"/>
      <c r="M250" s="41"/>
      <c r="N250" s="11"/>
    </row>
    <row r="251" spans="8:14" x14ac:dyDescent="0.25">
      <c r="H251" s="37"/>
      <c r="I251" s="79"/>
      <c r="J251" s="70"/>
      <c r="K251" s="57"/>
      <c r="L251" s="11"/>
      <c r="M251" s="41"/>
      <c r="N251" s="11"/>
    </row>
    <row r="252" spans="8:14" x14ac:dyDescent="0.25">
      <c r="H252" s="37"/>
      <c r="I252" s="79"/>
      <c r="J252" s="70"/>
      <c r="K252" s="57"/>
      <c r="L252" s="11"/>
      <c r="M252" s="41"/>
      <c r="N252" s="11"/>
    </row>
    <row r="253" spans="8:14" x14ac:dyDescent="0.25">
      <c r="H253" s="37"/>
      <c r="I253" s="79"/>
      <c r="J253" s="70"/>
      <c r="K253" s="57"/>
      <c r="L253" s="11"/>
      <c r="M253" s="41"/>
      <c r="N253" s="11"/>
    </row>
    <row r="254" spans="8:14" x14ac:dyDescent="0.25">
      <c r="H254" s="37"/>
      <c r="I254" s="79"/>
      <c r="J254" s="70"/>
      <c r="K254" s="57"/>
      <c r="L254" s="11"/>
      <c r="M254" s="41"/>
      <c r="N254" s="11"/>
    </row>
    <row r="255" spans="8:14" x14ac:dyDescent="0.25">
      <c r="H255" s="37"/>
      <c r="I255" s="79"/>
      <c r="J255" s="70"/>
      <c r="K255" s="57"/>
      <c r="L255" s="11"/>
      <c r="M255" s="41"/>
      <c r="N255" s="11"/>
    </row>
    <row r="256" spans="8:14" x14ac:dyDescent="0.25">
      <c r="H256" s="37"/>
      <c r="I256" s="79"/>
      <c r="J256" s="70"/>
      <c r="K256" s="57"/>
      <c r="L256" s="11"/>
      <c r="M256" s="41"/>
      <c r="N256" s="11"/>
    </row>
    <row r="257" spans="8:14" x14ac:dyDescent="0.25">
      <c r="H257" s="37"/>
      <c r="I257" s="79"/>
      <c r="J257" s="70"/>
      <c r="K257" s="57"/>
      <c r="L257" s="11"/>
      <c r="M257" s="41"/>
      <c r="N257" s="11"/>
    </row>
    <row r="258" spans="8:14" x14ac:dyDescent="0.25">
      <c r="H258" s="37"/>
      <c r="I258" s="79"/>
      <c r="J258" s="70"/>
      <c r="K258" s="57"/>
      <c r="L258" s="11"/>
      <c r="M258" s="41"/>
      <c r="N258" s="11"/>
    </row>
    <row r="259" spans="8:14" x14ac:dyDescent="0.25">
      <c r="H259" s="37"/>
      <c r="I259" s="79"/>
      <c r="J259" s="70"/>
      <c r="K259" s="57"/>
      <c r="L259" s="11"/>
      <c r="M259" s="41"/>
      <c r="N259" s="11"/>
    </row>
    <row r="260" spans="8:14" x14ac:dyDescent="0.25">
      <c r="H260" s="37"/>
      <c r="I260" s="79"/>
      <c r="J260" s="70"/>
      <c r="K260" s="57"/>
      <c r="L260" s="11"/>
      <c r="M260" s="41"/>
      <c r="N260" s="11"/>
    </row>
    <row r="261" spans="8:14" x14ac:dyDescent="0.25">
      <c r="H261" s="37"/>
      <c r="I261" s="79"/>
      <c r="J261" s="70"/>
      <c r="K261" s="57"/>
      <c r="L261" s="11"/>
      <c r="M261" s="41"/>
      <c r="N261" s="11"/>
    </row>
    <row r="262" spans="8:14" x14ac:dyDescent="0.25">
      <c r="H262" s="37"/>
      <c r="I262" s="79"/>
      <c r="J262" s="70"/>
      <c r="K262" s="57"/>
      <c r="L262" s="11"/>
      <c r="M262" s="41"/>
      <c r="N262" s="11"/>
    </row>
    <row r="263" spans="8:14" x14ac:dyDescent="0.25">
      <c r="H263" s="37"/>
      <c r="I263" s="79"/>
      <c r="J263" s="70"/>
      <c r="K263" s="57"/>
      <c r="L263" s="11"/>
      <c r="M263" s="41"/>
      <c r="N263" s="11"/>
    </row>
    <row r="264" spans="8:14" x14ac:dyDescent="0.25">
      <c r="H264" s="37"/>
      <c r="I264" s="79"/>
      <c r="J264" s="70"/>
      <c r="K264" s="57"/>
      <c r="L264" s="11"/>
      <c r="M264" s="41"/>
      <c r="N264" s="11"/>
    </row>
    <row r="265" spans="8:14" x14ac:dyDescent="0.25">
      <c r="H265" s="37"/>
      <c r="I265" s="79"/>
      <c r="J265" s="70"/>
      <c r="K265" s="57"/>
      <c r="L265" s="11"/>
      <c r="M265" s="41"/>
      <c r="N265" s="11"/>
    </row>
    <row r="266" spans="8:14" x14ac:dyDescent="0.25">
      <c r="H266" s="37"/>
      <c r="I266" s="79"/>
      <c r="J266" s="70"/>
      <c r="K266" s="57"/>
      <c r="L266" s="11"/>
      <c r="M266" s="41"/>
      <c r="N266" s="11"/>
    </row>
    <row r="267" spans="8:14" x14ac:dyDescent="0.25">
      <c r="H267" s="37"/>
      <c r="I267" s="79"/>
      <c r="J267" s="70"/>
      <c r="K267" s="57"/>
      <c r="L267" s="11"/>
      <c r="M267" s="41"/>
      <c r="N267" s="11"/>
    </row>
    <row r="268" spans="8:14" x14ac:dyDescent="0.25">
      <c r="H268" s="37"/>
      <c r="I268" s="79"/>
      <c r="J268" s="70"/>
      <c r="K268" s="57"/>
      <c r="L268" s="11"/>
      <c r="M268" s="41"/>
      <c r="N268" s="11"/>
    </row>
    <row r="269" spans="8:14" x14ac:dyDescent="0.25">
      <c r="H269" s="37"/>
      <c r="I269" s="79"/>
      <c r="J269" s="70"/>
      <c r="K269" s="57"/>
      <c r="L269" s="11"/>
      <c r="M269" s="41"/>
      <c r="N269" s="11"/>
    </row>
    <row r="270" spans="8:14" x14ac:dyDescent="0.25">
      <c r="H270" s="37"/>
      <c r="I270" s="79"/>
      <c r="J270" s="70"/>
      <c r="K270" s="57"/>
      <c r="L270" s="11"/>
      <c r="M270" s="41"/>
      <c r="N270" s="11"/>
    </row>
    <row r="271" spans="8:14" x14ac:dyDescent="0.25">
      <c r="H271" s="37"/>
      <c r="I271" s="79"/>
      <c r="J271" s="70"/>
      <c r="K271" s="57"/>
      <c r="L271" s="11"/>
      <c r="M271" s="41"/>
      <c r="N271" s="11"/>
    </row>
    <row r="272" spans="8:14" x14ac:dyDescent="0.25">
      <c r="H272" s="37"/>
      <c r="I272" s="79"/>
      <c r="J272" s="70"/>
      <c r="K272" s="57"/>
      <c r="L272" s="11"/>
      <c r="M272" s="41"/>
      <c r="N272" s="11"/>
    </row>
    <row r="273" spans="8:14" x14ac:dyDescent="0.25">
      <c r="H273" s="37"/>
      <c r="I273" s="79"/>
      <c r="J273" s="70"/>
      <c r="K273" s="57"/>
      <c r="L273" s="11"/>
      <c r="M273" s="41"/>
      <c r="N273" s="11"/>
    </row>
    <row r="274" spans="8:14" x14ac:dyDescent="0.25">
      <c r="H274" s="37"/>
      <c r="I274" s="79"/>
      <c r="J274" s="70"/>
      <c r="K274" s="57"/>
      <c r="L274" s="11"/>
      <c r="M274" s="41"/>
      <c r="N274" s="11"/>
    </row>
    <row r="275" spans="8:14" x14ac:dyDescent="0.25">
      <c r="H275" s="37"/>
      <c r="I275" s="79"/>
      <c r="J275" s="70"/>
      <c r="K275" s="57"/>
      <c r="L275" s="11"/>
      <c r="M275" s="41"/>
      <c r="N275" s="11"/>
    </row>
    <row r="276" spans="8:14" x14ac:dyDescent="0.25">
      <c r="H276" s="37"/>
      <c r="I276" s="79"/>
      <c r="J276" s="70"/>
      <c r="K276" s="57"/>
      <c r="L276" s="11"/>
      <c r="M276" s="41"/>
      <c r="N276" s="11"/>
    </row>
    <row r="277" spans="8:14" x14ac:dyDescent="0.25">
      <c r="H277" s="37"/>
      <c r="I277" s="79"/>
      <c r="J277" s="70"/>
      <c r="K277" s="57"/>
      <c r="L277" s="11"/>
      <c r="M277" s="41"/>
      <c r="N277" s="11"/>
    </row>
    <row r="278" spans="8:14" x14ac:dyDescent="0.25">
      <c r="H278" s="37"/>
      <c r="I278" s="79"/>
      <c r="J278" s="70"/>
      <c r="K278" s="57"/>
      <c r="L278" s="11"/>
      <c r="M278" s="41"/>
      <c r="N278" s="11"/>
    </row>
    <row r="279" spans="8:14" x14ac:dyDescent="0.25">
      <c r="H279" s="37"/>
      <c r="I279" s="79"/>
      <c r="J279" s="70"/>
      <c r="K279" s="57"/>
      <c r="L279" s="11"/>
      <c r="M279" s="41"/>
      <c r="N279" s="11"/>
    </row>
    <row r="280" spans="8:14" x14ac:dyDescent="0.25">
      <c r="H280" s="37"/>
      <c r="I280" s="79"/>
      <c r="J280" s="70"/>
      <c r="K280" s="57"/>
      <c r="L280" s="11"/>
      <c r="M280" s="41"/>
      <c r="N280" s="11"/>
    </row>
    <row r="281" spans="8:14" x14ac:dyDescent="0.25">
      <c r="H281" s="37"/>
      <c r="I281" s="79"/>
      <c r="J281" s="70"/>
      <c r="K281" s="57"/>
      <c r="L281" s="11"/>
      <c r="M281" s="41"/>
      <c r="N281" s="11"/>
    </row>
    <row r="282" spans="8:14" x14ac:dyDescent="0.25">
      <c r="H282" s="37"/>
      <c r="I282" s="79"/>
      <c r="J282" s="70"/>
      <c r="K282" s="57"/>
      <c r="L282" s="11"/>
      <c r="M282" s="41"/>
      <c r="N282" s="11"/>
    </row>
    <row r="283" spans="8:14" x14ac:dyDescent="0.25">
      <c r="H283" s="37"/>
      <c r="I283" s="79"/>
      <c r="J283" s="70"/>
      <c r="K283" s="57"/>
      <c r="L283" s="11"/>
      <c r="M283" s="41"/>
      <c r="N283" s="11"/>
    </row>
    <row r="284" spans="8:14" x14ac:dyDescent="0.25">
      <c r="H284" s="37"/>
      <c r="I284" s="79"/>
      <c r="J284" s="70"/>
      <c r="K284" s="57"/>
      <c r="L284" s="11"/>
      <c r="M284" s="41"/>
      <c r="N284" s="11"/>
    </row>
    <row r="285" spans="8:14" x14ac:dyDescent="0.25">
      <c r="H285" s="37"/>
      <c r="I285" s="79"/>
      <c r="J285" s="70"/>
      <c r="K285" s="57"/>
      <c r="L285" s="11"/>
      <c r="M285" s="41"/>
      <c r="N285" s="11"/>
    </row>
    <row r="286" spans="8:14" x14ac:dyDescent="0.25">
      <c r="H286" s="37"/>
      <c r="I286" s="79"/>
      <c r="J286" s="70"/>
      <c r="K286" s="57"/>
      <c r="L286" s="11"/>
      <c r="M286" s="41"/>
      <c r="N286" s="11"/>
    </row>
    <row r="287" spans="8:14" x14ac:dyDescent="0.25">
      <c r="H287" s="37"/>
      <c r="I287" s="79"/>
      <c r="J287" s="70"/>
      <c r="K287" s="57"/>
      <c r="L287" s="11"/>
      <c r="M287" s="41"/>
      <c r="N287" s="11"/>
    </row>
    <row r="288" spans="8:14" x14ac:dyDescent="0.25">
      <c r="H288" s="37"/>
      <c r="I288" s="79"/>
      <c r="J288" s="70"/>
      <c r="K288" s="57"/>
      <c r="L288" s="11"/>
      <c r="M288" s="41"/>
      <c r="N288" s="11"/>
    </row>
    <row r="289" spans="8:14" x14ac:dyDescent="0.25">
      <c r="H289" s="37"/>
      <c r="I289" s="79"/>
      <c r="J289" s="70"/>
      <c r="K289" s="57"/>
      <c r="L289" s="11"/>
      <c r="M289" s="41"/>
      <c r="N289" s="11"/>
    </row>
    <row r="290" spans="8:14" x14ac:dyDescent="0.25">
      <c r="H290" s="37"/>
      <c r="I290" s="79"/>
      <c r="J290" s="70"/>
      <c r="K290" s="57"/>
      <c r="L290" s="11"/>
      <c r="M290" s="41"/>
      <c r="N290" s="11"/>
    </row>
    <row r="291" spans="8:14" x14ac:dyDescent="0.25">
      <c r="H291" s="37"/>
      <c r="I291" s="79"/>
      <c r="J291" s="70"/>
      <c r="K291" s="57"/>
      <c r="L291" s="11"/>
      <c r="M291" s="41"/>
      <c r="N291" s="11"/>
    </row>
    <row r="292" spans="8:14" x14ac:dyDescent="0.25">
      <c r="H292" s="37"/>
      <c r="I292" s="79"/>
      <c r="J292" s="70"/>
      <c r="K292" s="57"/>
      <c r="L292" s="11"/>
      <c r="M292" s="41"/>
      <c r="N292" s="11"/>
    </row>
    <row r="293" spans="8:14" x14ac:dyDescent="0.25">
      <c r="H293" s="37"/>
      <c r="I293" s="79"/>
      <c r="J293" s="70"/>
      <c r="K293" s="57"/>
      <c r="L293" s="11"/>
      <c r="M293" s="41"/>
      <c r="N293" s="11"/>
    </row>
    <row r="294" spans="8:14" x14ac:dyDescent="0.25">
      <c r="H294" s="37"/>
      <c r="I294" s="79"/>
      <c r="J294" s="70"/>
      <c r="K294" s="57"/>
      <c r="L294" s="11"/>
      <c r="M294" s="41"/>
      <c r="N294" s="11"/>
    </row>
    <row r="295" spans="8:14" x14ac:dyDescent="0.25">
      <c r="H295" s="37"/>
      <c r="I295" s="79"/>
      <c r="J295" s="70"/>
      <c r="K295" s="57"/>
      <c r="L295" s="11"/>
      <c r="M295" s="41"/>
      <c r="N295" s="11"/>
    </row>
    <row r="296" spans="8:14" x14ac:dyDescent="0.25">
      <c r="H296" s="37"/>
      <c r="I296" s="79"/>
      <c r="J296" s="70"/>
      <c r="K296" s="57"/>
      <c r="L296" s="11"/>
      <c r="M296" s="41"/>
      <c r="N296" s="11"/>
    </row>
    <row r="297" spans="8:14" x14ac:dyDescent="0.25">
      <c r="H297" s="37"/>
      <c r="I297" s="79"/>
      <c r="J297" s="70"/>
      <c r="K297" s="57"/>
      <c r="L297" s="11"/>
      <c r="M297" s="41"/>
      <c r="N297" s="11"/>
    </row>
    <row r="298" spans="8:14" x14ac:dyDescent="0.25">
      <c r="H298" s="37"/>
      <c r="I298" s="79"/>
      <c r="J298" s="70"/>
      <c r="K298" s="57"/>
      <c r="L298" s="11"/>
      <c r="M298" s="41"/>
      <c r="N298" s="11"/>
    </row>
    <row r="299" spans="8:14" x14ac:dyDescent="0.25">
      <c r="H299" s="37"/>
      <c r="I299" s="79"/>
      <c r="J299" s="70"/>
      <c r="K299" s="57"/>
      <c r="L299" s="11"/>
      <c r="M299" s="41"/>
      <c r="N299" s="11"/>
    </row>
    <row r="300" spans="8:14" x14ac:dyDescent="0.25">
      <c r="H300" s="37"/>
      <c r="I300" s="79"/>
      <c r="J300" s="70"/>
      <c r="K300" s="57"/>
      <c r="L300" s="11"/>
      <c r="M300" s="41"/>
      <c r="N300" s="11"/>
    </row>
    <row r="301" spans="8:14" x14ac:dyDescent="0.25">
      <c r="H301" s="37"/>
      <c r="I301" s="79"/>
      <c r="J301" s="70"/>
      <c r="K301" s="57"/>
      <c r="L301" s="11"/>
      <c r="M301" s="41"/>
      <c r="N301" s="11"/>
    </row>
    <row r="302" spans="8:14" x14ac:dyDescent="0.25">
      <c r="H302" s="37"/>
      <c r="I302" s="79"/>
      <c r="J302" s="70"/>
      <c r="K302" s="57"/>
      <c r="L302" s="11"/>
      <c r="M302" s="41"/>
      <c r="N302" s="11"/>
    </row>
    <row r="303" spans="8:14" x14ac:dyDescent="0.25">
      <c r="H303" s="37"/>
      <c r="I303" s="79"/>
      <c r="J303" s="70"/>
      <c r="K303" s="57"/>
      <c r="L303" s="11"/>
      <c r="M303" s="41"/>
      <c r="N303" s="11"/>
    </row>
    <row r="304" spans="8:14" x14ac:dyDescent="0.25">
      <c r="H304" s="37"/>
      <c r="I304" s="79"/>
      <c r="J304" s="70"/>
      <c r="K304" s="57"/>
      <c r="L304" s="11"/>
      <c r="M304" s="41"/>
      <c r="N304" s="11"/>
    </row>
    <row r="305" spans="8:14" x14ac:dyDescent="0.25">
      <c r="H305" s="37"/>
      <c r="I305" s="79"/>
      <c r="J305" s="70"/>
      <c r="K305" s="57"/>
      <c r="L305" s="11"/>
      <c r="M305" s="41"/>
      <c r="N305" s="11"/>
    </row>
    <row r="306" spans="8:14" x14ac:dyDescent="0.25">
      <c r="H306" s="37"/>
      <c r="I306" s="79"/>
      <c r="J306" s="70"/>
      <c r="K306" s="57"/>
      <c r="L306" s="11"/>
      <c r="M306" s="41"/>
      <c r="N306" s="11"/>
    </row>
    <row r="307" spans="8:14" x14ac:dyDescent="0.25">
      <c r="H307" s="37"/>
      <c r="I307" s="79"/>
      <c r="J307" s="70"/>
      <c r="K307" s="57"/>
      <c r="L307" s="11"/>
      <c r="M307" s="41"/>
      <c r="N307" s="11"/>
    </row>
    <row r="308" spans="8:14" x14ac:dyDescent="0.25">
      <c r="H308" s="37"/>
      <c r="I308" s="79"/>
      <c r="J308" s="70"/>
      <c r="K308" s="57"/>
      <c r="L308" s="11"/>
      <c r="M308" s="41"/>
      <c r="N308" s="11"/>
    </row>
    <row r="309" spans="8:14" x14ac:dyDescent="0.25">
      <c r="H309" s="37"/>
      <c r="I309" s="79"/>
      <c r="J309" s="70"/>
      <c r="K309" s="57"/>
      <c r="L309" s="11"/>
      <c r="M309" s="41"/>
      <c r="N309" s="11"/>
    </row>
    <row r="310" spans="8:14" x14ac:dyDescent="0.25">
      <c r="H310" s="37"/>
      <c r="I310" s="79"/>
      <c r="J310" s="70"/>
      <c r="K310" s="57"/>
      <c r="L310" s="11"/>
      <c r="M310" s="41"/>
      <c r="N310" s="11"/>
    </row>
    <row r="311" spans="8:14" x14ac:dyDescent="0.25">
      <c r="H311" s="37"/>
      <c r="I311" s="79"/>
      <c r="J311" s="70"/>
      <c r="K311" s="57"/>
      <c r="L311" s="11"/>
      <c r="M311" s="41"/>
      <c r="N311" s="11"/>
    </row>
    <row r="312" spans="8:14" x14ac:dyDescent="0.25">
      <c r="H312" s="37"/>
      <c r="I312" s="79"/>
      <c r="J312" s="70"/>
      <c r="K312" s="57"/>
      <c r="L312" s="11"/>
      <c r="M312" s="41"/>
      <c r="N312" s="11"/>
    </row>
    <row r="313" spans="8:14" x14ac:dyDescent="0.25">
      <c r="H313" s="37"/>
      <c r="I313" s="79"/>
      <c r="J313" s="70"/>
      <c r="K313" s="57"/>
      <c r="L313" s="11"/>
      <c r="M313" s="41"/>
      <c r="N313" s="11"/>
    </row>
    <row r="314" spans="8:14" x14ac:dyDescent="0.25">
      <c r="H314" s="37"/>
      <c r="I314" s="79"/>
      <c r="J314" s="70"/>
      <c r="K314" s="57"/>
      <c r="L314" s="11"/>
      <c r="M314" s="41"/>
      <c r="N314" s="11"/>
    </row>
    <row r="315" spans="8:14" x14ac:dyDescent="0.25">
      <c r="H315" s="37"/>
      <c r="I315" s="79"/>
      <c r="J315" s="70"/>
      <c r="K315" s="57"/>
      <c r="L315" s="11"/>
      <c r="M315" s="41"/>
      <c r="N315" s="11"/>
    </row>
    <row r="316" spans="8:14" x14ac:dyDescent="0.25">
      <c r="H316" s="37"/>
      <c r="I316" s="79"/>
      <c r="J316" s="70"/>
      <c r="K316" s="57"/>
      <c r="L316" s="11"/>
      <c r="M316" s="41"/>
      <c r="N316" s="11"/>
    </row>
    <row r="317" spans="8:14" x14ac:dyDescent="0.25">
      <c r="H317" s="37"/>
      <c r="I317" s="79"/>
      <c r="J317" s="70"/>
      <c r="K317" s="57"/>
      <c r="L317" s="11"/>
      <c r="M317" s="41"/>
      <c r="N317" s="11"/>
    </row>
    <row r="318" spans="8:14" x14ac:dyDescent="0.25">
      <c r="H318" s="37"/>
      <c r="I318" s="79"/>
      <c r="J318" s="70"/>
      <c r="K318" s="57"/>
      <c r="L318" s="11"/>
      <c r="M318" s="41"/>
      <c r="N318" s="11"/>
    </row>
    <row r="319" spans="8:14" x14ac:dyDescent="0.25">
      <c r="H319" s="37"/>
      <c r="I319" s="79"/>
      <c r="J319" s="70"/>
      <c r="K319" s="57"/>
      <c r="L319" s="11"/>
      <c r="M319" s="41"/>
      <c r="N319" s="11"/>
    </row>
    <row r="320" spans="8:14" x14ac:dyDescent="0.25">
      <c r="H320" s="37"/>
      <c r="I320" s="79"/>
      <c r="J320" s="70"/>
      <c r="K320" s="57"/>
      <c r="L320" s="11"/>
      <c r="M320" s="41"/>
      <c r="N320" s="11"/>
    </row>
    <row r="321" spans="8:14" x14ac:dyDescent="0.25">
      <c r="H321" s="37"/>
      <c r="I321" s="79"/>
      <c r="J321" s="70"/>
      <c r="K321" s="57"/>
      <c r="L321" s="11"/>
      <c r="M321" s="41"/>
      <c r="N321" s="11"/>
    </row>
    <row r="322" spans="8:14" x14ac:dyDescent="0.25">
      <c r="H322" s="37"/>
      <c r="I322" s="79"/>
      <c r="J322" s="70"/>
      <c r="K322" s="57"/>
      <c r="L322" s="11"/>
      <c r="M322" s="41"/>
      <c r="N322" s="11"/>
    </row>
    <row r="323" spans="8:14" x14ac:dyDescent="0.25">
      <c r="H323" s="37"/>
      <c r="I323" s="79"/>
      <c r="J323" s="70"/>
      <c r="K323" s="57"/>
      <c r="L323" s="11"/>
      <c r="M323" s="41"/>
      <c r="N323" s="11"/>
    </row>
    <row r="324" spans="8:14" x14ac:dyDescent="0.25">
      <c r="H324" s="37"/>
      <c r="I324" s="79"/>
      <c r="J324" s="70"/>
      <c r="K324" s="57"/>
      <c r="L324" s="11"/>
      <c r="M324" s="41"/>
      <c r="N324" s="11"/>
    </row>
    <row r="325" spans="8:14" x14ac:dyDescent="0.25">
      <c r="H325" s="37"/>
      <c r="I325" s="79"/>
      <c r="J325" s="70"/>
      <c r="K325" s="57"/>
      <c r="L325" s="11"/>
      <c r="M325" s="41"/>
      <c r="N325" s="11"/>
    </row>
    <row r="326" spans="8:14" x14ac:dyDescent="0.25">
      <c r="H326" s="37"/>
      <c r="I326" s="79"/>
      <c r="J326" s="70"/>
      <c r="K326" s="57"/>
      <c r="L326" s="11"/>
      <c r="M326" s="41"/>
      <c r="N326" s="11"/>
    </row>
    <row r="327" spans="8:14" x14ac:dyDescent="0.25">
      <c r="H327" s="37"/>
      <c r="I327" s="79"/>
      <c r="J327" s="70"/>
      <c r="K327" s="57"/>
      <c r="L327" s="11"/>
      <c r="M327" s="41"/>
      <c r="N327" s="11"/>
    </row>
    <row r="328" spans="8:14" x14ac:dyDescent="0.25">
      <c r="H328" s="37"/>
      <c r="I328" s="79"/>
      <c r="J328" s="70"/>
      <c r="K328" s="57"/>
      <c r="L328" s="11"/>
      <c r="M328" s="41"/>
      <c r="N328" s="11"/>
    </row>
    <row r="329" spans="8:14" x14ac:dyDescent="0.25">
      <c r="H329" s="37"/>
      <c r="I329" s="79"/>
      <c r="J329" s="70"/>
      <c r="K329" s="57"/>
      <c r="L329" s="11"/>
      <c r="M329" s="41"/>
      <c r="N329" s="11"/>
    </row>
    <row r="330" spans="8:14" x14ac:dyDescent="0.25">
      <c r="H330" s="37"/>
      <c r="I330" s="79"/>
      <c r="J330" s="70"/>
      <c r="K330" s="57"/>
      <c r="L330" s="11"/>
      <c r="M330" s="41"/>
      <c r="N330" s="11"/>
    </row>
    <row r="331" spans="8:14" x14ac:dyDescent="0.25">
      <c r="H331" s="37"/>
      <c r="I331" s="79"/>
      <c r="J331" s="70"/>
      <c r="K331" s="57"/>
      <c r="L331" s="11"/>
      <c r="M331" s="41"/>
      <c r="N331" s="11"/>
    </row>
    <row r="332" spans="8:14" x14ac:dyDescent="0.25">
      <c r="H332" s="37"/>
      <c r="I332" s="79"/>
      <c r="J332" s="70"/>
      <c r="K332" s="57"/>
      <c r="L332" s="11"/>
      <c r="M332" s="41"/>
      <c r="N332" s="11"/>
    </row>
    <row r="333" spans="8:14" x14ac:dyDescent="0.25">
      <c r="H333" s="37"/>
      <c r="I333" s="79"/>
      <c r="J333" s="70"/>
      <c r="K333" s="57"/>
      <c r="L333" s="11"/>
      <c r="M333" s="41"/>
      <c r="N333" s="11"/>
    </row>
    <row r="334" spans="8:14" x14ac:dyDescent="0.25">
      <c r="H334" s="37"/>
      <c r="I334" s="79"/>
      <c r="J334" s="70"/>
      <c r="K334" s="57"/>
      <c r="L334" s="11"/>
      <c r="M334" s="41"/>
      <c r="N334" s="11"/>
    </row>
    <row r="335" spans="8:14" x14ac:dyDescent="0.25">
      <c r="H335" s="37"/>
      <c r="I335" s="79"/>
      <c r="J335" s="70"/>
      <c r="K335" s="57"/>
      <c r="L335" s="11"/>
      <c r="M335" s="41"/>
      <c r="N335" s="11"/>
    </row>
    <row r="336" spans="8:14" x14ac:dyDescent="0.25">
      <c r="H336" s="37"/>
      <c r="I336" s="79"/>
      <c r="J336" s="70"/>
      <c r="K336" s="57"/>
      <c r="L336" s="11"/>
      <c r="M336" s="41"/>
      <c r="N336" s="11"/>
    </row>
    <row r="337" spans="8:14" x14ac:dyDescent="0.25">
      <c r="H337" s="37"/>
      <c r="I337" s="79"/>
      <c r="J337" s="70"/>
      <c r="K337" s="57"/>
      <c r="L337" s="11"/>
      <c r="M337" s="41"/>
      <c r="N337" s="11"/>
    </row>
    <row r="338" spans="8:14" x14ac:dyDescent="0.25">
      <c r="H338" s="37"/>
      <c r="I338" s="79"/>
      <c r="J338" s="70"/>
      <c r="K338" s="57"/>
      <c r="L338" s="11"/>
      <c r="M338" s="41"/>
      <c r="N338" s="11"/>
    </row>
    <row r="339" spans="8:14" x14ac:dyDescent="0.25">
      <c r="H339" s="37"/>
      <c r="I339" s="79"/>
      <c r="J339" s="70"/>
      <c r="K339" s="57"/>
      <c r="L339" s="11"/>
      <c r="M339" s="41"/>
      <c r="N339" s="11"/>
    </row>
    <row r="340" spans="8:14" x14ac:dyDescent="0.25">
      <c r="H340" s="37"/>
      <c r="I340" s="79"/>
      <c r="J340" s="70"/>
      <c r="K340" s="57"/>
      <c r="L340" s="11"/>
      <c r="M340" s="41"/>
      <c r="N340" s="11"/>
    </row>
    <row r="341" spans="8:14" x14ac:dyDescent="0.25">
      <c r="H341" s="37"/>
      <c r="I341" s="79"/>
      <c r="J341" s="70"/>
      <c r="K341" s="57"/>
      <c r="L341" s="11"/>
      <c r="M341" s="41"/>
      <c r="N341" s="11"/>
    </row>
    <row r="342" spans="8:14" x14ac:dyDescent="0.25">
      <c r="H342" s="37"/>
      <c r="I342" s="79"/>
      <c r="J342" s="70"/>
      <c r="K342" s="57"/>
      <c r="L342" s="11"/>
      <c r="M342" s="41"/>
      <c r="N342" s="11"/>
    </row>
    <row r="343" spans="8:14" x14ac:dyDescent="0.25">
      <c r="H343" s="37"/>
      <c r="I343" s="79"/>
      <c r="J343" s="70"/>
      <c r="K343" s="57"/>
      <c r="L343" s="11"/>
      <c r="M343" s="41"/>
      <c r="N343" s="11"/>
    </row>
    <row r="344" spans="8:14" x14ac:dyDescent="0.25">
      <c r="H344" s="37"/>
      <c r="I344" s="79"/>
      <c r="J344" s="70"/>
      <c r="K344" s="57"/>
      <c r="L344" s="11"/>
      <c r="M344" s="41"/>
      <c r="N344" s="11"/>
    </row>
    <row r="345" spans="8:14" x14ac:dyDescent="0.25">
      <c r="H345" s="37"/>
      <c r="I345" s="79"/>
      <c r="J345" s="70"/>
      <c r="K345" s="57"/>
      <c r="L345" s="11"/>
      <c r="M345" s="41"/>
      <c r="N345" s="11"/>
    </row>
    <row r="346" spans="8:14" x14ac:dyDescent="0.25">
      <c r="H346" s="37"/>
      <c r="I346" s="79"/>
      <c r="J346" s="70"/>
      <c r="K346" s="57"/>
      <c r="L346" s="11"/>
      <c r="M346" s="41"/>
      <c r="N346" s="11"/>
    </row>
    <row r="347" spans="8:14" x14ac:dyDescent="0.25">
      <c r="H347" s="37"/>
      <c r="I347" s="79"/>
      <c r="J347" s="70"/>
      <c r="K347" s="57"/>
      <c r="L347" s="11"/>
      <c r="M347" s="41"/>
      <c r="N347" s="11"/>
    </row>
    <row r="348" spans="8:14" x14ac:dyDescent="0.25">
      <c r="H348" s="37"/>
      <c r="I348" s="79"/>
      <c r="J348" s="70"/>
      <c r="K348" s="57"/>
      <c r="L348" s="11"/>
      <c r="M348" s="41"/>
      <c r="N348" s="11"/>
    </row>
    <row r="349" spans="8:14" x14ac:dyDescent="0.25">
      <c r="H349" s="37"/>
      <c r="I349" s="79"/>
      <c r="J349" s="70"/>
      <c r="K349" s="57"/>
      <c r="L349" s="11"/>
      <c r="M349" s="41"/>
      <c r="N349" s="11"/>
    </row>
    <row r="350" spans="8:14" x14ac:dyDescent="0.25">
      <c r="H350" s="37"/>
      <c r="I350" s="79"/>
      <c r="J350" s="70"/>
      <c r="K350" s="57"/>
      <c r="L350" s="11"/>
      <c r="M350" s="41"/>
      <c r="N350" s="11"/>
    </row>
    <row r="351" spans="8:14" x14ac:dyDescent="0.25">
      <c r="H351" s="37"/>
      <c r="I351" s="79"/>
      <c r="J351" s="70"/>
      <c r="K351" s="57"/>
      <c r="L351" s="11"/>
      <c r="M351" s="41"/>
      <c r="N351" s="11"/>
    </row>
    <row r="352" spans="8:14" x14ac:dyDescent="0.25">
      <c r="H352" s="37"/>
      <c r="I352" s="79"/>
      <c r="J352" s="70"/>
      <c r="K352" s="57"/>
      <c r="L352" s="11"/>
      <c r="M352" s="41"/>
      <c r="N352" s="11"/>
    </row>
    <row r="353" spans="8:14" x14ac:dyDescent="0.25">
      <c r="H353" s="37"/>
      <c r="I353" s="79"/>
      <c r="J353" s="70"/>
      <c r="K353" s="57"/>
      <c r="L353" s="11"/>
      <c r="M353" s="41"/>
      <c r="N353" s="11"/>
    </row>
    <row r="354" spans="8:14" x14ac:dyDescent="0.25">
      <c r="H354" s="37"/>
      <c r="I354" s="79"/>
      <c r="J354" s="70"/>
      <c r="K354" s="57"/>
      <c r="L354" s="11"/>
      <c r="M354" s="41"/>
      <c r="N354" s="11"/>
    </row>
    <row r="355" spans="8:14" x14ac:dyDescent="0.25">
      <c r="H355" s="37"/>
      <c r="I355" s="79"/>
      <c r="J355" s="70"/>
      <c r="K355" s="57"/>
      <c r="L355" s="11"/>
      <c r="M355" s="41"/>
      <c r="N355" s="11"/>
    </row>
    <row r="356" spans="8:14" x14ac:dyDescent="0.25">
      <c r="H356" s="37"/>
      <c r="I356" s="79"/>
      <c r="J356" s="70"/>
      <c r="K356" s="57"/>
      <c r="L356" s="11"/>
      <c r="M356" s="41"/>
      <c r="N356" s="11"/>
    </row>
    <row r="357" spans="8:14" x14ac:dyDescent="0.25">
      <c r="H357" s="37"/>
      <c r="I357" s="79"/>
      <c r="J357" s="70"/>
      <c r="K357" s="57"/>
      <c r="L357" s="11"/>
      <c r="M357" s="41"/>
      <c r="N357" s="11"/>
    </row>
    <row r="358" spans="8:14" x14ac:dyDescent="0.25">
      <c r="H358" s="37"/>
      <c r="I358" s="79"/>
      <c r="J358" s="70"/>
      <c r="K358" s="57"/>
      <c r="L358" s="11"/>
      <c r="M358" s="41"/>
      <c r="N358" s="11"/>
    </row>
    <row r="359" spans="8:14" x14ac:dyDescent="0.25">
      <c r="H359" s="37"/>
      <c r="I359" s="79"/>
      <c r="J359" s="70"/>
      <c r="K359" s="57"/>
      <c r="L359" s="11"/>
      <c r="M359" s="41"/>
      <c r="N359" s="11"/>
    </row>
    <row r="360" spans="8:14" x14ac:dyDescent="0.25">
      <c r="H360" s="37"/>
      <c r="I360" s="79"/>
      <c r="J360" s="70"/>
      <c r="K360" s="57"/>
      <c r="L360" s="11"/>
      <c r="M360" s="41"/>
      <c r="N360" s="11"/>
    </row>
    <row r="361" spans="8:14" x14ac:dyDescent="0.25">
      <c r="H361" s="37"/>
      <c r="I361" s="79"/>
      <c r="J361" s="70"/>
      <c r="K361" s="57"/>
      <c r="L361" s="11"/>
      <c r="M361" s="41"/>
      <c r="N361" s="11"/>
    </row>
    <row r="362" spans="8:14" x14ac:dyDescent="0.25">
      <c r="H362" s="37"/>
      <c r="I362" s="79"/>
      <c r="J362" s="70"/>
      <c r="K362" s="57"/>
      <c r="L362" s="11"/>
      <c r="M362" s="41"/>
      <c r="N362" s="11"/>
    </row>
    <row r="363" spans="8:14" x14ac:dyDescent="0.25">
      <c r="H363" s="37"/>
      <c r="I363" s="79"/>
      <c r="J363" s="70"/>
      <c r="K363" s="57"/>
      <c r="L363" s="11"/>
      <c r="M363" s="41"/>
      <c r="N363" s="11"/>
    </row>
    <row r="364" spans="8:14" x14ac:dyDescent="0.25">
      <c r="H364" s="37"/>
      <c r="I364" s="79"/>
      <c r="J364" s="70"/>
      <c r="K364" s="57"/>
      <c r="L364" s="11"/>
      <c r="M364" s="41"/>
      <c r="N364" s="11"/>
    </row>
    <row r="365" spans="8:14" x14ac:dyDescent="0.25">
      <c r="H365" s="37"/>
      <c r="I365" s="79"/>
      <c r="J365" s="70"/>
      <c r="K365" s="57"/>
      <c r="L365" s="11"/>
      <c r="M365" s="41"/>
      <c r="N365" s="11"/>
    </row>
    <row r="366" spans="8:14" x14ac:dyDescent="0.25">
      <c r="H366" s="37"/>
      <c r="I366" s="79"/>
      <c r="J366" s="70"/>
      <c r="K366" s="57"/>
      <c r="L366" s="11"/>
      <c r="M366" s="41"/>
      <c r="N366" s="11"/>
    </row>
    <row r="367" spans="8:14" x14ac:dyDescent="0.25">
      <c r="H367" s="37"/>
      <c r="I367" s="79"/>
      <c r="J367" s="70"/>
      <c r="K367" s="57"/>
      <c r="L367" s="11"/>
      <c r="M367" s="41"/>
      <c r="N367" s="11"/>
    </row>
    <row r="368" spans="8:14" x14ac:dyDescent="0.25">
      <c r="H368" s="37"/>
      <c r="I368" s="79"/>
      <c r="J368" s="70"/>
      <c r="K368" s="57"/>
      <c r="L368" s="11"/>
      <c r="M368" s="41"/>
      <c r="N368" s="11"/>
    </row>
    <row r="369" spans="8:14" x14ac:dyDescent="0.25">
      <c r="H369" s="37"/>
      <c r="I369" s="79"/>
      <c r="J369" s="70"/>
      <c r="K369" s="57"/>
      <c r="L369" s="11"/>
      <c r="M369" s="41"/>
      <c r="N369" s="11"/>
    </row>
    <row r="370" spans="8:14" x14ac:dyDescent="0.25">
      <c r="H370" s="37"/>
      <c r="I370" s="79"/>
      <c r="J370" s="70"/>
      <c r="K370" s="57"/>
      <c r="L370" s="11"/>
      <c r="M370" s="41"/>
      <c r="N370" s="11"/>
    </row>
    <row r="371" spans="8:14" x14ac:dyDescent="0.25">
      <c r="H371" s="37"/>
      <c r="I371" s="79"/>
      <c r="J371" s="70"/>
      <c r="K371" s="57"/>
      <c r="L371" s="11"/>
      <c r="M371" s="41"/>
      <c r="N371" s="11"/>
    </row>
    <row r="372" spans="8:14" x14ac:dyDescent="0.25">
      <c r="H372" s="37"/>
      <c r="I372" s="79"/>
      <c r="J372" s="70"/>
      <c r="K372" s="57"/>
      <c r="L372" s="11"/>
      <c r="M372" s="41"/>
      <c r="N372" s="11"/>
    </row>
    <row r="373" spans="8:14" x14ac:dyDescent="0.25">
      <c r="H373" s="37"/>
      <c r="I373" s="79"/>
      <c r="J373" s="70"/>
      <c r="K373" s="57"/>
      <c r="L373" s="11"/>
      <c r="M373" s="41"/>
      <c r="N373" s="11"/>
    </row>
    <row r="374" spans="8:14" x14ac:dyDescent="0.25">
      <c r="H374" s="37"/>
      <c r="I374" s="79"/>
      <c r="J374" s="70"/>
      <c r="K374" s="57"/>
      <c r="L374" s="11"/>
      <c r="M374" s="41"/>
      <c r="N374" s="11"/>
    </row>
    <row r="375" spans="8:14" x14ac:dyDescent="0.25">
      <c r="H375" s="37"/>
      <c r="I375" s="79"/>
      <c r="J375" s="70"/>
      <c r="K375" s="57"/>
      <c r="L375" s="11"/>
      <c r="M375" s="41"/>
      <c r="N375" s="11"/>
    </row>
    <row r="376" spans="8:14" x14ac:dyDescent="0.25">
      <c r="H376" s="37"/>
      <c r="I376" s="79"/>
      <c r="J376" s="70"/>
      <c r="K376" s="57"/>
      <c r="L376" s="11"/>
      <c r="M376" s="41"/>
      <c r="N376" s="11"/>
    </row>
    <row r="377" spans="8:14" x14ac:dyDescent="0.25">
      <c r="H377" s="37"/>
      <c r="I377" s="79"/>
      <c r="J377" s="70"/>
      <c r="K377" s="57"/>
      <c r="L377" s="11"/>
      <c r="M377" s="41"/>
      <c r="N377" s="11"/>
    </row>
    <row r="378" spans="8:14" x14ac:dyDescent="0.25">
      <c r="H378" s="37"/>
      <c r="I378" s="79"/>
      <c r="J378" s="70"/>
      <c r="K378" s="57"/>
      <c r="L378" s="11"/>
      <c r="M378" s="41"/>
      <c r="N378" s="11"/>
    </row>
    <row r="379" spans="8:14" x14ac:dyDescent="0.25">
      <c r="H379" s="37"/>
      <c r="I379" s="79"/>
      <c r="J379" s="70"/>
      <c r="K379" s="57"/>
      <c r="L379" s="11"/>
      <c r="M379" s="41"/>
      <c r="N379" s="11"/>
    </row>
    <row r="380" spans="8:14" x14ac:dyDescent="0.25">
      <c r="H380" s="37"/>
      <c r="I380" s="79"/>
      <c r="J380" s="70"/>
      <c r="K380" s="57"/>
      <c r="L380" s="11"/>
      <c r="M380" s="41"/>
      <c r="N380" s="11"/>
    </row>
    <row r="381" spans="8:14" x14ac:dyDescent="0.25">
      <c r="H381" s="37"/>
      <c r="I381" s="79"/>
      <c r="J381" s="70"/>
      <c r="K381" s="57"/>
      <c r="L381" s="11"/>
      <c r="M381" s="41"/>
      <c r="N381" s="11"/>
    </row>
    <row r="382" spans="8:14" x14ac:dyDescent="0.25">
      <c r="H382" s="37"/>
      <c r="I382" s="79"/>
      <c r="J382" s="70"/>
      <c r="K382" s="57"/>
      <c r="L382" s="11"/>
      <c r="M382" s="41"/>
      <c r="N382" s="11"/>
    </row>
    <row r="383" spans="8:14" x14ac:dyDescent="0.25">
      <c r="H383" s="37"/>
      <c r="I383" s="79"/>
      <c r="J383" s="70"/>
      <c r="K383" s="57"/>
      <c r="L383" s="11"/>
      <c r="M383" s="41"/>
      <c r="N383" s="11"/>
    </row>
    <row r="384" spans="8:14" x14ac:dyDescent="0.25">
      <c r="H384" s="37"/>
      <c r="I384" s="79"/>
      <c r="J384" s="70"/>
      <c r="K384" s="57"/>
      <c r="L384" s="11"/>
      <c r="M384" s="41"/>
      <c r="N384" s="11"/>
    </row>
    <row r="385" spans="8:14" x14ac:dyDescent="0.25">
      <c r="H385" s="37"/>
      <c r="I385" s="79"/>
      <c r="J385" s="70"/>
      <c r="K385" s="57"/>
      <c r="L385" s="11"/>
      <c r="M385" s="41"/>
      <c r="N385" s="11"/>
    </row>
    <row r="386" spans="8:14" x14ac:dyDescent="0.25">
      <c r="H386" s="37"/>
      <c r="I386" s="79"/>
      <c r="J386" s="70"/>
      <c r="K386" s="57"/>
      <c r="L386" s="11"/>
      <c r="M386" s="41"/>
      <c r="N386" s="11"/>
    </row>
    <row r="387" spans="8:14" x14ac:dyDescent="0.25">
      <c r="H387" s="37"/>
      <c r="I387" s="79"/>
      <c r="J387" s="70"/>
      <c r="K387" s="57"/>
      <c r="L387" s="11"/>
      <c r="M387" s="41"/>
      <c r="N387" s="11"/>
    </row>
    <row r="388" spans="8:14" x14ac:dyDescent="0.25">
      <c r="H388" s="37"/>
      <c r="I388" s="79"/>
      <c r="J388" s="70"/>
      <c r="K388" s="57"/>
      <c r="L388" s="11"/>
      <c r="M388" s="41"/>
      <c r="N388" s="11"/>
    </row>
    <row r="389" spans="8:14" x14ac:dyDescent="0.25">
      <c r="H389" s="37"/>
      <c r="I389" s="79"/>
      <c r="J389" s="70"/>
      <c r="K389" s="57"/>
      <c r="L389" s="11"/>
      <c r="M389" s="41"/>
      <c r="N389" s="11"/>
    </row>
    <row r="390" spans="8:14" x14ac:dyDescent="0.25">
      <c r="H390" s="37"/>
      <c r="I390" s="79"/>
      <c r="J390" s="70"/>
      <c r="K390" s="57"/>
      <c r="L390" s="11"/>
      <c r="M390" s="41"/>
      <c r="N390" s="11"/>
    </row>
    <row r="391" spans="8:14" x14ac:dyDescent="0.25">
      <c r="H391" s="37"/>
      <c r="I391" s="79"/>
      <c r="J391" s="70"/>
      <c r="K391" s="57"/>
      <c r="L391" s="11"/>
      <c r="M391" s="41"/>
      <c r="N391" s="11"/>
    </row>
    <row r="392" spans="8:14" x14ac:dyDescent="0.25">
      <c r="H392" s="37"/>
      <c r="I392" s="79"/>
      <c r="J392" s="70"/>
      <c r="K392" s="57"/>
      <c r="L392" s="11"/>
      <c r="M392" s="41"/>
      <c r="N392" s="11"/>
    </row>
    <row r="393" spans="8:14" x14ac:dyDescent="0.25">
      <c r="H393" s="37"/>
      <c r="I393" s="79"/>
      <c r="J393" s="70"/>
      <c r="K393" s="57"/>
      <c r="L393" s="11"/>
      <c r="M393" s="41"/>
      <c r="N393" s="11"/>
    </row>
    <row r="394" spans="8:14" x14ac:dyDescent="0.25">
      <c r="H394" s="37"/>
      <c r="I394" s="79"/>
      <c r="J394" s="70"/>
      <c r="K394" s="57"/>
      <c r="L394" s="11"/>
      <c r="M394" s="41"/>
      <c r="N394" s="11"/>
    </row>
    <row r="395" spans="8:14" x14ac:dyDescent="0.25">
      <c r="H395" s="37"/>
      <c r="I395" s="79"/>
      <c r="J395" s="70"/>
      <c r="K395" s="57"/>
      <c r="L395" s="11"/>
      <c r="M395" s="41"/>
      <c r="N395" s="11"/>
    </row>
    <row r="396" spans="8:14" x14ac:dyDescent="0.25">
      <c r="H396" s="37"/>
      <c r="I396" s="79"/>
      <c r="J396" s="70"/>
      <c r="K396" s="57"/>
      <c r="L396" s="11"/>
      <c r="M396" s="41"/>
      <c r="N396" s="11"/>
    </row>
    <row r="397" spans="8:14" x14ac:dyDescent="0.25">
      <c r="H397" s="37"/>
      <c r="I397" s="79"/>
      <c r="J397" s="70"/>
      <c r="K397" s="57"/>
      <c r="L397" s="11"/>
      <c r="M397" s="41"/>
      <c r="N397" s="11"/>
    </row>
    <row r="398" spans="8:14" x14ac:dyDescent="0.25">
      <c r="H398" s="37"/>
      <c r="I398" s="79"/>
      <c r="J398" s="70"/>
      <c r="K398" s="57"/>
      <c r="L398" s="11"/>
      <c r="M398" s="41"/>
      <c r="N398" s="11"/>
    </row>
    <row r="399" spans="8:14" x14ac:dyDescent="0.25">
      <c r="H399" s="37"/>
      <c r="I399" s="79"/>
      <c r="J399" s="70"/>
      <c r="K399" s="57"/>
      <c r="L399" s="11"/>
      <c r="M399" s="41"/>
      <c r="N399" s="11"/>
    </row>
    <row r="400" spans="8:14" x14ac:dyDescent="0.25">
      <c r="H400" s="37"/>
      <c r="I400" s="79"/>
      <c r="J400" s="70"/>
      <c r="K400" s="57"/>
      <c r="L400" s="11"/>
      <c r="M400" s="41"/>
      <c r="N400" s="11"/>
    </row>
    <row r="401" spans="8:14" x14ac:dyDescent="0.25">
      <c r="H401" s="37"/>
      <c r="I401" s="79"/>
      <c r="J401" s="70"/>
      <c r="K401" s="57"/>
      <c r="L401" s="11"/>
      <c r="M401" s="41"/>
      <c r="N401" s="11"/>
    </row>
    <row r="402" spans="8:14" x14ac:dyDescent="0.25">
      <c r="H402" s="37"/>
      <c r="I402" s="79"/>
      <c r="J402" s="70"/>
      <c r="K402" s="57"/>
      <c r="L402" s="11"/>
      <c r="M402" s="41"/>
      <c r="N402" s="11"/>
    </row>
    <row r="403" spans="8:14" x14ac:dyDescent="0.25">
      <c r="H403" s="37"/>
      <c r="I403" s="79"/>
      <c r="J403" s="70"/>
      <c r="K403" s="57"/>
      <c r="L403" s="11"/>
      <c r="M403" s="41"/>
      <c r="N403" s="11"/>
    </row>
    <row r="404" spans="8:14" x14ac:dyDescent="0.25">
      <c r="H404" s="37"/>
      <c r="I404" s="79"/>
      <c r="J404" s="70"/>
      <c r="K404" s="57"/>
      <c r="L404" s="11"/>
      <c r="M404" s="41"/>
      <c r="N404" s="11"/>
    </row>
    <row r="405" spans="8:14" x14ac:dyDescent="0.25">
      <c r="H405" s="37"/>
      <c r="I405" s="79"/>
      <c r="J405" s="70"/>
      <c r="K405" s="57"/>
      <c r="L405" s="11"/>
      <c r="M405" s="41"/>
      <c r="N405" s="11"/>
    </row>
    <row r="406" spans="8:14" x14ac:dyDescent="0.25">
      <c r="H406" s="37"/>
      <c r="I406" s="79"/>
      <c r="J406" s="70"/>
      <c r="K406" s="57"/>
      <c r="L406" s="11"/>
      <c r="M406" s="41"/>
      <c r="N406" s="11"/>
    </row>
    <row r="407" spans="8:14" x14ac:dyDescent="0.25">
      <c r="H407" s="37"/>
      <c r="I407" s="79"/>
      <c r="J407" s="70"/>
      <c r="K407" s="57"/>
      <c r="L407" s="11"/>
      <c r="M407" s="41"/>
      <c r="N407" s="11"/>
    </row>
    <row r="408" spans="8:14" x14ac:dyDescent="0.25">
      <c r="H408" s="37"/>
      <c r="I408" s="79"/>
      <c r="J408" s="70"/>
      <c r="K408" s="57"/>
      <c r="L408" s="11"/>
      <c r="M408" s="41"/>
      <c r="N408" s="11"/>
    </row>
    <row r="409" spans="8:14" x14ac:dyDescent="0.25">
      <c r="H409" s="37"/>
      <c r="I409" s="79"/>
      <c r="J409" s="70"/>
      <c r="K409" s="57"/>
      <c r="L409" s="11"/>
      <c r="M409" s="41"/>
      <c r="N409" s="11"/>
    </row>
    <row r="410" spans="8:14" x14ac:dyDescent="0.25">
      <c r="H410" s="37"/>
      <c r="I410" s="79"/>
      <c r="J410" s="70"/>
      <c r="K410" s="57"/>
      <c r="L410" s="11"/>
      <c r="M410" s="41"/>
      <c r="N410" s="11"/>
    </row>
    <row r="411" spans="8:14" x14ac:dyDescent="0.25">
      <c r="H411" s="37"/>
      <c r="I411" s="79"/>
      <c r="J411" s="70"/>
      <c r="K411" s="57"/>
      <c r="L411" s="11"/>
      <c r="M411" s="41"/>
      <c r="N411" s="11"/>
    </row>
    <row r="412" spans="8:14" x14ac:dyDescent="0.25">
      <c r="H412" s="37"/>
      <c r="I412" s="79"/>
      <c r="J412" s="70"/>
      <c r="K412" s="57"/>
      <c r="L412" s="11"/>
      <c r="M412" s="41"/>
      <c r="N412" s="11"/>
    </row>
    <row r="413" spans="8:14" x14ac:dyDescent="0.25">
      <c r="H413" s="37"/>
      <c r="I413" s="79"/>
      <c r="J413" s="70"/>
      <c r="K413" s="57"/>
      <c r="L413" s="11"/>
      <c r="M413" s="41"/>
      <c r="N413" s="11"/>
    </row>
    <row r="414" spans="8:14" x14ac:dyDescent="0.25">
      <c r="H414" s="37"/>
      <c r="I414" s="79"/>
      <c r="J414" s="70"/>
      <c r="K414" s="57"/>
      <c r="L414" s="11"/>
      <c r="M414" s="41"/>
      <c r="N414" s="11"/>
    </row>
    <row r="415" spans="8:14" x14ac:dyDescent="0.25">
      <c r="H415" s="37"/>
      <c r="I415" s="79"/>
      <c r="J415" s="70"/>
      <c r="K415" s="57"/>
      <c r="L415" s="11"/>
      <c r="M415" s="41"/>
      <c r="N415" s="11"/>
    </row>
    <row r="416" spans="8:14" x14ac:dyDescent="0.25">
      <c r="H416" s="37"/>
      <c r="I416" s="79"/>
      <c r="J416" s="70"/>
      <c r="K416" s="57"/>
      <c r="L416" s="11"/>
      <c r="M416" s="41"/>
      <c r="N416" s="11"/>
    </row>
    <row r="417" spans="8:14" x14ac:dyDescent="0.25">
      <c r="H417" s="37"/>
      <c r="I417" s="79"/>
      <c r="J417" s="70"/>
      <c r="K417" s="57"/>
      <c r="L417" s="11"/>
      <c r="M417" s="41"/>
      <c r="N417" s="11"/>
    </row>
    <row r="418" spans="8:14" x14ac:dyDescent="0.25">
      <c r="H418" s="37"/>
      <c r="I418" s="79"/>
      <c r="J418" s="70"/>
      <c r="K418" s="57"/>
      <c r="L418" s="11"/>
      <c r="M418" s="41"/>
      <c r="N418" s="11"/>
    </row>
    <row r="419" spans="8:14" x14ac:dyDescent="0.25">
      <c r="H419" s="37"/>
      <c r="I419" s="79"/>
      <c r="J419" s="70"/>
      <c r="K419" s="57"/>
      <c r="L419" s="11"/>
      <c r="M419" s="41"/>
      <c r="N419" s="11"/>
    </row>
    <row r="420" spans="8:14" x14ac:dyDescent="0.25">
      <c r="H420" s="37"/>
      <c r="I420" s="79"/>
      <c r="J420" s="70"/>
      <c r="K420" s="57"/>
      <c r="L420" s="11"/>
      <c r="M420" s="41"/>
      <c r="N420" s="11"/>
    </row>
    <row r="421" spans="8:14" x14ac:dyDescent="0.25">
      <c r="H421" s="37"/>
      <c r="I421" s="79"/>
      <c r="J421" s="70"/>
      <c r="K421" s="57"/>
      <c r="L421" s="11"/>
      <c r="M421" s="41"/>
      <c r="N421" s="11"/>
    </row>
    <row r="422" spans="8:14" x14ac:dyDescent="0.25">
      <c r="H422" s="37"/>
      <c r="I422" s="79"/>
      <c r="J422" s="70"/>
      <c r="K422" s="57"/>
      <c r="L422" s="11"/>
      <c r="M422" s="41"/>
      <c r="N422" s="11"/>
    </row>
    <row r="423" spans="8:14" x14ac:dyDescent="0.25">
      <c r="H423" s="37"/>
      <c r="I423" s="79"/>
      <c r="J423" s="70"/>
      <c r="K423" s="57"/>
      <c r="L423" s="11"/>
      <c r="M423" s="41"/>
      <c r="N423" s="11"/>
    </row>
    <row r="424" spans="8:14" x14ac:dyDescent="0.25">
      <c r="H424" s="37"/>
      <c r="I424" s="79"/>
      <c r="J424" s="70"/>
      <c r="K424" s="57"/>
      <c r="L424" s="11"/>
      <c r="M424" s="41"/>
      <c r="N424" s="11"/>
    </row>
    <row r="425" spans="8:14" x14ac:dyDescent="0.25">
      <c r="H425" s="37"/>
      <c r="I425" s="79"/>
      <c r="J425" s="70"/>
      <c r="K425" s="57"/>
      <c r="L425" s="11"/>
      <c r="M425" s="41"/>
      <c r="N425" s="11"/>
    </row>
    <row r="426" spans="8:14" x14ac:dyDescent="0.25">
      <c r="H426" s="37"/>
      <c r="I426" s="79"/>
      <c r="J426" s="70"/>
      <c r="K426" s="57"/>
      <c r="L426" s="11"/>
      <c r="M426" s="41"/>
      <c r="N426" s="11"/>
    </row>
    <row r="427" spans="8:14" x14ac:dyDescent="0.25">
      <c r="H427" s="37"/>
      <c r="I427" s="79"/>
      <c r="J427" s="70"/>
      <c r="K427" s="57"/>
      <c r="L427" s="11"/>
      <c r="M427" s="41"/>
      <c r="N427" s="11"/>
    </row>
    <row r="428" spans="8:14" x14ac:dyDescent="0.25">
      <c r="H428" s="37"/>
      <c r="I428" s="79"/>
      <c r="J428" s="70"/>
      <c r="K428" s="57"/>
      <c r="L428" s="11"/>
      <c r="M428" s="41"/>
      <c r="N428" s="11"/>
    </row>
    <row r="429" spans="8:14" x14ac:dyDescent="0.25">
      <c r="H429" s="37"/>
      <c r="I429" s="79"/>
      <c r="J429" s="70"/>
      <c r="K429" s="57"/>
      <c r="L429" s="11"/>
      <c r="M429" s="41"/>
      <c r="N429" s="11"/>
    </row>
    <row r="430" spans="8:14" x14ac:dyDescent="0.25">
      <c r="H430" s="37"/>
      <c r="I430" s="79"/>
      <c r="J430" s="70"/>
      <c r="K430" s="57"/>
      <c r="L430" s="11"/>
      <c r="M430" s="41"/>
      <c r="N430" s="11"/>
    </row>
    <row r="431" spans="8:14" x14ac:dyDescent="0.25">
      <c r="H431" s="37"/>
      <c r="I431" s="79"/>
      <c r="J431" s="70"/>
      <c r="K431" s="57"/>
      <c r="L431" s="11"/>
      <c r="M431" s="41"/>
      <c r="N431" s="11"/>
    </row>
    <row r="432" spans="8:14" x14ac:dyDescent="0.25">
      <c r="H432" s="37"/>
      <c r="I432" s="79"/>
      <c r="J432" s="70"/>
      <c r="K432" s="57"/>
      <c r="L432" s="11"/>
      <c r="M432" s="41"/>
      <c r="N432" s="11"/>
    </row>
    <row r="433" spans="8:14" x14ac:dyDescent="0.25">
      <c r="H433" s="37"/>
      <c r="I433" s="79"/>
      <c r="J433" s="70"/>
      <c r="K433" s="57"/>
      <c r="L433" s="11"/>
      <c r="M433" s="41"/>
      <c r="N433" s="11"/>
    </row>
    <row r="434" spans="8:14" x14ac:dyDescent="0.25">
      <c r="H434" s="37"/>
      <c r="I434" s="79"/>
      <c r="J434" s="70"/>
      <c r="K434" s="57"/>
      <c r="L434" s="11"/>
      <c r="M434" s="41"/>
      <c r="N434" s="11"/>
    </row>
    <row r="435" spans="8:14" x14ac:dyDescent="0.25">
      <c r="H435" s="37"/>
      <c r="I435" s="79"/>
      <c r="J435" s="70"/>
      <c r="K435" s="57"/>
      <c r="L435" s="11"/>
      <c r="M435" s="41"/>
      <c r="N435" s="11"/>
    </row>
    <row r="436" spans="8:14" x14ac:dyDescent="0.25">
      <c r="H436" s="37"/>
      <c r="I436" s="79"/>
      <c r="J436" s="70"/>
      <c r="K436" s="57"/>
      <c r="L436" s="11"/>
      <c r="M436" s="41"/>
      <c r="N436" s="11"/>
    </row>
    <row r="437" spans="8:14" x14ac:dyDescent="0.25">
      <c r="H437" s="37"/>
      <c r="I437" s="79"/>
      <c r="J437" s="70"/>
      <c r="K437" s="57"/>
      <c r="L437" s="11"/>
      <c r="M437" s="41"/>
      <c r="N437" s="11"/>
    </row>
    <row r="438" spans="8:14" x14ac:dyDescent="0.25">
      <c r="H438" s="37"/>
      <c r="I438" s="79"/>
      <c r="J438" s="70"/>
      <c r="K438" s="57"/>
      <c r="L438" s="11"/>
      <c r="M438" s="41"/>
      <c r="N438" s="11"/>
    </row>
    <row r="439" spans="8:14" x14ac:dyDescent="0.25">
      <c r="H439" s="37"/>
      <c r="I439" s="79"/>
      <c r="J439" s="70"/>
      <c r="K439" s="57"/>
      <c r="L439" s="11"/>
      <c r="M439" s="41"/>
      <c r="N439" s="11"/>
    </row>
    <row r="440" spans="8:14" x14ac:dyDescent="0.25">
      <c r="H440" s="37"/>
      <c r="I440" s="79"/>
      <c r="J440" s="70"/>
      <c r="K440" s="57"/>
      <c r="L440" s="11"/>
      <c r="M440" s="41"/>
      <c r="N440" s="11"/>
    </row>
    <row r="441" spans="8:14" x14ac:dyDescent="0.25">
      <c r="H441" s="37"/>
      <c r="I441" s="79"/>
      <c r="J441" s="70"/>
      <c r="K441" s="57"/>
      <c r="L441" s="11"/>
      <c r="M441" s="41"/>
      <c r="N441" s="11"/>
    </row>
    <row r="442" spans="8:14" x14ac:dyDescent="0.25">
      <c r="H442" s="37"/>
      <c r="I442" s="79"/>
      <c r="J442" s="70"/>
      <c r="K442" s="57"/>
      <c r="L442" s="11"/>
      <c r="M442" s="41"/>
      <c r="N442" s="11"/>
    </row>
    <row r="443" spans="8:14" x14ac:dyDescent="0.25">
      <c r="H443" s="37"/>
      <c r="I443" s="79"/>
      <c r="J443" s="70"/>
      <c r="K443" s="57"/>
      <c r="L443" s="11"/>
      <c r="M443" s="41"/>
      <c r="N443" s="11"/>
    </row>
    <row r="444" spans="8:14" x14ac:dyDescent="0.25">
      <c r="H444" s="37"/>
      <c r="I444" s="79"/>
      <c r="J444" s="70"/>
      <c r="K444" s="57"/>
      <c r="L444" s="11"/>
      <c r="M444" s="41"/>
      <c r="N444" s="11"/>
    </row>
    <row r="445" spans="8:14" x14ac:dyDescent="0.25">
      <c r="H445" s="37"/>
      <c r="I445" s="79"/>
      <c r="J445" s="70"/>
      <c r="K445" s="57"/>
      <c r="L445" s="11"/>
      <c r="M445" s="41"/>
      <c r="N445" s="11"/>
    </row>
    <row r="446" spans="8:14" x14ac:dyDescent="0.25">
      <c r="H446" s="37"/>
      <c r="I446" s="79"/>
      <c r="J446" s="70"/>
      <c r="K446" s="57"/>
      <c r="L446" s="11"/>
      <c r="M446" s="41"/>
      <c r="N446" s="11"/>
    </row>
    <row r="447" spans="8:14" x14ac:dyDescent="0.25">
      <c r="H447" s="37"/>
      <c r="I447" s="79"/>
      <c r="J447" s="70"/>
      <c r="K447" s="57"/>
      <c r="L447" s="11"/>
      <c r="M447" s="41"/>
      <c r="N447" s="11"/>
    </row>
    <row r="448" spans="8:14" x14ac:dyDescent="0.25">
      <c r="H448" s="37"/>
      <c r="I448" s="79"/>
      <c r="J448" s="70"/>
      <c r="K448" s="57"/>
      <c r="L448" s="11"/>
      <c r="M448" s="41"/>
      <c r="N448" s="11"/>
    </row>
    <row r="449" spans="8:14" x14ac:dyDescent="0.25">
      <c r="H449" s="37"/>
      <c r="I449" s="79"/>
      <c r="J449" s="70"/>
      <c r="K449" s="57"/>
      <c r="L449" s="11"/>
      <c r="M449" s="41"/>
      <c r="N449" s="11"/>
    </row>
    <row r="450" spans="8:14" x14ac:dyDescent="0.25">
      <c r="H450" s="37"/>
      <c r="I450" s="79"/>
      <c r="J450" s="70"/>
      <c r="K450" s="57"/>
      <c r="L450" s="11"/>
      <c r="M450" s="41"/>
      <c r="N450" s="11"/>
    </row>
    <row r="451" spans="8:14" x14ac:dyDescent="0.25">
      <c r="H451" s="37"/>
      <c r="I451" s="79"/>
      <c r="J451" s="70"/>
      <c r="K451" s="57"/>
      <c r="L451" s="11"/>
      <c r="M451" s="41"/>
      <c r="N451" s="11"/>
    </row>
    <row r="452" spans="8:14" x14ac:dyDescent="0.25">
      <c r="H452" s="37"/>
      <c r="I452" s="79"/>
      <c r="J452" s="70"/>
      <c r="K452" s="57"/>
      <c r="L452" s="11"/>
      <c r="M452" s="41"/>
      <c r="N452" s="11"/>
    </row>
    <row r="453" spans="8:14" x14ac:dyDescent="0.25">
      <c r="H453" s="37"/>
      <c r="I453" s="79"/>
      <c r="J453" s="70"/>
      <c r="K453" s="57"/>
      <c r="L453" s="11"/>
      <c r="M453" s="41"/>
      <c r="N453" s="11"/>
    </row>
    <row r="454" spans="8:14" x14ac:dyDescent="0.25">
      <c r="H454" s="37"/>
      <c r="I454" s="79"/>
      <c r="J454" s="70"/>
      <c r="K454" s="57"/>
      <c r="L454" s="11"/>
      <c r="M454" s="41"/>
      <c r="N454" s="11"/>
    </row>
    <row r="455" spans="8:14" x14ac:dyDescent="0.25">
      <c r="H455" s="37"/>
      <c r="I455" s="79"/>
      <c r="J455" s="70"/>
      <c r="K455" s="57"/>
      <c r="L455" s="11"/>
      <c r="M455" s="41"/>
      <c r="N455" s="11"/>
    </row>
    <row r="456" spans="8:14" x14ac:dyDescent="0.25">
      <c r="H456" s="37"/>
      <c r="I456" s="79"/>
      <c r="J456" s="70"/>
      <c r="K456" s="57"/>
      <c r="L456" s="11"/>
      <c r="M456" s="41"/>
      <c r="N456" s="11"/>
    </row>
    <row r="457" spans="8:14" x14ac:dyDescent="0.25">
      <c r="H457" s="37"/>
      <c r="I457" s="79"/>
      <c r="J457" s="70"/>
      <c r="K457" s="57"/>
      <c r="L457" s="11"/>
      <c r="M457" s="41"/>
      <c r="N457" s="11"/>
    </row>
    <row r="458" spans="8:14" x14ac:dyDescent="0.25">
      <c r="H458" s="37"/>
      <c r="I458" s="79"/>
      <c r="J458" s="70"/>
      <c r="K458" s="57"/>
      <c r="L458" s="11"/>
      <c r="M458" s="41"/>
      <c r="N458" s="11"/>
    </row>
    <row r="459" spans="8:14" x14ac:dyDescent="0.25">
      <c r="H459" s="37"/>
      <c r="I459" s="79"/>
      <c r="J459" s="70"/>
      <c r="K459" s="57"/>
      <c r="L459" s="11"/>
      <c r="M459" s="41"/>
      <c r="N459" s="11"/>
    </row>
    <row r="460" spans="8:14" x14ac:dyDescent="0.25">
      <c r="H460" s="37"/>
      <c r="I460" s="79"/>
      <c r="J460" s="70"/>
      <c r="K460" s="57"/>
      <c r="L460" s="11"/>
      <c r="M460" s="41"/>
      <c r="N460" s="11"/>
    </row>
    <row r="461" spans="8:14" x14ac:dyDescent="0.25">
      <c r="H461" s="37"/>
      <c r="I461" s="79"/>
      <c r="J461" s="70"/>
      <c r="K461" s="57"/>
      <c r="L461" s="11"/>
      <c r="M461" s="41"/>
      <c r="N461" s="11"/>
    </row>
    <row r="462" spans="8:14" x14ac:dyDescent="0.25">
      <c r="H462" s="37"/>
      <c r="I462" s="79"/>
      <c r="J462" s="70"/>
      <c r="K462" s="57"/>
      <c r="L462" s="11"/>
      <c r="M462" s="41"/>
      <c r="N462" s="11"/>
    </row>
    <row r="463" spans="8:14" x14ac:dyDescent="0.25">
      <c r="H463" s="37"/>
      <c r="I463" s="79"/>
      <c r="J463" s="70"/>
      <c r="K463" s="57"/>
      <c r="L463" s="11"/>
      <c r="M463" s="41"/>
      <c r="N463" s="11"/>
    </row>
    <row r="464" spans="8:14" x14ac:dyDescent="0.25">
      <c r="H464" s="37"/>
      <c r="I464" s="79"/>
      <c r="J464" s="70"/>
      <c r="K464" s="57"/>
      <c r="L464" s="11"/>
      <c r="M464" s="41"/>
      <c r="N464" s="11"/>
    </row>
    <row r="465" spans="8:14" x14ac:dyDescent="0.25">
      <c r="H465" s="37"/>
      <c r="I465" s="79"/>
      <c r="J465" s="70"/>
      <c r="K465" s="57"/>
      <c r="L465" s="11"/>
      <c r="M465" s="41"/>
      <c r="N465" s="11"/>
    </row>
    <row r="466" spans="8:14" x14ac:dyDescent="0.25">
      <c r="H466" s="37"/>
      <c r="I466" s="79"/>
      <c r="J466" s="70"/>
      <c r="K466" s="57"/>
      <c r="L466" s="11"/>
      <c r="M466" s="41"/>
      <c r="N466" s="11"/>
    </row>
    <row r="467" spans="8:14" x14ac:dyDescent="0.25">
      <c r="H467" s="37"/>
      <c r="I467" s="79"/>
      <c r="J467" s="70"/>
      <c r="K467" s="57"/>
      <c r="L467" s="11"/>
      <c r="M467" s="41"/>
      <c r="N467" s="11"/>
    </row>
    <row r="468" spans="8:14" x14ac:dyDescent="0.25">
      <c r="H468" s="37"/>
      <c r="I468" s="79"/>
      <c r="J468" s="70"/>
      <c r="K468" s="57"/>
      <c r="L468" s="11"/>
      <c r="M468" s="41"/>
      <c r="N468" s="11"/>
    </row>
    <row r="469" spans="8:14" x14ac:dyDescent="0.25">
      <c r="H469" s="37"/>
      <c r="I469" s="79"/>
      <c r="J469" s="70"/>
      <c r="K469" s="57"/>
      <c r="L469" s="11"/>
      <c r="M469" s="41"/>
      <c r="N469" s="11"/>
    </row>
    <row r="470" spans="8:14" x14ac:dyDescent="0.25">
      <c r="H470" s="37"/>
      <c r="I470" s="79"/>
      <c r="J470" s="70"/>
      <c r="K470" s="57"/>
      <c r="L470" s="11"/>
      <c r="M470" s="41"/>
      <c r="N470" s="11"/>
    </row>
    <row r="471" spans="8:14" x14ac:dyDescent="0.25">
      <c r="H471" s="37"/>
      <c r="I471" s="79"/>
      <c r="J471" s="70"/>
      <c r="K471" s="57"/>
      <c r="L471" s="11"/>
      <c r="M471" s="41"/>
      <c r="N471" s="11"/>
    </row>
    <row r="472" spans="8:14" x14ac:dyDescent="0.25">
      <c r="H472" s="37"/>
      <c r="I472" s="79"/>
      <c r="J472" s="70"/>
      <c r="K472" s="57"/>
      <c r="L472" s="11"/>
      <c r="M472" s="41"/>
      <c r="N472" s="11"/>
    </row>
    <row r="473" spans="8:14" x14ac:dyDescent="0.25">
      <c r="H473" s="37"/>
      <c r="I473" s="79"/>
      <c r="J473" s="70"/>
      <c r="K473" s="57"/>
      <c r="L473" s="11"/>
      <c r="M473" s="41"/>
      <c r="N473" s="11"/>
    </row>
    <row r="474" spans="8:14" x14ac:dyDescent="0.25">
      <c r="H474" s="37"/>
      <c r="I474" s="79"/>
      <c r="J474" s="70"/>
      <c r="K474" s="57"/>
      <c r="L474" s="11"/>
      <c r="M474" s="41"/>
      <c r="N474" s="11"/>
    </row>
    <row r="475" spans="8:14" x14ac:dyDescent="0.25">
      <c r="H475" s="37"/>
      <c r="I475" s="79"/>
      <c r="J475" s="70"/>
      <c r="K475" s="57"/>
      <c r="L475" s="11"/>
      <c r="M475" s="41"/>
      <c r="N475" s="11"/>
    </row>
    <row r="476" spans="8:14" x14ac:dyDescent="0.25">
      <c r="H476" s="37"/>
      <c r="I476" s="79"/>
      <c r="J476" s="70"/>
      <c r="K476" s="57"/>
      <c r="L476" s="11"/>
      <c r="M476" s="41"/>
      <c r="N476" s="11"/>
    </row>
    <row r="477" spans="8:14" x14ac:dyDescent="0.25">
      <c r="H477" s="37"/>
      <c r="I477" s="79"/>
      <c r="J477" s="70"/>
      <c r="K477" s="57"/>
      <c r="L477" s="11"/>
      <c r="M477" s="41"/>
      <c r="N477" s="11"/>
    </row>
    <row r="478" spans="8:14" x14ac:dyDescent="0.25">
      <c r="H478" s="37"/>
      <c r="I478" s="79"/>
      <c r="J478" s="70"/>
      <c r="K478" s="57"/>
      <c r="L478" s="11"/>
      <c r="M478" s="41"/>
      <c r="N478" s="11"/>
    </row>
    <row r="479" spans="8:14" x14ac:dyDescent="0.25">
      <c r="H479" s="37"/>
      <c r="I479" s="79"/>
      <c r="J479" s="70"/>
      <c r="K479" s="57"/>
      <c r="L479" s="11"/>
      <c r="M479" s="41"/>
      <c r="N479" s="11"/>
    </row>
    <row r="480" spans="8:14" x14ac:dyDescent="0.25">
      <c r="H480" s="37"/>
      <c r="I480" s="79"/>
      <c r="J480" s="70"/>
      <c r="K480" s="57"/>
      <c r="L480" s="11"/>
      <c r="M480" s="41"/>
      <c r="N480" s="11"/>
    </row>
    <row r="481" spans="8:14" x14ac:dyDescent="0.25">
      <c r="H481" s="37"/>
      <c r="I481" s="79"/>
      <c r="J481" s="70"/>
      <c r="K481" s="57"/>
      <c r="L481" s="11"/>
      <c r="M481" s="41"/>
      <c r="N481" s="11"/>
    </row>
    <row r="482" spans="8:14" x14ac:dyDescent="0.25">
      <c r="H482" s="37"/>
      <c r="I482" s="79"/>
      <c r="J482" s="70"/>
      <c r="K482" s="57"/>
      <c r="L482" s="11"/>
      <c r="M482" s="41"/>
      <c r="N482" s="11"/>
    </row>
    <row r="483" spans="8:14" x14ac:dyDescent="0.25">
      <c r="H483" s="37"/>
      <c r="I483" s="79"/>
      <c r="J483" s="70"/>
      <c r="K483" s="57"/>
      <c r="L483" s="11"/>
      <c r="M483" s="41"/>
      <c r="N483" s="11"/>
    </row>
    <row r="484" spans="8:14" x14ac:dyDescent="0.25">
      <c r="H484" s="37"/>
      <c r="I484" s="79"/>
      <c r="J484" s="70"/>
      <c r="K484" s="57"/>
      <c r="L484" s="11"/>
      <c r="M484" s="41"/>
      <c r="N484" s="11"/>
    </row>
    <row r="485" spans="8:14" x14ac:dyDescent="0.25">
      <c r="H485" s="37"/>
      <c r="I485" s="79"/>
      <c r="J485" s="70"/>
      <c r="K485" s="57"/>
      <c r="L485" s="11"/>
      <c r="M485" s="41"/>
      <c r="N485" s="11"/>
    </row>
    <row r="486" spans="8:14" x14ac:dyDescent="0.25">
      <c r="H486" s="37"/>
      <c r="I486" s="79"/>
      <c r="J486" s="70"/>
      <c r="K486" s="57"/>
      <c r="L486" s="11"/>
      <c r="M486" s="41"/>
      <c r="N486" s="11"/>
    </row>
    <row r="487" spans="8:14" x14ac:dyDescent="0.25">
      <c r="H487" s="37"/>
      <c r="I487" s="79"/>
      <c r="J487" s="70"/>
      <c r="K487" s="57"/>
      <c r="L487" s="11"/>
      <c r="M487" s="41"/>
      <c r="N487" s="11"/>
    </row>
    <row r="488" spans="8:14" x14ac:dyDescent="0.25">
      <c r="H488" s="37"/>
      <c r="I488" s="79"/>
      <c r="J488" s="70"/>
      <c r="K488" s="57"/>
      <c r="L488" s="11"/>
      <c r="M488" s="41"/>
      <c r="N488" s="11"/>
    </row>
    <row r="489" spans="8:14" x14ac:dyDescent="0.25">
      <c r="H489" s="37"/>
      <c r="I489" s="79"/>
      <c r="J489" s="70"/>
      <c r="K489" s="57"/>
      <c r="L489" s="11"/>
      <c r="M489" s="41"/>
      <c r="N489" s="11"/>
    </row>
    <row r="490" spans="8:14" x14ac:dyDescent="0.25">
      <c r="H490" s="37"/>
      <c r="I490" s="79"/>
      <c r="J490" s="70"/>
      <c r="K490" s="57"/>
      <c r="L490" s="11"/>
      <c r="M490" s="41"/>
      <c r="N490" s="11"/>
    </row>
    <row r="491" spans="8:14" x14ac:dyDescent="0.25">
      <c r="H491" s="37"/>
      <c r="I491" s="79"/>
      <c r="J491" s="70"/>
      <c r="K491" s="57"/>
      <c r="L491" s="11"/>
      <c r="M491" s="41"/>
      <c r="N491" s="11"/>
    </row>
    <row r="492" spans="8:14" x14ac:dyDescent="0.25">
      <c r="H492" s="37"/>
      <c r="I492" s="79"/>
      <c r="J492" s="70"/>
      <c r="K492" s="57"/>
      <c r="L492" s="11"/>
      <c r="M492" s="41"/>
      <c r="N492" s="11"/>
    </row>
    <row r="493" spans="8:14" x14ac:dyDescent="0.25">
      <c r="H493" s="37"/>
      <c r="I493" s="79"/>
      <c r="J493" s="70"/>
      <c r="K493" s="57"/>
      <c r="L493" s="11"/>
      <c r="M493" s="41"/>
      <c r="N493" s="11"/>
    </row>
    <row r="494" spans="8:14" x14ac:dyDescent="0.25">
      <c r="H494" s="37"/>
      <c r="I494" s="79"/>
      <c r="J494" s="70"/>
      <c r="K494" s="57"/>
      <c r="L494" s="11"/>
      <c r="M494" s="41"/>
      <c r="N494" s="11"/>
    </row>
    <row r="495" spans="8:14" x14ac:dyDescent="0.25">
      <c r="H495" s="37"/>
      <c r="I495" s="79"/>
      <c r="J495" s="70"/>
      <c r="K495" s="57"/>
      <c r="L495" s="11"/>
      <c r="M495" s="41"/>
      <c r="N495" s="11"/>
    </row>
    <row r="496" spans="8:14" x14ac:dyDescent="0.25">
      <c r="H496" s="37"/>
      <c r="I496" s="79"/>
      <c r="J496" s="70"/>
      <c r="K496" s="57"/>
      <c r="L496" s="11"/>
      <c r="M496" s="41"/>
      <c r="N496" s="11"/>
    </row>
    <row r="497" spans="8:14" x14ac:dyDescent="0.25">
      <c r="H497" s="37"/>
      <c r="I497" s="79"/>
      <c r="J497" s="70"/>
      <c r="K497" s="57"/>
      <c r="L497" s="11"/>
      <c r="M497" s="41"/>
      <c r="N497" s="11"/>
    </row>
    <row r="498" spans="8:14" x14ac:dyDescent="0.25">
      <c r="H498" s="37"/>
      <c r="I498" s="79"/>
      <c r="J498" s="70"/>
      <c r="K498" s="57"/>
      <c r="L498" s="11"/>
      <c r="M498" s="41"/>
      <c r="N498" s="11"/>
    </row>
    <row r="499" spans="8:14" x14ac:dyDescent="0.25">
      <c r="H499" s="37"/>
      <c r="I499" s="79"/>
      <c r="J499" s="70"/>
      <c r="K499" s="57"/>
      <c r="L499" s="11"/>
      <c r="M499" s="41"/>
      <c r="N499" s="11"/>
    </row>
    <row r="500" spans="8:14" x14ac:dyDescent="0.25">
      <c r="H500" s="37"/>
      <c r="I500" s="79"/>
      <c r="J500" s="70"/>
      <c r="K500" s="57"/>
      <c r="L500" s="11"/>
      <c r="M500" s="41"/>
      <c r="N500" s="11"/>
    </row>
    <row r="501" spans="8:14" x14ac:dyDescent="0.25">
      <c r="H501" s="37"/>
      <c r="I501" s="79"/>
      <c r="J501" s="70"/>
      <c r="K501" s="57"/>
      <c r="L501" s="11"/>
      <c r="M501" s="41"/>
      <c r="N501" s="11"/>
    </row>
    <row r="502" spans="8:14" x14ac:dyDescent="0.25">
      <c r="H502" s="37"/>
      <c r="I502" s="79"/>
      <c r="J502" s="70"/>
      <c r="K502" s="57"/>
      <c r="L502" s="11"/>
      <c r="M502" s="41"/>
      <c r="N502" s="11"/>
    </row>
    <row r="503" spans="8:14" x14ac:dyDescent="0.25">
      <c r="H503" s="37"/>
      <c r="I503" s="79"/>
      <c r="J503" s="70"/>
      <c r="K503" s="57"/>
      <c r="L503" s="11"/>
      <c r="M503" s="41"/>
      <c r="N503" s="11"/>
    </row>
    <row r="504" spans="8:14" x14ac:dyDescent="0.25">
      <c r="H504" s="37"/>
      <c r="I504" s="79"/>
      <c r="J504" s="70"/>
      <c r="K504" s="57"/>
      <c r="L504" s="11"/>
      <c r="M504" s="41"/>
      <c r="N504" s="11"/>
    </row>
    <row r="505" spans="8:14" x14ac:dyDescent="0.25">
      <c r="H505" s="37"/>
      <c r="I505" s="79"/>
      <c r="J505" s="70"/>
      <c r="K505" s="57"/>
      <c r="L505" s="11"/>
      <c r="M505" s="41"/>
      <c r="N505" s="11"/>
    </row>
    <row r="506" spans="8:14" x14ac:dyDescent="0.25">
      <c r="H506" s="37"/>
      <c r="I506" s="79"/>
      <c r="J506" s="70"/>
      <c r="K506" s="57"/>
      <c r="L506" s="11"/>
      <c r="M506" s="41"/>
      <c r="N506" s="11"/>
    </row>
    <row r="507" spans="8:14" x14ac:dyDescent="0.25">
      <c r="H507" s="37"/>
      <c r="I507" s="79"/>
      <c r="J507" s="70"/>
      <c r="K507" s="57"/>
      <c r="L507" s="11"/>
      <c r="M507" s="41"/>
      <c r="N507" s="11"/>
    </row>
    <row r="508" spans="8:14" x14ac:dyDescent="0.25">
      <c r="H508" s="37"/>
      <c r="I508" s="79"/>
      <c r="J508" s="70"/>
      <c r="K508" s="57"/>
      <c r="L508" s="11"/>
      <c r="M508" s="41"/>
      <c r="N508" s="11"/>
    </row>
    <row r="509" spans="8:14" x14ac:dyDescent="0.25">
      <c r="H509" s="37"/>
      <c r="I509" s="79"/>
      <c r="J509" s="70"/>
      <c r="K509" s="57"/>
      <c r="L509" s="11"/>
      <c r="M509" s="41"/>
      <c r="N509" s="11"/>
    </row>
    <row r="510" spans="8:14" x14ac:dyDescent="0.25">
      <c r="H510" s="37"/>
      <c r="I510" s="79"/>
      <c r="J510" s="70"/>
      <c r="K510" s="57"/>
      <c r="L510" s="11"/>
      <c r="M510" s="41"/>
      <c r="N510" s="11"/>
    </row>
    <row r="511" spans="8:14" x14ac:dyDescent="0.25">
      <c r="H511" s="37"/>
      <c r="I511" s="79"/>
      <c r="J511" s="70"/>
      <c r="K511" s="57"/>
      <c r="L511" s="11"/>
      <c r="M511" s="41"/>
      <c r="N511" s="11"/>
    </row>
    <row r="512" spans="8:14" x14ac:dyDescent="0.25">
      <c r="H512" s="37"/>
      <c r="I512" s="79"/>
      <c r="J512" s="70"/>
      <c r="K512" s="57"/>
      <c r="L512" s="11"/>
      <c r="M512" s="41"/>
      <c r="N512" s="11"/>
    </row>
    <row r="513" spans="8:14" x14ac:dyDescent="0.25">
      <c r="H513" s="37"/>
      <c r="I513" s="79"/>
      <c r="J513" s="70"/>
      <c r="K513" s="57"/>
      <c r="L513" s="11"/>
      <c r="M513" s="41"/>
      <c r="N513" s="11"/>
    </row>
    <row r="514" spans="8:14" x14ac:dyDescent="0.25">
      <c r="H514" s="37"/>
      <c r="I514" s="79"/>
      <c r="J514" s="70"/>
      <c r="K514" s="57"/>
      <c r="L514" s="11"/>
      <c r="M514" s="41"/>
      <c r="N514" s="11"/>
    </row>
    <row r="515" spans="8:14" x14ac:dyDescent="0.25">
      <c r="H515" s="37"/>
      <c r="I515" s="79"/>
      <c r="J515" s="70"/>
      <c r="K515" s="57"/>
      <c r="L515" s="11"/>
      <c r="M515" s="41"/>
      <c r="N515" s="11"/>
    </row>
    <row r="516" spans="8:14" x14ac:dyDescent="0.25">
      <c r="H516" s="37"/>
      <c r="I516" s="79"/>
      <c r="J516" s="70"/>
      <c r="K516" s="57"/>
      <c r="L516" s="11"/>
      <c r="M516" s="41"/>
      <c r="N516" s="11"/>
    </row>
    <row r="517" spans="8:14" x14ac:dyDescent="0.25">
      <c r="H517" s="37"/>
      <c r="I517" s="79"/>
      <c r="J517" s="70"/>
      <c r="K517" s="57"/>
      <c r="L517" s="11"/>
      <c r="M517" s="41"/>
      <c r="N517" s="11"/>
    </row>
    <row r="518" spans="8:14" x14ac:dyDescent="0.25">
      <c r="H518" s="37"/>
      <c r="I518" s="79"/>
      <c r="J518" s="70"/>
      <c r="K518" s="57"/>
      <c r="L518" s="11"/>
      <c r="M518" s="41"/>
      <c r="N518" s="11"/>
    </row>
    <row r="519" spans="8:14" x14ac:dyDescent="0.25">
      <c r="H519" s="37"/>
      <c r="I519" s="79"/>
      <c r="J519" s="70"/>
      <c r="K519" s="57"/>
      <c r="L519" s="11"/>
      <c r="M519" s="41"/>
      <c r="N519" s="11"/>
    </row>
    <row r="520" spans="8:14" x14ac:dyDescent="0.25">
      <c r="H520" s="37"/>
      <c r="I520" s="79"/>
      <c r="J520" s="70"/>
      <c r="K520" s="57"/>
      <c r="L520" s="11"/>
      <c r="M520" s="41"/>
      <c r="N520" s="11"/>
    </row>
    <row r="521" spans="8:14" x14ac:dyDescent="0.25">
      <c r="H521" s="37"/>
      <c r="I521" s="79"/>
      <c r="J521" s="70"/>
      <c r="K521" s="57"/>
      <c r="L521" s="11"/>
      <c r="M521" s="41"/>
      <c r="N521" s="11"/>
    </row>
    <row r="522" spans="8:14" x14ac:dyDescent="0.25">
      <c r="H522" s="37"/>
      <c r="I522" s="79"/>
      <c r="J522" s="70"/>
      <c r="K522" s="57"/>
      <c r="L522" s="11"/>
      <c r="M522" s="41"/>
      <c r="N522" s="11"/>
    </row>
    <row r="523" spans="8:14" x14ac:dyDescent="0.25">
      <c r="H523" s="37"/>
      <c r="I523" s="79"/>
      <c r="J523" s="70"/>
      <c r="K523" s="57"/>
      <c r="L523" s="11"/>
      <c r="M523" s="41"/>
      <c r="N523" s="11"/>
    </row>
    <row r="524" spans="8:14" x14ac:dyDescent="0.25">
      <c r="H524" s="37"/>
      <c r="I524" s="79"/>
      <c r="J524" s="70"/>
      <c r="K524" s="57"/>
      <c r="L524" s="11"/>
      <c r="M524" s="41"/>
      <c r="N524" s="11"/>
    </row>
    <row r="525" spans="8:14" x14ac:dyDescent="0.25">
      <c r="H525" s="37"/>
      <c r="I525" s="79"/>
      <c r="J525" s="70"/>
      <c r="K525" s="57"/>
      <c r="L525" s="11"/>
      <c r="M525" s="41"/>
      <c r="N525" s="11"/>
    </row>
    <row r="526" spans="8:14" x14ac:dyDescent="0.25">
      <c r="H526" s="37"/>
      <c r="I526" s="79"/>
      <c r="J526" s="70"/>
      <c r="K526" s="57"/>
      <c r="L526" s="11"/>
      <c r="M526" s="41"/>
      <c r="N526" s="11"/>
    </row>
    <row r="527" spans="8:14" x14ac:dyDescent="0.25">
      <c r="H527" s="37"/>
      <c r="I527" s="79"/>
      <c r="J527" s="70"/>
      <c r="K527" s="57"/>
      <c r="L527" s="11"/>
      <c r="M527" s="41"/>
      <c r="N527" s="11"/>
    </row>
    <row r="528" spans="8:14" x14ac:dyDescent="0.25">
      <c r="H528" s="37"/>
      <c r="I528" s="79"/>
      <c r="J528" s="70"/>
      <c r="K528" s="57"/>
      <c r="L528" s="11"/>
      <c r="M528" s="41"/>
      <c r="N528" s="11"/>
    </row>
    <row r="529" spans="8:14" x14ac:dyDescent="0.25">
      <c r="H529" s="37"/>
      <c r="I529" s="79"/>
      <c r="J529" s="70"/>
      <c r="K529" s="57"/>
      <c r="L529" s="11"/>
      <c r="M529" s="41"/>
      <c r="N529" s="11"/>
    </row>
    <row r="530" spans="8:14" x14ac:dyDescent="0.25">
      <c r="H530" s="37"/>
      <c r="I530" s="79"/>
      <c r="J530" s="70"/>
      <c r="K530" s="57"/>
      <c r="L530" s="11"/>
      <c r="M530" s="41"/>
      <c r="N530" s="11"/>
    </row>
    <row r="531" spans="8:14" x14ac:dyDescent="0.25">
      <c r="H531" s="37"/>
      <c r="I531" s="79"/>
      <c r="J531" s="70"/>
      <c r="K531" s="57"/>
      <c r="L531" s="11"/>
      <c r="M531" s="41"/>
      <c r="N531" s="11"/>
    </row>
    <row r="532" spans="8:14" x14ac:dyDescent="0.25">
      <c r="H532" s="37"/>
      <c r="I532" s="79"/>
      <c r="J532" s="70"/>
      <c r="K532" s="57"/>
      <c r="L532" s="11"/>
      <c r="M532" s="41"/>
      <c r="N532" s="11"/>
    </row>
    <row r="533" spans="8:14" x14ac:dyDescent="0.25">
      <c r="H533" s="37"/>
      <c r="I533" s="79"/>
      <c r="J533" s="70"/>
      <c r="K533" s="57"/>
      <c r="L533" s="11"/>
      <c r="M533" s="41"/>
      <c r="N533" s="11"/>
    </row>
    <row r="534" spans="8:14" x14ac:dyDescent="0.25">
      <c r="H534" s="37"/>
      <c r="I534" s="79"/>
      <c r="J534" s="70"/>
      <c r="K534" s="57"/>
      <c r="L534" s="11"/>
      <c r="M534" s="41"/>
      <c r="N534" s="11"/>
    </row>
    <row r="535" spans="8:14" x14ac:dyDescent="0.25">
      <c r="H535" s="37"/>
      <c r="I535" s="79"/>
      <c r="J535" s="70"/>
      <c r="K535" s="57"/>
      <c r="L535" s="11"/>
      <c r="M535" s="41"/>
      <c r="N535" s="11"/>
    </row>
    <row r="536" spans="8:14" x14ac:dyDescent="0.25">
      <c r="H536" s="37"/>
      <c r="I536" s="79"/>
      <c r="J536" s="70"/>
      <c r="K536" s="57"/>
      <c r="L536" s="11"/>
      <c r="M536" s="41"/>
      <c r="N536" s="11"/>
    </row>
    <row r="537" spans="8:14" x14ac:dyDescent="0.25">
      <c r="H537" s="37"/>
      <c r="I537" s="79"/>
      <c r="J537" s="70"/>
      <c r="K537" s="57"/>
      <c r="L537" s="11"/>
      <c r="M537" s="41"/>
      <c r="N537" s="11"/>
    </row>
    <row r="538" spans="8:14" x14ac:dyDescent="0.25">
      <c r="H538" s="37"/>
      <c r="I538" s="79"/>
      <c r="J538" s="70"/>
      <c r="K538" s="57"/>
      <c r="L538" s="11"/>
      <c r="M538" s="41"/>
      <c r="N538" s="11"/>
    </row>
    <row r="539" spans="8:14" x14ac:dyDescent="0.25">
      <c r="H539" s="37"/>
      <c r="I539" s="79"/>
      <c r="J539" s="70"/>
      <c r="K539" s="57"/>
      <c r="L539" s="11"/>
      <c r="M539" s="41"/>
      <c r="N539" s="11"/>
    </row>
    <row r="540" spans="8:14" x14ac:dyDescent="0.25">
      <c r="H540" s="37"/>
      <c r="I540" s="79"/>
      <c r="J540" s="70"/>
      <c r="K540" s="57"/>
      <c r="L540" s="11"/>
      <c r="M540" s="41"/>
      <c r="N540" s="11"/>
    </row>
    <row r="541" spans="8:14" x14ac:dyDescent="0.25">
      <c r="H541" s="37"/>
      <c r="I541" s="79"/>
      <c r="J541" s="70"/>
      <c r="K541" s="57"/>
      <c r="L541" s="11"/>
      <c r="M541" s="41"/>
      <c r="N541" s="11"/>
    </row>
    <row r="542" spans="8:14" x14ac:dyDescent="0.25">
      <c r="H542" s="37"/>
      <c r="I542" s="79"/>
      <c r="J542" s="70"/>
      <c r="K542" s="57"/>
      <c r="L542" s="11"/>
      <c r="M542" s="41"/>
      <c r="N542" s="11"/>
    </row>
    <row r="543" spans="8:14" x14ac:dyDescent="0.25">
      <c r="H543" s="37"/>
      <c r="I543" s="79"/>
      <c r="J543" s="70"/>
      <c r="K543" s="57"/>
      <c r="L543" s="11"/>
      <c r="M543" s="41"/>
      <c r="N543" s="11"/>
    </row>
    <row r="544" spans="8:14" x14ac:dyDescent="0.25">
      <c r="H544" s="37"/>
      <c r="I544" s="79"/>
      <c r="J544" s="70"/>
      <c r="K544" s="57"/>
      <c r="L544" s="11"/>
      <c r="M544" s="41"/>
      <c r="N544" s="11"/>
    </row>
    <row r="545" spans="8:14" x14ac:dyDescent="0.25">
      <c r="H545" s="37"/>
      <c r="I545" s="79"/>
      <c r="J545" s="70"/>
      <c r="K545" s="57"/>
      <c r="L545" s="11"/>
      <c r="M545" s="41"/>
      <c r="N545" s="11"/>
    </row>
    <row r="546" spans="8:14" x14ac:dyDescent="0.25">
      <c r="H546" s="37"/>
      <c r="I546" s="79"/>
      <c r="J546" s="70"/>
      <c r="K546" s="57"/>
      <c r="L546" s="11"/>
      <c r="M546" s="41"/>
      <c r="N546" s="11"/>
    </row>
    <row r="547" spans="8:14" x14ac:dyDescent="0.25">
      <c r="H547" s="37"/>
      <c r="I547" s="79"/>
      <c r="J547" s="70"/>
      <c r="K547" s="57"/>
      <c r="L547" s="11"/>
      <c r="M547" s="41"/>
      <c r="N547" s="11"/>
    </row>
    <row r="548" spans="8:14" x14ac:dyDescent="0.25">
      <c r="H548" s="37"/>
      <c r="I548" s="79"/>
      <c r="J548" s="70"/>
      <c r="K548" s="57"/>
      <c r="L548" s="11"/>
      <c r="M548" s="41"/>
      <c r="N548" s="11"/>
    </row>
    <row r="549" spans="8:14" x14ac:dyDescent="0.25">
      <c r="H549" s="37"/>
      <c r="I549" s="79"/>
      <c r="J549" s="70"/>
      <c r="K549" s="57"/>
      <c r="L549" s="11"/>
      <c r="M549" s="41"/>
      <c r="N549" s="11"/>
    </row>
    <row r="550" spans="8:14" x14ac:dyDescent="0.25">
      <c r="H550" s="37"/>
      <c r="I550" s="79"/>
      <c r="J550" s="70"/>
      <c r="K550" s="57"/>
      <c r="L550" s="11"/>
      <c r="M550" s="41"/>
      <c r="N550" s="11"/>
    </row>
    <row r="551" spans="8:14" x14ac:dyDescent="0.25">
      <c r="H551" s="37"/>
      <c r="I551" s="79"/>
      <c r="J551" s="70"/>
      <c r="K551" s="57"/>
      <c r="L551" s="11"/>
      <c r="M551" s="41"/>
      <c r="N551" s="11"/>
    </row>
    <row r="552" spans="8:14" x14ac:dyDescent="0.25">
      <c r="H552" s="37"/>
      <c r="I552" s="79"/>
      <c r="J552" s="70"/>
      <c r="K552" s="57"/>
      <c r="L552" s="11"/>
      <c r="M552" s="41"/>
      <c r="N552" s="11"/>
    </row>
    <row r="553" spans="8:14" x14ac:dyDescent="0.25">
      <c r="H553" s="37"/>
      <c r="I553" s="79"/>
      <c r="J553" s="70"/>
      <c r="K553" s="57"/>
      <c r="L553" s="11"/>
      <c r="M553" s="41"/>
      <c r="N553" s="11"/>
    </row>
    <row r="554" spans="8:14" x14ac:dyDescent="0.25">
      <c r="H554" s="37"/>
      <c r="I554" s="79"/>
      <c r="J554" s="70"/>
      <c r="K554" s="57"/>
      <c r="L554" s="11"/>
      <c r="M554" s="41"/>
      <c r="N554" s="11"/>
    </row>
    <row r="555" spans="8:14" x14ac:dyDescent="0.25">
      <c r="H555" s="37"/>
      <c r="I555" s="79"/>
      <c r="J555" s="70"/>
      <c r="K555" s="57"/>
      <c r="L555" s="11"/>
      <c r="M555" s="41"/>
      <c r="N555" s="11"/>
    </row>
    <row r="556" spans="8:14" x14ac:dyDescent="0.25">
      <c r="H556" s="37"/>
      <c r="I556" s="79"/>
      <c r="J556" s="70"/>
      <c r="K556" s="57"/>
      <c r="L556" s="11"/>
      <c r="M556" s="41"/>
      <c r="N556" s="11"/>
    </row>
    <row r="557" spans="8:14" x14ac:dyDescent="0.25">
      <c r="H557" s="37"/>
      <c r="I557" s="79"/>
      <c r="J557" s="70"/>
      <c r="K557" s="57"/>
      <c r="L557" s="11"/>
      <c r="M557" s="41"/>
      <c r="N557" s="11"/>
    </row>
    <row r="558" spans="8:14" x14ac:dyDescent="0.25">
      <c r="H558" s="37"/>
      <c r="I558" s="79"/>
      <c r="J558" s="70"/>
      <c r="K558" s="57"/>
      <c r="L558" s="11"/>
      <c r="M558" s="41"/>
      <c r="N558" s="11"/>
    </row>
    <row r="559" spans="8:14" x14ac:dyDescent="0.25">
      <c r="H559" s="37"/>
      <c r="I559" s="79"/>
      <c r="J559" s="70"/>
      <c r="K559" s="57"/>
      <c r="L559" s="11"/>
      <c r="M559" s="41"/>
      <c r="N559" s="11"/>
    </row>
    <row r="560" spans="8:14" x14ac:dyDescent="0.25">
      <c r="H560" s="37"/>
      <c r="I560" s="79"/>
      <c r="J560" s="70"/>
      <c r="K560" s="57"/>
      <c r="L560" s="11"/>
      <c r="M560" s="41"/>
      <c r="N560" s="11"/>
    </row>
    <row r="561" spans="8:14" x14ac:dyDescent="0.25">
      <c r="H561" s="37"/>
      <c r="I561" s="79"/>
      <c r="J561" s="70"/>
      <c r="K561" s="57"/>
      <c r="L561" s="11"/>
      <c r="M561" s="41"/>
      <c r="N561" s="11"/>
    </row>
    <row r="562" spans="8:14" x14ac:dyDescent="0.25">
      <c r="H562" s="37"/>
      <c r="I562" s="79"/>
      <c r="J562" s="70"/>
      <c r="K562" s="57"/>
      <c r="L562" s="11"/>
      <c r="M562" s="41"/>
      <c r="N562" s="11"/>
    </row>
    <row r="563" spans="8:14" x14ac:dyDescent="0.25">
      <c r="H563" s="37"/>
      <c r="I563" s="79"/>
      <c r="J563" s="70"/>
      <c r="K563" s="57"/>
      <c r="L563" s="11"/>
      <c r="M563" s="41"/>
      <c r="N563" s="11"/>
    </row>
    <row r="564" spans="8:14" x14ac:dyDescent="0.25">
      <c r="H564" s="37"/>
      <c r="I564" s="79"/>
      <c r="J564" s="70"/>
      <c r="K564" s="57"/>
      <c r="L564" s="11"/>
      <c r="M564" s="41"/>
      <c r="N564" s="11"/>
    </row>
    <row r="565" spans="8:14" x14ac:dyDescent="0.25">
      <c r="H565" s="37"/>
      <c r="I565" s="79"/>
      <c r="J565" s="70"/>
      <c r="K565" s="57"/>
      <c r="L565" s="11"/>
      <c r="M565" s="41"/>
      <c r="N565" s="11"/>
    </row>
    <row r="566" spans="8:14" x14ac:dyDescent="0.25">
      <c r="H566" s="37"/>
      <c r="I566" s="79"/>
      <c r="J566" s="70"/>
      <c r="K566" s="57"/>
      <c r="L566" s="11"/>
      <c r="M566" s="41"/>
      <c r="N566" s="11"/>
    </row>
    <row r="567" spans="8:14" x14ac:dyDescent="0.25">
      <c r="H567" s="37"/>
      <c r="I567" s="79"/>
      <c r="J567" s="70"/>
      <c r="K567" s="57"/>
      <c r="L567" s="11"/>
      <c r="M567" s="41"/>
      <c r="N567" s="11"/>
    </row>
    <row r="568" spans="8:14" x14ac:dyDescent="0.25">
      <c r="H568" s="37"/>
      <c r="I568" s="79"/>
      <c r="J568" s="70"/>
      <c r="K568" s="57"/>
      <c r="L568" s="11"/>
      <c r="M568" s="41"/>
      <c r="N568" s="11"/>
    </row>
    <row r="569" spans="8:14" x14ac:dyDescent="0.25">
      <c r="H569" s="37"/>
      <c r="I569" s="79"/>
      <c r="J569" s="70"/>
      <c r="K569" s="57"/>
      <c r="L569" s="11"/>
      <c r="M569" s="41"/>
      <c r="N569" s="11"/>
    </row>
    <row r="570" spans="8:14" x14ac:dyDescent="0.25">
      <c r="H570" s="37"/>
      <c r="I570" s="79"/>
      <c r="J570" s="70"/>
      <c r="K570" s="57"/>
      <c r="L570" s="11"/>
      <c r="M570" s="41"/>
      <c r="N570" s="11"/>
    </row>
    <row r="571" spans="8:14" x14ac:dyDescent="0.25">
      <c r="H571" s="37"/>
      <c r="I571" s="79"/>
      <c r="J571" s="70"/>
      <c r="K571" s="57"/>
      <c r="L571" s="11"/>
      <c r="M571" s="41"/>
      <c r="N571" s="11"/>
    </row>
    <row r="572" spans="8:14" x14ac:dyDescent="0.25">
      <c r="H572" s="37"/>
      <c r="I572" s="79"/>
      <c r="J572" s="70"/>
      <c r="K572" s="57"/>
      <c r="L572" s="11"/>
      <c r="M572" s="41"/>
      <c r="N572" s="11"/>
    </row>
    <row r="573" spans="8:14" x14ac:dyDescent="0.25">
      <c r="H573" s="37"/>
      <c r="I573" s="79"/>
      <c r="J573" s="70"/>
      <c r="K573" s="57"/>
      <c r="L573" s="11"/>
      <c r="M573" s="41"/>
      <c r="N573" s="11"/>
    </row>
    <row r="574" spans="8:14" x14ac:dyDescent="0.25">
      <c r="H574" s="37"/>
      <c r="I574" s="79"/>
      <c r="J574" s="70"/>
      <c r="K574" s="57"/>
      <c r="L574" s="11"/>
      <c r="M574" s="41"/>
      <c r="N574" s="11"/>
    </row>
    <row r="575" spans="8:14" x14ac:dyDescent="0.25">
      <c r="H575" s="37"/>
      <c r="I575" s="79"/>
      <c r="J575" s="70"/>
      <c r="K575" s="57"/>
      <c r="L575" s="11"/>
      <c r="M575" s="41"/>
      <c r="N575" s="11"/>
    </row>
    <row r="576" spans="8:14" x14ac:dyDescent="0.25">
      <c r="H576" s="37"/>
      <c r="I576" s="79"/>
      <c r="J576" s="70"/>
      <c r="K576" s="57"/>
      <c r="L576" s="11"/>
      <c r="M576" s="41"/>
      <c r="N576" s="11"/>
    </row>
    <row r="577" spans="8:14" x14ac:dyDescent="0.25">
      <c r="H577" s="37"/>
      <c r="I577" s="79"/>
      <c r="J577" s="70"/>
      <c r="K577" s="57"/>
      <c r="L577" s="11"/>
      <c r="M577" s="41"/>
      <c r="N577" s="11"/>
    </row>
    <row r="578" spans="8:14" x14ac:dyDescent="0.25">
      <c r="H578" s="37"/>
      <c r="I578" s="79"/>
      <c r="J578" s="70"/>
      <c r="K578" s="57"/>
      <c r="L578" s="11"/>
      <c r="M578" s="41"/>
      <c r="N578" s="11"/>
    </row>
    <row r="579" spans="8:14" x14ac:dyDescent="0.25">
      <c r="H579" s="37"/>
      <c r="I579" s="79"/>
      <c r="J579" s="70"/>
      <c r="K579" s="57"/>
      <c r="L579" s="11"/>
      <c r="M579" s="41"/>
      <c r="N579" s="11"/>
    </row>
    <row r="580" spans="8:14" x14ac:dyDescent="0.25">
      <c r="H580" s="37"/>
      <c r="I580" s="79"/>
      <c r="J580" s="70"/>
      <c r="K580" s="57"/>
      <c r="L580" s="11"/>
      <c r="M580" s="41"/>
      <c r="N580" s="11"/>
    </row>
    <row r="581" spans="8:14" x14ac:dyDescent="0.25">
      <c r="H581" s="37"/>
      <c r="I581" s="79"/>
      <c r="J581" s="70"/>
      <c r="K581" s="57"/>
      <c r="L581" s="11"/>
      <c r="M581" s="41"/>
      <c r="N581" s="11"/>
    </row>
    <row r="582" spans="8:14" x14ac:dyDescent="0.25">
      <c r="H582" s="37"/>
      <c r="I582" s="79"/>
      <c r="J582" s="70"/>
      <c r="K582" s="57"/>
      <c r="L582" s="11"/>
      <c r="M582" s="41"/>
      <c r="N582" s="11"/>
    </row>
    <row r="583" spans="8:14" x14ac:dyDescent="0.25">
      <c r="H583" s="37"/>
      <c r="I583" s="79"/>
      <c r="J583" s="70"/>
      <c r="K583" s="57"/>
      <c r="L583" s="11"/>
      <c r="M583" s="41"/>
      <c r="N583" s="11"/>
    </row>
    <row r="584" spans="8:14" x14ac:dyDescent="0.25">
      <c r="H584" s="37"/>
      <c r="I584" s="79"/>
      <c r="J584" s="70"/>
      <c r="K584" s="57"/>
      <c r="L584" s="11"/>
      <c r="M584" s="41"/>
      <c r="N584" s="11"/>
    </row>
    <row r="585" spans="8:14" x14ac:dyDescent="0.25">
      <c r="H585" s="37"/>
      <c r="I585" s="79"/>
      <c r="J585" s="70"/>
      <c r="K585" s="57"/>
      <c r="L585" s="11"/>
      <c r="M585" s="41"/>
      <c r="N585" s="11"/>
    </row>
    <row r="586" spans="8:14" x14ac:dyDescent="0.25">
      <c r="H586" s="37"/>
      <c r="I586" s="79"/>
      <c r="J586" s="70"/>
      <c r="K586" s="57"/>
      <c r="L586" s="11"/>
      <c r="M586" s="41"/>
      <c r="N586" s="11"/>
    </row>
    <row r="587" spans="8:14" x14ac:dyDescent="0.25">
      <c r="H587" s="37"/>
      <c r="I587" s="79"/>
      <c r="J587" s="70"/>
      <c r="K587" s="57"/>
      <c r="L587" s="11"/>
      <c r="M587" s="41"/>
      <c r="N587" s="11"/>
    </row>
    <row r="588" spans="8:14" x14ac:dyDescent="0.25">
      <c r="H588" s="37"/>
      <c r="I588" s="79"/>
      <c r="J588" s="70"/>
      <c r="K588" s="57"/>
      <c r="L588" s="11"/>
      <c r="M588" s="41"/>
      <c r="N588" s="11"/>
    </row>
    <row r="589" spans="8:14" x14ac:dyDescent="0.25">
      <c r="H589" s="37"/>
      <c r="I589" s="79"/>
      <c r="J589" s="70"/>
      <c r="K589" s="57"/>
      <c r="L589" s="11"/>
      <c r="M589" s="41"/>
      <c r="N589" s="11"/>
    </row>
    <row r="590" spans="8:14" x14ac:dyDescent="0.25">
      <c r="H590" s="37"/>
      <c r="I590" s="79"/>
      <c r="J590" s="70"/>
      <c r="K590" s="57"/>
      <c r="L590" s="11"/>
      <c r="M590" s="41"/>
      <c r="N590" s="11"/>
    </row>
    <row r="591" spans="8:14" x14ac:dyDescent="0.25">
      <c r="H591" s="37"/>
      <c r="I591" s="79"/>
      <c r="J591" s="70"/>
      <c r="K591" s="57"/>
      <c r="L591" s="11"/>
      <c r="M591" s="41"/>
      <c r="N591" s="11"/>
    </row>
    <row r="592" spans="8:14" x14ac:dyDescent="0.25">
      <c r="H592" s="37"/>
      <c r="I592" s="79"/>
      <c r="J592" s="70"/>
      <c r="K592" s="57"/>
      <c r="L592" s="11"/>
      <c r="M592" s="41"/>
      <c r="N592" s="11"/>
    </row>
    <row r="593" spans="8:14" x14ac:dyDescent="0.25">
      <c r="H593" s="37"/>
      <c r="I593" s="79"/>
      <c r="J593" s="70"/>
      <c r="K593" s="57"/>
      <c r="L593" s="11"/>
      <c r="M593" s="41"/>
      <c r="N593" s="11"/>
    </row>
    <row r="594" spans="8:14" x14ac:dyDescent="0.25">
      <c r="H594" s="37"/>
      <c r="I594" s="79"/>
      <c r="J594" s="70"/>
      <c r="K594" s="57"/>
      <c r="L594" s="11"/>
      <c r="M594" s="41"/>
      <c r="N594" s="11"/>
    </row>
    <row r="595" spans="8:14" x14ac:dyDescent="0.25">
      <c r="H595" s="37"/>
      <c r="I595" s="79"/>
      <c r="J595" s="70"/>
      <c r="K595" s="57"/>
      <c r="L595" s="11"/>
      <c r="M595" s="41"/>
      <c r="N595" s="11"/>
    </row>
    <row r="596" spans="8:14" x14ac:dyDescent="0.25">
      <c r="H596" s="37"/>
      <c r="I596" s="79"/>
      <c r="J596" s="70"/>
      <c r="K596" s="57"/>
      <c r="L596" s="11"/>
      <c r="M596" s="41"/>
      <c r="N596" s="11"/>
    </row>
    <row r="597" spans="8:14" x14ac:dyDescent="0.25">
      <c r="H597" s="37"/>
      <c r="I597" s="79"/>
      <c r="J597" s="70"/>
      <c r="K597" s="57"/>
      <c r="L597" s="11"/>
      <c r="M597" s="41"/>
      <c r="N597" s="11"/>
    </row>
    <row r="598" spans="8:14" x14ac:dyDescent="0.25">
      <c r="H598" s="37"/>
      <c r="I598" s="79"/>
      <c r="J598" s="70"/>
      <c r="K598" s="57"/>
      <c r="L598" s="11"/>
      <c r="M598" s="41"/>
      <c r="N598" s="11"/>
    </row>
    <row r="599" spans="8:14" x14ac:dyDescent="0.25">
      <c r="H599" s="37"/>
      <c r="I599" s="79"/>
      <c r="J599" s="70"/>
      <c r="K599" s="57"/>
      <c r="L599" s="11"/>
      <c r="M599" s="41"/>
      <c r="N599" s="11"/>
    </row>
    <row r="600" spans="8:14" x14ac:dyDescent="0.25">
      <c r="H600" s="37"/>
      <c r="I600" s="79"/>
      <c r="J600" s="70"/>
      <c r="K600" s="57"/>
      <c r="L600" s="11"/>
      <c r="M600" s="41"/>
      <c r="N600" s="11"/>
    </row>
    <row r="601" spans="8:14" x14ac:dyDescent="0.25">
      <c r="H601" s="37"/>
      <c r="I601" s="79"/>
      <c r="J601" s="70"/>
      <c r="K601" s="57"/>
      <c r="L601" s="11"/>
      <c r="M601" s="41"/>
      <c r="N601" s="11"/>
    </row>
    <row r="602" spans="8:14" x14ac:dyDescent="0.25">
      <c r="H602" s="37"/>
      <c r="I602" s="79"/>
      <c r="J602" s="70"/>
      <c r="K602" s="57"/>
      <c r="L602" s="11"/>
      <c r="M602" s="41"/>
      <c r="N602" s="11"/>
    </row>
    <row r="603" spans="8:14" x14ac:dyDescent="0.25">
      <c r="H603" s="37"/>
      <c r="I603" s="79"/>
      <c r="J603" s="70"/>
      <c r="K603" s="57"/>
      <c r="L603" s="11"/>
      <c r="M603" s="41"/>
      <c r="N603" s="11"/>
    </row>
    <row r="604" spans="8:14" x14ac:dyDescent="0.25">
      <c r="H604" s="37"/>
      <c r="I604" s="79"/>
      <c r="J604" s="70"/>
      <c r="K604" s="57"/>
      <c r="L604" s="11"/>
      <c r="M604" s="41"/>
      <c r="N604" s="11"/>
    </row>
    <row r="605" spans="8:14" x14ac:dyDescent="0.25">
      <c r="H605" s="37"/>
      <c r="I605" s="79"/>
      <c r="J605" s="70"/>
      <c r="K605" s="57"/>
      <c r="L605" s="11"/>
      <c r="M605" s="41"/>
      <c r="N605" s="11"/>
    </row>
    <row r="606" spans="8:14" x14ac:dyDescent="0.25">
      <c r="H606" s="37"/>
      <c r="I606" s="79"/>
      <c r="J606" s="70"/>
      <c r="K606" s="57"/>
      <c r="L606" s="11"/>
      <c r="M606" s="41"/>
      <c r="N606" s="11"/>
    </row>
    <row r="607" spans="8:14" x14ac:dyDescent="0.25">
      <c r="H607" s="37"/>
      <c r="I607" s="79"/>
      <c r="J607" s="70"/>
      <c r="K607" s="57"/>
      <c r="L607" s="11"/>
      <c r="M607" s="41"/>
      <c r="N607" s="11"/>
    </row>
    <row r="608" spans="8:14" x14ac:dyDescent="0.25">
      <c r="H608" s="37"/>
      <c r="I608" s="79"/>
      <c r="J608" s="70"/>
      <c r="K608" s="57"/>
      <c r="L608" s="11"/>
      <c r="M608" s="41"/>
      <c r="N608" s="11"/>
    </row>
    <row r="609" spans="8:14" x14ac:dyDescent="0.25">
      <c r="H609" s="37"/>
      <c r="I609" s="79"/>
      <c r="J609" s="70"/>
      <c r="K609" s="57"/>
      <c r="L609" s="11"/>
      <c r="M609" s="41"/>
      <c r="N609" s="11"/>
    </row>
    <row r="610" spans="8:14" x14ac:dyDescent="0.25">
      <c r="H610" s="37"/>
      <c r="I610" s="79"/>
      <c r="J610" s="70"/>
      <c r="K610" s="57"/>
      <c r="L610" s="11"/>
      <c r="M610" s="41"/>
      <c r="N610" s="11"/>
    </row>
    <row r="611" spans="8:14" x14ac:dyDescent="0.25">
      <c r="H611" s="37"/>
      <c r="I611" s="79"/>
      <c r="J611" s="70"/>
      <c r="K611" s="57"/>
      <c r="L611" s="11"/>
      <c r="M611" s="41"/>
      <c r="N611" s="11"/>
    </row>
    <row r="612" spans="8:14" x14ac:dyDescent="0.25">
      <c r="H612" s="37"/>
      <c r="I612" s="79"/>
      <c r="J612" s="70"/>
      <c r="K612" s="57"/>
      <c r="L612" s="11"/>
      <c r="M612" s="41"/>
      <c r="N612" s="11"/>
    </row>
    <row r="613" spans="8:14" x14ac:dyDescent="0.25">
      <c r="H613" s="37"/>
      <c r="I613" s="79"/>
      <c r="J613" s="70"/>
      <c r="K613" s="57"/>
      <c r="L613" s="11"/>
      <c r="M613" s="41"/>
      <c r="N613" s="11"/>
    </row>
    <row r="614" spans="8:14" x14ac:dyDescent="0.25">
      <c r="H614" s="37"/>
      <c r="I614" s="79"/>
      <c r="J614" s="70"/>
      <c r="K614" s="57"/>
      <c r="L614" s="11"/>
      <c r="M614" s="41"/>
      <c r="N614" s="11"/>
    </row>
    <row r="615" spans="8:14" x14ac:dyDescent="0.25">
      <c r="H615" s="37"/>
      <c r="I615" s="79"/>
      <c r="J615" s="70"/>
      <c r="K615" s="57"/>
      <c r="L615" s="11"/>
      <c r="M615" s="41"/>
      <c r="N615" s="11"/>
    </row>
    <row r="616" spans="8:14" x14ac:dyDescent="0.25">
      <c r="H616" s="37"/>
      <c r="I616" s="79"/>
      <c r="J616" s="70"/>
      <c r="K616" s="57"/>
      <c r="L616" s="11"/>
      <c r="M616" s="41"/>
      <c r="N616" s="11"/>
    </row>
    <row r="617" spans="8:14" x14ac:dyDescent="0.25">
      <c r="H617" s="37"/>
      <c r="I617" s="79"/>
      <c r="J617" s="70"/>
      <c r="K617" s="57"/>
      <c r="L617" s="11"/>
      <c r="M617" s="41"/>
      <c r="N617" s="11"/>
    </row>
    <row r="618" spans="8:14" x14ac:dyDescent="0.25">
      <c r="H618" s="37"/>
      <c r="I618" s="79"/>
      <c r="J618" s="70"/>
      <c r="K618" s="57"/>
      <c r="L618" s="11"/>
      <c r="M618" s="41"/>
      <c r="N618" s="11"/>
    </row>
    <row r="619" spans="8:14" x14ac:dyDescent="0.25">
      <c r="H619" s="37"/>
      <c r="I619" s="79"/>
      <c r="J619" s="70"/>
      <c r="K619" s="57"/>
      <c r="L619" s="11"/>
      <c r="M619" s="41"/>
      <c r="N619" s="11"/>
    </row>
    <row r="620" spans="8:14" x14ac:dyDescent="0.25">
      <c r="H620" s="37"/>
      <c r="I620" s="79"/>
      <c r="J620" s="70"/>
      <c r="K620" s="57"/>
      <c r="L620" s="11"/>
      <c r="M620" s="41"/>
      <c r="N620" s="11"/>
    </row>
    <row r="621" spans="8:14" x14ac:dyDescent="0.25">
      <c r="H621" s="37"/>
      <c r="I621" s="79"/>
      <c r="J621" s="70"/>
      <c r="K621" s="57"/>
      <c r="L621" s="11"/>
      <c r="M621" s="41"/>
      <c r="N621" s="11"/>
    </row>
    <row r="622" spans="8:14" x14ac:dyDescent="0.25">
      <c r="H622" s="37"/>
      <c r="I622" s="79"/>
      <c r="J622" s="70"/>
      <c r="K622" s="57"/>
      <c r="L622" s="11"/>
      <c r="M622" s="41"/>
      <c r="N622" s="11"/>
    </row>
    <row r="623" spans="8:14" x14ac:dyDescent="0.25">
      <c r="H623" s="37"/>
      <c r="I623" s="79"/>
      <c r="J623" s="70"/>
      <c r="K623" s="57"/>
      <c r="L623" s="11"/>
      <c r="M623" s="41"/>
      <c r="N623" s="11"/>
    </row>
    <row r="624" spans="8:14" x14ac:dyDescent="0.25">
      <c r="H624" s="37"/>
      <c r="I624" s="79"/>
      <c r="J624" s="70"/>
      <c r="K624" s="57"/>
      <c r="L624" s="11"/>
      <c r="M624" s="41"/>
      <c r="N624" s="11"/>
    </row>
    <row r="625" spans="8:14" x14ac:dyDescent="0.25">
      <c r="H625" s="37"/>
      <c r="I625" s="79"/>
      <c r="J625" s="70"/>
      <c r="K625" s="57"/>
      <c r="L625" s="11"/>
      <c r="M625" s="41"/>
      <c r="N625" s="11"/>
    </row>
    <row r="626" spans="8:14" x14ac:dyDescent="0.25">
      <c r="H626" s="37"/>
      <c r="I626" s="79"/>
      <c r="J626" s="70"/>
      <c r="K626" s="57"/>
      <c r="L626" s="11"/>
      <c r="M626" s="41"/>
      <c r="N626" s="11"/>
    </row>
    <row r="627" spans="8:14" x14ac:dyDescent="0.25">
      <c r="H627" s="37"/>
      <c r="I627" s="79"/>
      <c r="J627" s="70"/>
      <c r="K627" s="57"/>
      <c r="L627" s="11"/>
      <c r="M627" s="41"/>
      <c r="N627" s="11"/>
    </row>
    <row r="628" spans="8:14" x14ac:dyDescent="0.25">
      <c r="H628" s="37"/>
      <c r="I628" s="79"/>
      <c r="J628" s="70"/>
      <c r="K628" s="57"/>
      <c r="L628" s="11"/>
      <c r="M628" s="41"/>
      <c r="N628" s="11"/>
    </row>
    <row r="629" spans="8:14" x14ac:dyDescent="0.25">
      <c r="H629" s="37"/>
      <c r="I629" s="79"/>
      <c r="J629" s="70"/>
      <c r="K629" s="57"/>
      <c r="L629" s="11"/>
      <c r="M629" s="41"/>
      <c r="N629" s="11"/>
    </row>
    <row r="630" spans="8:14" x14ac:dyDescent="0.25">
      <c r="H630" s="37"/>
      <c r="I630" s="79"/>
      <c r="J630" s="70"/>
      <c r="K630" s="57"/>
      <c r="L630" s="11"/>
      <c r="M630" s="41"/>
      <c r="N630" s="11"/>
    </row>
    <row r="631" spans="8:14" x14ac:dyDescent="0.25">
      <c r="H631" s="37"/>
      <c r="I631" s="79"/>
      <c r="J631" s="70"/>
      <c r="K631" s="57"/>
      <c r="L631" s="11"/>
      <c r="M631" s="41"/>
      <c r="N631" s="11"/>
    </row>
    <row r="632" spans="8:14" x14ac:dyDescent="0.25">
      <c r="H632" s="37"/>
      <c r="I632" s="79"/>
      <c r="J632" s="70"/>
      <c r="K632" s="57"/>
      <c r="L632" s="11"/>
      <c r="M632" s="41"/>
      <c r="N632" s="11"/>
    </row>
    <row r="633" spans="8:14" x14ac:dyDescent="0.25">
      <c r="H633" s="37"/>
      <c r="I633" s="79"/>
      <c r="J633" s="70"/>
      <c r="K633" s="57"/>
      <c r="L633" s="11"/>
      <c r="M633" s="41"/>
      <c r="N633" s="11"/>
    </row>
    <row r="634" spans="8:14" x14ac:dyDescent="0.25">
      <c r="H634" s="37"/>
      <c r="I634" s="79"/>
      <c r="J634" s="70"/>
      <c r="K634" s="57"/>
      <c r="L634" s="11"/>
      <c r="M634" s="41"/>
      <c r="N634" s="11"/>
    </row>
    <row r="635" spans="8:14" x14ac:dyDescent="0.25">
      <c r="H635" s="37"/>
      <c r="I635" s="79"/>
      <c r="J635" s="70"/>
      <c r="K635" s="57"/>
      <c r="L635" s="11"/>
      <c r="M635" s="41"/>
      <c r="N635" s="11"/>
    </row>
    <row r="636" spans="8:14" x14ac:dyDescent="0.25">
      <c r="H636" s="37"/>
      <c r="I636" s="79"/>
      <c r="J636" s="70"/>
      <c r="K636" s="57"/>
      <c r="L636" s="11"/>
      <c r="M636" s="41"/>
      <c r="N636" s="11"/>
    </row>
    <row r="637" spans="8:14" x14ac:dyDescent="0.25">
      <c r="H637" s="37"/>
      <c r="I637" s="79"/>
      <c r="J637" s="70"/>
      <c r="K637" s="57"/>
      <c r="L637" s="11"/>
      <c r="M637" s="41"/>
      <c r="N637" s="11"/>
    </row>
    <row r="638" spans="8:14" x14ac:dyDescent="0.25">
      <c r="H638" s="37"/>
      <c r="I638" s="79"/>
      <c r="J638" s="70"/>
      <c r="K638" s="57"/>
      <c r="L638" s="11"/>
      <c r="M638" s="41"/>
      <c r="N638" s="11"/>
    </row>
    <row r="639" spans="8:14" x14ac:dyDescent="0.25">
      <c r="H639" s="37"/>
      <c r="I639" s="79"/>
      <c r="J639" s="70"/>
      <c r="K639" s="57"/>
      <c r="L639" s="11"/>
      <c r="M639" s="41"/>
      <c r="N639" s="11"/>
    </row>
    <row r="640" spans="8:14" x14ac:dyDescent="0.25">
      <c r="H640" s="37"/>
      <c r="I640" s="79"/>
      <c r="J640" s="70"/>
      <c r="K640" s="57"/>
      <c r="L640" s="11"/>
      <c r="M640" s="41"/>
      <c r="N640" s="11"/>
    </row>
    <row r="641" spans="8:14" x14ac:dyDescent="0.25">
      <c r="H641" s="37"/>
      <c r="I641" s="79"/>
      <c r="J641" s="70"/>
      <c r="K641" s="57"/>
      <c r="L641" s="11"/>
      <c r="M641" s="41"/>
      <c r="N641" s="11"/>
    </row>
    <row r="642" spans="8:14" x14ac:dyDescent="0.25">
      <c r="H642" s="37"/>
      <c r="I642" s="79"/>
      <c r="J642" s="70"/>
      <c r="K642" s="57"/>
      <c r="L642" s="11"/>
      <c r="M642" s="41"/>
      <c r="N642" s="11"/>
    </row>
    <row r="643" spans="8:14" x14ac:dyDescent="0.25">
      <c r="H643" s="37"/>
      <c r="I643" s="79"/>
      <c r="J643" s="70"/>
      <c r="K643" s="57"/>
      <c r="L643" s="11"/>
      <c r="M643" s="41"/>
      <c r="N643" s="11"/>
    </row>
    <row r="644" spans="8:14" x14ac:dyDescent="0.25">
      <c r="H644" s="37"/>
      <c r="I644" s="79"/>
      <c r="J644" s="70"/>
      <c r="K644" s="57"/>
      <c r="L644" s="11"/>
      <c r="M644" s="41"/>
      <c r="N644" s="11"/>
    </row>
    <row r="645" spans="8:14" x14ac:dyDescent="0.25">
      <c r="H645" s="37"/>
      <c r="I645" s="79"/>
      <c r="J645" s="70"/>
      <c r="K645" s="57"/>
      <c r="L645" s="11"/>
      <c r="M645" s="41"/>
      <c r="N645" s="11"/>
    </row>
    <row r="646" spans="8:14" x14ac:dyDescent="0.25">
      <c r="H646" s="37"/>
      <c r="I646" s="79"/>
      <c r="J646" s="70"/>
      <c r="K646" s="57"/>
      <c r="L646" s="11"/>
      <c r="M646" s="41"/>
      <c r="N646" s="11"/>
    </row>
    <row r="647" spans="8:14" x14ac:dyDescent="0.25">
      <c r="H647" s="37"/>
      <c r="I647" s="79"/>
      <c r="J647" s="70"/>
      <c r="K647" s="57"/>
      <c r="L647" s="11"/>
      <c r="M647" s="41"/>
      <c r="N647" s="11"/>
    </row>
    <row r="648" spans="8:14" x14ac:dyDescent="0.25">
      <c r="H648" s="37"/>
      <c r="I648" s="79"/>
      <c r="J648" s="70"/>
      <c r="K648" s="57"/>
      <c r="L648" s="11"/>
      <c r="M648" s="41"/>
      <c r="N648" s="11"/>
    </row>
    <row r="649" spans="8:14" x14ac:dyDescent="0.25">
      <c r="H649" s="37"/>
      <c r="I649" s="79"/>
      <c r="J649" s="70"/>
      <c r="K649" s="57"/>
      <c r="L649" s="11"/>
      <c r="M649" s="41"/>
      <c r="N649" s="11"/>
    </row>
    <row r="650" spans="8:14" x14ac:dyDescent="0.25">
      <c r="H650" s="37"/>
      <c r="I650" s="79"/>
      <c r="J650" s="70"/>
      <c r="K650" s="57"/>
      <c r="L650" s="11"/>
      <c r="M650" s="41"/>
      <c r="N650" s="11"/>
    </row>
    <row r="651" spans="8:14" x14ac:dyDescent="0.25">
      <c r="H651" s="37"/>
      <c r="I651" s="79"/>
      <c r="J651" s="70"/>
      <c r="K651" s="57"/>
      <c r="L651" s="11"/>
      <c r="M651" s="41"/>
      <c r="N651" s="11"/>
    </row>
    <row r="652" spans="8:14" x14ac:dyDescent="0.25">
      <c r="H652" s="37"/>
      <c r="I652" s="79"/>
      <c r="J652" s="70"/>
      <c r="K652" s="57"/>
      <c r="L652" s="11"/>
      <c r="M652" s="41"/>
      <c r="N652" s="11"/>
    </row>
    <row r="653" spans="8:14" x14ac:dyDescent="0.25">
      <c r="H653" s="37"/>
      <c r="I653" s="79"/>
      <c r="J653" s="70"/>
      <c r="K653" s="57"/>
      <c r="L653" s="11"/>
      <c r="M653" s="41"/>
      <c r="N653" s="11"/>
    </row>
    <row r="654" spans="8:14" x14ac:dyDescent="0.25">
      <c r="H654" s="37"/>
      <c r="I654" s="79"/>
      <c r="J654" s="70"/>
      <c r="K654" s="57"/>
      <c r="L654" s="11"/>
      <c r="M654" s="41"/>
      <c r="N654" s="11"/>
    </row>
    <row r="655" spans="8:14" x14ac:dyDescent="0.25">
      <c r="H655" s="37"/>
      <c r="I655" s="79"/>
      <c r="J655" s="70"/>
      <c r="K655" s="57"/>
      <c r="L655" s="11"/>
      <c r="M655" s="41"/>
      <c r="N655" s="11"/>
    </row>
    <row r="656" spans="8:14" x14ac:dyDescent="0.25">
      <c r="H656" s="37"/>
      <c r="I656" s="79"/>
      <c r="J656" s="70"/>
      <c r="K656" s="57"/>
      <c r="L656" s="11"/>
      <c r="M656" s="41"/>
      <c r="N656" s="11"/>
    </row>
    <row r="657" spans="8:14" x14ac:dyDescent="0.25">
      <c r="H657" s="37"/>
      <c r="I657" s="79"/>
      <c r="J657" s="70"/>
      <c r="K657" s="57"/>
      <c r="L657" s="11"/>
      <c r="M657" s="41"/>
      <c r="N657" s="11"/>
    </row>
    <row r="658" spans="8:14" x14ac:dyDescent="0.25">
      <c r="H658" s="37"/>
      <c r="I658" s="79"/>
      <c r="J658" s="70"/>
      <c r="K658" s="57"/>
      <c r="L658" s="11"/>
      <c r="M658" s="41"/>
      <c r="N658" s="11"/>
    </row>
    <row r="659" spans="8:14" x14ac:dyDescent="0.25">
      <c r="H659" s="37"/>
      <c r="I659" s="79"/>
      <c r="J659" s="70"/>
      <c r="K659" s="57"/>
      <c r="L659" s="11"/>
      <c r="M659" s="41"/>
      <c r="N659" s="11"/>
    </row>
    <row r="660" spans="8:14" x14ac:dyDescent="0.25">
      <c r="H660" s="37"/>
      <c r="I660" s="79"/>
      <c r="J660" s="70"/>
      <c r="K660" s="57"/>
      <c r="L660" s="11"/>
      <c r="M660" s="41"/>
      <c r="N660" s="11"/>
    </row>
    <row r="661" spans="8:14" x14ac:dyDescent="0.25">
      <c r="H661" s="37"/>
      <c r="I661" s="79"/>
      <c r="J661" s="70"/>
      <c r="K661" s="57"/>
      <c r="L661" s="11"/>
      <c r="M661" s="41"/>
      <c r="N661" s="11"/>
    </row>
    <row r="662" spans="8:14" x14ac:dyDescent="0.25">
      <c r="H662" s="37"/>
      <c r="I662" s="79"/>
      <c r="J662" s="70"/>
      <c r="K662" s="57"/>
      <c r="L662" s="11"/>
      <c r="M662" s="41"/>
      <c r="N662" s="11"/>
    </row>
    <row r="663" spans="8:14" x14ac:dyDescent="0.25">
      <c r="H663" s="37"/>
      <c r="I663" s="79"/>
      <c r="J663" s="70"/>
      <c r="K663" s="57"/>
      <c r="L663" s="11"/>
      <c r="M663" s="41"/>
      <c r="N663" s="11"/>
    </row>
    <row r="664" spans="8:14" x14ac:dyDescent="0.25">
      <c r="H664" s="37"/>
      <c r="I664" s="79"/>
      <c r="J664" s="70"/>
      <c r="K664" s="57"/>
      <c r="L664" s="11"/>
      <c r="M664" s="41"/>
      <c r="N664" s="11"/>
    </row>
    <row r="665" spans="8:14" x14ac:dyDescent="0.25">
      <c r="H665" s="37"/>
      <c r="I665" s="79"/>
      <c r="J665" s="70"/>
      <c r="K665" s="57"/>
      <c r="L665" s="11"/>
      <c r="M665" s="41"/>
      <c r="N665" s="11"/>
    </row>
    <row r="666" spans="8:14" x14ac:dyDescent="0.25">
      <c r="H666" s="37"/>
      <c r="I666" s="79"/>
      <c r="J666" s="70"/>
      <c r="K666" s="57"/>
      <c r="L666" s="11"/>
      <c r="M666" s="41"/>
      <c r="N666" s="11"/>
    </row>
    <row r="667" spans="8:14" x14ac:dyDescent="0.25">
      <c r="H667" s="37"/>
      <c r="I667" s="79"/>
      <c r="J667" s="70"/>
      <c r="K667" s="57"/>
      <c r="L667" s="11"/>
      <c r="M667" s="41"/>
      <c r="N667" s="11"/>
    </row>
    <row r="668" spans="8:14" x14ac:dyDescent="0.25">
      <c r="H668" s="37"/>
      <c r="I668" s="79"/>
      <c r="J668" s="70"/>
      <c r="K668" s="57"/>
      <c r="L668" s="11"/>
      <c r="M668" s="41"/>
      <c r="N668" s="11"/>
    </row>
    <row r="669" spans="8:14" x14ac:dyDescent="0.25">
      <c r="H669" s="37"/>
      <c r="I669" s="79"/>
      <c r="J669" s="70"/>
      <c r="K669" s="57"/>
      <c r="L669" s="11"/>
      <c r="M669" s="41"/>
      <c r="N669" s="11"/>
    </row>
    <row r="670" spans="8:14" x14ac:dyDescent="0.25">
      <c r="H670" s="37"/>
      <c r="I670" s="79"/>
      <c r="J670" s="70"/>
      <c r="K670" s="57"/>
      <c r="L670" s="11"/>
      <c r="M670" s="41"/>
      <c r="N670" s="11"/>
    </row>
    <row r="671" spans="8:14" x14ac:dyDescent="0.25">
      <c r="H671" s="37"/>
      <c r="I671" s="79"/>
      <c r="J671" s="70"/>
      <c r="K671" s="57"/>
      <c r="L671" s="11"/>
      <c r="M671" s="41"/>
      <c r="N671" s="11"/>
    </row>
    <row r="672" spans="8:14" x14ac:dyDescent="0.25">
      <c r="H672" s="37"/>
      <c r="I672" s="79"/>
      <c r="J672" s="70"/>
      <c r="K672" s="57"/>
      <c r="L672" s="11"/>
      <c r="M672" s="41"/>
      <c r="N672" s="11"/>
    </row>
    <row r="673" spans="8:14" x14ac:dyDescent="0.25">
      <c r="H673" s="37"/>
      <c r="I673" s="79"/>
      <c r="J673" s="70"/>
      <c r="K673" s="57"/>
      <c r="L673" s="11"/>
      <c r="M673" s="41"/>
      <c r="N673" s="11"/>
    </row>
    <row r="674" spans="8:14" x14ac:dyDescent="0.25">
      <c r="H674" s="37"/>
      <c r="I674" s="79"/>
      <c r="J674" s="70"/>
      <c r="K674" s="57"/>
      <c r="L674" s="11"/>
      <c r="M674" s="41"/>
      <c r="N674" s="11"/>
    </row>
    <row r="675" spans="8:14" x14ac:dyDescent="0.25">
      <c r="H675" s="37"/>
      <c r="I675" s="79"/>
      <c r="J675" s="70"/>
      <c r="K675" s="57"/>
      <c r="L675" s="11"/>
      <c r="M675" s="41"/>
      <c r="N675" s="11"/>
    </row>
    <row r="676" spans="8:14" x14ac:dyDescent="0.25">
      <c r="H676" s="37"/>
      <c r="I676" s="79"/>
      <c r="J676" s="70"/>
      <c r="K676" s="57"/>
      <c r="L676" s="11"/>
      <c r="M676" s="41"/>
      <c r="N676" s="11"/>
    </row>
    <row r="677" spans="8:14" x14ac:dyDescent="0.25">
      <c r="H677" s="37"/>
      <c r="I677" s="79"/>
      <c r="J677" s="70"/>
      <c r="K677" s="57"/>
      <c r="L677" s="11"/>
      <c r="M677" s="41"/>
      <c r="N677" s="11"/>
    </row>
    <row r="678" spans="8:14" x14ac:dyDescent="0.25">
      <c r="H678" s="37"/>
      <c r="I678" s="79"/>
      <c r="J678" s="70"/>
      <c r="K678" s="57"/>
      <c r="L678" s="11"/>
      <c r="M678" s="41"/>
      <c r="N678" s="11"/>
    </row>
    <row r="679" spans="8:14" x14ac:dyDescent="0.25">
      <c r="H679" s="37"/>
      <c r="I679" s="79"/>
      <c r="J679" s="70"/>
      <c r="K679" s="57"/>
      <c r="L679" s="11"/>
      <c r="M679" s="41"/>
      <c r="N679" s="11"/>
    </row>
    <row r="680" spans="8:14" x14ac:dyDescent="0.25">
      <c r="H680" s="37"/>
      <c r="I680" s="79"/>
      <c r="J680" s="70"/>
      <c r="K680" s="57"/>
      <c r="L680" s="11"/>
      <c r="M680" s="41"/>
      <c r="N680" s="11"/>
    </row>
    <row r="681" spans="8:14" x14ac:dyDescent="0.25">
      <c r="H681" s="37"/>
      <c r="I681" s="79"/>
      <c r="J681" s="70"/>
      <c r="K681" s="57"/>
      <c r="L681" s="11"/>
      <c r="M681" s="41"/>
      <c r="N681" s="11"/>
    </row>
    <row r="682" spans="8:14" x14ac:dyDescent="0.25">
      <c r="H682" s="37"/>
      <c r="I682" s="79"/>
      <c r="J682" s="70"/>
      <c r="K682" s="57"/>
      <c r="L682" s="11"/>
      <c r="M682" s="41"/>
      <c r="N682" s="11"/>
    </row>
    <row r="683" spans="8:14" x14ac:dyDescent="0.25">
      <c r="H683" s="37"/>
      <c r="I683" s="79"/>
      <c r="J683" s="70"/>
      <c r="K683" s="57"/>
      <c r="L683" s="11"/>
      <c r="M683" s="41"/>
      <c r="N683" s="11"/>
    </row>
    <row r="684" spans="8:14" x14ac:dyDescent="0.25">
      <c r="H684" s="37"/>
      <c r="I684" s="79"/>
      <c r="J684" s="70"/>
      <c r="K684" s="57"/>
      <c r="L684" s="11"/>
      <c r="M684" s="41"/>
      <c r="N684" s="11"/>
    </row>
    <row r="685" spans="8:14" x14ac:dyDescent="0.25">
      <c r="H685" s="37"/>
      <c r="I685" s="79"/>
      <c r="J685" s="70"/>
      <c r="K685" s="57"/>
      <c r="L685" s="11"/>
      <c r="M685" s="41"/>
      <c r="N685" s="11"/>
    </row>
    <row r="686" spans="8:14" x14ac:dyDescent="0.25">
      <c r="H686" s="37"/>
      <c r="I686" s="79"/>
      <c r="J686" s="70"/>
      <c r="K686" s="57"/>
      <c r="L686" s="11"/>
      <c r="M686" s="41"/>
      <c r="N686" s="11"/>
    </row>
    <row r="687" spans="8:14" x14ac:dyDescent="0.25">
      <c r="H687" s="37"/>
      <c r="I687" s="79"/>
      <c r="J687" s="70"/>
      <c r="K687" s="57"/>
      <c r="L687" s="11"/>
      <c r="M687" s="41"/>
      <c r="N687" s="11"/>
    </row>
    <row r="688" spans="8:14" x14ac:dyDescent="0.25">
      <c r="H688" s="37"/>
      <c r="I688" s="79"/>
      <c r="J688" s="70"/>
      <c r="K688" s="57"/>
      <c r="L688" s="11"/>
      <c r="M688" s="41"/>
      <c r="N688" s="11"/>
    </row>
    <row r="689" spans="8:14" x14ac:dyDescent="0.25">
      <c r="H689" s="37"/>
      <c r="I689" s="79"/>
      <c r="J689" s="70"/>
      <c r="K689" s="57"/>
      <c r="L689" s="11"/>
      <c r="M689" s="41"/>
      <c r="N689" s="11"/>
    </row>
    <row r="690" spans="8:14" x14ac:dyDescent="0.25">
      <c r="H690" s="37"/>
      <c r="I690" s="79"/>
      <c r="J690" s="70"/>
      <c r="K690" s="57"/>
      <c r="L690" s="11"/>
      <c r="M690" s="41"/>
      <c r="N690" s="11"/>
    </row>
    <row r="691" spans="8:14" x14ac:dyDescent="0.25">
      <c r="H691" s="37"/>
      <c r="I691" s="79"/>
      <c r="J691" s="70"/>
      <c r="K691" s="57"/>
      <c r="L691" s="11"/>
      <c r="M691" s="41"/>
      <c r="N691" s="11"/>
    </row>
    <row r="692" spans="8:14" x14ac:dyDescent="0.25">
      <c r="H692" s="37"/>
      <c r="I692" s="79"/>
      <c r="J692" s="70"/>
      <c r="K692" s="57"/>
      <c r="L692" s="11"/>
      <c r="M692" s="41"/>
      <c r="N692" s="11"/>
    </row>
    <row r="693" spans="8:14" x14ac:dyDescent="0.25">
      <c r="H693" s="37"/>
      <c r="I693" s="79"/>
      <c r="J693" s="70"/>
      <c r="K693" s="57"/>
      <c r="L693" s="11"/>
      <c r="M693" s="41"/>
      <c r="N693" s="11"/>
    </row>
    <row r="694" spans="8:14" x14ac:dyDescent="0.25">
      <c r="H694" s="37"/>
      <c r="I694" s="79"/>
      <c r="J694" s="70"/>
      <c r="K694" s="57"/>
      <c r="L694" s="11"/>
      <c r="M694" s="41"/>
      <c r="N694" s="11"/>
    </row>
    <row r="695" spans="8:14" x14ac:dyDescent="0.25">
      <c r="H695" s="37"/>
      <c r="I695" s="79"/>
      <c r="J695" s="70"/>
      <c r="K695" s="57"/>
      <c r="L695" s="11"/>
      <c r="M695" s="41"/>
      <c r="N695" s="11"/>
    </row>
    <row r="696" spans="8:14" x14ac:dyDescent="0.25">
      <c r="H696" s="37"/>
      <c r="I696" s="79"/>
      <c r="J696" s="70"/>
      <c r="K696" s="57"/>
      <c r="L696" s="11"/>
      <c r="M696" s="41"/>
      <c r="N696" s="11"/>
    </row>
    <row r="697" spans="8:14" x14ac:dyDescent="0.25">
      <c r="H697" s="37"/>
      <c r="I697" s="79"/>
      <c r="J697" s="70"/>
      <c r="K697" s="57"/>
      <c r="L697" s="11"/>
      <c r="M697" s="41"/>
      <c r="N697" s="11"/>
    </row>
    <row r="698" spans="8:14" x14ac:dyDescent="0.25">
      <c r="H698" s="37"/>
      <c r="I698" s="79"/>
      <c r="J698" s="70"/>
      <c r="K698" s="57"/>
      <c r="L698" s="11"/>
      <c r="M698" s="41"/>
      <c r="N698" s="11"/>
    </row>
    <row r="699" spans="8:14" x14ac:dyDescent="0.25">
      <c r="H699" s="37"/>
      <c r="I699" s="79"/>
      <c r="J699" s="70"/>
      <c r="K699" s="57"/>
      <c r="L699" s="11"/>
      <c r="M699" s="41"/>
      <c r="N699" s="11"/>
    </row>
    <row r="700" spans="8:14" x14ac:dyDescent="0.25">
      <c r="H700" s="37"/>
      <c r="I700" s="79"/>
      <c r="J700" s="70"/>
      <c r="K700" s="57"/>
      <c r="L700" s="11"/>
      <c r="M700" s="41"/>
      <c r="N700" s="11"/>
    </row>
    <row r="701" spans="8:14" x14ac:dyDescent="0.25">
      <c r="H701" s="37"/>
      <c r="I701" s="79"/>
      <c r="J701" s="70"/>
      <c r="K701" s="57"/>
      <c r="L701" s="11"/>
      <c r="M701" s="41"/>
      <c r="N701" s="11"/>
    </row>
    <row r="702" spans="8:14" x14ac:dyDescent="0.25">
      <c r="H702" s="37"/>
      <c r="I702" s="79"/>
      <c r="J702" s="70"/>
      <c r="K702" s="57"/>
      <c r="L702" s="11"/>
      <c r="M702" s="41"/>
      <c r="N702" s="11"/>
    </row>
    <row r="703" spans="8:14" x14ac:dyDescent="0.25">
      <c r="H703" s="37"/>
      <c r="I703" s="79"/>
      <c r="J703" s="70"/>
      <c r="K703" s="57"/>
      <c r="L703" s="11"/>
      <c r="M703" s="41"/>
      <c r="N703" s="11"/>
    </row>
    <row r="704" spans="8:14" x14ac:dyDescent="0.25">
      <c r="H704" s="37"/>
      <c r="I704" s="79"/>
      <c r="J704" s="70"/>
      <c r="K704" s="57"/>
      <c r="L704" s="11"/>
      <c r="M704" s="41"/>
      <c r="N704" s="11"/>
    </row>
    <row r="705" spans="8:14" x14ac:dyDescent="0.25">
      <c r="H705" s="37"/>
      <c r="I705" s="79"/>
      <c r="J705" s="70"/>
      <c r="K705" s="57"/>
      <c r="L705" s="11"/>
      <c r="M705" s="41"/>
      <c r="N705" s="11"/>
    </row>
    <row r="706" spans="8:14" x14ac:dyDescent="0.25">
      <c r="H706" s="37"/>
      <c r="I706" s="79"/>
      <c r="J706" s="70"/>
      <c r="K706" s="57"/>
      <c r="L706" s="11"/>
      <c r="M706" s="41"/>
      <c r="N706" s="11"/>
    </row>
    <row r="707" spans="8:14" x14ac:dyDescent="0.25">
      <c r="H707" s="37"/>
      <c r="I707" s="79"/>
      <c r="J707" s="70"/>
      <c r="K707" s="57"/>
      <c r="L707" s="11"/>
      <c r="M707" s="41"/>
      <c r="N707" s="11"/>
    </row>
    <row r="708" spans="8:14" x14ac:dyDescent="0.25">
      <c r="H708" s="37"/>
      <c r="I708" s="79"/>
      <c r="J708" s="70"/>
      <c r="K708" s="57"/>
      <c r="L708" s="11"/>
      <c r="M708" s="41"/>
      <c r="N708" s="11"/>
    </row>
    <row r="709" spans="8:14" x14ac:dyDescent="0.25">
      <c r="H709" s="37"/>
      <c r="I709" s="79"/>
      <c r="J709" s="70"/>
      <c r="K709" s="57"/>
      <c r="L709" s="11"/>
      <c r="M709" s="41"/>
      <c r="N709" s="11"/>
    </row>
    <row r="710" spans="8:14" x14ac:dyDescent="0.25">
      <c r="H710" s="37"/>
      <c r="I710" s="79"/>
      <c r="J710" s="70"/>
      <c r="K710" s="57"/>
      <c r="L710" s="11"/>
      <c r="M710" s="41"/>
      <c r="N710" s="11"/>
    </row>
    <row r="711" spans="8:14" x14ac:dyDescent="0.25">
      <c r="H711" s="37"/>
      <c r="I711" s="79"/>
      <c r="J711" s="70"/>
      <c r="K711" s="57"/>
      <c r="L711" s="11"/>
      <c r="M711" s="41"/>
      <c r="N711" s="11"/>
    </row>
    <row r="712" spans="8:14" x14ac:dyDescent="0.25">
      <c r="H712" s="37"/>
      <c r="I712" s="79"/>
      <c r="J712" s="70"/>
      <c r="K712" s="57"/>
      <c r="L712" s="11"/>
      <c r="M712" s="41"/>
      <c r="N712" s="11"/>
    </row>
    <row r="713" spans="8:14" x14ac:dyDescent="0.25">
      <c r="H713" s="37"/>
      <c r="I713" s="79"/>
      <c r="J713" s="70"/>
      <c r="K713" s="57"/>
      <c r="L713" s="11"/>
      <c r="M713" s="41"/>
      <c r="N713" s="11"/>
    </row>
    <row r="714" spans="8:14" x14ac:dyDescent="0.25">
      <c r="H714" s="37"/>
      <c r="I714" s="79"/>
      <c r="J714" s="70"/>
      <c r="K714" s="57"/>
      <c r="L714" s="11"/>
      <c r="M714" s="41"/>
      <c r="N714" s="11"/>
    </row>
    <row r="715" spans="8:14" x14ac:dyDescent="0.25">
      <c r="H715" s="37"/>
      <c r="I715" s="79"/>
      <c r="J715" s="70"/>
      <c r="K715" s="57"/>
      <c r="L715" s="11"/>
      <c r="M715" s="41"/>
      <c r="N715" s="11"/>
    </row>
    <row r="716" spans="8:14" x14ac:dyDescent="0.25">
      <c r="H716" s="37"/>
      <c r="I716" s="79"/>
      <c r="J716" s="70"/>
      <c r="K716" s="57"/>
      <c r="L716" s="11"/>
      <c r="M716" s="41"/>
      <c r="N716" s="11"/>
    </row>
    <row r="717" spans="8:14" x14ac:dyDescent="0.25">
      <c r="H717" s="37"/>
      <c r="I717" s="79"/>
      <c r="J717" s="70"/>
      <c r="K717" s="57"/>
      <c r="L717" s="11"/>
      <c r="M717" s="41"/>
      <c r="N717" s="11"/>
    </row>
    <row r="718" spans="8:14" x14ac:dyDescent="0.25">
      <c r="H718" s="37"/>
      <c r="I718" s="79"/>
      <c r="J718" s="70"/>
      <c r="K718" s="57"/>
      <c r="L718" s="11"/>
      <c r="M718" s="41"/>
      <c r="N718" s="11"/>
    </row>
    <row r="719" spans="8:14" x14ac:dyDescent="0.25">
      <c r="H719" s="37"/>
      <c r="I719" s="79"/>
      <c r="J719" s="70"/>
      <c r="K719" s="57"/>
      <c r="L719" s="11"/>
      <c r="M719" s="41"/>
      <c r="N719" s="11"/>
    </row>
    <row r="720" spans="8:14" x14ac:dyDescent="0.25">
      <c r="H720" s="37"/>
      <c r="I720" s="79"/>
      <c r="J720" s="70"/>
      <c r="K720" s="57"/>
      <c r="L720" s="11"/>
      <c r="M720" s="41"/>
      <c r="N720" s="11"/>
    </row>
    <row r="721" spans="8:14" x14ac:dyDescent="0.25">
      <c r="H721" s="37"/>
      <c r="I721" s="79"/>
      <c r="J721" s="70"/>
      <c r="K721" s="57"/>
      <c r="L721" s="11"/>
      <c r="M721" s="41"/>
      <c r="N721" s="11"/>
    </row>
    <row r="722" spans="8:14" x14ac:dyDescent="0.25">
      <c r="H722" s="37"/>
      <c r="I722" s="79"/>
      <c r="J722" s="70"/>
      <c r="K722" s="57"/>
      <c r="L722" s="11"/>
      <c r="M722" s="41"/>
      <c r="N722" s="11"/>
    </row>
    <row r="723" spans="8:14" x14ac:dyDescent="0.25">
      <c r="H723" s="37"/>
      <c r="I723" s="79"/>
      <c r="J723" s="70"/>
      <c r="K723" s="57"/>
      <c r="L723" s="11"/>
      <c r="M723" s="41"/>
      <c r="N723" s="11"/>
    </row>
    <row r="724" spans="8:14" x14ac:dyDescent="0.25">
      <c r="H724" s="37"/>
      <c r="I724" s="79"/>
      <c r="J724" s="70"/>
      <c r="K724" s="57"/>
      <c r="L724" s="11"/>
      <c r="M724" s="41"/>
      <c r="N724" s="11"/>
    </row>
    <row r="725" spans="8:14" x14ac:dyDescent="0.25">
      <c r="H725" s="37"/>
      <c r="I725" s="79"/>
      <c r="J725" s="70"/>
      <c r="K725" s="57"/>
      <c r="L725" s="11"/>
      <c r="M725" s="41"/>
      <c r="N725" s="11"/>
    </row>
    <row r="726" spans="8:14" x14ac:dyDescent="0.25">
      <c r="H726" s="37"/>
      <c r="I726" s="79"/>
      <c r="J726" s="70"/>
      <c r="K726" s="57"/>
      <c r="L726" s="11"/>
      <c r="M726" s="41"/>
      <c r="N726" s="11"/>
    </row>
    <row r="727" spans="8:14" x14ac:dyDescent="0.25">
      <c r="H727" s="37"/>
      <c r="I727" s="79"/>
      <c r="J727" s="70"/>
      <c r="K727" s="57"/>
      <c r="L727" s="11"/>
      <c r="M727" s="41"/>
      <c r="N727" s="11"/>
    </row>
    <row r="728" spans="8:14" x14ac:dyDescent="0.25">
      <c r="H728" s="37"/>
      <c r="I728" s="79"/>
      <c r="J728" s="70"/>
      <c r="K728" s="57"/>
      <c r="L728" s="11"/>
      <c r="M728" s="41"/>
      <c r="N728" s="11"/>
    </row>
    <row r="729" spans="8:14" x14ac:dyDescent="0.25">
      <c r="H729" s="37"/>
      <c r="I729" s="79"/>
      <c r="J729" s="70"/>
      <c r="K729" s="57"/>
      <c r="L729" s="11"/>
      <c r="M729" s="41"/>
      <c r="N729" s="11"/>
    </row>
    <row r="730" spans="8:14" x14ac:dyDescent="0.25">
      <c r="H730" s="37"/>
      <c r="I730" s="79"/>
      <c r="J730" s="70"/>
      <c r="K730" s="57"/>
      <c r="L730" s="11"/>
      <c r="M730" s="41"/>
      <c r="N730" s="11"/>
    </row>
    <row r="731" spans="8:14" x14ac:dyDescent="0.25">
      <c r="H731" s="37"/>
      <c r="I731" s="79"/>
      <c r="J731" s="70"/>
      <c r="K731" s="57"/>
      <c r="L731" s="11"/>
      <c r="M731" s="41"/>
      <c r="N731" s="11"/>
    </row>
    <row r="732" spans="8:14" x14ac:dyDescent="0.25">
      <c r="H732" s="37"/>
      <c r="I732" s="79"/>
      <c r="J732" s="70"/>
      <c r="K732" s="57"/>
      <c r="L732" s="11"/>
      <c r="M732" s="41"/>
      <c r="N732" s="11"/>
    </row>
    <row r="733" spans="8:14" x14ac:dyDescent="0.25">
      <c r="H733" s="37"/>
      <c r="I733" s="79"/>
      <c r="J733" s="70"/>
      <c r="K733" s="57"/>
      <c r="L733" s="11"/>
      <c r="M733" s="41"/>
      <c r="N733" s="11"/>
    </row>
    <row r="734" spans="8:14" x14ac:dyDescent="0.25">
      <c r="H734" s="37"/>
      <c r="I734" s="79"/>
      <c r="J734" s="70"/>
      <c r="K734" s="57"/>
      <c r="L734" s="11"/>
      <c r="M734" s="41"/>
      <c r="N734" s="11"/>
    </row>
    <row r="735" spans="8:14" x14ac:dyDescent="0.25">
      <c r="H735" s="37"/>
      <c r="I735" s="79"/>
      <c r="J735" s="70"/>
      <c r="K735" s="57"/>
      <c r="L735" s="11"/>
      <c r="M735" s="41"/>
      <c r="N735" s="11"/>
    </row>
    <row r="736" spans="8:14" x14ac:dyDescent="0.25">
      <c r="H736" s="37"/>
      <c r="I736" s="79"/>
      <c r="J736" s="70"/>
      <c r="K736" s="57"/>
      <c r="L736" s="11"/>
      <c r="M736" s="41"/>
      <c r="N736" s="11"/>
    </row>
    <row r="737" spans="8:14" x14ac:dyDescent="0.25">
      <c r="H737" s="37"/>
      <c r="I737" s="79"/>
      <c r="J737" s="70"/>
      <c r="K737" s="57"/>
      <c r="L737" s="11"/>
      <c r="M737" s="41"/>
      <c r="N737" s="11"/>
    </row>
    <row r="738" spans="8:14" x14ac:dyDescent="0.25">
      <c r="H738" s="37"/>
      <c r="I738" s="79"/>
      <c r="J738" s="70"/>
      <c r="K738" s="57"/>
      <c r="L738" s="11"/>
      <c r="M738" s="41"/>
      <c r="N738" s="11"/>
    </row>
    <row r="739" spans="8:14" x14ac:dyDescent="0.25">
      <c r="H739" s="37"/>
      <c r="I739" s="79"/>
      <c r="J739" s="70"/>
      <c r="K739" s="57"/>
      <c r="L739" s="11"/>
      <c r="M739" s="41"/>
      <c r="N739" s="11"/>
    </row>
    <row r="740" spans="8:14" x14ac:dyDescent="0.25">
      <c r="H740" s="37"/>
      <c r="I740" s="79"/>
      <c r="J740" s="70"/>
      <c r="K740" s="57"/>
      <c r="L740" s="11"/>
      <c r="M740" s="41"/>
      <c r="N740" s="11"/>
    </row>
    <row r="741" spans="8:14" x14ac:dyDescent="0.25">
      <c r="H741" s="37"/>
      <c r="I741" s="79"/>
      <c r="J741" s="70"/>
      <c r="K741" s="57"/>
      <c r="L741" s="11"/>
      <c r="M741" s="41"/>
      <c r="N741" s="11"/>
    </row>
    <row r="742" spans="8:14" x14ac:dyDescent="0.25">
      <c r="H742" s="37"/>
      <c r="I742" s="79"/>
      <c r="J742" s="70"/>
      <c r="K742" s="57"/>
      <c r="L742" s="11"/>
      <c r="M742" s="41"/>
      <c r="N742" s="11"/>
    </row>
    <row r="743" spans="8:14" x14ac:dyDescent="0.25">
      <c r="H743" s="37"/>
      <c r="I743" s="79"/>
      <c r="J743" s="70"/>
      <c r="K743" s="57"/>
      <c r="L743" s="11"/>
      <c r="M743" s="41"/>
      <c r="N743" s="11"/>
    </row>
    <row r="744" spans="8:14" x14ac:dyDescent="0.25">
      <c r="H744" s="37"/>
      <c r="I744" s="79"/>
      <c r="J744" s="70"/>
      <c r="K744" s="57"/>
      <c r="L744" s="11"/>
      <c r="M744" s="41"/>
      <c r="N744" s="11"/>
    </row>
    <row r="745" spans="8:14" x14ac:dyDescent="0.25">
      <c r="H745" s="37"/>
      <c r="I745" s="79"/>
      <c r="J745" s="70"/>
      <c r="K745" s="57"/>
      <c r="L745" s="11"/>
      <c r="M745" s="41"/>
      <c r="N745" s="11"/>
    </row>
    <row r="746" spans="8:14" x14ac:dyDescent="0.25">
      <c r="H746" s="37"/>
      <c r="I746" s="79"/>
      <c r="J746" s="70"/>
      <c r="K746" s="57"/>
      <c r="L746" s="11"/>
      <c r="M746" s="41"/>
      <c r="N746" s="11"/>
    </row>
    <row r="747" spans="8:14" x14ac:dyDescent="0.25">
      <c r="H747" s="37"/>
      <c r="I747" s="79"/>
      <c r="J747" s="70"/>
      <c r="K747" s="57"/>
      <c r="L747" s="11"/>
      <c r="M747" s="41"/>
      <c r="N747" s="11"/>
    </row>
    <row r="748" spans="8:14" x14ac:dyDescent="0.25">
      <c r="H748" s="37"/>
      <c r="I748" s="79"/>
      <c r="J748" s="70"/>
      <c r="K748" s="57"/>
      <c r="L748" s="11"/>
      <c r="M748" s="41"/>
      <c r="N748" s="11"/>
    </row>
    <row r="749" spans="8:14" x14ac:dyDescent="0.25">
      <c r="H749" s="37"/>
      <c r="I749" s="79"/>
      <c r="J749" s="70"/>
      <c r="K749" s="57"/>
      <c r="L749" s="11"/>
      <c r="M749" s="41"/>
      <c r="N749" s="11"/>
    </row>
    <row r="750" spans="8:14" x14ac:dyDescent="0.25">
      <c r="H750" s="37"/>
      <c r="I750" s="79"/>
      <c r="J750" s="70"/>
      <c r="K750" s="57"/>
      <c r="L750" s="11"/>
      <c r="M750" s="41"/>
      <c r="N750" s="11"/>
    </row>
    <row r="751" spans="8:14" x14ac:dyDescent="0.25">
      <c r="H751" s="37"/>
      <c r="I751" s="79"/>
      <c r="J751" s="70"/>
      <c r="K751" s="57"/>
      <c r="L751" s="11"/>
      <c r="M751" s="41"/>
      <c r="N751" s="11"/>
    </row>
    <row r="752" spans="8:14" x14ac:dyDescent="0.25">
      <c r="H752" s="37"/>
      <c r="I752" s="79"/>
      <c r="J752" s="70"/>
      <c r="K752" s="57"/>
      <c r="L752" s="11"/>
      <c r="M752" s="41"/>
      <c r="N752" s="11"/>
    </row>
    <row r="753" spans="8:14" x14ac:dyDescent="0.25">
      <c r="H753" s="37"/>
      <c r="I753" s="79"/>
      <c r="J753" s="70"/>
      <c r="K753" s="57"/>
      <c r="L753" s="11"/>
      <c r="M753" s="41"/>
      <c r="N753" s="11"/>
    </row>
    <row r="754" spans="8:14" x14ac:dyDescent="0.25">
      <c r="H754" s="37"/>
      <c r="I754" s="79"/>
      <c r="J754" s="70"/>
      <c r="K754" s="57"/>
      <c r="L754" s="11"/>
      <c r="M754" s="41"/>
      <c r="N754" s="11"/>
    </row>
    <row r="755" spans="8:14" x14ac:dyDescent="0.25">
      <c r="H755" s="37"/>
      <c r="I755" s="79"/>
      <c r="J755" s="70"/>
      <c r="K755" s="57"/>
      <c r="L755" s="11"/>
      <c r="M755" s="41"/>
      <c r="N755" s="11"/>
    </row>
    <row r="756" spans="8:14" x14ac:dyDescent="0.25">
      <c r="H756" s="37"/>
      <c r="I756" s="79"/>
      <c r="J756" s="70"/>
      <c r="K756" s="57"/>
      <c r="L756" s="11"/>
      <c r="M756" s="41"/>
      <c r="N756" s="11"/>
    </row>
    <row r="757" spans="8:14" x14ac:dyDescent="0.25">
      <c r="H757" s="37"/>
      <c r="I757" s="79"/>
      <c r="J757" s="70"/>
      <c r="K757" s="57"/>
      <c r="L757" s="11"/>
      <c r="M757" s="41"/>
      <c r="N757" s="11"/>
    </row>
    <row r="758" spans="8:14" x14ac:dyDescent="0.25">
      <c r="H758" s="37"/>
      <c r="I758" s="79"/>
      <c r="J758" s="70"/>
      <c r="K758" s="57"/>
      <c r="L758" s="11"/>
      <c r="M758" s="41"/>
      <c r="N758" s="11"/>
    </row>
    <row r="759" spans="8:14" x14ac:dyDescent="0.25">
      <c r="H759" s="37"/>
      <c r="I759" s="79"/>
      <c r="J759" s="70"/>
      <c r="K759" s="57"/>
      <c r="L759" s="11"/>
      <c r="M759" s="41"/>
      <c r="N759" s="11"/>
    </row>
    <row r="760" spans="8:14" x14ac:dyDescent="0.25">
      <c r="H760" s="37"/>
      <c r="I760" s="79"/>
      <c r="J760" s="70"/>
      <c r="K760" s="57"/>
      <c r="L760" s="11"/>
      <c r="M760" s="41"/>
      <c r="N760" s="11"/>
    </row>
    <row r="761" spans="8:14" x14ac:dyDescent="0.25">
      <c r="H761" s="37"/>
      <c r="I761" s="79"/>
      <c r="J761" s="70"/>
      <c r="K761" s="57"/>
      <c r="L761" s="11"/>
      <c r="M761" s="41"/>
      <c r="N761" s="11"/>
    </row>
    <row r="762" spans="8:14" x14ac:dyDescent="0.25">
      <c r="H762" s="37"/>
      <c r="I762" s="79"/>
      <c r="J762" s="70"/>
      <c r="K762" s="57"/>
      <c r="L762" s="11"/>
      <c r="M762" s="41"/>
      <c r="N762" s="11"/>
    </row>
    <row r="763" spans="8:14" x14ac:dyDescent="0.25">
      <c r="H763" s="37"/>
      <c r="I763" s="79"/>
      <c r="J763" s="70"/>
      <c r="K763" s="57"/>
      <c r="L763" s="11"/>
      <c r="M763" s="41"/>
      <c r="N763" s="11"/>
    </row>
    <row r="764" spans="8:14" x14ac:dyDescent="0.25">
      <c r="H764" s="37"/>
      <c r="I764" s="79"/>
      <c r="J764" s="70"/>
      <c r="K764" s="57"/>
      <c r="L764" s="11"/>
      <c r="M764" s="41"/>
      <c r="N764" s="11"/>
    </row>
    <row r="765" spans="8:14" x14ac:dyDescent="0.25">
      <c r="H765" s="37"/>
      <c r="I765" s="79"/>
      <c r="J765" s="70"/>
      <c r="K765" s="57"/>
      <c r="L765" s="11"/>
      <c r="M765" s="41"/>
      <c r="N765" s="11"/>
    </row>
    <row r="766" spans="8:14" x14ac:dyDescent="0.25">
      <c r="H766" s="37"/>
      <c r="I766" s="79"/>
      <c r="J766" s="70"/>
      <c r="K766" s="57"/>
      <c r="L766" s="11"/>
      <c r="M766" s="41"/>
      <c r="N766" s="11"/>
    </row>
    <row r="767" spans="8:14" x14ac:dyDescent="0.25">
      <c r="H767" s="37"/>
      <c r="I767" s="79"/>
      <c r="J767" s="70"/>
      <c r="K767" s="57"/>
      <c r="L767" s="11"/>
      <c r="M767" s="41"/>
      <c r="N767" s="11"/>
    </row>
    <row r="768" spans="8:14" x14ac:dyDescent="0.25">
      <c r="H768" s="37"/>
      <c r="I768" s="79"/>
      <c r="J768" s="70"/>
      <c r="K768" s="57"/>
      <c r="L768" s="11"/>
      <c r="M768" s="41"/>
      <c r="N768" s="11"/>
    </row>
    <row r="769" spans="8:14" x14ac:dyDescent="0.25">
      <c r="H769" s="37"/>
      <c r="I769" s="79"/>
      <c r="J769" s="70"/>
      <c r="K769" s="57"/>
      <c r="L769" s="11"/>
      <c r="M769" s="41"/>
      <c r="N769" s="11"/>
    </row>
    <row r="770" spans="8:14" x14ac:dyDescent="0.25">
      <c r="H770" s="37"/>
      <c r="I770" s="79"/>
      <c r="J770" s="70"/>
      <c r="K770" s="57"/>
      <c r="L770" s="11"/>
      <c r="M770" s="41"/>
      <c r="N770" s="11"/>
    </row>
    <row r="771" spans="8:14" x14ac:dyDescent="0.25">
      <c r="H771" s="37"/>
      <c r="I771" s="79"/>
      <c r="J771" s="70"/>
      <c r="K771" s="57"/>
      <c r="L771" s="11"/>
      <c r="M771" s="41"/>
      <c r="N771" s="11"/>
    </row>
    <row r="772" spans="8:14" x14ac:dyDescent="0.25">
      <c r="H772" s="37"/>
      <c r="I772" s="79"/>
      <c r="J772" s="70"/>
      <c r="K772" s="57"/>
      <c r="L772" s="11"/>
      <c r="M772" s="41"/>
      <c r="N772" s="11"/>
    </row>
    <row r="773" spans="8:14" x14ac:dyDescent="0.25">
      <c r="H773" s="37"/>
      <c r="I773" s="79"/>
      <c r="J773" s="70"/>
      <c r="K773" s="57"/>
      <c r="L773" s="11"/>
      <c r="M773" s="41"/>
      <c r="N773" s="11"/>
    </row>
    <row r="774" spans="8:14" x14ac:dyDescent="0.25">
      <c r="H774" s="37"/>
      <c r="I774" s="79"/>
      <c r="J774" s="70"/>
      <c r="K774" s="57"/>
      <c r="L774" s="11"/>
      <c r="M774" s="41"/>
      <c r="N774" s="11"/>
    </row>
    <row r="775" spans="8:14" x14ac:dyDescent="0.25">
      <c r="H775" s="37"/>
      <c r="I775" s="79"/>
      <c r="J775" s="70"/>
      <c r="K775" s="57"/>
      <c r="L775" s="11"/>
      <c r="M775" s="41"/>
      <c r="N775" s="11"/>
    </row>
    <row r="776" spans="8:14" x14ac:dyDescent="0.25">
      <c r="H776" s="37"/>
      <c r="I776" s="79"/>
      <c r="J776" s="70"/>
      <c r="K776" s="57"/>
      <c r="L776" s="11"/>
      <c r="M776" s="41"/>
      <c r="N776" s="11"/>
    </row>
    <row r="777" spans="8:14" x14ac:dyDescent="0.25">
      <c r="H777" s="37"/>
      <c r="I777" s="79"/>
      <c r="J777" s="70"/>
      <c r="K777" s="57"/>
      <c r="L777" s="11"/>
      <c r="M777" s="41"/>
      <c r="N777" s="11"/>
    </row>
    <row r="778" spans="8:14" x14ac:dyDescent="0.25">
      <c r="H778" s="37"/>
      <c r="I778" s="79"/>
      <c r="J778" s="70"/>
      <c r="K778" s="57"/>
      <c r="L778" s="11"/>
      <c r="M778" s="41"/>
      <c r="N778" s="11"/>
    </row>
    <row r="779" spans="8:14" x14ac:dyDescent="0.25">
      <c r="H779" s="37"/>
      <c r="I779" s="79"/>
      <c r="J779" s="70"/>
      <c r="K779" s="57"/>
      <c r="L779" s="11"/>
      <c r="M779" s="41"/>
      <c r="N779" s="11"/>
    </row>
    <row r="780" spans="8:14" x14ac:dyDescent="0.25">
      <c r="H780" s="37"/>
      <c r="I780" s="79"/>
      <c r="J780" s="70"/>
      <c r="K780" s="57"/>
      <c r="L780" s="11"/>
      <c r="M780" s="41"/>
      <c r="N780" s="11"/>
    </row>
    <row r="781" spans="8:14" x14ac:dyDescent="0.25">
      <c r="H781" s="37"/>
      <c r="I781" s="79"/>
      <c r="J781" s="70"/>
      <c r="K781" s="57"/>
      <c r="L781" s="11"/>
      <c r="M781" s="41"/>
      <c r="N781" s="11"/>
    </row>
    <row r="782" spans="8:14" x14ac:dyDescent="0.25">
      <c r="H782" s="37"/>
      <c r="I782" s="79"/>
      <c r="J782" s="70"/>
      <c r="K782" s="57"/>
      <c r="L782" s="11"/>
      <c r="M782" s="41"/>
      <c r="N782" s="11"/>
    </row>
    <row r="783" spans="8:14" x14ac:dyDescent="0.25">
      <c r="H783" s="37"/>
      <c r="I783" s="79"/>
      <c r="J783" s="70"/>
      <c r="K783" s="57"/>
      <c r="L783" s="11"/>
      <c r="M783" s="41"/>
      <c r="N783" s="11"/>
    </row>
    <row r="784" spans="8:14" x14ac:dyDescent="0.25">
      <c r="H784" s="37"/>
      <c r="I784" s="79"/>
      <c r="J784" s="70"/>
      <c r="K784" s="57"/>
      <c r="L784" s="11"/>
      <c r="M784" s="41"/>
      <c r="N784" s="11"/>
    </row>
    <row r="785" spans="8:14" x14ac:dyDescent="0.25">
      <c r="H785" s="37"/>
      <c r="I785" s="79"/>
      <c r="J785" s="70"/>
      <c r="K785" s="57"/>
      <c r="L785" s="11"/>
      <c r="M785" s="41"/>
      <c r="N785" s="11"/>
    </row>
    <row r="786" spans="8:14" x14ac:dyDescent="0.25">
      <c r="H786" s="37"/>
      <c r="I786" s="79"/>
      <c r="J786" s="70"/>
      <c r="K786" s="57"/>
      <c r="L786" s="11"/>
      <c r="M786" s="41"/>
      <c r="N786" s="11"/>
    </row>
    <row r="787" spans="8:14" x14ac:dyDescent="0.25">
      <c r="H787" s="37"/>
      <c r="I787" s="79"/>
      <c r="J787" s="70"/>
      <c r="K787" s="57"/>
      <c r="L787" s="11"/>
      <c r="M787" s="41"/>
      <c r="N787" s="11"/>
    </row>
    <row r="788" spans="8:14" x14ac:dyDescent="0.25">
      <c r="H788" s="37"/>
      <c r="I788" s="79"/>
      <c r="J788" s="70"/>
      <c r="K788" s="57"/>
      <c r="L788" s="11"/>
      <c r="M788" s="41"/>
      <c r="N788" s="11"/>
    </row>
    <row r="789" spans="8:14" x14ac:dyDescent="0.25">
      <c r="H789" s="37"/>
      <c r="I789" s="79"/>
      <c r="J789" s="70"/>
      <c r="K789" s="57"/>
      <c r="L789" s="11"/>
      <c r="M789" s="41"/>
      <c r="N789" s="11"/>
    </row>
    <row r="790" spans="8:14" x14ac:dyDescent="0.25">
      <c r="H790" s="37"/>
      <c r="I790" s="79"/>
      <c r="J790" s="70"/>
      <c r="K790" s="57"/>
      <c r="L790" s="11"/>
      <c r="M790" s="41"/>
      <c r="N790" s="11"/>
    </row>
    <row r="791" spans="8:14" x14ac:dyDescent="0.25">
      <c r="H791" s="37"/>
      <c r="I791" s="79"/>
      <c r="J791" s="70"/>
      <c r="K791" s="57"/>
      <c r="L791" s="11"/>
      <c r="M791" s="41"/>
      <c r="N791" s="11"/>
    </row>
    <row r="792" spans="8:14" x14ac:dyDescent="0.25">
      <c r="H792" s="37"/>
      <c r="I792" s="79"/>
      <c r="J792" s="70"/>
      <c r="K792" s="57"/>
      <c r="L792" s="11"/>
      <c r="M792" s="41"/>
      <c r="N792" s="11"/>
    </row>
    <row r="793" spans="8:14" x14ac:dyDescent="0.25">
      <c r="H793" s="37"/>
      <c r="I793" s="79"/>
      <c r="J793" s="70"/>
      <c r="K793" s="57"/>
      <c r="L793" s="11"/>
      <c r="M793" s="41"/>
      <c r="N793" s="11"/>
    </row>
    <row r="794" spans="8:14" x14ac:dyDescent="0.25">
      <c r="H794" s="37"/>
      <c r="I794" s="79"/>
      <c r="J794" s="70"/>
      <c r="K794" s="57"/>
      <c r="L794" s="11"/>
      <c r="M794" s="41"/>
      <c r="N794" s="11"/>
    </row>
    <row r="795" spans="8:14" x14ac:dyDescent="0.25">
      <c r="H795" s="37"/>
      <c r="I795" s="79"/>
      <c r="J795" s="70"/>
      <c r="K795" s="57"/>
      <c r="L795" s="11"/>
      <c r="M795" s="41"/>
      <c r="N795" s="11"/>
    </row>
    <row r="796" spans="8:14" x14ac:dyDescent="0.25">
      <c r="H796" s="37"/>
      <c r="I796" s="79"/>
      <c r="J796" s="70"/>
      <c r="K796" s="57"/>
      <c r="L796" s="11"/>
      <c r="M796" s="41"/>
      <c r="N796" s="11"/>
    </row>
    <row r="797" spans="8:14" x14ac:dyDescent="0.25">
      <c r="H797" s="37"/>
      <c r="I797" s="79"/>
      <c r="J797" s="70"/>
      <c r="K797" s="57"/>
      <c r="L797" s="11"/>
      <c r="M797" s="41"/>
      <c r="N797" s="11"/>
    </row>
    <row r="798" spans="8:14" x14ac:dyDescent="0.25">
      <c r="H798" s="37"/>
      <c r="I798" s="79"/>
      <c r="J798" s="70"/>
      <c r="K798" s="57"/>
      <c r="L798" s="11"/>
      <c r="M798" s="41"/>
      <c r="N798" s="11"/>
    </row>
    <row r="799" spans="8:14" x14ac:dyDescent="0.25">
      <c r="H799" s="37"/>
      <c r="I799" s="79"/>
      <c r="J799" s="70"/>
      <c r="K799" s="57"/>
      <c r="L799" s="11"/>
      <c r="M799" s="41"/>
      <c r="N799" s="11"/>
    </row>
    <row r="800" spans="8:14" x14ac:dyDescent="0.25">
      <c r="H800" s="37"/>
      <c r="I800" s="79"/>
      <c r="J800" s="70"/>
      <c r="K800" s="57"/>
      <c r="L800" s="11"/>
      <c r="M800" s="41"/>
      <c r="N800" s="11"/>
    </row>
    <row r="801" spans="8:14" x14ac:dyDescent="0.25">
      <c r="H801" s="37"/>
      <c r="I801" s="79"/>
      <c r="J801" s="70"/>
      <c r="K801" s="57"/>
      <c r="L801" s="11"/>
      <c r="M801" s="41"/>
      <c r="N801" s="11"/>
    </row>
    <row r="802" spans="8:14" x14ac:dyDescent="0.25">
      <c r="H802" s="37"/>
      <c r="I802" s="79"/>
      <c r="J802" s="70"/>
      <c r="K802" s="57"/>
      <c r="L802" s="11"/>
      <c r="M802" s="41"/>
      <c r="N802" s="11"/>
    </row>
    <row r="803" spans="8:14" x14ac:dyDescent="0.25">
      <c r="H803" s="37"/>
      <c r="I803" s="79"/>
      <c r="J803" s="70"/>
      <c r="K803" s="57"/>
      <c r="L803" s="11"/>
      <c r="M803" s="41"/>
      <c r="N803" s="11"/>
    </row>
    <row r="804" spans="8:14" x14ac:dyDescent="0.25">
      <c r="H804" s="37"/>
      <c r="I804" s="79"/>
      <c r="J804" s="70"/>
      <c r="K804" s="57"/>
      <c r="L804" s="11"/>
      <c r="M804" s="41"/>
      <c r="N804" s="11"/>
    </row>
    <row r="805" spans="8:14" x14ac:dyDescent="0.25">
      <c r="H805" s="37"/>
      <c r="I805" s="79"/>
      <c r="J805" s="70"/>
      <c r="K805" s="57"/>
      <c r="L805" s="11"/>
      <c r="M805" s="41"/>
      <c r="N805" s="11"/>
    </row>
    <row r="806" spans="8:14" x14ac:dyDescent="0.25">
      <c r="H806" s="37"/>
      <c r="I806" s="79"/>
      <c r="J806" s="70"/>
      <c r="K806" s="57"/>
      <c r="L806" s="11"/>
      <c r="M806" s="41"/>
      <c r="N806" s="11"/>
    </row>
    <row r="807" spans="8:14" x14ac:dyDescent="0.25">
      <c r="H807" s="37"/>
      <c r="I807" s="79"/>
      <c r="J807" s="70"/>
      <c r="K807" s="57"/>
      <c r="L807" s="11"/>
      <c r="M807" s="41"/>
      <c r="N807" s="11"/>
    </row>
    <row r="808" spans="8:14" x14ac:dyDescent="0.25">
      <c r="H808" s="37"/>
      <c r="I808" s="79"/>
      <c r="J808" s="70"/>
      <c r="K808" s="57"/>
      <c r="L808" s="11"/>
      <c r="M808" s="41"/>
      <c r="N808" s="11"/>
    </row>
    <row r="809" spans="8:14" x14ac:dyDescent="0.25">
      <c r="H809" s="37"/>
      <c r="I809" s="79"/>
      <c r="J809" s="70"/>
      <c r="K809" s="57"/>
      <c r="L809" s="11"/>
      <c r="M809" s="41"/>
      <c r="N809" s="11"/>
    </row>
    <row r="810" spans="8:14" x14ac:dyDescent="0.25">
      <c r="H810" s="37"/>
      <c r="I810" s="79"/>
      <c r="J810" s="70"/>
      <c r="K810" s="57"/>
      <c r="L810" s="11"/>
      <c r="M810" s="41"/>
      <c r="N810" s="11"/>
    </row>
    <row r="811" spans="8:14" x14ac:dyDescent="0.25">
      <c r="H811" s="37"/>
      <c r="I811" s="79"/>
      <c r="J811" s="70"/>
      <c r="K811" s="57"/>
      <c r="L811" s="11"/>
      <c r="M811" s="41"/>
      <c r="N811" s="11"/>
    </row>
    <row r="812" spans="8:14" x14ac:dyDescent="0.25">
      <c r="H812" s="37"/>
      <c r="I812" s="79"/>
      <c r="J812" s="70"/>
      <c r="K812" s="57"/>
      <c r="L812" s="11"/>
      <c r="M812" s="41"/>
      <c r="N812" s="11"/>
    </row>
    <row r="813" spans="8:14" x14ac:dyDescent="0.25">
      <c r="H813" s="37"/>
      <c r="I813" s="79"/>
      <c r="J813" s="70"/>
      <c r="K813" s="57"/>
      <c r="L813" s="11"/>
      <c r="M813" s="41"/>
      <c r="N813" s="11"/>
    </row>
    <row r="814" spans="8:14" x14ac:dyDescent="0.25">
      <c r="H814" s="37"/>
      <c r="I814" s="79"/>
      <c r="J814" s="70"/>
      <c r="K814" s="57"/>
      <c r="L814" s="11"/>
      <c r="M814" s="41"/>
      <c r="N814" s="11"/>
    </row>
    <row r="815" spans="8:14" x14ac:dyDescent="0.25">
      <c r="H815" s="37"/>
      <c r="I815" s="79"/>
      <c r="J815" s="70"/>
      <c r="K815" s="57"/>
      <c r="L815" s="11"/>
      <c r="M815" s="41"/>
      <c r="N815" s="11"/>
    </row>
    <row r="816" spans="8:14" x14ac:dyDescent="0.25">
      <c r="H816" s="37"/>
      <c r="I816" s="79"/>
      <c r="J816" s="70"/>
      <c r="K816" s="57"/>
      <c r="L816" s="11"/>
      <c r="M816" s="41"/>
      <c r="N816" s="11"/>
    </row>
    <row r="817" spans="8:14" x14ac:dyDescent="0.25">
      <c r="H817" s="37"/>
      <c r="I817" s="79"/>
      <c r="J817" s="70"/>
      <c r="K817" s="57"/>
      <c r="L817" s="11"/>
      <c r="M817" s="41"/>
      <c r="N817" s="11"/>
    </row>
    <row r="818" spans="8:14" x14ac:dyDescent="0.25">
      <c r="H818" s="37"/>
      <c r="I818" s="79"/>
      <c r="J818" s="70"/>
      <c r="K818" s="57"/>
      <c r="L818" s="11"/>
      <c r="M818" s="41"/>
      <c r="N818" s="11"/>
    </row>
    <row r="819" spans="8:14" x14ac:dyDescent="0.25">
      <c r="H819" s="37"/>
      <c r="I819" s="79"/>
      <c r="J819" s="70"/>
      <c r="K819" s="57"/>
      <c r="L819" s="11"/>
      <c r="M819" s="41"/>
      <c r="N819" s="11"/>
    </row>
    <row r="820" spans="8:14" x14ac:dyDescent="0.25">
      <c r="H820" s="37"/>
      <c r="I820" s="79"/>
      <c r="J820" s="70"/>
      <c r="K820" s="57"/>
      <c r="L820" s="11"/>
      <c r="M820" s="41"/>
      <c r="N820" s="11"/>
    </row>
    <row r="821" spans="8:14" x14ac:dyDescent="0.25">
      <c r="H821" s="37"/>
      <c r="I821" s="79"/>
      <c r="J821" s="70"/>
      <c r="K821" s="57"/>
      <c r="L821" s="11"/>
      <c r="M821" s="41"/>
      <c r="N821" s="11"/>
    </row>
    <row r="822" spans="8:14" x14ac:dyDescent="0.25">
      <c r="H822" s="37"/>
      <c r="I822" s="79"/>
      <c r="J822" s="70"/>
      <c r="K822" s="57"/>
      <c r="L822" s="11"/>
      <c r="M822" s="41"/>
      <c r="N822" s="11"/>
    </row>
    <row r="823" spans="8:14" x14ac:dyDescent="0.25">
      <c r="H823" s="37"/>
      <c r="I823" s="79"/>
      <c r="J823" s="70"/>
      <c r="K823" s="57"/>
      <c r="L823" s="11"/>
      <c r="M823" s="41"/>
      <c r="N823" s="11"/>
    </row>
    <row r="824" spans="8:14" x14ac:dyDescent="0.25">
      <c r="H824" s="37"/>
      <c r="I824" s="79"/>
      <c r="J824" s="70"/>
      <c r="K824" s="57"/>
      <c r="L824" s="11"/>
      <c r="M824" s="41"/>
      <c r="N824" s="11"/>
    </row>
    <row r="825" spans="8:14" x14ac:dyDescent="0.25">
      <c r="H825" s="37"/>
      <c r="I825" s="79"/>
      <c r="J825" s="70"/>
      <c r="K825" s="57"/>
      <c r="L825" s="11"/>
      <c r="M825" s="41"/>
      <c r="N825" s="11"/>
    </row>
    <row r="826" spans="8:14" x14ac:dyDescent="0.25">
      <c r="H826" s="37"/>
      <c r="I826" s="79"/>
      <c r="J826" s="70"/>
      <c r="K826" s="57"/>
      <c r="L826" s="11"/>
      <c r="M826" s="41"/>
      <c r="N826" s="11"/>
    </row>
    <row r="827" spans="8:14" x14ac:dyDescent="0.25">
      <c r="H827" s="37"/>
      <c r="I827" s="79"/>
      <c r="J827" s="70"/>
      <c r="K827" s="57"/>
      <c r="L827" s="11"/>
      <c r="M827" s="41"/>
      <c r="N827" s="11"/>
    </row>
    <row r="828" spans="8:14" x14ac:dyDescent="0.25">
      <c r="H828" s="37"/>
      <c r="I828" s="79"/>
      <c r="J828" s="70"/>
      <c r="K828" s="57"/>
      <c r="L828" s="11"/>
      <c r="M828" s="41"/>
      <c r="N828" s="11"/>
    </row>
    <row r="829" spans="8:14" x14ac:dyDescent="0.25">
      <c r="H829" s="37"/>
      <c r="I829" s="79"/>
      <c r="J829" s="70"/>
      <c r="K829" s="57"/>
      <c r="L829" s="11"/>
      <c r="M829" s="41"/>
      <c r="N829" s="11"/>
    </row>
    <row r="830" spans="8:14" x14ac:dyDescent="0.25">
      <c r="H830" s="37"/>
      <c r="I830" s="79"/>
      <c r="J830" s="70"/>
      <c r="K830" s="57"/>
      <c r="L830" s="11"/>
      <c r="M830" s="41"/>
      <c r="N830" s="11"/>
    </row>
    <row r="831" spans="8:14" x14ac:dyDescent="0.25">
      <c r="H831" s="37"/>
      <c r="I831" s="79"/>
      <c r="J831" s="70"/>
      <c r="K831" s="57"/>
      <c r="L831" s="11"/>
      <c r="M831" s="41"/>
      <c r="N831" s="11"/>
    </row>
    <row r="832" spans="8:14" x14ac:dyDescent="0.25">
      <c r="H832" s="37"/>
      <c r="I832" s="79"/>
      <c r="J832" s="70"/>
      <c r="K832" s="57"/>
      <c r="L832" s="11"/>
      <c r="M832" s="41"/>
      <c r="N832" s="11"/>
    </row>
    <row r="833" spans="8:14" x14ac:dyDescent="0.25">
      <c r="H833" s="37"/>
      <c r="I833" s="79"/>
      <c r="J833" s="70"/>
      <c r="K833" s="57"/>
      <c r="L833" s="11"/>
      <c r="M833" s="41"/>
      <c r="N833" s="11"/>
    </row>
    <row r="834" spans="8:14" x14ac:dyDescent="0.25">
      <c r="H834" s="37"/>
      <c r="I834" s="79"/>
      <c r="J834" s="70"/>
      <c r="K834" s="57"/>
      <c r="L834" s="11"/>
      <c r="M834" s="41"/>
      <c r="N834" s="11"/>
    </row>
    <row r="835" spans="8:14" x14ac:dyDescent="0.25">
      <c r="H835" s="37"/>
      <c r="I835" s="79"/>
      <c r="J835" s="70"/>
      <c r="K835" s="57"/>
      <c r="L835" s="11"/>
      <c r="M835" s="41"/>
      <c r="N835" s="11"/>
    </row>
    <row r="836" spans="8:14" x14ac:dyDescent="0.25">
      <c r="H836" s="37"/>
      <c r="I836" s="79"/>
      <c r="J836" s="70"/>
      <c r="K836" s="57"/>
      <c r="L836" s="11"/>
      <c r="M836" s="41"/>
      <c r="N836" s="11"/>
    </row>
    <row r="837" spans="8:14" x14ac:dyDescent="0.25">
      <c r="H837" s="37"/>
      <c r="I837" s="79"/>
      <c r="J837" s="70"/>
      <c r="K837" s="57"/>
      <c r="L837" s="11"/>
      <c r="M837" s="41"/>
      <c r="N837" s="11"/>
    </row>
    <row r="838" spans="8:14" x14ac:dyDescent="0.25">
      <c r="H838" s="37"/>
      <c r="I838" s="79"/>
      <c r="J838" s="70"/>
      <c r="K838" s="57"/>
      <c r="L838" s="11"/>
      <c r="M838" s="41"/>
      <c r="N838" s="11"/>
    </row>
    <row r="839" spans="8:14" x14ac:dyDescent="0.25">
      <c r="H839" s="37"/>
      <c r="I839" s="79"/>
      <c r="J839" s="70"/>
      <c r="K839" s="57"/>
      <c r="L839" s="11"/>
      <c r="M839" s="41"/>
      <c r="N839" s="11"/>
    </row>
    <row r="840" spans="8:14" x14ac:dyDescent="0.25">
      <c r="H840" s="37"/>
      <c r="I840" s="79"/>
      <c r="J840" s="70"/>
      <c r="K840" s="57"/>
      <c r="L840" s="11"/>
      <c r="M840" s="41"/>
      <c r="N840" s="11"/>
    </row>
    <row r="841" spans="8:14" x14ac:dyDescent="0.25">
      <c r="H841" s="37"/>
      <c r="I841" s="79"/>
      <c r="J841" s="70"/>
      <c r="K841" s="57"/>
      <c r="L841" s="11"/>
      <c r="M841" s="41"/>
      <c r="N841" s="11"/>
    </row>
    <row r="842" spans="8:14" x14ac:dyDescent="0.25">
      <c r="H842" s="37"/>
      <c r="I842" s="79"/>
      <c r="J842" s="70"/>
      <c r="K842" s="57"/>
      <c r="L842" s="11"/>
      <c r="M842" s="41"/>
      <c r="N842" s="11"/>
    </row>
    <row r="843" spans="8:14" x14ac:dyDescent="0.25">
      <c r="H843" s="37"/>
      <c r="I843" s="79"/>
      <c r="J843" s="70"/>
      <c r="K843" s="57"/>
      <c r="L843" s="11"/>
      <c r="M843" s="41"/>
      <c r="N843" s="11"/>
    </row>
    <row r="844" spans="8:14" x14ac:dyDescent="0.25">
      <c r="H844" s="37"/>
      <c r="I844" s="79"/>
      <c r="J844" s="70"/>
      <c r="K844" s="57"/>
      <c r="L844" s="11"/>
      <c r="M844" s="41"/>
      <c r="N844" s="11"/>
    </row>
    <row r="845" spans="8:14" x14ac:dyDescent="0.25">
      <c r="H845" s="37"/>
      <c r="I845" s="79"/>
      <c r="J845" s="70"/>
      <c r="K845" s="57"/>
      <c r="L845" s="11"/>
      <c r="M845" s="41"/>
      <c r="N845" s="11"/>
    </row>
    <row r="846" spans="8:14" x14ac:dyDescent="0.25">
      <c r="H846" s="37"/>
      <c r="I846" s="79"/>
      <c r="J846" s="70"/>
      <c r="K846" s="57"/>
      <c r="L846" s="11"/>
      <c r="M846" s="41"/>
      <c r="N846" s="11"/>
    </row>
    <row r="847" spans="8:14" x14ac:dyDescent="0.25">
      <c r="H847" s="37"/>
      <c r="I847" s="79"/>
      <c r="J847" s="70"/>
      <c r="K847" s="57"/>
      <c r="L847" s="11"/>
      <c r="M847" s="41"/>
      <c r="N847" s="11"/>
    </row>
    <row r="848" spans="8:14" x14ac:dyDescent="0.25">
      <c r="H848" s="37"/>
      <c r="I848" s="79"/>
      <c r="J848" s="70"/>
      <c r="K848" s="57"/>
      <c r="L848" s="11"/>
      <c r="M848" s="41"/>
      <c r="N848" s="11"/>
    </row>
    <row r="849" spans="8:14" x14ac:dyDescent="0.25">
      <c r="H849" s="37"/>
      <c r="I849" s="79"/>
      <c r="J849" s="70"/>
      <c r="K849" s="57"/>
      <c r="L849" s="11"/>
      <c r="M849" s="41"/>
      <c r="N849" s="11"/>
    </row>
    <row r="850" spans="8:14" x14ac:dyDescent="0.25">
      <c r="H850" s="37"/>
      <c r="I850" s="79"/>
      <c r="J850" s="70"/>
      <c r="K850" s="57"/>
      <c r="L850" s="11"/>
      <c r="M850" s="41"/>
      <c r="N850" s="11"/>
    </row>
    <row r="851" spans="8:14" x14ac:dyDescent="0.25">
      <c r="H851" s="37"/>
      <c r="I851" s="79"/>
      <c r="J851" s="70"/>
      <c r="K851" s="57"/>
      <c r="L851" s="11"/>
      <c r="M851" s="41"/>
      <c r="N851" s="11"/>
    </row>
    <row r="852" spans="8:14" x14ac:dyDescent="0.25">
      <c r="H852" s="37"/>
      <c r="I852" s="79"/>
      <c r="J852" s="70"/>
      <c r="K852" s="57"/>
      <c r="L852" s="11"/>
      <c r="M852" s="41"/>
      <c r="N852" s="11"/>
    </row>
    <row r="853" spans="8:14" x14ac:dyDescent="0.25">
      <c r="H853" s="37"/>
      <c r="I853" s="79"/>
      <c r="J853" s="70"/>
      <c r="K853" s="57"/>
      <c r="L853" s="11"/>
      <c r="M853" s="41"/>
      <c r="N853" s="11"/>
    </row>
    <row r="854" spans="8:14" x14ac:dyDescent="0.25">
      <c r="H854" s="37"/>
      <c r="I854" s="79"/>
      <c r="J854" s="70"/>
      <c r="K854" s="57"/>
      <c r="L854" s="11"/>
      <c r="M854" s="41"/>
      <c r="N854" s="11"/>
    </row>
    <row r="855" spans="8:14" x14ac:dyDescent="0.25">
      <c r="H855" s="37"/>
      <c r="I855" s="79"/>
      <c r="J855" s="70"/>
      <c r="K855" s="57"/>
      <c r="L855" s="11"/>
      <c r="M855" s="41"/>
      <c r="N855" s="11"/>
    </row>
    <row r="856" spans="8:14" x14ac:dyDescent="0.25">
      <c r="H856" s="37"/>
      <c r="I856" s="79"/>
      <c r="J856" s="70"/>
      <c r="K856" s="57"/>
      <c r="L856" s="11"/>
      <c r="M856" s="41"/>
      <c r="N856" s="11"/>
    </row>
    <row r="857" spans="8:14" x14ac:dyDescent="0.25">
      <c r="H857" s="37"/>
      <c r="I857" s="79"/>
      <c r="J857" s="70"/>
      <c r="K857" s="57"/>
      <c r="L857" s="11"/>
      <c r="M857" s="41"/>
      <c r="N857" s="11"/>
    </row>
    <row r="858" spans="8:14" x14ac:dyDescent="0.25">
      <c r="H858" s="37"/>
      <c r="I858" s="79"/>
      <c r="J858" s="70"/>
      <c r="K858" s="57"/>
      <c r="L858" s="11"/>
      <c r="M858" s="41"/>
      <c r="N858" s="11"/>
    </row>
    <row r="859" spans="8:14" x14ac:dyDescent="0.25">
      <c r="H859" s="37"/>
      <c r="I859" s="79"/>
      <c r="J859" s="70"/>
      <c r="K859" s="57"/>
      <c r="L859" s="11"/>
      <c r="M859" s="41"/>
      <c r="N859" s="11"/>
    </row>
    <row r="860" spans="8:14" x14ac:dyDescent="0.25">
      <c r="H860" s="37"/>
      <c r="I860" s="79"/>
      <c r="J860" s="70"/>
      <c r="K860" s="57"/>
      <c r="L860" s="11"/>
      <c r="M860" s="41"/>
      <c r="N860" s="11"/>
    </row>
    <row r="861" spans="8:14" x14ac:dyDescent="0.25">
      <c r="H861" s="37"/>
      <c r="I861" s="79"/>
      <c r="J861" s="70"/>
      <c r="K861" s="57"/>
      <c r="L861" s="11"/>
      <c r="M861" s="41"/>
      <c r="N861" s="11"/>
    </row>
    <row r="862" spans="8:14" x14ac:dyDescent="0.25">
      <c r="H862" s="37"/>
      <c r="I862" s="79"/>
      <c r="J862" s="70"/>
      <c r="K862" s="57"/>
      <c r="L862" s="11"/>
      <c r="M862" s="41"/>
      <c r="N862" s="11"/>
    </row>
    <row r="863" spans="8:14" x14ac:dyDescent="0.25">
      <c r="H863" s="37"/>
      <c r="I863" s="79"/>
      <c r="J863" s="70"/>
      <c r="K863" s="57"/>
      <c r="L863" s="11"/>
      <c r="M863" s="41"/>
      <c r="N863" s="11"/>
    </row>
    <row r="864" spans="8:14" x14ac:dyDescent="0.25">
      <c r="H864" s="37"/>
      <c r="I864" s="79"/>
      <c r="J864" s="70"/>
      <c r="K864" s="57"/>
      <c r="L864" s="11"/>
      <c r="M864" s="41"/>
      <c r="N864" s="11"/>
    </row>
    <row r="865" spans="8:14" x14ac:dyDescent="0.25">
      <c r="H865" s="37"/>
      <c r="I865" s="79"/>
      <c r="J865" s="70"/>
      <c r="K865" s="57"/>
      <c r="L865" s="11"/>
      <c r="M865" s="41"/>
      <c r="N865" s="11"/>
    </row>
    <row r="866" spans="8:14" x14ac:dyDescent="0.25">
      <c r="H866" s="37"/>
      <c r="I866" s="79"/>
      <c r="J866" s="70"/>
      <c r="K866" s="57"/>
      <c r="L866" s="11"/>
      <c r="M866" s="41"/>
      <c r="N866" s="11"/>
    </row>
    <row r="867" spans="8:14" x14ac:dyDescent="0.25">
      <c r="H867" s="37"/>
      <c r="I867" s="79"/>
      <c r="J867" s="70"/>
      <c r="K867" s="57"/>
      <c r="L867" s="11"/>
      <c r="M867" s="41"/>
      <c r="N867" s="11"/>
    </row>
    <row r="868" spans="8:14" x14ac:dyDescent="0.25">
      <c r="H868" s="37"/>
      <c r="I868" s="79"/>
      <c r="J868" s="70"/>
      <c r="K868" s="57"/>
      <c r="L868" s="11"/>
      <c r="M868" s="41"/>
      <c r="N868" s="11"/>
    </row>
    <row r="869" spans="8:14" x14ac:dyDescent="0.25">
      <c r="H869" s="37"/>
      <c r="I869" s="79"/>
      <c r="J869" s="70"/>
      <c r="K869" s="57"/>
      <c r="L869" s="11"/>
      <c r="M869" s="41"/>
      <c r="N869" s="11"/>
    </row>
    <row r="870" spans="8:14" x14ac:dyDescent="0.25">
      <c r="H870" s="37"/>
      <c r="I870" s="79"/>
      <c r="J870" s="70"/>
      <c r="K870" s="57"/>
      <c r="L870" s="11"/>
      <c r="M870" s="41"/>
      <c r="N870" s="11"/>
    </row>
    <row r="871" spans="8:14" x14ac:dyDescent="0.25">
      <c r="H871" s="37"/>
      <c r="I871" s="79"/>
      <c r="J871" s="70"/>
      <c r="K871" s="57"/>
      <c r="L871" s="11"/>
      <c r="M871" s="41"/>
      <c r="N871" s="11"/>
    </row>
    <row r="872" spans="8:14" x14ac:dyDescent="0.25">
      <c r="H872" s="37"/>
      <c r="I872" s="79"/>
      <c r="J872" s="70"/>
      <c r="K872" s="57"/>
      <c r="L872" s="11"/>
      <c r="M872" s="41"/>
      <c r="N872" s="11"/>
    </row>
    <row r="873" spans="8:14" x14ac:dyDescent="0.25">
      <c r="H873" s="37"/>
      <c r="I873" s="79"/>
      <c r="J873" s="70"/>
      <c r="K873" s="57"/>
      <c r="L873" s="11"/>
      <c r="M873" s="41"/>
      <c r="N873" s="11"/>
    </row>
    <row r="874" spans="8:14" x14ac:dyDescent="0.25">
      <c r="H874" s="37"/>
      <c r="I874" s="79"/>
      <c r="J874" s="70"/>
      <c r="K874" s="57"/>
      <c r="L874" s="11"/>
      <c r="M874" s="41"/>
      <c r="N874" s="11"/>
    </row>
    <row r="875" spans="8:14" x14ac:dyDescent="0.25">
      <c r="H875" s="37"/>
      <c r="I875" s="79"/>
      <c r="J875" s="70"/>
      <c r="K875" s="57"/>
      <c r="L875" s="11"/>
      <c r="M875" s="41"/>
      <c r="N875" s="11"/>
    </row>
    <row r="876" spans="8:14" x14ac:dyDescent="0.25">
      <c r="H876" s="37"/>
      <c r="I876" s="79"/>
      <c r="J876" s="70"/>
      <c r="K876" s="57"/>
      <c r="L876" s="11"/>
      <c r="M876" s="41"/>
      <c r="N876" s="11"/>
    </row>
    <row r="877" spans="8:14" x14ac:dyDescent="0.25">
      <c r="H877" s="37"/>
      <c r="I877" s="79"/>
      <c r="J877" s="70"/>
      <c r="K877" s="57"/>
      <c r="L877" s="11"/>
      <c r="M877" s="41"/>
      <c r="N877" s="11"/>
    </row>
    <row r="878" spans="8:14" x14ac:dyDescent="0.25">
      <c r="H878" s="37"/>
      <c r="I878" s="79"/>
      <c r="J878" s="70"/>
      <c r="K878" s="57"/>
      <c r="L878" s="11"/>
      <c r="M878" s="41"/>
      <c r="N878" s="11"/>
    </row>
    <row r="879" spans="8:14" x14ac:dyDescent="0.25">
      <c r="H879" s="37"/>
      <c r="I879" s="79"/>
      <c r="J879" s="70"/>
      <c r="K879" s="57"/>
      <c r="L879" s="11"/>
      <c r="M879" s="41"/>
      <c r="N879" s="11"/>
    </row>
    <row r="880" spans="8:14" x14ac:dyDescent="0.25">
      <c r="H880" s="37"/>
      <c r="I880" s="79"/>
      <c r="J880" s="70"/>
      <c r="K880" s="57"/>
      <c r="L880" s="11"/>
      <c r="M880" s="41"/>
      <c r="N880" s="11"/>
    </row>
    <row r="881" spans="8:14" x14ac:dyDescent="0.25">
      <c r="H881" s="37"/>
      <c r="I881" s="79"/>
      <c r="J881" s="70"/>
      <c r="K881" s="57"/>
      <c r="L881" s="11"/>
      <c r="M881" s="41"/>
      <c r="N881" s="11"/>
    </row>
    <row r="882" spans="8:14" x14ac:dyDescent="0.25">
      <c r="H882" s="37"/>
      <c r="I882" s="79"/>
      <c r="J882" s="70"/>
      <c r="K882" s="57"/>
      <c r="L882" s="11"/>
      <c r="M882" s="41"/>
      <c r="N882" s="11"/>
    </row>
    <row r="883" spans="8:14" x14ac:dyDescent="0.25">
      <c r="H883" s="37"/>
      <c r="I883" s="79"/>
      <c r="J883" s="70"/>
      <c r="K883" s="57"/>
      <c r="L883" s="11"/>
      <c r="M883" s="41"/>
      <c r="N883" s="11"/>
    </row>
    <row r="884" spans="8:14" x14ac:dyDescent="0.25">
      <c r="H884" s="37"/>
      <c r="I884" s="79"/>
      <c r="J884" s="70"/>
      <c r="K884" s="57"/>
      <c r="L884" s="11"/>
      <c r="M884" s="41"/>
      <c r="N884" s="11"/>
    </row>
    <row r="885" spans="8:14" x14ac:dyDescent="0.25">
      <c r="H885" s="37"/>
      <c r="I885" s="79"/>
      <c r="J885" s="70"/>
      <c r="K885" s="57"/>
      <c r="L885" s="11"/>
      <c r="M885" s="41"/>
      <c r="N885" s="11"/>
    </row>
    <row r="886" spans="8:14" x14ac:dyDescent="0.25">
      <c r="H886" s="37"/>
      <c r="I886" s="79"/>
      <c r="J886" s="70"/>
      <c r="K886" s="57"/>
      <c r="L886" s="11"/>
      <c r="M886" s="41"/>
      <c r="N886" s="11"/>
    </row>
    <row r="887" spans="8:14" x14ac:dyDescent="0.25">
      <c r="H887" s="37"/>
      <c r="I887" s="79"/>
      <c r="J887" s="70"/>
      <c r="K887" s="57"/>
      <c r="L887" s="11"/>
      <c r="M887" s="41"/>
      <c r="N887" s="11"/>
    </row>
    <row r="888" spans="8:14" x14ac:dyDescent="0.25">
      <c r="H888" s="37"/>
      <c r="I888" s="79"/>
      <c r="J888" s="70"/>
      <c r="K888" s="57"/>
      <c r="L888" s="11"/>
      <c r="M888" s="41"/>
      <c r="N888" s="11"/>
    </row>
    <row r="889" spans="8:14" x14ac:dyDescent="0.25">
      <c r="H889" s="37"/>
      <c r="I889" s="79"/>
      <c r="J889" s="70"/>
      <c r="K889" s="57"/>
      <c r="L889" s="11"/>
      <c r="M889" s="41"/>
      <c r="N889" s="11"/>
    </row>
    <row r="890" spans="8:14" x14ac:dyDescent="0.25">
      <c r="H890" s="37"/>
      <c r="I890" s="79"/>
      <c r="J890" s="70"/>
      <c r="K890" s="57"/>
      <c r="L890" s="11"/>
      <c r="M890" s="41"/>
      <c r="N890" s="11"/>
    </row>
    <row r="891" spans="8:14" x14ac:dyDescent="0.25">
      <c r="H891" s="37"/>
      <c r="I891" s="79"/>
      <c r="J891" s="70"/>
      <c r="K891" s="57"/>
      <c r="L891" s="11"/>
      <c r="M891" s="41"/>
      <c r="N891" s="11"/>
    </row>
    <row r="892" spans="8:14" x14ac:dyDescent="0.25">
      <c r="H892" s="37"/>
      <c r="I892" s="79"/>
      <c r="J892" s="70"/>
      <c r="K892" s="57"/>
      <c r="L892" s="11"/>
      <c r="M892" s="41"/>
      <c r="N892" s="11"/>
    </row>
    <row r="893" spans="8:14" x14ac:dyDescent="0.25">
      <c r="H893" s="37"/>
      <c r="I893" s="79"/>
      <c r="J893" s="70"/>
      <c r="K893" s="57"/>
      <c r="L893" s="11"/>
      <c r="M893" s="41"/>
      <c r="N893" s="11"/>
    </row>
    <row r="894" spans="8:14" x14ac:dyDescent="0.25">
      <c r="H894" s="37"/>
      <c r="I894" s="79"/>
      <c r="J894" s="70"/>
      <c r="K894" s="57"/>
      <c r="L894" s="11"/>
      <c r="M894" s="41"/>
      <c r="N894" s="11"/>
    </row>
    <row r="895" spans="8:14" x14ac:dyDescent="0.25">
      <c r="H895" s="37"/>
      <c r="I895" s="79"/>
      <c r="J895" s="70"/>
      <c r="K895" s="57"/>
      <c r="L895" s="11"/>
      <c r="M895" s="41"/>
      <c r="N895" s="11"/>
    </row>
    <row r="896" spans="8:14" x14ac:dyDescent="0.25">
      <c r="H896" s="37"/>
      <c r="I896" s="79"/>
      <c r="J896" s="70"/>
      <c r="K896" s="57"/>
      <c r="L896" s="11"/>
      <c r="M896" s="41"/>
      <c r="N896" s="11"/>
    </row>
    <row r="897" spans="8:14" x14ac:dyDescent="0.25">
      <c r="H897" s="37"/>
      <c r="I897" s="79"/>
      <c r="J897" s="70"/>
      <c r="K897" s="57"/>
      <c r="L897" s="11"/>
      <c r="M897" s="41"/>
      <c r="N897" s="11"/>
    </row>
    <row r="898" spans="8:14" x14ac:dyDescent="0.25">
      <c r="H898" s="37"/>
      <c r="I898" s="79"/>
      <c r="J898" s="70"/>
      <c r="K898" s="57"/>
      <c r="L898" s="11"/>
      <c r="M898" s="41"/>
      <c r="N898" s="11"/>
    </row>
    <row r="899" spans="8:14" x14ac:dyDescent="0.25">
      <c r="H899" s="37"/>
      <c r="I899" s="79"/>
      <c r="J899" s="70"/>
      <c r="K899" s="57"/>
      <c r="L899" s="11"/>
      <c r="M899" s="41"/>
      <c r="N899" s="11"/>
    </row>
    <row r="900" spans="8:14" x14ac:dyDescent="0.25">
      <c r="H900" s="37"/>
      <c r="I900" s="79"/>
      <c r="J900" s="70"/>
      <c r="K900" s="57"/>
      <c r="L900" s="11"/>
      <c r="M900" s="41"/>
      <c r="N900" s="11"/>
    </row>
    <row r="901" spans="8:14" x14ac:dyDescent="0.25">
      <c r="H901" s="37"/>
      <c r="I901" s="79"/>
      <c r="J901" s="70"/>
      <c r="K901" s="57"/>
      <c r="L901" s="11"/>
      <c r="M901" s="41"/>
      <c r="N901" s="11"/>
    </row>
    <row r="902" spans="8:14" x14ac:dyDescent="0.25">
      <c r="H902" s="37"/>
      <c r="I902" s="79"/>
      <c r="J902" s="70"/>
      <c r="K902" s="57"/>
      <c r="L902" s="11"/>
      <c r="M902" s="41"/>
      <c r="N902" s="11"/>
    </row>
    <row r="903" spans="8:14" x14ac:dyDescent="0.25">
      <c r="H903" s="37"/>
      <c r="I903" s="79"/>
      <c r="J903" s="70"/>
      <c r="K903" s="57"/>
      <c r="L903" s="11"/>
      <c r="M903" s="41"/>
      <c r="N903" s="11"/>
    </row>
    <row r="904" spans="8:14" x14ac:dyDescent="0.25">
      <c r="H904" s="37"/>
      <c r="I904" s="79"/>
      <c r="J904" s="70"/>
      <c r="K904" s="57"/>
      <c r="L904" s="11"/>
      <c r="M904" s="41"/>
      <c r="N904" s="11"/>
    </row>
    <row r="905" spans="8:14" x14ac:dyDescent="0.25">
      <c r="H905" s="37"/>
      <c r="I905" s="79"/>
      <c r="J905" s="70"/>
      <c r="K905" s="57"/>
      <c r="L905" s="11"/>
      <c r="M905" s="41"/>
      <c r="N905" s="11"/>
    </row>
    <row r="906" spans="8:14" x14ac:dyDescent="0.25">
      <c r="H906" s="37"/>
      <c r="I906" s="79"/>
      <c r="J906" s="70"/>
      <c r="K906" s="57"/>
      <c r="L906" s="11"/>
      <c r="M906" s="41"/>
      <c r="N906" s="11"/>
    </row>
    <row r="907" spans="8:14" x14ac:dyDescent="0.25">
      <c r="H907" s="37"/>
      <c r="I907" s="79"/>
      <c r="J907" s="70"/>
      <c r="K907" s="57"/>
      <c r="L907" s="11"/>
      <c r="M907" s="41"/>
      <c r="N907" s="11"/>
    </row>
    <row r="908" spans="8:14" x14ac:dyDescent="0.25">
      <c r="H908" s="37"/>
      <c r="I908" s="79"/>
      <c r="J908" s="70"/>
      <c r="K908" s="57"/>
      <c r="L908" s="11"/>
      <c r="M908" s="41"/>
      <c r="N908" s="11"/>
    </row>
    <row r="909" spans="8:14" x14ac:dyDescent="0.25">
      <c r="H909" s="37"/>
      <c r="I909" s="79"/>
      <c r="J909" s="70"/>
      <c r="K909" s="57"/>
      <c r="L909" s="11"/>
      <c r="M909" s="41"/>
      <c r="N909" s="11"/>
    </row>
    <row r="910" spans="8:14" x14ac:dyDescent="0.25">
      <c r="H910" s="37"/>
      <c r="I910" s="79"/>
      <c r="J910" s="70"/>
      <c r="K910" s="57"/>
      <c r="L910" s="11"/>
      <c r="M910" s="41"/>
      <c r="N910" s="11"/>
    </row>
    <row r="911" spans="8:14" x14ac:dyDescent="0.25">
      <c r="H911" s="37"/>
      <c r="I911" s="79"/>
      <c r="J911" s="70"/>
      <c r="K911" s="57"/>
      <c r="L911" s="11"/>
      <c r="M911" s="41"/>
      <c r="N911" s="11"/>
    </row>
    <row r="912" spans="8:14" x14ac:dyDescent="0.25">
      <c r="H912" s="37"/>
      <c r="I912" s="79"/>
      <c r="J912" s="70"/>
      <c r="K912" s="57"/>
      <c r="L912" s="11"/>
      <c r="M912" s="41"/>
      <c r="N912" s="11"/>
    </row>
    <row r="913" spans="8:14" x14ac:dyDescent="0.25">
      <c r="H913" s="37"/>
      <c r="I913" s="79"/>
      <c r="J913" s="70"/>
      <c r="K913" s="57"/>
      <c r="L913" s="11"/>
      <c r="M913" s="41"/>
      <c r="N913" s="11"/>
    </row>
    <row r="914" spans="8:14" x14ac:dyDescent="0.25">
      <c r="H914" s="37"/>
      <c r="I914" s="79"/>
      <c r="J914" s="70"/>
      <c r="K914" s="57"/>
      <c r="L914" s="11"/>
      <c r="M914" s="41"/>
      <c r="N914" s="11"/>
    </row>
    <row r="915" spans="8:14" x14ac:dyDescent="0.25">
      <c r="H915" s="37"/>
      <c r="I915" s="79"/>
      <c r="J915" s="70"/>
      <c r="K915" s="57"/>
      <c r="L915" s="11"/>
      <c r="M915" s="41"/>
      <c r="N915" s="11"/>
    </row>
    <row r="916" spans="8:14" x14ac:dyDescent="0.25">
      <c r="H916" s="37"/>
      <c r="I916" s="79"/>
      <c r="J916" s="70"/>
      <c r="K916" s="57"/>
      <c r="L916" s="11"/>
      <c r="M916" s="41"/>
      <c r="N916" s="11"/>
    </row>
    <row r="917" spans="8:14" x14ac:dyDescent="0.25">
      <c r="H917" s="37"/>
      <c r="I917" s="79"/>
      <c r="J917" s="70"/>
      <c r="K917" s="57"/>
      <c r="L917" s="11"/>
      <c r="M917" s="41"/>
      <c r="N917" s="11"/>
    </row>
    <row r="918" spans="8:14" x14ac:dyDescent="0.25">
      <c r="H918" s="37"/>
      <c r="I918" s="79"/>
      <c r="J918" s="70"/>
      <c r="K918" s="57"/>
      <c r="L918" s="11"/>
      <c r="M918" s="41"/>
      <c r="N918" s="11"/>
    </row>
    <row r="919" spans="8:14" x14ac:dyDescent="0.25">
      <c r="H919" s="37"/>
      <c r="I919" s="79"/>
      <c r="J919" s="70"/>
      <c r="K919" s="57"/>
      <c r="L919" s="11"/>
      <c r="M919" s="41"/>
      <c r="N919" s="11"/>
    </row>
    <row r="920" spans="8:14" x14ac:dyDescent="0.25">
      <c r="H920" s="37"/>
      <c r="I920" s="79"/>
      <c r="J920" s="70"/>
      <c r="K920" s="57"/>
      <c r="L920" s="11"/>
      <c r="M920" s="41"/>
      <c r="N920" s="11"/>
    </row>
    <row r="921" spans="8:14" x14ac:dyDescent="0.25">
      <c r="H921" s="37"/>
      <c r="I921" s="79"/>
      <c r="J921" s="70"/>
      <c r="K921" s="57"/>
      <c r="L921" s="11"/>
      <c r="M921" s="41"/>
      <c r="N921" s="11"/>
    </row>
    <row r="922" spans="8:14" x14ac:dyDescent="0.25">
      <c r="H922" s="37"/>
      <c r="I922" s="79"/>
      <c r="J922" s="70"/>
      <c r="K922" s="57"/>
      <c r="L922" s="11"/>
      <c r="M922" s="41"/>
      <c r="N922" s="11"/>
    </row>
    <row r="923" spans="8:14" x14ac:dyDescent="0.25">
      <c r="H923" s="37"/>
      <c r="I923" s="79"/>
      <c r="J923" s="70"/>
      <c r="K923" s="57"/>
      <c r="L923" s="11"/>
      <c r="M923" s="41"/>
      <c r="N923" s="11"/>
    </row>
    <row r="924" spans="8:14" x14ac:dyDescent="0.25">
      <c r="H924" s="37"/>
      <c r="I924" s="79"/>
      <c r="J924" s="70"/>
      <c r="K924" s="57"/>
      <c r="L924" s="11"/>
      <c r="M924" s="41"/>
      <c r="N924" s="11"/>
    </row>
    <row r="925" spans="8:14" x14ac:dyDescent="0.25">
      <c r="H925" s="37"/>
      <c r="I925" s="79"/>
      <c r="J925" s="70"/>
      <c r="K925" s="57"/>
      <c r="L925" s="11"/>
      <c r="M925" s="41"/>
      <c r="N925" s="11"/>
    </row>
    <row r="926" spans="8:14" x14ac:dyDescent="0.25">
      <c r="H926" s="37"/>
      <c r="I926" s="79"/>
      <c r="J926" s="70"/>
      <c r="K926" s="57"/>
      <c r="L926" s="11"/>
      <c r="M926" s="41"/>
      <c r="N926" s="11"/>
    </row>
    <row r="927" spans="8:14" x14ac:dyDescent="0.25">
      <c r="H927" s="37"/>
      <c r="I927" s="79"/>
      <c r="J927" s="70"/>
      <c r="K927" s="57"/>
      <c r="L927" s="11"/>
      <c r="M927" s="41"/>
      <c r="N927" s="11"/>
    </row>
    <row r="928" spans="8:14" x14ac:dyDescent="0.25">
      <c r="H928" s="37"/>
      <c r="I928" s="79"/>
      <c r="J928" s="70"/>
      <c r="K928" s="57"/>
      <c r="L928" s="11"/>
      <c r="M928" s="41"/>
      <c r="N928" s="11"/>
    </row>
    <row r="929" spans="8:14" x14ac:dyDescent="0.25">
      <c r="H929" s="37"/>
      <c r="I929" s="79"/>
      <c r="J929" s="70"/>
      <c r="K929" s="57"/>
      <c r="L929" s="11"/>
      <c r="M929" s="41"/>
      <c r="N929" s="11"/>
    </row>
    <row r="930" spans="8:14" x14ac:dyDescent="0.25">
      <c r="H930" s="37"/>
      <c r="I930" s="79"/>
      <c r="J930" s="70"/>
      <c r="K930" s="57"/>
      <c r="L930" s="11"/>
      <c r="M930" s="41"/>
      <c r="N930" s="11"/>
    </row>
    <row r="931" spans="8:14" x14ac:dyDescent="0.25">
      <c r="H931" s="37"/>
      <c r="I931" s="79"/>
      <c r="J931" s="70"/>
      <c r="K931" s="57"/>
      <c r="L931" s="11"/>
      <c r="M931" s="41"/>
      <c r="N931" s="11"/>
    </row>
    <row r="932" spans="8:14" x14ac:dyDescent="0.25">
      <c r="H932" s="37"/>
      <c r="I932" s="79"/>
      <c r="J932" s="70"/>
      <c r="K932" s="57"/>
      <c r="L932" s="11"/>
      <c r="M932" s="41"/>
      <c r="N932" s="11"/>
    </row>
    <row r="933" spans="8:14" x14ac:dyDescent="0.25">
      <c r="H933" s="37"/>
      <c r="I933" s="79"/>
      <c r="J933" s="70"/>
      <c r="K933" s="57"/>
      <c r="L933" s="11"/>
      <c r="M933" s="41"/>
      <c r="N933" s="11"/>
    </row>
    <row r="934" spans="8:14" x14ac:dyDescent="0.25">
      <c r="H934" s="37"/>
      <c r="I934" s="79"/>
      <c r="J934" s="70"/>
      <c r="K934" s="57"/>
      <c r="L934" s="11"/>
      <c r="M934" s="41"/>
      <c r="N934" s="11"/>
    </row>
    <row r="935" spans="8:14" x14ac:dyDescent="0.25">
      <c r="H935" s="37"/>
      <c r="I935" s="79"/>
      <c r="J935" s="70"/>
      <c r="K935" s="57"/>
      <c r="L935" s="11"/>
      <c r="M935" s="41"/>
      <c r="N935" s="11"/>
    </row>
    <row r="936" spans="8:14" x14ac:dyDescent="0.25">
      <c r="H936" s="37"/>
      <c r="I936" s="79"/>
      <c r="J936" s="70"/>
      <c r="K936" s="57"/>
      <c r="L936" s="11"/>
      <c r="M936" s="41"/>
      <c r="N936" s="11"/>
    </row>
    <row r="937" spans="8:14" x14ac:dyDescent="0.25">
      <c r="H937" s="37"/>
      <c r="I937" s="79"/>
      <c r="J937" s="70"/>
      <c r="K937" s="57"/>
      <c r="L937" s="11"/>
      <c r="M937" s="41"/>
      <c r="N937" s="11"/>
    </row>
    <row r="938" spans="8:14" x14ac:dyDescent="0.25">
      <c r="H938" s="37"/>
      <c r="I938" s="79"/>
      <c r="J938" s="70"/>
      <c r="K938" s="57"/>
      <c r="L938" s="11"/>
      <c r="M938" s="41"/>
      <c r="N938" s="11"/>
    </row>
    <row r="939" spans="8:14" x14ac:dyDescent="0.25">
      <c r="H939" s="37"/>
      <c r="I939" s="79"/>
      <c r="J939" s="70"/>
      <c r="K939" s="57"/>
      <c r="L939" s="11"/>
      <c r="M939" s="41"/>
      <c r="N939" s="11"/>
    </row>
    <row r="940" spans="8:14" x14ac:dyDescent="0.25">
      <c r="H940" s="37"/>
      <c r="I940" s="79"/>
      <c r="J940" s="70"/>
      <c r="K940" s="57"/>
      <c r="L940" s="11"/>
      <c r="M940" s="41"/>
      <c r="N940" s="11"/>
    </row>
    <row r="941" spans="8:14" x14ac:dyDescent="0.25">
      <c r="H941" s="37"/>
      <c r="I941" s="79"/>
      <c r="J941" s="70"/>
      <c r="K941" s="57"/>
      <c r="L941" s="11"/>
      <c r="M941" s="41"/>
      <c r="N941" s="11"/>
    </row>
    <row r="942" spans="8:14" x14ac:dyDescent="0.25">
      <c r="H942" s="37"/>
      <c r="I942" s="79"/>
      <c r="J942" s="70"/>
      <c r="K942" s="57"/>
      <c r="L942" s="11"/>
      <c r="M942" s="41"/>
      <c r="N942" s="11"/>
    </row>
    <row r="943" spans="8:14" x14ac:dyDescent="0.25">
      <c r="H943" s="37"/>
      <c r="I943" s="79"/>
      <c r="J943" s="70"/>
      <c r="K943" s="57"/>
      <c r="L943" s="11"/>
      <c r="M943" s="41"/>
      <c r="N943" s="11"/>
    </row>
    <row r="944" spans="8:14" x14ac:dyDescent="0.25">
      <c r="H944" s="37"/>
      <c r="I944" s="79"/>
      <c r="J944" s="70"/>
      <c r="K944" s="57"/>
      <c r="L944" s="11"/>
      <c r="M944" s="41"/>
      <c r="N944" s="11"/>
    </row>
    <row r="945" spans="8:14" x14ac:dyDescent="0.25">
      <c r="H945" s="37"/>
      <c r="I945" s="79"/>
      <c r="J945" s="70"/>
      <c r="K945" s="57"/>
      <c r="L945" s="11"/>
      <c r="M945" s="41"/>
      <c r="N945" s="11"/>
    </row>
    <row r="946" spans="8:14" x14ac:dyDescent="0.25">
      <c r="H946" s="37"/>
      <c r="I946" s="79"/>
      <c r="J946" s="70"/>
      <c r="K946" s="57"/>
      <c r="L946" s="11"/>
      <c r="M946" s="41"/>
      <c r="N946" s="11"/>
    </row>
    <row r="947" spans="8:14" x14ac:dyDescent="0.25">
      <c r="H947" s="37"/>
      <c r="I947" s="79"/>
      <c r="J947" s="70"/>
      <c r="K947" s="57"/>
      <c r="L947" s="11"/>
      <c r="M947" s="41"/>
      <c r="N947" s="11"/>
    </row>
    <row r="948" spans="8:14" x14ac:dyDescent="0.25">
      <c r="H948" s="37"/>
      <c r="I948" s="79"/>
      <c r="J948" s="70"/>
      <c r="K948" s="57"/>
      <c r="L948" s="11"/>
      <c r="M948" s="41"/>
      <c r="N948" s="11"/>
    </row>
    <row r="949" spans="8:14" x14ac:dyDescent="0.25">
      <c r="H949" s="37"/>
      <c r="I949" s="79"/>
      <c r="J949" s="70"/>
      <c r="K949" s="57"/>
      <c r="L949" s="11"/>
      <c r="M949" s="41"/>
      <c r="N949" s="11"/>
    </row>
    <row r="950" spans="8:14" x14ac:dyDescent="0.25">
      <c r="H950" s="37"/>
      <c r="I950" s="79"/>
      <c r="J950" s="70"/>
      <c r="K950" s="57"/>
      <c r="L950" s="11"/>
      <c r="M950" s="41"/>
      <c r="N950" s="11"/>
    </row>
    <row r="951" spans="8:14" x14ac:dyDescent="0.25">
      <c r="H951" s="37"/>
      <c r="I951" s="79"/>
      <c r="J951" s="70"/>
      <c r="K951" s="57"/>
      <c r="L951" s="11"/>
      <c r="M951" s="41"/>
      <c r="N951" s="11"/>
    </row>
    <row r="952" spans="8:14" x14ac:dyDescent="0.25">
      <c r="H952" s="37"/>
      <c r="I952" s="79"/>
      <c r="J952" s="70"/>
      <c r="K952" s="57"/>
      <c r="L952" s="11"/>
      <c r="M952" s="41"/>
      <c r="N952" s="11"/>
    </row>
    <row r="953" spans="8:14" x14ac:dyDescent="0.25">
      <c r="H953" s="37"/>
      <c r="I953" s="79"/>
      <c r="J953" s="70"/>
      <c r="K953" s="57"/>
      <c r="L953" s="11"/>
      <c r="M953" s="41"/>
      <c r="N953" s="11"/>
    </row>
    <row r="954" spans="8:14" x14ac:dyDescent="0.25">
      <c r="H954" s="37"/>
      <c r="I954" s="79"/>
      <c r="J954" s="70"/>
      <c r="K954" s="57"/>
      <c r="L954" s="11"/>
      <c r="M954" s="41"/>
      <c r="N954" s="11"/>
    </row>
    <row r="955" spans="8:14" x14ac:dyDescent="0.25">
      <c r="H955" s="37"/>
      <c r="I955" s="79"/>
      <c r="J955" s="70"/>
      <c r="K955" s="57"/>
      <c r="L955" s="11"/>
      <c r="M955" s="41"/>
      <c r="N955" s="11"/>
    </row>
    <row r="956" spans="8:14" x14ac:dyDescent="0.25">
      <c r="H956" s="37"/>
      <c r="I956" s="79"/>
      <c r="J956" s="70"/>
      <c r="K956" s="57"/>
      <c r="L956" s="11"/>
      <c r="M956" s="41"/>
      <c r="N956" s="11"/>
    </row>
    <row r="957" spans="8:14" x14ac:dyDescent="0.25">
      <c r="H957" s="37"/>
      <c r="I957" s="79"/>
      <c r="J957" s="70"/>
      <c r="K957" s="57"/>
      <c r="L957" s="11"/>
      <c r="M957" s="41"/>
      <c r="N957" s="11"/>
    </row>
    <row r="958" spans="8:14" x14ac:dyDescent="0.25">
      <c r="H958" s="37"/>
      <c r="I958" s="79"/>
      <c r="J958" s="70"/>
      <c r="K958" s="57"/>
      <c r="L958" s="11"/>
      <c r="M958" s="41"/>
      <c r="N958" s="11"/>
    </row>
    <row r="959" spans="8:14" x14ac:dyDescent="0.25">
      <c r="H959" s="37"/>
      <c r="I959" s="79"/>
      <c r="J959" s="70"/>
      <c r="K959" s="57"/>
      <c r="L959" s="11"/>
      <c r="M959" s="41"/>
      <c r="N959" s="11"/>
    </row>
    <row r="960" spans="8:14" x14ac:dyDescent="0.25">
      <c r="H960" s="37"/>
      <c r="I960" s="79"/>
      <c r="J960" s="70"/>
      <c r="K960" s="57"/>
      <c r="L960" s="11"/>
      <c r="M960" s="41"/>
      <c r="N960" s="11"/>
    </row>
    <row r="961" spans="8:14" x14ac:dyDescent="0.25">
      <c r="H961" s="37"/>
      <c r="I961" s="79"/>
      <c r="J961" s="70"/>
      <c r="K961" s="57"/>
      <c r="L961" s="11"/>
      <c r="M961" s="41"/>
      <c r="N961" s="11"/>
    </row>
    <row r="962" spans="8:14" x14ac:dyDescent="0.25">
      <c r="H962" s="37"/>
      <c r="I962" s="79"/>
      <c r="J962" s="70"/>
      <c r="K962" s="57"/>
      <c r="L962" s="11"/>
      <c r="M962" s="41"/>
      <c r="N962" s="11"/>
    </row>
    <row r="963" spans="8:14" x14ac:dyDescent="0.25">
      <c r="H963" s="37"/>
      <c r="I963" s="79"/>
      <c r="J963" s="70"/>
      <c r="K963" s="57"/>
      <c r="L963" s="11"/>
      <c r="M963" s="41"/>
      <c r="N963" s="11"/>
    </row>
    <row r="964" spans="8:14" x14ac:dyDescent="0.25">
      <c r="H964" s="37"/>
      <c r="I964" s="79"/>
      <c r="J964" s="70"/>
      <c r="K964" s="57"/>
      <c r="L964" s="11"/>
      <c r="M964" s="41"/>
      <c r="N964" s="11"/>
    </row>
    <row r="965" spans="8:14" x14ac:dyDescent="0.25">
      <c r="H965" s="37"/>
      <c r="I965" s="79"/>
      <c r="J965" s="70"/>
      <c r="K965" s="57"/>
      <c r="L965" s="11"/>
      <c r="M965" s="41"/>
      <c r="N965" s="11"/>
    </row>
    <row r="966" spans="8:14" x14ac:dyDescent="0.25">
      <c r="H966" s="37"/>
      <c r="I966" s="79"/>
      <c r="J966" s="70"/>
      <c r="K966" s="57"/>
      <c r="L966" s="11"/>
      <c r="M966" s="41"/>
      <c r="N966" s="11"/>
    </row>
    <row r="967" spans="8:14" x14ac:dyDescent="0.25">
      <c r="H967" s="37"/>
      <c r="I967" s="79"/>
      <c r="J967" s="70"/>
      <c r="K967" s="57"/>
      <c r="L967" s="11"/>
      <c r="M967" s="41"/>
      <c r="N967" s="11"/>
    </row>
    <row r="968" spans="8:14" x14ac:dyDescent="0.25">
      <c r="H968" s="37"/>
      <c r="I968" s="79"/>
      <c r="J968" s="70"/>
      <c r="K968" s="57"/>
      <c r="L968" s="11"/>
      <c r="M968" s="41"/>
      <c r="N968" s="11"/>
    </row>
    <row r="969" spans="8:14" x14ac:dyDescent="0.25">
      <c r="H969" s="37"/>
      <c r="I969" s="79"/>
      <c r="J969" s="70"/>
      <c r="K969" s="57"/>
      <c r="L969" s="11"/>
      <c r="M969" s="41"/>
      <c r="N969" s="11"/>
    </row>
    <row r="970" spans="8:14" x14ac:dyDescent="0.25">
      <c r="H970" s="37"/>
      <c r="I970" s="79"/>
      <c r="J970" s="70"/>
      <c r="K970" s="57"/>
      <c r="L970" s="11"/>
      <c r="M970" s="41"/>
      <c r="N970" s="11"/>
    </row>
    <row r="971" spans="8:14" x14ac:dyDescent="0.25">
      <c r="H971" s="37"/>
      <c r="I971" s="79"/>
      <c r="J971" s="70"/>
      <c r="K971" s="57"/>
      <c r="L971" s="11"/>
      <c r="M971" s="41"/>
      <c r="N971" s="11"/>
    </row>
    <row r="972" spans="8:14" x14ac:dyDescent="0.25">
      <c r="H972" s="37"/>
      <c r="I972" s="79"/>
      <c r="J972" s="70"/>
      <c r="K972" s="57"/>
      <c r="L972" s="11"/>
      <c r="M972" s="41"/>
      <c r="N972" s="11"/>
    </row>
    <row r="973" spans="8:14" x14ac:dyDescent="0.25">
      <c r="H973" s="37"/>
      <c r="I973" s="79"/>
      <c r="J973" s="70"/>
      <c r="K973" s="57"/>
      <c r="L973" s="11"/>
      <c r="M973" s="41"/>
      <c r="N973" s="11"/>
    </row>
    <row r="974" spans="8:14" x14ac:dyDescent="0.25">
      <c r="H974" s="37"/>
      <c r="I974" s="79"/>
      <c r="J974" s="70"/>
      <c r="K974" s="57"/>
      <c r="L974" s="11"/>
      <c r="M974" s="41"/>
      <c r="N974" s="11"/>
    </row>
    <row r="975" spans="8:14" x14ac:dyDescent="0.25">
      <c r="H975" s="37"/>
      <c r="I975" s="79"/>
      <c r="J975" s="70"/>
      <c r="K975" s="57"/>
      <c r="L975" s="11"/>
      <c r="M975" s="41"/>
      <c r="N975" s="11"/>
    </row>
    <row r="976" spans="8:14" x14ac:dyDescent="0.25">
      <c r="H976" s="37"/>
      <c r="I976" s="79"/>
      <c r="J976" s="70"/>
      <c r="K976" s="57"/>
      <c r="L976" s="11"/>
      <c r="M976" s="41"/>
      <c r="N976" s="11"/>
    </row>
    <row r="977" spans="8:14" x14ac:dyDescent="0.25">
      <c r="H977" s="37"/>
      <c r="I977" s="79"/>
      <c r="J977" s="70"/>
      <c r="K977" s="57"/>
      <c r="L977" s="11"/>
      <c r="M977" s="41"/>
      <c r="N977" s="11"/>
    </row>
    <row r="978" spans="8:14" x14ac:dyDescent="0.25">
      <c r="H978" s="37"/>
      <c r="I978" s="79"/>
      <c r="J978" s="70"/>
      <c r="K978" s="57"/>
      <c r="L978" s="11"/>
      <c r="M978" s="41"/>
      <c r="N978" s="11"/>
    </row>
    <row r="979" spans="8:14" x14ac:dyDescent="0.25">
      <c r="H979" s="37"/>
      <c r="I979" s="79"/>
      <c r="J979" s="70"/>
      <c r="K979" s="57"/>
      <c r="L979" s="11"/>
      <c r="M979" s="41"/>
      <c r="N979" s="11"/>
    </row>
    <row r="980" spans="8:14" x14ac:dyDescent="0.25">
      <c r="H980" s="37"/>
      <c r="I980" s="79"/>
      <c r="J980" s="70"/>
      <c r="K980" s="57"/>
      <c r="L980" s="11"/>
      <c r="M980" s="41"/>
      <c r="N980" s="11"/>
    </row>
    <row r="981" spans="8:14" x14ac:dyDescent="0.25">
      <c r="H981" s="37"/>
      <c r="I981" s="79"/>
      <c r="J981" s="70"/>
      <c r="K981" s="57"/>
      <c r="L981" s="11"/>
      <c r="M981" s="41"/>
      <c r="N981" s="11"/>
    </row>
    <row r="982" spans="8:14" x14ac:dyDescent="0.25">
      <c r="H982" s="37"/>
      <c r="I982" s="79"/>
      <c r="J982" s="70"/>
      <c r="K982" s="57"/>
      <c r="L982" s="11"/>
      <c r="M982" s="41"/>
      <c r="N982" s="11"/>
    </row>
    <row r="983" spans="8:14" x14ac:dyDescent="0.25">
      <c r="H983" s="37"/>
      <c r="I983" s="79"/>
      <c r="J983" s="70"/>
      <c r="K983" s="57"/>
      <c r="L983" s="11"/>
      <c r="M983" s="41"/>
      <c r="N983" s="11"/>
    </row>
    <row r="984" spans="8:14" x14ac:dyDescent="0.25">
      <c r="H984" s="37"/>
      <c r="I984" s="79"/>
      <c r="J984" s="70"/>
      <c r="K984" s="57"/>
      <c r="L984" s="11"/>
      <c r="M984" s="41"/>
      <c r="N984" s="11"/>
    </row>
    <row r="985" spans="8:14" x14ac:dyDescent="0.25">
      <c r="H985" s="37"/>
      <c r="I985" s="79"/>
      <c r="J985" s="70"/>
      <c r="K985" s="57"/>
      <c r="L985" s="11"/>
      <c r="M985" s="41"/>
      <c r="N985" s="11"/>
    </row>
    <row r="986" spans="8:14" x14ac:dyDescent="0.25">
      <c r="H986" s="37"/>
      <c r="I986" s="79"/>
      <c r="J986" s="70"/>
      <c r="K986" s="57"/>
      <c r="L986" s="11"/>
      <c r="M986" s="41"/>
      <c r="N986" s="11"/>
    </row>
    <row r="987" spans="8:14" x14ac:dyDescent="0.25">
      <c r="H987" s="37"/>
      <c r="I987" s="79"/>
      <c r="J987" s="70"/>
      <c r="K987" s="57"/>
      <c r="L987" s="11"/>
      <c r="M987" s="41"/>
      <c r="N987" s="11"/>
    </row>
    <row r="988" spans="8:14" x14ac:dyDescent="0.25">
      <c r="H988" s="37"/>
      <c r="I988" s="79"/>
      <c r="J988" s="70"/>
      <c r="K988" s="57"/>
      <c r="L988" s="11"/>
      <c r="M988" s="41"/>
      <c r="N988" s="11"/>
    </row>
    <row r="989" spans="8:14" x14ac:dyDescent="0.25">
      <c r="H989" s="37"/>
      <c r="I989" s="79"/>
      <c r="J989" s="70"/>
      <c r="K989" s="57"/>
      <c r="L989" s="11"/>
      <c r="M989" s="41"/>
      <c r="N989" s="11"/>
    </row>
    <row r="990" spans="8:14" x14ac:dyDescent="0.25">
      <c r="H990" s="37"/>
      <c r="I990" s="79"/>
      <c r="J990" s="70"/>
      <c r="K990" s="57"/>
      <c r="L990" s="11"/>
      <c r="M990" s="41"/>
      <c r="N990" s="11"/>
    </row>
    <row r="991" spans="8:14" x14ac:dyDescent="0.25">
      <c r="H991" s="37"/>
      <c r="I991" s="79"/>
      <c r="J991" s="70"/>
      <c r="K991" s="57"/>
      <c r="L991" s="11"/>
      <c r="M991" s="41"/>
      <c r="N991" s="11"/>
    </row>
    <row r="992" spans="8:14" x14ac:dyDescent="0.25">
      <c r="H992" s="37"/>
      <c r="I992" s="79"/>
      <c r="J992" s="70"/>
      <c r="K992" s="57"/>
      <c r="L992" s="11"/>
      <c r="M992" s="41"/>
      <c r="N992" s="11"/>
    </row>
    <row r="993" spans="8:14" x14ac:dyDescent="0.25">
      <c r="H993" s="37"/>
      <c r="I993" s="79"/>
      <c r="J993" s="70"/>
      <c r="K993" s="57"/>
      <c r="L993" s="11"/>
      <c r="M993" s="41"/>
      <c r="N993" s="11"/>
    </row>
    <row r="994" spans="8:14" x14ac:dyDescent="0.25">
      <c r="H994" s="37"/>
      <c r="I994" s="79"/>
      <c r="J994" s="70"/>
      <c r="K994" s="57"/>
      <c r="L994" s="11"/>
      <c r="M994" s="41"/>
      <c r="N994" s="11"/>
    </row>
    <row r="995" spans="8:14" x14ac:dyDescent="0.25">
      <c r="H995" s="37"/>
      <c r="I995" s="79"/>
      <c r="J995" s="70"/>
      <c r="K995" s="57"/>
      <c r="L995" s="11"/>
      <c r="M995" s="41"/>
      <c r="N995" s="11"/>
    </row>
    <row r="996" spans="8:14" x14ac:dyDescent="0.25">
      <c r="H996" s="37"/>
      <c r="I996" s="79"/>
      <c r="J996" s="70"/>
      <c r="K996" s="57"/>
      <c r="L996" s="11"/>
      <c r="M996" s="41"/>
      <c r="N996" s="11"/>
    </row>
    <row r="997" spans="8:14" x14ac:dyDescent="0.25">
      <c r="H997" s="37"/>
      <c r="I997" s="79"/>
      <c r="J997" s="70"/>
      <c r="K997" s="57"/>
      <c r="L997" s="11"/>
      <c r="M997" s="41"/>
      <c r="N997" s="11"/>
    </row>
    <row r="998" spans="8:14" x14ac:dyDescent="0.25">
      <c r="H998" s="37"/>
      <c r="I998" s="79"/>
      <c r="J998" s="70"/>
      <c r="K998" s="57"/>
      <c r="L998" s="11"/>
      <c r="M998" s="41"/>
      <c r="N998" s="11"/>
    </row>
    <row r="999" spans="8:14" x14ac:dyDescent="0.25">
      <c r="H999" s="37"/>
      <c r="I999" s="79"/>
      <c r="J999" s="70"/>
      <c r="K999" s="57"/>
      <c r="L999" s="11"/>
      <c r="M999" s="41"/>
      <c r="N999" s="11"/>
    </row>
    <row r="1000" spans="8:14" x14ac:dyDescent="0.25">
      <c r="H1000" s="37"/>
      <c r="I1000" s="79"/>
      <c r="J1000" s="70"/>
      <c r="K1000" s="57"/>
      <c r="L1000" s="11"/>
      <c r="M1000" s="41"/>
      <c r="N1000" s="11"/>
    </row>
    <row r="1001" spans="8:14" x14ac:dyDescent="0.25">
      <c r="H1001" s="37"/>
      <c r="I1001" s="79"/>
      <c r="J1001" s="70"/>
      <c r="K1001" s="57"/>
      <c r="L1001" s="11"/>
      <c r="M1001" s="41"/>
      <c r="N1001" s="11"/>
    </row>
    <row r="1002" spans="8:14" x14ac:dyDescent="0.25">
      <c r="H1002" s="37"/>
      <c r="I1002" s="79"/>
      <c r="J1002" s="70"/>
      <c r="K1002" s="57"/>
      <c r="L1002" s="11"/>
      <c r="M1002" s="41"/>
      <c r="N1002" s="11"/>
    </row>
    <row r="1003" spans="8:14" x14ac:dyDescent="0.25">
      <c r="H1003" s="37"/>
      <c r="I1003" s="79"/>
      <c r="J1003" s="70"/>
      <c r="K1003" s="57"/>
      <c r="L1003" s="11"/>
      <c r="M1003" s="41"/>
      <c r="N1003" s="11"/>
    </row>
    <row r="1004" spans="8:14" x14ac:dyDescent="0.25">
      <c r="H1004" s="37"/>
      <c r="I1004" s="79"/>
      <c r="J1004" s="70"/>
      <c r="K1004" s="57"/>
      <c r="L1004" s="11"/>
      <c r="M1004" s="41"/>
      <c r="N1004" s="11"/>
    </row>
    <row r="1005" spans="8:14" x14ac:dyDescent="0.25">
      <c r="H1005" s="37"/>
      <c r="I1005" s="79"/>
      <c r="J1005" s="70"/>
      <c r="K1005" s="57"/>
      <c r="L1005" s="11"/>
      <c r="M1005" s="41"/>
      <c r="N1005" s="11"/>
    </row>
    <row r="1006" spans="8:14" x14ac:dyDescent="0.25">
      <c r="H1006" s="37"/>
      <c r="I1006" s="79"/>
      <c r="J1006" s="70"/>
      <c r="K1006" s="57"/>
      <c r="L1006" s="11"/>
      <c r="M1006" s="41"/>
      <c r="N1006" s="11"/>
    </row>
    <row r="1007" spans="8:14" x14ac:dyDescent="0.25">
      <c r="H1007" s="37"/>
      <c r="I1007" s="79"/>
      <c r="J1007" s="70"/>
      <c r="K1007" s="57"/>
      <c r="L1007" s="11"/>
      <c r="M1007" s="41"/>
      <c r="N1007" s="11"/>
    </row>
    <row r="1008" spans="8:14" x14ac:dyDescent="0.25">
      <c r="H1008" s="37"/>
      <c r="I1008" s="79"/>
      <c r="J1008" s="70"/>
      <c r="K1008" s="57"/>
      <c r="L1008" s="11"/>
      <c r="M1008" s="41"/>
      <c r="N1008" s="11"/>
    </row>
    <row r="1009" spans="8:14" x14ac:dyDescent="0.25">
      <c r="H1009" s="37"/>
      <c r="I1009" s="79"/>
      <c r="J1009" s="70"/>
      <c r="K1009" s="57"/>
      <c r="L1009" s="11"/>
      <c r="M1009" s="41"/>
      <c r="N1009" s="11"/>
    </row>
    <row r="1010" spans="8:14" x14ac:dyDescent="0.25">
      <c r="H1010" s="37"/>
      <c r="I1010" s="79"/>
      <c r="J1010" s="70"/>
      <c r="K1010" s="57"/>
      <c r="L1010" s="11"/>
      <c r="M1010" s="41"/>
      <c r="N1010" s="11"/>
    </row>
    <row r="1011" spans="8:14" x14ac:dyDescent="0.25">
      <c r="H1011" s="37"/>
      <c r="I1011" s="79"/>
      <c r="J1011" s="70"/>
      <c r="K1011" s="57"/>
      <c r="L1011" s="11"/>
      <c r="M1011" s="41"/>
      <c r="N1011" s="11"/>
    </row>
    <row r="1012" spans="8:14" x14ac:dyDescent="0.25">
      <c r="H1012" s="37"/>
      <c r="I1012" s="79"/>
      <c r="J1012" s="70"/>
      <c r="K1012" s="57"/>
      <c r="L1012" s="11"/>
      <c r="M1012" s="41"/>
      <c r="N1012" s="11"/>
    </row>
    <row r="1013" spans="8:14" x14ac:dyDescent="0.25">
      <c r="H1013" s="37"/>
      <c r="I1013" s="79"/>
      <c r="J1013" s="70"/>
      <c r="K1013" s="57"/>
      <c r="L1013" s="11"/>
      <c r="M1013" s="41"/>
      <c r="N1013" s="11"/>
    </row>
    <row r="1014" spans="8:14" x14ac:dyDescent="0.25">
      <c r="H1014" s="37"/>
      <c r="I1014" s="79"/>
      <c r="J1014" s="70"/>
      <c r="K1014" s="57"/>
      <c r="L1014" s="11"/>
      <c r="M1014" s="41"/>
      <c r="N1014" s="11"/>
    </row>
    <row r="1015" spans="8:14" x14ac:dyDescent="0.25">
      <c r="H1015" s="37"/>
      <c r="I1015" s="79"/>
      <c r="J1015" s="70"/>
      <c r="K1015" s="57"/>
      <c r="L1015" s="11"/>
      <c r="M1015" s="41"/>
      <c r="N1015" s="11"/>
    </row>
    <row r="1016" spans="8:14" x14ac:dyDescent="0.25">
      <c r="H1016" s="37"/>
      <c r="I1016" s="79"/>
      <c r="J1016" s="70"/>
      <c r="K1016" s="57"/>
      <c r="L1016" s="11"/>
      <c r="M1016" s="41"/>
      <c r="N1016" s="11"/>
    </row>
    <row r="1017" spans="8:14" x14ac:dyDescent="0.25">
      <c r="H1017" s="37"/>
      <c r="I1017" s="79"/>
      <c r="J1017" s="70"/>
      <c r="K1017" s="57"/>
      <c r="L1017" s="11"/>
      <c r="M1017" s="41"/>
      <c r="N1017" s="11"/>
    </row>
    <row r="1018" spans="8:14" x14ac:dyDescent="0.25">
      <c r="H1018" s="37"/>
      <c r="I1018" s="79"/>
      <c r="J1018" s="70"/>
      <c r="K1018" s="57"/>
      <c r="L1018" s="11"/>
      <c r="M1018" s="41"/>
      <c r="N1018" s="11"/>
    </row>
    <row r="1019" spans="8:14" x14ac:dyDescent="0.25">
      <c r="H1019" s="37"/>
      <c r="I1019" s="79"/>
      <c r="J1019" s="70"/>
      <c r="K1019" s="57"/>
      <c r="L1019" s="11"/>
      <c r="M1019" s="41"/>
      <c r="N1019" s="11"/>
    </row>
    <row r="1020" spans="8:14" x14ac:dyDescent="0.25">
      <c r="H1020" s="37"/>
      <c r="I1020" s="79"/>
      <c r="J1020" s="70"/>
      <c r="K1020" s="57"/>
      <c r="L1020" s="11"/>
      <c r="M1020" s="41"/>
      <c r="N1020" s="11"/>
    </row>
    <row r="1021" spans="8:14" x14ac:dyDescent="0.25">
      <c r="H1021" s="37"/>
      <c r="I1021" s="79"/>
      <c r="J1021" s="70"/>
      <c r="K1021" s="57"/>
      <c r="L1021" s="11"/>
      <c r="M1021" s="41"/>
      <c r="N1021" s="11"/>
    </row>
    <row r="1022" spans="8:14" x14ac:dyDescent="0.25">
      <c r="H1022" s="37"/>
      <c r="I1022" s="79"/>
      <c r="J1022" s="70"/>
      <c r="K1022" s="57"/>
      <c r="L1022" s="11"/>
      <c r="M1022" s="41"/>
      <c r="N1022" s="11"/>
    </row>
    <row r="1023" spans="8:14" x14ac:dyDescent="0.25">
      <c r="H1023" s="37"/>
      <c r="I1023" s="79"/>
      <c r="J1023" s="70"/>
      <c r="K1023" s="57"/>
      <c r="L1023" s="11"/>
      <c r="M1023" s="41"/>
      <c r="N1023" s="11"/>
    </row>
    <row r="1024" spans="8:14" x14ac:dyDescent="0.25">
      <c r="H1024" s="37"/>
      <c r="I1024" s="79"/>
      <c r="J1024" s="70"/>
      <c r="K1024" s="57"/>
      <c r="L1024" s="11"/>
      <c r="M1024" s="41"/>
      <c r="N1024" s="11"/>
    </row>
    <row r="1025" spans="8:14" x14ac:dyDescent="0.25">
      <c r="H1025" s="37"/>
      <c r="I1025" s="79"/>
      <c r="J1025" s="70"/>
      <c r="K1025" s="57"/>
      <c r="L1025" s="11"/>
      <c r="M1025" s="41"/>
      <c r="N1025" s="11"/>
    </row>
    <row r="1026" spans="8:14" x14ac:dyDescent="0.25">
      <c r="H1026" s="37"/>
      <c r="I1026" s="79"/>
      <c r="J1026" s="70"/>
      <c r="K1026" s="57"/>
      <c r="L1026" s="11"/>
      <c r="M1026" s="41"/>
      <c r="N1026" s="11"/>
    </row>
    <row r="1027" spans="8:14" x14ac:dyDescent="0.25">
      <c r="H1027" s="37"/>
      <c r="I1027" s="79"/>
      <c r="J1027" s="70"/>
      <c r="K1027" s="57"/>
      <c r="L1027" s="11"/>
      <c r="M1027" s="41"/>
      <c r="N1027" s="11"/>
    </row>
    <row r="1028" spans="8:14" x14ac:dyDescent="0.25">
      <c r="H1028" s="37"/>
      <c r="I1028" s="79"/>
      <c r="J1028" s="70"/>
      <c r="K1028" s="57"/>
      <c r="L1028" s="11"/>
      <c r="M1028" s="41"/>
      <c r="N1028" s="11"/>
    </row>
    <row r="1029" spans="8:14" x14ac:dyDescent="0.25">
      <c r="H1029" s="37"/>
      <c r="I1029" s="79"/>
      <c r="J1029" s="70"/>
      <c r="K1029" s="57"/>
      <c r="L1029" s="11"/>
      <c r="M1029" s="41"/>
      <c r="N1029" s="11"/>
    </row>
    <row r="1030" spans="8:14" x14ac:dyDescent="0.25">
      <c r="H1030" s="37"/>
      <c r="I1030" s="79"/>
      <c r="J1030" s="70"/>
      <c r="K1030" s="57"/>
      <c r="L1030" s="11"/>
      <c r="M1030" s="41"/>
      <c r="N1030" s="11"/>
    </row>
    <row r="1031" spans="8:14" x14ac:dyDescent="0.25">
      <c r="H1031" s="37"/>
      <c r="I1031" s="79"/>
      <c r="J1031" s="70"/>
      <c r="K1031" s="57"/>
      <c r="L1031" s="11"/>
      <c r="M1031" s="41"/>
      <c r="N1031" s="11"/>
    </row>
    <row r="1032" spans="8:14" x14ac:dyDescent="0.25">
      <c r="H1032" s="37"/>
      <c r="I1032" s="79"/>
      <c r="J1032" s="70"/>
      <c r="K1032" s="57"/>
      <c r="L1032" s="11"/>
      <c r="M1032" s="41"/>
      <c r="N1032" s="11"/>
    </row>
    <row r="1033" spans="8:14" x14ac:dyDescent="0.25">
      <c r="H1033" s="37"/>
      <c r="I1033" s="79"/>
      <c r="J1033" s="70"/>
      <c r="K1033" s="57"/>
      <c r="L1033" s="11"/>
      <c r="M1033" s="41"/>
      <c r="N1033" s="11"/>
    </row>
    <row r="1034" spans="8:14" x14ac:dyDescent="0.25">
      <c r="H1034" s="37"/>
      <c r="I1034" s="79"/>
      <c r="J1034" s="70"/>
      <c r="K1034" s="57"/>
      <c r="L1034" s="11"/>
      <c r="M1034" s="41"/>
      <c r="N1034" s="11"/>
    </row>
    <row r="1035" spans="8:14" x14ac:dyDescent="0.25">
      <c r="H1035" s="37"/>
      <c r="I1035" s="79"/>
      <c r="J1035" s="70"/>
      <c r="K1035" s="57"/>
      <c r="L1035" s="11"/>
      <c r="M1035" s="41"/>
      <c r="N1035" s="11"/>
    </row>
    <row r="1036" spans="8:14" x14ac:dyDescent="0.25">
      <c r="H1036" s="37"/>
      <c r="I1036" s="79"/>
      <c r="J1036" s="70"/>
      <c r="K1036" s="57"/>
      <c r="L1036" s="11"/>
      <c r="M1036" s="41"/>
      <c r="N1036" s="11"/>
    </row>
    <row r="1037" spans="8:14" x14ac:dyDescent="0.25">
      <c r="H1037" s="37"/>
      <c r="I1037" s="79"/>
      <c r="J1037" s="70"/>
      <c r="K1037" s="57"/>
      <c r="L1037" s="11"/>
      <c r="M1037" s="41"/>
      <c r="N1037" s="11"/>
    </row>
    <row r="1038" spans="8:14" x14ac:dyDescent="0.25">
      <c r="H1038" s="37"/>
      <c r="I1038" s="79"/>
      <c r="J1038" s="70"/>
      <c r="K1038" s="57"/>
      <c r="L1038" s="11"/>
      <c r="M1038" s="41"/>
      <c r="N1038" s="11"/>
    </row>
    <row r="1039" spans="8:14" x14ac:dyDescent="0.25">
      <c r="H1039" s="37"/>
      <c r="I1039" s="79"/>
      <c r="J1039" s="70"/>
      <c r="K1039" s="57"/>
      <c r="L1039" s="11"/>
      <c r="M1039" s="41"/>
      <c r="N1039" s="11"/>
    </row>
    <row r="1040" spans="8:14" x14ac:dyDescent="0.25">
      <c r="H1040" s="37"/>
      <c r="I1040" s="79"/>
      <c r="J1040" s="70"/>
      <c r="K1040" s="57"/>
      <c r="L1040" s="11"/>
      <c r="M1040" s="41"/>
      <c r="N1040" s="11"/>
    </row>
    <row r="1041" spans="8:14" x14ac:dyDescent="0.25">
      <c r="H1041" s="37"/>
      <c r="I1041" s="79"/>
      <c r="J1041" s="70"/>
      <c r="K1041" s="57"/>
      <c r="L1041" s="11"/>
      <c r="M1041" s="41"/>
      <c r="N1041" s="11"/>
    </row>
    <row r="1042" spans="8:14" x14ac:dyDescent="0.25">
      <c r="H1042" s="37"/>
      <c r="I1042" s="79"/>
      <c r="J1042" s="70"/>
      <c r="K1042" s="57"/>
      <c r="L1042" s="11"/>
      <c r="M1042" s="41"/>
      <c r="N1042" s="11"/>
    </row>
    <row r="1043" spans="8:14" x14ac:dyDescent="0.25">
      <c r="H1043" s="37"/>
      <c r="I1043" s="79"/>
      <c r="J1043" s="70"/>
      <c r="K1043" s="57"/>
      <c r="L1043" s="11"/>
      <c r="M1043" s="41"/>
      <c r="N1043" s="11"/>
    </row>
    <row r="1044" spans="8:14" x14ac:dyDescent="0.25">
      <c r="H1044" s="37"/>
      <c r="I1044" s="79"/>
      <c r="J1044" s="70"/>
      <c r="K1044" s="57"/>
      <c r="L1044" s="11"/>
      <c r="M1044" s="41"/>
      <c r="N1044" s="11"/>
    </row>
    <row r="1045" spans="8:14" x14ac:dyDescent="0.25">
      <c r="H1045" s="37"/>
      <c r="I1045" s="79"/>
      <c r="J1045" s="70"/>
      <c r="K1045" s="57"/>
      <c r="L1045" s="11"/>
      <c r="M1045" s="41"/>
      <c r="N1045" s="11"/>
    </row>
    <row r="1046" spans="8:14" x14ac:dyDescent="0.25">
      <c r="H1046" s="37"/>
      <c r="I1046" s="79"/>
      <c r="J1046" s="70"/>
      <c r="K1046" s="57"/>
      <c r="L1046" s="11"/>
      <c r="M1046" s="41"/>
      <c r="N1046" s="11"/>
    </row>
    <row r="1047" spans="8:14" x14ac:dyDescent="0.25">
      <c r="H1047" s="37"/>
      <c r="I1047" s="79"/>
      <c r="J1047" s="70"/>
      <c r="K1047" s="57"/>
      <c r="L1047" s="11"/>
      <c r="M1047" s="41"/>
      <c r="N1047" s="11"/>
    </row>
    <row r="1048" spans="8:14" x14ac:dyDescent="0.25">
      <c r="H1048" s="37"/>
      <c r="I1048" s="79"/>
      <c r="J1048" s="70"/>
      <c r="K1048" s="57"/>
      <c r="L1048" s="11"/>
      <c r="M1048" s="41"/>
      <c r="N1048" s="11"/>
    </row>
    <row r="1049" spans="8:14" x14ac:dyDescent="0.25">
      <c r="H1049" s="37"/>
      <c r="I1049" s="79"/>
      <c r="J1049" s="70"/>
      <c r="K1049" s="57"/>
      <c r="L1049" s="11"/>
      <c r="M1049" s="41"/>
      <c r="N1049" s="11"/>
    </row>
    <row r="1050" spans="8:14" x14ac:dyDescent="0.25">
      <c r="H1050" s="37"/>
      <c r="I1050" s="79"/>
      <c r="J1050" s="70"/>
      <c r="K1050" s="57"/>
      <c r="L1050" s="11"/>
      <c r="M1050" s="41"/>
      <c r="N1050" s="11"/>
    </row>
    <row r="1051" spans="8:14" x14ac:dyDescent="0.25">
      <c r="H1051" s="37"/>
      <c r="I1051" s="79"/>
      <c r="J1051" s="70"/>
      <c r="K1051" s="57"/>
      <c r="L1051" s="11"/>
      <c r="M1051" s="41"/>
      <c r="N1051" s="11"/>
    </row>
    <row r="1052" spans="8:14" x14ac:dyDescent="0.25">
      <c r="H1052" s="37"/>
      <c r="I1052" s="79"/>
      <c r="J1052" s="70"/>
      <c r="K1052" s="57"/>
      <c r="L1052" s="11"/>
      <c r="M1052" s="41"/>
      <c r="N1052" s="11"/>
    </row>
    <row r="1053" spans="8:14" x14ac:dyDescent="0.25">
      <c r="H1053" s="37"/>
      <c r="I1053" s="79"/>
      <c r="J1053" s="70"/>
      <c r="K1053" s="57"/>
      <c r="L1053" s="11"/>
      <c r="M1053" s="41"/>
      <c r="N1053" s="11"/>
    </row>
    <row r="1054" spans="8:14" x14ac:dyDescent="0.25">
      <c r="H1054" s="37"/>
      <c r="I1054" s="79"/>
      <c r="J1054" s="70"/>
      <c r="K1054" s="57"/>
      <c r="L1054" s="11"/>
      <c r="M1054" s="41"/>
      <c r="N1054" s="11"/>
    </row>
    <row r="1055" spans="8:14" x14ac:dyDescent="0.25">
      <c r="H1055" s="37"/>
      <c r="I1055" s="79"/>
      <c r="J1055" s="70"/>
      <c r="K1055" s="57"/>
      <c r="L1055" s="11"/>
      <c r="M1055" s="41"/>
      <c r="N1055" s="11"/>
    </row>
    <row r="1056" spans="8:14" x14ac:dyDescent="0.25">
      <c r="H1056" s="37"/>
      <c r="I1056" s="79"/>
      <c r="J1056" s="70"/>
      <c r="K1056" s="57"/>
      <c r="L1056" s="11"/>
      <c r="M1056" s="41"/>
      <c r="N1056" s="11"/>
    </row>
    <row r="1057" spans="8:14" x14ac:dyDescent="0.25">
      <c r="H1057" s="37"/>
      <c r="I1057" s="79"/>
      <c r="J1057" s="70"/>
      <c r="K1057" s="57"/>
      <c r="L1057" s="11"/>
      <c r="M1057" s="41"/>
      <c r="N1057" s="11"/>
    </row>
    <row r="1058" spans="8:14" x14ac:dyDescent="0.25">
      <c r="H1058" s="37"/>
      <c r="I1058" s="79"/>
      <c r="J1058" s="70"/>
      <c r="K1058" s="57"/>
      <c r="L1058" s="11"/>
      <c r="M1058" s="41"/>
      <c r="N1058" s="11"/>
    </row>
    <row r="1059" spans="8:14" x14ac:dyDescent="0.25">
      <c r="H1059" s="37"/>
      <c r="I1059" s="79"/>
      <c r="J1059" s="70"/>
      <c r="K1059" s="57"/>
      <c r="L1059" s="11"/>
      <c r="M1059" s="41"/>
      <c r="N1059" s="11"/>
    </row>
    <row r="1060" spans="8:14" x14ac:dyDescent="0.25">
      <c r="H1060" s="37"/>
      <c r="I1060" s="79"/>
      <c r="J1060" s="70"/>
      <c r="K1060" s="57"/>
      <c r="L1060" s="11"/>
      <c r="M1060" s="41"/>
      <c r="N1060" s="11"/>
    </row>
    <row r="1061" spans="8:14" x14ac:dyDescent="0.25">
      <c r="H1061" s="37"/>
      <c r="I1061" s="79"/>
      <c r="J1061" s="70"/>
      <c r="K1061" s="57"/>
      <c r="L1061" s="11"/>
      <c r="M1061" s="41"/>
      <c r="N1061" s="11"/>
    </row>
    <row r="1062" spans="8:14" x14ac:dyDescent="0.25">
      <c r="H1062" s="37"/>
      <c r="I1062" s="79"/>
      <c r="J1062" s="70"/>
      <c r="K1062" s="57"/>
      <c r="L1062" s="11"/>
      <c r="M1062" s="41"/>
      <c r="N1062" s="11"/>
    </row>
    <row r="1063" spans="8:14" x14ac:dyDescent="0.25">
      <c r="H1063" s="37"/>
      <c r="I1063" s="79"/>
      <c r="J1063" s="70"/>
      <c r="K1063" s="57"/>
      <c r="L1063" s="11"/>
      <c r="M1063" s="41"/>
      <c r="N1063" s="11"/>
    </row>
    <row r="1064" spans="8:14" x14ac:dyDescent="0.25">
      <c r="H1064" s="37"/>
      <c r="I1064" s="79"/>
      <c r="J1064" s="70"/>
      <c r="K1064" s="57"/>
      <c r="L1064" s="11"/>
      <c r="M1064" s="41"/>
      <c r="N1064" s="11"/>
    </row>
    <row r="1065" spans="8:14" x14ac:dyDescent="0.25">
      <c r="H1065" s="37"/>
      <c r="I1065" s="79"/>
      <c r="J1065" s="70"/>
      <c r="K1065" s="57"/>
      <c r="L1065" s="11"/>
      <c r="M1065" s="41"/>
      <c r="N1065" s="11"/>
    </row>
    <row r="1066" spans="8:14" x14ac:dyDescent="0.25">
      <c r="H1066" s="37"/>
      <c r="I1066" s="79"/>
      <c r="J1066" s="70"/>
      <c r="K1066" s="57"/>
      <c r="L1066" s="11"/>
      <c r="M1066" s="41"/>
      <c r="N1066" s="11"/>
    </row>
    <row r="1067" spans="8:14" x14ac:dyDescent="0.25">
      <c r="H1067" s="37"/>
      <c r="I1067" s="79"/>
      <c r="J1067" s="70"/>
      <c r="K1067" s="57"/>
      <c r="L1067" s="11"/>
      <c r="M1067" s="41"/>
      <c r="N1067" s="11"/>
    </row>
    <row r="1068" spans="8:14" x14ac:dyDescent="0.25">
      <c r="H1068" s="37"/>
      <c r="I1068" s="79"/>
      <c r="J1068" s="70"/>
      <c r="K1068" s="57"/>
      <c r="L1068" s="11"/>
      <c r="M1068" s="41"/>
      <c r="N1068" s="11"/>
    </row>
    <row r="1069" spans="8:14" x14ac:dyDescent="0.25">
      <c r="H1069" s="37"/>
      <c r="I1069" s="79"/>
      <c r="J1069" s="70"/>
      <c r="K1069" s="57"/>
      <c r="L1069" s="11"/>
      <c r="M1069" s="41"/>
      <c r="N1069" s="11"/>
    </row>
    <row r="1070" spans="8:14" x14ac:dyDescent="0.25">
      <c r="H1070" s="37"/>
      <c r="I1070" s="79"/>
      <c r="J1070" s="70"/>
      <c r="K1070" s="57"/>
      <c r="L1070" s="11"/>
      <c r="M1070" s="41"/>
      <c r="N1070" s="11"/>
    </row>
    <row r="1071" spans="8:14" x14ac:dyDescent="0.25">
      <c r="H1071" s="37"/>
      <c r="I1071" s="79"/>
      <c r="J1071" s="70"/>
      <c r="K1071" s="57"/>
      <c r="L1071" s="11"/>
      <c r="M1071" s="41"/>
      <c r="N1071" s="11"/>
    </row>
    <row r="1072" spans="8:14" x14ac:dyDescent="0.25">
      <c r="H1072" s="37"/>
      <c r="I1072" s="79"/>
      <c r="J1072" s="70"/>
      <c r="K1072" s="57"/>
      <c r="L1072" s="11"/>
      <c r="M1072" s="41"/>
      <c r="N1072" s="11"/>
    </row>
    <row r="1073" spans="8:14" x14ac:dyDescent="0.25">
      <c r="H1073" s="37"/>
      <c r="I1073" s="79"/>
      <c r="J1073" s="70"/>
      <c r="K1073" s="57"/>
      <c r="L1073" s="11"/>
      <c r="M1073" s="41"/>
      <c r="N1073" s="11"/>
    </row>
    <row r="1074" spans="8:14" x14ac:dyDescent="0.25">
      <c r="H1074" s="37"/>
      <c r="I1074" s="79"/>
      <c r="J1074" s="70"/>
      <c r="K1074" s="57"/>
      <c r="L1074" s="11"/>
      <c r="M1074" s="41"/>
      <c r="N1074" s="11"/>
    </row>
    <row r="1075" spans="8:14" x14ac:dyDescent="0.25">
      <c r="H1075" s="37"/>
      <c r="I1075" s="79"/>
      <c r="J1075" s="70"/>
      <c r="K1075" s="57"/>
      <c r="L1075" s="11"/>
      <c r="M1075" s="41"/>
      <c r="N1075" s="11"/>
    </row>
    <row r="1076" spans="8:14" x14ac:dyDescent="0.25">
      <c r="H1076" s="37"/>
      <c r="I1076" s="79"/>
      <c r="J1076" s="70"/>
      <c r="K1076" s="57"/>
      <c r="L1076" s="11"/>
      <c r="M1076" s="41"/>
      <c r="N1076" s="11"/>
    </row>
    <row r="1077" spans="8:14" x14ac:dyDescent="0.25">
      <c r="H1077" s="37"/>
      <c r="I1077" s="79"/>
      <c r="J1077" s="70"/>
      <c r="K1077" s="57"/>
      <c r="L1077" s="11"/>
      <c r="M1077" s="41"/>
      <c r="N1077" s="11"/>
    </row>
    <row r="1078" spans="8:14" x14ac:dyDescent="0.25">
      <c r="H1078" s="37"/>
      <c r="I1078" s="79"/>
      <c r="J1078" s="70"/>
      <c r="K1078" s="57"/>
      <c r="L1078" s="11"/>
      <c r="M1078" s="41"/>
      <c r="N1078" s="11"/>
    </row>
    <row r="1079" spans="8:14" x14ac:dyDescent="0.25">
      <c r="H1079" s="37"/>
      <c r="I1079" s="79"/>
      <c r="J1079" s="70"/>
      <c r="K1079" s="57"/>
      <c r="L1079" s="11"/>
      <c r="M1079" s="41"/>
      <c r="N1079" s="11"/>
    </row>
    <row r="1080" spans="8:14" x14ac:dyDescent="0.25">
      <c r="H1080" s="37"/>
      <c r="I1080" s="79"/>
      <c r="J1080" s="70"/>
      <c r="K1080" s="57"/>
      <c r="L1080" s="11"/>
      <c r="M1080" s="41"/>
      <c r="N1080" s="11"/>
    </row>
    <row r="1081" spans="8:14" x14ac:dyDescent="0.25">
      <c r="H1081" s="37"/>
      <c r="I1081" s="79"/>
      <c r="J1081" s="70"/>
      <c r="K1081" s="57"/>
      <c r="L1081" s="11"/>
      <c r="M1081" s="41"/>
      <c r="N1081" s="11"/>
    </row>
    <row r="1082" spans="8:14" x14ac:dyDescent="0.25">
      <c r="H1082" s="37"/>
      <c r="I1082" s="79"/>
      <c r="J1082" s="70"/>
      <c r="K1082" s="57"/>
      <c r="L1082" s="11"/>
      <c r="M1082" s="41"/>
      <c r="N1082" s="11"/>
    </row>
    <row r="1083" spans="8:14" x14ac:dyDescent="0.25">
      <c r="H1083" s="37"/>
      <c r="I1083" s="79"/>
      <c r="J1083" s="70"/>
      <c r="K1083" s="57"/>
      <c r="L1083" s="11"/>
      <c r="M1083" s="41"/>
      <c r="N1083" s="11"/>
    </row>
    <row r="1084" spans="8:14" x14ac:dyDescent="0.25">
      <c r="H1084" s="37"/>
      <c r="I1084" s="79"/>
      <c r="J1084" s="70"/>
      <c r="K1084" s="57"/>
      <c r="L1084" s="11"/>
      <c r="M1084" s="41"/>
      <c r="N1084" s="11"/>
    </row>
    <row r="1085" spans="8:14" x14ac:dyDescent="0.25">
      <c r="H1085" s="37"/>
      <c r="I1085" s="79"/>
      <c r="J1085" s="70"/>
      <c r="K1085" s="57"/>
      <c r="L1085" s="11"/>
      <c r="M1085" s="41"/>
      <c r="N1085" s="11"/>
    </row>
    <row r="1086" spans="8:14" x14ac:dyDescent="0.25">
      <c r="H1086" s="37"/>
      <c r="I1086" s="79"/>
      <c r="J1086" s="70"/>
      <c r="K1086" s="57"/>
      <c r="L1086" s="11"/>
      <c r="M1086" s="41"/>
      <c r="N1086" s="11"/>
    </row>
    <row r="1087" spans="8:14" x14ac:dyDescent="0.25">
      <c r="H1087" s="37"/>
      <c r="I1087" s="79"/>
      <c r="J1087" s="70"/>
      <c r="K1087" s="57"/>
      <c r="L1087" s="11"/>
      <c r="M1087" s="41"/>
      <c r="N1087" s="11"/>
    </row>
    <row r="1088" spans="8:14" x14ac:dyDescent="0.25">
      <c r="H1088" s="37"/>
      <c r="I1088" s="79"/>
      <c r="J1088" s="70"/>
      <c r="K1088" s="57"/>
      <c r="L1088" s="11"/>
      <c r="M1088" s="41"/>
      <c r="N1088" s="11"/>
    </row>
    <row r="1089" spans="8:14" x14ac:dyDescent="0.25">
      <c r="H1089" s="37"/>
      <c r="I1089" s="79"/>
      <c r="J1089" s="70"/>
      <c r="K1089" s="57"/>
      <c r="L1089" s="11"/>
      <c r="M1089" s="41"/>
      <c r="N1089" s="11"/>
    </row>
    <row r="1090" spans="8:14" x14ac:dyDescent="0.25">
      <c r="H1090" s="37"/>
      <c r="I1090" s="79"/>
      <c r="J1090" s="70"/>
      <c r="K1090" s="57"/>
      <c r="L1090" s="11"/>
      <c r="M1090" s="41"/>
      <c r="N1090" s="11"/>
    </row>
    <row r="1091" spans="8:14" x14ac:dyDescent="0.25">
      <c r="H1091" s="37"/>
      <c r="I1091" s="79"/>
      <c r="J1091" s="70"/>
      <c r="K1091" s="57"/>
      <c r="L1091" s="11"/>
      <c r="M1091" s="41"/>
      <c r="N1091" s="11"/>
    </row>
    <row r="1092" spans="8:14" x14ac:dyDescent="0.25">
      <c r="H1092" s="37"/>
      <c r="I1092" s="79"/>
      <c r="J1092" s="70"/>
      <c r="K1092" s="57"/>
      <c r="L1092" s="11"/>
      <c r="M1092" s="41"/>
      <c r="N1092" s="11"/>
    </row>
    <row r="1093" spans="8:14" x14ac:dyDescent="0.25">
      <c r="H1093" s="37"/>
      <c r="I1093" s="79"/>
      <c r="J1093" s="70"/>
      <c r="K1093" s="57"/>
      <c r="L1093" s="11"/>
      <c r="M1093" s="41"/>
      <c r="N1093" s="11"/>
    </row>
    <row r="1094" spans="8:14" x14ac:dyDescent="0.25">
      <c r="H1094" s="37"/>
      <c r="I1094" s="79"/>
      <c r="J1094" s="70"/>
      <c r="K1094" s="57"/>
      <c r="L1094" s="11"/>
      <c r="M1094" s="41"/>
      <c r="N1094" s="11"/>
    </row>
    <row r="1095" spans="8:14" x14ac:dyDescent="0.25">
      <c r="H1095" s="37"/>
      <c r="I1095" s="79"/>
      <c r="J1095" s="70"/>
      <c r="K1095" s="57"/>
      <c r="L1095" s="11"/>
      <c r="M1095" s="41"/>
      <c r="N1095" s="11"/>
    </row>
    <row r="1096" spans="8:14" x14ac:dyDescent="0.25">
      <c r="H1096" s="37"/>
      <c r="I1096" s="79"/>
      <c r="J1096" s="70"/>
      <c r="K1096" s="57"/>
      <c r="L1096" s="11"/>
      <c r="M1096" s="41"/>
      <c r="N1096" s="11"/>
    </row>
    <row r="1097" spans="8:14" x14ac:dyDescent="0.25">
      <c r="H1097" s="37"/>
      <c r="I1097" s="79"/>
      <c r="J1097" s="70"/>
      <c r="K1097" s="57"/>
      <c r="L1097" s="11"/>
      <c r="M1097" s="41"/>
      <c r="N1097" s="11"/>
    </row>
    <row r="1098" spans="8:14" x14ac:dyDescent="0.25">
      <c r="H1098" s="37"/>
      <c r="I1098" s="79"/>
      <c r="J1098" s="70"/>
      <c r="K1098" s="57"/>
      <c r="L1098" s="11"/>
      <c r="M1098" s="41"/>
      <c r="N1098" s="11"/>
    </row>
    <row r="1099" spans="8:14" x14ac:dyDescent="0.25">
      <c r="H1099" s="37"/>
      <c r="I1099" s="79"/>
      <c r="J1099" s="70"/>
      <c r="K1099" s="57"/>
      <c r="L1099" s="11"/>
      <c r="M1099" s="41"/>
      <c r="N1099" s="11"/>
    </row>
    <row r="1100" spans="8:14" x14ac:dyDescent="0.25">
      <c r="H1100" s="37"/>
      <c r="I1100" s="79"/>
      <c r="J1100" s="70"/>
      <c r="K1100" s="57"/>
      <c r="L1100" s="11"/>
      <c r="M1100" s="41"/>
      <c r="N1100" s="11"/>
    </row>
    <row r="1101" spans="8:14" x14ac:dyDescent="0.25">
      <c r="H1101" s="37"/>
      <c r="I1101" s="79"/>
      <c r="J1101" s="70"/>
      <c r="K1101" s="57"/>
      <c r="L1101" s="11"/>
      <c r="M1101" s="41"/>
      <c r="N1101" s="11"/>
    </row>
    <row r="1102" spans="8:14" x14ac:dyDescent="0.25">
      <c r="H1102" s="37"/>
      <c r="I1102" s="79"/>
      <c r="J1102" s="70"/>
      <c r="K1102" s="57"/>
      <c r="L1102" s="11"/>
      <c r="M1102" s="41"/>
      <c r="N1102" s="11"/>
    </row>
    <row r="1103" spans="8:14" x14ac:dyDescent="0.25">
      <c r="H1103" s="37"/>
      <c r="I1103" s="79"/>
      <c r="J1103" s="70"/>
      <c r="K1103" s="57"/>
      <c r="L1103" s="11"/>
      <c r="M1103" s="41"/>
      <c r="N1103" s="11"/>
    </row>
    <row r="1104" spans="8:14" x14ac:dyDescent="0.25">
      <c r="H1104" s="37"/>
      <c r="I1104" s="79"/>
      <c r="J1104" s="70"/>
      <c r="K1104" s="57"/>
      <c r="L1104" s="11"/>
      <c r="M1104" s="41"/>
      <c r="N1104" s="11"/>
    </row>
    <row r="1105" spans="8:14" x14ac:dyDescent="0.25">
      <c r="H1105" s="37"/>
      <c r="I1105" s="79"/>
      <c r="J1105" s="70"/>
      <c r="K1105" s="57"/>
      <c r="L1105" s="11"/>
      <c r="M1105" s="41"/>
      <c r="N1105" s="11"/>
    </row>
    <row r="1106" spans="8:14" x14ac:dyDescent="0.25">
      <c r="H1106" s="37"/>
      <c r="I1106" s="79"/>
      <c r="J1106" s="70"/>
      <c r="K1106" s="57"/>
      <c r="L1106" s="11"/>
      <c r="M1106" s="41"/>
      <c r="N1106" s="11"/>
    </row>
    <row r="1107" spans="8:14" x14ac:dyDescent="0.25">
      <c r="H1107" s="37"/>
      <c r="I1107" s="79"/>
      <c r="J1107" s="70"/>
      <c r="K1107" s="57"/>
      <c r="L1107" s="11"/>
      <c r="M1107" s="41"/>
      <c r="N1107" s="11"/>
    </row>
    <row r="1108" spans="8:14" x14ac:dyDescent="0.25">
      <c r="H1108" s="37"/>
      <c r="I1108" s="79"/>
      <c r="J1108" s="70"/>
      <c r="K1108" s="57"/>
      <c r="L1108" s="11"/>
      <c r="M1108" s="41"/>
      <c r="N1108" s="11"/>
    </row>
    <row r="1109" spans="8:14" x14ac:dyDescent="0.25">
      <c r="H1109" s="37"/>
      <c r="I1109" s="79"/>
      <c r="J1109" s="70"/>
      <c r="K1109" s="57"/>
      <c r="L1109" s="11"/>
      <c r="M1109" s="41"/>
      <c r="N1109" s="11"/>
    </row>
    <row r="1110" spans="8:14" x14ac:dyDescent="0.25">
      <c r="H1110" s="37"/>
      <c r="I1110" s="79"/>
      <c r="J1110" s="70"/>
      <c r="K1110" s="57"/>
      <c r="L1110" s="11"/>
      <c r="M1110" s="41"/>
      <c r="N1110" s="11"/>
    </row>
    <row r="1111" spans="8:14" x14ac:dyDescent="0.25">
      <c r="H1111" s="37"/>
      <c r="I1111" s="79"/>
      <c r="J1111" s="70"/>
      <c r="K1111" s="57"/>
      <c r="L1111" s="11"/>
      <c r="M1111" s="41"/>
      <c r="N1111" s="11"/>
    </row>
    <row r="1112" spans="8:14" x14ac:dyDescent="0.25">
      <c r="H1112" s="37"/>
      <c r="I1112" s="79"/>
      <c r="J1112" s="70"/>
      <c r="K1112" s="57"/>
      <c r="L1112" s="11"/>
      <c r="M1112" s="41"/>
      <c r="N1112" s="11"/>
    </row>
    <row r="1113" spans="8:14" x14ac:dyDescent="0.25">
      <c r="H1113" s="37"/>
      <c r="I1113" s="79"/>
      <c r="J1113" s="70"/>
      <c r="K1113" s="57"/>
      <c r="L1113" s="11"/>
      <c r="M1113" s="41"/>
      <c r="N1113" s="11"/>
    </row>
    <row r="1114" spans="8:14" x14ac:dyDescent="0.25">
      <c r="H1114" s="37"/>
      <c r="I1114" s="79"/>
      <c r="J1114" s="70"/>
      <c r="K1114" s="57"/>
      <c r="L1114" s="11"/>
      <c r="M1114" s="41"/>
      <c r="N1114" s="11"/>
    </row>
    <row r="1115" spans="8:14" x14ac:dyDescent="0.25">
      <c r="H1115" s="37"/>
      <c r="I1115" s="79"/>
      <c r="J1115" s="70"/>
      <c r="K1115" s="57"/>
      <c r="L1115" s="11"/>
      <c r="M1115" s="41"/>
      <c r="N1115" s="11"/>
    </row>
    <row r="1116" spans="8:14" x14ac:dyDescent="0.25">
      <c r="H1116" s="37"/>
      <c r="I1116" s="79"/>
      <c r="J1116" s="70"/>
      <c r="K1116" s="57"/>
      <c r="L1116" s="11"/>
      <c r="M1116" s="41"/>
      <c r="N1116" s="11"/>
    </row>
    <row r="1117" spans="8:14" x14ac:dyDescent="0.25">
      <c r="H1117" s="37"/>
      <c r="I1117" s="79"/>
      <c r="J1117" s="70"/>
      <c r="K1117" s="57"/>
      <c r="L1117" s="11"/>
      <c r="M1117" s="41"/>
      <c r="N1117" s="11"/>
    </row>
    <row r="1118" spans="8:14" x14ac:dyDescent="0.25">
      <c r="H1118" s="37"/>
      <c r="I1118" s="79"/>
      <c r="J1118" s="70"/>
      <c r="K1118" s="57"/>
      <c r="L1118" s="11"/>
      <c r="M1118" s="41"/>
      <c r="N1118" s="11"/>
    </row>
    <row r="1119" spans="8:14" x14ac:dyDescent="0.25">
      <c r="H1119" s="37"/>
      <c r="I1119" s="79"/>
      <c r="J1119" s="70"/>
      <c r="K1119" s="57"/>
      <c r="L1119" s="11"/>
      <c r="M1119" s="41"/>
      <c r="N1119" s="11"/>
    </row>
    <row r="1120" spans="8:14" x14ac:dyDescent="0.25">
      <c r="H1120" s="37"/>
      <c r="I1120" s="79"/>
      <c r="J1120" s="70"/>
      <c r="K1120" s="57"/>
      <c r="L1120" s="11"/>
      <c r="M1120" s="41"/>
      <c r="N1120" s="11"/>
    </row>
    <row r="1121" spans="8:14" x14ac:dyDescent="0.25">
      <c r="H1121" s="37"/>
      <c r="I1121" s="79"/>
      <c r="J1121" s="70"/>
      <c r="K1121" s="57"/>
      <c r="L1121" s="11"/>
      <c r="M1121" s="41"/>
      <c r="N1121" s="11"/>
    </row>
    <row r="1122" spans="8:14" x14ac:dyDescent="0.25">
      <c r="H1122" s="37"/>
      <c r="I1122" s="79"/>
      <c r="J1122" s="70"/>
      <c r="K1122" s="57"/>
      <c r="L1122" s="11"/>
      <c r="M1122" s="41"/>
      <c r="N1122" s="11"/>
    </row>
    <row r="1123" spans="8:14" x14ac:dyDescent="0.25">
      <c r="H1123" s="37"/>
      <c r="I1123" s="79"/>
      <c r="J1123" s="70"/>
      <c r="K1123" s="57"/>
      <c r="L1123" s="11"/>
      <c r="M1123" s="41"/>
      <c r="N1123" s="11"/>
    </row>
    <row r="1124" spans="8:14" x14ac:dyDescent="0.25">
      <c r="H1124" s="37"/>
      <c r="I1124" s="79"/>
      <c r="J1124" s="70"/>
      <c r="K1124" s="57"/>
      <c r="L1124" s="11"/>
      <c r="M1124" s="41"/>
      <c r="N1124" s="11"/>
    </row>
    <row r="1125" spans="8:14" x14ac:dyDescent="0.25">
      <c r="H1125" s="37"/>
      <c r="I1125" s="79"/>
      <c r="J1125" s="70"/>
      <c r="K1125" s="57"/>
      <c r="L1125" s="11"/>
      <c r="M1125" s="41"/>
      <c r="N1125" s="11"/>
    </row>
    <row r="1126" spans="8:14" x14ac:dyDescent="0.25">
      <c r="H1126" s="37"/>
      <c r="I1126" s="79"/>
      <c r="J1126" s="70"/>
      <c r="K1126" s="57"/>
      <c r="L1126" s="11"/>
      <c r="M1126" s="41"/>
      <c r="N1126" s="11"/>
    </row>
    <row r="1127" spans="8:14" x14ac:dyDescent="0.25">
      <c r="H1127" s="37"/>
      <c r="I1127" s="79"/>
      <c r="J1127" s="70"/>
      <c r="K1127" s="57"/>
      <c r="L1127" s="11"/>
      <c r="M1127" s="41"/>
      <c r="N1127" s="11"/>
    </row>
    <row r="1128" spans="8:14" x14ac:dyDescent="0.25">
      <c r="H1128" s="37"/>
      <c r="I1128" s="79"/>
      <c r="J1128" s="70"/>
      <c r="K1128" s="57"/>
      <c r="L1128" s="11"/>
      <c r="M1128" s="41"/>
      <c r="N1128" s="11"/>
    </row>
    <row r="1129" spans="8:14" x14ac:dyDescent="0.25">
      <c r="H1129" s="37"/>
      <c r="I1129" s="79"/>
      <c r="J1129" s="70"/>
      <c r="K1129" s="57"/>
      <c r="L1129" s="11"/>
      <c r="M1129" s="41"/>
      <c r="N1129" s="11"/>
    </row>
    <row r="1130" spans="8:14" x14ac:dyDescent="0.25">
      <c r="H1130" s="37"/>
      <c r="I1130" s="79"/>
      <c r="J1130" s="70"/>
      <c r="K1130" s="57"/>
      <c r="L1130" s="11"/>
      <c r="M1130" s="41"/>
      <c r="N1130" s="11"/>
    </row>
    <row r="1131" spans="8:14" x14ac:dyDescent="0.25">
      <c r="H1131" s="37"/>
      <c r="I1131" s="79"/>
      <c r="J1131" s="70"/>
      <c r="K1131" s="57"/>
      <c r="L1131" s="11"/>
      <c r="M1131" s="41"/>
      <c r="N1131" s="11"/>
    </row>
    <row r="1132" spans="8:14" x14ac:dyDescent="0.25">
      <c r="H1132" s="37"/>
      <c r="I1132" s="79"/>
      <c r="J1132" s="70"/>
      <c r="K1132" s="57"/>
      <c r="L1132" s="11"/>
      <c r="M1132" s="41"/>
      <c r="N1132" s="11"/>
    </row>
    <row r="1133" spans="8:14" x14ac:dyDescent="0.25">
      <c r="H1133" s="37"/>
      <c r="I1133" s="79"/>
      <c r="J1133" s="70"/>
      <c r="K1133" s="57"/>
      <c r="L1133" s="11"/>
      <c r="M1133" s="41"/>
      <c r="N1133" s="11"/>
    </row>
    <row r="1134" spans="8:14" x14ac:dyDescent="0.25">
      <c r="H1134" s="37"/>
      <c r="I1134" s="79"/>
      <c r="J1134" s="70"/>
      <c r="K1134" s="57"/>
      <c r="L1134" s="11"/>
      <c r="M1134" s="41"/>
      <c r="N1134" s="11"/>
    </row>
    <row r="1135" spans="8:14" x14ac:dyDescent="0.25">
      <c r="H1135" s="37"/>
      <c r="I1135" s="79"/>
      <c r="J1135" s="70"/>
      <c r="K1135" s="57"/>
      <c r="L1135" s="11"/>
      <c r="M1135" s="41"/>
      <c r="N1135" s="11"/>
    </row>
    <row r="1136" spans="8:14" x14ac:dyDescent="0.25">
      <c r="H1136" s="37"/>
      <c r="I1136" s="79"/>
      <c r="J1136" s="70"/>
      <c r="K1136" s="57"/>
      <c r="L1136" s="11"/>
      <c r="M1136" s="41"/>
      <c r="N1136" s="11"/>
    </row>
    <row r="1137" spans="8:14" x14ac:dyDescent="0.25">
      <c r="H1137" s="37"/>
      <c r="I1137" s="79"/>
      <c r="J1137" s="70"/>
      <c r="K1137" s="57"/>
      <c r="L1137" s="11"/>
      <c r="M1137" s="41"/>
      <c r="N1137" s="11"/>
    </row>
    <row r="1138" spans="8:14" x14ac:dyDescent="0.25">
      <c r="H1138" s="37"/>
      <c r="I1138" s="79"/>
      <c r="J1138" s="70"/>
      <c r="K1138" s="57"/>
      <c r="L1138" s="11"/>
      <c r="M1138" s="41"/>
      <c r="N1138" s="11"/>
    </row>
    <row r="1139" spans="8:14" x14ac:dyDescent="0.25">
      <c r="H1139" s="37"/>
      <c r="I1139" s="79"/>
      <c r="J1139" s="70"/>
      <c r="K1139" s="57"/>
      <c r="L1139" s="11"/>
      <c r="M1139" s="41"/>
      <c r="N1139" s="11"/>
    </row>
    <row r="1140" spans="8:14" x14ac:dyDescent="0.25">
      <c r="H1140" s="37"/>
      <c r="I1140" s="79"/>
      <c r="J1140" s="70"/>
      <c r="K1140" s="57"/>
      <c r="L1140" s="11"/>
      <c r="M1140" s="41"/>
      <c r="N1140" s="11"/>
    </row>
    <row r="1141" spans="8:14" x14ac:dyDescent="0.25">
      <c r="H1141" s="37"/>
      <c r="I1141" s="79"/>
      <c r="J1141" s="70"/>
      <c r="K1141" s="57"/>
      <c r="L1141" s="11"/>
      <c r="M1141" s="41"/>
      <c r="N1141" s="11"/>
    </row>
    <row r="1142" spans="8:14" x14ac:dyDescent="0.25">
      <c r="H1142" s="37"/>
      <c r="I1142" s="79"/>
      <c r="J1142" s="70"/>
      <c r="K1142" s="57"/>
      <c r="L1142" s="11"/>
      <c r="M1142" s="41"/>
      <c r="N1142" s="11"/>
    </row>
    <row r="1143" spans="8:14" x14ac:dyDescent="0.25">
      <c r="H1143" s="37"/>
      <c r="I1143" s="79"/>
      <c r="J1143" s="70"/>
      <c r="K1143" s="57"/>
      <c r="L1143" s="11"/>
      <c r="M1143" s="41"/>
      <c r="N1143" s="11"/>
    </row>
    <row r="1144" spans="8:14" x14ac:dyDescent="0.25">
      <c r="H1144" s="37"/>
      <c r="I1144" s="79"/>
      <c r="J1144" s="70"/>
      <c r="K1144" s="57"/>
      <c r="L1144" s="11"/>
      <c r="M1144" s="41"/>
      <c r="N1144" s="11"/>
    </row>
    <row r="1145" spans="8:14" x14ac:dyDescent="0.25">
      <c r="H1145" s="37"/>
      <c r="I1145" s="79"/>
      <c r="J1145" s="70"/>
      <c r="K1145" s="57"/>
      <c r="L1145" s="11"/>
      <c r="M1145" s="41"/>
      <c r="N1145" s="11"/>
    </row>
    <row r="1146" spans="8:14" x14ac:dyDescent="0.25">
      <c r="H1146" s="37"/>
      <c r="I1146" s="79"/>
      <c r="J1146" s="70"/>
      <c r="K1146" s="57"/>
      <c r="L1146" s="11"/>
      <c r="M1146" s="41"/>
      <c r="N1146" s="11"/>
    </row>
    <row r="1147" spans="8:14" x14ac:dyDescent="0.25">
      <c r="H1147" s="37"/>
      <c r="I1147" s="79"/>
      <c r="J1147" s="70"/>
      <c r="K1147" s="57"/>
      <c r="L1147" s="11"/>
      <c r="M1147" s="41"/>
      <c r="N1147" s="11"/>
    </row>
    <row r="1148" spans="8:14" x14ac:dyDescent="0.25">
      <c r="H1148" s="37"/>
      <c r="I1148" s="79"/>
      <c r="J1148" s="70"/>
      <c r="K1148" s="57"/>
      <c r="L1148" s="11"/>
      <c r="M1148" s="41"/>
      <c r="N1148" s="11"/>
    </row>
    <row r="1149" spans="8:14" x14ac:dyDescent="0.25">
      <c r="H1149" s="37"/>
      <c r="I1149" s="79"/>
      <c r="J1149" s="70"/>
      <c r="K1149" s="57"/>
      <c r="L1149" s="11"/>
      <c r="M1149" s="41"/>
      <c r="N1149" s="11"/>
    </row>
    <row r="1150" spans="8:14" x14ac:dyDescent="0.25">
      <c r="H1150" s="37"/>
      <c r="I1150" s="79"/>
      <c r="J1150" s="70"/>
      <c r="K1150" s="57"/>
      <c r="L1150" s="11"/>
      <c r="M1150" s="41"/>
      <c r="N1150" s="11"/>
    </row>
    <row r="1151" spans="8:14" x14ac:dyDescent="0.25">
      <c r="H1151" s="37"/>
      <c r="I1151" s="79"/>
      <c r="J1151" s="70"/>
      <c r="K1151" s="57"/>
      <c r="L1151" s="11"/>
      <c r="M1151" s="41"/>
      <c r="N1151" s="11"/>
    </row>
    <row r="1152" spans="8:14" x14ac:dyDescent="0.25">
      <c r="H1152" s="37"/>
      <c r="I1152" s="79"/>
      <c r="J1152" s="70"/>
      <c r="K1152" s="57"/>
      <c r="L1152" s="11"/>
      <c r="M1152" s="41"/>
      <c r="N1152" s="11"/>
    </row>
    <row r="1153" spans="8:14" x14ac:dyDescent="0.25">
      <c r="H1153" s="37"/>
      <c r="I1153" s="79"/>
      <c r="J1153" s="70"/>
      <c r="K1153" s="57"/>
      <c r="L1153" s="11"/>
      <c r="M1153" s="41"/>
      <c r="N1153" s="11"/>
    </row>
    <row r="1154" spans="8:14" x14ac:dyDescent="0.25">
      <c r="H1154" s="37"/>
      <c r="I1154" s="79"/>
      <c r="J1154" s="70"/>
      <c r="K1154" s="57"/>
      <c r="L1154" s="11"/>
      <c r="M1154" s="41"/>
      <c r="N1154" s="11"/>
    </row>
    <row r="1155" spans="8:14" x14ac:dyDescent="0.25">
      <c r="H1155" s="37"/>
      <c r="I1155" s="79"/>
      <c r="J1155" s="70"/>
      <c r="K1155" s="57"/>
      <c r="L1155" s="11"/>
      <c r="M1155" s="41"/>
      <c r="N1155" s="11"/>
    </row>
    <row r="1156" spans="8:14" x14ac:dyDescent="0.25">
      <c r="H1156" s="37"/>
      <c r="I1156" s="79"/>
      <c r="J1156" s="70"/>
      <c r="K1156" s="57"/>
      <c r="L1156" s="11"/>
      <c r="M1156" s="41"/>
      <c r="N1156" s="11"/>
    </row>
    <row r="1157" spans="8:14" x14ac:dyDescent="0.25">
      <c r="H1157" s="37"/>
      <c r="I1157" s="79"/>
      <c r="J1157" s="70"/>
      <c r="K1157" s="57"/>
      <c r="L1157" s="11"/>
      <c r="M1157" s="41"/>
      <c r="N1157" s="11"/>
    </row>
    <row r="1158" spans="8:14" x14ac:dyDescent="0.25">
      <c r="H1158" s="37"/>
      <c r="I1158" s="79"/>
      <c r="J1158" s="70"/>
      <c r="K1158" s="57"/>
      <c r="L1158" s="11"/>
      <c r="M1158" s="41"/>
      <c r="N1158" s="11"/>
    </row>
    <row r="1159" spans="8:14" x14ac:dyDescent="0.25">
      <c r="H1159" s="37"/>
      <c r="I1159" s="79"/>
      <c r="J1159" s="70"/>
      <c r="K1159" s="57"/>
      <c r="L1159" s="11"/>
      <c r="M1159" s="41"/>
      <c r="N1159" s="11"/>
    </row>
    <row r="1160" spans="8:14" x14ac:dyDescent="0.25">
      <c r="H1160" s="37"/>
      <c r="I1160" s="79"/>
      <c r="J1160" s="70"/>
      <c r="K1160" s="57"/>
      <c r="L1160" s="11"/>
      <c r="M1160" s="41"/>
      <c r="N1160" s="11"/>
    </row>
    <row r="1161" spans="8:14" x14ac:dyDescent="0.25">
      <c r="H1161" s="37"/>
      <c r="I1161" s="79"/>
      <c r="J1161" s="70"/>
      <c r="K1161" s="57"/>
      <c r="L1161" s="11"/>
      <c r="M1161" s="41"/>
      <c r="N1161" s="11"/>
    </row>
    <row r="1162" spans="8:14" x14ac:dyDescent="0.25">
      <c r="H1162" s="37"/>
      <c r="I1162" s="79"/>
      <c r="J1162" s="70"/>
      <c r="K1162" s="57"/>
      <c r="L1162" s="11"/>
      <c r="M1162" s="41"/>
      <c r="N1162" s="11"/>
    </row>
    <row r="1163" spans="8:14" x14ac:dyDescent="0.25">
      <c r="H1163" s="37"/>
      <c r="I1163" s="79"/>
      <c r="J1163" s="70"/>
      <c r="K1163" s="57"/>
      <c r="L1163" s="11"/>
      <c r="M1163" s="41"/>
      <c r="N1163" s="11"/>
    </row>
    <row r="1164" spans="8:14" x14ac:dyDescent="0.25">
      <c r="H1164" s="37"/>
      <c r="I1164" s="79"/>
      <c r="J1164" s="70"/>
      <c r="K1164" s="57"/>
      <c r="L1164" s="11"/>
      <c r="M1164" s="41"/>
      <c r="N1164" s="11"/>
    </row>
    <row r="1165" spans="8:14" x14ac:dyDescent="0.25">
      <c r="H1165" s="37"/>
      <c r="I1165" s="79"/>
      <c r="J1165" s="70"/>
      <c r="K1165" s="57"/>
      <c r="L1165" s="11"/>
      <c r="M1165" s="41"/>
      <c r="N1165" s="11"/>
    </row>
    <row r="1166" spans="8:14" x14ac:dyDescent="0.25">
      <c r="H1166" s="37"/>
      <c r="I1166" s="79"/>
      <c r="J1166" s="70"/>
      <c r="K1166" s="57"/>
      <c r="L1166" s="11"/>
      <c r="M1166" s="41"/>
      <c r="N1166" s="11"/>
    </row>
    <row r="1167" spans="8:14" x14ac:dyDescent="0.25">
      <c r="H1167" s="37"/>
      <c r="I1167" s="79"/>
      <c r="J1167" s="70"/>
      <c r="K1167" s="57"/>
      <c r="L1167" s="11"/>
      <c r="M1167" s="41"/>
      <c r="N1167" s="11"/>
    </row>
    <row r="1168" spans="8:14" x14ac:dyDescent="0.25">
      <c r="H1168" s="37"/>
      <c r="I1168" s="79"/>
      <c r="J1168" s="70"/>
      <c r="K1168" s="57"/>
      <c r="L1168" s="11"/>
      <c r="M1168" s="41"/>
      <c r="N1168" s="11"/>
    </row>
    <row r="1169" spans="8:14" x14ac:dyDescent="0.25">
      <c r="H1169" s="37"/>
      <c r="I1169" s="79"/>
      <c r="J1169" s="70"/>
      <c r="K1169" s="57"/>
      <c r="L1169" s="11"/>
      <c r="M1169" s="41"/>
      <c r="N1169" s="11"/>
    </row>
    <row r="1170" spans="8:14" x14ac:dyDescent="0.25">
      <c r="H1170" s="37"/>
      <c r="I1170" s="79"/>
      <c r="J1170" s="70"/>
      <c r="K1170" s="57"/>
      <c r="L1170" s="11"/>
      <c r="M1170" s="41"/>
      <c r="N1170" s="11"/>
    </row>
    <row r="1171" spans="8:14" x14ac:dyDescent="0.25">
      <c r="H1171" s="37"/>
      <c r="I1171" s="79"/>
      <c r="J1171" s="70"/>
      <c r="K1171" s="57"/>
      <c r="L1171" s="11"/>
      <c r="M1171" s="41"/>
      <c r="N1171" s="11"/>
    </row>
    <row r="1172" spans="8:14" x14ac:dyDescent="0.25">
      <c r="H1172" s="37"/>
      <c r="I1172" s="79"/>
      <c r="J1172" s="70"/>
      <c r="K1172" s="57"/>
      <c r="L1172" s="11"/>
      <c r="M1172" s="41"/>
      <c r="N1172" s="11"/>
    </row>
    <row r="1173" spans="8:14" x14ac:dyDescent="0.25">
      <c r="H1173" s="37"/>
      <c r="I1173" s="79"/>
      <c r="J1173" s="70"/>
      <c r="K1173" s="57"/>
      <c r="L1173" s="11"/>
      <c r="M1173" s="41"/>
      <c r="N1173" s="11"/>
    </row>
    <row r="1174" spans="8:14" x14ac:dyDescent="0.25">
      <c r="H1174" s="37"/>
      <c r="I1174" s="79"/>
      <c r="J1174" s="70"/>
      <c r="K1174" s="57"/>
      <c r="L1174" s="11"/>
      <c r="M1174" s="41"/>
      <c r="N1174" s="11"/>
    </row>
    <row r="1175" spans="8:14" x14ac:dyDescent="0.25">
      <c r="H1175" s="37"/>
      <c r="I1175" s="79"/>
      <c r="J1175" s="70"/>
      <c r="K1175" s="57"/>
      <c r="L1175" s="11"/>
      <c r="M1175" s="41"/>
      <c r="N1175" s="11"/>
    </row>
    <row r="1176" spans="8:14" x14ac:dyDescent="0.25">
      <c r="H1176" s="37"/>
      <c r="I1176" s="79"/>
      <c r="J1176" s="70"/>
      <c r="K1176" s="57"/>
      <c r="L1176" s="11"/>
      <c r="M1176" s="41"/>
      <c r="N1176" s="11"/>
    </row>
    <row r="1177" spans="8:14" x14ac:dyDescent="0.25">
      <c r="H1177" s="37"/>
      <c r="I1177" s="79"/>
      <c r="J1177" s="70"/>
      <c r="K1177" s="57"/>
      <c r="L1177" s="11"/>
      <c r="M1177" s="41"/>
      <c r="N1177" s="11"/>
    </row>
    <row r="1178" spans="8:14" x14ac:dyDescent="0.25">
      <c r="H1178" s="37"/>
      <c r="I1178" s="79"/>
      <c r="J1178" s="70"/>
      <c r="K1178" s="57"/>
      <c r="L1178" s="11"/>
      <c r="M1178" s="41"/>
      <c r="N1178" s="11"/>
    </row>
    <row r="1179" spans="8:14" x14ac:dyDescent="0.25">
      <c r="H1179" s="37"/>
      <c r="I1179" s="79"/>
      <c r="J1179" s="70"/>
      <c r="K1179" s="57"/>
      <c r="L1179" s="11"/>
      <c r="M1179" s="41"/>
      <c r="N1179" s="11"/>
    </row>
    <row r="1180" spans="8:14" x14ac:dyDescent="0.25">
      <c r="H1180" s="37"/>
      <c r="I1180" s="79"/>
      <c r="J1180" s="70"/>
      <c r="K1180" s="57"/>
      <c r="L1180" s="11"/>
      <c r="M1180" s="41"/>
      <c r="N1180" s="11"/>
    </row>
    <row r="1181" spans="8:14" x14ac:dyDescent="0.25">
      <c r="H1181" s="37"/>
      <c r="I1181" s="79"/>
      <c r="J1181" s="70"/>
      <c r="K1181" s="57"/>
      <c r="L1181" s="11"/>
      <c r="M1181" s="41"/>
      <c r="N1181" s="11"/>
    </row>
    <row r="1182" spans="8:14" x14ac:dyDescent="0.25">
      <c r="H1182" s="37"/>
      <c r="I1182" s="79"/>
      <c r="J1182" s="70"/>
      <c r="K1182" s="57"/>
      <c r="L1182" s="11"/>
      <c r="M1182" s="41"/>
      <c r="N1182" s="11"/>
    </row>
    <row r="1183" spans="8:14" x14ac:dyDescent="0.25">
      <c r="H1183" s="37"/>
      <c r="I1183" s="79"/>
      <c r="J1183" s="70"/>
      <c r="K1183" s="57"/>
      <c r="L1183" s="11"/>
      <c r="M1183" s="41"/>
      <c r="N1183" s="11"/>
    </row>
    <row r="1184" spans="8:14" x14ac:dyDescent="0.25">
      <c r="H1184" s="37"/>
      <c r="I1184" s="79"/>
      <c r="J1184" s="70"/>
      <c r="K1184" s="57"/>
      <c r="L1184" s="11"/>
      <c r="M1184" s="41"/>
      <c r="N1184" s="11"/>
    </row>
    <row r="1185" spans="8:14" x14ac:dyDescent="0.25">
      <c r="H1185" s="37"/>
      <c r="I1185" s="79"/>
      <c r="J1185" s="70"/>
      <c r="K1185" s="57"/>
      <c r="L1185" s="11"/>
      <c r="M1185" s="41"/>
      <c r="N1185" s="11"/>
    </row>
    <row r="1186" spans="8:14" x14ac:dyDescent="0.25">
      <c r="H1186" s="37"/>
      <c r="I1186" s="79"/>
      <c r="J1186" s="70"/>
      <c r="K1186" s="57"/>
      <c r="L1186" s="11"/>
      <c r="M1186" s="41"/>
      <c r="N1186" s="11"/>
    </row>
    <row r="1187" spans="8:14" x14ac:dyDescent="0.25">
      <c r="H1187" s="37"/>
      <c r="I1187" s="79"/>
      <c r="J1187" s="70"/>
      <c r="K1187" s="57"/>
      <c r="L1187" s="11"/>
      <c r="M1187" s="41"/>
      <c r="N1187" s="11"/>
    </row>
    <row r="1188" spans="8:14" x14ac:dyDescent="0.25">
      <c r="H1188" s="37"/>
      <c r="I1188" s="79"/>
      <c r="J1188" s="70"/>
      <c r="K1188" s="57"/>
      <c r="L1188" s="11"/>
      <c r="M1188" s="41"/>
      <c r="N1188" s="11"/>
    </row>
    <row r="1189" spans="8:14" x14ac:dyDescent="0.25">
      <c r="H1189" s="37"/>
      <c r="I1189" s="79"/>
      <c r="J1189" s="70"/>
      <c r="K1189" s="57"/>
      <c r="L1189" s="11"/>
      <c r="M1189" s="41"/>
      <c r="N1189" s="11"/>
    </row>
    <row r="1190" spans="8:14" x14ac:dyDescent="0.25">
      <c r="H1190" s="37"/>
      <c r="I1190" s="79"/>
      <c r="J1190" s="70"/>
      <c r="K1190" s="57"/>
      <c r="L1190" s="11"/>
      <c r="M1190" s="41"/>
      <c r="N1190" s="11"/>
    </row>
    <row r="1191" spans="8:14" x14ac:dyDescent="0.25">
      <c r="H1191" s="37"/>
      <c r="I1191" s="79"/>
      <c r="J1191" s="70"/>
      <c r="K1191" s="57"/>
      <c r="L1191" s="11"/>
      <c r="M1191" s="41"/>
      <c r="N1191" s="11"/>
    </row>
    <row r="1192" spans="8:14" x14ac:dyDescent="0.25">
      <c r="H1192" s="37"/>
      <c r="I1192" s="79"/>
      <c r="J1192" s="70"/>
      <c r="K1192" s="57"/>
      <c r="L1192" s="11"/>
      <c r="M1192" s="41"/>
      <c r="N1192" s="11"/>
    </row>
    <row r="1193" spans="8:14" x14ac:dyDescent="0.25">
      <c r="H1193" s="37"/>
      <c r="I1193" s="79"/>
      <c r="J1193" s="70"/>
      <c r="K1193" s="57"/>
      <c r="L1193" s="11"/>
      <c r="M1193" s="41"/>
      <c r="N1193" s="11"/>
    </row>
    <row r="1194" spans="8:14" x14ac:dyDescent="0.25">
      <c r="H1194" s="37"/>
      <c r="I1194" s="79"/>
      <c r="J1194" s="70"/>
      <c r="K1194" s="57"/>
      <c r="L1194" s="11"/>
      <c r="M1194" s="41"/>
      <c r="N1194" s="11"/>
    </row>
    <row r="1195" spans="8:14" x14ac:dyDescent="0.25">
      <c r="H1195" s="37"/>
      <c r="I1195" s="79"/>
      <c r="J1195" s="70"/>
      <c r="K1195" s="57"/>
      <c r="L1195" s="11"/>
      <c r="M1195" s="41"/>
      <c r="N1195" s="11"/>
    </row>
    <row r="1196" spans="8:14" x14ac:dyDescent="0.25">
      <c r="H1196" s="37"/>
      <c r="I1196" s="79"/>
      <c r="J1196" s="70"/>
      <c r="K1196" s="57"/>
      <c r="L1196" s="11"/>
      <c r="M1196" s="41"/>
      <c r="N1196" s="11"/>
    </row>
    <row r="1197" spans="8:14" x14ac:dyDescent="0.25">
      <c r="H1197" s="37"/>
      <c r="I1197" s="79"/>
      <c r="J1197" s="70"/>
      <c r="K1197" s="57"/>
      <c r="L1197" s="11"/>
      <c r="M1197" s="41"/>
      <c r="N1197" s="11"/>
    </row>
    <row r="1198" spans="8:14" x14ac:dyDescent="0.25">
      <c r="H1198" s="37"/>
      <c r="I1198" s="79"/>
      <c r="J1198" s="70"/>
      <c r="K1198" s="57"/>
      <c r="L1198" s="11"/>
      <c r="M1198" s="41"/>
      <c r="N1198" s="11"/>
    </row>
    <row r="1199" spans="8:14" x14ac:dyDescent="0.25">
      <c r="H1199" s="37"/>
      <c r="I1199" s="79"/>
      <c r="J1199" s="70"/>
      <c r="K1199" s="57"/>
      <c r="L1199" s="11"/>
      <c r="M1199" s="41"/>
      <c r="N1199" s="11"/>
    </row>
    <row r="1200" spans="8:14" x14ac:dyDescent="0.25">
      <c r="H1200" s="37"/>
      <c r="I1200" s="79"/>
      <c r="J1200" s="70"/>
      <c r="K1200" s="57"/>
      <c r="L1200" s="11"/>
      <c r="M1200" s="41"/>
      <c r="N1200" s="11"/>
    </row>
    <row r="1201" spans="8:14" x14ac:dyDescent="0.25">
      <c r="H1201" s="37"/>
      <c r="I1201" s="79"/>
      <c r="J1201" s="70"/>
      <c r="K1201" s="57"/>
      <c r="L1201" s="11"/>
      <c r="M1201" s="41"/>
      <c r="N1201" s="11"/>
    </row>
    <row r="1202" spans="8:14" x14ac:dyDescent="0.25">
      <c r="H1202" s="37"/>
      <c r="I1202" s="79"/>
      <c r="J1202" s="70"/>
      <c r="K1202" s="57"/>
      <c r="L1202" s="11"/>
      <c r="M1202" s="41"/>
      <c r="N1202" s="11"/>
    </row>
    <row r="1203" spans="8:14" x14ac:dyDescent="0.25">
      <c r="H1203" s="37"/>
      <c r="I1203" s="79"/>
      <c r="J1203" s="70"/>
      <c r="K1203" s="57"/>
      <c r="L1203" s="11"/>
      <c r="M1203" s="41"/>
      <c r="N1203" s="11"/>
    </row>
    <row r="1204" spans="8:14" x14ac:dyDescent="0.25">
      <c r="H1204" s="37"/>
      <c r="I1204" s="79"/>
      <c r="J1204" s="70"/>
      <c r="K1204" s="57"/>
      <c r="L1204" s="11"/>
      <c r="M1204" s="41"/>
      <c r="N1204" s="11"/>
    </row>
    <row r="1205" spans="8:14" x14ac:dyDescent="0.25">
      <c r="H1205" s="37"/>
      <c r="I1205" s="79"/>
      <c r="J1205" s="70"/>
      <c r="K1205" s="57"/>
      <c r="L1205" s="11"/>
      <c r="M1205" s="41"/>
      <c r="N1205" s="11"/>
    </row>
    <row r="1206" spans="8:14" x14ac:dyDescent="0.25">
      <c r="H1206" s="37"/>
      <c r="I1206" s="79"/>
      <c r="J1206" s="70"/>
      <c r="K1206" s="57"/>
      <c r="L1206" s="11"/>
      <c r="M1206" s="41"/>
      <c r="N1206" s="11"/>
    </row>
    <row r="1207" spans="8:14" x14ac:dyDescent="0.25">
      <c r="H1207" s="37"/>
      <c r="I1207" s="79"/>
      <c r="J1207" s="70"/>
      <c r="K1207" s="57"/>
      <c r="L1207" s="11"/>
      <c r="M1207" s="41"/>
      <c r="N1207" s="11"/>
    </row>
    <row r="1208" spans="8:14" x14ac:dyDescent="0.25">
      <c r="H1208" s="37"/>
      <c r="I1208" s="79"/>
      <c r="J1208" s="70"/>
      <c r="K1208" s="57"/>
      <c r="L1208" s="11"/>
      <c r="M1208" s="41"/>
      <c r="N1208" s="11"/>
    </row>
    <row r="1209" spans="8:14" x14ac:dyDescent="0.25">
      <c r="H1209" s="37"/>
      <c r="I1209" s="79"/>
      <c r="J1209" s="70"/>
      <c r="K1209" s="57"/>
      <c r="L1209" s="11"/>
      <c r="M1209" s="41"/>
      <c r="N1209" s="11"/>
    </row>
    <row r="1210" spans="8:14" x14ac:dyDescent="0.25">
      <c r="H1210" s="37"/>
      <c r="I1210" s="79"/>
      <c r="J1210" s="70"/>
      <c r="K1210" s="57"/>
      <c r="L1210" s="11"/>
      <c r="M1210" s="41"/>
      <c r="N1210" s="11"/>
    </row>
    <row r="1211" spans="8:14" x14ac:dyDescent="0.25">
      <c r="H1211" s="37"/>
      <c r="I1211" s="79"/>
      <c r="J1211" s="70"/>
      <c r="K1211" s="57"/>
      <c r="L1211" s="11"/>
      <c r="M1211" s="41"/>
      <c r="N1211" s="11"/>
    </row>
    <row r="1212" spans="8:14" x14ac:dyDescent="0.25">
      <c r="H1212" s="37"/>
      <c r="I1212" s="79"/>
      <c r="J1212" s="70"/>
      <c r="K1212" s="57"/>
      <c r="L1212" s="11"/>
      <c r="M1212" s="41"/>
      <c r="N1212" s="11"/>
    </row>
    <row r="1213" spans="8:14" x14ac:dyDescent="0.25">
      <c r="H1213" s="37"/>
      <c r="I1213" s="79"/>
      <c r="J1213" s="70"/>
      <c r="K1213" s="57"/>
      <c r="L1213" s="11"/>
      <c r="M1213" s="41"/>
      <c r="N1213" s="11"/>
    </row>
    <row r="1214" spans="8:14" x14ac:dyDescent="0.25">
      <c r="H1214" s="37"/>
      <c r="I1214" s="79"/>
      <c r="J1214" s="70"/>
      <c r="K1214" s="57"/>
      <c r="L1214" s="11"/>
      <c r="M1214" s="41"/>
      <c r="N1214" s="11"/>
    </row>
    <row r="1215" spans="8:14" x14ac:dyDescent="0.25">
      <c r="H1215" s="37"/>
      <c r="I1215" s="79"/>
      <c r="J1215" s="70"/>
      <c r="K1215" s="57"/>
      <c r="L1215" s="11"/>
      <c r="M1215" s="41"/>
      <c r="N1215" s="11"/>
    </row>
    <row r="1216" spans="8:14" x14ac:dyDescent="0.25">
      <c r="H1216" s="37"/>
      <c r="I1216" s="79"/>
      <c r="J1216" s="70"/>
      <c r="K1216" s="57"/>
      <c r="L1216" s="11"/>
      <c r="M1216" s="41"/>
      <c r="N1216" s="11"/>
    </row>
    <row r="1217" spans="8:14" x14ac:dyDescent="0.25">
      <c r="H1217" s="37"/>
      <c r="I1217" s="79"/>
      <c r="J1217" s="70"/>
      <c r="K1217" s="57"/>
      <c r="L1217" s="11"/>
      <c r="M1217" s="41"/>
      <c r="N1217" s="11"/>
    </row>
    <row r="1218" spans="8:14" x14ac:dyDescent="0.25">
      <c r="H1218" s="37"/>
      <c r="I1218" s="79"/>
      <c r="J1218" s="70"/>
      <c r="K1218" s="57"/>
      <c r="L1218" s="11"/>
      <c r="M1218" s="41"/>
      <c r="N1218" s="11"/>
    </row>
    <row r="1219" spans="8:14" x14ac:dyDescent="0.25">
      <c r="H1219" s="37"/>
      <c r="I1219" s="79"/>
      <c r="J1219" s="70"/>
      <c r="K1219" s="57"/>
      <c r="L1219" s="11"/>
      <c r="M1219" s="41"/>
      <c r="N1219" s="11"/>
    </row>
    <row r="1220" spans="8:14" x14ac:dyDescent="0.25">
      <c r="H1220" s="37"/>
      <c r="I1220" s="79"/>
      <c r="J1220" s="70"/>
      <c r="K1220" s="57"/>
      <c r="L1220" s="11"/>
      <c r="M1220" s="41"/>
      <c r="N1220" s="11"/>
    </row>
    <row r="1221" spans="8:14" x14ac:dyDescent="0.25">
      <c r="H1221" s="37"/>
      <c r="I1221" s="79"/>
      <c r="J1221" s="70"/>
      <c r="K1221" s="57"/>
      <c r="L1221" s="11"/>
      <c r="M1221" s="41"/>
      <c r="N1221" s="11"/>
    </row>
    <row r="1222" spans="8:14" x14ac:dyDescent="0.25">
      <c r="H1222" s="37"/>
      <c r="I1222" s="79"/>
      <c r="J1222" s="70"/>
      <c r="K1222" s="57"/>
      <c r="L1222" s="11"/>
      <c r="M1222" s="41"/>
      <c r="N1222" s="11"/>
    </row>
    <row r="1223" spans="8:14" x14ac:dyDescent="0.25">
      <c r="H1223" s="37"/>
      <c r="I1223" s="79"/>
      <c r="J1223" s="70"/>
      <c r="K1223" s="57"/>
      <c r="L1223" s="11"/>
      <c r="M1223" s="41"/>
      <c r="N1223" s="11"/>
    </row>
    <row r="1224" spans="8:14" x14ac:dyDescent="0.25">
      <c r="H1224" s="37"/>
      <c r="I1224" s="79"/>
      <c r="J1224" s="70"/>
      <c r="K1224" s="57"/>
      <c r="L1224" s="11"/>
      <c r="M1224" s="41"/>
      <c r="N1224" s="11"/>
    </row>
    <row r="1225" spans="8:14" x14ac:dyDescent="0.25">
      <c r="H1225" s="37"/>
      <c r="I1225" s="79"/>
      <c r="J1225" s="70"/>
      <c r="K1225" s="57"/>
      <c r="L1225" s="11"/>
      <c r="M1225" s="41"/>
      <c r="N1225" s="11"/>
    </row>
    <row r="1226" spans="8:14" x14ac:dyDescent="0.25">
      <c r="H1226" s="37"/>
      <c r="I1226" s="79"/>
      <c r="J1226" s="70"/>
      <c r="K1226" s="57"/>
      <c r="L1226" s="11"/>
      <c r="M1226" s="41"/>
      <c r="N1226" s="11"/>
    </row>
    <row r="1227" spans="8:14" x14ac:dyDescent="0.25">
      <c r="H1227" s="37"/>
      <c r="I1227" s="79"/>
      <c r="J1227" s="70"/>
      <c r="K1227" s="57"/>
      <c r="L1227" s="11"/>
      <c r="M1227" s="41"/>
      <c r="N1227" s="11"/>
    </row>
    <row r="1228" spans="8:14" x14ac:dyDescent="0.25">
      <c r="H1228" s="37"/>
      <c r="I1228" s="79"/>
      <c r="J1228" s="70"/>
      <c r="K1228" s="57"/>
      <c r="L1228" s="11"/>
      <c r="M1228" s="41"/>
      <c r="N1228" s="11"/>
    </row>
    <row r="1229" spans="8:14" x14ac:dyDescent="0.25">
      <c r="H1229" s="37"/>
      <c r="I1229" s="79"/>
      <c r="J1229" s="70"/>
      <c r="K1229" s="57"/>
      <c r="L1229" s="11"/>
      <c r="M1229" s="41"/>
      <c r="N1229" s="11"/>
    </row>
    <row r="1230" spans="8:14" x14ac:dyDescent="0.25">
      <c r="H1230" s="37"/>
      <c r="I1230" s="79"/>
      <c r="J1230" s="70"/>
      <c r="K1230" s="57"/>
      <c r="L1230" s="11"/>
      <c r="M1230" s="41"/>
      <c r="N1230" s="11"/>
    </row>
    <row r="1231" spans="8:14" x14ac:dyDescent="0.25">
      <c r="H1231" s="37"/>
      <c r="I1231" s="79"/>
      <c r="J1231" s="70"/>
      <c r="K1231" s="57"/>
      <c r="L1231" s="11"/>
      <c r="M1231" s="41"/>
      <c r="N1231" s="11"/>
    </row>
    <row r="1232" spans="8:14" x14ac:dyDescent="0.25">
      <c r="H1232" s="37"/>
      <c r="I1232" s="79"/>
      <c r="J1232" s="70"/>
      <c r="K1232" s="57"/>
      <c r="L1232" s="11"/>
      <c r="M1232" s="41"/>
      <c r="N1232" s="11"/>
    </row>
    <row r="1233" spans="8:14" x14ac:dyDescent="0.25">
      <c r="H1233" s="37"/>
      <c r="I1233" s="79"/>
      <c r="J1233" s="70"/>
      <c r="K1233" s="57"/>
      <c r="L1233" s="11"/>
      <c r="M1233" s="41"/>
      <c r="N1233" s="11"/>
    </row>
    <row r="1234" spans="8:14" x14ac:dyDescent="0.25">
      <c r="H1234" s="37"/>
      <c r="I1234" s="79"/>
      <c r="J1234" s="70"/>
      <c r="K1234" s="57"/>
      <c r="L1234" s="11"/>
      <c r="M1234" s="41"/>
      <c r="N1234" s="11"/>
    </row>
    <row r="1235" spans="8:14" x14ac:dyDescent="0.25">
      <c r="H1235" s="37"/>
      <c r="I1235" s="79"/>
      <c r="J1235" s="70"/>
      <c r="K1235" s="57"/>
      <c r="L1235" s="11"/>
      <c r="M1235" s="41"/>
      <c r="N1235" s="11"/>
    </row>
    <row r="1236" spans="8:14" x14ac:dyDescent="0.25">
      <c r="H1236" s="37"/>
      <c r="I1236" s="79"/>
      <c r="J1236" s="70"/>
      <c r="K1236" s="57"/>
      <c r="L1236" s="11"/>
      <c r="M1236" s="41"/>
      <c r="N1236" s="11"/>
    </row>
    <row r="1237" spans="8:14" x14ac:dyDescent="0.25">
      <c r="H1237" s="37"/>
      <c r="I1237" s="79"/>
      <c r="J1237" s="70"/>
      <c r="K1237" s="57"/>
      <c r="L1237" s="11"/>
      <c r="M1237" s="41"/>
      <c r="N1237" s="11"/>
    </row>
    <row r="1238" spans="8:14" x14ac:dyDescent="0.25">
      <c r="H1238" s="37"/>
      <c r="I1238" s="79"/>
      <c r="J1238" s="70"/>
      <c r="K1238" s="57"/>
      <c r="L1238" s="11"/>
      <c r="M1238" s="41"/>
      <c r="N1238" s="11"/>
    </row>
    <row r="1239" spans="8:14" x14ac:dyDescent="0.25">
      <c r="H1239" s="37"/>
      <c r="I1239" s="79"/>
      <c r="J1239" s="70"/>
      <c r="K1239" s="57"/>
      <c r="L1239" s="11"/>
      <c r="M1239" s="41"/>
      <c r="N1239" s="11"/>
    </row>
    <row r="1240" spans="8:14" x14ac:dyDescent="0.25">
      <c r="H1240" s="37"/>
      <c r="I1240" s="79"/>
      <c r="J1240" s="70"/>
      <c r="K1240" s="57"/>
      <c r="L1240" s="11"/>
      <c r="M1240" s="41"/>
      <c r="N1240" s="11"/>
    </row>
    <row r="1241" spans="8:14" x14ac:dyDescent="0.25">
      <c r="H1241" s="37"/>
      <c r="I1241" s="79"/>
      <c r="J1241" s="70"/>
      <c r="K1241" s="57"/>
      <c r="L1241" s="11"/>
      <c r="M1241" s="41"/>
      <c r="N1241" s="11"/>
    </row>
    <row r="1242" spans="8:14" x14ac:dyDescent="0.25">
      <c r="H1242" s="37"/>
      <c r="I1242" s="79"/>
      <c r="J1242" s="70"/>
      <c r="K1242" s="57"/>
      <c r="L1242" s="11"/>
      <c r="M1242" s="41"/>
      <c r="N1242" s="11"/>
    </row>
    <row r="1243" spans="8:14" x14ac:dyDescent="0.25">
      <c r="H1243" s="37"/>
      <c r="I1243" s="79"/>
      <c r="J1243" s="70"/>
      <c r="K1243" s="57"/>
      <c r="L1243" s="11"/>
      <c r="M1243" s="41"/>
      <c r="N1243" s="11"/>
    </row>
    <row r="1244" spans="8:14" x14ac:dyDescent="0.25">
      <c r="H1244" s="37"/>
      <c r="I1244" s="79"/>
      <c r="J1244" s="70"/>
      <c r="K1244" s="57"/>
      <c r="L1244" s="11"/>
      <c r="M1244" s="41"/>
      <c r="N1244" s="11"/>
    </row>
    <row r="1245" spans="8:14" x14ac:dyDescent="0.25">
      <c r="H1245" s="37"/>
      <c r="I1245" s="79"/>
      <c r="J1245" s="70"/>
      <c r="K1245" s="57"/>
      <c r="L1245" s="11"/>
      <c r="M1245" s="41"/>
      <c r="N1245" s="11"/>
    </row>
    <row r="1246" spans="8:14" x14ac:dyDescent="0.25">
      <c r="H1246" s="37"/>
      <c r="I1246" s="79"/>
      <c r="J1246" s="70"/>
      <c r="K1246" s="57"/>
      <c r="L1246" s="11"/>
      <c r="M1246" s="41"/>
      <c r="N1246" s="11"/>
    </row>
    <row r="1247" spans="8:14" x14ac:dyDescent="0.25">
      <c r="H1247" s="37"/>
      <c r="I1247" s="79"/>
      <c r="J1247" s="70"/>
      <c r="K1247" s="57"/>
      <c r="L1247" s="11"/>
      <c r="M1247" s="41"/>
      <c r="N1247" s="11"/>
    </row>
    <row r="1248" spans="8:14" x14ac:dyDescent="0.25">
      <c r="H1248" s="37"/>
      <c r="I1248" s="79"/>
      <c r="J1248" s="70"/>
      <c r="K1248" s="57"/>
      <c r="L1248" s="11"/>
      <c r="M1248" s="41"/>
      <c r="N1248" s="11"/>
    </row>
    <row r="1249" spans="8:14" x14ac:dyDescent="0.25">
      <c r="H1249" s="37"/>
      <c r="I1249" s="79"/>
      <c r="J1249" s="70"/>
      <c r="K1249" s="57"/>
      <c r="L1249" s="11"/>
      <c r="M1249" s="41"/>
      <c r="N1249" s="11"/>
    </row>
    <row r="1250" spans="8:14" x14ac:dyDescent="0.25">
      <c r="H1250" s="37"/>
      <c r="I1250" s="79"/>
      <c r="J1250" s="70"/>
      <c r="K1250" s="57"/>
      <c r="L1250" s="11"/>
      <c r="M1250" s="41"/>
      <c r="N1250" s="11"/>
    </row>
    <row r="1251" spans="8:14" x14ac:dyDescent="0.25">
      <c r="H1251" s="37"/>
      <c r="I1251" s="79"/>
      <c r="J1251" s="70"/>
      <c r="K1251" s="57"/>
      <c r="L1251" s="11"/>
      <c r="M1251" s="41"/>
      <c r="N1251" s="11"/>
    </row>
    <row r="1252" spans="8:14" x14ac:dyDescent="0.25">
      <c r="H1252" s="37"/>
      <c r="I1252" s="79"/>
      <c r="J1252" s="70"/>
      <c r="K1252" s="57"/>
      <c r="L1252" s="11"/>
      <c r="M1252" s="41"/>
      <c r="N1252" s="11"/>
    </row>
    <row r="1253" spans="8:14" x14ac:dyDescent="0.25">
      <c r="H1253" s="37"/>
      <c r="I1253" s="79"/>
      <c r="J1253" s="70"/>
      <c r="K1253" s="57"/>
      <c r="L1253" s="11"/>
      <c r="M1253" s="41"/>
      <c r="N1253" s="11"/>
    </row>
    <row r="1254" spans="8:14" x14ac:dyDescent="0.25">
      <c r="H1254" s="37"/>
      <c r="I1254" s="79"/>
      <c r="J1254" s="70"/>
      <c r="K1254" s="57"/>
      <c r="L1254" s="11"/>
      <c r="M1254" s="41"/>
      <c r="N1254" s="11"/>
    </row>
    <row r="1255" spans="8:14" x14ac:dyDescent="0.25">
      <c r="H1255" s="37"/>
      <c r="I1255" s="79"/>
      <c r="J1255" s="70"/>
      <c r="K1255" s="57"/>
      <c r="L1255" s="11"/>
      <c r="M1255" s="41"/>
      <c r="N1255" s="11"/>
    </row>
    <row r="1256" spans="8:14" x14ac:dyDescent="0.25">
      <c r="H1256" s="37"/>
      <c r="I1256" s="79"/>
      <c r="J1256" s="70"/>
      <c r="K1256" s="57"/>
      <c r="L1256" s="11"/>
      <c r="M1256" s="41"/>
      <c r="N1256" s="11"/>
    </row>
    <row r="1257" spans="8:14" x14ac:dyDescent="0.25">
      <c r="H1257" s="37"/>
      <c r="I1257" s="79"/>
      <c r="J1257" s="70"/>
      <c r="K1257" s="57"/>
      <c r="L1257" s="11"/>
      <c r="M1257" s="41"/>
      <c r="N1257" s="11"/>
    </row>
    <row r="1258" spans="8:14" x14ac:dyDescent="0.25">
      <c r="H1258" s="37"/>
      <c r="I1258" s="79"/>
      <c r="J1258" s="70"/>
      <c r="K1258" s="57"/>
      <c r="L1258" s="11"/>
      <c r="M1258" s="41"/>
      <c r="N1258" s="11"/>
    </row>
    <row r="1259" spans="8:14" x14ac:dyDescent="0.25">
      <c r="H1259" s="37"/>
      <c r="I1259" s="79"/>
      <c r="J1259" s="70"/>
      <c r="K1259" s="57"/>
      <c r="L1259" s="11"/>
      <c r="M1259" s="41"/>
      <c r="N1259" s="11"/>
    </row>
    <row r="1260" spans="8:14" x14ac:dyDescent="0.25">
      <c r="H1260" s="37"/>
      <c r="I1260" s="79"/>
      <c r="J1260" s="70"/>
      <c r="K1260" s="57"/>
      <c r="L1260" s="11"/>
      <c r="M1260" s="41"/>
      <c r="N1260" s="11"/>
    </row>
    <row r="1261" spans="8:14" x14ac:dyDescent="0.25">
      <c r="H1261" s="37"/>
      <c r="I1261" s="79"/>
      <c r="J1261" s="70"/>
      <c r="K1261" s="57"/>
      <c r="L1261" s="11"/>
      <c r="M1261" s="41"/>
      <c r="N1261" s="11"/>
    </row>
    <row r="1262" spans="8:14" x14ac:dyDescent="0.25">
      <c r="H1262" s="37"/>
      <c r="I1262" s="79"/>
      <c r="J1262" s="70"/>
      <c r="K1262" s="57"/>
      <c r="L1262" s="11"/>
      <c r="M1262" s="41"/>
      <c r="N1262" s="11"/>
    </row>
    <row r="1263" spans="8:14" x14ac:dyDescent="0.25">
      <c r="H1263" s="37"/>
      <c r="I1263" s="79"/>
      <c r="J1263" s="70"/>
      <c r="K1263" s="57"/>
      <c r="L1263" s="11"/>
      <c r="M1263" s="41"/>
      <c r="N1263" s="11"/>
    </row>
    <row r="1264" spans="8:14" x14ac:dyDescent="0.25">
      <c r="H1264" s="37"/>
      <c r="I1264" s="79"/>
      <c r="J1264" s="70"/>
      <c r="K1264" s="57"/>
      <c r="L1264" s="11"/>
      <c r="M1264" s="41"/>
      <c r="N1264" s="11"/>
    </row>
    <row r="1265" spans="8:14" x14ac:dyDescent="0.25">
      <c r="H1265" s="37"/>
      <c r="I1265" s="79"/>
      <c r="J1265" s="70"/>
      <c r="K1265" s="57"/>
      <c r="L1265" s="11"/>
      <c r="M1265" s="41"/>
      <c r="N1265" s="11"/>
    </row>
    <row r="1266" spans="8:14" x14ac:dyDescent="0.25">
      <c r="H1266" s="37"/>
      <c r="I1266" s="79"/>
      <c r="J1266" s="70"/>
      <c r="K1266" s="57"/>
      <c r="L1266" s="11"/>
      <c r="M1266" s="41"/>
      <c r="N1266" s="11"/>
    </row>
    <row r="1267" spans="8:14" x14ac:dyDescent="0.25">
      <c r="H1267" s="37"/>
      <c r="I1267" s="79"/>
      <c r="J1267" s="70"/>
      <c r="K1267" s="57"/>
      <c r="L1267" s="11"/>
      <c r="M1267" s="41"/>
      <c r="N1267" s="11"/>
    </row>
    <row r="1268" spans="8:14" x14ac:dyDescent="0.25">
      <c r="H1268" s="37"/>
      <c r="I1268" s="79"/>
      <c r="J1268" s="70"/>
      <c r="K1268" s="57"/>
      <c r="L1268" s="11"/>
      <c r="M1268" s="41"/>
      <c r="N1268" s="11"/>
    </row>
    <row r="1269" spans="8:14" x14ac:dyDescent="0.25">
      <c r="H1269" s="37"/>
      <c r="I1269" s="79"/>
      <c r="J1269" s="70"/>
      <c r="K1269" s="57"/>
      <c r="L1269" s="11"/>
      <c r="M1269" s="41"/>
      <c r="N1269" s="11"/>
    </row>
    <row r="1270" spans="8:14" x14ac:dyDescent="0.25">
      <c r="H1270" s="37"/>
      <c r="I1270" s="79"/>
      <c r="J1270" s="70"/>
      <c r="K1270" s="57"/>
      <c r="L1270" s="11"/>
      <c r="M1270" s="41"/>
      <c r="N1270" s="11"/>
    </row>
    <row r="1271" spans="8:14" x14ac:dyDescent="0.25">
      <c r="H1271" s="37"/>
      <c r="I1271" s="79"/>
      <c r="J1271" s="70"/>
      <c r="K1271" s="57"/>
      <c r="L1271" s="11"/>
      <c r="M1271" s="41"/>
      <c r="N1271" s="11"/>
    </row>
    <row r="1272" spans="8:14" x14ac:dyDescent="0.25">
      <c r="H1272" s="37"/>
      <c r="I1272" s="79"/>
      <c r="J1272" s="70"/>
      <c r="K1272" s="57"/>
      <c r="L1272" s="11"/>
      <c r="M1272" s="41"/>
      <c r="N1272" s="11"/>
    </row>
    <row r="1273" spans="8:14" x14ac:dyDescent="0.25">
      <c r="H1273" s="37"/>
      <c r="I1273" s="79"/>
      <c r="J1273" s="70"/>
      <c r="K1273" s="57"/>
      <c r="L1273" s="11"/>
      <c r="M1273" s="41"/>
      <c r="N1273" s="11"/>
    </row>
    <row r="1274" spans="8:14" x14ac:dyDescent="0.25">
      <c r="H1274" s="37"/>
      <c r="I1274" s="79"/>
      <c r="J1274" s="70"/>
      <c r="K1274" s="57"/>
      <c r="L1274" s="11"/>
      <c r="M1274" s="41"/>
      <c r="N1274" s="11"/>
    </row>
    <row r="1275" spans="8:14" x14ac:dyDescent="0.25">
      <c r="H1275" s="37"/>
      <c r="I1275" s="79"/>
      <c r="J1275" s="70"/>
      <c r="K1275" s="57"/>
      <c r="L1275" s="11"/>
      <c r="M1275" s="41"/>
      <c r="N1275" s="11"/>
    </row>
    <row r="1276" spans="8:14" x14ac:dyDescent="0.25">
      <c r="H1276" s="37"/>
      <c r="I1276" s="79"/>
      <c r="J1276" s="70"/>
      <c r="K1276" s="57"/>
      <c r="L1276" s="11"/>
      <c r="M1276" s="41"/>
      <c r="N1276" s="11"/>
    </row>
    <row r="1277" spans="8:14" x14ac:dyDescent="0.25">
      <c r="H1277" s="37"/>
      <c r="I1277" s="79"/>
      <c r="J1277" s="70"/>
      <c r="K1277" s="57"/>
      <c r="L1277" s="11"/>
      <c r="M1277" s="41"/>
      <c r="N1277" s="11"/>
    </row>
    <row r="1278" spans="8:14" x14ac:dyDescent="0.25">
      <c r="H1278" s="37"/>
      <c r="I1278" s="79"/>
      <c r="J1278" s="70"/>
      <c r="K1278" s="57"/>
      <c r="L1278" s="11"/>
      <c r="M1278" s="41"/>
      <c r="N1278" s="11"/>
    </row>
    <row r="1279" spans="8:14" x14ac:dyDescent="0.25">
      <c r="H1279" s="37"/>
      <c r="I1279" s="79"/>
      <c r="J1279" s="70"/>
      <c r="K1279" s="57"/>
      <c r="L1279" s="11"/>
      <c r="M1279" s="41"/>
      <c r="N1279" s="11"/>
    </row>
    <row r="1280" spans="8:14" x14ac:dyDescent="0.25">
      <c r="H1280" s="37"/>
      <c r="I1280" s="79"/>
      <c r="J1280" s="70"/>
      <c r="K1280" s="57"/>
      <c r="L1280" s="11"/>
      <c r="M1280" s="41"/>
      <c r="N1280" s="11"/>
    </row>
    <row r="1281" spans="8:14" x14ac:dyDescent="0.25">
      <c r="H1281" s="37"/>
      <c r="I1281" s="79"/>
      <c r="J1281" s="70"/>
      <c r="K1281" s="57"/>
      <c r="L1281" s="11"/>
      <c r="M1281" s="41"/>
      <c r="N1281" s="11"/>
    </row>
    <row r="1282" spans="8:14" x14ac:dyDescent="0.25">
      <c r="H1282" s="37"/>
      <c r="I1282" s="79"/>
      <c r="J1282" s="70"/>
      <c r="K1282" s="57"/>
      <c r="L1282" s="11"/>
      <c r="M1282" s="41"/>
      <c r="N1282" s="11"/>
    </row>
    <row r="1283" spans="8:14" x14ac:dyDescent="0.25">
      <c r="H1283" s="37"/>
      <c r="I1283" s="79"/>
      <c r="J1283" s="70"/>
      <c r="K1283" s="57"/>
      <c r="L1283" s="11"/>
      <c r="M1283" s="41"/>
      <c r="N1283" s="11"/>
    </row>
    <row r="1284" spans="8:14" x14ac:dyDescent="0.25">
      <c r="H1284" s="37"/>
      <c r="I1284" s="79"/>
      <c r="J1284" s="70"/>
      <c r="K1284" s="57"/>
      <c r="L1284" s="11"/>
      <c r="M1284" s="41"/>
      <c r="N1284" s="11"/>
    </row>
    <row r="1285" spans="8:14" x14ac:dyDescent="0.25">
      <c r="H1285" s="37"/>
      <c r="I1285" s="79"/>
      <c r="J1285" s="70"/>
      <c r="K1285" s="57"/>
      <c r="L1285" s="11"/>
      <c r="M1285" s="41"/>
      <c r="N1285" s="11"/>
    </row>
    <row r="1286" spans="8:14" x14ac:dyDescent="0.25">
      <c r="H1286" s="37"/>
      <c r="I1286" s="79"/>
      <c r="J1286" s="70"/>
      <c r="K1286" s="57"/>
      <c r="L1286" s="11"/>
      <c r="M1286" s="41"/>
      <c r="N1286" s="11"/>
    </row>
    <row r="1287" spans="8:14" x14ac:dyDescent="0.25">
      <c r="H1287" s="37"/>
      <c r="I1287" s="79"/>
      <c r="J1287" s="70"/>
      <c r="K1287" s="57"/>
      <c r="L1287" s="11"/>
      <c r="M1287" s="41"/>
      <c r="N1287" s="11"/>
    </row>
    <row r="1288" spans="8:14" x14ac:dyDescent="0.25">
      <c r="H1288" s="37"/>
      <c r="I1288" s="79"/>
      <c r="J1288" s="70"/>
      <c r="K1288" s="57"/>
      <c r="L1288" s="11"/>
      <c r="M1288" s="41"/>
      <c r="N1288" s="11"/>
    </row>
    <row r="1289" spans="8:14" x14ac:dyDescent="0.25">
      <c r="H1289" s="37"/>
      <c r="I1289" s="79"/>
      <c r="J1289" s="70"/>
      <c r="K1289" s="57"/>
      <c r="L1289" s="11"/>
      <c r="M1289" s="41"/>
      <c r="N1289" s="11"/>
    </row>
    <row r="1290" spans="8:14" x14ac:dyDescent="0.25">
      <c r="H1290" s="37"/>
      <c r="I1290" s="79"/>
      <c r="J1290" s="70"/>
      <c r="K1290" s="57"/>
      <c r="L1290" s="11"/>
      <c r="M1290" s="41"/>
      <c r="N1290" s="11"/>
    </row>
    <row r="1291" spans="8:14" x14ac:dyDescent="0.25">
      <c r="H1291" s="37"/>
      <c r="I1291" s="79"/>
      <c r="J1291" s="70"/>
      <c r="K1291" s="57"/>
      <c r="L1291" s="11"/>
      <c r="M1291" s="41"/>
      <c r="N1291" s="11"/>
    </row>
    <row r="1292" spans="8:14" x14ac:dyDescent="0.25">
      <c r="H1292" s="37"/>
      <c r="I1292" s="79"/>
      <c r="J1292" s="70"/>
      <c r="K1292" s="57"/>
      <c r="L1292" s="11"/>
      <c r="M1292" s="41"/>
      <c r="N1292" s="11"/>
    </row>
    <row r="1293" spans="8:14" x14ac:dyDescent="0.25">
      <c r="H1293" s="37"/>
      <c r="I1293" s="79"/>
      <c r="J1293" s="70"/>
      <c r="K1293" s="57"/>
      <c r="L1293" s="11"/>
      <c r="M1293" s="41"/>
      <c r="N1293" s="11"/>
    </row>
    <row r="1294" spans="8:14" x14ac:dyDescent="0.25">
      <c r="H1294" s="37"/>
      <c r="I1294" s="79"/>
      <c r="J1294" s="70"/>
      <c r="K1294" s="57"/>
      <c r="L1294" s="11"/>
      <c r="M1294" s="41"/>
      <c r="N1294" s="11"/>
    </row>
    <row r="1295" spans="8:14" x14ac:dyDescent="0.25">
      <c r="H1295" s="37"/>
      <c r="I1295" s="79"/>
      <c r="J1295" s="70"/>
      <c r="K1295" s="57"/>
      <c r="L1295" s="11"/>
      <c r="M1295" s="41"/>
      <c r="N1295" s="11"/>
    </row>
    <row r="1296" spans="8:14" x14ac:dyDescent="0.25">
      <c r="H1296" s="37"/>
      <c r="I1296" s="79"/>
      <c r="J1296" s="70"/>
      <c r="K1296" s="57"/>
      <c r="L1296" s="11"/>
      <c r="M1296" s="41"/>
      <c r="N1296" s="11"/>
    </row>
    <row r="1297" spans="8:14" x14ac:dyDescent="0.25">
      <c r="H1297" s="37"/>
      <c r="I1297" s="79"/>
      <c r="J1297" s="70"/>
      <c r="K1297" s="57"/>
      <c r="L1297" s="11"/>
      <c r="M1297" s="41"/>
      <c r="N1297" s="11"/>
    </row>
    <row r="1298" spans="8:14" x14ac:dyDescent="0.25">
      <c r="H1298" s="37"/>
      <c r="I1298" s="79"/>
      <c r="J1298" s="70"/>
      <c r="K1298" s="57"/>
      <c r="L1298" s="11"/>
      <c r="M1298" s="41"/>
      <c r="N1298" s="11"/>
    </row>
    <row r="1299" spans="8:14" x14ac:dyDescent="0.25">
      <c r="H1299" s="37"/>
      <c r="I1299" s="79"/>
      <c r="J1299" s="70"/>
      <c r="K1299" s="57"/>
      <c r="L1299" s="11"/>
      <c r="M1299" s="41"/>
      <c r="N1299" s="11"/>
    </row>
    <row r="1300" spans="8:14" x14ac:dyDescent="0.25">
      <c r="H1300" s="37"/>
      <c r="I1300" s="79"/>
      <c r="J1300" s="70"/>
      <c r="K1300" s="57"/>
      <c r="L1300" s="11"/>
      <c r="M1300" s="41"/>
      <c r="N1300" s="11"/>
    </row>
    <row r="1301" spans="8:14" x14ac:dyDescent="0.25">
      <c r="H1301" s="37"/>
      <c r="I1301" s="79"/>
      <c r="J1301" s="70"/>
      <c r="K1301" s="57"/>
      <c r="L1301" s="11"/>
      <c r="M1301" s="41"/>
      <c r="N1301" s="11"/>
    </row>
    <row r="1302" spans="8:14" x14ac:dyDescent="0.25">
      <c r="H1302" s="37"/>
      <c r="I1302" s="79"/>
      <c r="J1302" s="70"/>
      <c r="K1302" s="57"/>
      <c r="L1302" s="11"/>
      <c r="M1302" s="41"/>
      <c r="N1302" s="11"/>
    </row>
    <row r="1303" spans="8:14" x14ac:dyDescent="0.25">
      <c r="H1303" s="37"/>
      <c r="I1303" s="79"/>
      <c r="J1303" s="70"/>
      <c r="K1303" s="57"/>
      <c r="L1303" s="11"/>
      <c r="M1303" s="41"/>
      <c r="N1303" s="11"/>
    </row>
    <row r="1304" spans="8:14" x14ac:dyDescent="0.25">
      <c r="H1304" s="37"/>
      <c r="I1304" s="79"/>
      <c r="J1304" s="70"/>
      <c r="K1304" s="57"/>
      <c r="L1304" s="11"/>
      <c r="M1304" s="41"/>
      <c r="N1304" s="11"/>
    </row>
    <row r="1305" spans="8:14" x14ac:dyDescent="0.25">
      <c r="H1305" s="37"/>
      <c r="I1305" s="79"/>
      <c r="J1305" s="70"/>
      <c r="K1305" s="57"/>
      <c r="L1305" s="11"/>
      <c r="M1305" s="41"/>
      <c r="N1305" s="11"/>
    </row>
    <row r="1306" spans="8:14" x14ac:dyDescent="0.25">
      <c r="H1306" s="37"/>
      <c r="I1306" s="79"/>
      <c r="J1306" s="70"/>
      <c r="K1306" s="57"/>
      <c r="L1306" s="11"/>
      <c r="M1306" s="41"/>
      <c r="N1306" s="11"/>
    </row>
    <row r="1307" spans="8:14" x14ac:dyDescent="0.25">
      <c r="H1307" s="37"/>
      <c r="I1307" s="79"/>
      <c r="J1307" s="70"/>
      <c r="K1307" s="57"/>
      <c r="L1307" s="11"/>
      <c r="M1307" s="41"/>
      <c r="N1307" s="11"/>
    </row>
    <row r="1308" spans="8:14" x14ac:dyDescent="0.25">
      <c r="H1308" s="37"/>
      <c r="I1308" s="79"/>
      <c r="J1308" s="70"/>
      <c r="K1308" s="57"/>
      <c r="L1308" s="11"/>
      <c r="M1308" s="41"/>
      <c r="N1308" s="11"/>
    </row>
    <row r="1309" spans="8:14" x14ac:dyDescent="0.25">
      <c r="H1309" s="37"/>
      <c r="I1309" s="79"/>
      <c r="J1309" s="70"/>
      <c r="K1309" s="57"/>
      <c r="L1309" s="11"/>
      <c r="M1309" s="41"/>
      <c r="N1309" s="11"/>
    </row>
    <row r="1310" spans="8:14" x14ac:dyDescent="0.25">
      <c r="H1310" s="37"/>
      <c r="I1310" s="79"/>
      <c r="J1310" s="70"/>
      <c r="K1310" s="57"/>
      <c r="L1310" s="11"/>
      <c r="M1310" s="41"/>
      <c r="N1310" s="11"/>
    </row>
    <row r="1311" spans="8:14" x14ac:dyDescent="0.25">
      <c r="H1311" s="37"/>
      <c r="I1311" s="79"/>
      <c r="J1311" s="70"/>
      <c r="K1311" s="57"/>
      <c r="L1311" s="11"/>
      <c r="M1311" s="41"/>
      <c r="N1311" s="11"/>
    </row>
    <row r="1312" spans="8:14" x14ac:dyDescent="0.25">
      <c r="H1312" s="37"/>
      <c r="I1312" s="79"/>
      <c r="J1312" s="70"/>
      <c r="K1312" s="57"/>
      <c r="L1312" s="11"/>
      <c r="M1312" s="41"/>
      <c r="N1312" s="11"/>
    </row>
    <row r="1313" spans="8:14" x14ac:dyDescent="0.25">
      <c r="H1313" s="37"/>
      <c r="I1313" s="79"/>
      <c r="J1313" s="70"/>
      <c r="K1313" s="57"/>
      <c r="L1313" s="11"/>
      <c r="M1313" s="41"/>
      <c r="N1313" s="11"/>
    </row>
    <row r="1314" spans="8:14" x14ac:dyDescent="0.25">
      <c r="H1314" s="37"/>
      <c r="I1314" s="79"/>
      <c r="J1314" s="70"/>
      <c r="K1314" s="57"/>
      <c r="L1314" s="11"/>
      <c r="M1314" s="41"/>
      <c r="N1314" s="11"/>
    </row>
    <row r="1315" spans="8:14" x14ac:dyDescent="0.25">
      <c r="H1315" s="37"/>
      <c r="I1315" s="79"/>
      <c r="J1315" s="70"/>
      <c r="K1315" s="57"/>
      <c r="L1315" s="11"/>
      <c r="M1315" s="41"/>
      <c r="N1315" s="11"/>
    </row>
    <row r="1316" spans="8:14" x14ac:dyDescent="0.25">
      <c r="H1316" s="37"/>
      <c r="I1316" s="79"/>
      <c r="J1316" s="70"/>
      <c r="K1316" s="57"/>
      <c r="L1316" s="11"/>
      <c r="M1316" s="41"/>
      <c r="N1316" s="11"/>
    </row>
    <row r="1317" spans="8:14" x14ac:dyDescent="0.25">
      <c r="H1317" s="37"/>
      <c r="I1317" s="79"/>
      <c r="J1317" s="70"/>
      <c r="K1317" s="57"/>
      <c r="L1317" s="11"/>
      <c r="M1317" s="41"/>
      <c r="N1317" s="11"/>
    </row>
    <row r="1318" spans="8:14" x14ac:dyDescent="0.25">
      <c r="H1318" s="37"/>
      <c r="I1318" s="79"/>
      <c r="J1318" s="70"/>
      <c r="K1318" s="57"/>
      <c r="L1318" s="11"/>
      <c r="M1318" s="41"/>
      <c r="N1318" s="11"/>
    </row>
    <row r="1319" spans="8:14" x14ac:dyDescent="0.25">
      <c r="H1319" s="37"/>
      <c r="I1319" s="79"/>
      <c r="J1319" s="70"/>
      <c r="K1319" s="57"/>
      <c r="L1319" s="11"/>
      <c r="M1319" s="41"/>
      <c r="N1319" s="11"/>
    </row>
    <row r="1320" spans="8:14" x14ac:dyDescent="0.25">
      <c r="H1320" s="37"/>
      <c r="I1320" s="79"/>
      <c r="J1320" s="70"/>
      <c r="K1320" s="57"/>
      <c r="L1320" s="11"/>
      <c r="M1320" s="41"/>
      <c r="N1320" s="11"/>
    </row>
    <row r="1321" spans="8:14" x14ac:dyDescent="0.25">
      <c r="H1321" s="37"/>
      <c r="I1321" s="79"/>
      <c r="J1321" s="70"/>
      <c r="K1321" s="57"/>
      <c r="L1321" s="11"/>
      <c r="M1321" s="41"/>
      <c r="N1321" s="11"/>
    </row>
    <row r="1322" spans="8:14" x14ac:dyDescent="0.25">
      <c r="H1322" s="37"/>
      <c r="I1322" s="79"/>
      <c r="J1322" s="70"/>
      <c r="K1322" s="57"/>
      <c r="L1322" s="11"/>
      <c r="M1322" s="41"/>
      <c r="N1322" s="11"/>
    </row>
    <row r="1323" spans="8:14" x14ac:dyDescent="0.25">
      <c r="H1323" s="37"/>
      <c r="I1323" s="79"/>
      <c r="J1323" s="70"/>
      <c r="K1323" s="57"/>
      <c r="L1323" s="11"/>
      <c r="M1323" s="41"/>
      <c r="N1323" s="11"/>
    </row>
    <row r="1324" spans="8:14" x14ac:dyDescent="0.25">
      <c r="H1324" s="37"/>
      <c r="I1324" s="79"/>
      <c r="J1324" s="70"/>
      <c r="K1324" s="57"/>
      <c r="L1324" s="11"/>
      <c r="M1324" s="41"/>
      <c r="N1324" s="11"/>
    </row>
    <row r="1325" spans="8:14" x14ac:dyDescent="0.25">
      <c r="H1325" s="37"/>
      <c r="I1325" s="79"/>
      <c r="J1325" s="70"/>
      <c r="K1325" s="57"/>
      <c r="L1325" s="11"/>
      <c r="M1325" s="41"/>
      <c r="N1325" s="11"/>
    </row>
    <row r="1326" spans="8:14" x14ac:dyDescent="0.25">
      <c r="H1326" s="37"/>
      <c r="I1326" s="79"/>
      <c r="J1326" s="70"/>
      <c r="K1326" s="57"/>
      <c r="L1326" s="11"/>
      <c r="M1326" s="41"/>
      <c r="N1326" s="11"/>
    </row>
    <row r="1327" spans="8:14" x14ac:dyDescent="0.25">
      <c r="H1327" s="37"/>
      <c r="I1327" s="79"/>
      <c r="J1327" s="70"/>
      <c r="K1327" s="57"/>
      <c r="L1327" s="11"/>
      <c r="M1327" s="41"/>
      <c r="N1327" s="11"/>
    </row>
    <row r="1328" spans="8:14" x14ac:dyDescent="0.25">
      <c r="H1328" s="37"/>
      <c r="I1328" s="79"/>
      <c r="J1328" s="70"/>
      <c r="K1328" s="57"/>
      <c r="L1328" s="11"/>
      <c r="M1328" s="41"/>
      <c r="N1328" s="11"/>
    </row>
    <row r="1329" spans="8:14" x14ac:dyDescent="0.25">
      <c r="H1329" s="37"/>
      <c r="I1329" s="79"/>
      <c r="J1329" s="70"/>
      <c r="K1329" s="57"/>
      <c r="L1329" s="11"/>
      <c r="M1329" s="41"/>
      <c r="N1329" s="11"/>
    </row>
    <row r="1330" spans="8:14" x14ac:dyDescent="0.25">
      <c r="H1330" s="37"/>
      <c r="I1330" s="79"/>
      <c r="J1330" s="70"/>
      <c r="K1330" s="57"/>
      <c r="L1330" s="11"/>
      <c r="M1330" s="41"/>
      <c r="N1330" s="11"/>
    </row>
    <row r="1331" spans="8:14" x14ac:dyDescent="0.25">
      <c r="H1331" s="37"/>
      <c r="I1331" s="79"/>
      <c r="J1331" s="70"/>
      <c r="K1331" s="57"/>
      <c r="L1331" s="11"/>
      <c r="M1331" s="41"/>
      <c r="N1331" s="11"/>
    </row>
    <row r="1332" spans="8:14" x14ac:dyDescent="0.25">
      <c r="H1332" s="37"/>
      <c r="I1332" s="79"/>
      <c r="J1332" s="70"/>
      <c r="K1332" s="57"/>
      <c r="L1332" s="11"/>
      <c r="M1332" s="41"/>
      <c r="N1332" s="11"/>
    </row>
    <row r="1333" spans="8:14" x14ac:dyDescent="0.25">
      <c r="H1333" s="37"/>
      <c r="I1333" s="79"/>
      <c r="J1333" s="70"/>
      <c r="K1333" s="57"/>
      <c r="L1333" s="11"/>
      <c r="M1333" s="41"/>
      <c r="N1333" s="11"/>
    </row>
    <row r="1334" spans="8:14" x14ac:dyDescent="0.25">
      <c r="H1334" s="37"/>
      <c r="I1334" s="79"/>
      <c r="J1334" s="70"/>
      <c r="K1334" s="57"/>
      <c r="L1334" s="11"/>
      <c r="M1334" s="41"/>
      <c r="N1334" s="11"/>
    </row>
    <row r="1335" spans="8:14" x14ac:dyDescent="0.25">
      <c r="H1335" s="37"/>
      <c r="I1335" s="79"/>
      <c r="J1335" s="70"/>
      <c r="K1335" s="57"/>
      <c r="L1335" s="11"/>
      <c r="M1335" s="41"/>
      <c r="N1335" s="11"/>
    </row>
    <row r="1336" spans="8:14" x14ac:dyDescent="0.25">
      <c r="H1336" s="37"/>
      <c r="I1336" s="79"/>
      <c r="J1336" s="70"/>
      <c r="K1336" s="57"/>
      <c r="L1336" s="11"/>
      <c r="M1336" s="41"/>
      <c r="N1336" s="11"/>
    </row>
    <row r="1337" spans="8:14" x14ac:dyDescent="0.25">
      <c r="H1337" s="37"/>
      <c r="I1337" s="79"/>
      <c r="J1337" s="70"/>
      <c r="K1337" s="57"/>
      <c r="L1337" s="11"/>
      <c r="M1337" s="41"/>
      <c r="N1337" s="11"/>
    </row>
    <row r="1338" spans="8:14" x14ac:dyDescent="0.25">
      <c r="H1338" s="37"/>
      <c r="I1338" s="79"/>
      <c r="J1338" s="70"/>
      <c r="K1338" s="57"/>
      <c r="L1338" s="11"/>
      <c r="M1338" s="41"/>
      <c r="N1338" s="11"/>
    </row>
    <row r="1339" spans="8:14" x14ac:dyDescent="0.25">
      <c r="H1339" s="37"/>
      <c r="I1339" s="79"/>
      <c r="J1339" s="70"/>
      <c r="K1339" s="57"/>
      <c r="L1339" s="11"/>
      <c r="M1339" s="41"/>
      <c r="N1339" s="11"/>
    </row>
    <row r="1340" spans="8:14" x14ac:dyDescent="0.25">
      <c r="H1340" s="37"/>
      <c r="I1340" s="79"/>
      <c r="J1340" s="70"/>
      <c r="K1340" s="57"/>
      <c r="L1340" s="11"/>
      <c r="M1340" s="41"/>
      <c r="N1340" s="11"/>
    </row>
    <row r="1341" spans="8:14" x14ac:dyDescent="0.25">
      <c r="H1341" s="37"/>
      <c r="I1341" s="79"/>
      <c r="J1341" s="70"/>
      <c r="K1341" s="57"/>
      <c r="L1341" s="11"/>
      <c r="M1341" s="41"/>
      <c r="N1341" s="11"/>
    </row>
    <row r="1342" spans="8:14" x14ac:dyDescent="0.25">
      <c r="H1342" s="37"/>
      <c r="I1342" s="79"/>
      <c r="J1342" s="70"/>
      <c r="K1342" s="57"/>
      <c r="L1342" s="11"/>
      <c r="M1342" s="41"/>
      <c r="N1342" s="11"/>
    </row>
    <row r="1343" spans="8:14" x14ac:dyDescent="0.25">
      <c r="H1343" s="37"/>
      <c r="I1343" s="79"/>
      <c r="J1343" s="70"/>
      <c r="K1343" s="57"/>
      <c r="L1343" s="11"/>
      <c r="M1343" s="41"/>
      <c r="N1343" s="11"/>
    </row>
    <row r="1344" spans="8:14" x14ac:dyDescent="0.25">
      <c r="H1344" s="37"/>
      <c r="I1344" s="79"/>
      <c r="J1344" s="70"/>
      <c r="K1344" s="57"/>
      <c r="L1344" s="11"/>
      <c r="M1344" s="41"/>
      <c r="N1344" s="11"/>
    </row>
    <row r="1345" spans="8:14" x14ac:dyDescent="0.25">
      <c r="H1345" s="37"/>
      <c r="I1345" s="79"/>
      <c r="J1345" s="70"/>
      <c r="K1345" s="57"/>
      <c r="L1345" s="11"/>
      <c r="M1345" s="41"/>
      <c r="N1345" s="11"/>
    </row>
    <row r="1346" spans="8:14" x14ac:dyDescent="0.25">
      <c r="H1346" s="37"/>
      <c r="I1346" s="79"/>
      <c r="J1346" s="70"/>
      <c r="K1346" s="57"/>
      <c r="L1346" s="11"/>
      <c r="M1346" s="41"/>
      <c r="N1346" s="11"/>
    </row>
    <row r="1347" spans="8:14" x14ac:dyDescent="0.25">
      <c r="H1347" s="37"/>
      <c r="I1347" s="79"/>
      <c r="J1347" s="70"/>
      <c r="K1347" s="57"/>
      <c r="L1347" s="11"/>
      <c r="M1347" s="41"/>
      <c r="N1347" s="11"/>
    </row>
    <row r="1348" spans="8:14" x14ac:dyDescent="0.25">
      <c r="H1348" s="37"/>
      <c r="I1348" s="79"/>
      <c r="J1348" s="70"/>
      <c r="K1348" s="57"/>
      <c r="L1348" s="11"/>
      <c r="M1348" s="41"/>
      <c r="N1348" s="11"/>
    </row>
    <row r="1349" spans="8:14" x14ac:dyDescent="0.25">
      <c r="H1349" s="37"/>
      <c r="I1349" s="79"/>
      <c r="J1349" s="70"/>
      <c r="K1349" s="57"/>
      <c r="L1349" s="11"/>
      <c r="M1349" s="41"/>
      <c r="N1349" s="11"/>
    </row>
    <row r="1350" spans="8:14" x14ac:dyDescent="0.25">
      <c r="H1350" s="37"/>
      <c r="I1350" s="79"/>
      <c r="J1350" s="70"/>
      <c r="K1350" s="57"/>
      <c r="L1350" s="11"/>
      <c r="M1350" s="41"/>
      <c r="N1350" s="11"/>
    </row>
    <row r="1351" spans="8:14" x14ac:dyDescent="0.25">
      <c r="H1351" s="37"/>
      <c r="I1351" s="79"/>
      <c r="J1351" s="70"/>
      <c r="K1351" s="57"/>
      <c r="L1351" s="11"/>
      <c r="M1351" s="41"/>
      <c r="N1351" s="11"/>
    </row>
    <row r="1352" spans="8:14" x14ac:dyDescent="0.25">
      <c r="H1352" s="37"/>
      <c r="I1352" s="79"/>
      <c r="J1352" s="70"/>
      <c r="K1352" s="57"/>
      <c r="L1352" s="11"/>
      <c r="M1352" s="41"/>
      <c r="N1352" s="11"/>
    </row>
    <row r="1353" spans="8:14" x14ac:dyDescent="0.25">
      <c r="H1353" s="37"/>
      <c r="I1353" s="79"/>
      <c r="J1353" s="70"/>
      <c r="K1353" s="57"/>
      <c r="L1353" s="11"/>
      <c r="M1353" s="41"/>
      <c r="N1353" s="11"/>
    </row>
    <row r="1354" spans="8:14" x14ac:dyDescent="0.25">
      <c r="H1354" s="37"/>
      <c r="I1354" s="79"/>
      <c r="J1354" s="70"/>
      <c r="K1354" s="57"/>
      <c r="L1354" s="11"/>
      <c r="M1354" s="41"/>
      <c r="N1354" s="11"/>
    </row>
    <row r="1355" spans="8:14" x14ac:dyDescent="0.25">
      <c r="H1355" s="37"/>
      <c r="I1355" s="79"/>
      <c r="J1355" s="70"/>
      <c r="K1355" s="57"/>
      <c r="L1355" s="11"/>
      <c r="M1355" s="41"/>
      <c r="N1355" s="11"/>
    </row>
    <row r="1356" spans="8:14" x14ac:dyDescent="0.25">
      <c r="H1356" s="37"/>
      <c r="I1356" s="79"/>
      <c r="J1356" s="70"/>
      <c r="K1356" s="57"/>
      <c r="L1356" s="11"/>
      <c r="M1356" s="41"/>
      <c r="N1356" s="11"/>
    </row>
    <row r="1357" spans="8:14" x14ac:dyDescent="0.25">
      <c r="H1357" s="37"/>
      <c r="I1357" s="79"/>
      <c r="J1357" s="70"/>
      <c r="K1357" s="57"/>
      <c r="L1357" s="11"/>
      <c r="M1357" s="41"/>
      <c r="N1357" s="11"/>
    </row>
    <row r="1358" spans="8:14" x14ac:dyDescent="0.25">
      <c r="H1358" s="37"/>
      <c r="I1358" s="79"/>
      <c r="J1358" s="70"/>
      <c r="K1358" s="57"/>
      <c r="L1358" s="11"/>
      <c r="M1358" s="41"/>
      <c r="N1358" s="11"/>
    </row>
    <row r="1359" spans="8:14" x14ac:dyDescent="0.25">
      <c r="H1359" s="37"/>
      <c r="I1359" s="79"/>
      <c r="J1359" s="70"/>
      <c r="K1359" s="57"/>
      <c r="L1359" s="11"/>
      <c r="M1359" s="41"/>
      <c r="N1359" s="11"/>
    </row>
    <row r="1360" spans="8:14" x14ac:dyDescent="0.25">
      <c r="H1360" s="37"/>
      <c r="I1360" s="79"/>
      <c r="J1360" s="70"/>
      <c r="K1360" s="57"/>
      <c r="L1360" s="11"/>
      <c r="M1360" s="41"/>
      <c r="N1360" s="11"/>
    </row>
    <row r="1361" spans="8:14" x14ac:dyDescent="0.25">
      <c r="H1361" s="37"/>
      <c r="I1361" s="79"/>
      <c r="J1361" s="70"/>
      <c r="K1361" s="57"/>
      <c r="L1361" s="11"/>
      <c r="M1361" s="41"/>
      <c r="N1361" s="11"/>
    </row>
    <row r="1362" spans="8:14" x14ac:dyDescent="0.25">
      <c r="H1362" s="37"/>
      <c r="I1362" s="79"/>
      <c r="J1362" s="70"/>
      <c r="K1362" s="57"/>
      <c r="L1362" s="11"/>
      <c r="M1362" s="41"/>
      <c r="N1362" s="11"/>
    </row>
    <row r="1363" spans="8:14" x14ac:dyDescent="0.25">
      <c r="H1363" s="37"/>
      <c r="I1363" s="79"/>
      <c r="J1363" s="70"/>
      <c r="K1363" s="57"/>
      <c r="L1363" s="11"/>
      <c r="M1363" s="41"/>
      <c r="N1363" s="11"/>
    </row>
    <row r="1364" spans="8:14" x14ac:dyDescent="0.25">
      <c r="H1364" s="37"/>
      <c r="I1364" s="79"/>
      <c r="J1364" s="70"/>
      <c r="K1364" s="57"/>
      <c r="L1364" s="11"/>
      <c r="M1364" s="41"/>
      <c r="N1364" s="11"/>
    </row>
    <row r="1365" spans="8:14" x14ac:dyDescent="0.25">
      <c r="H1365" s="37"/>
      <c r="I1365" s="79"/>
      <c r="J1365" s="70"/>
      <c r="K1365" s="57"/>
      <c r="L1365" s="11"/>
      <c r="M1365" s="41"/>
      <c r="N1365" s="11"/>
    </row>
    <row r="1366" spans="8:14" x14ac:dyDescent="0.25">
      <c r="H1366" s="37"/>
      <c r="I1366" s="79"/>
      <c r="J1366" s="70"/>
      <c r="K1366" s="57"/>
      <c r="L1366" s="11"/>
      <c r="M1366" s="41"/>
      <c r="N1366" s="11"/>
    </row>
    <row r="1367" spans="8:14" x14ac:dyDescent="0.25">
      <c r="H1367" s="37"/>
      <c r="I1367" s="79"/>
      <c r="J1367" s="70"/>
      <c r="K1367" s="57"/>
      <c r="L1367" s="11"/>
      <c r="M1367" s="41"/>
      <c r="N1367" s="11"/>
    </row>
    <row r="1368" spans="8:14" x14ac:dyDescent="0.25">
      <c r="H1368" s="37"/>
      <c r="I1368" s="79"/>
      <c r="J1368" s="70"/>
      <c r="K1368" s="57"/>
      <c r="L1368" s="11"/>
      <c r="M1368" s="41"/>
      <c r="N1368" s="11"/>
    </row>
    <row r="1369" spans="8:14" x14ac:dyDescent="0.25">
      <c r="H1369" s="37"/>
      <c r="I1369" s="79"/>
      <c r="J1369" s="70"/>
      <c r="K1369" s="57"/>
      <c r="L1369" s="11"/>
      <c r="M1369" s="41"/>
      <c r="N1369" s="11"/>
    </row>
    <row r="1370" spans="8:14" x14ac:dyDescent="0.25">
      <c r="H1370" s="37"/>
      <c r="I1370" s="79"/>
      <c r="J1370" s="70"/>
      <c r="K1370" s="57"/>
      <c r="L1370" s="11"/>
      <c r="M1370" s="41"/>
      <c r="N1370" s="11"/>
    </row>
    <row r="1371" spans="8:14" x14ac:dyDescent="0.25">
      <c r="H1371" s="37"/>
      <c r="I1371" s="79"/>
      <c r="J1371" s="70"/>
      <c r="K1371" s="57"/>
      <c r="L1371" s="11"/>
      <c r="M1371" s="41"/>
      <c r="N1371" s="11"/>
    </row>
    <row r="1372" spans="8:14" x14ac:dyDescent="0.25">
      <c r="H1372" s="37"/>
      <c r="I1372" s="79"/>
      <c r="J1372" s="70"/>
      <c r="K1372" s="57"/>
      <c r="L1372" s="11"/>
      <c r="M1372" s="41"/>
      <c r="N1372" s="11"/>
    </row>
    <row r="1373" spans="8:14" x14ac:dyDescent="0.25">
      <c r="H1373" s="37"/>
      <c r="I1373" s="79"/>
      <c r="J1373" s="70"/>
      <c r="K1373" s="57"/>
      <c r="L1373" s="11"/>
      <c r="M1373" s="41"/>
      <c r="N1373" s="11"/>
    </row>
    <row r="1374" spans="8:14" x14ac:dyDescent="0.25">
      <c r="H1374" s="37"/>
      <c r="I1374" s="79"/>
      <c r="J1374" s="70"/>
      <c r="K1374" s="57"/>
      <c r="L1374" s="11"/>
      <c r="M1374" s="41"/>
      <c r="N1374" s="11"/>
    </row>
    <row r="1375" spans="8:14" x14ac:dyDescent="0.25">
      <c r="H1375" s="37"/>
      <c r="I1375" s="79"/>
      <c r="J1375" s="70"/>
      <c r="K1375" s="57"/>
      <c r="L1375" s="11"/>
      <c r="M1375" s="41"/>
      <c r="N1375" s="11"/>
    </row>
    <row r="1376" spans="8:14" x14ac:dyDescent="0.25">
      <c r="H1376" s="37"/>
      <c r="I1376" s="79"/>
      <c r="J1376" s="70"/>
      <c r="K1376" s="57"/>
      <c r="L1376" s="11"/>
      <c r="M1376" s="41"/>
      <c r="N1376" s="11"/>
    </row>
    <row r="1377" spans="8:14" x14ac:dyDescent="0.25">
      <c r="H1377" s="37"/>
      <c r="I1377" s="79"/>
      <c r="J1377" s="70"/>
      <c r="K1377" s="57"/>
      <c r="L1377" s="11"/>
      <c r="M1377" s="41"/>
      <c r="N1377" s="11"/>
    </row>
    <row r="1378" spans="8:14" x14ac:dyDescent="0.25">
      <c r="H1378" s="37"/>
      <c r="I1378" s="79"/>
      <c r="J1378" s="70"/>
      <c r="K1378" s="57"/>
      <c r="L1378" s="11"/>
      <c r="M1378" s="41"/>
      <c r="N1378" s="11"/>
    </row>
    <row r="1379" spans="8:14" x14ac:dyDescent="0.25">
      <c r="H1379" s="37"/>
      <c r="I1379" s="79"/>
      <c r="J1379" s="70"/>
      <c r="K1379" s="57"/>
      <c r="L1379" s="11"/>
      <c r="M1379" s="41"/>
      <c r="N1379" s="11"/>
    </row>
    <row r="1380" spans="8:14" x14ac:dyDescent="0.25">
      <c r="H1380" s="37"/>
      <c r="I1380" s="79"/>
      <c r="J1380" s="70"/>
      <c r="K1380" s="57"/>
      <c r="L1380" s="11"/>
      <c r="M1380" s="41"/>
      <c r="N1380" s="11"/>
    </row>
    <row r="1381" spans="8:14" x14ac:dyDescent="0.25">
      <c r="H1381" s="37"/>
      <c r="I1381" s="79"/>
      <c r="J1381" s="70"/>
      <c r="K1381" s="57"/>
      <c r="L1381" s="11"/>
      <c r="M1381" s="41"/>
      <c r="N1381" s="11"/>
    </row>
    <row r="1382" spans="8:14" x14ac:dyDescent="0.25">
      <c r="H1382" s="37"/>
      <c r="I1382" s="79"/>
      <c r="J1382" s="70"/>
      <c r="K1382" s="57"/>
      <c r="L1382" s="11"/>
      <c r="M1382" s="41"/>
      <c r="N1382" s="11"/>
    </row>
    <row r="1383" spans="8:14" x14ac:dyDescent="0.25">
      <c r="H1383" s="37"/>
      <c r="I1383" s="79"/>
      <c r="J1383" s="70"/>
      <c r="K1383" s="57"/>
      <c r="L1383" s="11"/>
      <c r="M1383" s="41"/>
      <c r="N1383" s="11"/>
    </row>
    <row r="1384" spans="8:14" x14ac:dyDescent="0.25">
      <c r="H1384" s="37"/>
      <c r="I1384" s="79"/>
      <c r="J1384" s="70"/>
      <c r="K1384" s="57"/>
      <c r="L1384" s="11"/>
      <c r="M1384" s="41"/>
      <c r="N1384" s="11"/>
    </row>
    <row r="1385" spans="8:14" x14ac:dyDescent="0.25">
      <c r="H1385" s="37"/>
      <c r="I1385" s="79"/>
      <c r="J1385" s="70"/>
      <c r="K1385" s="57"/>
      <c r="L1385" s="11"/>
      <c r="M1385" s="41"/>
      <c r="N1385" s="11"/>
    </row>
    <row r="1386" spans="8:14" x14ac:dyDescent="0.25">
      <c r="H1386" s="37"/>
      <c r="I1386" s="79"/>
      <c r="J1386" s="70"/>
      <c r="K1386" s="57"/>
      <c r="L1386" s="11"/>
      <c r="M1386" s="41"/>
      <c r="N1386" s="11"/>
    </row>
    <row r="1387" spans="8:14" x14ac:dyDescent="0.25">
      <c r="H1387" s="37"/>
      <c r="I1387" s="79"/>
      <c r="J1387" s="70"/>
      <c r="K1387" s="57"/>
      <c r="L1387" s="11"/>
      <c r="M1387" s="41"/>
      <c r="N1387" s="11"/>
    </row>
    <row r="1388" spans="8:14" x14ac:dyDescent="0.25">
      <c r="H1388" s="37"/>
      <c r="I1388" s="79"/>
      <c r="J1388" s="70"/>
      <c r="K1388" s="57"/>
      <c r="L1388" s="11"/>
      <c r="M1388" s="41"/>
      <c r="N1388" s="11"/>
    </row>
    <row r="1389" spans="8:14" x14ac:dyDescent="0.25">
      <c r="H1389" s="37"/>
      <c r="I1389" s="79"/>
      <c r="J1389" s="70"/>
      <c r="K1389" s="57"/>
      <c r="L1389" s="11"/>
      <c r="M1389" s="41"/>
      <c r="N1389" s="11"/>
    </row>
    <row r="1390" spans="8:14" x14ac:dyDescent="0.25">
      <c r="H1390" s="37"/>
      <c r="I1390" s="79"/>
      <c r="J1390" s="70"/>
      <c r="K1390" s="57"/>
      <c r="L1390" s="11"/>
      <c r="M1390" s="41"/>
      <c r="N1390" s="11"/>
    </row>
    <row r="1391" spans="8:14" x14ac:dyDescent="0.25">
      <c r="H1391" s="37"/>
      <c r="I1391" s="79"/>
      <c r="J1391" s="70"/>
      <c r="K1391" s="57"/>
      <c r="L1391" s="11"/>
      <c r="M1391" s="41"/>
      <c r="N1391" s="11"/>
    </row>
    <row r="1392" spans="8:14" x14ac:dyDescent="0.25">
      <c r="H1392" s="37"/>
      <c r="I1392" s="79"/>
      <c r="J1392" s="70"/>
      <c r="K1392" s="57"/>
      <c r="L1392" s="11"/>
      <c r="M1392" s="41"/>
      <c r="N1392" s="11"/>
    </row>
    <row r="1393" spans="8:14" x14ac:dyDescent="0.25">
      <c r="H1393" s="37"/>
      <c r="I1393" s="79"/>
      <c r="J1393" s="70"/>
      <c r="K1393" s="57"/>
      <c r="L1393" s="11"/>
      <c r="M1393" s="41"/>
      <c r="N1393" s="11"/>
    </row>
    <row r="1394" spans="8:14" x14ac:dyDescent="0.25">
      <c r="H1394" s="37"/>
      <c r="I1394" s="79"/>
      <c r="J1394" s="70"/>
      <c r="K1394" s="57"/>
      <c r="L1394" s="11"/>
      <c r="M1394" s="41"/>
      <c r="N1394" s="11"/>
    </row>
    <row r="1395" spans="8:14" x14ac:dyDescent="0.25">
      <c r="H1395" s="37"/>
      <c r="I1395" s="79"/>
      <c r="J1395" s="70"/>
      <c r="K1395" s="57"/>
      <c r="L1395" s="11"/>
      <c r="M1395" s="41"/>
      <c r="N1395" s="11"/>
    </row>
    <row r="1396" spans="8:14" x14ac:dyDescent="0.25">
      <c r="H1396" s="37"/>
      <c r="I1396" s="79"/>
      <c r="J1396" s="70"/>
      <c r="K1396" s="57"/>
      <c r="L1396" s="11"/>
      <c r="M1396" s="41"/>
      <c r="N1396" s="11"/>
    </row>
    <row r="1397" spans="8:14" x14ac:dyDescent="0.25">
      <c r="H1397" s="37"/>
      <c r="I1397" s="79"/>
      <c r="J1397" s="70"/>
      <c r="K1397" s="57"/>
      <c r="L1397" s="11"/>
      <c r="M1397" s="41"/>
      <c r="N1397" s="11"/>
    </row>
    <row r="1398" spans="8:14" x14ac:dyDescent="0.25">
      <c r="H1398" s="37"/>
      <c r="I1398" s="79"/>
      <c r="J1398" s="70"/>
      <c r="K1398" s="57"/>
      <c r="L1398" s="11"/>
      <c r="M1398" s="41"/>
      <c r="N1398" s="11"/>
    </row>
    <row r="1399" spans="8:14" x14ac:dyDescent="0.25">
      <c r="H1399" s="37"/>
      <c r="I1399" s="79"/>
      <c r="J1399" s="70"/>
      <c r="K1399" s="57"/>
      <c r="L1399" s="11"/>
      <c r="M1399" s="41"/>
      <c r="N1399" s="11"/>
    </row>
    <row r="1400" spans="8:14" x14ac:dyDescent="0.25">
      <c r="H1400" s="37"/>
      <c r="I1400" s="79"/>
      <c r="J1400" s="70"/>
      <c r="K1400" s="57"/>
      <c r="L1400" s="11"/>
      <c r="M1400" s="41"/>
      <c r="N1400" s="11"/>
    </row>
    <row r="1401" spans="8:14" x14ac:dyDescent="0.25">
      <c r="H1401" s="37"/>
      <c r="I1401" s="79"/>
      <c r="J1401" s="70"/>
      <c r="K1401" s="57"/>
      <c r="L1401" s="11"/>
      <c r="M1401" s="41"/>
      <c r="N1401" s="11"/>
    </row>
    <row r="1402" spans="8:14" x14ac:dyDescent="0.25">
      <c r="H1402" s="37"/>
      <c r="I1402" s="79"/>
      <c r="J1402" s="70"/>
      <c r="K1402" s="57"/>
      <c r="L1402" s="11"/>
      <c r="M1402" s="41"/>
      <c r="N1402" s="11"/>
    </row>
    <row r="1403" spans="8:14" x14ac:dyDescent="0.25">
      <c r="H1403" s="37"/>
      <c r="I1403" s="79"/>
      <c r="J1403" s="70"/>
      <c r="K1403" s="57"/>
      <c r="L1403" s="11"/>
      <c r="M1403" s="41"/>
      <c r="N1403" s="11"/>
    </row>
    <row r="1404" spans="8:14" x14ac:dyDescent="0.25">
      <c r="H1404" s="37"/>
      <c r="I1404" s="79"/>
      <c r="J1404" s="70"/>
      <c r="K1404" s="57"/>
      <c r="L1404" s="11"/>
      <c r="M1404" s="41"/>
      <c r="N1404" s="11"/>
    </row>
    <row r="1405" spans="8:14" x14ac:dyDescent="0.25">
      <c r="H1405" s="37"/>
      <c r="I1405" s="79"/>
      <c r="J1405" s="70"/>
      <c r="K1405" s="57"/>
      <c r="L1405" s="11"/>
      <c r="M1405" s="41"/>
      <c r="N1405" s="11"/>
    </row>
    <row r="1406" spans="8:14" x14ac:dyDescent="0.25">
      <c r="H1406" s="37"/>
      <c r="I1406" s="79"/>
      <c r="J1406" s="70"/>
      <c r="K1406" s="57"/>
      <c r="L1406" s="11"/>
      <c r="M1406" s="41"/>
      <c r="N1406" s="11"/>
    </row>
    <row r="1407" spans="8:14" x14ac:dyDescent="0.25">
      <c r="H1407" s="37"/>
      <c r="I1407" s="79"/>
      <c r="J1407" s="70"/>
      <c r="K1407" s="57"/>
      <c r="L1407" s="11"/>
      <c r="M1407" s="41"/>
      <c r="N1407" s="11"/>
    </row>
    <row r="1408" spans="8:14" x14ac:dyDescent="0.25">
      <c r="H1408" s="37"/>
      <c r="I1408" s="79"/>
      <c r="J1408" s="70"/>
      <c r="K1408" s="57"/>
      <c r="L1408" s="11"/>
      <c r="M1408" s="41"/>
      <c r="N1408" s="11"/>
    </row>
    <row r="1409" spans="8:14" x14ac:dyDescent="0.25">
      <c r="H1409" s="37"/>
      <c r="I1409" s="79"/>
      <c r="J1409" s="70"/>
      <c r="K1409" s="57"/>
      <c r="L1409" s="11"/>
      <c r="M1409" s="41"/>
      <c r="N1409" s="11"/>
    </row>
    <row r="1410" spans="8:14" x14ac:dyDescent="0.25">
      <c r="H1410" s="37"/>
      <c r="I1410" s="79"/>
      <c r="J1410" s="70"/>
      <c r="K1410" s="57"/>
      <c r="L1410" s="11"/>
      <c r="M1410" s="41"/>
      <c r="N1410" s="11"/>
    </row>
    <row r="1411" spans="8:14" x14ac:dyDescent="0.25">
      <c r="H1411" s="37"/>
      <c r="I1411" s="79"/>
      <c r="J1411" s="70"/>
      <c r="K1411" s="57"/>
      <c r="L1411" s="11"/>
      <c r="M1411" s="41"/>
      <c r="N1411" s="11"/>
    </row>
    <row r="1412" spans="8:14" x14ac:dyDescent="0.25">
      <c r="H1412" s="37"/>
      <c r="I1412" s="79"/>
      <c r="J1412" s="70"/>
      <c r="K1412" s="57"/>
      <c r="L1412" s="11"/>
      <c r="M1412" s="41"/>
      <c r="N1412" s="11"/>
    </row>
    <row r="1413" spans="8:14" x14ac:dyDescent="0.25">
      <c r="H1413" s="37"/>
      <c r="I1413" s="79"/>
      <c r="J1413" s="70"/>
      <c r="K1413" s="57"/>
      <c r="L1413" s="11"/>
      <c r="M1413" s="41"/>
      <c r="N1413" s="11"/>
    </row>
    <row r="1414" spans="8:14" x14ac:dyDescent="0.25">
      <c r="H1414" s="37"/>
      <c r="I1414" s="79"/>
      <c r="J1414" s="70"/>
      <c r="K1414" s="57"/>
      <c r="L1414" s="11"/>
      <c r="M1414" s="41"/>
      <c r="N1414" s="11"/>
    </row>
    <row r="1415" spans="8:14" x14ac:dyDescent="0.25">
      <c r="H1415" s="37"/>
      <c r="I1415" s="79"/>
      <c r="J1415" s="70"/>
      <c r="K1415" s="57"/>
      <c r="L1415" s="11"/>
      <c r="M1415" s="41"/>
      <c r="N1415" s="11"/>
    </row>
    <row r="1416" spans="8:14" x14ac:dyDescent="0.25">
      <c r="H1416" s="37"/>
      <c r="I1416" s="79"/>
      <c r="J1416" s="70"/>
      <c r="K1416" s="57"/>
      <c r="L1416" s="11"/>
      <c r="M1416" s="41"/>
      <c r="N1416" s="11"/>
    </row>
    <row r="1417" spans="8:14" x14ac:dyDescent="0.25">
      <c r="H1417" s="37"/>
      <c r="I1417" s="79"/>
      <c r="J1417" s="70"/>
      <c r="K1417" s="57"/>
      <c r="L1417" s="11"/>
      <c r="M1417" s="41"/>
      <c r="N1417" s="11"/>
    </row>
    <row r="1418" spans="8:14" x14ac:dyDescent="0.25">
      <c r="H1418" s="37"/>
      <c r="I1418" s="79"/>
      <c r="J1418" s="70"/>
      <c r="K1418" s="57"/>
      <c r="L1418" s="11"/>
      <c r="M1418" s="41"/>
      <c r="N1418" s="11"/>
    </row>
    <row r="1419" spans="8:14" x14ac:dyDescent="0.25">
      <c r="H1419" s="37"/>
      <c r="I1419" s="79"/>
      <c r="J1419" s="70"/>
      <c r="K1419" s="57"/>
      <c r="L1419" s="11"/>
      <c r="M1419" s="41"/>
      <c r="N1419" s="11"/>
    </row>
    <row r="1420" spans="8:14" x14ac:dyDescent="0.25">
      <c r="H1420" s="37"/>
      <c r="I1420" s="79"/>
      <c r="J1420" s="70"/>
      <c r="K1420" s="57"/>
      <c r="L1420" s="11"/>
      <c r="M1420" s="41"/>
      <c r="N1420" s="11"/>
    </row>
    <row r="1421" spans="8:14" x14ac:dyDescent="0.25">
      <c r="H1421" s="37"/>
      <c r="I1421" s="79"/>
      <c r="J1421" s="70"/>
      <c r="K1421" s="57"/>
      <c r="L1421" s="11"/>
      <c r="M1421" s="41"/>
      <c r="N1421" s="11"/>
    </row>
    <row r="1422" spans="8:14" x14ac:dyDescent="0.25">
      <c r="H1422" s="37"/>
      <c r="I1422" s="79"/>
      <c r="J1422" s="70"/>
      <c r="K1422" s="57"/>
      <c r="L1422" s="11"/>
      <c r="M1422" s="41"/>
      <c r="N1422" s="11"/>
    </row>
    <row r="1423" spans="8:14" x14ac:dyDescent="0.25">
      <c r="H1423" s="37"/>
      <c r="I1423" s="79"/>
      <c r="J1423" s="70"/>
      <c r="K1423" s="57"/>
      <c r="L1423" s="11"/>
      <c r="M1423" s="41"/>
      <c r="N1423" s="11"/>
    </row>
    <row r="1424" spans="8:14" x14ac:dyDescent="0.25">
      <c r="H1424" s="37"/>
      <c r="I1424" s="79"/>
      <c r="J1424" s="70"/>
      <c r="K1424" s="57"/>
      <c r="L1424" s="11"/>
      <c r="M1424" s="41"/>
      <c r="N1424" s="11"/>
    </row>
    <row r="1425" spans="8:14" x14ac:dyDescent="0.25">
      <c r="H1425" s="37"/>
      <c r="I1425" s="79"/>
      <c r="J1425" s="70"/>
      <c r="K1425" s="57"/>
      <c r="L1425" s="11"/>
      <c r="M1425" s="41"/>
      <c r="N1425" s="11"/>
    </row>
    <row r="1426" spans="8:14" x14ac:dyDescent="0.25">
      <c r="H1426" s="37"/>
      <c r="I1426" s="79"/>
      <c r="J1426" s="70"/>
      <c r="K1426" s="57"/>
      <c r="L1426" s="11"/>
      <c r="M1426" s="41"/>
      <c r="N1426" s="11"/>
    </row>
    <row r="1427" spans="8:14" x14ac:dyDescent="0.25">
      <c r="H1427" s="37"/>
      <c r="I1427" s="79"/>
      <c r="J1427" s="70"/>
      <c r="K1427" s="57"/>
      <c r="L1427" s="11"/>
      <c r="M1427" s="41"/>
      <c r="N1427" s="11"/>
    </row>
    <row r="1428" spans="8:14" x14ac:dyDescent="0.25">
      <c r="H1428" s="37"/>
      <c r="I1428" s="79"/>
      <c r="J1428" s="70"/>
      <c r="K1428" s="57"/>
      <c r="L1428" s="11"/>
      <c r="M1428" s="41"/>
      <c r="N1428" s="11"/>
    </row>
    <row r="1429" spans="8:14" x14ac:dyDescent="0.25">
      <c r="H1429" s="37"/>
      <c r="I1429" s="79"/>
      <c r="J1429" s="70"/>
      <c r="K1429" s="57"/>
      <c r="L1429" s="11"/>
      <c r="M1429" s="41"/>
      <c r="N1429" s="11"/>
    </row>
    <row r="1430" spans="8:14" x14ac:dyDescent="0.25">
      <c r="H1430" s="37"/>
      <c r="I1430" s="79"/>
      <c r="J1430" s="70"/>
      <c r="K1430" s="57"/>
      <c r="L1430" s="11"/>
      <c r="M1430" s="41"/>
      <c r="N1430" s="11"/>
    </row>
    <row r="1431" spans="8:14" x14ac:dyDescent="0.25">
      <c r="H1431" s="37"/>
      <c r="I1431" s="79"/>
      <c r="J1431" s="70"/>
      <c r="K1431" s="57"/>
      <c r="L1431" s="11"/>
      <c r="M1431" s="41"/>
      <c r="N1431" s="11"/>
    </row>
    <row r="1432" spans="8:14" x14ac:dyDescent="0.25">
      <c r="H1432" s="37"/>
      <c r="I1432" s="79"/>
      <c r="J1432" s="70"/>
      <c r="K1432" s="57"/>
      <c r="L1432" s="11"/>
      <c r="M1432" s="41"/>
      <c r="N1432" s="11"/>
    </row>
    <row r="1433" spans="8:14" x14ac:dyDescent="0.25">
      <c r="H1433" s="37"/>
      <c r="I1433" s="79"/>
      <c r="J1433" s="70"/>
      <c r="K1433" s="57"/>
      <c r="L1433" s="11"/>
      <c r="M1433" s="41"/>
      <c r="N1433" s="11"/>
    </row>
    <row r="1434" spans="8:14" x14ac:dyDescent="0.25">
      <c r="H1434" s="37"/>
      <c r="I1434" s="79"/>
      <c r="J1434" s="70"/>
      <c r="K1434" s="57"/>
      <c r="L1434" s="11"/>
      <c r="M1434" s="41"/>
      <c r="N1434" s="11"/>
    </row>
    <row r="1435" spans="8:14" x14ac:dyDescent="0.25">
      <c r="H1435" s="37"/>
      <c r="I1435" s="79"/>
      <c r="J1435" s="70"/>
      <c r="K1435" s="57"/>
      <c r="L1435" s="11"/>
      <c r="M1435" s="41"/>
      <c r="N1435" s="11"/>
    </row>
    <row r="1436" spans="8:14" x14ac:dyDescent="0.25">
      <c r="H1436" s="37"/>
      <c r="I1436" s="79"/>
      <c r="J1436" s="70"/>
      <c r="K1436" s="57"/>
      <c r="L1436" s="11"/>
      <c r="M1436" s="41"/>
      <c r="N1436" s="11"/>
    </row>
    <row r="1437" spans="8:14" x14ac:dyDescent="0.25">
      <c r="H1437" s="37"/>
      <c r="I1437" s="79"/>
      <c r="J1437" s="70"/>
      <c r="K1437" s="57"/>
      <c r="L1437" s="11"/>
      <c r="M1437" s="41"/>
      <c r="N1437" s="11"/>
    </row>
    <row r="1438" spans="8:14" x14ac:dyDescent="0.25">
      <c r="H1438" s="37"/>
      <c r="I1438" s="79"/>
      <c r="J1438" s="70"/>
      <c r="K1438" s="57"/>
      <c r="L1438" s="11"/>
      <c r="M1438" s="41"/>
      <c r="N1438" s="11"/>
    </row>
    <row r="1439" spans="8:14" x14ac:dyDescent="0.25">
      <c r="H1439" s="37"/>
      <c r="I1439" s="79"/>
      <c r="J1439" s="70"/>
      <c r="K1439" s="57"/>
      <c r="L1439" s="11"/>
      <c r="M1439" s="41"/>
      <c r="N1439" s="11"/>
    </row>
    <row r="1440" spans="8:14" x14ac:dyDescent="0.25">
      <c r="H1440" s="37"/>
      <c r="I1440" s="79"/>
      <c r="J1440" s="70"/>
      <c r="K1440" s="57"/>
      <c r="L1440" s="11"/>
      <c r="M1440" s="41"/>
      <c r="N1440" s="11"/>
    </row>
    <row r="1441" spans="8:14" x14ac:dyDescent="0.25">
      <c r="H1441" s="37"/>
      <c r="I1441" s="79"/>
      <c r="J1441" s="70"/>
      <c r="K1441" s="57"/>
      <c r="L1441" s="11"/>
      <c r="M1441" s="41"/>
      <c r="N1441" s="11"/>
    </row>
    <row r="1442" spans="8:14" x14ac:dyDescent="0.25">
      <c r="H1442" s="37"/>
      <c r="I1442" s="79"/>
      <c r="J1442" s="70"/>
      <c r="K1442" s="57"/>
      <c r="L1442" s="11"/>
      <c r="M1442" s="41"/>
      <c r="N1442" s="11"/>
    </row>
    <row r="1443" spans="8:14" x14ac:dyDescent="0.25">
      <c r="H1443" s="37"/>
      <c r="I1443" s="79"/>
      <c r="J1443" s="70"/>
      <c r="K1443" s="57"/>
      <c r="L1443" s="11"/>
      <c r="M1443" s="41"/>
      <c r="N1443" s="11"/>
    </row>
    <row r="1444" spans="8:14" x14ac:dyDescent="0.25">
      <c r="H1444" s="37"/>
      <c r="I1444" s="79"/>
      <c r="J1444" s="70"/>
      <c r="K1444" s="57"/>
      <c r="L1444" s="11"/>
      <c r="M1444" s="41"/>
      <c r="N1444" s="11"/>
    </row>
    <row r="1445" spans="8:14" x14ac:dyDescent="0.25">
      <c r="H1445" s="37"/>
      <c r="I1445" s="79"/>
      <c r="J1445" s="70"/>
      <c r="K1445" s="57"/>
      <c r="L1445" s="11"/>
      <c r="M1445" s="41"/>
      <c r="N1445" s="11"/>
    </row>
    <row r="1446" spans="8:14" x14ac:dyDescent="0.25">
      <c r="H1446" s="37"/>
      <c r="I1446" s="79"/>
      <c r="J1446" s="70"/>
      <c r="K1446" s="57"/>
      <c r="L1446" s="11"/>
      <c r="M1446" s="41"/>
      <c r="N1446" s="11"/>
    </row>
    <row r="1447" spans="8:14" x14ac:dyDescent="0.25">
      <c r="H1447" s="37"/>
      <c r="I1447" s="79"/>
      <c r="J1447" s="70"/>
      <c r="K1447" s="57"/>
      <c r="L1447" s="11"/>
      <c r="M1447" s="41"/>
      <c r="N1447" s="11"/>
    </row>
    <row r="1448" spans="8:14" x14ac:dyDescent="0.25">
      <c r="H1448" s="37"/>
      <c r="I1448" s="79"/>
      <c r="J1448" s="70"/>
      <c r="K1448" s="57"/>
      <c r="L1448" s="11"/>
      <c r="M1448" s="41"/>
      <c r="N1448" s="11"/>
    </row>
    <row r="1449" spans="8:14" x14ac:dyDescent="0.25">
      <c r="H1449" s="37"/>
      <c r="I1449" s="79"/>
      <c r="J1449" s="70"/>
      <c r="K1449" s="57"/>
      <c r="L1449" s="11"/>
      <c r="M1449" s="41"/>
      <c r="N1449" s="11"/>
    </row>
    <row r="1450" spans="8:14" x14ac:dyDescent="0.25">
      <c r="H1450" s="37"/>
      <c r="I1450" s="79"/>
      <c r="J1450" s="70"/>
      <c r="K1450" s="57"/>
      <c r="L1450" s="11"/>
      <c r="M1450" s="41"/>
      <c r="N1450" s="11"/>
    </row>
    <row r="1451" spans="8:14" x14ac:dyDescent="0.25">
      <c r="H1451" s="37"/>
      <c r="I1451" s="79"/>
      <c r="J1451" s="70"/>
      <c r="K1451" s="57"/>
      <c r="L1451" s="11"/>
      <c r="M1451" s="41"/>
      <c r="N1451" s="11"/>
    </row>
    <row r="1452" spans="8:14" x14ac:dyDescent="0.25">
      <c r="H1452" s="37"/>
      <c r="I1452" s="79"/>
      <c r="J1452" s="70"/>
      <c r="K1452" s="57"/>
      <c r="L1452" s="11"/>
      <c r="M1452" s="41"/>
      <c r="N1452" s="11"/>
    </row>
    <row r="1453" spans="8:14" x14ac:dyDescent="0.25">
      <c r="H1453" s="37"/>
      <c r="I1453" s="79"/>
      <c r="J1453" s="70"/>
      <c r="K1453" s="57"/>
      <c r="L1453" s="11"/>
      <c r="M1453" s="41"/>
      <c r="N1453" s="11"/>
    </row>
    <row r="1454" spans="8:14" x14ac:dyDescent="0.25">
      <c r="H1454" s="37"/>
      <c r="I1454" s="79"/>
      <c r="J1454" s="70"/>
      <c r="K1454" s="57"/>
      <c r="L1454" s="11"/>
      <c r="M1454" s="41"/>
      <c r="N1454" s="11"/>
    </row>
    <row r="1455" spans="8:14" x14ac:dyDescent="0.25">
      <c r="H1455" s="37"/>
      <c r="I1455" s="79"/>
      <c r="J1455" s="70"/>
      <c r="K1455" s="57"/>
      <c r="L1455" s="11"/>
      <c r="M1455" s="41"/>
      <c r="N1455" s="11"/>
    </row>
    <row r="1456" spans="8:14" x14ac:dyDescent="0.25">
      <c r="H1456" s="37"/>
      <c r="I1456" s="79"/>
      <c r="J1456" s="70"/>
      <c r="K1456" s="57"/>
      <c r="L1456" s="11"/>
      <c r="M1456" s="41"/>
      <c r="N1456" s="11"/>
    </row>
    <row r="1457" spans="8:14" x14ac:dyDescent="0.25">
      <c r="H1457" s="37"/>
      <c r="I1457" s="79"/>
      <c r="J1457" s="70"/>
      <c r="K1457" s="57"/>
      <c r="L1457" s="11"/>
      <c r="M1457" s="41"/>
      <c r="N1457" s="11"/>
    </row>
    <row r="1458" spans="8:14" x14ac:dyDescent="0.25">
      <c r="H1458" s="37"/>
      <c r="I1458" s="79"/>
      <c r="J1458" s="70"/>
      <c r="K1458" s="57"/>
      <c r="L1458" s="11"/>
      <c r="M1458" s="41"/>
      <c r="N1458" s="11"/>
    </row>
    <row r="1459" spans="8:14" x14ac:dyDescent="0.25">
      <c r="H1459" s="37"/>
      <c r="I1459" s="79"/>
      <c r="J1459" s="70"/>
      <c r="K1459" s="57"/>
      <c r="L1459" s="11"/>
      <c r="M1459" s="41"/>
      <c r="N1459" s="11"/>
    </row>
    <row r="1460" spans="8:14" x14ac:dyDescent="0.25">
      <c r="H1460" s="37"/>
      <c r="I1460" s="79"/>
      <c r="J1460" s="70"/>
      <c r="K1460" s="57"/>
      <c r="L1460" s="11"/>
      <c r="M1460" s="41"/>
      <c r="N1460" s="11"/>
    </row>
    <row r="1461" spans="8:14" x14ac:dyDescent="0.25">
      <c r="H1461" s="37"/>
      <c r="I1461" s="79"/>
      <c r="J1461" s="70"/>
      <c r="K1461" s="57"/>
      <c r="L1461" s="11"/>
      <c r="M1461" s="41"/>
      <c r="N1461" s="11"/>
    </row>
    <row r="1462" spans="8:14" x14ac:dyDescent="0.25">
      <c r="H1462" s="37"/>
      <c r="I1462" s="79"/>
      <c r="J1462" s="70"/>
      <c r="K1462" s="57"/>
      <c r="L1462" s="11"/>
      <c r="M1462" s="41"/>
      <c r="N1462" s="11"/>
    </row>
    <row r="1463" spans="8:14" x14ac:dyDescent="0.25">
      <c r="H1463" s="37"/>
      <c r="I1463" s="79"/>
      <c r="J1463" s="70"/>
      <c r="K1463" s="57"/>
      <c r="L1463" s="11"/>
      <c r="M1463" s="41"/>
      <c r="N1463" s="11"/>
    </row>
    <row r="1464" spans="8:14" x14ac:dyDescent="0.25">
      <c r="H1464" s="37"/>
      <c r="I1464" s="79"/>
      <c r="J1464" s="70"/>
      <c r="K1464" s="57"/>
      <c r="L1464" s="11"/>
      <c r="M1464" s="41"/>
      <c r="N1464" s="11"/>
    </row>
    <row r="1465" spans="8:14" x14ac:dyDescent="0.25">
      <c r="H1465" s="37"/>
      <c r="I1465" s="79"/>
      <c r="J1465" s="70"/>
      <c r="K1465" s="57"/>
      <c r="L1465" s="11"/>
      <c r="M1465" s="41"/>
      <c r="N1465" s="11"/>
    </row>
    <row r="1466" spans="8:14" x14ac:dyDescent="0.25">
      <c r="H1466" s="37"/>
      <c r="I1466" s="79"/>
      <c r="J1466" s="70"/>
      <c r="K1466" s="57"/>
      <c r="L1466" s="11"/>
      <c r="M1466" s="41"/>
      <c r="N1466" s="11"/>
    </row>
    <row r="1467" spans="8:14" x14ac:dyDescent="0.25">
      <c r="H1467" s="37"/>
      <c r="I1467" s="79"/>
      <c r="J1467" s="70"/>
      <c r="K1467" s="57"/>
      <c r="L1467" s="11"/>
      <c r="M1467" s="41"/>
      <c r="N1467" s="11"/>
    </row>
    <row r="1468" spans="8:14" x14ac:dyDescent="0.25">
      <c r="H1468" s="37"/>
      <c r="I1468" s="79"/>
      <c r="J1468" s="70"/>
      <c r="K1468" s="57"/>
      <c r="L1468" s="11"/>
      <c r="M1468" s="41"/>
      <c r="N1468" s="11"/>
    </row>
    <row r="1469" spans="8:14" x14ac:dyDescent="0.25">
      <c r="H1469" s="37"/>
      <c r="I1469" s="79"/>
      <c r="J1469" s="70"/>
      <c r="K1469" s="57"/>
      <c r="L1469" s="11"/>
      <c r="M1469" s="41"/>
      <c r="N1469" s="11"/>
    </row>
    <row r="1470" spans="8:14" x14ac:dyDescent="0.25">
      <c r="H1470" s="37"/>
      <c r="I1470" s="79"/>
      <c r="J1470" s="70"/>
      <c r="K1470" s="57"/>
      <c r="L1470" s="11"/>
      <c r="M1470" s="41"/>
      <c r="N1470" s="11"/>
    </row>
    <row r="1471" spans="8:14" x14ac:dyDescent="0.25">
      <c r="H1471" s="37"/>
      <c r="I1471" s="79"/>
      <c r="J1471" s="70"/>
      <c r="K1471" s="57"/>
      <c r="L1471" s="11"/>
      <c r="M1471" s="41"/>
      <c r="N1471" s="11"/>
    </row>
    <row r="1472" spans="8:14" x14ac:dyDescent="0.25">
      <c r="H1472" s="37"/>
      <c r="I1472" s="79"/>
      <c r="J1472" s="70"/>
      <c r="K1472" s="57"/>
      <c r="L1472" s="11"/>
      <c r="M1472" s="41"/>
      <c r="N1472" s="11"/>
    </row>
    <row r="1473" spans="8:14" x14ac:dyDescent="0.25">
      <c r="H1473" s="37"/>
      <c r="I1473" s="79"/>
      <c r="J1473" s="70"/>
      <c r="K1473" s="57"/>
      <c r="L1473" s="11"/>
      <c r="M1473" s="41"/>
      <c r="N1473" s="11"/>
    </row>
    <row r="1474" spans="8:14" x14ac:dyDescent="0.25">
      <c r="H1474" s="37"/>
      <c r="I1474" s="79"/>
      <c r="J1474" s="70"/>
      <c r="K1474" s="57"/>
      <c r="L1474" s="11"/>
      <c r="M1474" s="41"/>
      <c r="N1474" s="11"/>
    </row>
    <row r="1475" spans="8:14" x14ac:dyDescent="0.25">
      <c r="H1475" s="37"/>
      <c r="I1475" s="79"/>
      <c r="J1475" s="70"/>
      <c r="K1475" s="57"/>
      <c r="L1475" s="11"/>
      <c r="M1475" s="41"/>
      <c r="N1475" s="11"/>
    </row>
    <row r="1476" spans="8:14" x14ac:dyDescent="0.25">
      <c r="H1476" s="37"/>
      <c r="I1476" s="79"/>
      <c r="J1476" s="70"/>
      <c r="K1476" s="57"/>
      <c r="L1476" s="11"/>
      <c r="M1476" s="41"/>
      <c r="N1476" s="11"/>
    </row>
    <row r="1477" spans="8:14" x14ac:dyDescent="0.25">
      <c r="H1477" s="37"/>
      <c r="I1477" s="79"/>
      <c r="J1477" s="70"/>
      <c r="K1477" s="57"/>
      <c r="L1477" s="11"/>
      <c r="M1477" s="41"/>
      <c r="N1477" s="11"/>
    </row>
    <row r="1478" spans="8:14" x14ac:dyDescent="0.25">
      <c r="H1478" s="37"/>
      <c r="I1478" s="79"/>
      <c r="J1478" s="70"/>
      <c r="K1478" s="57"/>
      <c r="L1478" s="11"/>
      <c r="M1478" s="41"/>
      <c r="N1478" s="11"/>
    </row>
    <row r="1479" spans="8:14" x14ac:dyDescent="0.25">
      <c r="H1479" s="37"/>
      <c r="I1479" s="79"/>
      <c r="J1479" s="70"/>
      <c r="K1479" s="57"/>
      <c r="L1479" s="11"/>
      <c r="M1479" s="41"/>
      <c r="N1479" s="11"/>
    </row>
    <row r="1480" spans="8:14" x14ac:dyDescent="0.25">
      <c r="H1480" s="37"/>
      <c r="I1480" s="79"/>
      <c r="J1480" s="70"/>
      <c r="K1480" s="57"/>
      <c r="L1480" s="11"/>
      <c r="M1480" s="41"/>
      <c r="N1480" s="11"/>
    </row>
    <row r="1481" spans="8:14" x14ac:dyDescent="0.25">
      <c r="H1481" s="37"/>
      <c r="I1481" s="79"/>
      <c r="J1481" s="70"/>
      <c r="K1481" s="57"/>
      <c r="L1481" s="11"/>
      <c r="M1481" s="41"/>
      <c r="N1481" s="11"/>
    </row>
    <row r="1482" spans="8:14" x14ac:dyDescent="0.25">
      <c r="H1482" s="37"/>
      <c r="I1482" s="79"/>
      <c r="J1482" s="70"/>
      <c r="K1482" s="57"/>
      <c r="L1482" s="11"/>
      <c r="M1482" s="41"/>
      <c r="N1482" s="11"/>
    </row>
    <row r="1483" spans="8:14" x14ac:dyDescent="0.25">
      <c r="H1483" s="37"/>
      <c r="I1483" s="79"/>
      <c r="J1483" s="70"/>
      <c r="K1483" s="57"/>
      <c r="L1483" s="11"/>
      <c r="M1483" s="41"/>
      <c r="N1483" s="11"/>
    </row>
    <row r="1484" spans="8:14" x14ac:dyDescent="0.25">
      <c r="H1484" s="37"/>
      <c r="I1484" s="79"/>
      <c r="J1484" s="70"/>
      <c r="K1484" s="57"/>
      <c r="L1484" s="11"/>
      <c r="M1484" s="41"/>
      <c r="N1484" s="11"/>
    </row>
    <row r="1485" spans="8:14" x14ac:dyDescent="0.25">
      <c r="H1485" s="37"/>
      <c r="I1485" s="79"/>
      <c r="J1485" s="70"/>
      <c r="K1485" s="57"/>
      <c r="L1485" s="11"/>
      <c r="M1485" s="41"/>
      <c r="N1485" s="11"/>
    </row>
    <row r="1486" spans="8:14" x14ac:dyDescent="0.25">
      <c r="H1486" s="37"/>
      <c r="I1486" s="79"/>
      <c r="J1486" s="70"/>
      <c r="K1486" s="57"/>
      <c r="L1486" s="11"/>
      <c r="M1486" s="41"/>
      <c r="N1486" s="11"/>
    </row>
    <row r="1487" spans="8:14" x14ac:dyDescent="0.25">
      <c r="H1487" s="37"/>
      <c r="I1487" s="79"/>
      <c r="J1487" s="70"/>
      <c r="K1487" s="57"/>
      <c r="L1487" s="11"/>
      <c r="M1487" s="41"/>
      <c r="N1487" s="11"/>
    </row>
    <row r="1488" spans="8:14" x14ac:dyDescent="0.25">
      <c r="H1488" s="37"/>
      <c r="I1488" s="79"/>
      <c r="J1488" s="70"/>
      <c r="K1488" s="57"/>
      <c r="L1488" s="11"/>
      <c r="M1488" s="41"/>
      <c r="N1488" s="11"/>
    </row>
    <row r="1489" spans="8:14" x14ac:dyDescent="0.25">
      <c r="H1489" s="37"/>
      <c r="I1489" s="79"/>
      <c r="J1489" s="70"/>
      <c r="K1489" s="57"/>
      <c r="L1489" s="11"/>
      <c r="M1489" s="41"/>
      <c r="N1489" s="11"/>
    </row>
    <row r="1490" spans="8:14" x14ac:dyDescent="0.25">
      <c r="H1490" s="37"/>
      <c r="I1490" s="79"/>
      <c r="J1490" s="70"/>
      <c r="K1490" s="57"/>
      <c r="L1490" s="11"/>
      <c r="M1490" s="41"/>
      <c r="N1490" s="11"/>
    </row>
    <row r="1491" spans="8:14" x14ac:dyDescent="0.25">
      <c r="H1491" s="37"/>
      <c r="I1491" s="79"/>
      <c r="J1491" s="70"/>
      <c r="K1491" s="57"/>
      <c r="L1491" s="11"/>
      <c r="M1491" s="41"/>
      <c r="N1491" s="11"/>
    </row>
    <row r="1492" spans="8:14" x14ac:dyDescent="0.25">
      <c r="H1492" s="37"/>
      <c r="I1492" s="79"/>
      <c r="J1492" s="70"/>
      <c r="K1492" s="57"/>
      <c r="L1492" s="11"/>
      <c r="M1492" s="41"/>
      <c r="N1492" s="11"/>
    </row>
    <row r="1493" spans="8:14" x14ac:dyDescent="0.25">
      <c r="H1493" s="37"/>
      <c r="I1493" s="79"/>
      <c r="J1493" s="70"/>
      <c r="K1493" s="57"/>
      <c r="L1493" s="11"/>
      <c r="M1493" s="41"/>
      <c r="N1493" s="11"/>
    </row>
    <row r="1494" spans="8:14" x14ac:dyDescent="0.25">
      <c r="H1494" s="37"/>
      <c r="I1494" s="79"/>
      <c r="J1494" s="70"/>
      <c r="K1494" s="57"/>
      <c r="L1494" s="11"/>
      <c r="M1494" s="41"/>
      <c r="N1494" s="11"/>
    </row>
    <row r="1495" spans="8:14" x14ac:dyDescent="0.25">
      <c r="H1495" s="37"/>
      <c r="I1495" s="79"/>
      <c r="J1495" s="70"/>
      <c r="K1495" s="57"/>
      <c r="L1495" s="11"/>
      <c r="M1495" s="41"/>
      <c r="N1495" s="11"/>
    </row>
    <row r="1496" spans="8:14" x14ac:dyDescent="0.25">
      <c r="H1496" s="37"/>
      <c r="I1496" s="79"/>
      <c r="J1496" s="70"/>
      <c r="K1496" s="57"/>
      <c r="L1496" s="11"/>
      <c r="M1496" s="41"/>
      <c r="N1496" s="11"/>
    </row>
    <row r="1497" spans="8:14" x14ac:dyDescent="0.25">
      <c r="H1497" s="37"/>
      <c r="I1497" s="79"/>
      <c r="J1497" s="70"/>
      <c r="K1497" s="57"/>
      <c r="L1497" s="11"/>
      <c r="M1497" s="41"/>
      <c r="N1497" s="11"/>
    </row>
    <row r="1498" spans="8:14" x14ac:dyDescent="0.25">
      <c r="H1498" s="37"/>
      <c r="I1498" s="79"/>
      <c r="J1498" s="70"/>
      <c r="K1498" s="57"/>
      <c r="L1498" s="11"/>
      <c r="M1498" s="41"/>
      <c r="N1498" s="11"/>
    </row>
    <row r="1499" spans="8:14" x14ac:dyDescent="0.25">
      <c r="H1499" s="37"/>
      <c r="I1499" s="79"/>
      <c r="J1499" s="70"/>
      <c r="K1499" s="57"/>
      <c r="L1499" s="11"/>
      <c r="M1499" s="41"/>
      <c r="N1499" s="11"/>
    </row>
    <row r="1500" spans="8:14" x14ac:dyDescent="0.25">
      <c r="H1500" s="37"/>
      <c r="I1500" s="79"/>
      <c r="J1500" s="70"/>
      <c r="K1500" s="57"/>
      <c r="L1500" s="11"/>
      <c r="M1500" s="41"/>
      <c r="N1500" s="11"/>
    </row>
    <row r="1501" spans="8:14" x14ac:dyDescent="0.25">
      <c r="H1501" s="37"/>
      <c r="I1501" s="79"/>
      <c r="J1501" s="70"/>
      <c r="K1501" s="57"/>
      <c r="L1501" s="11"/>
      <c r="M1501" s="41"/>
      <c r="N1501" s="11"/>
    </row>
    <row r="1502" spans="8:14" x14ac:dyDescent="0.25">
      <c r="H1502" s="37"/>
      <c r="I1502" s="79"/>
      <c r="J1502" s="70"/>
      <c r="K1502" s="57"/>
      <c r="L1502" s="11"/>
      <c r="M1502" s="41"/>
      <c r="N1502" s="11"/>
    </row>
    <row r="1503" spans="8:14" x14ac:dyDescent="0.25">
      <c r="H1503" s="37"/>
      <c r="I1503" s="79"/>
      <c r="J1503" s="70"/>
      <c r="K1503" s="57"/>
      <c r="L1503" s="11"/>
      <c r="M1503" s="41"/>
      <c r="N1503" s="11"/>
    </row>
    <row r="1504" spans="8:14" x14ac:dyDescent="0.25">
      <c r="H1504" s="37"/>
      <c r="I1504" s="79"/>
      <c r="J1504" s="70"/>
      <c r="K1504" s="57"/>
      <c r="L1504" s="11"/>
      <c r="M1504" s="41"/>
      <c r="N1504" s="11"/>
    </row>
    <row r="1505" spans="8:14" x14ac:dyDescent="0.25">
      <c r="H1505" s="37"/>
      <c r="I1505" s="79"/>
      <c r="J1505" s="70"/>
      <c r="K1505" s="57"/>
      <c r="L1505" s="11"/>
      <c r="M1505" s="41"/>
      <c r="N1505" s="11"/>
    </row>
    <row r="1506" spans="8:14" x14ac:dyDescent="0.25">
      <c r="H1506" s="37"/>
      <c r="I1506" s="79"/>
      <c r="J1506" s="70"/>
      <c r="K1506" s="57"/>
      <c r="L1506" s="11"/>
      <c r="M1506" s="41"/>
      <c r="N1506" s="11"/>
    </row>
    <row r="1507" spans="8:14" x14ac:dyDescent="0.25">
      <c r="H1507" s="37"/>
      <c r="I1507" s="79"/>
      <c r="J1507" s="70"/>
      <c r="K1507" s="57"/>
      <c r="L1507" s="11"/>
      <c r="M1507" s="41"/>
      <c r="N1507" s="11"/>
    </row>
    <row r="1508" spans="8:14" x14ac:dyDescent="0.25">
      <c r="H1508" s="37"/>
      <c r="I1508" s="79"/>
      <c r="J1508" s="70"/>
      <c r="K1508" s="57"/>
      <c r="L1508" s="11"/>
      <c r="M1508" s="41"/>
      <c r="N1508" s="11"/>
    </row>
    <row r="1509" spans="8:14" x14ac:dyDescent="0.25">
      <c r="H1509" s="37"/>
      <c r="I1509" s="79"/>
      <c r="J1509" s="70"/>
      <c r="K1509" s="57"/>
      <c r="L1509" s="11"/>
      <c r="M1509" s="41"/>
      <c r="N1509" s="11"/>
    </row>
    <row r="1510" spans="8:14" x14ac:dyDescent="0.25">
      <c r="H1510" s="37"/>
      <c r="I1510" s="79"/>
      <c r="J1510" s="70"/>
      <c r="K1510" s="57"/>
      <c r="L1510" s="11"/>
      <c r="M1510" s="41"/>
      <c r="N1510" s="11"/>
    </row>
    <row r="1511" spans="8:14" x14ac:dyDescent="0.25">
      <c r="H1511" s="37"/>
      <c r="I1511" s="79"/>
      <c r="J1511" s="70"/>
      <c r="K1511" s="57"/>
      <c r="L1511" s="11"/>
      <c r="M1511" s="41"/>
      <c r="N1511" s="11"/>
    </row>
    <row r="1512" spans="8:14" x14ac:dyDescent="0.25">
      <c r="H1512" s="37"/>
      <c r="I1512" s="79"/>
      <c r="J1512" s="70"/>
      <c r="K1512" s="57"/>
      <c r="L1512" s="11"/>
      <c r="M1512" s="41"/>
      <c r="N1512" s="11"/>
    </row>
    <row r="1513" spans="8:14" x14ac:dyDescent="0.25">
      <c r="H1513" s="37"/>
      <c r="I1513" s="79"/>
      <c r="J1513" s="70"/>
      <c r="K1513" s="57"/>
      <c r="L1513" s="11"/>
      <c r="M1513" s="41"/>
      <c r="N1513" s="11"/>
    </row>
    <row r="1514" spans="8:14" x14ac:dyDescent="0.25">
      <c r="H1514" s="37"/>
      <c r="I1514" s="79"/>
      <c r="J1514" s="70"/>
      <c r="K1514" s="57"/>
      <c r="L1514" s="11"/>
      <c r="M1514" s="41"/>
      <c r="N1514" s="11"/>
    </row>
    <row r="1515" spans="8:14" x14ac:dyDescent="0.25">
      <c r="H1515" s="37"/>
      <c r="I1515" s="79"/>
      <c r="J1515" s="70"/>
      <c r="K1515" s="57"/>
      <c r="L1515" s="11"/>
      <c r="M1515" s="41"/>
      <c r="N1515" s="11"/>
    </row>
    <row r="1516" spans="8:14" x14ac:dyDescent="0.25">
      <c r="H1516" s="37"/>
      <c r="I1516" s="79"/>
      <c r="J1516" s="70"/>
      <c r="K1516" s="57"/>
      <c r="L1516" s="11"/>
      <c r="M1516" s="41"/>
      <c r="N1516" s="11"/>
    </row>
    <row r="1517" spans="8:14" x14ac:dyDescent="0.25">
      <c r="H1517" s="37"/>
      <c r="I1517" s="79"/>
      <c r="J1517" s="70"/>
      <c r="K1517" s="57"/>
      <c r="L1517" s="11"/>
      <c r="M1517" s="41"/>
      <c r="N1517" s="11"/>
    </row>
    <row r="1518" spans="8:14" x14ac:dyDescent="0.25">
      <c r="H1518" s="37"/>
      <c r="I1518" s="79"/>
      <c r="J1518" s="70"/>
      <c r="K1518" s="57"/>
      <c r="L1518" s="11"/>
      <c r="M1518" s="41"/>
      <c r="N1518" s="11"/>
    </row>
    <row r="1519" spans="8:14" x14ac:dyDescent="0.25">
      <c r="H1519" s="37"/>
      <c r="I1519" s="79"/>
      <c r="J1519" s="70"/>
      <c r="K1519" s="57"/>
      <c r="L1519" s="11"/>
      <c r="M1519" s="41"/>
      <c r="N1519" s="11"/>
    </row>
    <row r="1520" spans="8:14" x14ac:dyDescent="0.25">
      <c r="H1520" s="37"/>
      <c r="I1520" s="79"/>
      <c r="J1520" s="70"/>
      <c r="K1520" s="57"/>
      <c r="L1520" s="11"/>
      <c r="M1520" s="41"/>
      <c r="N1520" s="11"/>
    </row>
    <row r="1521" spans="8:14" x14ac:dyDescent="0.25">
      <c r="H1521" s="37"/>
      <c r="I1521" s="79"/>
      <c r="J1521" s="70"/>
      <c r="K1521" s="57"/>
      <c r="L1521" s="11"/>
      <c r="M1521" s="41"/>
      <c r="N1521" s="11"/>
    </row>
    <row r="1522" spans="8:14" x14ac:dyDescent="0.25">
      <c r="H1522" s="37"/>
      <c r="I1522" s="79"/>
      <c r="J1522" s="70"/>
      <c r="K1522" s="57"/>
      <c r="L1522" s="11"/>
      <c r="M1522" s="41"/>
      <c r="N1522" s="11"/>
    </row>
    <row r="1523" spans="8:14" x14ac:dyDescent="0.25">
      <c r="H1523" s="37"/>
      <c r="I1523" s="79"/>
      <c r="J1523" s="70"/>
      <c r="K1523" s="57"/>
      <c r="L1523" s="11"/>
      <c r="M1523" s="41"/>
      <c r="N1523" s="11"/>
    </row>
    <row r="1524" spans="8:14" x14ac:dyDescent="0.25">
      <c r="H1524" s="37"/>
      <c r="I1524" s="79"/>
      <c r="J1524" s="70"/>
      <c r="K1524" s="57"/>
      <c r="L1524" s="11"/>
      <c r="M1524" s="41"/>
      <c r="N1524" s="11"/>
    </row>
    <row r="1525" spans="8:14" x14ac:dyDescent="0.25">
      <c r="H1525" s="37"/>
      <c r="I1525" s="79"/>
      <c r="J1525" s="70"/>
      <c r="K1525" s="57"/>
      <c r="L1525" s="11"/>
      <c r="M1525" s="41"/>
      <c r="N1525" s="11"/>
    </row>
    <row r="1526" spans="8:14" x14ac:dyDescent="0.25">
      <c r="H1526" s="37"/>
      <c r="I1526" s="79"/>
      <c r="J1526" s="70"/>
      <c r="K1526" s="57"/>
      <c r="L1526" s="11"/>
      <c r="M1526" s="41"/>
      <c r="N1526" s="11"/>
    </row>
    <row r="1527" spans="8:14" x14ac:dyDescent="0.25">
      <c r="H1527" s="37"/>
      <c r="I1527" s="79"/>
      <c r="J1527" s="70"/>
      <c r="K1527" s="57"/>
      <c r="L1527" s="11"/>
      <c r="M1527" s="41"/>
      <c r="N1527" s="11"/>
    </row>
    <row r="1528" spans="8:14" x14ac:dyDescent="0.25">
      <c r="H1528" s="37"/>
      <c r="I1528" s="79"/>
      <c r="J1528" s="70"/>
      <c r="K1528" s="57"/>
      <c r="L1528" s="11"/>
      <c r="M1528" s="41"/>
      <c r="N1528" s="11"/>
    </row>
    <row r="1529" spans="8:14" x14ac:dyDescent="0.25">
      <c r="H1529" s="37"/>
      <c r="I1529" s="79"/>
      <c r="J1529" s="70"/>
      <c r="K1529" s="57"/>
      <c r="L1529" s="11"/>
      <c r="M1529" s="41"/>
      <c r="N1529" s="11"/>
    </row>
    <row r="1530" spans="8:14" x14ac:dyDescent="0.25">
      <c r="H1530" s="37"/>
      <c r="I1530" s="79"/>
      <c r="J1530" s="70"/>
      <c r="K1530" s="57"/>
      <c r="L1530" s="11"/>
      <c r="M1530" s="41"/>
      <c r="N1530" s="11"/>
    </row>
    <row r="1531" spans="8:14" x14ac:dyDescent="0.25">
      <c r="H1531" s="37"/>
      <c r="I1531" s="79"/>
      <c r="J1531" s="70"/>
      <c r="K1531" s="57"/>
      <c r="L1531" s="11"/>
      <c r="M1531" s="41"/>
      <c r="N1531" s="11"/>
    </row>
    <row r="1532" spans="8:14" x14ac:dyDescent="0.25">
      <c r="H1532" s="37"/>
      <c r="I1532" s="79"/>
      <c r="J1532" s="70"/>
      <c r="K1532" s="57"/>
      <c r="L1532" s="11"/>
      <c r="M1532" s="41"/>
      <c r="N1532" s="11"/>
    </row>
    <row r="1533" spans="8:14" x14ac:dyDescent="0.25">
      <c r="H1533" s="37"/>
      <c r="I1533" s="79"/>
      <c r="J1533" s="70"/>
      <c r="K1533" s="57"/>
      <c r="L1533" s="11"/>
      <c r="M1533" s="41"/>
      <c r="N1533" s="11"/>
    </row>
    <row r="1534" spans="8:14" x14ac:dyDescent="0.25">
      <c r="H1534" s="37"/>
      <c r="I1534" s="79"/>
      <c r="J1534" s="70"/>
      <c r="K1534" s="57"/>
      <c r="L1534" s="11"/>
      <c r="M1534" s="41"/>
      <c r="N1534" s="11"/>
    </row>
    <row r="1535" spans="8:14" x14ac:dyDescent="0.25">
      <c r="H1535" s="37"/>
      <c r="I1535" s="79"/>
      <c r="J1535" s="70"/>
      <c r="K1535" s="57"/>
      <c r="L1535" s="11"/>
      <c r="M1535" s="41"/>
      <c r="N1535" s="11"/>
    </row>
    <row r="1536" spans="8:14" x14ac:dyDescent="0.25">
      <c r="H1536" s="37"/>
      <c r="I1536" s="79"/>
      <c r="J1536" s="70"/>
      <c r="K1536" s="57"/>
      <c r="L1536" s="11"/>
      <c r="M1536" s="41"/>
      <c r="N1536" s="11"/>
    </row>
    <row r="1537" spans="8:14" x14ac:dyDescent="0.25">
      <c r="H1537" s="37"/>
      <c r="I1537" s="79"/>
      <c r="J1537" s="70"/>
      <c r="K1537" s="57"/>
      <c r="L1537" s="11"/>
      <c r="M1537" s="41"/>
      <c r="N1537" s="11"/>
    </row>
    <row r="1538" spans="8:14" x14ac:dyDescent="0.25">
      <c r="H1538" s="37"/>
      <c r="I1538" s="79"/>
      <c r="J1538" s="70"/>
      <c r="K1538" s="57"/>
      <c r="L1538" s="11"/>
      <c r="M1538" s="41"/>
      <c r="N1538" s="11"/>
    </row>
    <row r="1539" spans="8:14" x14ac:dyDescent="0.25">
      <c r="H1539" s="37"/>
      <c r="I1539" s="79"/>
      <c r="J1539" s="70"/>
      <c r="K1539" s="57"/>
      <c r="L1539" s="11"/>
      <c r="M1539" s="41"/>
      <c r="N1539" s="11"/>
    </row>
    <row r="1540" spans="8:14" x14ac:dyDescent="0.25">
      <c r="H1540" s="37"/>
      <c r="I1540" s="79"/>
      <c r="J1540" s="70"/>
      <c r="K1540" s="57"/>
      <c r="L1540" s="11"/>
      <c r="M1540" s="41"/>
      <c r="N1540" s="11"/>
    </row>
    <row r="1541" spans="8:14" x14ac:dyDescent="0.25">
      <c r="H1541" s="37"/>
      <c r="I1541" s="79"/>
      <c r="J1541" s="70"/>
      <c r="K1541" s="57"/>
      <c r="L1541" s="11"/>
      <c r="M1541" s="41"/>
      <c r="N1541" s="11"/>
    </row>
    <row r="1542" spans="8:14" x14ac:dyDescent="0.25">
      <c r="H1542" s="37"/>
      <c r="I1542" s="79"/>
      <c r="J1542" s="70"/>
      <c r="K1542" s="57"/>
      <c r="L1542" s="11"/>
      <c r="M1542" s="41"/>
      <c r="N1542" s="11"/>
    </row>
    <row r="1543" spans="8:14" x14ac:dyDescent="0.25">
      <c r="H1543" s="37"/>
      <c r="I1543" s="79"/>
      <c r="J1543" s="70"/>
      <c r="K1543" s="57"/>
      <c r="L1543" s="11"/>
      <c r="M1543" s="41"/>
      <c r="N1543" s="11"/>
    </row>
    <row r="1544" spans="8:14" x14ac:dyDescent="0.25">
      <c r="H1544" s="37"/>
      <c r="I1544" s="79"/>
      <c r="J1544" s="70"/>
      <c r="K1544" s="57"/>
      <c r="L1544" s="11"/>
      <c r="M1544" s="41"/>
      <c r="N1544" s="11"/>
    </row>
    <row r="1545" spans="8:14" x14ac:dyDescent="0.25">
      <c r="H1545" s="37"/>
      <c r="I1545" s="79"/>
      <c r="J1545" s="70"/>
      <c r="K1545" s="57"/>
      <c r="L1545" s="11"/>
      <c r="M1545" s="41"/>
      <c r="N1545" s="11"/>
    </row>
    <row r="1546" spans="8:14" x14ac:dyDescent="0.25">
      <c r="H1546" s="37"/>
      <c r="I1546" s="79"/>
      <c r="J1546" s="70"/>
      <c r="K1546" s="57"/>
      <c r="L1546" s="11"/>
      <c r="M1546" s="41"/>
      <c r="N1546" s="11"/>
    </row>
    <row r="1547" spans="8:14" x14ac:dyDescent="0.25">
      <c r="H1547" s="37"/>
      <c r="I1547" s="79"/>
      <c r="J1547" s="70"/>
      <c r="K1547" s="57"/>
      <c r="L1547" s="11"/>
      <c r="M1547" s="41"/>
      <c r="N1547" s="11"/>
    </row>
    <row r="1548" spans="8:14" x14ac:dyDescent="0.25">
      <c r="H1548" s="37"/>
      <c r="I1548" s="79"/>
      <c r="J1548" s="70"/>
      <c r="K1548" s="57"/>
      <c r="L1548" s="11"/>
      <c r="M1548" s="41"/>
      <c r="N1548" s="11"/>
    </row>
    <row r="1549" spans="8:14" x14ac:dyDescent="0.25">
      <c r="H1549" s="37"/>
      <c r="I1549" s="79"/>
      <c r="J1549" s="70"/>
      <c r="K1549" s="57"/>
      <c r="L1549" s="11"/>
      <c r="M1549" s="41"/>
      <c r="N1549" s="11"/>
    </row>
    <row r="1550" spans="8:14" x14ac:dyDescent="0.25">
      <c r="H1550" s="37"/>
      <c r="I1550" s="79"/>
      <c r="J1550" s="70"/>
      <c r="K1550" s="57"/>
      <c r="L1550" s="11"/>
      <c r="M1550" s="41"/>
      <c r="N1550" s="11"/>
    </row>
    <row r="1551" spans="8:14" x14ac:dyDescent="0.25">
      <c r="H1551" s="37"/>
      <c r="I1551" s="79"/>
      <c r="J1551" s="70"/>
      <c r="K1551" s="57"/>
      <c r="L1551" s="11"/>
      <c r="M1551" s="41"/>
      <c r="N1551" s="11"/>
    </row>
    <row r="1552" spans="8:14" x14ac:dyDescent="0.25">
      <c r="H1552" s="37"/>
      <c r="I1552" s="79"/>
      <c r="J1552" s="70"/>
      <c r="K1552" s="57"/>
      <c r="L1552" s="11"/>
      <c r="M1552" s="41"/>
      <c r="N1552" s="11"/>
    </row>
    <row r="1553" spans="8:14" x14ac:dyDescent="0.25">
      <c r="H1553" s="37"/>
      <c r="I1553" s="79"/>
      <c r="J1553" s="70"/>
      <c r="K1553" s="57"/>
      <c r="L1553" s="11"/>
      <c r="M1553" s="41"/>
      <c r="N1553" s="11"/>
    </row>
    <row r="1554" spans="8:14" x14ac:dyDescent="0.25">
      <c r="H1554" s="37"/>
      <c r="I1554" s="79"/>
      <c r="J1554" s="70"/>
      <c r="K1554" s="57"/>
      <c r="L1554" s="11"/>
      <c r="M1554" s="41"/>
      <c r="N1554" s="11"/>
    </row>
    <row r="1555" spans="8:14" x14ac:dyDescent="0.25">
      <c r="H1555" s="37"/>
      <c r="I1555" s="79"/>
      <c r="J1555" s="70"/>
      <c r="K1555" s="57"/>
      <c r="L1555" s="11"/>
      <c r="M1555" s="41"/>
      <c r="N1555" s="11"/>
    </row>
    <row r="1556" spans="8:14" x14ac:dyDescent="0.25">
      <c r="H1556" s="37"/>
      <c r="I1556" s="79"/>
      <c r="J1556" s="70"/>
      <c r="K1556" s="57"/>
      <c r="L1556" s="11"/>
      <c r="M1556" s="41"/>
      <c r="N1556" s="11"/>
    </row>
    <row r="1557" spans="8:14" x14ac:dyDescent="0.25">
      <c r="H1557" s="37"/>
      <c r="I1557" s="79"/>
      <c r="J1557" s="70"/>
      <c r="K1557" s="57"/>
      <c r="L1557" s="11"/>
      <c r="M1557" s="41"/>
      <c r="N1557" s="11"/>
    </row>
    <row r="1558" spans="8:14" x14ac:dyDescent="0.25">
      <c r="H1558" s="37"/>
      <c r="I1558" s="79"/>
      <c r="J1558" s="70"/>
      <c r="K1558" s="57"/>
      <c r="L1558" s="11"/>
      <c r="M1558" s="41"/>
      <c r="N1558" s="11"/>
    </row>
    <row r="1559" spans="8:14" x14ac:dyDescent="0.25">
      <c r="H1559" s="37"/>
      <c r="I1559" s="79"/>
      <c r="J1559" s="70"/>
      <c r="K1559" s="57"/>
      <c r="L1559" s="11"/>
      <c r="M1559" s="41"/>
      <c r="N1559" s="11"/>
    </row>
    <row r="1560" spans="8:14" x14ac:dyDescent="0.25">
      <c r="H1560" s="37"/>
      <c r="I1560" s="79"/>
      <c r="J1560" s="70"/>
      <c r="K1560" s="57"/>
      <c r="L1560" s="11"/>
      <c r="M1560" s="41"/>
      <c r="N1560" s="11"/>
    </row>
    <row r="1561" spans="8:14" x14ac:dyDescent="0.25">
      <c r="H1561" s="37"/>
      <c r="I1561" s="79"/>
      <c r="J1561" s="70"/>
      <c r="K1561" s="57"/>
      <c r="L1561" s="11"/>
      <c r="M1561" s="41"/>
      <c r="N1561" s="11"/>
    </row>
    <row r="1562" spans="8:14" x14ac:dyDescent="0.25">
      <c r="H1562" s="37"/>
      <c r="I1562" s="79"/>
      <c r="J1562" s="70"/>
      <c r="K1562" s="57"/>
      <c r="L1562" s="11"/>
      <c r="M1562" s="41"/>
      <c r="N1562" s="11"/>
    </row>
    <row r="1563" spans="8:14" x14ac:dyDescent="0.25">
      <c r="H1563" s="37"/>
      <c r="I1563" s="79"/>
      <c r="J1563" s="70"/>
      <c r="K1563" s="57"/>
      <c r="L1563" s="11"/>
      <c r="M1563" s="41"/>
      <c r="N1563" s="11"/>
    </row>
    <row r="1564" spans="8:14" x14ac:dyDescent="0.25">
      <c r="H1564" s="37"/>
      <c r="I1564" s="79"/>
      <c r="J1564" s="70"/>
      <c r="K1564" s="57"/>
      <c r="L1564" s="11"/>
      <c r="M1564" s="41"/>
      <c r="N1564" s="11"/>
    </row>
    <row r="1565" spans="8:14" x14ac:dyDescent="0.25">
      <c r="H1565" s="37"/>
      <c r="I1565" s="79"/>
      <c r="J1565" s="70"/>
      <c r="K1565" s="57"/>
      <c r="L1565" s="11"/>
      <c r="M1565" s="41"/>
      <c r="N1565" s="11"/>
    </row>
    <row r="1566" spans="8:14" x14ac:dyDescent="0.25">
      <c r="H1566" s="37"/>
      <c r="I1566" s="79"/>
      <c r="J1566" s="70"/>
      <c r="K1566" s="57"/>
      <c r="L1566" s="11"/>
      <c r="M1566" s="41"/>
      <c r="N1566" s="11"/>
    </row>
    <row r="1567" spans="8:14" x14ac:dyDescent="0.25">
      <c r="H1567" s="37"/>
      <c r="I1567" s="79"/>
      <c r="J1567" s="70"/>
      <c r="K1567" s="57"/>
      <c r="L1567" s="11"/>
      <c r="M1567" s="41"/>
      <c r="N1567" s="11"/>
    </row>
    <row r="1568" spans="8:14" x14ac:dyDescent="0.25">
      <c r="H1568" s="37"/>
      <c r="I1568" s="79"/>
      <c r="J1568" s="70"/>
      <c r="K1568" s="57"/>
      <c r="L1568" s="11"/>
      <c r="M1568" s="41"/>
      <c r="N1568" s="11"/>
    </row>
    <row r="1569" spans="8:14" x14ac:dyDescent="0.25">
      <c r="H1569" s="37"/>
      <c r="I1569" s="79"/>
      <c r="J1569" s="70"/>
      <c r="K1569" s="57"/>
      <c r="L1569" s="11"/>
      <c r="M1569" s="41"/>
      <c r="N1569" s="11"/>
    </row>
    <row r="1570" spans="8:14" x14ac:dyDescent="0.25">
      <c r="H1570" s="37"/>
      <c r="I1570" s="79"/>
      <c r="J1570" s="70"/>
      <c r="K1570" s="57"/>
      <c r="L1570" s="11"/>
      <c r="M1570" s="41"/>
      <c r="N1570" s="11"/>
    </row>
    <row r="1571" spans="8:14" x14ac:dyDescent="0.25">
      <c r="H1571" s="37"/>
      <c r="I1571" s="79"/>
      <c r="J1571" s="70"/>
      <c r="K1571" s="57"/>
      <c r="L1571" s="11"/>
      <c r="M1571" s="41"/>
      <c r="N1571" s="11"/>
    </row>
    <row r="1572" spans="8:14" x14ac:dyDescent="0.25">
      <c r="H1572" s="37"/>
      <c r="I1572" s="79"/>
      <c r="J1572" s="70"/>
      <c r="K1572" s="57"/>
      <c r="L1572" s="11"/>
      <c r="M1572" s="41"/>
      <c r="N1572" s="11"/>
    </row>
    <row r="1573" spans="8:14" x14ac:dyDescent="0.25">
      <c r="H1573" s="37"/>
      <c r="I1573" s="79"/>
      <c r="J1573" s="70"/>
      <c r="K1573" s="57"/>
      <c r="L1573" s="11"/>
      <c r="M1573" s="41"/>
      <c r="N1573" s="11"/>
    </row>
    <row r="1574" spans="8:14" x14ac:dyDescent="0.25">
      <c r="H1574" s="37"/>
      <c r="I1574" s="79"/>
      <c r="J1574" s="70"/>
      <c r="K1574" s="57"/>
      <c r="L1574" s="11"/>
      <c r="M1574" s="41"/>
      <c r="N1574" s="11"/>
    </row>
    <row r="1575" spans="8:14" x14ac:dyDescent="0.25">
      <c r="H1575" s="37"/>
      <c r="I1575" s="79"/>
      <c r="J1575" s="70"/>
      <c r="K1575" s="57"/>
      <c r="L1575" s="11"/>
      <c r="M1575" s="41"/>
      <c r="N1575" s="11"/>
    </row>
    <row r="1576" spans="8:14" x14ac:dyDescent="0.25">
      <c r="H1576" s="37"/>
      <c r="I1576" s="79"/>
      <c r="J1576" s="70"/>
      <c r="K1576" s="57"/>
      <c r="L1576" s="11"/>
      <c r="M1576" s="41"/>
      <c r="N1576" s="11"/>
    </row>
    <row r="1577" spans="8:14" x14ac:dyDescent="0.25">
      <c r="H1577" s="37"/>
      <c r="I1577" s="79"/>
      <c r="J1577" s="70"/>
      <c r="K1577" s="57"/>
      <c r="L1577" s="11"/>
      <c r="M1577" s="41"/>
      <c r="N1577" s="11"/>
    </row>
    <row r="1578" spans="8:14" x14ac:dyDescent="0.25">
      <c r="H1578" s="37"/>
      <c r="I1578" s="79"/>
      <c r="J1578" s="70"/>
      <c r="K1578" s="57"/>
      <c r="L1578" s="11"/>
      <c r="M1578" s="41"/>
      <c r="N1578" s="11"/>
    </row>
    <row r="1579" spans="8:14" x14ac:dyDescent="0.25">
      <c r="H1579" s="37"/>
      <c r="I1579" s="79"/>
      <c r="J1579" s="70"/>
      <c r="K1579" s="57"/>
      <c r="L1579" s="11"/>
      <c r="M1579" s="41"/>
      <c r="N1579" s="11"/>
    </row>
    <row r="1580" spans="8:14" x14ac:dyDescent="0.25">
      <c r="H1580" s="37"/>
      <c r="I1580" s="79"/>
      <c r="J1580" s="70"/>
      <c r="K1580" s="57"/>
      <c r="L1580" s="11"/>
      <c r="M1580" s="41"/>
      <c r="N1580" s="11"/>
    </row>
    <row r="1581" spans="8:14" x14ac:dyDescent="0.25">
      <c r="H1581" s="37"/>
      <c r="I1581" s="79"/>
      <c r="J1581" s="70"/>
      <c r="K1581" s="57"/>
      <c r="L1581" s="11"/>
      <c r="M1581" s="41"/>
      <c r="N1581" s="11"/>
    </row>
    <row r="1582" spans="8:14" x14ac:dyDescent="0.25">
      <c r="H1582" s="37"/>
      <c r="I1582" s="79"/>
      <c r="J1582" s="70"/>
      <c r="K1582" s="57"/>
      <c r="L1582" s="11"/>
      <c r="M1582" s="41"/>
      <c r="N1582" s="11"/>
    </row>
    <row r="1583" spans="8:14" x14ac:dyDescent="0.25">
      <c r="H1583" s="37"/>
      <c r="I1583" s="79"/>
      <c r="J1583" s="70"/>
      <c r="K1583" s="57"/>
      <c r="L1583" s="11"/>
      <c r="M1583" s="41"/>
      <c r="N1583" s="11"/>
    </row>
    <row r="1584" spans="8:14" x14ac:dyDescent="0.25">
      <c r="H1584" s="37"/>
      <c r="I1584" s="79"/>
      <c r="J1584" s="70"/>
      <c r="K1584" s="57"/>
      <c r="L1584" s="11"/>
      <c r="M1584" s="41"/>
      <c r="N1584" s="11"/>
    </row>
    <row r="1585" spans="8:14" x14ac:dyDescent="0.25">
      <c r="H1585" s="37"/>
      <c r="I1585" s="79"/>
      <c r="J1585" s="70"/>
      <c r="K1585" s="57"/>
      <c r="L1585" s="11"/>
      <c r="M1585" s="41"/>
      <c r="N1585" s="11"/>
    </row>
    <row r="1586" spans="8:14" x14ac:dyDescent="0.25">
      <c r="H1586" s="37"/>
      <c r="I1586" s="79"/>
      <c r="J1586" s="70"/>
      <c r="K1586" s="57"/>
      <c r="L1586" s="11"/>
      <c r="M1586" s="41"/>
      <c r="N1586" s="11"/>
    </row>
    <row r="1587" spans="8:14" x14ac:dyDescent="0.25">
      <c r="H1587" s="37"/>
      <c r="I1587" s="79"/>
      <c r="J1587" s="70"/>
      <c r="K1587" s="57"/>
      <c r="L1587" s="11"/>
      <c r="M1587" s="41"/>
      <c r="N1587" s="11"/>
    </row>
    <row r="1588" spans="8:14" x14ac:dyDescent="0.25">
      <c r="H1588" s="37"/>
      <c r="I1588" s="79"/>
      <c r="J1588" s="70"/>
      <c r="K1588" s="57"/>
      <c r="L1588" s="11"/>
      <c r="M1588" s="41"/>
      <c r="N1588" s="11"/>
    </row>
    <row r="1589" spans="8:14" x14ac:dyDescent="0.25">
      <c r="H1589" s="37"/>
      <c r="I1589" s="79"/>
      <c r="J1589" s="70"/>
      <c r="K1589" s="57"/>
      <c r="L1589" s="11"/>
      <c r="M1589" s="41"/>
      <c r="N1589" s="11"/>
    </row>
    <row r="1590" spans="8:14" x14ac:dyDescent="0.25">
      <c r="H1590" s="37"/>
      <c r="I1590" s="79"/>
      <c r="J1590" s="70"/>
      <c r="K1590" s="57"/>
      <c r="L1590" s="11"/>
      <c r="M1590" s="41"/>
      <c r="N1590" s="11"/>
    </row>
    <row r="1591" spans="8:14" x14ac:dyDescent="0.25">
      <c r="H1591" s="37"/>
      <c r="I1591" s="79"/>
      <c r="J1591" s="70"/>
      <c r="K1591" s="57"/>
      <c r="L1591" s="11"/>
      <c r="M1591" s="41"/>
      <c r="N1591" s="11"/>
    </row>
    <row r="1592" spans="8:14" x14ac:dyDescent="0.25">
      <c r="H1592" s="37"/>
      <c r="I1592" s="79"/>
      <c r="J1592" s="70"/>
      <c r="K1592" s="57"/>
      <c r="L1592" s="11"/>
      <c r="M1592" s="41"/>
      <c r="N1592" s="11"/>
    </row>
    <row r="1593" spans="8:14" x14ac:dyDescent="0.25">
      <c r="H1593" s="37"/>
      <c r="I1593" s="79"/>
      <c r="J1593" s="70"/>
      <c r="K1593" s="57"/>
      <c r="L1593" s="11"/>
      <c r="M1593" s="41"/>
      <c r="N1593" s="11"/>
    </row>
    <row r="1594" spans="8:14" x14ac:dyDescent="0.25">
      <c r="H1594" s="37"/>
      <c r="I1594" s="79"/>
      <c r="J1594" s="70"/>
      <c r="K1594" s="57"/>
      <c r="L1594" s="11"/>
      <c r="M1594" s="41"/>
      <c r="N1594" s="11"/>
    </row>
    <row r="1595" spans="8:14" x14ac:dyDescent="0.25">
      <c r="H1595" s="37"/>
      <c r="I1595" s="79"/>
      <c r="J1595" s="70"/>
      <c r="K1595" s="57"/>
      <c r="L1595" s="11"/>
      <c r="M1595" s="41"/>
      <c r="N1595" s="11"/>
    </row>
    <row r="1596" spans="8:14" x14ac:dyDescent="0.25">
      <c r="H1596" s="37"/>
      <c r="I1596" s="79"/>
      <c r="J1596" s="70"/>
      <c r="K1596" s="57"/>
      <c r="L1596" s="11"/>
      <c r="M1596" s="41"/>
      <c r="N1596" s="11"/>
    </row>
    <row r="1597" spans="8:14" x14ac:dyDescent="0.25">
      <c r="H1597" s="37"/>
      <c r="I1597" s="79"/>
      <c r="J1597" s="70"/>
      <c r="K1597" s="57"/>
      <c r="L1597" s="11"/>
      <c r="M1597" s="41"/>
      <c r="N1597" s="11"/>
    </row>
    <row r="1598" spans="8:14" x14ac:dyDescent="0.25">
      <c r="H1598" s="37"/>
      <c r="I1598" s="79"/>
      <c r="J1598" s="70"/>
      <c r="K1598" s="57"/>
      <c r="L1598" s="11"/>
      <c r="M1598" s="41"/>
      <c r="N1598" s="11"/>
    </row>
    <row r="1599" spans="8:14" x14ac:dyDescent="0.25">
      <c r="H1599" s="37"/>
      <c r="I1599" s="79"/>
      <c r="J1599" s="70"/>
      <c r="K1599" s="57"/>
      <c r="L1599" s="11"/>
      <c r="M1599" s="41"/>
      <c r="N1599" s="11"/>
    </row>
    <row r="1600" spans="8:14" x14ac:dyDescent="0.25">
      <c r="H1600" s="37"/>
      <c r="I1600" s="79"/>
      <c r="J1600" s="70"/>
      <c r="K1600" s="57"/>
      <c r="L1600" s="11"/>
      <c r="M1600" s="41"/>
      <c r="N1600" s="11"/>
    </row>
    <row r="1601" spans="8:14" x14ac:dyDescent="0.25">
      <c r="H1601" s="37"/>
      <c r="I1601" s="79"/>
      <c r="J1601" s="70"/>
      <c r="K1601" s="57"/>
      <c r="L1601" s="11"/>
      <c r="M1601" s="41"/>
      <c r="N1601" s="11"/>
    </row>
    <row r="1602" spans="8:14" x14ac:dyDescent="0.25">
      <c r="H1602" s="37"/>
      <c r="I1602" s="79"/>
      <c r="J1602" s="70"/>
      <c r="K1602" s="57"/>
      <c r="L1602" s="11"/>
      <c r="M1602" s="41"/>
      <c r="N1602" s="11"/>
    </row>
    <row r="1603" spans="8:14" x14ac:dyDescent="0.25">
      <c r="H1603" s="37"/>
      <c r="I1603" s="79"/>
      <c r="J1603" s="70"/>
      <c r="K1603" s="57"/>
      <c r="L1603" s="11"/>
      <c r="M1603" s="41"/>
      <c r="N1603" s="11"/>
    </row>
    <row r="1604" spans="8:14" x14ac:dyDescent="0.25">
      <c r="H1604" s="37"/>
      <c r="I1604" s="79"/>
      <c r="J1604" s="70"/>
      <c r="K1604" s="57"/>
      <c r="L1604" s="11"/>
      <c r="M1604" s="41"/>
      <c r="N1604" s="11"/>
    </row>
    <row r="1605" spans="8:14" x14ac:dyDescent="0.25">
      <c r="H1605" s="37"/>
      <c r="I1605" s="79"/>
      <c r="J1605" s="70"/>
      <c r="K1605" s="57"/>
      <c r="L1605" s="11"/>
      <c r="M1605" s="41"/>
      <c r="N1605" s="11"/>
    </row>
    <row r="1606" spans="8:14" x14ac:dyDescent="0.25">
      <c r="H1606" s="37"/>
      <c r="I1606" s="79"/>
      <c r="J1606" s="70"/>
      <c r="K1606" s="57"/>
      <c r="L1606" s="11"/>
      <c r="M1606" s="41"/>
      <c r="N1606" s="11"/>
    </row>
    <row r="1607" spans="8:14" x14ac:dyDescent="0.25">
      <c r="H1607" s="37"/>
      <c r="I1607" s="79"/>
      <c r="J1607" s="70"/>
      <c r="K1607" s="57"/>
      <c r="L1607" s="11"/>
      <c r="M1607" s="41"/>
      <c r="N1607" s="11"/>
    </row>
    <row r="1608" spans="8:14" x14ac:dyDescent="0.25">
      <c r="H1608" s="37"/>
      <c r="I1608" s="79"/>
      <c r="J1608" s="70"/>
      <c r="K1608" s="57"/>
      <c r="L1608" s="11"/>
      <c r="M1608" s="41"/>
      <c r="N1608" s="11"/>
    </row>
    <row r="1609" spans="8:14" x14ac:dyDescent="0.25">
      <c r="H1609" s="37"/>
      <c r="I1609" s="79"/>
      <c r="J1609" s="70"/>
      <c r="K1609" s="57"/>
      <c r="L1609" s="11"/>
      <c r="M1609" s="41"/>
      <c r="N1609" s="11"/>
    </row>
    <row r="1610" spans="8:14" x14ac:dyDescent="0.25">
      <c r="H1610" s="37"/>
      <c r="I1610" s="79"/>
      <c r="J1610" s="70"/>
      <c r="K1610" s="57"/>
      <c r="L1610" s="11"/>
      <c r="M1610" s="41"/>
      <c r="N1610" s="11"/>
    </row>
    <row r="1611" spans="8:14" x14ac:dyDescent="0.25">
      <c r="H1611" s="37"/>
      <c r="I1611" s="79"/>
      <c r="J1611" s="70"/>
      <c r="K1611" s="57"/>
      <c r="L1611" s="11"/>
      <c r="M1611" s="41"/>
      <c r="N1611" s="11"/>
    </row>
    <row r="1612" spans="8:14" x14ac:dyDescent="0.25">
      <c r="H1612" s="37"/>
      <c r="I1612" s="79"/>
      <c r="J1612" s="70"/>
      <c r="K1612" s="57"/>
      <c r="L1612" s="11"/>
      <c r="M1612" s="41"/>
      <c r="N1612" s="11"/>
    </row>
    <row r="1613" spans="8:14" x14ac:dyDescent="0.25">
      <c r="H1613" s="37"/>
      <c r="I1613" s="79"/>
      <c r="J1613" s="70"/>
      <c r="K1613" s="57"/>
      <c r="L1613" s="11"/>
      <c r="M1613" s="41"/>
      <c r="N1613" s="11"/>
    </row>
    <row r="1614" spans="8:14" x14ac:dyDescent="0.25">
      <c r="H1614" s="37"/>
      <c r="I1614" s="79"/>
      <c r="J1614" s="70"/>
      <c r="K1614" s="57"/>
      <c r="L1614" s="11"/>
      <c r="M1614" s="41"/>
      <c r="N1614" s="11"/>
    </row>
    <row r="1615" spans="8:14" x14ac:dyDescent="0.25">
      <c r="H1615" s="37"/>
      <c r="I1615" s="79"/>
      <c r="J1615" s="70"/>
      <c r="K1615" s="57"/>
      <c r="L1615" s="11"/>
      <c r="M1615" s="41"/>
      <c r="N1615" s="11"/>
    </row>
    <row r="1616" spans="8:14" x14ac:dyDescent="0.25">
      <c r="H1616" s="37"/>
      <c r="I1616" s="79"/>
      <c r="J1616" s="70"/>
      <c r="K1616" s="57"/>
      <c r="L1616" s="11"/>
      <c r="M1616" s="41"/>
      <c r="N1616" s="11"/>
    </row>
    <row r="1617" spans="8:14" x14ac:dyDescent="0.25">
      <c r="H1617" s="37"/>
      <c r="I1617" s="79"/>
      <c r="J1617" s="70"/>
      <c r="K1617" s="57"/>
      <c r="L1617" s="11"/>
      <c r="M1617" s="41"/>
      <c r="N1617" s="11"/>
    </row>
    <row r="1618" spans="8:14" x14ac:dyDescent="0.25">
      <c r="H1618" s="37"/>
      <c r="I1618" s="79"/>
      <c r="J1618" s="70"/>
      <c r="K1618" s="57"/>
      <c r="L1618" s="11"/>
      <c r="M1618" s="41"/>
      <c r="N1618" s="11"/>
    </row>
    <row r="1619" spans="8:14" x14ac:dyDescent="0.25">
      <c r="H1619" s="37"/>
      <c r="I1619" s="79"/>
      <c r="J1619" s="70"/>
      <c r="K1619" s="57"/>
      <c r="L1619" s="11"/>
      <c r="M1619" s="41"/>
      <c r="N1619" s="11"/>
    </row>
    <row r="1620" spans="8:14" x14ac:dyDescent="0.25">
      <c r="H1620" s="37"/>
      <c r="I1620" s="79"/>
      <c r="J1620" s="70"/>
      <c r="K1620" s="57"/>
      <c r="L1620" s="11"/>
      <c r="M1620" s="41"/>
      <c r="N1620" s="11"/>
    </row>
    <row r="1621" spans="8:14" x14ac:dyDescent="0.25">
      <c r="H1621" s="37"/>
      <c r="I1621" s="79"/>
      <c r="J1621" s="70"/>
      <c r="K1621" s="57"/>
      <c r="L1621" s="11"/>
      <c r="M1621" s="41"/>
      <c r="N1621" s="11"/>
    </row>
    <row r="1622" spans="8:14" x14ac:dyDescent="0.25">
      <c r="H1622" s="37"/>
      <c r="I1622" s="79"/>
      <c r="J1622" s="70"/>
      <c r="K1622" s="57"/>
      <c r="L1622" s="11"/>
      <c r="M1622" s="41"/>
      <c r="N1622" s="11"/>
    </row>
    <row r="1623" spans="8:14" x14ac:dyDescent="0.25">
      <c r="H1623" s="37"/>
      <c r="I1623" s="79"/>
      <c r="J1623" s="70"/>
      <c r="K1623" s="57"/>
      <c r="L1623" s="11"/>
      <c r="M1623" s="41"/>
      <c r="N1623" s="11"/>
    </row>
    <row r="1624" spans="8:14" x14ac:dyDescent="0.25">
      <c r="H1624" s="37"/>
      <c r="I1624" s="79"/>
      <c r="J1624" s="70"/>
      <c r="K1624" s="57"/>
      <c r="L1624" s="11"/>
      <c r="M1624" s="41"/>
      <c r="N1624" s="11"/>
    </row>
    <row r="1625" spans="8:14" x14ac:dyDescent="0.25">
      <c r="H1625" s="37"/>
      <c r="I1625" s="79"/>
      <c r="J1625" s="70"/>
      <c r="K1625" s="57"/>
      <c r="L1625" s="11"/>
      <c r="M1625" s="41"/>
      <c r="N1625" s="11"/>
    </row>
    <row r="1626" spans="8:14" x14ac:dyDescent="0.25">
      <c r="H1626" s="37"/>
      <c r="I1626" s="79"/>
      <c r="J1626" s="70"/>
      <c r="K1626" s="57"/>
      <c r="L1626" s="11"/>
      <c r="M1626" s="41"/>
      <c r="N1626" s="11"/>
    </row>
    <row r="1627" spans="8:14" x14ac:dyDescent="0.25">
      <c r="H1627" s="37"/>
      <c r="I1627" s="79"/>
      <c r="J1627" s="70"/>
      <c r="K1627" s="57"/>
      <c r="L1627" s="11"/>
      <c r="M1627" s="41"/>
      <c r="N1627" s="11"/>
    </row>
    <row r="1628" spans="8:14" x14ac:dyDescent="0.25">
      <c r="H1628" s="37"/>
      <c r="I1628" s="79"/>
      <c r="J1628" s="70"/>
      <c r="K1628" s="57"/>
      <c r="L1628" s="11"/>
      <c r="M1628" s="41"/>
      <c r="N1628" s="11"/>
    </row>
    <row r="1629" spans="8:14" x14ac:dyDescent="0.25">
      <c r="H1629" s="37"/>
      <c r="I1629" s="79"/>
      <c r="J1629" s="70"/>
      <c r="K1629" s="57"/>
      <c r="L1629" s="11"/>
      <c r="M1629" s="41"/>
      <c r="N1629" s="11"/>
    </row>
    <row r="1630" spans="8:14" x14ac:dyDescent="0.25">
      <c r="H1630" s="37"/>
      <c r="I1630" s="79"/>
      <c r="J1630" s="70"/>
      <c r="K1630" s="57"/>
      <c r="L1630" s="11"/>
      <c r="M1630" s="41"/>
      <c r="N1630" s="11"/>
    </row>
    <row r="1631" spans="8:14" x14ac:dyDescent="0.25">
      <c r="H1631" s="37"/>
      <c r="I1631" s="79"/>
      <c r="J1631" s="70"/>
      <c r="K1631" s="57"/>
      <c r="L1631" s="11"/>
      <c r="M1631" s="41"/>
      <c r="N1631" s="11"/>
    </row>
    <row r="1632" spans="8:14" x14ac:dyDescent="0.25">
      <c r="H1632" s="37"/>
      <c r="I1632" s="79"/>
      <c r="J1632" s="70"/>
      <c r="K1632" s="57"/>
      <c r="L1632" s="11"/>
      <c r="M1632" s="41"/>
      <c r="N1632" s="11"/>
    </row>
    <row r="1633" spans="8:14" x14ac:dyDescent="0.25">
      <c r="H1633" s="37"/>
      <c r="I1633" s="79"/>
      <c r="J1633" s="70"/>
      <c r="K1633" s="57"/>
      <c r="L1633" s="11"/>
      <c r="M1633" s="41"/>
      <c r="N1633" s="11"/>
    </row>
    <row r="1634" spans="8:14" x14ac:dyDescent="0.25">
      <c r="H1634" s="37"/>
      <c r="I1634" s="79"/>
      <c r="J1634" s="70"/>
      <c r="K1634" s="57"/>
      <c r="L1634" s="11"/>
      <c r="M1634" s="41"/>
      <c r="N1634" s="11"/>
    </row>
    <row r="1635" spans="8:14" x14ac:dyDescent="0.25">
      <c r="H1635" s="37"/>
      <c r="I1635" s="79"/>
      <c r="J1635" s="70"/>
      <c r="K1635" s="57"/>
      <c r="L1635" s="11"/>
      <c r="M1635" s="41"/>
      <c r="N1635" s="11"/>
    </row>
    <row r="1636" spans="8:14" x14ac:dyDescent="0.25">
      <c r="H1636" s="37"/>
      <c r="I1636" s="79"/>
      <c r="J1636" s="70"/>
      <c r="K1636" s="57"/>
      <c r="L1636" s="11"/>
      <c r="M1636" s="41"/>
      <c r="N1636" s="11"/>
    </row>
    <row r="1637" spans="8:14" x14ac:dyDescent="0.25">
      <c r="H1637" s="37"/>
      <c r="I1637" s="79"/>
      <c r="J1637" s="70"/>
      <c r="K1637" s="57"/>
      <c r="L1637" s="11"/>
      <c r="M1637" s="41"/>
      <c r="N1637" s="11"/>
    </row>
    <row r="1638" spans="8:14" x14ac:dyDescent="0.25">
      <c r="H1638" s="37"/>
      <c r="I1638" s="79"/>
      <c r="J1638" s="70"/>
      <c r="K1638" s="57"/>
      <c r="L1638" s="11"/>
      <c r="M1638" s="41"/>
      <c r="N1638" s="11"/>
    </row>
    <row r="1639" spans="8:14" x14ac:dyDescent="0.25">
      <c r="H1639" s="37"/>
      <c r="I1639" s="79"/>
      <c r="J1639" s="70"/>
      <c r="K1639" s="57"/>
      <c r="L1639" s="11"/>
      <c r="M1639" s="41"/>
      <c r="N1639" s="11"/>
    </row>
    <row r="1640" spans="8:14" x14ac:dyDescent="0.25">
      <c r="H1640" s="37"/>
      <c r="I1640" s="79"/>
      <c r="J1640" s="70"/>
      <c r="K1640" s="57"/>
      <c r="L1640" s="11"/>
      <c r="M1640" s="41"/>
      <c r="N1640" s="11"/>
    </row>
    <row r="1641" spans="8:14" x14ac:dyDescent="0.25">
      <c r="H1641" s="37"/>
      <c r="I1641" s="79"/>
      <c r="J1641" s="70"/>
      <c r="K1641" s="57"/>
      <c r="L1641" s="11"/>
      <c r="M1641" s="41"/>
      <c r="N1641" s="11"/>
    </row>
    <row r="1642" spans="8:14" x14ac:dyDescent="0.25">
      <c r="H1642" s="37"/>
      <c r="I1642" s="79"/>
      <c r="J1642" s="70"/>
      <c r="K1642" s="57"/>
      <c r="L1642" s="11"/>
      <c r="M1642" s="41"/>
      <c r="N1642" s="11"/>
    </row>
    <row r="1643" spans="8:14" x14ac:dyDescent="0.25">
      <c r="H1643" s="37"/>
      <c r="I1643" s="79"/>
      <c r="J1643" s="70"/>
      <c r="K1643" s="57"/>
      <c r="L1643" s="11"/>
      <c r="M1643" s="41"/>
      <c r="N1643" s="11"/>
    </row>
    <row r="1644" spans="8:14" x14ac:dyDescent="0.25">
      <c r="H1644" s="37"/>
      <c r="I1644" s="79"/>
      <c r="J1644" s="70"/>
      <c r="K1644" s="57"/>
      <c r="L1644" s="11"/>
      <c r="M1644" s="41"/>
      <c r="N1644" s="11"/>
    </row>
    <row r="1645" spans="8:14" x14ac:dyDescent="0.25">
      <c r="H1645" s="37"/>
      <c r="I1645" s="79"/>
      <c r="J1645" s="70"/>
      <c r="K1645" s="57"/>
      <c r="L1645" s="11"/>
      <c r="M1645" s="41"/>
      <c r="N1645" s="11"/>
    </row>
    <row r="1646" spans="8:14" x14ac:dyDescent="0.25">
      <c r="H1646" s="37"/>
      <c r="I1646" s="79"/>
      <c r="J1646" s="70"/>
      <c r="K1646" s="57"/>
      <c r="L1646" s="11"/>
      <c r="M1646" s="41"/>
      <c r="N1646" s="11"/>
    </row>
    <row r="1647" spans="8:14" x14ac:dyDescent="0.25">
      <c r="H1647" s="37"/>
      <c r="I1647" s="79"/>
      <c r="J1647" s="70"/>
      <c r="K1647" s="57"/>
      <c r="L1647" s="11"/>
      <c r="M1647" s="41"/>
      <c r="N1647" s="11"/>
    </row>
    <row r="1648" spans="8:14" x14ac:dyDescent="0.25">
      <c r="H1648" s="37"/>
      <c r="I1648" s="79"/>
      <c r="J1648" s="70"/>
      <c r="K1648" s="57"/>
      <c r="L1648" s="11"/>
      <c r="M1648" s="41"/>
      <c r="N1648" s="11"/>
    </row>
    <row r="1649" spans="8:14" x14ac:dyDescent="0.25">
      <c r="H1649" s="37"/>
      <c r="I1649" s="79"/>
      <c r="J1649" s="70"/>
      <c r="K1649" s="57"/>
      <c r="L1649" s="11"/>
      <c r="M1649" s="41"/>
      <c r="N1649" s="11"/>
    </row>
    <row r="1650" spans="8:14" x14ac:dyDescent="0.25">
      <c r="H1650" s="37"/>
      <c r="I1650" s="79"/>
      <c r="J1650" s="70"/>
      <c r="K1650" s="57"/>
      <c r="L1650" s="11"/>
      <c r="M1650" s="41"/>
      <c r="N1650" s="11"/>
    </row>
    <row r="1651" spans="8:14" x14ac:dyDescent="0.25">
      <c r="H1651" s="37"/>
      <c r="I1651" s="79"/>
      <c r="J1651" s="70"/>
      <c r="K1651" s="57"/>
      <c r="L1651" s="11"/>
      <c r="M1651" s="41"/>
      <c r="N1651" s="11"/>
    </row>
    <row r="1652" spans="8:14" x14ac:dyDescent="0.25">
      <c r="H1652" s="37"/>
      <c r="I1652" s="79"/>
      <c r="J1652" s="70"/>
      <c r="K1652" s="57"/>
      <c r="L1652" s="11"/>
      <c r="M1652" s="41"/>
      <c r="N1652" s="11"/>
    </row>
    <row r="1653" spans="8:14" x14ac:dyDescent="0.25">
      <c r="H1653" s="37"/>
      <c r="I1653" s="79"/>
      <c r="J1653" s="70"/>
      <c r="K1653" s="57"/>
      <c r="L1653" s="11"/>
      <c r="M1653" s="41"/>
      <c r="N1653" s="11"/>
    </row>
    <row r="1654" spans="8:14" x14ac:dyDescent="0.25">
      <c r="H1654" s="37"/>
      <c r="I1654" s="79"/>
      <c r="J1654" s="70"/>
      <c r="K1654" s="57"/>
      <c r="L1654" s="11"/>
      <c r="M1654" s="41"/>
      <c r="N1654" s="11"/>
    </row>
    <row r="1655" spans="8:14" x14ac:dyDescent="0.25">
      <c r="H1655" s="37"/>
      <c r="I1655" s="79"/>
      <c r="J1655" s="70"/>
      <c r="K1655" s="57"/>
      <c r="L1655" s="11"/>
      <c r="M1655" s="41"/>
      <c r="N1655" s="11"/>
    </row>
    <row r="1656" spans="8:14" x14ac:dyDescent="0.25">
      <c r="H1656" s="37"/>
      <c r="I1656" s="79"/>
      <c r="J1656" s="70"/>
      <c r="K1656" s="57"/>
      <c r="L1656" s="11"/>
      <c r="M1656" s="41"/>
      <c r="N1656" s="11"/>
    </row>
    <row r="1657" spans="8:14" x14ac:dyDescent="0.25">
      <c r="H1657" s="37"/>
      <c r="I1657" s="79"/>
      <c r="J1657" s="70"/>
      <c r="K1657" s="57"/>
      <c r="L1657" s="11"/>
      <c r="M1657" s="41"/>
      <c r="N1657" s="11"/>
    </row>
    <row r="1658" spans="8:14" x14ac:dyDescent="0.25">
      <c r="H1658" s="37"/>
      <c r="I1658" s="79"/>
      <c r="J1658" s="70"/>
      <c r="K1658" s="57"/>
      <c r="L1658" s="11"/>
      <c r="M1658" s="41"/>
      <c r="N1658" s="11"/>
    </row>
    <row r="1659" spans="8:14" x14ac:dyDescent="0.25">
      <c r="H1659" s="37"/>
      <c r="I1659" s="79"/>
      <c r="J1659" s="70"/>
      <c r="K1659" s="57"/>
      <c r="L1659" s="11"/>
      <c r="M1659" s="41"/>
      <c r="N1659" s="11"/>
    </row>
    <row r="1660" spans="8:14" x14ac:dyDescent="0.25">
      <c r="H1660" s="37"/>
      <c r="I1660" s="79"/>
      <c r="J1660" s="70"/>
      <c r="K1660" s="57"/>
      <c r="L1660" s="11"/>
      <c r="M1660" s="41"/>
      <c r="N1660" s="11"/>
    </row>
    <row r="1661" spans="8:14" x14ac:dyDescent="0.25">
      <c r="H1661" s="37"/>
      <c r="I1661" s="79"/>
      <c r="J1661" s="70"/>
      <c r="K1661" s="57"/>
      <c r="L1661" s="11"/>
      <c r="M1661" s="41"/>
      <c r="N1661" s="11"/>
    </row>
    <row r="1662" spans="8:14" x14ac:dyDescent="0.25">
      <c r="H1662" s="37"/>
      <c r="I1662" s="79"/>
      <c r="J1662" s="70"/>
      <c r="K1662" s="57"/>
      <c r="L1662" s="11"/>
      <c r="M1662" s="41"/>
      <c r="N1662" s="11"/>
    </row>
    <row r="1663" spans="8:14" x14ac:dyDescent="0.25">
      <c r="H1663" s="37"/>
      <c r="I1663" s="79"/>
      <c r="J1663" s="70"/>
      <c r="K1663" s="57"/>
      <c r="L1663" s="11"/>
      <c r="M1663" s="41"/>
      <c r="N1663" s="11"/>
    </row>
    <row r="1664" spans="8:14" x14ac:dyDescent="0.25">
      <c r="H1664" s="37"/>
      <c r="I1664" s="79"/>
      <c r="J1664" s="70"/>
      <c r="K1664" s="57"/>
      <c r="L1664" s="11"/>
      <c r="M1664" s="41"/>
      <c r="N1664" s="11"/>
    </row>
    <row r="1665" spans="8:14" x14ac:dyDescent="0.25">
      <c r="H1665" s="37"/>
      <c r="I1665" s="79"/>
      <c r="J1665" s="70"/>
      <c r="K1665" s="57"/>
      <c r="L1665" s="11"/>
      <c r="M1665" s="41"/>
      <c r="N1665" s="11"/>
    </row>
    <row r="1666" spans="8:14" x14ac:dyDescent="0.25">
      <c r="H1666" s="37"/>
      <c r="I1666" s="79"/>
      <c r="J1666" s="70"/>
      <c r="K1666" s="57"/>
      <c r="L1666" s="11"/>
      <c r="M1666" s="41"/>
      <c r="N1666" s="11"/>
    </row>
    <row r="1667" spans="8:14" x14ac:dyDescent="0.25">
      <c r="H1667" s="37"/>
      <c r="I1667" s="79"/>
      <c r="J1667" s="70"/>
      <c r="K1667" s="57"/>
      <c r="L1667" s="11"/>
      <c r="M1667" s="41"/>
      <c r="N1667" s="11"/>
    </row>
    <row r="1668" spans="8:14" x14ac:dyDescent="0.25">
      <c r="H1668" s="37"/>
      <c r="I1668" s="79"/>
      <c r="J1668" s="70"/>
      <c r="K1668" s="57"/>
      <c r="L1668" s="11"/>
      <c r="M1668" s="41"/>
      <c r="N1668" s="11"/>
    </row>
    <row r="1669" spans="8:14" x14ac:dyDescent="0.25">
      <c r="H1669" s="37"/>
      <c r="I1669" s="79"/>
      <c r="J1669" s="70"/>
      <c r="K1669" s="57"/>
      <c r="L1669" s="11"/>
      <c r="M1669" s="41"/>
      <c r="N1669" s="11"/>
    </row>
    <row r="1670" spans="8:14" x14ac:dyDescent="0.25">
      <c r="H1670" s="37"/>
      <c r="I1670" s="79"/>
      <c r="J1670" s="70"/>
      <c r="K1670" s="57"/>
      <c r="L1670" s="11"/>
      <c r="M1670" s="41"/>
      <c r="N1670" s="11"/>
    </row>
    <row r="1671" spans="8:14" x14ac:dyDescent="0.25">
      <c r="H1671" s="37"/>
      <c r="I1671" s="79"/>
      <c r="J1671" s="70"/>
      <c r="K1671" s="57"/>
      <c r="L1671" s="11"/>
      <c r="M1671" s="41"/>
      <c r="N1671" s="11"/>
    </row>
    <row r="1672" spans="8:14" x14ac:dyDescent="0.25">
      <c r="H1672" s="37"/>
      <c r="I1672" s="79"/>
      <c r="J1672" s="70"/>
      <c r="K1672" s="57"/>
      <c r="L1672" s="11"/>
      <c r="M1672" s="41"/>
      <c r="N1672" s="11"/>
    </row>
    <row r="1673" spans="8:14" x14ac:dyDescent="0.25">
      <c r="H1673" s="37"/>
      <c r="I1673" s="79"/>
      <c r="J1673" s="70"/>
      <c r="K1673" s="57"/>
      <c r="L1673" s="11"/>
      <c r="M1673" s="41"/>
      <c r="N1673" s="11"/>
    </row>
    <row r="1674" spans="8:14" x14ac:dyDescent="0.25">
      <c r="H1674" s="37"/>
      <c r="I1674" s="79"/>
      <c r="J1674" s="70"/>
      <c r="K1674" s="57"/>
      <c r="L1674" s="11"/>
      <c r="M1674" s="41"/>
      <c r="N1674" s="11"/>
    </row>
    <row r="1675" spans="8:14" x14ac:dyDescent="0.25">
      <c r="H1675" s="37"/>
      <c r="I1675" s="79"/>
      <c r="J1675" s="70"/>
      <c r="K1675" s="57"/>
      <c r="L1675" s="11"/>
      <c r="M1675" s="41"/>
      <c r="N1675" s="11"/>
    </row>
    <row r="1676" spans="8:14" x14ac:dyDescent="0.25">
      <c r="H1676" s="37"/>
      <c r="I1676" s="79"/>
      <c r="J1676" s="70"/>
      <c r="K1676" s="57"/>
      <c r="L1676" s="11"/>
      <c r="M1676" s="41"/>
      <c r="N1676" s="11"/>
    </row>
    <row r="1677" spans="8:14" x14ac:dyDescent="0.25">
      <c r="H1677" s="37"/>
      <c r="I1677" s="79"/>
      <c r="J1677" s="70"/>
      <c r="K1677" s="57"/>
      <c r="L1677" s="11"/>
      <c r="M1677" s="41"/>
      <c r="N1677" s="11"/>
    </row>
    <row r="1678" spans="8:14" x14ac:dyDescent="0.25">
      <c r="H1678" s="37"/>
      <c r="I1678" s="79"/>
      <c r="J1678" s="70"/>
      <c r="K1678" s="57"/>
      <c r="L1678" s="11"/>
      <c r="M1678" s="41"/>
      <c r="N1678" s="11"/>
    </row>
    <row r="1679" spans="8:14" x14ac:dyDescent="0.25">
      <c r="H1679" s="37"/>
      <c r="I1679" s="79"/>
      <c r="J1679" s="70"/>
      <c r="K1679" s="57"/>
      <c r="L1679" s="11"/>
      <c r="M1679" s="41"/>
      <c r="N1679" s="11"/>
    </row>
    <row r="1680" spans="8:14" x14ac:dyDescent="0.25">
      <c r="H1680" s="37"/>
      <c r="I1680" s="79"/>
      <c r="J1680" s="70"/>
      <c r="K1680" s="57"/>
      <c r="L1680" s="11"/>
      <c r="M1680" s="41"/>
      <c r="N1680" s="11"/>
    </row>
    <row r="1681" spans="8:14" x14ac:dyDescent="0.25">
      <c r="H1681" s="37"/>
      <c r="I1681" s="79"/>
      <c r="J1681" s="70"/>
      <c r="K1681" s="57"/>
      <c r="L1681" s="11"/>
      <c r="M1681" s="41"/>
      <c r="N1681" s="11"/>
    </row>
    <row r="1682" spans="8:14" x14ac:dyDescent="0.25">
      <c r="H1682" s="37"/>
      <c r="I1682" s="79"/>
      <c r="J1682" s="70"/>
      <c r="K1682" s="57"/>
      <c r="L1682" s="11"/>
      <c r="M1682" s="41"/>
      <c r="N1682" s="11"/>
    </row>
    <row r="1683" spans="8:14" x14ac:dyDescent="0.25">
      <c r="H1683" s="37"/>
      <c r="I1683" s="79"/>
      <c r="J1683" s="70"/>
      <c r="K1683" s="57"/>
      <c r="L1683" s="11"/>
      <c r="M1683" s="41"/>
      <c r="N1683" s="11"/>
    </row>
    <row r="1684" spans="8:14" x14ac:dyDescent="0.25">
      <c r="H1684" s="37"/>
      <c r="I1684" s="79"/>
      <c r="J1684" s="70"/>
      <c r="K1684" s="57"/>
      <c r="L1684" s="11"/>
      <c r="M1684" s="41"/>
      <c r="N1684" s="11"/>
    </row>
    <row r="1685" spans="8:14" x14ac:dyDescent="0.25">
      <c r="H1685" s="37"/>
      <c r="I1685" s="79"/>
      <c r="J1685" s="70"/>
      <c r="K1685" s="57"/>
      <c r="L1685" s="11"/>
      <c r="M1685" s="41"/>
      <c r="N1685" s="11"/>
    </row>
    <row r="1686" spans="8:14" x14ac:dyDescent="0.25">
      <c r="H1686" s="37"/>
      <c r="I1686" s="79"/>
      <c r="J1686" s="70"/>
      <c r="K1686" s="57"/>
      <c r="L1686" s="11"/>
      <c r="M1686" s="41"/>
      <c r="N1686" s="11"/>
    </row>
    <row r="1687" spans="8:14" x14ac:dyDescent="0.25">
      <c r="H1687" s="37"/>
      <c r="I1687" s="79"/>
      <c r="J1687" s="70"/>
      <c r="K1687" s="57"/>
      <c r="L1687" s="11"/>
      <c r="M1687" s="41"/>
      <c r="N1687" s="11"/>
    </row>
    <row r="1688" spans="8:14" x14ac:dyDescent="0.25">
      <c r="H1688" s="37"/>
      <c r="I1688" s="79"/>
      <c r="J1688" s="70"/>
      <c r="K1688" s="57"/>
      <c r="L1688" s="11"/>
      <c r="M1688" s="41"/>
      <c r="N1688" s="11"/>
    </row>
    <row r="1689" spans="8:14" x14ac:dyDescent="0.25">
      <c r="H1689" s="37"/>
      <c r="I1689" s="79"/>
      <c r="J1689" s="70"/>
      <c r="K1689" s="57"/>
      <c r="L1689" s="11"/>
      <c r="M1689" s="41"/>
      <c r="N1689" s="11"/>
    </row>
    <row r="1690" spans="8:14" x14ac:dyDescent="0.25">
      <c r="H1690" s="37"/>
      <c r="I1690" s="79"/>
      <c r="J1690" s="70"/>
      <c r="K1690" s="57"/>
      <c r="L1690" s="11"/>
      <c r="M1690" s="41"/>
      <c r="N1690" s="11"/>
    </row>
    <row r="1691" spans="8:14" x14ac:dyDescent="0.25">
      <c r="H1691" s="37"/>
      <c r="I1691" s="79"/>
      <c r="J1691" s="70"/>
      <c r="K1691" s="57"/>
      <c r="L1691" s="11"/>
      <c r="M1691" s="41"/>
      <c r="N1691" s="11"/>
    </row>
    <row r="1692" spans="8:14" x14ac:dyDescent="0.25">
      <c r="H1692" s="37"/>
      <c r="I1692" s="79"/>
      <c r="J1692" s="70"/>
      <c r="K1692" s="57"/>
      <c r="L1692" s="11"/>
      <c r="M1692" s="41"/>
      <c r="N1692" s="11"/>
    </row>
    <row r="1693" spans="8:14" x14ac:dyDescent="0.25">
      <c r="H1693" s="37"/>
      <c r="I1693" s="79"/>
      <c r="J1693" s="70"/>
      <c r="K1693" s="57"/>
      <c r="L1693" s="11"/>
      <c r="M1693" s="41"/>
      <c r="N1693" s="11"/>
    </row>
    <row r="1694" spans="8:14" x14ac:dyDescent="0.25">
      <c r="H1694" s="37"/>
      <c r="I1694" s="79"/>
      <c r="J1694" s="70"/>
      <c r="K1694" s="57"/>
      <c r="L1694" s="11"/>
      <c r="M1694" s="41"/>
      <c r="N1694" s="11"/>
    </row>
    <row r="1695" spans="8:14" x14ac:dyDescent="0.25">
      <c r="H1695" s="37"/>
      <c r="I1695" s="79"/>
      <c r="J1695" s="70"/>
      <c r="K1695" s="57"/>
      <c r="L1695" s="11"/>
      <c r="M1695" s="41"/>
      <c r="N1695" s="11"/>
    </row>
    <row r="1696" spans="8:14" x14ac:dyDescent="0.25">
      <c r="H1696" s="37"/>
      <c r="I1696" s="79"/>
      <c r="J1696" s="70"/>
      <c r="K1696" s="57"/>
      <c r="L1696" s="11"/>
      <c r="M1696" s="41"/>
      <c r="N1696" s="11"/>
    </row>
    <row r="1697" spans="8:14" x14ac:dyDescent="0.25">
      <c r="H1697" s="37"/>
      <c r="I1697" s="79"/>
      <c r="J1697" s="70"/>
      <c r="K1697" s="57"/>
      <c r="L1697" s="11"/>
      <c r="M1697" s="41"/>
      <c r="N1697" s="11"/>
    </row>
    <row r="1698" spans="8:14" x14ac:dyDescent="0.25">
      <c r="H1698" s="37"/>
      <c r="I1698" s="79"/>
      <c r="J1698" s="70"/>
      <c r="K1698" s="57"/>
      <c r="L1698" s="11"/>
      <c r="M1698" s="41"/>
      <c r="N1698" s="11"/>
    </row>
    <row r="1699" spans="8:14" x14ac:dyDescent="0.25">
      <c r="H1699" s="37"/>
      <c r="I1699" s="79"/>
      <c r="J1699" s="70"/>
      <c r="K1699" s="57"/>
      <c r="L1699" s="11"/>
      <c r="M1699" s="41"/>
      <c r="N1699" s="11"/>
    </row>
    <row r="1700" spans="8:14" x14ac:dyDescent="0.25">
      <c r="H1700" s="37"/>
      <c r="I1700" s="79"/>
      <c r="J1700" s="70"/>
      <c r="K1700" s="57"/>
      <c r="L1700" s="11"/>
      <c r="M1700" s="41"/>
      <c r="N1700" s="11"/>
    </row>
    <row r="1701" spans="8:14" x14ac:dyDescent="0.25">
      <c r="H1701" s="37"/>
      <c r="I1701" s="79"/>
      <c r="J1701" s="70"/>
      <c r="K1701" s="57"/>
      <c r="L1701" s="11"/>
      <c r="M1701" s="41"/>
      <c r="N1701" s="11"/>
    </row>
    <row r="1702" spans="8:14" x14ac:dyDescent="0.25">
      <c r="H1702" s="37"/>
      <c r="I1702" s="79"/>
      <c r="J1702" s="70"/>
      <c r="K1702" s="57"/>
      <c r="L1702" s="11"/>
      <c r="M1702" s="41"/>
      <c r="N1702" s="11"/>
    </row>
    <row r="1703" spans="8:14" x14ac:dyDescent="0.25">
      <c r="H1703" s="37"/>
      <c r="I1703" s="79"/>
      <c r="J1703" s="70"/>
      <c r="K1703" s="57"/>
      <c r="L1703" s="11"/>
      <c r="M1703" s="41"/>
      <c r="N1703" s="11"/>
    </row>
    <row r="1704" spans="8:14" x14ac:dyDescent="0.25">
      <c r="H1704" s="37"/>
      <c r="I1704" s="79"/>
      <c r="J1704" s="70"/>
      <c r="K1704" s="57"/>
      <c r="L1704" s="11"/>
      <c r="M1704" s="41"/>
      <c r="N1704" s="11"/>
    </row>
    <row r="1705" spans="8:14" x14ac:dyDescent="0.25">
      <c r="H1705" s="37"/>
      <c r="I1705" s="79"/>
      <c r="J1705" s="70"/>
      <c r="K1705" s="57"/>
      <c r="L1705" s="11"/>
      <c r="M1705" s="41"/>
      <c r="N1705" s="11"/>
    </row>
    <row r="1706" spans="8:14" x14ac:dyDescent="0.25">
      <c r="H1706" s="37"/>
      <c r="I1706" s="79"/>
      <c r="J1706" s="70"/>
      <c r="K1706" s="57"/>
      <c r="L1706" s="11"/>
      <c r="M1706" s="41"/>
      <c r="N1706" s="11"/>
    </row>
    <row r="1707" spans="8:14" x14ac:dyDescent="0.25">
      <c r="H1707" s="37"/>
      <c r="I1707" s="79"/>
      <c r="J1707" s="70"/>
      <c r="K1707" s="57"/>
      <c r="L1707" s="11"/>
      <c r="M1707" s="41"/>
      <c r="N1707" s="11"/>
    </row>
    <row r="1708" spans="8:14" x14ac:dyDescent="0.25">
      <c r="H1708" s="37"/>
      <c r="I1708" s="79"/>
      <c r="J1708" s="70"/>
      <c r="K1708" s="57"/>
      <c r="L1708" s="11"/>
      <c r="M1708" s="41"/>
      <c r="N1708" s="11"/>
    </row>
    <row r="1709" spans="8:14" x14ac:dyDescent="0.25">
      <c r="H1709" s="37"/>
      <c r="I1709" s="79"/>
      <c r="J1709" s="70"/>
      <c r="K1709" s="57"/>
      <c r="L1709" s="11"/>
      <c r="M1709" s="41"/>
      <c r="N1709" s="11"/>
    </row>
    <row r="1710" spans="8:14" x14ac:dyDescent="0.25">
      <c r="H1710" s="37"/>
      <c r="I1710" s="79"/>
      <c r="J1710" s="70"/>
      <c r="K1710" s="57"/>
      <c r="L1710" s="11"/>
      <c r="M1710" s="41"/>
      <c r="N1710" s="11"/>
    </row>
    <row r="1711" spans="8:14" x14ac:dyDescent="0.25">
      <c r="H1711" s="37"/>
      <c r="I1711" s="79"/>
      <c r="J1711" s="70"/>
      <c r="K1711" s="57"/>
      <c r="L1711" s="11"/>
      <c r="M1711" s="41"/>
      <c r="N1711" s="11"/>
    </row>
    <row r="1712" spans="8:14" x14ac:dyDescent="0.25">
      <c r="H1712" s="37"/>
      <c r="I1712" s="79"/>
      <c r="J1712" s="70"/>
      <c r="K1712" s="57"/>
      <c r="L1712" s="11"/>
      <c r="M1712" s="41"/>
      <c r="N1712" s="11"/>
    </row>
    <row r="1713" spans="8:14" x14ac:dyDescent="0.25">
      <c r="H1713" s="37"/>
      <c r="I1713" s="79"/>
      <c r="J1713" s="70"/>
      <c r="K1713" s="57"/>
      <c r="L1713" s="11"/>
      <c r="M1713" s="41"/>
      <c r="N1713" s="11"/>
    </row>
    <row r="1714" spans="8:14" x14ac:dyDescent="0.25">
      <c r="H1714" s="37"/>
      <c r="I1714" s="79"/>
      <c r="J1714" s="70"/>
      <c r="K1714" s="57"/>
      <c r="L1714" s="11"/>
      <c r="M1714" s="41"/>
      <c r="N1714" s="11"/>
    </row>
    <row r="1715" spans="8:14" x14ac:dyDescent="0.25">
      <c r="H1715" s="37"/>
      <c r="I1715" s="79"/>
      <c r="J1715" s="70"/>
      <c r="K1715" s="57"/>
      <c r="L1715" s="11"/>
      <c r="M1715" s="41"/>
      <c r="N1715" s="11"/>
    </row>
    <row r="1716" spans="8:14" x14ac:dyDescent="0.25">
      <c r="H1716" s="37"/>
      <c r="I1716" s="79"/>
      <c r="J1716" s="70"/>
      <c r="K1716" s="57"/>
      <c r="L1716" s="11"/>
      <c r="M1716" s="41"/>
      <c r="N1716" s="11"/>
    </row>
    <row r="1717" spans="8:14" x14ac:dyDescent="0.25">
      <c r="H1717" s="37"/>
      <c r="I1717" s="79"/>
      <c r="J1717" s="70"/>
      <c r="K1717" s="57"/>
      <c r="L1717" s="11"/>
      <c r="M1717" s="41"/>
      <c r="N1717" s="11"/>
    </row>
    <row r="1718" spans="8:14" x14ac:dyDescent="0.25">
      <c r="H1718" s="37"/>
      <c r="I1718" s="79"/>
      <c r="J1718" s="70"/>
      <c r="K1718" s="57"/>
      <c r="L1718" s="11"/>
      <c r="M1718" s="41"/>
      <c r="N1718" s="11"/>
    </row>
    <row r="1719" spans="8:14" x14ac:dyDescent="0.25">
      <c r="H1719" s="37"/>
      <c r="I1719" s="79"/>
      <c r="J1719" s="70"/>
      <c r="K1719" s="57"/>
      <c r="L1719" s="11"/>
      <c r="M1719" s="41"/>
      <c r="N1719" s="11"/>
    </row>
    <row r="1720" spans="8:14" x14ac:dyDescent="0.25">
      <c r="H1720" s="37"/>
      <c r="I1720" s="79"/>
      <c r="J1720" s="70"/>
      <c r="K1720" s="57"/>
      <c r="L1720" s="11"/>
      <c r="M1720" s="41"/>
      <c r="N1720" s="11"/>
    </row>
    <row r="1721" spans="8:14" x14ac:dyDescent="0.25">
      <c r="H1721" s="37"/>
      <c r="I1721" s="79"/>
      <c r="J1721" s="70"/>
      <c r="K1721" s="57"/>
      <c r="L1721" s="11"/>
      <c r="M1721" s="41"/>
      <c r="N1721" s="11"/>
    </row>
    <row r="1722" spans="8:14" x14ac:dyDescent="0.25">
      <c r="H1722" s="37"/>
      <c r="I1722" s="79"/>
      <c r="J1722" s="70"/>
      <c r="K1722" s="57"/>
      <c r="L1722" s="11"/>
      <c r="M1722" s="41"/>
      <c r="N1722" s="11"/>
    </row>
    <row r="1723" spans="8:14" x14ac:dyDescent="0.25">
      <c r="H1723" s="37"/>
      <c r="I1723" s="79"/>
      <c r="J1723" s="70"/>
      <c r="K1723" s="57"/>
      <c r="L1723" s="11"/>
      <c r="M1723" s="41"/>
      <c r="N1723" s="11"/>
    </row>
    <row r="1724" spans="8:14" x14ac:dyDescent="0.25">
      <c r="H1724" s="37"/>
      <c r="I1724" s="79"/>
      <c r="J1724" s="70"/>
      <c r="K1724" s="57"/>
      <c r="L1724" s="11"/>
      <c r="M1724" s="41"/>
      <c r="N1724" s="11"/>
    </row>
    <row r="1725" spans="8:14" x14ac:dyDescent="0.25">
      <c r="H1725" s="37"/>
      <c r="I1725" s="79"/>
      <c r="J1725" s="70"/>
      <c r="K1725" s="57"/>
      <c r="L1725" s="11"/>
      <c r="M1725" s="41"/>
      <c r="N1725" s="11"/>
    </row>
    <row r="1726" spans="8:14" x14ac:dyDescent="0.25">
      <c r="H1726" s="37"/>
      <c r="I1726" s="79"/>
      <c r="J1726" s="70"/>
      <c r="K1726" s="57"/>
      <c r="L1726" s="11"/>
      <c r="M1726" s="41"/>
      <c r="N1726" s="11"/>
    </row>
    <row r="1727" spans="8:14" x14ac:dyDescent="0.25">
      <c r="H1727" s="37"/>
      <c r="I1727" s="79"/>
      <c r="J1727" s="70"/>
      <c r="K1727" s="57"/>
      <c r="L1727" s="11"/>
      <c r="M1727" s="41"/>
      <c r="N1727" s="11"/>
    </row>
    <row r="1728" spans="8:14" x14ac:dyDescent="0.25">
      <c r="H1728" s="37"/>
      <c r="I1728" s="79"/>
      <c r="J1728" s="70"/>
      <c r="K1728" s="57"/>
      <c r="L1728" s="11"/>
      <c r="M1728" s="41"/>
      <c r="N1728" s="11"/>
    </row>
    <row r="1729" spans="8:14" x14ac:dyDescent="0.25">
      <c r="H1729" s="37"/>
      <c r="I1729" s="79"/>
      <c r="J1729" s="70"/>
      <c r="K1729" s="57"/>
      <c r="L1729" s="11"/>
      <c r="M1729" s="41"/>
      <c r="N1729" s="11"/>
    </row>
    <row r="1730" spans="8:14" x14ac:dyDescent="0.25">
      <c r="H1730" s="37"/>
      <c r="I1730" s="79"/>
      <c r="J1730" s="70"/>
      <c r="K1730" s="57"/>
      <c r="L1730" s="11"/>
      <c r="M1730" s="41"/>
      <c r="N1730" s="11"/>
    </row>
    <row r="1731" spans="8:14" x14ac:dyDescent="0.25">
      <c r="H1731" s="37"/>
      <c r="I1731" s="79"/>
      <c r="J1731" s="70"/>
      <c r="K1731" s="57"/>
      <c r="L1731" s="11"/>
      <c r="M1731" s="41"/>
      <c r="N1731" s="11"/>
    </row>
    <row r="1732" spans="8:14" x14ac:dyDescent="0.25">
      <c r="H1732" s="37"/>
      <c r="I1732" s="79"/>
      <c r="J1732" s="70"/>
      <c r="K1732" s="57"/>
      <c r="L1732" s="11"/>
      <c r="M1732" s="41"/>
      <c r="N1732" s="11"/>
    </row>
    <row r="1733" spans="8:14" x14ac:dyDescent="0.25">
      <c r="H1733" s="37"/>
      <c r="I1733" s="79"/>
      <c r="J1733" s="70"/>
      <c r="K1733" s="57"/>
      <c r="L1733" s="11"/>
      <c r="M1733" s="41"/>
      <c r="N1733" s="11"/>
    </row>
    <row r="1734" spans="8:14" x14ac:dyDescent="0.25">
      <c r="H1734" s="37"/>
      <c r="I1734" s="79"/>
      <c r="J1734" s="70"/>
      <c r="K1734" s="57"/>
      <c r="L1734" s="11"/>
      <c r="M1734" s="41"/>
      <c r="N1734" s="11"/>
    </row>
    <row r="1735" spans="8:14" x14ac:dyDescent="0.25">
      <c r="H1735" s="37"/>
      <c r="I1735" s="79"/>
      <c r="J1735" s="70"/>
      <c r="K1735" s="57"/>
      <c r="L1735" s="11"/>
      <c r="M1735" s="41"/>
      <c r="N1735" s="11"/>
    </row>
    <row r="1736" spans="8:14" x14ac:dyDescent="0.25">
      <c r="H1736" s="37"/>
      <c r="I1736" s="79"/>
      <c r="J1736" s="70"/>
      <c r="K1736" s="57"/>
      <c r="L1736" s="11"/>
      <c r="M1736" s="41"/>
      <c r="N1736" s="11"/>
    </row>
    <row r="1737" spans="8:14" x14ac:dyDescent="0.25">
      <c r="H1737" s="37"/>
      <c r="I1737" s="79"/>
      <c r="J1737" s="70"/>
      <c r="K1737" s="57"/>
      <c r="L1737" s="11"/>
      <c r="M1737" s="41"/>
      <c r="N1737" s="11"/>
    </row>
    <row r="1738" spans="8:14" x14ac:dyDescent="0.25">
      <c r="H1738" s="37"/>
      <c r="I1738" s="79"/>
      <c r="J1738" s="70"/>
      <c r="K1738" s="57"/>
      <c r="L1738" s="11"/>
      <c r="M1738" s="41"/>
      <c r="N1738" s="11"/>
    </row>
    <row r="1739" spans="8:14" x14ac:dyDescent="0.25">
      <c r="H1739" s="37"/>
      <c r="I1739" s="79"/>
      <c r="J1739" s="70"/>
      <c r="K1739" s="57"/>
      <c r="L1739" s="11"/>
      <c r="M1739" s="41"/>
      <c r="N1739" s="11"/>
    </row>
    <row r="1740" spans="8:14" x14ac:dyDescent="0.25">
      <c r="H1740" s="37"/>
      <c r="I1740" s="79"/>
      <c r="J1740" s="70"/>
      <c r="K1740" s="57"/>
      <c r="L1740" s="11"/>
      <c r="M1740" s="41"/>
      <c r="N1740" s="11"/>
    </row>
    <row r="1741" spans="8:14" x14ac:dyDescent="0.25">
      <c r="H1741" s="37"/>
      <c r="I1741" s="79"/>
      <c r="J1741" s="70"/>
      <c r="K1741" s="57"/>
      <c r="L1741" s="11"/>
      <c r="M1741" s="41"/>
      <c r="N1741" s="11"/>
    </row>
    <row r="1742" spans="8:14" x14ac:dyDescent="0.25">
      <c r="H1742" s="37"/>
      <c r="I1742" s="79"/>
      <c r="J1742" s="70"/>
      <c r="K1742" s="57"/>
      <c r="L1742" s="11"/>
      <c r="M1742" s="41"/>
      <c r="N1742" s="11"/>
    </row>
    <row r="1743" spans="8:14" x14ac:dyDescent="0.25">
      <c r="H1743" s="37"/>
      <c r="I1743" s="79"/>
      <c r="J1743" s="70"/>
      <c r="K1743" s="57"/>
      <c r="L1743" s="11"/>
      <c r="M1743" s="41"/>
      <c r="N1743" s="11"/>
    </row>
    <row r="1744" spans="8:14" x14ac:dyDescent="0.25">
      <c r="H1744" s="37"/>
      <c r="I1744" s="79"/>
      <c r="J1744" s="70"/>
      <c r="K1744" s="57"/>
      <c r="L1744" s="11"/>
      <c r="M1744" s="41"/>
      <c r="N1744" s="11"/>
    </row>
    <row r="1745" spans="8:14" x14ac:dyDescent="0.25">
      <c r="H1745" s="37"/>
      <c r="I1745" s="79"/>
      <c r="J1745" s="70"/>
      <c r="K1745" s="57"/>
      <c r="L1745" s="11"/>
      <c r="M1745" s="41"/>
      <c r="N1745" s="11"/>
    </row>
    <row r="1746" spans="8:14" x14ac:dyDescent="0.25">
      <c r="H1746" s="37"/>
      <c r="I1746" s="79"/>
      <c r="J1746" s="70"/>
      <c r="K1746" s="57"/>
      <c r="L1746" s="11"/>
      <c r="M1746" s="41"/>
      <c r="N1746" s="11"/>
    </row>
    <row r="1747" spans="8:14" x14ac:dyDescent="0.25">
      <c r="H1747" s="37"/>
      <c r="I1747" s="79"/>
      <c r="J1747" s="70"/>
      <c r="K1747" s="57"/>
      <c r="L1747" s="11"/>
      <c r="M1747" s="41"/>
      <c r="N1747" s="11"/>
    </row>
    <row r="1748" spans="8:14" x14ac:dyDescent="0.25">
      <c r="H1748" s="37"/>
      <c r="I1748" s="79"/>
      <c r="J1748" s="70"/>
      <c r="K1748" s="57"/>
      <c r="L1748" s="11"/>
      <c r="M1748" s="41"/>
      <c r="N1748" s="11"/>
    </row>
    <row r="1749" spans="8:14" x14ac:dyDescent="0.25">
      <c r="H1749" s="37"/>
      <c r="I1749" s="79"/>
      <c r="J1749" s="70"/>
      <c r="K1749" s="57"/>
      <c r="L1749" s="11"/>
      <c r="M1749" s="41"/>
      <c r="N1749" s="11"/>
    </row>
    <row r="1750" spans="8:14" x14ac:dyDescent="0.25">
      <c r="H1750" s="37"/>
      <c r="I1750" s="79"/>
      <c r="J1750" s="70"/>
      <c r="K1750" s="57"/>
      <c r="L1750" s="11"/>
      <c r="M1750" s="41"/>
      <c r="N1750" s="11"/>
    </row>
    <row r="1751" spans="8:14" x14ac:dyDescent="0.25">
      <c r="H1751" s="37"/>
      <c r="I1751" s="79"/>
      <c r="J1751" s="70"/>
      <c r="K1751" s="57"/>
      <c r="L1751" s="11"/>
      <c r="M1751" s="41"/>
      <c r="N1751" s="11"/>
    </row>
    <row r="1752" spans="8:14" x14ac:dyDescent="0.25">
      <c r="H1752" s="37"/>
      <c r="I1752" s="79"/>
      <c r="J1752" s="70"/>
      <c r="K1752" s="57"/>
      <c r="L1752" s="11"/>
      <c r="M1752" s="41"/>
      <c r="N1752" s="11"/>
    </row>
    <row r="1753" spans="8:14" x14ac:dyDescent="0.25">
      <c r="H1753" s="37"/>
      <c r="I1753" s="79"/>
      <c r="J1753" s="70"/>
      <c r="K1753" s="57"/>
      <c r="L1753" s="11"/>
      <c r="M1753" s="41"/>
      <c r="N1753" s="11"/>
    </row>
    <row r="1754" spans="8:14" x14ac:dyDescent="0.25">
      <c r="H1754" s="37"/>
      <c r="I1754" s="79"/>
      <c r="J1754" s="70"/>
      <c r="K1754" s="57"/>
      <c r="L1754" s="11"/>
      <c r="M1754" s="41"/>
      <c r="N1754" s="11"/>
    </row>
    <row r="1755" spans="8:14" x14ac:dyDescent="0.25">
      <c r="H1755" s="37"/>
      <c r="I1755" s="79"/>
      <c r="J1755" s="70"/>
      <c r="K1755" s="57"/>
      <c r="L1755" s="11"/>
      <c r="M1755" s="41"/>
      <c r="N1755" s="11"/>
    </row>
    <row r="1756" spans="8:14" x14ac:dyDescent="0.25">
      <c r="H1756" s="37"/>
      <c r="I1756" s="79"/>
      <c r="J1756" s="70"/>
      <c r="K1756" s="57"/>
      <c r="L1756" s="11"/>
      <c r="M1756" s="41"/>
      <c r="N1756" s="11"/>
    </row>
    <row r="1757" spans="8:14" x14ac:dyDescent="0.25">
      <c r="H1757" s="37"/>
      <c r="I1757" s="79"/>
      <c r="J1757" s="70"/>
      <c r="K1757" s="57"/>
      <c r="L1757" s="11"/>
      <c r="M1757" s="41"/>
      <c r="N1757" s="11"/>
    </row>
    <row r="1758" spans="8:14" x14ac:dyDescent="0.25">
      <c r="H1758" s="37"/>
      <c r="I1758" s="79"/>
      <c r="J1758" s="70"/>
      <c r="K1758" s="57"/>
      <c r="L1758" s="11"/>
      <c r="M1758" s="41"/>
      <c r="N1758" s="11"/>
    </row>
    <row r="1759" spans="8:14" x14ac:dyDescent="0.25">
      <c r="H1759" s="37"/>
      <c r="I1759" s="79"/>
      <c r="J1759" s="70"/>
      <c r="K1759" s="57"/>
      <c r="L1759" s="11"/>
      <c r="M1759" s="41"/>
      <c r="N1759" s="11"/>
    </row>
    <row r="1760" spans="8:14" x14ac:dyDescent="0.25">
      <c r="H1760" s="37"/>
      <c r="I1760" s="79"/>
      <c r="J1760" s="70"/>
      <c r="K1760" s="57"/>
      <c r="L1760" s="11"/>
      <c r="M1760" s="41"/>
      <c r="N1760" s="11"/>
    </row>
    <row r="1761" spans="8:14" x14ac:dyDescent="0.25">
      <c r="H1761" s="37"/>
      <c r="I1761" s="79"/>
      <c r="J1761" s="70"/>
      <c r="K1761" s="57"/>
      <c r="L1761" s="11"/>
      <c r="M1761" s="41"/>
      <c r="N1761" s="11"/>
    </row>
    <row r="1762" spans="8:14" x14ac:dyDescent="0.25">
      <c r="H1762" s="37"/>
      <c r="I1762" s="79"/>
      <c r="J1762" s="70"/>
      <c r="K1762" s="57"/>
      <c r="L1762" s="11"/>
      <c r="M1762" s="41"/>
      <c r="N1762" s="11"/>
    </row>
    <row r="1763" spans="8:14" x14ac:dyDescent="0.25">
      <c r="H1763" s="37"/>
      <c r="I1763" s="79"/>
      <c r="J1763" s="70"/>
      <c r="K1763" s="57"/>
      <c r="L1763" s="11"/>
      <c r="M1763" s="41"/>
      <c r="N1763" s="11"/>
    </row>
    <row r="1764" spans="8:14" x14ac:dyDescent="0.25">
      <c r="H1764" s="37"/>
      <c r="I1764" s="79"/>
      <c r="J1764" s="70"/>
      <c r="K1764" s="57"/>
      <c r="L1764" s="11"/>
      <c r="M1764" s="41"/>
      <c r="N1764" s="11"/>
    </row>
    <row r="1765" spans="8:14" x14ac:dyDescent="0.25">
      <c r="H1765" s="37"/>
      <c r="I1765" s="79"/>
      <c r="J1765" s="70"/>
      <c r="K1765" s="57"/>
      <c r="L1765" s="11"/>
      <c r="M1765" s="41"/>
      <c r="N1765" s="11"/>
    </row>
    <row r="1766" spans="8:14" x14ac:dyDescent="0.25">
      <c r="H1766" s="37"/>
      <c r="I1766" s="79"/>
      <c r="J1766" s="70"/>
      <c r="K1766" s="57"/>
      <c r="L1766" s="11"/>
      <c r="M1766" s="41"/>
      <c r="N1766" s="11"/>
    </row>
    <row r="1767" spans="8:14" x14ac:dyDescent="0.25">
      <c r="H1767" s="37"/>
      <c r="I1767" s="79"/>
      <c r="J1767" s="70"/>
      <c r="K1767" s="57"/>
      <c r="L1767" s="11"/>
      <c r="M1767" s="41"/>
      <c r="N1767" s="11"/>
    </row>
    <row r="1768" spans="8:14" x14ac:dyDescent="0.25">
      <c r="H1768" s="37"/>
      <c r="I1768" s="79"/>
      <c r="J1768" s="70"/>
      <c r="K1768" s="57"/>
      <c r="L1768" s="11"/>
      <c r="M1768" s="41"/>
      <c r="N1768" s="11"/>
    </row>
    <row r="1769" spans="8:14" x14ac:dyDescent="0.25">
      <c r="H1769" s="37"/>
      <c r="I1769" s="79"/>
      <c r="J1769" s="70"/>
      <c r="K1769" s="57"/>
      <c r="L1769" s="11"/>
      <c r="M1769" s="41"/>
      <c r="N1769" s="11"/>
    </row>
    <row r="1770" spans="8:14" x14ac:dyDescent="0.25">
      <c r="H1770" s="37"/>
      <c r="I1770" s="79"/>
      <c r="J1770" s="70"/>
      <c r="K1770" s="57"/>
      <c r="L1770" s="11"/>
      <c r="M1770" s="41"/>
      <c r="N1770" s="11"/>
    </row>
    <row r="1771" spans="8:14" x14ac:dyDescent="0.25">
      <c r="H1771" s="37"/>
      <c r="I1771" s="79"/>
      <c r="J1771" s="70"/>
      <c r="K1771" s="57"/>
      <c r="L1771" s="11"/>
      <c r="M1771" s="41"/>
      <c r="N1771" s="11"/>
    </row>
    <row r="1772" spans="8:14" x14ac:dyDescent="0.25">
      <c r="H1772" s="37"/>
      <c r="I1772" s="79"/>
      <c r="J1772" s="70"/>
      <c r="K1772" s="57"/>
      <c r="L1772" s="11"/>
      <c r="M1772" s="41"/>
      <c r="N1772" s="11"/>
    </row>
    <row r="1773" spans="8:14" x14ac:dyDescent="0.25">
      <c r="H1773" s="37"/>
      <c r="I1773" s="79"/>
      <c r="J1773" s="70"/>
      <c r="K1773" s="57"/>
      <c r="L1773" s="11"/>
      <c r="M1773" s="41"/>
      <c r="N1773" s="11"/>
    </row>
    <row r="1774" spans="8:14" x14ac:dyDescent="0.25">
      <c r="H1774" s="37"/>
      <c r="I1774" s="79"/>
      <c r="J1774" s="70"/>
      <c r="K1774" s="57"/>
      <c r="L1774" s="11"/>
      <c r="M1774" s="41"/>
      <c r="N1774" s="11"/>
    </row>
    <row r="1775" spans="8:14" x14ac:dyDescent="0.25">
      <c r="H1775" s="37"/>
      <c r="I1775" s="79"/>
      <c r="J1775" s="70"/>
      <c r="K1775" s="57"/>
      <c r="L1775" s="11"/>
      <c r="M1775" s="41"/>
      <c r="N1775" s="11"/>
    </row>
    <row r="1776" spans="8:14" x14ac:dyDescent="0.25">
      <c r="H1776" s="37"/>
      <c r="I1776" s="79"/>
      <c r="J1776" s="70"/>
      <c r="K1776" s="57"/>
      <c r="L1776" s="11"/>
      <c r="M1776" s="41"/>
      <c r="N1776" s="11"/>
    </row>
    <row r="1777" spans="8:14" x14ac:dyDescent="0.25">
      <c r="H1777" s="37"/>
      <c r="I1777" s="79"/>
      <c r="J1777" s="70"/>
      <c r="K1777" s="57"/>
      <c r="L1777" s="11"/>
      <c r="M1777" s="41"/>
      <c r="N1777" s="11"/>
    </row>
    <row r="1778" spans="8:14" x14ac:dyDescent="0.25">
      <c r="H1778" s="37"/>
      <c r="I1778" s="79"/>
      <c r="J1778" s="70"/>
      <c r="K1778" s="57"/>
      <c r="L1778" s="11"/>
      <c r="M1778" s="41"/>
      <c r="N1778" s="11"/>
    </row>
    <row r="1779" spans="8:14" x14ac:dyDescent="0.25">
      <c r="H1779" s="37"/>
      <c r="I1779" s="79"/>
      <c r="J1779" s="70"/>
      <c r="K1779" s="57"/>
      <c r="L1779" s="11"/>
      <c r="M1779" s="41"/>
      <c r="N1779" s="11"/>
    </row>
    <row r="1780" spans="8:14" x14ac:dyDescent="0.25">
      <c r="H1780" s="37"/>
      <c r="I1780" s="79"/>
      <c r="J1780" s="70"/>
      <c r="K1780" s="57"/>
      <c r="L1780" s="11"/>
      <c r="M1780" s="41"/>
      <c r="N1780" s="11"/>
    </row>
    <row r="1781" spans="8:14" x14ac:dyDescent="0.25">
      <c r="H1781" s="37"/>
      <c r="I1781" s="79"/>
      <c r="J1781" s="70"/>
      <c r="K1781" s="57"/>
      <c r="L1781" s="11"/>
      <c r="M1781" s="41"/>
      <c r="N1781" s="11"/>
    </row>
    <row r="1782" spans="8:14" x14ac:dyDescent="0.25">
      <c r="H1782" s="37"/>
      <c r="I1782" s="79"/>
      <c r="J1782" s="70"/>
      <c r="K1782" s="57"/>
      <c r="L1782" s="11"/>
      <c r="M1782" s="41"/>
      <c r="N1782" s="11"/>
    </row>
    <row r="1783" spans="8:14" x14ac:dyDescent="0.25">
      <c r="H1783" s="37"/>
      <c r="I1783" s="79"/>
      <c r="J1783" s="70"/>
      <c r="K1783" s="57"/>
      <c r="L1783" s="11"/>
      <c r="M1783" s="41"/>
      <c r="N1783" s="11"/>
    </row>
    <row r="1784" spans="8:14" x14ac:dyDescent="0.25">
      <c r="H1784" s="37"/>
      <c r="I1784" s="79"/>
      <c r="J1784" s="70"/>
      <c r="K1784" s="57"/>
      <c r="L1784" s="11"/>
      <c r="M1784" s="41"/>
      <c r="N1784" s="11"/>
    </row>
    <row r="1785" spans="8:14" x14ac:dyDescent="0.25">
      <c r="H1785" s="37"/>
      <c r="I1785" s="79"/>
      <c r="J1785" s="70"/>
      <c r="K1785" s="57"/>
      <c r="L1785" s="11"/>
      <c r="M1785" s="41"/>
      <c r="N1785" s="11"/>
    </row>
    <row r="1786" spans="8:14" x14ac:dyDescent="0.25">
      <c r="H1786" s="37"/>
      <c r="I1786" s="79"/>
      <c r="J1786" s="70"/>
      <c r="K1786" s="57"/>
      <c r="L1786" s="11"/>
      <c r="M1786" s="41"/>
      <c r="N1786" s="11"/>
    </row>
    <row r="1787" spans="8:14" x14ac:dyDescent="0.25">
      <c r="H1787" s="37"/>
      <c r="I1787" s="79"/>
      <c r="J1787" s="70"/>
      <c r="K1787" s="57"/>
      <c r="L1787" s="11"/>
      <c r="M1787" s="41"/>
      <c r="N1787" s="11"/>
    </row>
    <row r="1788" spans="8:14" x14ac:dyDescent="0.25">
      <c r="H1788" s="37"/>
      <c r="I1788" s="79"/>
      <c r="J1788" s="70"/>
      <c r="K1788" s="57"/>
      <c r="L1788" s="11"/>
      <c r="M1788" s="41"/>
      <c r="N1788" s="11"/>
    </row>
    <row r="1789" spans="8:14" x14ac:dyDescent="0.25">
      <c r="H1789" s="37"/>
      <c r="I1789" s="79"/>
      <c r="J1789" s="70"/>
      <c r="K1789" s="57"/>
      <c r="L1789" s="11"/>
      <c r="M1789" s="41"/>
      <c r="N1789" s="11"/>
    </row>
    <row r="1790" spans="8:14" x14ac:dyDescent="0.25">
      <c r="H1790" s="37"/>
      <c r="I1790" s="79"/>
      <c r="J1790" s="70"/>
      <c r="K1790" s="57"/>
      <c r="L1790" s="11"/>
      <c r="M1790" s="41"/>
      <c r="N1790" s="11"/>
    </row>
    <row r="1791" spans="8:14" x14ac:dyDescent="0.25">
      <c r="H1791" s="37"/>
      <c r="I1791" s="79"/>
      <c r="J1791" s="70"/>
      <c r="K1791" s="57"/>
      <c r="L1791" s="11"/>
      <c r="M1791" s="41"/>
      <c r="N1791" s="11"/>
    </row>
    <row r="1792" spans="8:14" x14ac:dyDescent="0.25">
      <c r="H1792" s="37"/>
      <c r="I1792" s="79"/>
      <c r="J1792" s="70"/>
      <c r="K1792" s="57"/>
      <c r="L1792" s="11"/>
      <c r="M1792" s="41"/>
      <c r="N1792" s="11"/>
    </row>
    <row r="1793" spans="8:14" x14ac:dyDescent="0.25">
      <c r="H1793" s="37"/>
      <c r="I1793" s="79"/>
      <c r="J1793" s="70"/>
      <c r="K1793" s="57"/>
      <c r="L1793" s="11"/>
      <c r="M1793" s="41"/>
      <c r="N1793" s="11"/>
    </row>
    <row r="1794" spans="8:14" x14ac:dyDescent="0.25">
      <c r="H1794" s="37"/>
      <c r="I1794" s="79"/>
      <c r="J1794" s="70"/>
      <c r="K1794" s="57"/>
      <c r="L1794" s="11"/>
      <c r="M1794" s="41"/>
      <c r="N1794" s="11"/>
    </row>
    <row r="1795" spans="8:14" x14ac:dyDescent="0.25">
      <c r="H1795" s="37"/>
      <c r="I1795" s="79"/>
      <c r="J1795" s="70"/>
      <c r="K1795" s="57"/>
      <c r="L1795" s="11"/>
      <c r="M1795" s="41"/>
      <c r="N1795" s="11"/>
    </row>
    <row r="1796" spans="8:14" x14ac:dyDescent="0.25">
      <c r="H1796" s="37"/>
      <c r="I1796" s="79"/>
      <c r="J1796" s="70"/>
      <c r="K1796" s="57"/>
      <c r="L1796" s="11"/>
      <c r="M1796" s="41"/>
      <c r="N1796" s="11"/>
    </row>
    <row r="1797" spans="8:14" x14ac:dyDescent="0.25">
      <c r="H1797" s="37"/>
      <c r="I1797" s="79"/>
      <c r="J1797" s="70"/>
      <c r="K1797" s="57"/>
      <c r="L1797" s="11"/>
      <c r="M1797" s="41"/>
      <c r="N1797" s="11"/>
    </row>
    <row r="1798" spans="8:14" x14ac:dyDescent="0.25">
      <c r="H1798" s="37"/>
      <c r="I1798" s="79"/>
      <c r="J1798" s="70"/>
      <c r="K1798" s="57"/>
      <c r="L1798" s="11"/>
      <c r="M1798" s="41"/>
      <c r="N1798" s="11"/>
    </row>
    <row r="1799" spans="8:14" x14ac:dyDescent="0.25">
      <c r="H1799" s="37"/>
      <c r="I1799" s="79"/>
      <c r="J1799" s="70"/>
      <c r="K1799" s="57"/>
      <c r="L1799" s="11"/>
      <c r="M1799" s="41"/>
      <c r="N1799" s="11"/>
    </row>
    <row r="1800" spans="8:14" x14ac:dyDescent="0.25">
      <c r="H1800" s="37"/>
      <c r="I1800" s="79"/>
      <c r="J1800" s="70"/>
      <c r="K1800" s="57"/>
      <c r="L1800" s="11"/>
      <c r="M1800" s="41"/>
      <c r="N1800" s="11"/>
    </row>
    <row r="1801" spans="8:14" x14ac:dyDescent="0.25">
      <c r="H1801" s="37"/>
      <c r="I1801" s="79"/>
      <c r="J1801" s="70"/>
      <c r="K1801" s="57"/>
      <c r="L1801" s="11"/>
      <c r="M1801" s="41"/>
      <c r="N1801" s="11"/>
    </row>
    <row r="1802" spans="8:14" x14ac:dyDescent="0.25">
      <c r="H1802" s="37"/>
      <c r="I1802" s="79"/>
      <c r="J1802" s="70"/>
      <c r="K1802" s="57"/>
      <c r="L1802" s="11"/>
      <c r="M1802" s="41"/>
      <c r="N1802" s="11"/>
    </row>
    <row r="1803" spans="8:14" x14ac:dyDescent="0.25">
      <c r="H1803" s="37"/>
      <c r="I1803" s="79"/>
      <c r="J1803" s="70"/>
      <c r="K1803" s="57"/>
      <c r="L1803" s="11"/>
      <c r="M1803" s="41"/>
      <c r="N1803" s="11"/>
    </row>
    <row r="1804" spans="8:14" x14ac:dyDescent="0.25">
      <c r="H1804" s="37"/>
      <c r="I1804" s="79"/>
      <c r="J1804" s="70"/>
      <c r="K1804" s="57"/>
      <c r="L1804" s="11"/>
      <c r="M1804" s="41"/>
      <c r="N1804" s="11"/>
    </row>
    <row r="1805" spans="8:14" x14ac:dyDescent="0.25">
      <c r="H1805" s="37"/>
      <c r="I1805" s="79"/>
      <c r="J1805" s="70"/>
      <c r="K1805" s="57"/>
      <c r="L1805" s="11"/>
      <c r="M1805" s="41"/>
      <c r="N1805" s="11"/>
    </row>
    <row r="1806" spans="8:14" x14ac:dyDescent="0.25">
      <c r="H1806" s="37"/>
      <c r="I1806" s="79"/>
      <c r="J1806" s="70"/>
      <c r="K1806" s="57"/>
      <c r="L1806" s="11"/>
      <c r="M1806" s="41"/>
      <c r="N1806" s="11"/>
    </row>
    <row r="1807" spans="8:14" x14ac:dyDescent="0.25">
      <c r="H1807" s="37"/>
      <c r="I1807" s="79"/>
      <c r="J1807" s="70"/>
      <c r="K1807" s="57"/>
      <c r="L1807" s="11"/>
      <c r="M1807" s="41"/>
      <c r="N1807" s="11"/>
    </row>
    <row r="1808" spans="8:14" x14ac:dyDescent="0.25">
      <c r="H1808" s="37"/>
      <c r="I1808" s="79"/>
      <c r="J1808" s="70"/>
      <c r="K1808" s="57"/>
      <c r="L1808" s="11"/>
      <c r="M1808" s="41"/>
      <c r="N1808" s="11"/>
    </row>
    <row r="1809" spans="8:14" x14ac:dyDescent="0.25">
      <c r="H1809" s="37"/>
      <c r="I1809" s="79"/>
      <c r="J1809" s="70"/>
      <c r="K1809" s="57"/>
      <c r="L1809" s="11"/>
      <c r="M1809" s="41"/>
      <c r="N1809" s="11"/>
    </row>
    <row r="1810" spans="8:14" x14ac:dyDescent="0.25">
      <c r="H1810" s="37"/>
      <c r="I1810" s="79"/>
      <c r="J1810" s="70"/>
      <c r="K1810" s="57"/>
      <c r="L1810" s="11"/>
      <c r="M1810" s="41"/>
      <c r="N1810" s="11"/>
    </row>
    <row r="1811" spans="8:14" x14ac:dyDescent="0.25">
      <c r="H1811" s="37"/>
      <c r="I1811" s="79"/>
      <c r="J1811" s="70"/>
      <c r="K1811" s="57"/>
      <c r="L1811" s="11"/>
      <c r="M1811" s="41"/>
      <c r="N1811" s="11"/>
    </row>
    <row r="1812" spans="8:14" x14ac:dyDescent="0.25">
      <c r="H1812" s="37"/>
      <c r="I1812" s="79"/>
      <c r="J1812" s="70"/>
      <c r="K1812" s="57"/>
      <c r="L1812" s="11"/>
      <c r="M1812" s="41"/>
      <c r="N1812" s="11"/>
    </row>
    <row r="1813" spans="8:14" x14ac:dyDescent="0.25">
      <c r="H1813" s="37"/>
      <c r="I1813" s="79"/>
      <c r="J1813" s="70"/>
      <c r="K1813" s="57"/>
      <c r="L1813" s="11"/>
      <c r="M1813" s="41"/>
      <c r="N1813" s="11"/>
    </row>
    <row r="1814" spans="8:14" x14ac:dyDescent="0.25">
      <c r="H1814" s="37"/>
      <c r="I1814" s="79"/>
      <c r="J1814" s="70"/>
      <c r="K1814" s="57"/>
      <c r="L1814" s="11"/>
      <c r="M1814" s="41"/>
      <c r="N1814" s="11"/>
    </row>
    <row r="1815" spans="8:14" x14ac:dyDescent="0.25">
      <c r="H1815" s="37"/>
      <c r="I1815" s="79"/>
      <c r="J1815" s="70"/>
      <c r="K1815" s="57"/>
      <c r="L1815" s="11"/>
      <c r="M1815" s="41"/>
      <c r="N1815" s="11"/>
    </row>
    <row r="1816" spans="8:14" x14ac:dyDescent="0.25">
      <c r="H1816" s="37"/>
      <c r="I1816" s="79"/>
      <c r="J1816" s="70"/>
      <c r="K1816" s="57"/>
      <c r="L1816" s="11"/>
      <c r="M1816" s="41"/>
      <c r="N1816" s="11"/>
    </row>
    <row r="1817" spans="8:14" x14ac:dyDescent="0.25">
      <c r="H1817" s="37"/>
      <c r="I1817" s="79"/>
      <c r="J1817" s="70"/>
      <c r="K1817" s="57"/>
      <c r="L1817" s="11"/>
      <c r="M1817" s="41"/>
      <c r="N1817" s="11"/>
    </row>
    <row r="1818" spans="8:14" x14ac:dyDescent="0.25">
      <c r="H1818" s="37"/>
      <c r="I1818" s="79"/>
      <c r="J1818" s="70"/>
      <c r="K1818" s="57"/>
      <c r="L1818" s="11"/>
      <c r="M1818" s="41"/>
      <c r="N1818" s="11"/>
    </row>
    <row r="1819" spans="8:14" x14ac:dyDescent="0.25">
      <c r="H1819" s="37"/>
      <c r="I1819" s="79"/>
      <c r="J1819" s="70"/>
      <c r="K1819" s="57"/>
      <c r="L1819" s="11"/>
      <c r="M1819" s="41"/>
      <c r="N1819" s="11"/>
    </row>
    <row r="1820" spans="8:14" x14ac:dyDescent="0.25">
      <c r="H1820" s="37"/>
      <c r="I1820" s="79"/>
      <c r="J1820" s="70"/>
      <c r="K1820" s="57"/>
      <c r="L1820" s="11"/>
      <c r="M1820" s="41"/>
      <c r="N1820" s="11"/>
    </row>
    <row r="1821" spans="8:14" x14ac:dyDescent="0.25">
      <c r="H1821" s="37"/>
      <c r="I1821" s="79"/>
      <c r="J1821" s="70"/>
      <c r="K1821" s="57"/>
      <c r="L1821" s="11"/>
      <c r="M1821" s="41"/>
      <c r="N1821" s="11"/>
    </row>
    <row r="1822" spans="8:14" x14ac:dyDescent="0.25">
      <c r="H1822" s="37"/>
      <c r="I1822" s="79"/>
      <c r="J1822" s="70"/>
      <c r="K1822" s="57"/>
      <c r="L1822" s="11"/>
      <c r="M1822" s="41"/>
      <c r="N1822" s="11"/>
    </row>
    <row r="1823" spans="8:14" x14ac:dyDescent="0.25">
      <c r="H1823" s="37"/>
      <c r="I1823" s="79"/>
      <c r="J1823" s="70"/>
      <c r="K1823" s="57"/>
      <c r="L1823" s="11"/>
      <c r="M1823" s="41"/>
      <c r="N1823" s="11"/>
    </row>
    <row r="1824" spans="8:14" x14ac:dyDescent="0.25">
      <c r="H1824" s="37"/>
      <c r="I1824" s="79"/>
      <c r="J1824" s="70"/>
      <c r="K1824" s="57"/>
      <c r="L1824" s="11"/>
      <c r="M1824" s="41"/>
      <c r="N1824" s="11"/>
    </row>
    <row r="1825" spans="8:14" x14ac:dyDescent="0.25">
      <c r="H1825" s="37"/>
      <c r="I1825" s="79"/>
      <c r="J1825" s="70"/>
      <c r="K1825" s="57"/>
      <c r="L1825" s="11"/>
      <c r="M1825" s="41"/>
      <c r="N1825" s="11"/>
    </row>
    <row r="1826" spans="8:14" x14ac:dyDescent="0.25">
      <c r="H1826" s="37"/>
      <c r="I1826" s="79"/>
      <c r="J1826" s="70"/>
      <c r="K1826" s="57"/>
      <c r="L1826" s="11"/>
      <c r="M1826" s="41"/>
      <c r="N1826" s="11"/>
    </row>
    <row r="1827" spans="8:14" x14ac:dyDescent="0.25">
      <c r="H1827" s="37"/>
      <c r="I1827" s="79"/>
      <c r="J1827" s="70"/>
      <c r="K1827" s="57"/>
      <c r="L1827" s="11"/>
      <c r="M1827" s="41"/>
      <c r="N1827" s="11"/>
    </row>
    <row r="1828" spans="8:14" x14ac:dyDescent="0.25">
      <c r="H1828" s="37"/>
      <c r="I1828" s="79"/>
      <c r="J1828" s="70"/>
      <c r="K1828" s="57"/>
      <c r="L1828" s="11"/>
      <c r="M1828" s="41"/>
      <c r="N1828" s="11"/>
    </row>
    <row r="1829" spans="8:14" x14ac:dyDescent="0.25">
      <c r="H1829" s="37"/>
      <c r="I1829" s="79"/>
      <c r="J1829" s="70"/>
      <c r="K1829" s="57"/>
      <c r="L1829" s="11"/>
      <c r="M1829" s="41"/>
      <c r="N1829" s="11"/>
    </row>
    <row r="1830" spans="8:14" x14ac:dyDescent="0.25">
      <c r="H1830" s="37"/>
      <c r="I1830" s="79"/>
      <c r="J1830" s="70"/>
      <c r="K1830" s="57"/>
      <c r="L1830" s="11"/>
      <c r="M1830" s="41"/>
      <c r="N1830" s="11"/>
    </row>
    <row r="1831" spans="8:14" x14ac:dyDescent="0.25">
      <c r="H1831" s="37"/>
      <c r="I1831" s="79"/>
      <c r="J1831" s="70"/>
      <c r="K1831" s="57"/>
      <c r="L1831" s="11"/>
      <c r="M1831" s="41"/>
      <c r="N1831" s="11"/>
    </row>
    <row r="1832" spans="8:14" x14ac:dyDescent="0.25">
      <c r="H1832" s="37"/>
      <c r="I1832" s="79"/>
      <c r="J1832" s="70"/>
      <c r="K1832" s="57"/>
      <c r="L1832" s="11"/>
      <c r="M1832" s="41"/>
      <c r="N1832" s="11"/>
    </row>
    <row r="1833" spans="8:14" x14ac:dyDescent="0.25">
      <c r="H1833" s="37"/>
      <c r="I1833" s="79"/>
      <c r="J1833" s="70"/>
      <c r="K1833" s="57"/>
      <c r="L1833" s="11"/>
      <c r="M1833" s="41"/>
      <c r="N1833" s="11"/>
    </row>
    <row r="1834" spans="8:14" x14ac:dyDescent="0.25">
      <c r="H1834" s="37"/>
      <c r="I1834" s="79"/>
      <c r="J1834" s="70"/>
      <c r="K1834" s="57"/>
      <c r="L1834" s="11"/>
      <c r="M1834" s="41"/>
      <c r="N1834" s="11"/>
    </row>
    <row r="1835" spans="8:14" x14ac:dyDescent="0.25">
      <c r="H1835" s="37"/>
      <c r="I1835" s="79"/>
      <c r="J1835" s="70"/>
      <c r="K1835" s="57"/>
      <c r="L1835" s="11"/>
      <c r="M1835" s="41"/>
      <c r="N1835" s="11"/>
    </row>
    <row r="1836" spans="8:14" x14ac:dyDescent="0.25">
      <c r="H1836" s="37"/>
      <c r="I1836" s="79"/>
      <c r="J1836" s="70"/>
      <c r="K1836" s="57"/>
      <c r="L1836" s="11"/>
      <c r="M1836" s="41"/>
      <c r="N1836" s="11"/>
    </row>
    <row r="1837" spans="8:14" x14ac:dyDescent="0.25">
      <c r="H1837" s="37"/>
      <c r="I1837" s="79"/>
      <c r="J1837" s="70"/>
      <c r="K1837" s="57"/>
      <c r="L1837" s="11"/>
      <c r="M1837" s="41"/>
      <c r="N1837" s="11"/>
    </row>
    <row r="1838" spans="8:14" x14ac:dyDescent="0.25">
      <c r="H1838" s="37"/>
      <c r="I1838" s="79"/>
      <c r="J1838" s="70"/>
      <c r="K1838" s="57"/>
      <c r="L1838" s="11"/>
      <c r="M1838" s="41"/>
      <c r="N1838" s="11"/>
    </row>
    <row r="1839" spans="8:14" x14ac:dyDescent="0.25">
      <c r="H1839" s="37"/>
      <c r="I1839" s="79"/>
      <c r="J1839" s="70"/>
      <c r="K1839" s="57"/>
      <c r="L1839" s="11"/>
      <c r="M1839" s="41"/>
      <c r="N1839" s="11"/>
    </row>
    <row r="1840" spans="8:14" x14ac:dyDescent="0.25">
      <c r="H1840" s="37"/>
      <c r="I1840" s="79"/>
      <c r="J1840" s="70"/>
      <c r="K1840" s="57"/>
      <c r="L1840" s="11"/>
      <c r="M1840" s="41"/>
      <c r="N1840" s="11"/>
    </row>
    <row r="1841" spans="8:14" x14ac:dyDescent="0.25">
      <c r="H1841" s="37"/>
      <c r="I1841" s="79"/>
      <c r="J1841" s="70"/>
      <c r="K1841" s="57"/>
      <c r="L1841" s="11"/>
      <c r="M1841" s="41"/>
      <c r="N1841" s="11"/>
    </row>
    <row r="1842" spans="8:14" x14ac:dyDescent="0.25">
      <c r="H1842" s="37"/>
      <c r="I1842" s="79"/>
      <c r="J1842" s="70"/>
      <c r="K1842" s="57"/>
      <c r="L1842" s="11"/>
      <c r="M1842" s="41"/>
      <c r="N1842" s="11"/>
    </row>
    <row r="1843" spans="8:14" x14ac:dyDescent="0.25">
      <c r="H1843" s="37"/>
      <c r="I1843" s="79"/>
      <c r="J1843" s="70"/>
      <c r="K1843" s="57"/>
      <c r="L1843" s="11"/>
      <c r="M1843" s="41"/>
      <c r="N1843" s="11"/>
    </row>
    <row r="1844" spans="8:14" x14ac:dyDescent="0.25">
      <c r="H1844" s="37"/>
      <c r="I1844" s="79"/>
      <c r="J1844" s="70"/>
      <c r="K1844" s="57"/>
      <c r="L1844" s="11"/>
      <c r="M1844" s="41"/>
      <c r="N1844" s="11"/>
    </row>
    <row r="1845" spans="8:14" x14ac:dyDescent="0.25">
      <c r="H1845" s="37"/>
      <c r="I1845" s="79"/>
      <c r="J1845" s="70"/>
      <c r="K1845" s="57"/>
      <c r="L1845" s="11"/>
      <c r="M1845" s="41"/>
      <c r="N1845" s="11"/>
    </row>
    <row r="1846" spans="8:14" x14ac:dyDescent="0.25">
      <c r="H1846" s="37"/>
      <c r="I1846" s="79"/>
      <c r="J1846" s="70"/>
      <c r="K1846" s="57"/>
      <c r="L1846" s="11"/>
      <c r="M1846" s="41"/>
      <c r="N1846" s="11"/>
    </row>
    <row r="1847" spans="8:14" x14ac:dyDescent="0.25">
      <c r="H1847" s="37"/>
      <c r="I1847" s="79"/>
      <c r="J1847" s="70"/>
      <c r="K1847" s="57"/>
      <c r="L1847" s="11"/>
      <c r="M1847" s="41"/>
      <c r="N1847" s="11"/>
    </row>
    <row r="1848" spans="8:14" x14ac:dyDescent="0.25">
      <c r="H1848" s="37"/>
      <c r="I1848" s="79"/>
      <c r="J1848" s="70"/>
      <c r="K1848" s="57"/>
      <c r="L1848" s="11"/>
      <c r="M1848" s="41"/>
      <c r="N1848" s="11"/>
    </row>
    <row r="1849" spans="8:14" x14ac:dyDescent="0.25">
      <c r="H1849" s="37"/>
      <c r="I1849" s="79"/>
      <c r="J1849" s="70"/>
      <c r="K1849" s="57"/>
      <c r="L1849" s="11"/>
      <c r="M1849" s="41"/>
      <c r="N1849" s="11"/>
    </row>
    <row r="1850" spans="8:14" x14ac:dyDescent="0.25">
      <c r="H1850" s="37"/>
      <c r="I1850" s="79"/>
      <c r="J1850" s="70"/>
      <c r="K1850" s="57"/>
      <c r="L1850" s="11"/>
      <c r="M1850" s="41"/>
      <c r="N1850" s="11"/>
    </row>
    <row r="1851" spans="8:14" x14ac:dyDescent="0.25">
      <c r="H1851" s="37"/>
      <c r="I1851" s="79"/>
      <c r="J1851" s="70"/>
      <c r="K1851" s="57"/>
      <c r="L1851" s="11"/>
      <c r="M1851" s="41"/>
      <c r="N1851" s="11"/>
    </row>
    <row r="1852" spans="8:14" x14ac:dyDescent="0.25">
      <c r="H1852" s="37"/>
      <c r="I1852" s="79"/>
      <c r="J1852" s="70"/>
      <c r="K1852" s="57"/>
      <c r="L1852" s="11"/>
      <c r="M1852" s="41"/>
      <c r="N1852" s="11"/>
    </row>
    <row r="1853" spans="8:14" x14ac:dyDescent="0.25">
      <c r="H1853" s="37"/>
      <c r="I1853" s="79"/>
      <c r="J1853" s="70"/>
      <c r="K1853" s="57"/>
      <c r="L1853" s="11"/>
      <c r="M1853" s="41"/>
      <c r="N1853" s="11"/>
    </row>
    <row r="1854" spans="8:14" x14ac:dyDescent="0.25">
      <c r="H1854" s="37"/>
      <c r="I1854" s="79"/>
      <c r="J1854" s="70"/>
      <c r="K1854" s="57"/>
      <c r="L1854" s="11"/>
      <c r="M1854" s="41"/>
      <c r="N1854" s="11"/>
    </row>
    <row r="1855" spans="8:14" x14ac:dyDescent="0.25">
      <c r="H1855" s="37"/>
      <c r="I1855" s="79"/>
      <c r="J1855" s="70"/>
      <c r="K1855" s="57"/>
      <c r="L1855" s="11"/>
      <c r="M1855" s="41"/>
      <c r="N1855" s="11"/>
    </row>
    <row r="1856" spans="8:14" x14ac:dyDescent="0.25">
      <c r="H1856" s="37"/>
      <c r="I1856" s="79"/>
      <c r="J1856" s="70"/>
      <c r="K1856" s="57"/>
      <c r="L1856" s="11"/>
      <c r="M1856" s="41"/>
      <c r="N1856" s="11"/>
    </row>
    <row r="1857" spans="8:14" x14ac:dyDescent="0.25">
      <c r="H1857" s="37"/>
      <c r="I1857" s="79"/>
      <c r="J1857" s="70"/>
      <c r="K1857" s="57"/>
      <c r="L1857" s="11"/>
      <c r="M1857" s="41"/>
      <c r="N1857" s="11"/>
    </row>
    <row r="1858" spans="8:14" x14ac:dyDescent="0.25">
      <c r="H1858" s="37"/>
      <c r="I1858" s="79"/>
      <c r="J1858" s="70"/>
      <c r="K1858" s="57"/>
      <c r="L1858" s="11"/>
      <c r="M1858" s="41"/>
      <c r="N1858" s="11"/>
    </row>
    <row r="1859" spans="8:14" x14ac:dyDescent="0.25">
      <c r="H1859" s="37"/>
      <c r="I1859" s="79"/>
      <c r="J1859" s="70"/>
      <c r="K1859" s="57"/>
      <c r="L1859" s="11"/>
      <c r="M1859" s="41"/>
      <c r="N1859" s="11"/>
    </row>
    <row r="1860" spans="8:14" x14ac:dyDescent="0.25">
      <c r="H1860" s="37"/>
      <c r="I1860" s="79"/>
      <c r="J1860" s="70"/>
      <c r="K1860" s="57"/>
      <c r="L1860" s="11"/>
      <c r="M1860" s="41"/>
      <c r="N1860" s="11"/>
    </row>
    <row r="1861" spans="8:14" x14ac:dyDescent="0.25">
      <c r="H1861" s="37"/>
      <c r="I1861" s="79"/>
      <c r="J1861" s="70"/>
      <c r="K1861" s="57"/>
      <c r="L1861" s="11"/>
      <c r="M1861" s="41"/>
      <c r="N1861" s="11"/>
    </row>
    <row r="1862" spans="8:14" x14ac:dyDescent="0.25">
      <c r="H1862" s="37"/>
      <c r="I1862" s="79"/>
      <c r="J1862" s="70"/>
      <c r="K1862" s="57"/>
      <c r="L1862" s="11"/>
      <c r="M1862" s="41"/>
      <c r="N1862" s="11"/>
    </row>
    <row r="1863" spans="8:14" x14ac:dyDescent="0.25">
      <c r="H1863" s="37"/>
      <c r="I1863" s="79"/>
      <c r="J1863" s="70"/>
      <c r="K1863" s="57"/>
      <c r="L1863" s="11"/>
      <c r="M1863" s="41"/>
      <c r="N1863" s="11"/>
    </row>
    <row r="1864" spans="8:14" x14ac:dyDescent="0.25">
      <c r="H1864" s="37"/>
      <c r="I1864" s="79"/>
      <c r="J1864" s="70"/>
      <c r="K1864" s="57"/>
      <c r="L1864" s="11"/>
      <c r="M1864" s="41"/>
      <c r="N1864" s="11"/>
    </row>
    <row r="1865" spans="8:14" x14ac:dyDescent="0.25">
      <c r="H1865" s="37"/>
      <c r="I1865" s="79"/>
      <c r="J1865" s="70"/>
      <c r="K1865" s="57"/>
      <c r="L1865" s="11"/>
      <c r="M1865" s="41"/>
      <c r="N1865" s="11"/>
    </row>
    <row r="1866" spans="8:14" x14ac:dyDescent="0.25">
      <c r="H1866" s="37"/>
      <c r="I1866" s="79"/>
      <c r="J1866" s="70"/>
      <c r="K1866" s="57"/>
      <c r="L1866" s="11"/>
      <c r="M1866" s="41"/>
      <c r="N1866" s="11"/>
    </row>
    <row r="1867" spans="8:14" x14ac:dyDescent="0.25">
      <c r="H1867" s="37"/>
      <c r="I1867" s="79"/>
      <c r="J1867" s="70"/>
      <c r="K1867" s="57"/>
      <c r="L1867" s="11"/>
      <c r="M1867" s="41"/>
      <c r="N1867" s="11"/>
    </row>
    <row r="1868" spans="8:14" x14ac:dyDescent="0.25">
      <c r="H1868" s="37"/>
      <c r="I1868" s="79"/>
      <c r="J1868" s="70"/>
      <c r="K1868" s="57"/>
      <c r="L1868" s="11"/>
      <c r="M1868" s="41"/>
      <c r="N1868" s="11"/>
    </row>
    <row r="1869" spans="8:14" x14ac:dyDescent="0.25">
      <c r="H1869" s="37"/>
      <c r="I1869" s="79"/>
      <c r="J1869" s="70"/>
      <c r="K1869" s="57"/>
      <c r="L1869" s="11"/>
      <c r="M1869" s="41"/>
      <c r="N1869" s="11"/>
    </row>
    <row r="1870" spans="8:14" x14ac:dyDescent="0.25">
      <c r="H1870" s="37"/>
      <c r="I1870" s="79"/>
      <c r="J1870" s="70"/>
      <c r="K1870" s="57"/>
      <c r="L1870" s="11"/>
      <c r="M1870" s="41"/>
      <c r="N1870" s="11"/>
    </row>
    <row r="1871" spans="8:14" x14ac:dyDescent="0.25">
      <c r="H1871" s="37"/>
      <c r="I1871" s="79"/>
      <c r="J1871" s="70"/>
      <c r="K1871" s="57"/>
      <c r="L1871" s="11"/>
      <c r="M1871" s="41"/>
      <c r="N1871" s="11"/>
    </row>
    <row r="1872" spans="8:14" x14ac:dyDescent="0.25">
      <c r="H1872" s="37"/>
      <c r="I1872" s="79"/>
      <c r="J1872" s="70"/>
      <c r="K1872" s="57"/>
      <c r="L1872" s="11"/>
      <c r="M1872" s="41"/>
      <c r="N1872" s="11"/>
    </row>
    <row r="1873" spans="8:14" x14ac:dyDescent="0.25">
      <c r="H1873" s="37"/>
      <c r="I1873" s="79"/>
      <c r="J1873" s="70"/>
      <c r="K1873" s="57"/>
      <c r="L1873" s="11"/>
      <c r="M1873" s="41"/>
      <c r="N1873" s="11"/>
    </row>
    <row r="1874" spans="8:14" x14ac:dyDescent="0.25">
      <c r="H1874" s="37"/>
      <c r="I1874" s="79"/>
      <c r="J1874" s="70"/>
      <c r="K1874" s="57"/>
      <c r="L1874" s="11"/>
      <c r="M1874" s="41"/>
      <c r="N1874" s="11"/>
    </row>
    <row r="1875" spans="8:14" x14ac:dyDescent="0.25">
      <c r="H1875" s="37"/>
      <c r="I1875" s="79"/>
      <c r="J1875" s="70"/>
      <c r="K1875" s="57"/>
      <c r="L1875" s="11"/>
      <c r="M1875" s="41"/>
      <c r="N1875" s="11"/>
    </row>
    <row r="1876" spans="8:14" x14ac:dyDescent="0.25">
      <c r="H1876" s="37"/>
      <c r="I1876" s="79"/>
      <c r="J1876" s="70"/>
      <c r="K1876" s="57"/>
      <c r="L1876" s="11"/>
      <c r="M1876" s="41"/>
      <c r="N1876" s="11"/>
    </row>
    <row r="1877" spans="8:14" x14ac:dyDescent="0.25">
      <c r="H1877" s="37"/>
      <c r="I1877" s="79"/>
      <c r="J1877" s="70"/>
      <c r="K1877" s="57"/>
      <c r="L1877" s="11"/>
      <c r="M1877" s="41"/>
      <c r="N1877" s="11"/>
    </row>
    <row r="1878" spans="8:14" x14ac:dyDescent="0.25">
      <c r="H1878" s="37"/>
      <c r="I1878" s="79"/>
      <c r="J1878" s="70"/>
      <c r="K1878" s="57"/>
      <c r="L1878" s="11"/>
      <c r="M1878" s="41"/>
      <c r="N1878" s="11"/>
    </row>
    <row r="1879" spans="8:14" x14ac:dyDescent="0.25">
      <c r="H1879" s="37"/>
      <c r="I1879" s="79"/>
      <c r="J1879" s="70"/>
      <c r="K1879" s="57"/>
      <c r="L1879" s="11"/>
      <c r="M1879" s="41"/>
      <c r="N1879" s="11"/>
    </row>
    <row r="1880" spans="8:14" x14ac:dyDescent="0.25">
      <c r="H1880" s="37"/>
      <c r="I1880" s="79"/>
      <c r="J1880" s="70"/>
      <c r="K1880" s="57"/>
      <c r="L1880" s="11"/>
      <c r="M1880" s="41"/>
      <c r="N1880" s="11"/>
    </row>
    <row r="1881" spans="8:14" x14ac:dyDescent="0.25">
      <c r="H1881" s="37"/>
      <c r="I1881" s="79"/>
      <c r="J1881" s="70"/>
      <c r="K1881" s="57"/>
      <c r="L1881" s="11"/>
      <c r="M1881" s="41"/>
      <c r="N1881" s="11"/>
    </row>
    <row r="1882" spans="8:14" x14ac:dyDescent="0.25">
      <c r="H1882" s="37"/>
      <c r="I1882" s="79"/>
      <c r="J1882" s="70"/>
      <c r="K1882" s="57"/>
      <c r="L1882" s="11"/>
      <c r="M1882" s="41"/>
      <c r="N1882" s="11"/>
    </row>
    <row r="1883" spans="8:14" x14ac:dyDescent="0.25">
      <c r="H1883" s="37"/>
      <c r="I1883" s="79"/>
      <c r="J1883" s="70"/>
      <c r="K1883" s="57"/>
      <c r="L1883" s="11"/>
      <c r="M1883" s="41"/>
      <c r="N1883" s="11"/>
    </row>
    <row r="1884" spans="8:14" x14ac:dyDescent="0.25">
      <c r="H1884" s="37"/>
      <c r="I1884" s="79"/>
      <c r="J1884" s="70"/>
      <c r="K1884" s="57"/>
      <c r="L1884" s="11"/>
      <c r="M1884" s="41"/>
      <c r="N1884" s="11"/>
    </row>
    <row r="1885" spans="8:14" x14ac:dyDescent="0.25">
      <c r="H1885" s="37"/>
      <c r="I1885" s="79"/>
      <c r="J1885" s="70"/>
      <c r="K1885" s="57"/>
      <c r="L1885" s="11"/>
      <c r="M1885" s="41"/>
      <c r="N1885" s="11"/>
    </row>
    <row r="1886" spans="8:14" x14ac:dyDescent="0.25">
      <c r="H1886" s="37"/>
      <c r="I1886" s="79"/>
      <c r="J1886" s="70"/>
      <c r="K1886" s="57"/>
      <c r="L1886" s="11"/>
      <c r="M1886" s="41"/>
      <c r="N1886" s="11"/>
    </row>
    <row r="1887" spans="8:14" x14ac:dyDescent="0.25">
      <c r="H1887" s="37"/>
      <c r="I1887" s="79"/>
      <c r="J1887" s="70"/>
      <c r="K1887" s="57"/>
      <c r="L1887" s="11"/>
      <c r="M1887" s="41"/>
      <c r="N1887" s="11"/>
    </row>
    <row r="1888" spans="8:14" x14ac:dyDescent="0.25">
      <c r="H1888" s="37"/>
      <c r="I1888" s="79"/>
      <c r="J1888" s="70"/>
      <c r="K1888" s="57"/>
      <c r="L1888" s="11"/>
      <c r="M1888" s="41"/>
      <c r="N1888" s="11"/>
    </row>
    <row r="1889" spans="8:14" x14ac:dyDescent="0.25">
      <c r="H1889" s="37"/>
      <c r="I1889" s="79"/>
      <c r="J1889" s="70"/>
      <c r="K1889" s="57"/>
      <c r="L1889" s="11"/>
      <c r="M1889" s="41"/>
      <c r="N1889" s="11"/>
    </row>
    <row r="1890" spans="8:14" x14ac:dyDescent="0.25">
      <c r="H1890" s="37"/>
      <c r="I1890" s="79"/>
      <c r="J1890" s="70"/>
      <c r="K1890" s="57"/>
      <c r="L1890" s="11"/>
      <c r="M1890" s="41"/>
      <c r="N1890" s="11"/>
    </row>
    <row r="1891" spans="8:14" x14ac:dyDescent="0.25">
      <c r="H1891" s="37"/>
      <c r="I1891" s="79"/>
      <c r="J1891" s="70"/>
      <c r="K1891" s="57"/>
      <c r="L1891" s="11"/>
      <c r="M1891" s="41"/>
      <c r="N1891" s="11"/>
    </row>
    <row r="1892" spans="8:14" x14ac:dyDescent="0.25">
      <c r="H1892" s="37"/>
      <c r="I1892" s="79"/>
      <c r="J1892" s="70"/>
      <c r="K1892" s="57"/>
      <c r="L1892" s="11"/>
      <c r="M1892" s="41"/>
      <c r="N1892" s="11"/>
    </row>
    <row r="1893" spans="8:14" x14ac:dyDescent="0.25">
      <c r="H1893" s="37"/>
      <c r="I1893" s="79"/>
      <c r="J1893" s="70"/>
      <c r="K1893" s="57"/>
      <c r="L1893" s="11"/>
      <c r="M1893" s="41"/>
      <c r="N1893" s="11"/>
    </row>
    <row r="1894" spans="8:14" x14ac:dyDescent="0.25">
      <c r="H1894" s="37"/>
      <c r="I1894" s="79"/>
      <c r="J1894" s="70"/>
      <c r="K1894" s="57"/>
      <c r="L1894" s="11"/>
      <c r="M1894" s="41"/>
      <c r="N1894" s="11"/>
    </row>
    <row r="1895" spans="8:14" x14ac:dyDescent="0.25">
      <c r="H1895" s="37"/>
      <c r="I1895" s="79"/>
      <c r="J1895" s="70"/>
      <c r="K1895" s="57"/>
      <c r="L1895" s="11"/>
      <c r="M1895" s="41"/>
      <c r="N1895" s="11"/>
    </row>
    <row r="1896" spans="8:14" x14ac:dyDescent="0.25">
      <c r="H1896" s="37"/>
      <c r="I1896" s="79"/>
      <c r="J1896" s="70"/>
      <c r="K1896" s="57"/>
      <c r="L1896" s="11"/>
      <c r="M1896" s="41"/>
      <c r="N1896" s="11"/>
    </row>
    <row r="1897" spans="8:14" x14ac:dyDescent="0.25">
      <c r="H1897" s="37"/>
      <c r="I1897" s="79"/>
      <c r="J1897" s="70"/>
      <c r="K1897" s="57"/>
      <c r="L1897" s="11"/>
      <c r="M1897" s="41"/>
      <c r="N1897" s="11"/>
    </row>
    <row r="1898" spans="8:14" x14ac:dyDescent="0.25">
      <c r="H1898" s="37"/>
      <c r="I1898" s="79"/>
      <c r="J1898" s="70"/>
      <c r="K1898" s="57"/>
      <c r="L1898" s="11"/>
      <c r="M1898" s="41"/>
      <c r="N1898" s="11"/>
    </row>
    <row r="1899" spans="8:14" x14ac:dyDescent="0.25">
      <c r="H1899" s="37"/>
      <c r="I1899" s="79"/>
      <c r="J1899" s="70"/>
      <c r="K1899" s="57"/>
      <c r="L1899" s="11"/>
      <c r="M1899" s="41"/>
      <c r="N1899" s="11"/>
    </row>
    <row r="1900" spans="8:14" x14ac:dyDescent="0.25">
      <c r="H1900" s="37"/>
      <c r="I1900" s="79"/>
      <c r="J1900" s="70"/>
      <c r="K1900" s="57"/>
      <c r="L1900" s="11"/>
      <c r="M1900" s="41"/>
      <c r="N1900" s="11"/>
    </row>
    <row r="1901" spans="8:14" x14ac:dyDescent="0.25">
      <c r="H1901" s="37"/>
      <c r="I1901" s="79"/>
      <c r="J1901" s="70"/>
      <c r="K1901" s="57"/>
      <c r="L1901" s="11"/>
      <c r="M1901" s="41"/>
      <c r="N1901" s="11"/>
    </row>
    <row r="1902" spans="8:14" x14ac:dyDescent="0.25">
      <c r="H1902" s="37"/>
      <c r="I1902" s="79"/>
      <c r="J1902" s="70"/>
      <c r="K1902" s="57"/>
      <c r="L1902" s="11"/>
      <c r="M1902" s="41"/>
      <c r="N1902" s="11"/>
    </row>
    <row r="1903" spans="8:14" x14ac:dyDescent="0.25">
      <c r="H1903" s="37"/>
      <c r="I1903" s="79"/>
      <c r="J1903" s="70"/>
      <c r="K1903" s="57"/>
      <c r="L1903" s="11"/>
      <c r="M1903" s="41"/>
      <c r="N1903" s="11"/>
    </row>
    <row r="1904" spans="8:14" x14ac:dyDescent="0.25">
      <c r="H1904" s="37"/>
      <c r="I1904" s="79"/>
      <c r="J1904" s="70"/>
      <c r="K1904" s="57"/>
      <c r="L1904" s="11"/>
      <c r="M1904" s="41"/>
      <c r="N1904" s="11"/>
    </row>
    <row r="1905" spans="8:14" x14ac:dyDescent="0.25">
      <c r="H1905" s="37"/>
      <c r="I1905" s="79"/>
      <c r="J1905" s="70"/>
      <c r="K1905" s="57"/>
      <c r="L1905" s="11"/>
      <c r="M1905" s="41"/>
      <c r="N1905" s="11"/>
    </row>
    <row r="1906" spans="8:14" x14ac:dyDescent="0.25">
      <c r="H1906" s="37"/>
      <c r="I1906" s="79"/>
      <c r="J1906" s="70"/>
      <c r="K1906" s="57"/>
      <c r="L1906" s="11"/>
      <c r="M1906" s="41"/>
      <c r="N1906" s="11"/>
    </row>
    <row r="1907" spans="8:14" x14ac:dyDescent="0.25">
      <c r="H1907" s="37"/>
      <c r="I1907" s="79"/>
      <c r="J1907" s="70"/>
      <c r="K1907" s="57"/>
      <c r="L1907" s="11"/>
      <c r="M1907" s="41"/>
      <c r="N1907" s="11"/>
    </row>
    <row r="1908" spans="8:14" x14ac:dyDescent="0.25">
      <c r="H1908" s="37"/>
      <c r="I1908" s="79"/>
      <c r="J1908" s="70"/>
      <c r="K1908" s="57"/>
      <c r="L1908" s="11"/>
      <c r="M1908" s="41"/>
      <c r="N1908" s="11"/>
    </row>
    <row r="1909" spans="8:14" x14ac:dyDescent="0.25">
      <c r="H1909" s="37"/>
      <c r="I1909" s="79"/>
      <c r="J1909" s="70"/>
      <c r="K1909" s="57"/>
      <c r="L1909" s="11"/>
      <c r="M1909" s="41"/>
      <c r="N1909" s="11"/>
    </row>
    <row r="1910" spans="8:14" x14ac:dyDescent="0.25">
      <c r="H1910" s="37"/>
      <c r="I1910" s="79"/>
      <c r="J1910" s="70"/>
      <c r="K1910" s="57"/>
      <c r="L1910" s="11"/>
      <c r="M1910" s="41"/>
      <c r="N1910" s="11"/>
    </row>
    <row r="1911" spans="8:14" x14ac:dyDescent="0.25">
      <c r="H1911" s="37"/>
      <c r="I1911" s="79"/>
      <c r="J1911" s="70"/>
      <c r="K1911" s="57"/>
      <c r="L1911" s="11"/>
      <c r="M1911" s="41"/>
      <c r="N1911" s="11"/>
    </row>
    <row r="1912" spans="8:14" x14ac:dyDescent="0.25">
      <c r="H1912" s="37"/>
      <c r="I1912" s="79"/>
      <c r="J1912" s="70"/>
      <c r="K1912" s="57"/>
      <c r="L1912" s="11"/>
      <c r="M1912" s="41"/>
      <c r="N1912" s="11"/>
    </row>
    <row r="1913" spans="8:14" x14ac:dyDescent="0.25">
      <c r="H1913" s="37"/>
      <c r="I1913" s="79"/>
      <c r="J1913" s="70"/>
      <c r="K1913" s="57"/>
      <c r="L1913" s="11"/>
      <c r="M1913" s="41"/>
      <c r="N1913" s="11"/>
    </row>
    <row r="1914" spans="8:14" x14ac:dyDescent="0.25">
      <c r="H1914" s="37"/>
      <c r="I1914" s="79"/>
      <c r="J1914" s="70"/>
      <c r="K1914" s="57"/>
      <c r="L1914" s="11"/>
      <c r="M1914" s="41"/>
      <c r="N1914" s="11"/>
    </row>
    <row r="1915" spans="8:14" x14ac:dyDescent="0.25">
      <c r="H1915" s="37"/>
      <c r="I1915" s="79"/>
      <c r="J1915" s="70"/>
      <c r="K1915" s="57"/>
      <c r="L1915" s="11"/>
      <c r="M1915" s="41"/>
      <c r="N1915" s="11"/>
    </row>
    <row r="1916" spans="8:14" x14ac:dyDescent="0.25">
      <c r="H1916" s="37"/>
      <c r="I1916" s="79"/>
      <c r="J1916" s="70"/>
      <c r="K1916" s="57"/>
      <c r="L1916" s="11"/>
      <c r="M1916" s="41"/>
      <c r="N1916" s="11"/>
    </row>
    <row r="1917" spans="8:14" x14ac:dyDescent="0.25">
      <c r="H1917" s="37"/>
      <c r="I1917" s="79"/>
      <c r="J1917" s="70"/>
      <c r="K1917" s="57"/>
      <c r="L1917" s="11"/>
      <c r="M1917" s="41"/>
      <c r="N1917" s="11"/>
    </row>
    <row r="1918" spans="8:14" x14ac:dyDescent="0.25">
      <c r="H1918" s="37"/>
      <c r="I1918" s="79"/>
      <c r="J1918" s="70"/>
      <c r="K1918" s="57"/>
      <c r="L1918" s="11"/>
      <c r="M1918" s="41"/>
      <c r="N1918" s="11"/>
    </row>
    <row r="1919" spans="8:14" x14ac:dyDescent="0.25">
      <c r="H1919" s="37"/>
      <c r="I1919" s="79"/>
      <c r="J1919" s="70"/>
      <c r="K1919" s="57"/>
      <c r="L1919" s="11"/>
      <c r="M1919" s="41"/>
      <c r="N1919" s="11"/>
    </row>
    <row r="1920" spans="8:14" x14ac:dyDescent="0.25">
      <c r="H1920" s="37"/>
      <c r="I1920" s="79"/>
      <c r="J1920" s="70"/>
      <c r="K1920" s="57"/>
      <c r="L1920" s="11"/>
      <c r="M1920" s="41"/>
      <c r="N1920" s="11"/>
    </row>
    <row r="1921" spans="8:14" x14ac:dyDescent="0.25">
      <c r="H1921" s="37"/>
      <c r="I1921" s="79"/>
      <c r="J1921" s="70"/>
      <c r="K1921" s="57"/>
      <c r="L1921" s="11"/>
      <c r="M1921" s="41"/>
      <c r="N1921" s="11"/>
    </row>
    <row r="1922" spans="8:14" x14ac:dyDescent="0.25">
      <c r="H1922" s="37"/>
      <c r="I1922" s="79"/>
      <c r="J1922" s="70"/>
      <c r="K1922" s="57"/>
      <c r="L1922" s="11"/>
      <c r="M1922" s="41"/>
      <c r="N1922" s="11"/>
    </row>
    <row r="1923" spans="8:14" x14ac:dyDescent="0.25">
      <c r="H1923" s="37"/>
      <c r="I1923" s="79"/>
      <c r="J1923" s="70"/>
      <c r="K1923" s="57"/>
      <c r="L1923" s="11"/>
      <c r="M1923" s="41"/>
      <c r="N1923" s="11"/>
    </row>
    <row r="1924" spans="8:14" x14ac:dyDescent="0.25">
      <c r="H1924" s="37"/>
      <c r="I1924" s="79"/>
      <c r="J1924" s="70"/>
      <c r="K1924" s="57"/>
      <c r="L1924" s="11"/>
      <c r="M1924" s="41"/>
      <c r="N1924" s="11"/>
    </row>
    <row r="1925" spans="8:14" x14ac:dyDescent="0.25">
      <c r="H1925" s="37"/>
      <c r="I1925" s="79"/>
      <c r="J1925" s="70"/>
      <c r="K1925" s="57"/>
      <c r="L1925" s="11"/>
      <c r="M1925" s="41"/>
      <c r="N1925" s="11"/>
    </row>
    <row r="1926" spans="8:14" x14ac:dyDescent="0.25">
      <c r="H1926" s="37"/>
      <c r="I1926" s="79"/>
      <c r="J1926" s="70"/>
      <c r="K1926" s="57"/>
      <c r="L1926" s="11"/>
      <c r="M1926" s="41"/>
      <c r="N1926" s="11"/>
    </row>
    <row r="1927" spans="8:14" x14ac:dyDescent="0.25">
      <c r="H1927" s="37"/>
      <c r="I1927" s="79"/>
      <c r="J1927" s="70"/>
      <c r="K1927" s="57"/>
      <c r="L1927" s="11"/>
      <c r="M1927" s="41"/>
      <c r="N1927" s="11"/>
    </row>
    <row r="1928" spans="8:14" x14ac:dyDescent="0.25">
      <c r="H1928" s="37"/>
      <c r="I1928" s="79"/>
      <c r="J1928" s="70"/>
      <c r="K1928" s="57"/>
      <c r="L1928" s="11"/>
      <c r="M1928" s="41"/>
      <c r="N1928" s="11"/>
    </row>
    <row r="1929" spans="8:14" x14ac:dyDescent="0.25">
      <c r="H1929" s="37"/>
      <c r="I1929" s="79"/>
      <c r="J1929" s="70"/>
      <c r="K1929" s="57"/>
      <c r="L1929" s="11"/>
      <c r="M1929" s="41"/>
      <c r="N1929" s="11"/>
    </row>
    <row r="1930" spans="8:14" x14ac:dyDescent="0.25">
      <c r="H1930" s="37"/>
      <c r="I1930" s="79"/>
      <c r="J1930" s="70"/>
      <c r="K1930" s="57"/>
      <c r="L1930" s="11"/>
      <c r="M1930" s="41"/>
      <c r="N1930" s="11"/>
    </row>
    <row r="1931" spans="8:14" x14ac:dyDescent="0.25">
      <c r="H1931" s="37"/>
      <c r="I1931" s="79"/>
      <c r="J1931" s="70"/>
      <c r="K1931" s="57"/>
      <c r="L1931" s="11"/>
      <c r="M1931" s="41"/>
      <c r="N1931" s="11"/>
    </row>
    <row r="1932" spans="8:14" x14ac:dyDescent="0.25">
      <c r="H1932" s="37"/>
      <c r="I1932" s="79"/>
      <c r="J1932" s="70"/>
      <c r="K1932" s="57"/>
      <c r="L1932" s="11"/>
      <c r="M1932" s="41"/>
      <c r="N1932" s="11"/>
    </row>
    <row r="1933" spans="8:14" x14ac:dyDescent="0.25">
      <c r="H1933" s="37"/>
      <c r="I1933" s="79"/>
      <c r="J1933" s="70"/>
      <c r="K1933" s="57"/>
      <c r="L1933" s="11"/>
      <c r="M1933" s="41"/>
      <c r="N1933" s="11"/>
    </row>
    <row r="1934" spans="8:14" x14ac:dyDescent="0.25">
      <c r="H1934" s="37"/>
      <c r="I1934" s="79"/>
      <c r="J1934" s="70"/>
      <c r="K1934" s="57"/>
      <c r="L1934" s="11"/>
      <c r="M1934" s="41"/>
      <c r="N1934" s="11"/>
    </row>
    <row r="1935" spans="8:14" x14ac:dyDescent="0.25">
      <c r="H1935" s="37"/>
      <c r="I1935" s="79"/>
      <c r="J1935" s="70"/>
      <c r="K1935" s="57"/>
      <c r="L1935" s="11"/>
      <c r="M1935" s="41"/>
      <c r="N1935" s="11"/>
    </row>
    <row r="1936" spans="8:14" x14ac:dyDescent="0.25">
      <c r="H1936" s="37"/>
      <c r="I1936" s="79"/>
      <c r="J1936" s="70"/>
      <c r="K1936" s="57"/>
      <c r="L1936" s="11"/>
      <c r="M1936" s="41"/>
      <c r="N1936" s="11"/>
    </row>
    <row r="1937" spans="8:14" x14ac:dyDescent="0.25">
      <c r="H1937" s="37"/>
      <c r="I1937" s="79"/>
      <c r="J1937" s="70"/>
      <c r="K1937" s="57"/>
      <c r="L1937" s="11"/>
      <c r="M1937" s="41"/>
      <c r="N1937" s="11"/>
    </row>
    <row r="1938" spans="8:14" x14ac:dyDescent="0.25">
      <c r="H1938" s="37"/>
      <c r="I1938" s="79"/>
      <c r="J1938" s="70"/>
      <c r="K1938" s="57"/>
      <c r="L1938" s="11"/>
      <c r="M1938" s="41"/>
      <c r="N1938" s="11"/>
    </row>
    <row r="1939" spans="8:14" x14ac:dyDescent="0.25">
      <c r="H1939" s="37"/>
      <c r="I1939" s="79"/>
      <c r="J1939" s="70"/>
      <c r="K1939" s="57"/>
      <c r="L1939" s="11"/>
      <c r="M1939" s="41"/>
      <c r="N1939" s="11"/>
    </row>
    <row r="1940" spans="8:14" x14ac:dyDescent="0.25">
      <c r="H1940" s="37"/>
      <c r="I1940" s="79"/>
      <c r="J1940" s="70"/>
      <c r="K1940" s="57"/>
      <c r="L1940" s="11"/>
      <c r="M1940" s="41"/>
      <c r="N1940" s="11"/>
    </row>
    <row r="1941" spans="8:14" x14ac:dyDescent="0.25">
      <c r="H1941" s="37"/>
      <c r="I1941" s="79"/>
      <c r="J1941" s="70"/>
      <c r="K1941" s="57"/>
      <c r="L1941" s="11"/>
      <c r="M1941" s="41"/>
      <c r="N1941" s="11"/>
    </row>
    <row r="1942" spans="8:14" x14ac:dyDescent="0.25">
      <c r="H1942" s="37"/>
      <c r="I1942" s="79"/>
      <c r="J1942" s="70"/>
      <c r="K1942" s="57"/>
      <c r="L1942" s="11"/>
      <c r="M1942" s="41"/>
      <c r="N1942" s="11"/>
    </row>
    <row r="1943" spans="8:14" x14ac:dyDescent="0.25">
      <c r="H1943" s="37"/>
      <c r="I1943" s="79"/>
      <c r="J1943" s="70"/>
      <c r="K1943" s="57"/>
      <c r="L1943" s="11"/>
      <c r="M1943" s="41"/>
      <c r="N1943" s="11"/>
    </row>
    <row r="1944" spans="8:14" x14ac:dyDescent="0.25">
      <c r="H1944" s="37"/>
      <c r="I1944" s="79"/>
      <c r="J1944" s="70"/>
      <c r="K1944" s="57"/>
      <c r="L1944" s="11"/>
      <c r="M1944" s="41"/>
      <c r="N1944" s="11"/>
    </row>
    <row r="1945" spans="8:14" x14ac:dyDescent="0.25">
      <c r="H1945" s="37"/>
      <c r="I1945" s="79"/>
      <c r="J1945" s="70"/>
      <c r="K1945" s="57"/>
      <c r="L1945" s="11"/>
      <c r="M1945" s="41"/>
      <c r="N1945" s="11"/>
    </row>
    <row r="1946" spans="8:14" x14ac:dyDescent="0.25">
      <c r="H1946" s="37"/>
      <c r="I1946" s="79"/>
      <c r="J1946" s="70"/>
      <c r="K1946" s="57"/>
      <c r="L1946" s="11"/>
      <c r="M1946" s="41"/>
      <c r="N1946" s="11"/>
    </row>
    <row r="1947" spans="8:14" x14ac:dyDescent="0.25">
      <c r="H1947" s="37"/>
      <c r="I1947" s="79"/>
      <c r="J1947" s="70"/>
      <c r="K1947" s="57"/>
      <c r="L1947" s="11"/>
      <c r="M1947" s="41"/>
      <c r="N1947" s="11"/>
    </row>
    <row r="1948" spans="8:14" x14ac:dyDescent="0.25">
      <c r="H1948" s="37"/>
      <c r="I1948" s="79"/>
      <c r="J1948" s="70"/>
      <c r="K1948" s="57"/>
      <c r="L1948" s="11"/>
      <c r="M1948" s="41"/>
      <c r="N1948" s="11"/>
    </row>
    <row r="1949" spans="8:14" x14ac:dyDescent="0.25">
      <c r="H1949" s="37"/>
      <c r="I1949" s="79"/>
      <c r="J1949" s="70"/>
      <c r="K1949" s="57"/>
      <c r="L1949" s="11"/>
      <c r="M1949" s="41"/>
      <c r="N1949" s="11"/>
    </row>
    <row r="1950" spans="8:14" x14ac:dyDescent="0.25">
      <c r="H1950" s="37"/>
      <c r="I1950" s="79"/>
      <c r="J1950" s="70"/>
      <c r="K1950" s="57"/>
      <c r="L1950" s="11"/>
      <c r="M1950" s="41"/>
      <c r="N1950" s="11"/>
    </row>
    <row r="1951" spans="8:14" x14ac:dyDescent="0.25">
      <c r="H1951" s="37"/>
      <c r="I1951" s="79"/>
      <c r="J1951" s="70"/>
      <c r="K1951" s="57"/>
      <c r="L1951" s="11"/>
      <c r="M1951" s="41"/>
      <c r="N1951" s="11"/>
    </row>
    <row r="1952" spans="8:14" x14ac:dyDescent="0.25">
      <c r="H1952" s="37"/>
      <c r="I1952" s="79"/>
      <c r="J1952" s="70"/>
      <c r="K1952" s="57"/>
      <c r="L1952" s="11"/>
      <c r="M1952" s="41"/>
      <c r="N1952" s="11"/>
    </row>
    <row r="1953" spans="8:14" x14ac:dyDescent="0.25">
      <c r="H1953" s="37"/>
      <c r="I1953" s="79"/>
      <c r="J1953" s="70"/>
      <c r="K1953" s="57"/>
      <c r="L1953" s="11"/>
      <c r="M1953" s="41"/>
      <c r="N1953" s="11"/>
    </row>
    <row r="1954" spans="8:14" x14ac:dyDescent="0.25">
      <c r="H1954" s="37"/>
      <c r="I1954" s="79"/>
      <c r="J1954" s="70"/>
      <c r="K1954" s="57"/>
      <c r="L1954" s="11"/>
      <c r="M1954" s="41"/>
      <c r="N1954" s="11"/>
    </row>
    <row r="1955" spans="8:14" x14ac:dyDescent="0.25">
      <c r="H1955" s="37"/>
      <c r="I1955" s="79"/>
      <c r="J1955" s="70"/>
      <c r="K1955" s="57"/>
      <c r="L1955" s="11"/>
      <c r="M1955" s="41"/>
      <c r="N1955" s="11"/>
    </row>
    <row r="1956" spans="8:14" x14ac:dyDescent="0.25">
      <c r="H1956" s="37"/>
      <c r="I1956" s="79"/>
      <c r="J1956" s="70"/>
      <c r="K1956" s="57"/>
      <c r="L1956" s="11"/>
      <c r="M1956" s="41"/>
      <c r="N1956" s="11"/>
    </row>
    <row r="1957" spans="8:14" x14ac:dyDescent="0.25">
      <c r="H1957" s="37"/>
      <c r="I1957" s="79"/>
      <c r="J1957" s="70"/>
      <c r="K1957" s="57"/>
      <c r="L1957" s="11"/>
      <c r="M1957" s="41"/>
      <c r="N1957" s="11"/>
    </row>
    <row r="1958" spans="8:14" x14ac:dyDescent="0.25">
      <c r="H1958" s="37"/>
      <c r="I1958" s="79"/>
      <c r="J1958" s="70"/>
      <c r="K1958" s="57"/>
      <c r="L1958" s="11"/>
      <c r="M1958" s="41"/>
      <c r="N1958" s="11"/>
    </row>
    <row r="1959" spans="8:14" x14ac:dyDescent="0.25">
      <c r="H1959" s="37"/>
      <c r="I1959" s="79"/>
      <c r="J1959" s="70"/>
      <c r="K1959" s="57"/>
      <c r="L1959" s="11"/>
      <c r="M1959" s="41"/>
      <c r="N1959" s="11"/>
    </row>
    <row r="1960" spans="8:14" x14ac:dyDescent="0.25">
      <c r="H1960" s="37"/>
      <c r="I1960" s="79"/>
      <c r="J1960" s="70"/>
      <c r="K1960" s="57"/>
      <c r="L1960" s="11"/>
      <c r="M1960" s="41"/>
      <c r="N1960" s="11"/>
    </row>
    <row r="1961" spans="8:14" x14ac:dyDescent="0.25">
      <c r="H1961" s="37"/>
      <c r="I1961" s="79"/>
      <c r="J1961" s="70"/>
      <c r="K1961" s="57"/>
      <c r="L1961" s="11"/>
      <c r="M1961" s="41"/>
      <c r="N1961" s="11"/>
    </row>
    <row r="1962" spans="8:14" x14ac:dyDescent="0.25">
      <c r="H1962" s="37"/>
      <c r="I1962" s="79"/>
      <c r="J1962" s="70"/>
      <c r="K1962" s="57"/>
      <c r="L1962" s="11"/>
      <c r="M1962" s="41"/>
      <c r="N1962" s="11"/>
    </row>
    <row r="1963" spans="8:14" x14ac:dyDescent="0.25">
      <c r="H1963" s="37"/>
      <c r="I1963" s="79"/>
      <c r="J1963" s="70"/>
      <c r="K1963" s="57"/>
      <c r="L1963" s="11"/>
      <c r="M1963" s="41"/>
      <c r="N1963" s="11"/>
    </row>
    <row r="1964" spans="8:14" x14ac:dyDescent="0.25">
      <c r="H1964" s="37"/>
      <c r="I1964" s="79"/>
      <c r="J1964" s="70"/>
      <c r="K1964" s="57"/>
      <c r="L1964" s="11"/>
      <c r="M1964" s="41"/>
      <c r="N1964" s="11"/>
    </row>
    <row r="1965" spans="8:14" x14ac:dyDescent="0.25">
      <c r="H1965" s="37"/>
      <c r="I1965" s="79"/>
      <c r="J1965" s="70"/>
      <c r="K1965" s="57"/>
      <c r="L1965" s="11"/>
      <c r="M1965" s="41"/>
      <c r="N1965" s="11"/>
    </row>
    <row r="1966" spans="8:14" x14ac:dyDescent="0.25">
      <c r="H1966" s="37"/>
      <c r="I1966" s="79"/>
      <c r="J1966" s="70"/>
      <c r="K1966" s="57"/>
      <c r="L1966" s="11"/>
      <c r="M1966" s="41"/>
      <c r="N1966" s="11"/>
    </row>
    <row r="1967" spans="8:14" x14ac:dyDescent="0.25">
      <c r="H1967" s="37"/>
      <c r="I1967" s="79"/>
      <c r="J1967" s="70"/>
      <c r="K1967" s="57"/>
      <c r="L1967" s="11"/>
      <c r="M1967" s="41"/>
      <c r="N1967" s="11"/>
    </row>
    <row r="1968" spans="8:14" x14ac:dyDescent="0.25">
      <c r="H1968" s="37"/>
      <c r="I1968" s="79"/>
      <c r="J1968" s="70"/>
      <c r="K1968" s="57"/>
      <c r="L1968" s="11"/>
      <c r="M1968" s="41"/>
      <c r="N1968" s="11"/>
    </row>
    <row r="1969" spans="8:14" x14ac:dyDescent="0.25">
      <c r="H1969" s="37"/>
      <c r="I1969" s="79"/>
      <c r="J1969" s="70"/>
      <c r="K1969" s="57"/>
      <c r="L1969" s="11"/>
      <c r="M1969" s="41"/>
      <c r="N1969" s="11"/>
    </row>
    <row r="1970" spans="8:14" x14ac:dyDescent="0.25">
      <c r="H1970" s="37"/>
      <c r="I1970" s="79"/>
      <c r="J1970" s="70"/>
      <c r="K1970" s="57"/>
      <c r="L1970" s="11"/>
      <c r="M1970" s="41"/>
      <c r="N1970" s="11"/>
    </row>
    <row r="1971" spans="8:14" x14ac:dyDescent="0.25">
      <c r="H1971" s="37"/>
      <c r="I1971" s="79"/>
      <c r="J1971" s="70"/>
      <c r="K1971" s="57"/>
      <c r="L1971" s="11"/>
      <c r="M1971" s="41"/>
      <c r="N1971" s="11"/>
    </row>
    <row r="1972" spans="8:14" x14ac:dyDescent="0.25">
      <c r="H1972" s="37"/>
      <c r="I1972" s="79"/>
      <c r="J1972" s="70"/>
      <c r="K1972" s="57"/>
      <c r="L1972" s="11"/>
      <c r="M1972" s="41"/>
      <c r="N1972" s="11"/>
    </row>
    <row r="1973" spans="8:14" x14ac:dyDescent="0.25">
      <c r="H1973" s="37"/>
      <c r="I1973" s="79"/>
      <c r="J1973" s="70"/>
      <c r="K1973" s="57"/>
      <c r="L1973" s="11"/>
      <c r="M1973" s="41"/>
      <c r="N1973" s="11"/>
    </row>
    <row r="1974" spans="8:14" x14ac:dyDescent="0.25">
      <c r="H1974" s="37"/>
      <c r="I1974" s="79"/>
      <c r="J1974" s="70"/>
      <c r="K1974" s="57"/>
      <c r="L1974" s="11"/>
      <c r="M1974" s="41"/>
      <c r="N1974" s="11"/>
    </row>
    <row r="1975" spans="8:14" x14ac:dyDescent="0.25">
      <c r="H1975" s="37"/>
      <c r="I1975" s="79"/>
      <c r="J1975" s="70"/>
      <c r="K1975" s="57"/>
      <c r="L1975" s="11"/>
      <c r="M1975" s="41"/>
      <c r="N1975" s="11"/>
    </row>
    <row r="1976" spans="8:14" x14ac:dyDescent="0.25">
      <c r="H1976" s="37"/>
      <c r="I1976" s="79"/>
      <c r="J1976" s="70"/>
      <c r="K1976" s="57"/>
      <c r="L1976" s="11"/>
      <c r="M1976" s="41"/>
      <c r="N1976" s="11"/>
    </row>
    <row r="1977" spans="8:14" x14ac:dyDescent="0.25">
      <c r="H1977" s="37"/>
      <c r="I1977" s="79"/>
      <c r="J1977" s="70"/>
      <c r="K1977" s="57"/>
      <c r="L1977" s="11"/>
      <c r="M1977" s="41"/>
      <c r="N1977" s="11"/>
    </row>
    <row r="1978" spans="8:14" x14ac:dyDescent="0.25">
      <c r="H1978" s="37"/>
      <c r="I1978" s="79"/>
      <c r="J1978" s="70"/>
      <c r="K1978" s="57"/>
      <c r="L1978" s="11"/>
      <c r="M1978" s="41"/>
      <c r="N1978" s="11"/>
    </row>
    <row r="1979" spans="8:14" x14ac:dyDescent="0.25">
      <c r="H1979" s="37"/>
      <c r="I1979" s="79"/>
      <c r="J1979" s="70"/>
      <c r="K1979" s="57"/>
      <c r="L1979" s="11"/>
      <c r="M1979" s="41"/>
      <c r="N1979" s="11"/>
    </row>
    <row r="1980" spans="8:14" x14ac:dyDescent="0.25">
      <c r="H1980" s="37"/>
      <c r="I1980" s="79"/>
      <c r="J1980" s="70"/>
      <c r="K1980" s="57"/>
      <c r="L1980" s="11"/>
      <c r="M1980" s="41"/>
      <c r="N1980" s="11"/>
    </row>
    <row r="1981" spans="8:14" x14ac:dyDescent="0.25">
      <c r="H1981" s="37"/>
      <c r="I1981" s="79"/>
      <c r="J1981" s="70"/>
      <c r="K1981" s="57"/>
      <c r="L1981" s="11"/>
      <c r="M1981" s="41"/>
      <c r="N1981" s="11"/>
    </row>
    <row r="1982" spans="8:14" x14ac:dyDescent="0.25">
      <c r="H1982" s="37"/>
      <c r="I1982" s="79"/>
      <c r="J1982" s="70"/>
      <c r="K1982" s="57"/>
      <c r="L1982" s="11"/>
      <c r="M1982" s="41"/>
      <c r="N1982" s="11"/>
    </row>
    <row r="1983" spans="8:14" x14ac:dyDescent="0.25">
      <c r="H1983" s="37"/>
      <c r="I1983" s="79"/>
      <c r="J1983" s="70"/>
      <c r="K1983" s="57"/>
      <c r="L1983" s="11"/>
      <c r="M1983" s="41"/>
      <c r="N1983" s="11"/>
    </row>
    <row r="1984" spans="8:14" x14ac:dyDescent="0.25">
      <c r="H1984" s="37"/>
      <c r="I1984" s="79"/>
      <c r="J1984" s="70"/>
      <c r="K1984" s="57"/>
      <c r="L1984" s="11"/>
      <c r="M1984" s="41"/>
      <c r="N1984" s="11"/>
    </row>
    <row r="1985" spans="8:14" x14ac:dyDescent="0.25">
      <c r="H1985" s="37"/>
      <c r="I1985" s="79"/>
      <c r="J1985" s="70"/>
      <c r="K1985" s="57"/>
      <c r="L1985" s="11"/>
      <c r="M1985" s="41"/>
      <c r="N1985" s="11"/>
    </row>
    <row r="1986" spans="8:14" x14ac:dyDescent="0.25">
      <c r="H1986" s="37"/>
      <c r="I1986" s="79"/>
      <c r="J1986" s="70"/>
      <c r="K1986" s="57"/>
      <c r="L1986" s="11"/>
      <c r="M1986" s="41"/>
      <c r="N1986" s="11"/>
    </row>
    <row r="1987" spans="8:14" x14ac:dyDescent="0.25">
      <c r="H1987" s="37"/>
      <c r="I1987" s="79"/>
      <c r="J1987" s="70"/>
      <c r="K1987" s="57"/>
      <c r="L1987" s="11"/>
      <c r="M1987" s="41"/>
      <c r="N1987" s="11"/>
    </row>
    <row r="1988" spans="8:14" x14ac:dyDescent="0.25">
      <c r="H1988" s="37"/>
      <c r="I1988" s="79"/>
      <c r="J1988" s="70"/>
      <c r="K1988" s="57"/>
      <c r="L1988" s="11"/>
      <c r="M1988" s="41"/>
      <c r="N1988" s="11"/>
    </row>
    <row r="1989" spans="8:14" x14ac:dyDescent="0.25">
      <c r="H1989" s="37"/>
      <c r="I1989" s="79"/>
      <c r="J1989" s="70"/>
      <c r="K1989" s="57"/>
      <c r="L1989" s="11"/>
      <c r="M1989" s="41"/>
      <c r="N1989" s="11"/>
    </row>
    <row r="1990" spans="8:14" x14ac:dyDescent="0.25">
      <c r="H1990" s="37"/>
      <c r="I1990" s="79"/>
      <c r="J1990" s="70"/>
      <c r="K1990" s="57"/>
      <c r="L1990" s="11"/>
      <c r="M1990" s="41"/>
      <c r="N1990" s="11"/>
    </row>
    <row r="1991" spans="8:14" x14ac:dyDescent="0.25">
      <c r="H1991" s="37"/>
      <c r="I1991" s="79"/>
      <c r="J1991" s="70"/>
      <c r="K1991" s="57"/>
      <c r="L1991" s="11"/>
      <c r="M1991" s="41"/>
      <c r="N1991" s="11"/>
    </row>
    <row r="1992" spans="8:14" x14ac:dyDescent="0.25">
      <c r="H1992" s="37"/>
      <c r="I1992" s="79"/>
      <c r="J1992" s="70"/>
      <c r="K1992" s="57"/>
      <c r="L1992" s="11"/>
      <c r="M1992" s="41"/>
      <c r="N1992" s="11"/>
    </row>
    <row r="1993" spans="8:14" x14ac:dyDescent="0.25">
      <c r="H1993" s="37"/>
      <c r="I1993" s="79"/>
      <c r="J1993" s="70"/>
      <c r="K1993" s="57"/>
      <c r="L1993" s="11"/>
      <c r="M1993" s="41"/>
      <c r="N1993" s="11"/>
    </row>
    <row r="1994" spans="8:14" x14ac:dyDescent="0.25">
      <c r="H1994" s="37"/>
      <c r="I1994" s="79"/>
      <c r="J1994" s="70"/>
      <c r="K1994" s="57"/>
      <c r="L1994" s="11"/>
      <c r="M1994" s="41"/>
      <c r="N1994" s="11"/>
    </row>
    <row r="1995" spans="8:14" x14ac:dyDescent="0.25">
      <c r="H1995" s="37"/>
      <c r="I1995" s="79"/>
      <c r="J1995" s="70"/>
      <c r="K1995" s="57"/>
      <c r="L1995" s="11"/>
      <c r="M1995" s="41"/>
      <c r="N1995" s="11"/>
    </row>
    <row r="1996" spans="8:14" x14ac:dyDescent="0.25">
      <c r="H1996" s="37"/>
      <c r="I1996" s="79"/>
      <c r="J1996" s="70"/>
      <c r="K1996" s="57"/>
      <c r="L1996" s="11"/>
      <c r="M1996" s="41"/>
      <c r="N1996" s="11"/>
    </row>
    <row r="1997" spans="8:14" x14ac:dyDescent="0.25">
      <c r="H1997" s="37"/>
      <c r="I1997" s="79"/>
      <c r="J1997" s="70"/>
      <c r="K1997" s="57"/>
      <c r="L1997" s="11"/>
      <c r="M1997" s="41"/>
      <c r="N1997" s="11"/>
    </row>
    <row r="1998" spans="8:14" x14ac:dyDescent="0.25">
      <c r="H1998" s="37"/>
      <c r="I1998" s="79"/>
      <c r="J1998" s="70"/>
      <c r="K1998" s="57"/>
      <c r="L1998" s="11"/>
      <c r="M1998" s="41"/>
      <c r="N1998" s="11"/>
    </row>
    <row r="1999" spans="8:14" x14ac:dyDescent="0.25">
      <c r="H1999" s="37"/>
      <c r="I1999" s="79"/>
      <c r="J1999" s="70"/>
      <c r="K1999" s="57"/>
      <c r="L1999" s="11"/>
      <c r="M1999" s="41"/>
      <c r="N1999" s="11"/>
    </row>
    <row r="2000" spans="8:14" x14ac:dyDescent="0.25">
      <c r="H2000" s="37"/>
      <c r="I2000" s="79"/>
      <c r="J2000" s="70"/>
      <c r="K2000" s="57"/>
      <c r="L2000" s="11"/>
      <c r="M2000" s="41"/>
      <c r="N2000" s="11"/>
    </row>
    <row r="2001" spans="8:14" x14ac:dyDescent="0.25">
      <c r="H2001" s="37"/>
      <c r="I2001" s="79"/>
      <c r="J2001" s="70"/>
      <c r="K2001" s="57"/>
      <c r="L2001" s="11"/>
      <c r="M2001" s="41"/>
      <c r="N2001" s="11"/>
    </row>
    <row r="2002" spans="8:14" x14ac:dyDescent="0.25">
      <c r="H2002" s="37"/>
      <c r="I2002" s="79"/>
      <c r="J2002" s="70"/>
      <c r="K2002" s="57"/>
      <c r="L2002" s="11"/>
      <c r="M2002" s="41"/>
      <c r="N2002" s="11"/>
    </row>
    <row r="2003" spans="8:14" x14ac:dyDescent="0.25">
      <c r="H2003" s="37"/>
      <c r="I2003" s="79"/>
      <c r="J2003" s="70"/>
      <c r="K2003" s="57"/>
      <c r="L2003" s="11"/>
      <c r="M2003" s="41"/>
      <c r="N2003" s="11"/>
    </row>
    <row r="2004" spans="8:14" x14ac:dyDescent="0.25">
      <c r="H2004" s="37"/>
      <c r="I2004" s="79"/>
      <c r="J2004" s="70"/>
      <c r="K2004" s="57"/>
      <c r="L2004" s="11"/>
      <c r="M2004" s="41"/>
      <c r="N2004" s="11"/>
    </row>
    <row r="2005" spans="8:14" x14ac:dyDescent="0.25">
      <c r="H2005" s="37"/>
      <c r="I2005" s="79"/>
      <c r="J2005" s="70"/>
      <c r="K2005" s="57"/>
      <c r="L2005" s="11"/>
      <c r="M2005" s="41"/>
      <c r="N2005" s="11"/>
    </row>
    <row r="2006" spans="8:14" x14ac:dyDescent="0.25">
      <c r="H2006" s="37"/>
      <c r="I2006" s="79"/>
      <c r="J2006" s="70"/>
      <c r="K2006" s="57"/>
      <c r="L2006" s="11"/>
      <c r="M2006" s="41"/>
      <c r="N2006" s="11"/>
    </row>
    <row r="2007" spans="8:14" x14ac:dyDescent="0.25">
      <c r="H2007" s="37"/>
      <c r="I2007" s="79"/>
      <c r="J2007" s="70"/>
      <c r="K2007" s="57"/>
      <c r="L2007" s="11"/>
      <c r="M2007" s="41"/>
      <c r="N2007" s="11"/>
    </row>
    <row r="2008" spans="8:14" x14ac:dyDescent="0.25">
      <c r="H2008" s="37"/>
      <c r="I2008" s="79"/>
      <c r="J2008" s="70"/>
      <c r="K2008" s="57"/>
      <c r="L2008" s="11"/>
      <c r="M2008" s="41"/>
      <c r="N2008" s="11"/>
    </row>
    <row r="2009" spans="8:14" x14ac:dyDescent="0.25">
      <c r="H2009" s="37"/>
      <c r="I2009" s="79"/>
      <c r="J2009" s="70"/>
      <c r="K2009" s="57"/>
      <c r="L2009" s="11"/>
      <c r="M2009" s="41"/>
      <c r="N2009" s="11"/>
    </row>
    <row r="2010" spans="8:14" x14ac:dyDescent="0.25">
      <c r="H2010" s="37"/>
      <c r="I2010" s="79"/>
      <c r="J2010" s="70"/>
      <c r="K2010" s="57"/>
      <c r="L2010" s="11"/>
      <c r="M2010" s="41"/>
      <c r="N2010" s="11"/>
    </row>
    <row r="2011" spans="8:14" x14ac:dyDescent="0.25">
      <c r="H2011" s="37"/>
      <c r="I2011" s="79"/>
      <c r="J2011" s="70"/>
      <c r="K2011" s="57"/>
      <c r="L2011" s="11"/>
      <c r="M2011" s="41"/>
      <c r="N2011" s="11"/>
    </row>
    <row r="2012" spans="8:14" x14ac:dyDescent="0.25">
      <c r="H2012" s="37"/>
      <c r="I2012" s="79"/>
      <c r="J2012" s="70"/>
      <c r="K2012" s="57"/>
      <c r="L2012" s="11"/>
      <c r="M2012" s="41"/>
      <c r="N2012" s="11"/>
    </row>
    <row r="2013" spans="8:14" x14ac:dyDescent="0.25">
      <c r="H2013" s="37"/>
      <c r="I2013" s="79"/>
      <c r="J2013" s="70"/>
      <c r="K2013" s="57"/>
      <c r="L2013" s="11"/>
      <c r="M2013" s="41"/>
      <c r="N2013" s="11"/>
    </row>
    <row r="2014" spans="8:14" x14ac:dyDescent="0.25">
      <c r="H2014" s="37"/>
      <c r="I2014" s="79"/>
      <c r="J2014" s="70"/>
      <c r="K2014" s="57"/>
      <c r="L2014" s="11"/>
      <c r="M2014" s="41"/>
      <c r="N2014" s="11"/>
    </row>
    <row r="2015" spans="8:14" x14ac:dyDescent="0.25">
      <c r="H2015" s="37"/>
      <c r="I2015" s="79"/>
      <c r="J2015" s="70"/>
      <c r="K2015" s="57"/>
      <c r="L2015" s="11"/>
      <c r="M2015" s="41"/>
      <c r="N2015" s="11"/>
    </row>
    <row r="2016" spans="8:14" x14ac:dyDescent="0.25">
      <c r="H2016" s="37"/>
      <c r="I2016" s="79"/>
      <c r="J2016" s="70"/>
      <c r="K2016" s="57"/>
      <c r="L2016" s="11"/>
      <c r="M2016" s="41"/>
      <c r="N2016" s="11"/>
    </row>
    <row r="2017" spans="8:14" x14ac:dyDescent="0.25">
      <c r="H2017" s="37"/>
      <c r="I2017" s="79"/>
      <c r="J2017" s="70"/>
      <c r="K2017" s="57"/>
      <c r="L2017" s="11"/>
      <c r="M2017" s="41"/>
      <c r="N2017" s="11"/>
    </row>
    <row r="2018" spans="8:14" x14ac:dyDescent="0.25">
      <c r="H2018" s="37"/>
      <c r="I2018" s="79"/>
      <c r="J2018" s="70"/>
      <c r="K2018" s="57"/>
      <c r="L2018" s="11"/>
      <c r="M2018" s="41"/>
      <c r="N2018" s="11"/>
    </row>
    <row r="2019" spans="8:14" x14ac:dyDescent="0.25">
      <c r="H2019" s="37"/>
      <c r="I2019" s="79"/>
      <c r="J2019" s="70"/>
      <c r="K2019" s="57"/>
      <c r="L2019" s="11"/>
      <c r="M2019" s="41"/>
      <c r="N2019" s="11"/>
    </row>
    <row r="2020" spans="8:14" x14ac:dyDescent="0.25">
      <c r="H2020" s="37"/>
      <c r="I2020" s="79"/>
      <c r="J2020" s="70"/>
      <c r="K2020" s="57"/>
      <c r="L2020" s="11"/>
      <c r="M2020" s="41"/>
      <c r="N2020" s="11"/>
    </row>
    <row r="2021" spans="8:14" x14ac:dyDescent="0.25">
      <c r="H2021" s="37"/>
      <c r="I2021" s="79"/>
      <c r="J2021" s="70"/>
      <c r="K2021" s="57"/>
      <c r="L2021" s="11"/>
      <c r="M2021" s="41"/>
      <c r="N2021" s="11"/>
    </row>
    <row r="2022" spans="8:14" x14ac:dyDescent="0.25">
      <c r="H2022" s="37"/>
      <c r="I2022" s="79"/>
      <c r="J2022" s="70"/>
      <c r="K2022" s="57"/>
      <c r="L2022" s="11"/>
      <c r="M2022" s="41"/>
      <c r="N2022" s="11"/>
    </row>
    <row r="2023" spans="8:14" x14ac:dyDescent="0.25">
      <c r="H2023" s="37"/>
      <c r="I2023" s="79"/>
      <c r="J2023" s="70"/>
      <c r="K2023" s="57"/>
      <c r="L2023" s="11"/>
      <c r="M2023" s="41"/>
      <c r="N2023" s="11"/>
    </row>
    <row r="2024" spans="8:14" x14ac:dyDescent="0.25">
      <c r="H2024" s="37"/>
      <c r="I2024" s="79"/>
      <c r="J2024" s="70"/>
      <c r="K2024" s="57"/>
      <c r="L2024" s="11"/>
      <c r="M2024" s="41"/>
      <c r="N2024" s="11"/>
    </row>
    <row r="2025" spans="8:14" x14ac:dyDescent="0.25">
      <c r="H2025" s="37"/>
      <c r="I2025" s="79"/>
      <c r="J2025" s="70"/>
      <c r="K2025" s="57"/>
      <c r="L2025" s="11"/>
      <c r="M2025" s="41"/>
      <c r="N2025" s="11"/>
    </row>
    <row r="2026" spans="8:14" x14ac:dyDescent="0.25">
      <c r="H2026" s="37"/>
      <c r="I2026" s="79"/>
      <c r="J2026" s="70"/>
      <c r="K2026" s="57"/>
      <c r="L2026" s="11"/>
      <c r="M2026" s="41"/>
      <c r="N2026" s="11"/>
    </row>
    <row r="2027" spans="8:14" x14ac:dyDescent="0.25">
      <c r="H2027" s="37"/>
      <c r="I2027" s="79"/>
      <c r="J2027" s="70"/>
      <c r="K2027" s="57"/>
      <c r="L2027" s="11"/>
      <c r="M2027" s="41"/>
      <c r="N2027" s="11"/>
    </row>
    <row r="2028" spans="8:14" x14ac:dyDescent="0.25">
      <c r="H2028" s="37"/>
      <c r="I2028" s="79"/>
      <c r="J2028" s="70"/>
      <c r="K2028" s="57"/>
      <c r="L2028" s="11"/>
      <c r="M2028" s="41"/>
      <c r="N2028" s="11"/>
    </row>
    <row r="2029" spans="8:14" x14ac:dyDescent="0.25">
      <c r="H2029" s="37"/>
      <c r="I2029" s="79"/>
      <c r="J2029" s="70"/>
      <c r="K2029" s="57"/>
      <c r="L2029" s="11"/>
      <c r="M2029" s="41"/>
      <c r="N2029" s="11"/>
    </row>
    <row r="2030" spans="8:14" x14ac:dyDescent="0.25">
      <c r="H2030" s="37"/>
      <c r="I2030" s="79"/>
      <c r="J2030" s="70"/>
      <c r="K2030" s="57"/>
      <c r="L2030" s="11"/>
      <c r="M2030" s="41"/>
      <c r="N2030" s="11"/>
    </row>
    <row r="2031" spans="8:14" x14ac:dyDescent="0.25">
      <c r="H2031" s="37"/>
      <c r="I2031" s="79"/>
      <c r="J2031" s="70"/>
      <c r="K2031" s="57"/>
      <c r="L2031" s="11"/>
      <c r="M2031" s="41"/>
      <c r="N2031" s="11"/>
    </row>
    <row r="2032" spans="8:14" x14ac:dyDescent="0.25">
      <c r="H2032" s="37"/>
      <c r="I2032" s="79"/>
      <c r="J2032" s="70"/>
      <c r="K2032" s="57"/>
      <c r="L2032" s="11"/>
      <c r="M2032" s="41"/>
      <c r="N2032" s="11"/>
    </row>
    <row r="2033" spans="8:14" x14ac:dyDescent="0.25">
      <c r="H2033" s="37"/>
      <c r="I2033" s="79"/>
      <c r="J2033" s="70"/>
      <c r="K2033" s="57"/>
      <c r="L2033" s="11"/>
      <c r="M2033" s="41"/>
      <c r="N2033" s="11"/>
    </row>
    <row r="2034" spans="8:14" x14ac:dyDescent="0.25">
      <c r="H2034" s="37"/>
      <c r="I2034" s="79"/>
      <c r="J2034" s="70"/>
      <c r="K2034" s="57"/>
      <c r="L2034" s="11"/>
      <c r="M2034" s="41"/>
      <c r="N2034" s="11"/>
    </row>
    <row r="2035" spans="8:14" x14ac:dyDescent="0.25">
      <c r="H2035" s="37"/>
      <c r="I2035" s="79"/>
      <c r="J2035" s="70"/>
      <c r="K2035" s="57"/>
      <c r="L2035" s="11"/>
      <c r="M2035" s="41"/>
      <c r="N2035" s="11"/>
    </row>
    <row r="2036" spans="8:14" x14ac:dyDescent="0.25">
      <c r="H2036" s="37"/>
      <c r="I2036" s="79"/>
      <c r="J2036" s="70"/>
      <c r="K2036" s="57"/>
      <c r="L2036" s="11"/>
      <c r="M2036" s="41"/>
      <c r="N2036" s="11"/>
    </row>
    <row r="2037" spans="8:14" x14ac:dyDescent="0.25">
      <c r="H2037" s="37"/>
      <c r="I2037" s="79"/>
      <c r="J2037" s="70"/>
      <c r="K2037" s="57"/>
      <c r="L2037" s="11"/>
      <c r="M2037" s="41"/>
      <c r="N2037" s="11"/>
    </row>
    <row r="2038" spans="8:14" x14ac:dyDescent="0.25">
      <c r="H2038" s="37"/>
      <c r="I2038" s="79"/>
      <c r="J2038" s="70"/>
      <c r="K2038" s="57"/>
      <c r="L2038" s="11"/>
      <c r="M2038" s="41"/>
      <c r="N2038" s="11"/>
    </row>
    <row r="2039" spans="8:14" x14ac:dyDescent="0.25">
      <c r="H2039" s="37"/>
      <c r="I2039" s="79"/>
      <c r="J2039" s="70"/>
      <c r="K2039" s="57"/>
      <c r="L2039" s="11"/>
      <c r="M2039" s="41"/>
      <c r="N2039" s="11"/>
    </row>
    <row r="2040" spans="8:14" x14ac:dyDescent="0.25">
      <c r="H2040" s="37"/>
      <c r="I2040" s="79"/>
      <c r="J2040" s="70"/>
      <c r="K2040" s="57"/>
      <c r="L2040" s="11"/>
      <c r="M2040" s="41"/>
      <c r="N2040" s="11"/>
    </row>
    <row r="2041" spans="8:14" x14ac:dyDescent="0.25">
      <c r="H2041" s="37"/>
      <c r="I2041" s="79"/>
      <c r="J2041" s="70"/>
      <c r="K2041" s="57"/>
      <c r="L2041" s="11"/>
      <c r="M2041" s="41"/>
      <c r="N2041" s="11"/>
    </row>
    <row r="2042" spans="8:14" x14ac:dyDescent="0.25">
      <c r="H2042" s="37"/>
      <c r="I2042" s="79"/>
      <c r="J2042" s="70"/>
      <c r="K2042" s="57"/>
      <c r="L2042" s="11"/>
      <c r="M2042" s="41"/>
      <c r="N2042" s="11"/>
    </row>
    <row r="2043" spans="8:14" x14ac:dyDescent="0.25">
      <c r="H2043" s="37"/>
      <c r="I2043" s="79"/>
      <c r="J2043" s="70"/>
      <c r="K2043" s="57"/>
      <c r="L2043" s="11"/>
      <c r="M2043" s="41"/>
      <c r="N2043" s="11"/>
    </row>
    <row r="2044" spans="8:14" x14ac:dyDescent="0.25">
      <c r="H2044" s="37"/>
      <c r="I2044" s="79"/>
      <c r="J2044" s="70"/>
      <c r="K2044" s="57"/>
      <c r="L2044" s="11"/>
      <c r="M2044" s="41"/>
      <c r="N2044" s="11"/>
    </row>
    <row r="2045" spans="8:14" x14ac:dyDescent="0.25">
      <c r="H2045" s="37"/>
      <c r="I2045" s="79"/>
      <c r="J2045" s="70"/>
      <c r="K2045" s="57"/>
      <c r="L2045" s="11"/>
      <c r="M2045" s="41"/>
      <c r="N2045" s="11"/>
    </row>
    <row r="2046" spans="8:14" x14ac:dyDescent="0.25">
      <c r="H2046" s="37"/>
      <c r="I2046" s="79"/>
      <c r="J2046" s="70"/>
      <c r="K2046" s="57"/>
      <c r="L2046" s="11"/>
      <c r="M2046" s="41"/>
      <c r="N2046" s="11"/>
    </row>
    <row r="2047" spans="8:14" x14ac:dyDescent="0.25">
      <c r="H2047" s="37"/>
      <c r="I2047" s="79"/>
      <c r="J2047" s="70"/>
      <c r="K2047" s="57"/>
      <c r="L2047" s="11"/>
      <c r="M2047" s="41"/>
      <c r="N2047" s="11"/>
    </row>
    <row r="2048" spans="8:14" x14ac:dyDescent="0.25">
      <c r="H2048" s="37"/>
      <c r="I2048" s="79"/>
      <c r="J2048" s="70"/>
      <c r="K2048" s="57"/>
      <c r="L2048" s="11"/>
      <c r="M2048" s="41"/>
      <c r="N2048" s="11"/>
    </row>
    <row r="2049" spans="8:14" x14ac:dyDescent="0.25">
      <c r="H2049" s="37"/>
      <c r="I2049" s="79"/>
      <c r="J2049" s="70"/>
      <c r="K2049" s="57"/>
      <c r="L2049" s="11"/>
      <c r="M2049" s="41"/>
      <c r="N2049" s="11"/>
    </row>
    <row r="2050" spans="8:14" x14ac:dyDescent="0.25">
      <c r="H2050" s="37"/>
      <c r="I2050" s="79"/>
      <c r="J2050" s="70"/>
      <c r="K2050" s="57"/>
      <c r="L2050" s="11"/>
      <c r="M2050" s="41"/>
      <c r="N2050" s="11"/>
    </row>
    <row r="2051" spans="8:14" x14ac:dyDescent="0.25">
      <c r="H2051" s="37"/>
      <c r="I2051" s="79"/>
      <c r="J2051" s="70"/>
      <c r="K2051" s="57"/>
      <c r="L2051" s="11"/>
      <c r="M2051" s="41"/>
      <c r="N2051" s="11"/>
    </row>
    <row r="2052" spans="8:14" x14ac:dyDescent="0.25">
      <c r="H2052" s="37"/>
      <c r="I2052" s="79"/>
      <c r="J2052" s="70"/>
      <c r="K2052" s="57"/>
      <c r="L2052" s="11"/>
      <c r="M2052" s="41"/>
      <c r="N2052" s="11"/>
    </row>
    <row r="2053" spans="8:14" x14ac:dyDescent="0.25">
      <c r="H2053" s="37"/>
      <c r="I2053" s="79"/>
      <c r="J2053" s="70"/>
      <c r="K2053" s="57"/>
      <c r="L2053" s="11"/>
      <c r="M2053" s="41"/>
      <c r="N2053" s="11"/>
    </row>
    <row r="2054" spans="8:14" x14ac:dyDescent="0.25">
      <c r="H2054" s="37"/>
      <c r="I2054" s="79"/>
      <c r="J2054" s="70"/>
      <c r="K2054" s="57"/>
      <c r="L2054" s="11"/>
      <c r="M2054" s="41"/>
      <c r="N2054" s="11"/>
    </row>
    <row r="2055" spans="8:14" x14ac:dyDescent="0.25">
      <c r="H2055" s="37"/>
      <c r="I2055" s="79"/>
      <c r="J2055" s="70"/>
      <c r="K2055" s="57"/>
      <c r="L2055" s="11"/>
      <c r="M2055" s="41"/>
      <c r="N2055" s="11"/>
    </row>
    <row r="2056" spans="8:14" x14ac:dyDescent="0.25">
      <c r="H2056" s="37"/>
      <c r="I2056" s="79"/>
      <c r="J2056" s="70"/>
      <c r="K2056" s="57"/>
      <c r="L2056" s="11"/>
      <c r="M2056" s="41"/>
      <c r="N2056" s="11"/>
    </row>
    <row r="2057" spans="8:14" x14ac:dyDescent="0.25">
      <c r="H2057" s="37"/>
      <c r="I2057" s="79"/>
      <c r="J2057" s="70"/>
      <c r="K2057" s="57"/>
      <c r="L2057" s="11"/>
      <c r="M2057" s="41"/>
      <c r="N2057" s="11"/>
    </row>
    <row r="2058" spans="8:14" x14ac:dyDescent="0.25">
      <c r="H2058" s="37"/>
      <c r="I2058" s="79"/>
      <c r="J2058" s="70"/>
      <c r="K2058" s="57"/>
      <c r="L2058" s="11"/>
      <c r="M2058" s="41"/>
      <c r="N2058" s="11"/>
    </row>
    <row r="2059" spans="8:14" x14ac:dyDescent="0.25">
      <c r="H2059" s="37"/>
      <c r="I2059" s="79"/>
      <c r="J2059" s="70"/>
      <c r="K2059" s="57"/>
      <c r="L2059" s="11"/>
      <c r="M2059" s="41"/>
      <c r="N2059" s="11"/>
    </row>
    <row r="2060" spans="8:14" x14ac:dyDescent="0.25">
      <c r="H2060" s="37"/>
      <c r="I2060" s="79"/>
      <c r="J2060" s="70"/>
      <c r="K2060" s="57"/>
      <c r="L2060" s="11"/>
      <c r="M2060" s="41"/>
      <c r="N2060" s="11"/>
    </row>
    <row r="2061" spans="8:14" x14ac:dyDescent="0.25">
      <c r="H2061" s="37"/>
      <c r="I2061" s="79"/>
      <c r="J2061" s="70"/>
      <c r="K2061" s="57"/>
      <c r="L2061" s="11"/>
      <c r="M2061" s="41"/>
      <c r="N2061" s="11"/>
    </row>
    <row r="2062" spans="8:14" x14ac:dyDescent="0.25">
      <c r="H2062" s="37"/>
      <c r="I2062" s="79"/>
      <c r="J2062" s="70"/>
      <c r="K2062" s="57"/>
      <c r="L2062" s="11"/>
      <c r="M2062" s="41"/>
      <c r="N2062" s="11"/>
    </row>
    <row r="2063" spans="8:14" x14ac:dyDescent="0.25">
      <c r="H2063" s="37"/>
      <c r="I2063" s="79"/>
      <c r="J2063" s="70"/>
      <c r="K2063" s="57"/>
      <c r="L2063" s="11"/>
      <c r="M2063" s="41"/>
      <c r="N2063" s="11"/>
    </row>
    <row r="2064" spans="8:14" x14ac:dyDescent="0.25">
      <c r="H2064" s="37"/>
      <c r="I2064" s="79"/>
      <c r="J2064" s="70"/>
      <c r="K2064" s="57"/>
      <c r="L2064" s="11"/>
      <c r="M2064" s="41"/>
      <c r="N2064" s="11"/>
    </row>
    <row r="2065" spans="8:14" x14ac:dyDescent="0.25">
      <c r="H2065" s="37"/>
      <c r="I2065" s="79"/>
      <c r="J2065" s="70"/>
      <c r="K2065" s="57"/>
      <c r="L2065" s="11"/>
      <c r="M2065" s="41"/>
      <c r="N2065" s="11"/>
    </row>
    <row r="2066" spans="8:14" x14ac:dyDescent="0.25">
      <c r="H2066" s="37"/>
      <c r="I2066" s="79"/>
      <c r="J2066" s="70"/>
      <c r="K2066" s="57"/>
      <c r="L2066" s="11"/>
      <c r="M2066" s="41"/>
      <c r="N2066" s="11"/>
    </row>
    <row r="2067" spans="8:14" x14ac:dyDescent="0.25">
      <c r="H2067" s="37"/>
      <c r="I2067" s="79"/>
      <c r="J2067" s="70"/>
      <c r="K2067" s="57"/>
      <c r="L2067" s="11"/>
      <c r="M2067" s="41"/>
      <c r="N2067" s="11"/>
    </row>
    <row r="2068" spans="8:14" x14ac:dyDescent="0.25">
      <c r="H2068" s="37"/>
      <c r="I2068" s="79"/>
      <c r="J2068" s="70"/>
      <c r="K2068" s="57"/>
      <c r="L2068" s="11"/>
      <c r="M2068" s="41"/>
      <c r="N2068" s="11"/>
    </row>
    <row r="2069" spans="8:14" x14ac:dyDescent="0.25">
      <c r="H2069" s="37"/>
      <c r="I2069" s="79"/>
      <c r="J2069" s="70"/>
      <c r="K2069" s="57"/>
      <c r="L2069" s="11"/>
      <c r="M2069" s="41"/>
      <c r="N2069" s="11"/>
    </row>
    <row r="2070" spans="8:14" x14ac:dyDescent="0.25">
      <c r="H2070" s="37"/>
      <c r="I2070" s="79"/>
      <c r="J2070" s="70"/>
      <c r="K2070" s="57"/>
      <c r="L2070" s="11"/>
      <c r="M2070" s="41"/>
      <c r="N2070" s="11"/>
    </row>
    <row r="2071" spans="8:14" x14ac:dyDescent="0.25">
      <c r="H2071" s="37"/>
      <c r="I2071" s="79"/>
      <c r="J2071" s="70"/>
      <c r="K2071" s="57"/>
      <c r="L2071" s="11"/>
      <c r="M2071" s="41"/>
      <c r="N2071" s="11"/>
    </row>
    <row r="2072" spans="8:14" x14ac:dyDescent="0.25">
      <c r="H2072" s="37"/>
      <c r="I2072" s="79"/>
      <c r="J2072" s="70"/>
      <c r="K2072" s="57"/>
      <c r="L2072" s="11"/>
      <c r="M2072" s="41"/>
      <c r="N2072" s="11"/>
    </row>
    <row r="2073" spans="8:14" x14ac:dyDescent="0.25">
      <c r="H2073" s="37"/>
      <c r="I2073" s="79"/>
      <c r="J2073" s="70"/>
      <c r="K2073" s="57"/>
      <c r="L2073" s="11"/>
      <c r="M2073" s="41"/>
      <c r="N2073" s="11"/>
    </row>
    <row r="2074" spans="8:14" x14ac:dyDescent="0.25">
      <c r="H2074" s="37"/>
      <c r="I2074" s="79"/>
      <c r="J2074" s="70"/>
      <c r="K2074" s="57"/>
      <c r="L2074" s="11"/>
      <c r="M2074" s="41"/>
      <c r="N2074" s="11"/>
    </row>
    <row r="2075" spans="8:14" x14ac:dyDescent="0.25">
      <c r="H2075" s="37"/>
      <c r="I2075" s="79"/>
      <c r="J2075" s="70"/>
      <c r="K2075" s="57"/>
      <c r="L2075" s="11"/>
      <c r="M2075" s="41"/>
      <c r="N2075" s="11"/>
    </row>
    <row r="2076" spans="8:14" x14ac:dyDescent="0.25">
      <c r="H2076" s="37"/>
      <c r="I2076" s="79"/>
      <c r="J2076" s="70"/>
      <c r="K2076" s="57"/>
      <c r="L2076" s="11"/>
      <c r="M2076" s="41"/>
      <c r="N2076" s="11"/>
    </row>
    <row r="2077" spans="8:14" x14ac:dyDescent="0.25">
      <c r="H2077" s="37"/>
      <c r="I2077" s="79"/>
      <c r="J2077" s="70"/>
      <c r="K2077" s="57"/>
      <c r="L2077" s="11"/>
      <c r="M2077" s="41"/>
      <c r="N2077" s="11"/>
    </row>
    <row r="2078" spans="8:14" x14ac:dyDescent="0.25">
      <c r="H2078" s="37"/>
      <c r="I2078" s="79"/>
      <c r="J2078" s="70"/>
      <c r="K2078" s="57"/>
      <c r="L2078" s="11"/>
      <c r="M2078" s="41"/>
      <c r="N2078" s="11"/>
    </row>
    <row r="2079" spans="8:14" x14ac:dyDescent="0.25">
      <c r="H2079" s="37"/>
      <c r="I2079" s="79"/>
      <c r="J2079" s="70"/>
      <c r="K2079" s="57"/>
      <c r="L2079" s="11"/>
      <c r="M2079" s="41"/>
      <c r="N2079" s="11"/>
    </row>
    <row r="2080" spans="8:14" x14ac:dyDescent="0.25">
      <c r="H2080" s="37"/>
      <c r="I2080" s="79"/>
      <c r="J2080" s="70"/>
      <c r="K2080" s="57"/>
      <c r="L2080" s="11"/>
      <c r="M2080" s="41"/>
      <c r="N2080" s="11"/>
    </row>
    <row r="2081" spans="8:14" x14ac:dyDescent="0.25">
      <c r="H2081" s="37"/>
      <c r="I2081" s="79"/>
      <c r="J2081" s="70"/>
      <c r="K2081" s="57"/>
      <c r="L2081" s="11"/>
      <c r="M2081" s="41"/>
      <c r="N2081" s="11"/>
    </row>
    <row r="2082" spans="8:14" x14ac:dyDescent="0.25">
      <c r="H2082" s="37"/>
      <c r="I2082" s="79"/>
      <c r="J2082" s="70"/>
      <c r="K2082" s="57"/>
      <c r="L2082" s="11"/>
      <c r="M2082" s="41"/>
      <c r="N2082" s="11"/>
    </row>
    <row r="2083" spans="8:14" x14ac:dyDescent="0.25">
      <c r="H2083" s="37"/>
      <c r="I2083" s="79"/>
      <c r="J2083" s="70"/>
      <c r="K2083" s="57"/>
      <c r="L2083" s="11"/>
      <c r="M2083" s="41"/>
      <c r="N2083" s="11"/>
    </row>
    <row r="2084" spans="8:14" x14ac:dyDescent="0.25">
      <c r="H2084" s="37"/>
      <c r="I2084" s="79"/>
      <c r="J2084" s="70"/>
      <c r="K2084" s="57"/>
      <c r="L2084" s="11"/>
      <c r="M2084" s="41"/>
      <c r="N2084" s="11"/>
    </row>
    <row r="2085" spans="8:14" x14ac:dyDescent="0.25">
      <c r="H2085" s="37"/>
      <c r="I2085" s="79"/>
      <c r="J2085" s="70"/>
      <c r="K2085" s="57"/>
      <c r="L2085" s="11"/>
      <c r="M2085" s="41"/>
      <c r="N2085" s="11"/>
    </row>
    <row r="2086" spans="8:14" x14ac:dyDescent="0.25">
      <c r="H2086" s="37"/>
      <c r="I2086" s="79"/>
      <c r="J2086" s="70"/>
      <c r="K2086" s="57"/>
      <c r="L2086" s="11"/>
      <c r="M2086" s="41"/>
      <c r="N2086" s="11"/>
    </row>
    <row r="2087" spans="8:14" x14ac:dyDescent="0.25">
      <c r="H2087" s="37"/>
      <c r="I2087" s="79"/>
      <c r="J2087" s="70"/>
      <c r="K2087" s="57"/>
      <c r="L2087" s="11"/>
      <c r="M2087" s="41"/>
      <c r="N2087" s="11"/>
    </row>
    <row r="2088" spans="8:14" x14ac:dyDescent="0.25">
      <c r="H2088" s="37"/>
      <c r="I2088" s="79"/>
      <c r="J2088" s="70"/>
      <c r="K2088" s="57"/>
      <c r="L2088" s="11"/>
      <c r="M2088" s="41"/>
      <c r="N2088" s="11"/>
    </row>
    <row r="2089" spans="8:14" x14ac:dyDescent="0.25">
      <c r="H2089" s="37"/>
      <c r="I2089" s="79"/>
      <c r="J2089" s="70"/>
      <c r="K2089" s="57"/>
      <c r="L2089" s="11"/>
      <c r="M2089" s="41"/>
      <c r="N2089" s="11"/>
    </row>
    <row r="2090" spans="8:14" x14ac:dyDescent="0.25">
      <c r="H2090" s="37"/>
      <c r="I2090" s="79"/>
      <c r="J2090" s="70"/>
      <c r="K2090" s="57"/>
      <c r="L2090" s="11"/>
      <c r="M2090" s="41"/>
      <c r="N2090" s="11"/>
    </row>
    <row r="2091" spans="8:14" x14ac:dyDescent="0.25">
      <c r="H2091" s="37"/>
      <c r="I2091" s="79"/>
      <c r="J2091" s="70"/>
      <c r="K2091" s="57"/>
      <c r="L2091" s="11"/>
      <c r="M2091" s="41"/>
      <c r="N2091" s="11"/>
    </row>
    <row r="2092" spans="8:14" x14ac:dyDescent="0.25">
      <c r="H2092" s="37"/>
      <c r="I2092" s="79"/>
      <c r="J2092" s="70"/>
      <c r="K2092" s="57"/>
      <c r="L2092" s="11"/>
      <c r="M2092" s="41"/>
      <c r="N2092" s="11"/>
    </row>
    <row r="2093" spans="8:14" x14ac:dyDescent="0.25">
      <c r="H2093" s="37"/>
      <c r="I2093" s="79"/>
      <c r="J2093" s="70"/>
      <c r="K2093" s="57"/>
      <c r="L2093" s="11"/>
      <c r="M2093" s="41"/>
      <c r="N2093" s="11"/>
    </row>
    <row r="2094" spans="8:14" x14ac:dyDescent="0.25">
      <c r="H2094" s="37"/>
      <c r="I2094" s="79"/>
      <c r="J2094" s="70"/>
      <c r="K2094" s="57"/>
      <c r="L2094" s="11"/>
      <c r="M2094" s="41"/>
      <c r="N2094" s="11"/>
    </row>
    <row r="2095" spans="8:14" x14ac:dyDescent="0.25">
      <c r="H2095" s="37"/>
      <c r="I2095" s="79"/>
      <c r="J2095" s="70"/>
      <c r="K2095" s="57"/>
      <c r="L2095" s="11"/>
      <c r="M2095" s="41"/>
      <c r="N2095" s="11"/>
    </row>
    <row r="2096" spans="8:14" x14ac:dyDescent="0.25">
      <c r="H2096" s="37"/>
      <c r="I2096" s="79"/>
      <c r="J2096" s="70"/>
      <c r="K2096" s="57"/>
      <c r="L2096" s="11"/>
      <c r="M2096" s="41"/>
      <c r="N2096" s="11"/>
    </row>
    <row r="2097" spans="8:14" x14ac:dyDescent="0.25">
      <c r="H2097" s="37"/>
      <c r="I2097" s="79"/>
      <c r="J2097" s="70"/>
      <c r="K2097" s="57"/>
      <c r="L2097" s="11"/>
      <c r="M2097" s="41"/>
      <c r="N2097" s="11"/>
    </row>
    <row r="2098" spans="8:14" x14ac:dyDescent="0.25">
      <c r="H2098" s="37"/>
      <c r="I2098" s="79"/>
      <c r="J2098" s="70"/>
      <c r="K2098" s="57"/>
      <c r="L2098" s="11"/>
      <c r="M2098" s="41"/>
      <c r="N2098" s="11"/>
    </row>
    <row r="2099" spans="8:14" x14ac:dyDescent="0.25">
      <c r="H2099" s="37"/>
      <c r="I2099" s="79"/>
      <c r="J2099" s="70"/>
      <c r="K2099" s="57"/>
      <c r="L2099" s="11"/>
      <c r="M2099" s="41"/>
      <c r="N2099" s="11"/>
    </row>
    <row r="2100" spans="8:14" x14ac:dyDescent="0.25">
      <c r="H2100" s="37"/>
      <c r="I2100" s="79"/>
      <c r="J2100" s="70"/>
      <c r="K2100" s="57"/>
      <c r="L2100" s="11"/>
      <c r="M2100" s="41"/>
      <c r="N2100" s="11"/>
    </row>
    <row r="2101" spans="8:14" x14ac:dyDescent="0.25">
      <c r="H2101" s="37"/>
      <c r="I2101" s="79"/>
      <c r="J2101" s="70"/>
      <c r="K2101" s="57"/>
      <c r="L2101" s="11"/>
      <c r="M2101" s="41"/>
      <c r="N2101" s="11"/>
    </row>
    <row r="2102" spans="8:14" x14ac:dyDescent="0.25">
      <c r="H2102" s="37"/>
      <c r="I2102" s="79"/>
      <c r="J2102" s="70"/>
      <c r="K2102" s="57"/>
      <c r="L2102" s="11"/>
      <c r="M2102" s="41"/>
      <c r="N2102" s="11"/>
    </row>
    <row r="2103" spans="8:14" x14ac:dyDescent="0.25">
      <c r="H2103" s="37"/>
      <c r="I2103" s="79"/>
      <c r="J2103" s="70"/>
      <c r="K2103" s="57"/>
      <c r="L2103" s="11"/>
      <c r="M2103" s="41"/>
      <c r="N2103" s="11"/>
    </row>
    <row r="2104" spans="8:14" x14ac:dyDescent="0.25">
      <c r="H2104" s="37"/>
      <c r="I2104" s="79"/>
      <c r="J2104" s="70"/>
      <c r="K2104" s="57"/>
      <c r="L2104" s="11"/>
      <c r="M2104" s="41"/>
      <c r="N2104" s="11"/>
    </row>
    <row r="2105" spans="8:14" x14ac:dyDescent="0.25">
      <c r="H2105" s="37"/>
      <c r="I2105" s="79"/>
      <c r="J2105" s="70"/>
      <c r="K2105" s="57"/>
      <c r="L2105" s="11"/>
      <c r="M2105" s="41"/>
      <c r="N2105" s="11"/>
    </row>
    <row r="2106" spans="8:14" x14ac:dyDescent="0.25">
      <c r="H2106" s="37"/>
      <c r="I2106" s="79"/>
      <c r="J2106" s="70"/>
      <c r="K2106" s="57"/>
      <c r="L2106" s="11"/>
      <c r="M2106" s="41"/>
      <c r="N2106" s="11"/>
    </row>
    <row r="2107" spans="8:14" x14ac:dyDescent="0.25">
      <c r="H2107" s="37"/>
      <c r="I2107" s="79"/>
      <c r="J2107" s="70"/>
      <c r="K2107" s="57"/>
      <c r="L2107" s="11"/>
      <c r="M2107" s="41"/>
      <c r="N2107" s="11"/>
    </row>
    <row r="2108" spans="8:14" x14ac:dyDescent="0.25">
      <c r="H2108" s="37"/>
      <c r="I2108" s="79"/>
      <c r="J2108" s="70"/>
      <c r="K2108" s="57"/>
      <c r="L2108" s="11"/>
      <c r="M2108" s="41"/>
      <c r="N2108" s="11"/>
    </row>
    <row r="2109" spans="8:14" x14ac:dyDescent="0.25">
      <c r="H2109" s="37"/>
      <c r="I2109" s="79"/>
      <c r="J2109" s="70"/>
      <c r="K2109" s="57"/>
      <c r="L2109" s="11"/>
      <c r="M2109" s="41"/>
      <c r="N2109" s="11"/>
    </row>
    <row r="2110" spans="8:14" x14ac:dyDescent="0.25">
      <c r="H2110" s="37"/>
      <c r="I2110" s="79"/>
      <c r="J2110" s="70"/>
      <c r="K2110" s="57"/>
      <c r="L2110" s="11"/>
      <c r="M2110" s="41"/>
      <c r="N2110" s="11"/>
    </row>
    <row r="2111" spans="8:14" x14ac:dyDescent="0.25">
      <c r="H2111" s="37"/>
      <c r="I2111" s="79"/>
      <c r="J2111" s="70"/>
      <c r="K2111" s="57"/>
      <c r="L2111" s="11"/>
      <c r="M2111" s="41"/>
      <c r="N2111" s="11"/>
    </row>
    <row r="2112" spans="8:14" x14ac:dyDescent="0.25">
      <c r="H2112" s="37"/>
      <c r="I2112" s="79"/>
      <c r="J2112" s="70"/>
      <c r="K2112" s="57"/>
      <c r="L2112" s="11"/>
      <c r="M2112" s="41"/>
      <c r="N2112" s="11"/>
    </row>
    <row r="2113" spans="8:14" x14ac:dyDescent="0.25">
      <c r="H2113" s="37"/>
      <c r="I2113" s="79"/>
      <c r="J2113" s="70"/>
      <c r="K2113" s="57"/>
      <c r="L2113" s="11"/>
      <c r="M2113" s="41"/>
      <c r="N2113" s="11"/>
    </row>
    <row r="2114" spans="8:14" x14ac:dyDescent="0.25">
      <c r="H2114" s="37"/>
      <c r="I2114" s="79"/>
      <c r="J2114" s="70"/>
      <c r="K2114" s="57"/>
      <c r="L2114" s="11"/>
      <c r="M2114" s="41"/>
      <c r="N2114" s="11"/>
    </row>
    <row r="2115" spans="8:14" x14ac:dyDescent="0.25">
      <c r="H2115" s="37"/>
      <c r="I2115" s="79"/>
      <c r="J2115" s="70"/>
      <c r="K2115" s="57"/>
      <c r="L2115" s="11"/>
      <c r="M2115" s="41"/>
      <c r="N2115" s="11"/>
    </row>
    <row r="2116" spans="8:14" x14ac:dyDescent="0.25">
      <c r="H2116" s="37"/>
      <c r="I2116" s="79"/>
      <c r="J2116" s="70"/>
      <c r="K2116" s="57"/>
      <c r="L2116" s="11"/>
      <c r="M2116" s="41"/>
      <c r="N2116" s="11"/>
    </row>
    <row r="2117" spans="8:14" x14ac:dyDescent="0.25">
      <c r="H2117" s="37"/>
      <c r="I2117" s="79"/>
      <c r="J2117" s="70"/>
      <c r="K2117" s="57"/>
      <c r="L2117" s="11"/>
      <c r="M2117" s="41"/>
      <c r="N2117" s="11"/>
    </row>
    <row r="2118" spans="8:14" x14ac:dyDescent="0.25">
      <c r="H2118" s="37"/>
      <c r="I2118" s="79"/>
      <c r="J2118" s="70"/>
      <c r="K2118" s="57"/>
      <c r="L2118" s="11"/>
      <c r="M2118" s="41"/>
      <c r="N2118" s="11"/>
    </row>
    <row r="2119" spans="8:14" x14ac:dyDescent="0.25">
      <c r="H2119" s="37"/>
      <c r="I2119" s="79"/>
      <c r="J2119" s="70"/>
      <c r="K2119" s="57"/>
      <c r="L2119" s="11"/>
      <c r="M2119" s="41"/>
      <c r="N2119" s="11"/>
    </row>
    <row r="2120" spans="8:14" x14ac:dyDescent="0.25">
      <c r="H2120" s="37"/>
      <c r="I2120" s="79"/>
      <c r="J2120" s="70"/>
      <c r="K2120" s="57"/>
      <c r="L2120" s="11"/>
      <c r="M2120" s="41"/>
      <c r="N2120" s="11"/>
    </row>
    <row r="2121" spans="8:14" x14ac:dyDescent="0.25">
      <c r="H2121" s="37"/>
      <c r="I2121" s="79"/>
      <c r="J2121" s="70"/>
      <c r="K2121" s="57"/>
      <c r="L2121" s="11"/>
      <c r="M2121" s="41"/>
      <c r="N2121" s="11"/>
    </row>
    <row r="2122" spans="8:14" x14ac:dyDescent="0.25">
      <c r="H2122" s="37"/>
      <c r="I2122" s="79"/>
      <c r="J2122" s="70"/>
      <c r="K2122" s="57"/>
      <c r="L2122" s="11"/>
      <c r="M2122" s="41"/>
      <c r="N2122" s="11"/>
    </row>
    <row r="2123" spans="8:14" x14ac:dyDescent="0.25">
      <c r="H2123" s="37"/>
      <c r="I2123" s="79"/>
      <c r="J2123" s="70"/>
      <c r="K2123" s="57"/>
      <c r="L2123" s="11"/>
      <c r="M2123" s="41"/>
      <c r="N2123" s="11"/>
    </row>
    <row r="2124" spans="8:14" x14ac:dyDescent="0.25">
      <c r="H2124" s="37"/>
      <c r="I2124" s="79"/>
      <c r="J2124" s="70"/>
      <c r="K2124" s="57"/>
      <c r="L2124" s="11"/>
      <c r="M2124" s="41"/>
      <c r="N2124" s="11"/>
    </row>
    <row r="2125" spans="8:14" x14ac:dyDescent="0.25">
      <c r="H2125" s="37"/>
      <c r="I2125" s="79"/>
      <c r="J2125" s="70"/>
      <c r="K2125" s="57"/>
      <c r="L2125" s="11"/>
      <c r="M2125" s="41"/>
      <c r="N2125" s="11"/>
    </row>
    <row r="2126" spans="8:14" x14ac:dyDescent="0.25">
      <c r="H2126" s="37"/>
      <c r="I2126" s="79"/>
      <c r="J2126" s="70"/>
      <c r="K2126" s="57"/>
      <c r="L2126" s="11"/>
      <c r="M2126" s="41"/>
      <c r="N2126" s="11"/>
    </row>
    <row r="2127" spans="8:14" x14ac:dyDescent="0.25">
      <c r="H2127" s="37"/>
      <c r="I2127" s="79"/>
      <c r="J2127" s="70"/>
      <c r="K2127" s="57"/>
      <c r="L2127" s="11"/>
      <c r="M2127" s="41"/>
      <c r="N2127" s="11"/>
    </row>
    <row r="2128" spans="8:14" x14ac:dyDescent="0.25">
      <c r="H2128" s="37"/>
      <c r="I2128" s="79"/>
      <c r="J2128" s="70"/>
      <c r="K2128" s="57"/>
      <c r="L2128" s="11"/>
      <c r="M2128" s="41"/>
      <c r="N2128" s="11"/>
    </row>
    <row r="2129" spans="8:14" x14ac:dyDescent="0.25">
      <c r="H2129" s="37"/>
      <c r="I2129" s="79"/>
      <c r="J2129" s="70"/>
      <c r="K2129" s="57"/>
      <c r="L2129" s="11"/>
      <c r="M2129" s="41"/>
      <c r="N2129" s="11"/>
    </row>
    <row r="2130" spans="8:14" x14ac:dyDescent="0.25">
      <c r="H2130" s="37"/>
      <c r="I2130" s="79"/>
      <c r="J2130" s="70"/>
      <c r="K2130" s="57"/>
      <c r="L2130" s="11"/>
      <c r="M2130" s="41"/>
      <c r="N2130" s="11"/>
    </row>
    <row r="2131" spans="8:14" x14ac:dyDescent="0.25">
      <c r="H2131" s="37"/>
      <c r="I2131" s="79"/>
      <c r="J2131" s="70"/>
      <c r="K2131" s="57"/>
      <c r="L2131" s="11"/>
      <c r="M2131" s="41"/>
      <c r="N2131" s="11"/>
    </row>
    <row r="2132" spans="8:14" x14ac:dyDescent="0.25">
      <c r="H2132" s="37"/>
      <c r="I2132" s="79"/>
      <c r="J2132" s="70"/>
      <c r="K2132" s="57"/>
      <c r="L2132" s="11"/>
      <c r="M2132" s="41"/>
      <c r="N2132" s="11"/>
    </row>
    <row r="2133" spans="8:14" x14ac:dyDescent="0.25">
      <c r="H2133" s="37"/>
      <c r="I2133" s="79"/>
      <c r="J2133" s="70"/>
      <c r="K2133" s="57"/>
      <c r="L2133" s="11"/>
      <c r="M2133" s="41"/>
      <c r="N2133" s="11"/>
    </row>
    <row r="2134" spans="8:14" x14ac:dyDescent="0.25">
      <c r="H2134" s="37"/>
      <c r="I2134" s="79"/>
      <c r="J2134" s="70"/>
      <c r="K2134" s="57"/>
      <c r="L2134" s="11"/>
      <c r="M2134" s="41"/>
      <c r="N2134" s="11"/>
    </row>
    <row r="2135" spans="8:14" x14ac:dyDescent="0.25">
      <c r="H2135" s="37"/>
      <c r="I2135" s="79"/>
      <c r="J2135" s="70"/>
      <c r="K2135" s="57"/>
      <c r="L2135" s="11"/>
      <c r="M2135" s="41"/>
      <c r="N2135" s="11"/>
    </row>
    <row r="2136" spans="8:14" x14ac:dyDescent="0.25">
      <c r="H2136" s="37"/>
      <c r="I2136" s="79"/>
      <c r="J2136" s="70"/>
      <c r="K2136" s="57"/>
      <c r="L2136" s="11"/>
      <c r="M2136" s="41"/>
      <c r="N2136" s="11"/>
    </row>
    <row r="2137" spans="8:14" x14ac:dyDescent="0.25">
      <c r="H2137" s="37"/>
      <c r="I2137" s="79"/>
      <c r="J2137" s="70"/>
      <c r="K2137" s="57"/>
      <c r="L2137" s="11"/>
      <c r="M2137" s="41"/>
      <c r="N2137" s="11"/>
    </row>
    <row r="2138" spans="8:14" x14ac:dyDescent="0.25">
      <c r="H2138" s="37"/>
      <c r="I2138" s="79"/>
      <c r="J2138" s="70"/>
      <c r="K2138" s="57"/>
      <c r="L2138" s="11"/>
      <c r="M2138" s="41"/>
      <c r="N2138" s="11"/>
    </row>
    <row r="2139" spans="8:14" x14ac:dyDescent="0.25">
      <c r="H2139" s="37"/>
      <c r="I2139" s="79"/>
      <c r="J2139" s="70"/>
      <c r="K2139" s="57"/>
      <c r="L2139" s="11"/>
      <c r="M2139" s="41"/>
      <c r="N2139" s="11"/>
    </row>
    <row r="2140" spans="8:14" x14ac:dyDescent="0.25">
      <c r="H2140" s="37"/>
      <c r="I2140" s="79"/>
      <c r="J2140" s="70"/>
      <c r="K2140" s="57"/>
      <c r="L2140" s="11"/>
      <c r="M2140" s="41"/>
      <c r="N2140" s="11"/>
    </row>
    <row r="2141" spans="8:14" x14ac:dyDescent="0.25">
      <c r="H2141" s="37"/>
      <c r="I2141" s="79"/>
      <c r="J2141" s="70"/>
      <c r="K2141" s="57"/>
      <c r="L2141" s="11"/>
      <c r="M2141" s="41"/>
      <c r="N2141" s="11"/>
    </row>
    <row r="2142" spans="8:14" x14ac:dyDescent="0.25">
      <c r="H2142" s="37"/>
      <c r="I2142" s="79"/>
      <c r="J2142" s="70"/>
      <c r="K2142" s="57"/>
      <c r="L2142" s="11"/>
      <c r="M2142" s="41"/>
      <c r="N2142" s="11"/>
    </row>
    <row r="2143" spans="8:14" x14ac:dyDescent="0.25">
      <c r="H2143" s="37"/>
      <c r="I2143" s="79"/>
      <c r="J2143" s="70"/>
      <c r="K2143" s="57"/>
      <c r="L2143" s="11"/>
      <c r="M2143" s="41"/>
      <c r="N2143" s="11"/>
    </row>
    <row r="2144" spans="8:14" x14ac:dyDescent="0.25">
      <c r="H2144" s="37"/>
      <c r="I2144" s="79"/>
      <c r="J2144" s="70"/>
      <c r="K2144" s="57"/>
      <c r="L2144" s="11"/>
      <c r="M2144" s="41"/>
      <c r="N2144" s="11"/>
    </row>
    <row r="2145" spans="8:14" x14ac:dyDescent="0.25">
      <c r="H2145" s="37"/>
      <c r="I2145" s="79"/>
      <c r="J2145" s="70"/>
      <c r="K2145" s="57"/>
      <c r="L2145" s="11"/>
      <c r="M2145" s="41"/>
      <c r="N2145" s="11"/>
    </row>
    <row r="2146" spans="8:14" x14ac:dyDescent="0.25">
      <c r="H2146" s="37"/>
      <c r="I2146" s="79"/>
      <c r="J2146" s="70"/>
      <c r="K2146" s="57"/>
      <c r="L2146" s="11"/>
      <c r="M2146" s="41"/>
      <c r="N2146" s="11"/>
    </row>
    <row r="2147" spans="8:14" x14ac:dyDescent="0.25">
      <c r="H2147" s="37"/>
      <c r="I2147" s="79"/>
      <c r="J2147" s="70"/>
      <c r="K2147" s="57"/>
      <c r="L2147" s="11"/>
      <c r="M2147" s="41"/>
      <c r="N2147" s="11"/>
    </row>
    <row r="2148" spans="8:14" x14ac:dyDescent="0.25">
      <c r="H2148" s="37"/>
      <c r="I2148" s="79"/>
      <c r="J2148" s="70"/>
      <c r="K2148" s="57"/>
      <c r="L2148" s="11"/>
      <c r="M2148" s="41"/>
      <c r="N2148" s="11"/>
    </row>
    <row r="2149" spans="8:14" x14ac:dyDescent="0.25">
      <c r="H2149" s="37"/>
      <c r="I2149" s="79"/>
      <c r="J2149" s="70"/>
      <c r="K2149" s="57"/>
      <c r="L2149" s="11"/>
      <c r="M2149" s="41"/>
      <c r="N2149" s="11"/>
    </row>
    <row r="2150" spans="8:14" x14ac:dyDescent="0.25">
      <c r="H2150" s="37"/>
      <c r="I2150" s="79"/>
      <c r="J2150" s="70"/>
      <c r="K2150" s="57"/>
      <c r="L2150" s="11"/>
      <c r="M2150" s="41"/>
      <c r="N2150" s="11"/>
    </row>
    <row r="2151" spans="8:14" x14ac:dyDescent="0.25">
      <c r="H2151" s="37"/>
      <c r="I2151" s="79"/>
      <c r="J2151" s="70"/>
      <c r="K2151" s="57"/>
      <c r="L2151" s="11"/>
      <c r="M2151" s="41"/>
      <c r="N2151" s="11"/>
    </row>
    <row r="2152" spans="8:14" x14ac:dyDescent="0.25">
      <c r="H2152" s="37"/>
      <c r="I2152" s="79"/>
      <c r="J2152" s="70"/>
      <c r="K2152" s="57"/>
      <c r="L2152" s="11"/>
      <c r="M2152" s="41"/>
      <c r="N2152" s="11"/>
    </row>
    <row r="2153" spans="8:14" x14ac:dyDescent="0.25">
      <c r="H2153" s="37"/>
      <c r="I2153" s="79"/>
      <c r="J2153" s="70"/>
      <c r="K2153" s="57"/>
      <c r="L2153" s="11"/>
      <c r="M2153" s="41"/>
      <c r="N2153" s="11"/>
    </row>
    <row r="2154" spans="8:14" x14ac:dyDescent="0.25">
      <c r="H2154" s="37"/>
      <c r="I2154" s="79"/>
      <c r="J2154" s="70"/>
      <c r="K2154" s="57"/>
      <c r="L2154" s="11"/>
      <c r="M2154" s="41"/>
      <c r="N2154" s="11"/>
    </row>
    <row r="2155" spans="8:14" x14ac:dyDescent="0.25">
      <c r="H2155" s="37"/>
      <c r="I2155" s="79"/>
      <c r="J2155" s="70"/>
      <c r="K2155" s="57"/>
      <c r="L2155" s="11"/>
      <c r="M2155" s="41"/>
      <c r="N2155" s="11"/>
    </row>
    <row r="2156" spans="8:14" x14ac:dyDescent="0.25">
      <c r="H2156" s="37"/>
      <c r="I2156" s="79"/>
      <c r="J2156" s="70"/>
      <c r="K2156" s="57"/>
      <c r="L2156" s="11"/>
      <c r="M2156" s="41"/>
      <c r="N2156" s="11"/>
    </row>
    <row r="2157" spans="8:14" x14ac:dyDescent="0.25">
      <c r="H2157" s="37"/>
      <c r="I2157" s="79"/>
      <c r="J2157" s="70"/>
      <c r="K2157" s="57"/>
      <c r="L2157" s="11"/>
      <c r="M2157" s="41"/>
      <c r="N2157" s="11"/>
    </row>
    <row r="2158" spans="8:14" x14ac:dyDescent="0.25">
      <c r="H2158" s="37"/>
      <c r="I2158" s="79"/>
      <c r="J2158" s="70"/>
      <c r="K2158" s="57"/>
      <c r="L2158" s="11"/>
      <c r="M2158" s="41"/>
      <c r="N2158" s="11"/>
    </row>
    <row r="2159" spans="8:14" x14ac:dyDescent="0.25">
      <c r="H2159" s="37"/>
      <c r="I2159" s="79"/>
      <c r="J2159" s="70"/>
      <c r="K2159" s="57"/>
      <c r="L2159" s="11"/>
      <c r="M2159" s="41"/>
      <c r="N2159" s="11"/>
    </row>
    <row r="2160" spans="8:14" x14ac:dyDescent="0.25">
      <c r="H2160" s="37"/>
      <c r="I2160" s="79"/>
      <c r="J2160" s="70"/>
      <c r="K2160" s="57"/>
      <c r="L2160" s="11"/>
      <c r="M2160" s="41"/>
      <c r="N2160" s="11"/>
    </row>
    <row r="2161" spans="8:14" x14ac:dyDescent="0.25">
      <c r="H2161" s="37"/>
      <c r="I2161" s="79"/>
      <c r="J2161" s="70"/>
      <c r="K2161" s="57"/>
      <c r="L2161" s="11"/>
      <c r="M2161" s="41"/>
      <c r="N2161" s="11"/>
    </row>
    <row r="2162" spans="8:14" x14ac:dyDescent="0.25">
      <c r="H2162" s="37"/>
      <c r="I2162" s="79"/>
      <c r="J2162" s="70"/>
      <c r="K2162" s="57"/>
      <c r="L2162" s="11"/>
      <c r="M2162" s="41"/>
      <c r="N2162" s="11"/>
    </row>
    <row r="2163" spans="8:14" x14ac:dyDescent="0.25">
      <c r="H2163" s="37"/>
      <c r="I2163" s="79"/>
      <c r="J2163" s="70"/>
      <c r="K2163" s="57"/>
      <c r="L2163" s="11"/>
      <c r="M2163" s="41"/>
      <c r="N2163" s="11"/>
    </row>
    <row r="2164" spans="8:14" x14ac:dyDescent="0.25">
      <c r="H2164" s="37"/>
      <c r="I2164" s="79"/>
      <c r="J2164" s="70"/>
      <c r="K2164" s="57"/>
      <c r="L2164" s="11"/>
      <c r="M2164" s="41"/>
      <c r="N2164" s="11"/>
    </row>
    <row r="2165" spans="8:14" x14ac:dyDescent="0.25">
      <c r="H2165" s="37"/>
      <c r="I2165" s="79"/>
      <c r="J2165" s="70"/>
      <c r="K2165" s="57"/>
      <c r="L2165" s="11"/>
      <c r="M2165" s="41"/>
      <c r="N2165" s="11"/>
    </row>
    <row r="2166" spans="8:14" x14ac:dyDescent="0.25">
      <c r="H2166" s="37"/>
      <c r="I2166" s="79"/>
      <c r="J2166" s="70"/>
      <c r="K2166" s="57"/>
      <c r="L2166" s="11"/>
      <c r="M2166" s="41"/>
      <c r="N2166" s="11"/>
    </row>
    <row r="2167" spans="8:14" x14ac:dyDescent="0.25">
      <c r="H2167" s="37"/>
      <c r="I2167" s="79"/>
      <c r="J2167" s="70"/>
      <c r="K2167" s="57"/>
      <c r="L2167" s="11"/>
      <c r="M2167" s="41"/>
      <c r="N2167" s="11"/>
    </row>
    <row r="2168" spans="8:14" x14ac:dyDescent="0.25">
      <c r="H2168" s="37"/>
      <c r="I2168" s="79"/>
      <c r="J2168" s="70"/>
      <c r="K2168" s="57"/>
      <c r="L2168" s="11"/>
      <c r="M2168" s="41"/>
      <c r="N2168" s="11"/>
    </row>
    <row r="2169" spans="8:14" x14ac:dyDescent="0.25">
      <c r="H2169" s="37"/>
      <c r="I2169" s="79"/>
      <c r="J2169" s="70"/>
      <c r="K2169" s="57"/>
      <c r="L2169" s="11"/>
      <c r="M2169" s="41"/>
      <c r="N2169" s="11"/>
    </row>
    <row r="2170" spans="8:14" x14ac:dyDescent="0.25">
      <c r="H2170" s="37"/>
      <c r="I2170" s="79"/>
      <c r="J2170" s="70"/>
      <c r="K2170" s="57"/>
      <c r="L2170" s="11"/>
      <c r="M2170" s="41"/>
      <c r="N2170" s="11"/>
    </row>
    <row r="2171" spans="8:14" x14ac:dyDescent="0.25">
      <c r="H2171" s="37"/>
      <c r="I2171" s="79"/>
      <c r="J2171" s="70"/>
      <c r="K2171" s="57"/>
      <c r="L2171" s="11"/>
      <c r="M2171" s="41"/>
      <c r="N2171" s="11"/>
    </row>
    <row r="2172" spans="8:14" x14ac:dyDescent="0.25">
      <c r="H2172" s="37"/>
      <c r="I2172" s="79"/>
      <c r="J2172" s="70"/>
      <c r="K2172" s="57"/>
      <c r="L2172" s="11"/>
      <c r="M2172" s="41"/>
      <c r="N2172" s="11"/>
    </row>
    <row r="2173" spans="8:14" x14ac:dyDescent="0.25">
      <c r="H2173" s="37"/>
      <c r="I2173" s="79"/>
      <c r="J2173" s="70"/>
      <c r="K2173" s="57"/>
      <c r="L2173" s="11"/>
      <c r="M2173" s="41"/>
      <c r="N2173" s="11"/>
    </row>
    <row r="2174" spans="8:14" x14ac:dyDescent="0.25">
      <c r="H2174" s="37"/>
      <c r="I2174" s="79"/>
      <c r="J2174" s="70"/>
      <c r="K2174" s="57"/>
      <c r="L2174" s="11"/>
      <c r="M2174" s="41"/>
      <c r="N2174" s="11"/>
    </row>
    <row r="2175" spans="8:14" x14ac:dyDescent="0.25">
      <c r="H2175" s="37"/>
      <c r="I2175" s="79"/>
      <c r="J2175" s="70"/>
      <c r="K2175" s="57"/>
      <c r="L2175" s="11"/>
      <c r="M2175" s="41"/>
      <c r="N2175" s="11"/>
    </row>
    <row r="2176" spans="8:14" x14ac:dyDescent="0.25">
      <c r="H2176" s="37"/>
      <c r="I2176" s="79"/>
      <c r="J2176" s="70"/>
      <c r="K2176" s="57"/>
      <c r="L2176" s="11"/>
      <c r="M2176" s="41"/>
      <c r="N2176" s="11"/>
    </row>
    <row r="2177" spans="8:14" x14ac:dyDescent="0.25">
      <c r="H2177" s="37"/>
      <c r="I2177" s="79"/>
      <c r="J2177" s="70"/>
      <c r="K2177" s="57"/>
      <c r="L2177" s="11"/>
      <c r="M2177" s="41"/>
      <c r="N2177" s="11"/>
    </row>
    <row r="2178" spans="8:14" x14ac:dyDescent="0.25">
      <c r="H2178" s="37"/>
      <c r="I2178" s="79"/>
      <c r="J2178" s="70"/>
      <c r="K2178" s="57"/>
      <c r="L2178" s="11"/>
      <c r="M2178" s="41"/>
      <c r="N2178" s="11"/>
    </row>
    <row r="2179" spans="8:14" x14ac:dyDescent="0.25">
      <c r="H2179" s="37"/>
      <c r="I2179" s="79"/>
      <c r="J2179" s="70"/>
      <c r="K2179" s="57"/>
      <c r="L2179" s="11"/>
      <c r="M2179" s="41"/>
      <c r="N2179" s="11"/>
    </row>
    <row r="2180" spans="8:14" x14ac:dyDescent="0.25">
      <c r="H2180" s="37"/>
      <c r="I2180" s="79"/>
      <c r="J2180" s="70"/>
      <c r="K2180" s="57"/>
      <c r="L2180" s="11"/>
      <c r="M2180" s="41"/>
      <c r="N2180" s="11"/>
    </row>
    <row r="2181" spans="8:14" x14ac:dyDescent="0.25">
      <c r="H2181" s="37"/>
      <c r="I2181" s="79"/>
      <c r="J2181" s="70"/>
      <c r="K2181" s="57"/>
      <c r="L2181" s="11"/>
      <c r="M2181" s="41"/>
      <c r="N2181" s="11"/>
    </row>
    <row r="2182" spans="8:14" x14ac:dyDescent="0.25">
      <c r="H2182" s="37"/>
      <c r="I2182" s="79"/>
      <c r="J2182" s="70"/>
      <c r="K2182" s="57"/>
      <c r="L2182" s="11"/>
      <c r="M2182" s="41"/>
      <c r="N2182" s="11"/>
    </row>
    <row r="2183" spans="8:14" x14ac:dyDescent="0.25">
      <c r="H2183" s="37"/>
      <c r="I2183" s="79"/>
      <c r="J2183" s="70"/>
      <c r="K2183" s="57"/>
      <c r="L2183" s="11"/>
      <c r="M2183" s="41"/>
      <c r="N2183" s="11"/>
    </row>
    <row r="2184" spans="8:14" x14ac:dyDescent="0.25">
      <c r="H2184" s="37"/>
      <c r="I2184" s="79"/>
      <c r="J2184" s="70"/>
      <c r="K2184" s="57"/>
      <c r="L2184" s="11"/>
      <c r="M2184" s="41"/>
      <c r="N2184" s="11"/>
    </row>
    <row r="2185" spans="8:14" x14ac:dyDescent="0.25">
      <c r="H2185" s="37"/>
      <c r="I2185" s="79"/>
      <c r="J2185" s="70"/>
      <c r="K2185" s="57"/>
      <c r="L2185" s="11"/>
      <c r="M2185" s="41"/>
      <c r="N2185" s="11"/>
    </row>
    <row r="2186" spans="8:14" x14ac:dyDescent="0.25">
      <c r="H2186" s="37"/>
      <c r="I2186" s="79"/>
      <c r="J2186" s="70"/>
      <c r="K2186" s="57"/>
      <c r="L2186" s="11"/>
      <c r="M2186" s="41"/>
      <c r="N2186" s="11"/>
    </row>
    <row r="2187" spans="8:14" x14ac:dyDescent="0.25">
      <c r="H2187" s="37"/>
      <c r="I2187" s="79"/>
      <c r="J2187" s="70"/>
      <c r="K2187" s="57"/>
      <c r="L2187" s="11"/>
      <c r="M2187" s="41"/>
      <c r="N2187" s="11"/>
    </row>
    <row r="2188" spans="8:14" x14ac:dyDescent="0.25">
      <c r="H2188" s="37"/>
      <c r="I2188" s="79"/>
      <c r="J2188" s="70"/>
      <c r="K2188" s="57"/>
      <c r="L2188" s="11"/>
      <c r="M2188" s="41"/>
      <c r="N2188" s="11"/>
    </row>
    <row r="2189" spans="8:14" x14ac:dyDescent="0.25">
      <c r="H2189" s="37"/>
      <c r="I2189" s="79"/>
      <c r="J2189" s="70"/>
      <c r="K2189" s="57"/>
      <c r="L2189" s="11"/>
      <c r="M2189" s="41"/>
      <c r="N2189" s="11"/>
    </row>
    <row r="2190" spans="8:14" x14ac:dyDescent="0.25">
      <c r="H2190" s="37"/>
      <c r="I2190" s="79"/>
      <c r="J2190" s="70"/>
      <c r="K2190" s="57"/>
      <c r="L2190" s="11"/>
      <c r="M2190" s="41"/>
      <c r="N2190" s="11"/>
    </row>
    <row r="2191" spans="8:14" x14ac:dyDescent="0.25">
      <c r="H2191" s="37"/>
      <c r="I2191" s="79"/>
      <c r="J2191" s="70"/>
      <c r="K2191" s="57"/>
      <c r="L2191" s="11"/>
      <c r="M2191" s="41"/>
      <c r="N2191" s="11"/>
    </row>
    <row r="2192" spans="8:14" x14ac:dyDescent="0.25">
      <c r="H2192" s="37"/>
      <c r="I2192" s="79"/>
      <c r="J2192" s="70"/>
      <c r="K2192" s="57"/>
      <c r="L2192" s="11"/>
      <c r="M2192" s="41"/>
      <c r="N2192" s="11"/>
    </row>
    <row r="2193" spans="8:14" x14ac:dyDescent="0.25">
      <c r="H2193" s="37"/>
      <c r="I2193" s="79"/>
      <c r="J2193" s="70"/>
      <c r="K2193" s="57"/>
      <c r="L2193" s="11"/>
      <c r="M2193" s="41"/>
      <c r="N2193" s="11"/>
    </row>
    <row r="2194" spans="8:14" x14ac:dyDescent="0.25">
      <c r="H2194" s="37"/>
      <c r="I2194" s="79"/>
      <c r="J2194" s="70"/>
      <c r="K2194" s="57"/>
      <c r="L2194" s="11"/>
      <c r="M2194" s="41"/>
      <c r="N2194" s="11"/>
    </row>
    <row r="2195" spans="8:14" x14ac:dyDescent="0.25">
      <c r="H2195" s="37"/>
      <c r="I2195" s="79"/>
      <c r="J2195" s="70"/>
      <c r="K2195" s="57"/>
      <c r="L2195" s="11"/>
      <c r="M2195" s="41"/>
      <c r="N2195" s="11"/>
    </row>
    <row r="2196" spans="8:14" x14ac:dyDescent="0.25">
      <c r="H2196" s="37"/>
      <c r="I2196" s="79"/>
      <c r="J2196" s="70"/>
      <c r="K2196" s="57"/>
      <c r="L2196" s="11"/>
      <c r="M2196" s="41"/>
      <c r="N2196" s="11"/>
    </row>
    <row r="2197" spans="8:14" x14ac:dyDescent="0.25">
      <c r="H2197" s="37"/>
      <c r="I2197" s="79"/>
      <c r="J2197" s="70"/>
      <c r="K2197" s="57"/>
      <c r="L2197" s="11"/>
      <c r="M2197" s="41"/>
      <c r="N2197" s="11"/>
    </row>
    <row r="2198" spans="8:14" x14ac:dyDescent="0.25">
      <c r="H2198" s="37"/>
      <c r="I2198" s="79"/>
      <c r="J2198" s="70"/>
      <c r="K2198" s="57"/>
      <c r="L2198" s="11"/>
      <c r="M2198" s="41"/>
      <c r="N2198" s="11"/>
    </row>
    <row r="2199" spans="8:14" x14ac:dyDescent="0.25">
      <c r="H2199" s="37"/>
      <c r="I2199" s="79"/>
      <c r="J2199" s="70"/>
      <c r="K2199" s="57"/>
      <c r="L2199" s="11"/>
      <c r="M2199" s="41"/>
      <c r="N2199" s="11"/>
    </row>
    <row r="2200" spans="8:14" x14ac:dyDescent="0.25">
      <c r="H2200" s="37"/>
      <c r="I2200" s="79"/>
      <c r="J2200" s="70"/>
      <c r="K2200" s="57"/>
      <c r="L2200" s="11"/>
      <c r="M2200" s="41"/>
      <c r="N2200" s="11"/>
    </row>
    <row r="2201" spans="8:14" x14ac:dyDescent="0.25">
      <c r="H2201" s="37"/>
      <c r="I2201" s="79"/>
      <c r="J2201" s="70"/>
      <c r="K2201" s="57"/>
      <c r="L2201" s="11"/>
      <c r="M2201" s="41"/>
      <c r="N2201" s="11"/>
    </row>
    <row r="2202" spans="8:14" x14ac:dyDescent="0.25">
      <c r="H2202" s="37"/>
      <c r="I2202" s="79"/>
      <c r="J2202" s="70"/>
      <c r="K2202" s="57"/>
      <c r="L2202" s="11"/>
      <c r="M2202" s="41"/>
      <c r="N2202" s="11"/>
    </row>
    <row r="2203" spans="8:14" x14ac:dyDescent="0.25">
      <c r="H2203" s="37"/>
      <c r="I2203" s="79"/>
      <c r="J2203" s="70"/>
      <c r="K2203" s="57"/>
      <c r="L2203" s="11"/>
      <c r="M2203" s="41"/>
      <c r="N2203" s="11"/>
    </row>
    <row r="2204" spans="8:14" x14ac:dyDescent="0.25">
      <c r="H2204" s="37"/>
      <c r="I2204" s="79"/>
      <c r="J2204" s="70"/>
      <c r="K2204" s="57"/>
      <c r="L2204" s="11"/>
      <c r="M2204" s="41"/>
      <c r="N2204" s="11"/>
    </row>
    <row r="2205" spans="8:14" x14ac:dyDescent="0.25">
      <c r="H2205" s="37"/>
      <c r="I2205" s="79"/>
      <c r="J2205" s="70"/>
      <c r="K2205" s="57"/>
      <c r="L2205" s="11"/>
      <c r="M2205" s="41"/>
      <c r="N2205" s="11"/>
    </row>
    <row r="2206" spans="8:14" x14ac:dyDescent="0.25">
      <c r="H2206" s="37"/>
      <c r="I2206" s="79"/>
      <c r="J2206" s="70"/>
      <c r="K2206" s="57"/>
      <c r="L2206" s="11"/>
      <c r="M2206" s="41"/>
      <c r="N2206" s="11"/>
    </row>
    <row r="2207" spans="8:14" x14ac:dyDescent="0.25">
      <c r="H2207" s="37"/>
      <c r="I2207" s="79"/>
      <c r="J2207" s="70"/>
      <c r="K2207" s="57"/>
      <c r="L2207" s="11"/>
      <c r="M2207" s="41"/>
      <c r="N2207" s="11"/>
    </row>
    <row r="2208" spans="8:14" x14ac:dyDescent="0.25">
      <c r="H2208" s="37"/>
      <c r="I2208" s="79"/>
      <c r="J2208" s="70"/>
      <c r="K2208" s="57"/>
      <c r="L2208" s="11"/>
      <c r="M2208" s="41"/>
      <c r="N2208" s="11"/>
    </row>
    <row r="2209" spans="8:14" x14ac:dyDescent="0.25">
      <c r="H2209" s="37"/>
      <c r="I2209" s="79"/>
      <c r="J2209" s="70"/>
      <c r="K2209" s="57"/>
      <c r="L2209" s="11"/>
      <c r="M2209" s="41"/>
      <c r="N2209" s="11"/>
    </row>
    <row r="2210" spans="8:14" x14ac:dyDescent="0.25">
      <c r="H2210" s="37"/>
      <c r="I2210" s="79"/>
      <c r="J2210" s="70"/>
      <c r="K2210" s="57"/>
      <c r="L2210" s="11"/>
      <c r="M2210" s="41"/>
      <c r="N2210" s="11"/>
    </row>
    <row r="2211" spans="8:14" x14ac:dyDescent="0.25">
      <c r="H2211" s="37"/>
      <c r="I2211" s="79"/>
      <c r="J2211" s="70"/>
      <c r="K2211" s="57"/>
      <c r="L2211" s="11"/>
      <c r="M2211" s="41"/>
      <c r="N2211" s="11"/>
    </row>
    <row r="2212" spans="8:14" x14ac:dyDescent="0.25">
      <c r="H2212" s="37"/>
      <c r="I2212" s="79"/>
      <c r="J2212" s="70"/>
      <c r="K2212" s="57"/>
      <c r="L2212" s="11"/>
      <c r="M2212" s="41"/>
      <c r="N2212" s="11"/>
    </row>
    <row r="2213" spans="8:14" x14ac:dyDescent="0.25">
      <c r="H2213" s="37"/>
      <c r="I2213" s="79"/>
      <c r="J2213" s="70"/>
      <c r="K2213" s="57"/>
      <c r="L2213" s="11"/>
      <c r="M2213" s="41"/>
      <c r="N2213" s="11"/>
    </row>
    <row r="2214" spans="8:14" x14ac:dyDescent="0.25">
      <c r="H2214" s="37"/>
      <c r="I2214" s="79"/>
      <c r="J2214" s="70"/>
      <c r="K2214" s="57"/>
      <c r="L2214" s="11"/>
      <c r="M2214" s="41"/>
      <c r="N2214" s="11"/>
    </row>
    <row r="2215" spans="8:14" x14ac:dyDescent="0.25">
      <c r="H2215" s="37"/>
      <c r="I2215" s="79"/>
      <c r="J2215" s="70"/>
      <c r="K2215" s="57"/>
      <c r="L2215" s="11"/>
      <c r="M2215" s="41"/>
      <c r="N2215" s="11"/>
    </row>
    <row r="2216" spans="8:14" x14ac:dyDescent="0.25">
      <c r="H2216" s="37"/>
      <c r="I2216" s="79"/>
      <c r="J2216" s="70"/>
      <c r="K2216" s="57"/>
      <c r="L2216" s="11"/>
      <c r="M2216" s="41"/>
      <c r="N2216" s="11"/>
    </row>
    <row r="2217" spans="8:14" x14ac:dyDescent="0.25">
      <c r="H2217" s="37"/>
      <c r="I2217" s="79"/>
      <c r="J2217" s="70"/>
      <c r="K2217" s="57"/>
      <c r="L2217" s="11"/>
      <c r="M2217" s="41"/>
      <c r="N2217" s="11"/>
    </row>
    <row r="2218" spans="8:14" x14ac:dyDescent="0.25">
      <c r="H2218" s="37"/>
      <c r="I2218" s="79"/>
      <c r="J2218" s="70"/>
      <c r="K2218" s="57"/>
      <c r="L2218" s="11"/>
      <c r="M2218" s="41"/>
      <c r="N2218" s="11"/>
    </row>
    <row r="2219" spans="8:14" x14ac:dyDescent="0.25">
      <c r="H2219" s="37"/>
      <c r="I2219" s="79"/>
      <c r="J2219" s="70"/>
      <c r="K2219" s="57"/>
      <c r="L2219" s="11"/>
      <c r="M2219" s="41"/>
      <c r="N2219" s="11"/>
    </row>
    <row r="2220" spans="8:14" x14ac:dyDescent="0.25">
      <c r="H2220" s="37"/>
      <c r="I2220" s="79"/>
      <c r="J2220" s="70"/>
      <c r="K2220" s="57"/>
      <c r="L2220" s="11"/>
      <c r="M2220" s="41"/>
      <c r="N2220" s="11"/>
    </row>
    <row r="2221" spans="8:14" x14ac:dyDescent="0.25">
      <c r="H2221" s="37"/>
      <c r="I2221" s="79"/>
      <c r="J2221" s="70"/>
      <c r="K2221" s="57"/>
      <c r="L2221" s="11"/>
      <c r="M2221" s="41"/>
      <c r="N2221" s="11"/>
    </row>
    <row r="2222" spans="8:14" x14ac:dyDescent="0.25">
      <c r="H2222" s="37"/>
      <c r="I2222" s="79"/>
      <c r="J2222" s="70"/>
      <c r="K2222" s="57"/>
      <c r="L2222" s="11"/>
      <c r="M2222" s="41"/>
      <c r="N2222" s="11"/>
    </row>
    <row r="2223" spans="8:14" x14ac:dyDescent="0.25">
      <c r="H2223" s="37"/>
      <c r="I2223" s="79"/>
      <c r="J2223" s="70"/>
      <c r="K2223" s="57"/>
      <c r="L2223" s="11"/>
      <c r="M2223" s="41"/>
      <c r="N2223" s="11"/>
    </row>
    <row r="2224" spans="8:14" x14ac:dyDescent="0.25">
      <c r="H2224" s="37"/>
      <c r="I2224" s="79"/>
      <c r="J2224" s="70"/>
      <c r="K2224" s="57"/>
      <c r="L2224" s="11"/>
      <c r="M2224" s="41"/>
      <c r="N2224" s="11"/>
    </row>
    <row r="2225" spans="8:14" x14ac:dyDescent="0.25">
      <c r="H2225" s="37"/>
      <c r="I2225" s="79"/>
      <c r="J2225" s="70"/>
      <c r="K2225" s="57"/>
      <c r="L2225" s="11"/>
      <c r="M2225" s="41"/>
      <c r="N2225" s="11"/>
    </row>
    <row r="2226" spans="8:14" x14ac:dyDescent="0.25">
      <c r="H2226" s="37"/>
      <c r="I2226" s="79"/>
      <c r="J2226" s="70"/>
      <c r="K2226" s="57"/>
      <c r="L2226" s="11"/>
      <c r="M2226" s="41"/>
      <c r="N2226" s="11"/>
    </row>
    <row r="2227" spans="8:14" x14ac:dyDescent="0.25">
      <c r="H2227" s="37"/>
      <c r="I2227" s="79"/>
      <c r="J2227" s="70"/>
      <c r="K2227" s="57"/>
      <c r="L2227" s="11"/>
      <c r="M2227" s="41"/>
      <c r="N2227" s="11"/>
    </row>
    <row r="2228" spans="8:14" x14ac:dyDescent="0.25">
      <c r="H2228" s="37"/>
      <c r="I2228" s="79"/>
      <c r="J2228" s="70"/>
      <c r="K2228" s="57"/>
      <c r="L2228" s="11"/>
      <c r="M2228" s="41"/>
      <c r="N2228" s="11"/>
    </row>
    <row r="2229" spans="8:14" x14ac:dyDescent="0.25">
      <c r="H2229" s="37"/>
      <c r="I2229" s="79"/>
      <c r="J2229" s="70"/>
      <c r="K2229" s="57"/>
      <c r="L2229" s="11"/>
      <c r="M2229" s="41"/>
      <c r="N2229" s="11"/>
    </row>
    <row r="2230" spans="8:14" x14ac:dyDescent="0.25">
      <c r="H2230" s="37"/>
      <c r="I2230" s="79"/>
      <c r="J2230" s="70"/>
      <c r="K2230" s="57"/>
      <c r="L2230" s="11"/>
      <c r="M2230" s="41"/>
      <c r="N2230" s="11"/>
    </row>
    <row r="2231" spans="8:14" x14ac:dyDescent="0.25">
      <c r="H2231" s="37"/>
      <c r="I2231" s="79"/>
      <c r="J2231" s="70"/>
      <c r="K2231" s="57"/>
      <c r="L2231" s="11"/>
      <c r="M2231" s="41"/>
      <c r="N2231" s="11"/>
    </row>
    <row r="2232" spans="8:14" x14ac:dyDescent="0.25">
      <c r="H2232" s="37"/>
      <c r="I2232" s="79"/>
      <c r="J2232" s="70"/>
      <c r="K2232" s="57"/>
      <c r="L2232" s="11"/>
      <c r="M2232" s="41"/>
      <c r="N2232" s="11"/>
    </row>
    <row r="2233" spans="8:14" x14ac:dyDescent="0.25">
      <c r="H2233" s="37"/>
      <c r="I2233" s="79"/>
      <c r="J2233" s="70"/>
      <c r="K2233" s="57"/>
      <c r="L2233" s="11"/>
      <c r="M2233" s="41"/>
      <c r="N2233" s="11"/>
    </row>
    <row r="2234" spans="8:14" x14ac:dyDescent="0.25">
      <c r="H2234" s="37"/>
      <c r="I2234" s="79"/>
      <c r="J2234" s="70"/>
      <c r="K2234" s="57"/>
      <c r="L2234" s="11"/>
      <c r="M2234" s="41"/>
      <c r="N2234" s="11"/>
    </row>
    <row r="2235" spans="8:14" x14ac:dyDescent="0.25">
      <c r="H2235" s="37"/>
      <c r="I2235" s="79"/>
      <c r="J2235" s="70"/>
      <c r="K2235" s="57"/>
      <c r="L2235" s="11"/>
      <c r="M2235" s="41"/>
      <c r="N2235" s="11"/>
    </row>
    <row r="2236" spans="8:14" x14ac:dyDescent="0.25">
      <c r="H2236" s="37"/>
      <c r="I2236" s="79"/>
      <c r="J2236" s="70"/>
      <c r="K2236" s="57"/>
      <c r="L2236" s="11"/>
      <c r="M2236" s="41"/>
      <c r="N2236" s="11"/>
    </row>
    <row r="2237" spans="8:14" x14ac:dyDescent="0.25">
      <c r="H2237" s="37"/>
      <c r="I2237" s="79"/>
      <c r="J2237" s="70"/>
      <c r="K2237" s="57"/>
      <c r="L2237" s="11"/>
      <c r="M2237" s="41"/>
      <c r="N2237" s="11"/>
    </row>
    <row r="2238" spans="8:14" x14ac:dyDescent="0.25">
      <c r="H2238" s="37"/>
      <c r="I2238" s="79"/>
      <c r="J2238" s="70"/>
      <c r="K2238" s="57"/>
      <c r="L2238" s="11"/>
      <c r="M2238" s="41"/>
      <c r="N2238" s="11"/>
    </row>
    <row r="2239" spans="8:14" x14ac:dyDescent="0.25">
      <c r="H2239" s="37"/>
      <c r="I2239" s="79"/>
      <c r="J2239" s="70"/>
      <c r="K2239" s="57"/>
      <c r="L2239" s="11"/>
      <c r="M2239" s="41"/>
      <c r="N2239" s="11"/>
    </row>
    <row r="2240" spans="8:14" x14ac:dyDescent="0.25">
      <c r="H2240" s="37"/>
      <c r="I2240" s="79"/>
      <c r="J2240" s="70"/>
      <c r="K2240" s="57"/>
      <c r="L2240" s="11"/>
      <c r="M2240" s="41"/>
      <c r="N2240" s="11"/>
    </row>
    <row r="2241" spans="8:14" x14ac:dyDescent="0.25">
      <c r="H2241" s="37"/>
      <c r="I2241" s="79"/>
      <c r="J2241" s="70"/>
      <c r="K2241" s="57"/>
      <c r="L2241" s="11"/>
      <c r="M2241" s="41"/>
      <c r="N2241" s="11"/>
    </row>
    <row r="2242" spans="8:14" x14ac:dyDescent="0.25">
      <c r="H2242" s="37"/>
      <c r="I2242" s="79"/>
      <c r="J2242" s="70"/>
      <c r="K2242" s="57"/>
      <c r="L2242" s="11"/>
      <c r="M2242" s="41"/>
      <c r="N2242" s="11"/>
    </row>
    <row r="2243" spans="8:14" x14ac:dyDescent="0.25">
      <c r="H2243" s="37"/>
      <c r="I2243" s="79"/>
      <c r="J2243" s="70"/>
      <c r="K2243" s="57"/>
      <c r="L2243" s="11"/>
      <c r="M2243" s="41"/>
      <c r="N2243" s="11"/>
    </row>
    <row r="2244" spans="8:14" x14ac:dyDescent="0.25">
      <c r="H2244" s="37"/>
      <c r="I2244" s="79"/>
      <c r="J2244" s="70"/>
      <c r="K2244" s="57"/>
      <c r="L2244" s="11"/>
      <c r="M2244" s="41"/>
      <c r="N2244" s="11"/>
    </row>
    <row r="2245" spans="8:14" x14ac:dyDescent="0.25">
      <c r="H2245" s="37"/>
      <c r="I2245" s="79"/>
      <c r="J2245" s="70"/>
      <c r="K2245" s="57"/>
      <c r="L2245" s="11"/>
      <c r="M2245" s="41"/>
      <c r="N2245" s="11"/>
    </row>
    <row r="2246" spans="8:14" x14ac:dyDescent="0.25">
      <c r="H2246" s="37"/>
      <c r="I2246" s="79"/>
      <c r="J2246" s="70"/>
      <c r="K2246" s="57"/>
      <c r="L2246" s="11"/>
      <c r="M2246" s="41"/>
      <c r="N2246" s="11"/>
    </row>
    <row r="2247" spans="8:14" x14ac:dyDescent="0.25">
      <c r="H2247" s="37"/>
      <c r="I2247" s="79"/>
      <c r="J2247" s="70"/>
      <c r="K2247" s="57"/>
      <c r="L2247" s="11"/>
      <c r="M2247" s="41"/>
      <c r="N2247" s="11"/>
    </row>
    <row r="2248" spans="8:14" x14ac:dyDescent="0.25">
      <c r="H2248" s="37"/>
      <c r="I2248" s="79"/>
      <c r="J2248" s="70"/>
      <c r="K2248" s="57"/>
      <c r="L2248" s="11"/>
      <c r="M2248" s="41"/>
      <c r="N2248" s="11"/>
    </row>
    <row r="2249" spans="8:14" x14ac:dyDescent="0.25">
      <c r="H2249" s="37"/>
      <c r="I2249" s="79"/>
      <c r="J2249" s="70"/>
      <c r="K2249" s="57"/>
      <c r="L2249" s="11"/>
      <c r="M2249" s="41"/>
      <c r="N2249" s="11"/>
    </row>
    <row r="2250" spans="8:14" x14ac:dyDescent="0.25">
      <c r="H2250" s="37"/>
      <c r="I2250" s="79"/>
      <c r="J2250" s="70"/>
      <c r="K2250" s="57"/>
      <c r="L2250" s="11"/>
      <c r="M2250" s="41"/>
      <c r="N2250" s="11"/>
    </row>
    <row r="2251" spans="8:14" x14ac:dyDescent="0.25">
      <c r="H2251" s="37"/>
      <c r="I2251" s="79"/>
      <c r="J2251" s="70"/>
      <c r="K2251" s="57"/>
      <c r="L2251" s="11"/>
      <c r="M2251" s="41"/>
      <c r="N2251" s="11"/>
    </row>
    <row r="2252" spans="8:14" x14ac:dyDescent="0.25">
      <c r="H2252" s="37"/>
      <c r="I2252" s="79"/>
      <c r="J2252" s="70"/>
      <c r="K2252" s="57"/>
      <c r="L2252" s="11"/>
      <c r="M2252" s="41"/>
      <c r="N2252" s="11"/>
    </row>
    <row r="2253" spans="8:14" x14ac:dyDescent="0.25">
      <c r="H2253" s="37"/>
      <c r="I2253" s="79"/>
      <c r="J2253" s="70"/>
      <c r="K2253" s="57"/>
      <c r="L2253" s="11"/>
      <c r="M2253" s="41"/>
      <c r="N2253" s="11"/>
    </row>
    <row r="2254" spans="8:14" x14ac:dyDescent="0.25">
      <c r="H2254" s="37"/>
      <c r="I2254" s="79"/>
      <c r="J2254" s="70"/>
      <c r="K2254" s="57"/>
      <c r="L2254" s="11"/>
      <c r="M2254" s="41"/>
      <c r="N2254" s="11"/>
    </row>
    <row r="2255" spans="8:14" x14ac:dyDescent="0.25">
      <c r="H2255" s="37"/>
      <c r="I2255" s="79"/>
      <c r="J2255" s="70"/>
      <c r="K2255" s="57"/>
      <c r="L2255" s="11"/>
      <c r="M2255" s="41"/>
      <c r="N2255" s="11"/>
    </row>
    <row r="2256" spans="8:14" x14ac:dyDescent="0.25">
      <c r="H2256" s="37"/>
      <c r="I2256" s="79"/>
      <c r="J2256" s="70"/>
      <c r="K2256" s="57"/>
      <c r="L2256" s="11"/>
      <c r="M2256" s="41"/>
      <c r="N2256" s="11"/>
    </row>
    <row r="2257" spans="8:14" x14ac:dyDescent="0.25">
      <c r="H2257" s="37"/>
      <c r="I2257" s="79"/>
      <c r="J2257" s="70"/>
      <c r="K2257" s="57"/>
      <c r="L2257" s="11"/>
      <c r="M2257" s="41"/>
      <c r="N2257" s="11"/>
    </row>
    <row r="2258" spans="8:14" x14ac:dyDescent="0.25">
      <c r="H2258" s="37"/>
      <c r="I2258" s="79"/>
      <c r="J2258" s="70"/>
      <c r="K2258" s="57"/>
      <c r="L2258" s="11"/>
      <c r="M2258" s="41"/>
      <c r="N2258" s="11"/>
    </row>
    <row r="2259" spans="8:14" x14ac:dyDescent="0.25">
      <c r="H2259" s="37"/>
      <c r="I2259" s="79"/>
      <c r="J2259" s="70"/>
      <c r="K2259" s="57"/>
      <c r="L2259" s="11"/>
      <c r="M2259" s="41"/>
      <c r="N2259" s="11"/>
    </row>
    <row r="2260" spans="8:14" x14ac:dyDescent="0.25">
      <c r="H2260" s="37"/>
      <c r="I2260" s="79"/>
      <c r="J2260" s="70"/>
      <c r="K2260" s="57"/>
      <c r="L2260" s="11"/>
      <c r="M2260" s="41"/>
      <c r="N2260" s="11"/>
    </row>
    <row r="2261" spans="8:14" x14ac:dyDescent="0.25">
      <c r="H2261" s="37"/>
      <c r="I2261" s="79"/>
      <c r="J2261" s="70"/>
      <c r="K2261" s="57"/>
      <c r="L2261" s="11"/>
      <c r="M2261" s="41"/>
      <c r="N2261" s="11"/>
    </row>
    <row r="2262" spans="8:14" x14ac:dyDescent="0.25">
      <c r="H2262" s="37"/>
      <c r="I2262" s="79"/>
      <c r="J2262" s="70"/>
      <c r="K2262" s="57"/>
      <c r="L2262" s="11"/>
      <c r="M2262" s="41"/>
      <c r="N2262" s="11"/>
    </row>
    <row r="2263" spans="8:14" x14ac:dyDescent="0.25">
      <c r="H2263" s="37"/>
      <c r="I2263" s="79"/>
      <c r="J2263" s="70"/>
      <c r="K2263" s="57"/>
      <c r="L2263" s="11"/>
      <c r="M2263" s="41"/>
      <c r="N2263" s="11"/>
    </row>
    <row r="2264" spans="8:14" x14ac:dyDescent="0.25">
      <c r="H2264" s="37"/>
      <c r="I2264" s="79"/>
      <c r="J2264" s="70"/>
      <c r="K2264" s="57"/>
      <c r="L2264" s="11"/>
      <c r="M2264" s="41"/>
      <c r="N2264" s="11"/>
    </row>
    <row r="2265" spans="8:14" x14ac:dyDescent="0.25">
      <c r="H2265" s="37"/>
      <c r="I2265" s="79"/>
      <c r="J2265" s="70"/>
      <c r="K2265" s="57"/>
      <c r="L2265" s="11"/>
      <c r="M2265" s="41"/>
      <c r="N2265" s="11"/>
    </row>
    <row r="2266" spans="8:14" x14ac:dyDescent="0.25">
      <c r="H2266" s="37"/>
      <c r="I2266" s="79"/>
      <c r="J2266" s="70"/>
      <c r="K2266" s="57"/>
      <c r="L2266" s="11"/>
      <c r="M2266" s="41"/>
      <c r="N2266" s="11"/>
    </row>
    <row r="2267" spans="8:14" x14ac:dyDescent="0.25">
      <c r="H2267" s="37"/>
      <c r="I2267" s="79"/>
      <c r="J2267" s="70"/>
      <c r="K2267" s="57"/>
      <c r="L2267" s="11"/>
      <c r="M2267" s="41"/>
      <c r="N2267" s="11"/>
    </row>
    <row r="2268" spans="8:14" x14ac:dyDescent="0.25">
      <c r="H2268" s="37"/>
      <c r="I2268" s="79"/>
      <c r="J2268" s="70"/>
      <c r="K2268" s="57"/>
      <c r="L2268" s="11"/>
      <c r="M2268" s="41"/>
      <c r="N2268" s="11"/>
    </row>
    <row r="2269" spans="8:14" x14ac:dyDescent="0.25">
      <c r="H2269" s="37"/>
      <c r="I2269" s="79"/>
      <c r="J2269" s="70"/>
      <c r="K2269" s="57"/>
      <c r="L2269" s="11"/>
      <c r="M2269" s="41"/>
      <c r="N2269" s="11"/>
    </row>
    <row r="2270" spans="8:14" x14ac:dyDescent="0.25">
      <c r="H2270" s="37"/>
      <c r="I2270" s="79"/>
      <c r="J2270" s="70"/>
      <c r="K2270" s="57"/>
      <c r="L2270" s="11"/>
      <c r="M2270" s="41"/>
      <c r="N2270" s="11"/>
    </row>
    <row r="2271" spans="8:14" x14ac:dyDescent="0.25">
      <c r="H2271" s="37"/>
      <c r="I2271" s="79"/>
      <c r="J2271" s="70"/>
      <c r="K2271" s="57"/>
      <c r="L2271" s="11"/>
      <c r="M2271" s="41"/>
      <c r="N2271" s="11"/>
    </row>
    <row r="2272" spans="8:14" x14ac:dyDescent="0.25">
      <c r="H2272" s="37"/>
      <c r="I2272" s="79"/>
      <c r="J2272" s="70"/>
      <c r="K2272" s="57"/>
      <c r="L2272" s="11"/>
      <c r="M2272" s="41"/>
      <c r="N2272" s="11"/>
    </row>
    <row r="2273" spans="8:14" x14ac:dyDescent="0.25">
      <c r="H2273" s="37"/>
      <c r="I2273" s="79"/>
      <c r="J2273" s="70"/>
      <c r="K2273" s="57"/>
      <c r="L2273" s="11"/>
      <c r="M2273" s="41"/>
      <c r="N2273" s="11"/>
    </row>
    <row r="2274" spans="8:14" x14ac:dyDescent="0.25">
      <c r="H2274" s="37"/>
      <c r="I2274" s="79"/>
      <c r="J2274" s="70"/>
      <c r="K2274" s="57"/>
      <c r="L2274" s="11"/>
      <c r="M2274" s="41"/>
      <c r="N2274" s="11"/>
    </row>
    <row r="2275" spans="8:14" x14ac:dyDescent="0.25">
      <c r="H2275" s="37"/>
      <c r="I2275" s="79"/>
      <c r="J2275" s="70"/>
      <c r="K2275" s="57"/>
      <c r="L2275" s="11"/>
      <c r="M2275" s="41"/>
      <c r="N2275" s="11"/>
    </row>
    <row r="2276" spans="8:14" x14ac:dyDescent="0.25">
      <c r="H2276" s="37"/>
      <c r="I2276" s="79"/>
      <c r="J2276" s="70"/>
      <c r="K2276" s="57"/>
      <c r="L2276" s="11"/>
      <c r="M2276" s="41"/>
      <c r="N2276" s="11"/>
    </row>
    <row r="2277" spans="8:14" x14ac:dyDescent="0.25">
      <c r="H2277" s="37"/>
      <c r="I2277" s="79"/>
      <c r="J2277" s="70"/>
      <c r="K2277" s="57"/>
      <c r="L2277" s="11"/>
      <c r="M2277" s="41"/>
      <c r="N2277" s="11"/>
    </row>
    <row r="2278" spans="8:14" x14ac:dyDescent="0.25">
      <c r="H2278" s="37"/>
      <c r="I2278" s="79"/>
      <c r="J2278" s="70"/>
      <c r="K2278" s="57"/>
      <c r="L2278" s="11"/>
      <c r="M2278" s="41"/>
      <c r="N2278" s="11"/>
    </row>
    <row r="2279" spans="8:14" x14ac:dyDescent="0.25">
      <c r="H2279" s="37"/>
      <c r="I2279" s="79"/>
      <c r="J2279" s="70"/>
      <c r="K2279" s="57"/>
      <c r="L2279" s="11"/>
      <c r="M2279" s="41"/>
      <c r="N2279" s="11"/>
    </row>
    <row r="2280" spans="8:14" x14ac:dyDescent="0.25">
      <c r="H2280" s="37"/>
      <c r="I2280" s="79"/>
      <c r="J2280" s="70"/>
      <c r="K2280" s="57"/>
      <c r="L2280" s="11"/>
      <c r="M2280" s="41"/>
      <c r="N2280" s="11"/>
    </row>
    <row r="2281" spans="8:14" x14ac:dyDescent="0.25">
      <c r="H2281" s="37"/>
      <c r="I2281" s="79"/>
      <c r="J2281" s="70"/>
      <c r="K2281" s="57"/>
      <c r="L2281" s="11"/>
      <c r="M2281" s="41"/>
      <c r="N2281" s="11"/>
    </row>
    <row r="2282" spans="8:14" x14ac:dyDescent="0.25">
      <c r="H2282" s="37"/>
      <c r="I2282" s="79"/>
      <c r="J2282" s="70"/>
      <c r="K2282" s="57"/>
      <c r="L2282" s="11"/>
      <c r="M2282" s="41"/>
      <c r="N2282" s="11"/>
    </row>
    <row r="2283" spans="8:14" x14ac:dyDescent="0.25">
      <c r="H2283" s="37"/>
      <c r="I2283" s="79"/>
      <c r="J2283" s="70"/>
      <c r="K2283" s="57"/>
      <c r="L2283" s="11"/>
      <c r="M2283" s="41"/>
      <c r="N2283" s="11"/>
    </row>
    <row r="2284" spans="8:14" x14ac:dyDescent="0.25">
      <c r="H2284" s="37"/>
      <c r="I2284" s="79"/>
      <c r="J2284" s="70"/>
      <c r="K2284" s="57"/>
      <c r="L2284" s="11"/>
      <c r="M2284" s="41"/>
      <c r="N2284" s="11"/>
    </row>
    <row r="2285" spans="8:14" x14ac:dyDescent="0.25">
      <c r="H2285" s="37"/>
      <c r="I2285" s="79"/>
      <c r="J2285" s="70"/>
      <c r="K2285" s="57"/>
      <c r="L2285" s="11"/>
      <c r="M2285" s="41"/>
      <c r="N2285" s="11"/>
    </row>
    <row r="2286" spans="8:14" x14ac:dyDescent="0.25">
      <c r="H2286" s="37"/>
      <c r="I2286" s="79"/>
      <c r="J2286" s="70"/>
      <c r="K2286" s="57"/>
      <c r="L2286" s="11"/>
      <c r="M2286" s="41"/>
      <c r="N2286" s="11"/>
    </row>
    <row r="2287" spans="8:14" x14ac:dyDescent="0.25">
      <c r="H2287" s="37"/>
      <c r="I2287" s="79"/>
      <c r="J2287" s="70"/>
      <c r="K2287" s="57"/>
      <c r="L2287" s="11"/>
      <c r="M2287" s="41"/>
      <c r="N2287" s="11"/>
    </row>
    <row r="2288" spans="8:14" x14ac:dyDescent="0.25">
      <c r="H2288" s="37"/>
      <c r="I2288" s="79"/>
      <c r="J2288" s="70"/>
      <c r="K2288" s="57"/>
      <c r="L2288" s="11"/>
      <c r="M2288" s="41"/>
      <c r="N2288" s="11"/>
    </row>
    <row r="2289" spans="8:14" x14ac:dyDescent="0.25">
      <c r="H2289" s="37"/>
      <c r="I2289" s="79"/>
      <c r="J2289" s="70"/>
      <c r="K2289" s="57"/>
      <c r="L2289" s="11"/>
      <c r="M2289" s="41"/>
      <c r="N2289" s="11"/>
    </row>
    <row r="2290" spans="8:14" x14ac:dyDescent="0.25">
      <c r="H2290" s="37"/>
      <c r="I2290" s="79"/>
      <c r="J2290" s="70"/>
      <c r="K2290" s="57"/>
      <c r="L2290" s="11"/>
      <c r="M2290" s="41"/>
      <c r="N2290" s="11"/>
    </row>
    <row r="2291" spans="8:14" x14ac:dyDescent="0.25">
      <c r="H2291" s="37"/>
      <c r="I2291" s="79"/>
      <c r="J2291" s="70"/>
      <c r="K2291" s="57"/>
      <c r="L2291" s="11"/>
      <c r="M2291" s="41"/>
      <c r="N2291" s="11"/>
    </row>
    <row r="2292" spans="8:14" x14ac:dyDescent="0.25">
      <c r="H2292" s="37"/>
      <c r="I2292" s="79"/>
      <c r="J2292" s="70"/>
      <c r="K2292" s="57"/>
      <c r="L2292" s="11"/>
      <c r="M2292" s="41"/>
      <c r="N2292" s="11"/>
    </row>
    <row r="2293" spans="8:14" x14ac:dyDescent="0.25">
      <c r="H2293" s="37"/>
      <c r="I2293" s="79"/>
      <c r="J2293" s="70"/>
      <c r="K2293" s="57"/>
      <c r="L2293" s="11"/>
      <c r="M2293" s="41"/>
      <c r="N2293" s="11"/>
    </row>
    <row r="2294" spans="8:14" x14ac:dyDescent="0.25">
      <c r="H2294" s="37"/>
      <c r="I2294" s="79"/>
      <c r="J2294" s="70"/>
      <c r="K2294" s="57"/>
      <c r="L2294" s="11"/>
      <c r="M2294" s="41"/>
      <c r="N2294" s="11"/>
    </row>
    <row r="2295" spans="8:14" x14ac:dyDescent="0.25">
      <c r="H2295" s="37"/>
      <c r="I2295" s="79"/>
      <c r="J2295" s="70"/>
      <c r="K2295" s="57"/>
      <c r="L2295" s="11"/>
      <c r="M2295" s="41"/>
      <c r="N2295" s="11"/>
    </row>
    <row r="2296" spans="8:14" x14ac:dyDescent="0.25">
      <c r="H2296" s="37"/>
      <c r="I2296" s="79"/>
      <c r="J2296" s="70"/>
      <c r="K2296" s="57"/>
      <c r="L2296" s="11"/>
      <c r="M2296" s="41"/>
      <c r="N2296" s="11"/>
    </row>
    <row r="2297" spans="8:14" x14ac:dyDescent="0.25">
      <c r="H2297" s="37"/>
      <c r="I2297" s="79"/>
      <c r="J2297" s="70"/>
      <c r="K2297" s="57"/>
      <c r="L2297" s="11"/>
      <c r="M2297" s="41"/>
      <c r="N2297" s="11"/>
    </row>
    <row r="2298" spans="8:14" x14ac:dyDescent="0.25">
      <c r="H2298" s="37"/>
      <c r="I2298" s="79"/>
      <c r="J2298" s="70"/>
      <c r="K2298" s="57"/>
      <c r="L2298" s="11"/>
      <c r="M2298" s="41"/>
      <c r="N2298" s="11"/>
    </row>
    <row r="2299" spans="8:14" x14ac:dyDescent="0.25">
      <c r="H2299" s="37"/>
      <c r="I2299" s="79"/>
      <c r="J2299" s="70"/>
      <c r="K2299" s="57"/>
      <c r="L2299" s="11"/>
      <c r="M2299" s="41"/>
      <c r="N2299" s="11"/>
    </row>
    <row r="2300" spans="8:14" x14ac:dyDescent="0.25">
      <c r="H2300" s="37"/>
      <c r="I2300" s="79"/>
      <c r="J2300" s="70"/>
      <c r="K2300" s="57"/>
      <c r="L2300" s="11"/>
      <c r="M2300" s="41"/>
      <c r="N2300" s="11"/>
    </row>
    <row r="2301" spans="8:14" x14ac:dyDescent="0.25">
      <c r="H2301" s="37"/>
      <c r="I2301" s="79"/>
      <c r="J2301" s="70"/>
      <c r="K2301" s="57"/>
      <c r="L2301" s="11"/>
      <c r="M2301" s="41"/>
      <c r="N2301" s="11"/>
    </row>
    <row r="2302" spans="8:14" x14ac:dyDescent="0.25">
      <c r="H2302" s="37"/>
      <c r="I2302" s="79"/>
      <c r="J2302" s="70"/>
      <c r="K2302" s="57"/>
      <c r="L2302" s="11"/>
      <c r="M2302" s="41"/>
      <c r="N2302" s="11"/>
    </row>
    <row r="2303" spans="8:14" x14ac:dyDescent="0.25">
      <c r="H2303" s="37"/>
      <c r="I2303" s="79"/>
      <c r="J2303" s="70"/>
      <c r="K2303" s="57"/>
      <c r="L2303" s="11"/>
      <c r="M2303" s="41"/>
      <c r="N2303" s="11"/>
    </row>
    <row r="2304" spans="8:14" x14ac:dyDescent="0.25">
      <c r="H2304" s="37"/>
      <c r="I2304" s="79"/>
      <c r="J2304" s="70"/>
      <c r="K2304" s="57"/>
      <c r="L2304" s="11"/>
      <c r="M2304" s="41"/>
      <c r="N2304" s="11"/>
    </row>
    <row r="2305" spans="8:14" x14ac:dyDescent="0.25">
      <c r="H2305" s="37"/>
      <c r="I2305" s="79"/>
      <c r="J2305" s="70"/>
      <c r="K2305" s="57"/>
      <c r="L2305" s="11"/>
      <c r="M2305" s="41"/>
      <c r="N2305" s="11"/>
    </row>
    <row r="2306" spans="8:14" x14ac:dyDescent="0.25">
      <c r="H2306" s="37"/>
      <c r="I2306" s="79"/>
      <c r="J2306" s="70"/>
      <c r="K2306" s="57"/>
      <c r="L2306" s="11"/>
      <c r="M2306" s="41"/>
      <c r="N2306" s="11"/>
    </row>
    <row r="2307" spans="8:14" x14ac:dyDescent="0.25">
      <c r="H2307" s="37"/>
      <c r="I2307" s="79"/>
      <c r="J2307" s="70"/>
      <c r="K2307" s="57"/>
      <c r="L2307" s="11"/>
      <c r="M2307" s="41"/>
      <c r="N2307" s="11"/>
    </row>
    <row r="2308" spans="8:14" x14ac:dyDescent="0.25">
      <c r="H2308" s="37"/>
      <c r="I2308" s="79"/>
      <c r="J2308" s="70"/>
      <c r="K2308" s="57"/>
      <c r="L2308" s="11"/>
      <c r="M2308" s="41"/>
      <c r="N2308" s="11"/>
    </row>
    <row r="2309" spans="8:14" x14ac:dyDescent="0.25">
      <c r="H2309" s="37"/>
      <c r="I2309" s="79"/>
      <c r="J2309" s="70"/>
      <c r="K2309" s="57"/>
      <c r="L2309" s="11"/>
      <c r="M2309" s="41"/>
      <c r="N2309" s="11"/>
    </row>
    <row r="2310" spans="8:14" x14ac:dyDescent="0.25">
      <c r="H2310" s="37"/>
      <c r="I2310" s="79"/>
      <c r="J2310" s="70"/>
      <c r="K2310" s="57"/>
      <c r="L2310" s="11"/>
      <c r="M2310" s="41"/>
      <c r="N2310" s="11"/>
    </row>
    <row r="2311" spans="8:14" x14ac:dyDescent="0.25">
      <c r="H2311" s="37"/>
      <c r="I2311" s="79"/>
      <c r="J2311" s="70"/>
      <c r="K2311" s="57"/>
      <c r="L2311" s="11"/>
      <c r="M2311" s="41"/>
      <c r="N2311" s="11"/>
    </row>
    <row r="2312" spans="8:14" x14ac:dyDescent="0.25">
      <c r="H2312" s="37"/>
      <c r="I2312" s="79"/>
      <c r="J2312" s="70"/>
      <c r="K2312" s="57"/>
      <c r="L2312" s="11"/>
      <c r="M2312" s="41"/>
      <c r="N2312" s="11"/>
    </row>
    <row r="2313" spans="8:14" x14ac:dyDescent="0.25">
      <c r="H2313" s="37"/>
      <c r="I2313" s="79"/>
      <c r="J2313" s="70"/>
      <c r="K2313" s="57"/>
      <c r="L2313" s="11"/>
      <c r="M2313" s="41"/>
      <c r="N2313" s="11"/>
    </row>
    <row r="2314" spans="8:14" x14ac:dyDescent="0.25">
      <c r="H2314" s="37"/>
      <c r="I2314" s="79"/>
      <c r="J2314" s="70"/>
      <c r="K2314" s="57"/>
      <c r="L2314" s="11"/>
      <c r="M2314" s="41"/>
      <c r="N2314" s="11"/>
    </row>
    <row r="2315" spans="8:14" x14ac:dyDescent="0.25">
      <c r="H2315" s="37"/>
      <c r="I2315" s="79"/>
      <c r="J2315" s="70"/>
      <c r="K2315" s="57"/>
      <c r="L2315" s="11"/>
      <c r="M2315" s="41"/>
      <c r="N2315" s="11"/>
    </row>
    <row r="2316" spans="8:14" x14ac:dyDescent="0.25">
      <c r="H2316" s="37"/>
      <c r="I2316" s="79"/>
      <c r="J2316" s="70"/>
      <c r="K2316" s="57"/>
      <c r="L2316" s="11"/>
      <c r="M2316" s="41"/>
      <c r="N2316" s="11"/>
    </row>
    <row r="2317" spans="8:14" x14ac:dyDescent="0.25">
      <c r="H2317" s="37"/>
      <c r="I2317" s="79"/>
      <c r="J2317" s="70"/>
      <c r="K2317" s="57"/>
      <c r="L2317" s="11"/>
      <c r="M2317" s="41"/>
      <c r="N2317" s="11"/>
    </row>
    <row r="2318" spans="8:14" x14ac:dyDescent="0.25">
      <c r="H2318" s="37"/>
      <c r="I2318" s="79"/>
      <c r="J2318" s="70"/>
      <c r="K2318" s="57"/>
      <c r="L2318" s="11"/>
      <c r="M2318" s="41"/>
      <c r="N2318" s="11"/>
    </row>
    <row r="2319" spans="8:14" x14ac:dyDescent="0.25">
      <c r="H2319" s="37"/>
      <c r="I2319" s="79"/>
      <c r="J2319" s="70"/>
      <c r="K2319" s="57"/>
      <c r="L2319" s="11"/>
      <c r="M2319" s="41"/>
      <c r="N2319" s="11"/>
    </row>
    <row r="2320" spans="8:14" x14ac:dyDescent="0.25">
      <c r="H2320" s="37"/>
      <c r="I2320" s="79"/>
      <c r="J2320" s="70"/>
      <c r="K2320" s="57"/>
      <c r="L2320" s="11"/>
      <c r="M2320" s="41"/>
      <c r="N2320" s="11"/>
    </row>
    <row r="2321" spans="8:14" x14ac:dyDescent="0.25">
      <c r="H2321" s="37"/>
      <c r="I2321" s="79"/>
      <c r="J2321" s="70"/>
      <c r="K2321" s="57"/>
      <c r="L2321" s="11"/>
      <c r="M2321" s="41"/>
      <c r="N2321" s="11"/>
    </row>
    <row r="2322" spans="8:14" x14ac:dyDescent="0.25">
      <c r="H2322" s="37"/>
      <c r="I2322" s="79"/>
      <c r="J2322" s="70"/>
      <c r="K2322" s="57"/>
      <c r="L2322" s="11"/>
      <c r="M2322" s="41"/>
      <c r="N2322" s="11"/>
    </row>
    <row r="2323" spans="8:14" x14ac:dyDescent="0.25">
      <c r="H2323" s="37"/>
      <c r="I2323" s="79"/>
      <c r="J2323" s="70"/>
      <c r="K2323" s="57"/>
      <c r="L2323" s="11"/>
      <c r="M2323" s="41"/>
      <c r="N2323" s="11"/>
    </row>
    <row r="2324" spans="8:14" x14ac:dyDescent="0.25">
      <c r="H2324" s="37"/>
      <c r="I2324" s="79"/>
      <c r="J2324" s="70"/>
      <c r="K2324" s="57"/>
      <c r="L2324" s="11"/>
      <c r="M2324" s="41"/>
      <c r="N2324" s="11"/>
    </row>
    <row r="2325" spans="8:14" x14ac:dyDescent="0.25">
      <c r="H2325" s="37"/>
      <c r="I2325" s="79"/>
      <c r="J2325" s="70"/>
      <c r="K2325" s="57"/>
      <c r="L2325" s="11"/>
      <c r="M2325" s="41"/>
      <c r="N2325" s="11"/>
    </row>
    <row r="2326" spans="8:14" x14ac:dyDescent="0.25">
      <c r="H2326" s="37"/>
      <c r="I2326" s="79"/>
      <c r="J2326" s="70"/>
      <c r="K2326" s="57"/>
      <c r="L2326" s="11"/>
      <c r="M2326" s="41"/>
      <c r="N2326" s="11"/>
    </row>
    <row r="2327" spans="8:14" x14ac:dyDescent="0.25">
      <c r="H2327" s="37"/>
      <c r="I2327" s="79"/>
      <c r="J2327" s="70"/>
      <c r="K2327" s="57"/>
      <c r="L2327" s="11"/>
      <c r="M2327" s="41"/>
      <c r="N2327" s="11"/>
    </row>
    <row r="2328" spans="8:14" x14ac:dyDescent="0.25">
      <c r="H2328" s="37"/>
      <c r="I2328" s="79"/>
      <c r="J2328" s="70"/>
      <c r="K2328" s="57"/>
      <c r="L2328" s="11"/>
      <c r="M2328" s="41"/>
      <c r="N2328" s="11"/>
    </row>
    <row r="2329" spans="8:14" x14ac:dyDescent="0.25">
      <c r="H2329" s="37"/>
      <c r="I2329" s="79"/>
      <c r="J2329" s="70"/>
      <c r="K2329" s="57"/>
      <c r="L2329" s="11"/>
      <c r="M2329" s="41"/>
      <c r="N2329" s="11"/>
    </row>
    <row r="2330" spans="8:14" x14ac:dyDescent="0.25">
      <c r="H2330" s="37"/>
      <c r="I2330" s="79"/>
      <c r="J2330" s="70"/>
      <c r="K2330" s="57"/>
      <c r="L2330" s="11"/>
      <c r="M2330" s="41"/>
      <c r="N2330" s="11"/>
    </row>
    <row r="2331" spans="8:14" x14ac:dyDescent="0.25">
      <c r="H2331" s="37"/>
      <c r="I2331" s="79"/>
      <c r="J2331" s="70"/>
      <c r="K2331" s="57"/>
      <c r="L2331" s="11"/>
      <c r="M2331" s="41"/>
      <c r="N2331" s="11"/>
    </row>
    <row r="2332" spans="8:14" x14ac:dyDescent="0.25">
      <c r="H2332" s="37"/>
      <c r="I2332" s="79"/>
      <c r="J2332" s="70"/>
      <c r="K2332" s="57"/>
      <c r="L2332" s="11"/>
      <c r="M2332" s="41"/>
      <c r="N2332" s="11"/>
    </row>
    <row r="2333" spans="8:14" x14ac:dyDescent="0.25">
      <c r="H2333" s="37"/>
      <c r="I2333" s="79"/>
      <c r="J2333" s="70"/>
      <c r="K2333" s="57"/>
      <c r="L2333" s="11"/>
      <c r="M2333" s="41"/>
      <c r="N2333" s="11"/>
    </row>
    <row r="2334" spans="8:14" x14ac:dyDescent="0.25">
      <c r="H2334" s="37"/>
      <c r="I2334" s="79"/>
      <c r="J2334" s="70"/>
      <c r="K2334" s="57"/>
      <c r="L2334" s="11"/>
      <c r="M2334" s="41"/>
      <c r="N2334" s="11"/>
    </row>
    <row r="2335" spans="8:14" x14ac:dyDescent="0.25">
      <c r="H2335" s="37"/>
      <c r="I2335" s="79"/>
      <c r="J2335" s="70"/>
      <c r="K2335" s="57"/>
      <c r="L2335" s="11"/>
      <c r="M2335" s="41"/>
      <c r="N2335" s="11"/>
    </row>
    <row r="2336" spans="8:14" x14ac:dyDescent="0.25">
      <c r="H2336" s="37"/>
      <c r="I2336" s="79"/>
      <c r="J2336" s="70"/>
      <c r="K2336" s="57"/>
      <c r="L2336" s="11"/>
      <c r="M2336" s="41"/>
      <c r="N2336" s="11"/>
    </row>
    <row r="2337" spans="8:14" x14ac:dyDescent="0.25">
      <c r="H2337" s="37"/>
      <c r="I2337" s="79"/>
      <c r="J2337" s="70"/>
      <c r="K2337" s="57"/>
      <c r="L2337" s="11"/>
      <c r="M2337" s="41"/>
      <c r="N2337" s="11"/>
    </row>
    <row r="2338" spans="8:14" x14ac:dyDescent="0.25">
      <c r="H2338" s="37"/>
      <c r="I2338" s="79"/>
      <c r="J2338" s="70"/>
      <c r="K2338" s="57"/>
      <c r="L2338" s="11"/>
      <c r="M2338" s="41"/>
      <c r="N2338" s="11"/>
    </row>
    <row r="2339" spans="8:14" x14ac:dyDescent="0.25">
      <c r="H2339" s="37"/>
      <c r="I2339" s="79"/>
      <c r="J2339" s="70"/>
      <c r="K2339" s="57"/>
      <c r="L2339" s="11"/>
      <c r="M2339" s="41"/>
      <c r="N2339" s="11"/>
    </row>
    <row r="2340" spans="8:14" x14ac:dyDescent="0.25">
      <c r="H2340" s="37"/>
      <c r="I2340" s="79"/>
      <c r="J2340" s="70"/>
      <c r="K2340" s="57"/>
      <c r="L2340" s="11"/>
      <c r="M2340" s="41"/>
      <c r="N2340" s="11"/>
    </row>
    <row r="2341" spans="8:14" x14ac:dyDescent="0.25">
      <c r="H2341" s="37"/>
      <c r="I2341" s="79"/>
      <c r="J2341" s="70"/>
      <c r="K2341" s="57"/>
      <c r="L2341" s="11"/>
      <c r="M2341" s="41"/>
      <c r="N2341" s="11"/>
    </row>
    <row r="2342" spans="8:14" x14ac:dyDescent="0.25">
      <c r="H2342" s="37"/>
      <c r="I2342" s="79"/>
      <c r="J2342" s="70"/>
      <c r="K2342" s="57"/>
      <c r="L2342" s="11"/>
      <c r="M2342" s="41"/>
      <c r="N2342" s="11"/>
    </row>
    <row r="2343" spans="8:14" x14ac:dyDescent="0.25">
      <c r="H2343" s="37"/>
      <c r="I2343" s="79"/>
      <c r="J2343" s="70"/>
      <c r="K2343" s="57"/>
      <c r="L2343" s="11"/>
      <c r="M2343" s="41"/>
      <c r="N2343" s="11"/>
    </row>
    <row r="2344" spans="8:14" x14ac:dyDescent="0.25">
      <c r="H2344" s="37"/>
      <c r="I2344" s="79"/>
      <c r="J2344" s="70"/>
      <c r="K2344" s="57"/>
      <c r="L2344" s="11"/>
      <c r="M2344" s="41"/>
      <c r="N2344" s="11"/>
    </row>
    <row r="2345" spans="8:14" x14ac:dyDescent="0.25">
      <c r="H2345" s="37"/>
      <c r="I2345" s="79"/>
      <c r="J2345" s="70"/>
      <c r="K2345" s="57"/>
      <c r="L2345" s="11"/>
      <c r="M2345" s="41"/>
      <c r="N2345" s="11"/>
    </row>
    <row r="2346" spans="8:14" x14ac:dyDescent="0.25">
      <c r="H2346" s="37"/>
      <c r="I2346" s="79"/>
      <c r="J2346" s="70"/>
      <c r="K2346" s="57"/>
      <c r="L2346" s="11"/>
      <c r="M2346" s="41"/>
      <c r="N2346" s="11"/>
    </row>
    <row r="2347" spans="8:14" x14ac:dyDescent="0.25">
      <c r="H2347" s="37"/>
      <c r="I2347" s="79"/>
      <c r="J2347" s="70"/>
      <c r="K2347" s="57"/>
      <c r="L2347" s="11"/>
      <c r="M2347" s="41"/>
      <c r="N2347" s="11"/>
    </row>
    <row r="2348" spans="8:14" x14ac:dyDescent="0.25">
      <c r="H2348" s="37"/>
      <c r="I2348" s="79"/>
      <c r="J2348" s="70"/>
      <c r="K2348" s="57"/>
      <c r="L2348" s="11"/>
      <c r="M2348" s="41"/>
      <c r="N2348" s="11"/>
    </row>
    <row r="2349" spans="8:14" x14ac:dyDescent="0.25">
      <c r="H2349" s="37"/>
      <c r="I2349" s="79"/>
      <c r="J2349" s="70"/>
      <c r="K2349" s="57"/>
      <c r="L2349" s="11"/>
      <c r="M2349" s="41"/>
      <c r="N2349" s="11"/>
    </row>
    <row r="2350" spans="8:14" x14ac:dyDescent="0.25">
      <c r="H2350" s="37"/>
      <c r="I2350" s="79"/>
      <c r="J2350" s="70"/>
      <c r="K2350" s="57"/>
      <c r="L2350" s="11"/>
      <c r="M2350" s="41"/>
      <c r="N2350" s="11"/>
    </row>
    <row r="2351" spans="8:14" x14ac:dyDescent="0.25">
      <c r="H2351" s="37"/>
      <c r="I2351" s="79"/>
      <c r="J2351" s="70"/>
      <c r="K2351" s="57"/>
      <c r="L2351" s="11"/>
      <c r="M2351" s="41"/>
      <c r="N2351" s="11"/>
    </row>
    <row r="2352" spans="8:14" x14ac:dyDescent="0.25">
      <c r="H2352" s="37"/>
      <c r="I2352" s="79"/>
      <c r="J2352" s="70"/>
      <c r="K2352" s="57"/>
      <c r="L2352" s="11"/>
      <c r="M2352" s="41"/>
      <c r="N2352" s="11"/>
    </row>
    <row r="2353" spans="8:14" x14ac:dyDescent="0.25">
      <c r="H2353" s="37"/>
      <c r="I2353" s="79"/>
      <c r="J2353" s="70"/>
      <c r="K2353" s="57"/>
      <c r="L2353" s="11"/>
      <c r="M2353" s="41"/>
      <c r="N2353" s="11"/>
    </row>
    <row r="2354" spans="8:14" x14ac:dyDescent="0.25">
      <c r="H2354" s="37"/>
      <c r="I2354" s="79"/>
      <c r="J2354" s="70"/>
      <c r="K2354" s="57"/>
      <c r="L2354" s="11"/>
      <c r="M2354" s="41"/>
      <c r="N2354" s="11"/>
    </row>
    <row r="2355" spans="8:14" x14ac:dyDescent="0.25">
      <c r="H2355" s="37"/>
      <c r="I2355" s="79"/>
      <c r="J2355" s="70"/>
      <c r="K2355" s="57"/>
      <c r="L2355" s="11"/>
      <c r="M2355" s="41"/>
      <c r="N2355" s="11"/>
    </row>
    <row r="2356" spans="8:14" x14ac:dyDescent="0.25">
      <c r="H2356" s="37"/>
      <c r="I2356" s="79"/>
      <c r="J2356" s="70"/>
      <c r="K2356" s="57"/>
      <c r="L2356" s="11"/>
      <c r="M2356" s="41"/>
      <c r="N2356" s="11"/>
    </row>
    <row r="2357" spans="8:14" x14ac:dyDescent="0.25">
      <c r="H2357" s="37"/>
      <c r="I2357" s="79"/>
      <c r="J2357" s="70"/>
      <c r="K2357" s="57"/>
      <c r="L2357" s="11"/>
      <c r="M2357" s="41"/>
      <c r="N2357" s="11"/>
    </row>
    <row r="2358" spans="8:14" x14ac:dyDescent="0.25">
      <c r="H2358" s="37"/>
      <c r="I2358" s="79"/>
      <c r="J2358" s="70"/>
      <c r="K2358" s="57"/>
      <c r="L2358" s="11"/>
      <c r="M2358" s="41"/>
      <c r="N2358" s="11"/>
    </row>
    <row r="2359" spans="8:14" x14ac:dyDescent="0.25">
      <c r="H2359" s="37"/>
      <c r="I2359" s="79"/>
      <c r="J2359" s="70"/>
      <c r="K2359" s="57"/>
      <c r="L2359" s="11"/>
      <c r="M2359" s="41"/>
      <c r="N2359" s="11"/>
    </row>
    <row r="2360" spans="8:14" x14ac:dyDescent="0.25">
      <c r="H2360" s="37"/>
      <c r="I2360" s="79"/>
      <c r="J2360" s="70"/>
      <c r="K2360" s="57"/>
      <c r="L2360" s="11"/>
      <c r="M2360" s="41"/>
      <c r="N2360" s="11"/>
    </row>
    <row r="2361" spans="8:14" x14ac:dyDescent="0.25">
      <c r="H2361" s="37"/>
      <c r="I2361" s="79"/>
      <c r="J2361" s="70"/>
      <c r="K2361" s="57"/>
      <c r="L2361" s="11"/>
      <c r="M2361" s="41"/>
      <c r="N2361" s="11"/>
    </row>
    <row r="2362" spans="8:14" x14ac:dyDescent="0.25">
      <c r="H2362" s="37"/>
      <c r="I2362" s="79"/>
      <c r="J2362" s="70"/>
      <c r="K2362" s="57"/>
      <c r="L2362" s="11"/>
      <c r="M2362" s="41"/>
      <c r="N2362" s="11"/>
    </row>
    <row r="2363" spans="8:14" x14ac:dyDescent="0.25">
      <c r="H2363" s="37"/>
      <c r="I2363" s="79"/>
      <c r="J2363" s="70"/>
      <c r="K2363" s="57"/>
      <c r="L2363" s="11"/>
      <c r="M2363" s="41"/>
      <c r="N2363" s="11"/>
    </row>
    <row r="2364" spans="8:14" x14ac:dyDescent="0.25">
      <c r="H2364" s="37"/>
      <c r="I2364" s="79"/>
      <c r="J2364" s="70"/>
      <c r="K2364" s="57"/>
      <c r="L2364" s="11"/>
      <c r="M2364" s="41"/>
      <c r="N2364" s="11"/>
    </row>
    <row r="2365" spans="8:14" x14ac:dyDescent="0.25">
      <c r="H2365" s="37"/>
      <c r="I2365" s="79"/>
      <c r="J2365" s="70"/>
      <c r="K2365" s="57"/>
      <c r="L2365" s="11"/>
      <c r="M2365" s="41"/>
      <c r="N2365" s="11"/>
    </row>
    <row r="2366" spans="8:14" x14ac:dyDescent="0.25">
      <c r="H2366" s="37"/>
      <c r="I2366" s="79"/>
      <c r="J2366" s="70"/>
      <c r="K2366" s="57"/>
      <c r="L2366" s="11"/>
      <c r="M2366" s="41"/>
      <c r="N2366" s="11"/>
    </row>
    <row r="2367" spans="8:14" x14ac:dyDescent="0.25">
      <c r="H2367" s="37"/>
      <c r="I2367" s="79"/>
      <c r="J2367" s="70"/>
      <c r="K2367" s="57"/>
      <c r="L2367" s="11"/>
      <c r="M2367" s="41"/>
      <c r="N2367" s="11"/>
    </row>
    <row r="2368" spans="8:14" x14ac:dyDescent="0.25">
      <c r="H2368" s="37"/>
      <c r="I2368" s="79"/>
      <c r="J2368" s="70"/>
      <c r="K2368" s="57"/>
      <c r="L2368" s="11"/>
      <c r="M2368" s="41"/>
      <c r="N2368" s="11"/>
    </row>
    <row r="2369" spans="8:14" x14ac:dyDescent="0.25">
      <c r="H2369" s="37"/>
      <c r="I2369" s="79"/>
      <c r="J2369" s="70"/>
      <c r="K2369" s="57"/>
      <c r="L2369" s="11"/>
      <c r="M2369" s="41"/>
      <c r="N2369" s="11"/>
    </row>
    <row r="2370" spans="8:14" x14ac:dyDescent="0.25">
      <c r="H2370" s="37"/>
      <c r="I2370" s="79"/>
      <c r="J2370" s="70"/>
      <c r="K2370" s="57"/>
      <c r="L2370" s="11"/>
      <c r="M2370" s="41"/>
      <c r="N2370" s="11"/>
    </row>
    <row r="2371" spans="8:14" x14ac:dyDescent="0.25">
      <c r="H2371" s="37"/>
      <c r="I2371" s="79"/>
      <c r="J2371" s="70"/>
      <c r="K2371" s="57"/>
      <c r="L2371" s="11"/>
      <c r="M2371" s="41"/>
      <c r="N2371" s="11"/>
    </row>
    <row r="2372" spans="8:14" x14ac:dyDescent="0.25">
      <c r="H2372" s="37"/>
      <c r="I2372" s="79"/>
      <c r="J2372" s="70"/>
      <c r="K2372" s="57"/>
      <c r="L2372" s="11"/>
      <c r="M2372" s="41"/>
      <c r="N2372" s="11"/>
    </row>
    <row r="2373" spans="8:14" x14ac:dyDescent="0.25">
      <c r="H2373" s="37"/>
      <c r="I2373" s="79"/>
      <c r="J2373" s="70"/>
      <c r="K2373" s="57"/>
      <c r="L2373" s="11"/>
      <c r="M2373" s="41"/>
      <c r="N2373" s="11"/>
    </row>
    <row r="2374" spans="8:14" x14ac:dyDescent="0.25">
      <c r="H2374" s="37"/>
      <c r="I2374" s="79"/>
      <c r="J2374" s="70"/>
      <c r="K2374" s="57"/>
      <c r="L2374" s="11"/>
      <c r="M2374" s="41"/>
      <c r="N2374" s="11"/>
    </row>
    <row r="2375" spans="8:14" x14ac:dyDescent="0.25">
      <c r="H2375" s="37"/>
      <c r="I2375" s="79"/>
      <c r="J2375" s="70"/>
      <c r="K2375" s="57"/>
      <c r="L2375" s="11"/>
      <c r="M2375" s="41"/>
      <c r="N2375" s="11"/>
    </row>
    <row r="2376" spans="8:14" x14ac:dyDescent="0.25">
      <c r="H2376" s="37"/>
      <c r="I2376" s="79"/>
      <c r="J2376" s="70"/>
      <c r="K2376" s="57"/>
      <c r="L2376" s="11"/>
      <c r="M2376" s="41"/>
      <c r="N2376" s="11"/>
    </row>
    <row r="2377" spans="8:14" x14ac:dyDescent="0.25">
      <c r="H2377" s="37"/>
      <c r="I2377" s="79"/>
      <c r="J2377" s="70"/>
      <c r="K2377" s="57"/>
      <c r="L2377" s="11"/>
      <c r="M2377" s="41"/>
      <c r="N2377" s="11"/>
    </row>
    <row r="2378" spans="8:14" x14ac:dyDescent="0.25">
      <c r="H2378" s="37"/>
      <c r="I2378" s="79"/>
      <c r="J2378" s="70"/>
      <c r="K2378" s="57"/>
      <c r="L2378" s="11"/>
      <c r="M2378" s="41"/>
      <c r="N2378" s="11"/>
    </row>
    <row r="2379" spans="8:14" x14ac:dyDescent="0.25">
      <c r="H2379" s="37"/>
      <c r="I2379" s="79"/>
      <c r="J2379" s="70"/>
      <c r="K2379" s="57"/>
      <c r="L2379" s="11"/>
      <c r="M2379" s="41"/>
      <c r="N2379" s="11"/>
    </row>
    <row r="2380" spans="8:14" x14ac:dyDescent="0.25">
      <c r="H2380" s="37"/>
      <c r="I2380" s="79"/>
      <c r="J2380" s="70"/>
      <c r="K2380" s="57"/>
      <c r="L2380" s="11"/>
      <c r="M2380" s="41"/>
      <c r="N2380" s="11"/>
    </row>
    <row r="2381" spans="8:14" x14ac:dyDescent="0.25">
      <c r="H2381" s="37"/>
      <c r="I2381" s="79"/>
      <c r="J2381" s="70"/>
      <c r="K2381" s="57"/>
      <c r="L2381" s="11"/>
      <c r="M2381" s="41"/>
      <c r="N2381" s="11"/>
    </row>
    <row r="2382" spans="8:14" x14ac:dyDescent="0.25">
      <c r="H2382" s="37"/>
      <c r="I2382" s="79"/>
      <c r="J2382" s="70"/>
      <c r="K2382" s="57"/>
      <c r="L2382" s="11"/>
      <c r="M2382" s="41"/>
      <c r="N2382" s="11"/>
    </row>
    <row r="2383" spans="8:14" x14ac:dyDescent="0.25">
      <c r="H2383" s="37"/>
      <c r="I2383" s="79"/>
      <c r="J2383" s="70"/>
      <c r="K2383" s="57"/>
      <c r="L2383" s="11"/>
      <c r="M2383" s="41"/>
      <c r="N2383" s="11"/>
    </row>
    <row r="2384" spans="8:14" x14ac:dyDescent="0.25">
      <c r="H2384" s="37"/>
      <c r="I2384" s="79"/>
      <c r="J2384" s="70"/>
      <c r="K2384" s="57"/>
      <c r="L2384" s="11"/>
      <c r="M2384" s="41"/>
      <c r="N2384" s="11"/>
    </row>
    <row r="2385" spans="8:14" x14ac:dyDescent="0.25">
      <c r="H2385" s="37"/>
      <c r="I2385" s="79"/>
      <c r="J2385" s="70"/>
      <c r="K2385" s="57"/>
      <c r="L2385" s="11"/>
      <c r="M2385" s="41"/>
      <c r="N2385" s="11"/>
    </row>
    <row r="2386" spans="8:14" x14ac:dyDescent="0.25">
      <c r="H2386" s="37"/>
      <c r="I2386" s="79"/>
      <c r="J2386" s="70"/>
      <c r="K2386" s="57"/>
      <c r="L2386" s="11"/>
      <c r="M2386" s="41"/>
      <c r="N2386" s="11"/>
    </row>
    <row r="2387" spans="8:14" x14ac:dyDescent="0.25">
      <c r="H2387" s="37"/>
      <c r="I2387" s="79"/>
      <c r="J2387" s="70"/>
      <c r="K2387" s="57"/>
      <c r="L2387" s="11"/>
      <c r="M2387" s="41"/>
      <c r="N2387" s="11"/>
    </row>
    <row r="2388" spans="8:14" x14ac:dyDescent="0.25">
      <c r="H2388" s="37"/>
      <c r="I2388" s="79"/>
      <c r="J2388" s="70"/>
      <c r="K2388" s="57"/>
      <c r="L2388" s="11"/>
      <c r="M2388" s="41"/>
      <c r="N2388" s="11"/>
    </row>
    <row r="2389" spans="8:14" x14ac:dyDescent="0.25">
      <c r="H2389" s="37"/>
      <c r="I2389" s="79"/>
      <c r="J2389" s="70"/>
      <c r="K2389" s="57"/>
      <c r="L2389" s="11"/>
      <c r="M2389" s="41"/>
      <c r="N2389" s="11"/>
    </row>
    <row r="2390" spans="8:14" x14ac:dyDescent="0.25">
      <c r="H2390" s="37"/>
      <c r="I2390" s="79"/>
      <c r="J2390" s="70"/>
      <c r="K2390" s="57"/>
      <c r="L2390" s="11"/>
      <c r="M2390" s="41"/>
      <c r="N2390" s="11"/>
    </row>
    <row r="2391" spans="8:14" x14ac:dyDescent="0.25">
      <c r="H2391" s="37"/>
      <c r="I2391" s="79"/>
      <c r="J2391" s="70"/>
      <c r="K2391" s="57"/>
      <c r="L2391" s="11"/>
      <c r="M2391" s="41"/>
      <c r="N2391" s="11"/>
    </row>
    <row r="2392" spans="8:14" x14ac:dyDescent="0.25">
      <c r="H2392" s="37"/>
      <c r="I2392" s="79"/>
      <c r="J2392" s="70"/>
      <c r="K2392" s="57"/>
      <c r="L2392" s="11"/>
      <c r="M2392" s="41"/>
      <c r="N2392" s="11"/>
    </row>
    <row r="2393" spans="8:14" x14ac:dyDescent="0.25">
      <c r="H2393" s="37"/>
      <c r="I2393" s="79"/>
      <c r="J2393" s="70"/>
      <c r="K2393" s="57"/>
      <c r="L2393" s="11"/>
      <c r="M2393" s="41"/>
      <c r="N2393" s="11"/>
    </row>
    <row r="2394" spans="8:14" x14ac:dyDescent="0.25">
      <c r="H2394" s="37"/>
      <c r="I2394" s="79"/>
      <c r="J2394" s="70"/>
      <c r="K2394" s="57"/>
      <c r="L2394" s="11"/>
      <c r="M2394" s="41"/>
      <c r="N2394" s="11"/>
    </row>
    <row r="2395" spans="8:14" x14ac:dyDescent="0.25">
      <c r="H2395" s="37"/>
      <c r="I2395" s="79"/>
      <c r="J2395" s="70"/>
      <c r="K2395" s="57"/>
      <c r="L2395" s="11"/>
      <c r="M2395" s="41"/>
      <c r="N2395" s="11"/>
    </row>
    <row r="2396" spans="8:14" x14ac:dyDescent="0.25">
      <c r="H2396" s="37"/>
      <c r="I2396" s="79"/>
      <c r="J2396" s="70"/>
      <c r="K2396" s="57"/>
      <c r="L2396" s="11"/>
      <c r="M2396" s="41"/>
      <c r="N2396" s="11"/>
    </row>
    <row r="2397" spans="8:14" x14ac:dyDescent="0.25">
      <c r="H2397" s="37"/>
      <c r="I2397" s="79"/>
      <c r="J2397" s="70"/>
      <c r="K2397" s="57"/>
      <c r="L2397" s="11"/>
      <c r="M2397" s="41"/>
      <c r="N2397" s="11"/>
    </row>
    <row r="2398" spans="8:14" x14ac:dyDescent="0.25">
      <c r="H2398" s="37"/>
      <c r="I2398" s="79"/>
      <c r="J2398" s="70"/>
      <c r="K2398" s="57"/>
      <c r="L2398" s="11"/>
      <c r="M2398" s="41"/>
      <c r="N2398" s="11"/>
    </row>
    <row r="2399" spans="8:14" x14ac:dyDescent="0.25">
      <c r="H2399" s="37"/>
      <c r="I2399" s="79"/>
      <c r="J2399" s="70"/>
      <c r="K2399" s="57"/>
      <c r="L2399" s="11"/>
      <c r="M2399" s="41"/>
      <c r="N2399" s="11"/>
    </row>
    <row r="2400" spans="8:14" x14ac:dyDescent="0.25">
      <c r="H2400" s="37"/>
      <c r="I2400" s="79"/>
      <c r="J2400" s="70"/>
      <c r="K2400" s="57"/>
      <c r="L2400" s="11"/>
      <c r="M2400" s="41"/>
      <c r="N2400" s="11"/>
    </row>
    <row r="2401" spans="8:14" x14ac:dyDescent="0.25">
      <c r="H2401" s="37"/>
      <c r="I2401" s="79"/>
      <c r="J2401" s="70"/>
      <c r="K2401" s="57"/>
      <c r="L2401" s="11"/>
      <c r="M2401" s="41"/>
      <c r="N2401" s="11"/>
    </row>
    <row r="2402" spans="8:14" x14ac:dyDescent="0.25">
      <c r="H2402" s="37"/>
      <c r="I2402" s="79"/>
      <c r="J2402" s="70"/>
      <c r="K2402" s="57"/>
      <c r="L2402" s="11"/>
      <c r="M2402" s="41"/>
      <c r="N2402" s="11"/>
    </row>
    <row r="2403" spans="8:14" x14ac:dyDescent="0.25">
      <c r="H2403" s="37"/>
      <c r="I2403" s="79"/>
      <c r="J2403" s="70"/>
      <c r="K2403" s="57"/>
      <c r="L2403" s="11"/>
      <c r="M2403" s="41"/>
      <c r="N2403" s="11"/>
    </row>
    <row r="2404" spans="8:14" x14ac:dyDescent="0.25">
      <c r="H2404" s="37"/>
      <c r="I2404" s="79"/>
      <c r="J2404" s="70"/>
      <c r="K2404" s="57"/>
      <c r="L2404" s="11"/>
      <c r="M2404" s="41"/>
      <c r="N2404" s="11"/>
    </row>
    <row r="2405" spans="8:14" x14ac:dyDescent="0.25">
      <c r="H2405" s="37"/>
      <c r="I2405" s="79"/>
      <c r="J2405" s="70"/>
      <c r="K2405" s="57"/>
      <c r="L2405" s="11"/>
      <c r="M2405" s="41"/>
      <c r="N2405" s="11"/>
    </row>
    <row r="2406" spans="8:14" x14ac:dyDescent="0.25">
      <c r="H2406" s="37"/>
      <c r="I2406" s="79"/>
      <c r="J2406" s="70"/>
      <c r="K2406" s="57"/>
      <c r="L2406" s="11"/>
      <c r="M2406" s="41"/>
      <c r="N2406" s="11"/>
    </row>
    <row r="2407" spans="8:14" x14ac:dyDescent="0.25">
      <c r="H2407" s="37"/>
      <c r="I2407" s="79"/>
      <c r="J2407" s="70"/>
      <c r="K2407" s="57"/>
      <c r="L2407" s="11"/>
      <c r="M2407" s="41"/>
      <c r="N2407" s="11"/>
    </row>
    <row r="2408" spans="8:14" x14ac:dyDescent="0.25">
      <c r="H2408" s="37"/>
      <c r="I2408" s="79"/>
      <c r="J2408" s="70"/>
      <c r="K2408" s="57"/>
      <c r="L2408" s="11"/>
      <c r="M2408" s="41"/>
      <c r="N2408" s="11"/>
    </row>
    <row r="2409" spans="8:14" x14ac:dyDescent="0.25">
      <c r="H2409" s="37"/>
      <c r="I2409" s="79"/>
      <c r="J2409" s="70"/>
      <c r="K2409" s="57"/>
      <c r="L2409" s="11"/>
      <c r="M2409" s="41"/>
      <c r="N2409" s="11"/>
    </row>
    <row r="2410" spans="8:14" x14ac:dyDescent="0.25">
      <c r="H2410" s="37"/>
      <c r="I2410" s="79"/>
      <c r="J2410" s="70"/>
      <c r="K2410" s="57"/>
      <c r="L2410" s="11"/>
      <c r="M2410" s="41"/>
      <c r="N2410" s="11"/>
    </row>
    <row r="2411" spans="8:14" x14ac:dyDescent="0.25">
      <c r="H2411" s="37"/>
      <c r="I2411" s="79"/>
      <c r="J2411" s="70"/>
      <c r="K2411" s="57"/>
      <c r="L2411" s="11"/>
      <c r="M2411" s="41"/>
      <c r="N2411" s="11"/>
    </row>
    <row r="2412" spans="8:14" x14ac:dyDescent="0.25">
      <c r="H2412" s="37"/>
      <c r="I2412" s="79"/>
      <c r="J2412" s="70"/>
      <c r="K2412" s="57"/>
      <c r="L2412" s="11"/>
      <c r="M2412" s="41"/>
      <c r="N2412" s="11"/>
    </row>
    <row r="2413" spans="8:14" x14ac:dyDescent="0.25">
      <c r="H2413" s="37"/>
      <c r="I2413" s="79"/>
      <c r="J2413" s="70"/>
      <c r="K2413" s="57"/>
      <c r="L2413" s="11"/>
      <c r="M2413" s="41"/>
      <c r="N2413" s="11"/>
    </row>
    <row r="2414" spans="8:14" x14ac:dyDescent="0.25">
      <c r="H2414" s="37"/>
      <c r="I2414" s="79"/>
      <c r="J2414" s="70"/>
      <c r="K2414" s="57"/>
      <c r="L2414" s="11"/>
      <c r="M2414" s="41"/>
      <c r="N2414" s="11"/>
    </row>
    <row r="2415" spans="8:14" x14ac:dyDescent="0.25">
      <c r="H2415" s="37"/>
      <c r="I2415" s="79"/>
      <c r="J2415" s="70"/>
      <c r="K2415" s="57"/>
      <c r="L2415" s="11"/>
      <c r="M2415" s="41"/>
      <c r="N2415" s="11"/>
    </row>
    <row r="2416" spans="8:14" x14ac:dyDescent="0.25">
      <c r="H2416" s="37"/>
      <c r="I2416" s="79"/>
      <c r="J2416" s="70"/>
      <c r="K2416" s="57"/>
      <c r="L2416" s="11"/>
      <c r="M2416" s="41"/>
      <c r="N2416" s="11"/>
    </row>
    <row r="2417" spans="8:14" x14ac:dyDescent="0.25">
      <c r="H2417" s="37"/>
      <c r="I2417" s="79"/>
      <c r="J2417" s="70"/>
      <c r="K2417" s="57"/>
      <c r="L2417" s="11"/>
      <c r="M2417" s="41"/>
      <c r="N2417" s="11"/>
    </row>
    <row r="2418" spans="8:14" x14ac:dyDescent="0.25">
      <c r="H2418" s="37"/>
      <c r="I2418" s="79"/>
      <c r="J2418" s="70"/>
      <c r="K2418" s="57"/>
      <c r="L2418" s="11"/>
      <c r="M2418" s="41"/>
      <c r="N2418" s="11"/>
    </row>
    <row r="2419" spans="8:14" x14ac:dyDescent="0.25">
      <c r="H2419" s="37"/>
      <c r="I2419" s="79"/>
      <c r="J2419" s="70"/>
      <c r="K2419" s="57"/>
      <c r="L2419" s="11"/>
      <c r="M2419" s="41"/>
      <c r="N2419" s="11"/>
    </row>
    <row r="2420" spans="8:14" x14ac:dyDescent="0.25">
      <c r="H2420" s="37"/>
      <c r="I2420" s="79"/>
      <c r="J2420" s="70"/>
      <c r="K2420" s="57"/>
      <c r="L2420" s="11"/>
      <c r="M2420" s="41"/>
      <c r="N2420" s="11"/>
    </row>
    <row r="2421" spans="8:14" x14ac:dyDescent="0.25">
      <c r="H2421" s="37"/>
      <c r="I2421" s="79"/>
      <c r="J2421" s="70"/>
      <c r="K2421" s="57"/>
      <c r="L2421" s="11"/>
      <c r="M2421" s="41"/>
      <c r="N2421" s="11"/>
    </row>
    <row r="2422" spans="8:14" x14ac:dyDescent="0.25">
      <c r="H2422" s="37"/>
      <c r="I2422" s="79"/>
      <c r="J2422" s="70"/>
      <c r="K2422" s="57"/>
      <c r="L2422" s="11"/>
      <c r="M2422" s="41"/>
      <c r="N2422" s="11"/>
    </row>
    <row r="2423" spans="8:14" x14ac:dyDescent="0.25">
      <c r="H2423" s="37"/>
      <c r="I2423" s="79"/>
      <c r="J2423" s="70"/>
      <c r="K2423" s="57"/>
      <c r="L2423" s="11"/>
      <c r="M2423" s="41"/>
      <c r="N2423" s="11"/>
    </row>
    <row r="2424" spans="8:14" x14ac:dyDescent="0.25">
      <c r="H2424" s="37"/>
      <c r="I2424" s="79"/>
      <c r="J2424" s="70"/>
      <c r="K2424" s="57"/>
      <c r="L2424" s="11"/>
      <c r="M2424" s="41"/>
      <c r="N2424" s="11"/>
    </row>
    <row r="2425" spans="8:14" x14ac:dyDescent="0.25">
      <c r="H2425" s="37"/>
      <c r="I2425" s="79"/>
      <c r="J2425" s="70"/>
      <c r="K2425" s="57"/>
      <c r="L2425" s="11"/>
      <c r="M2425" s="41"/>
      <c r="N2425" s="11"/>
    </row>
    <row r="2426" spans="8:14" x14ac:dyDescent="0.25">
      <c r="H2426" s="37"/>
      <c r="I2426" s="79"/>
      <c r="J2426" s="70"/>
      <c r="K2426" s="57"/>
      <c r="L2426" s="11"/>
      <c r="M2426" s="41"/>
      <c r="N2426" s="11"/>
    </row>
    <row r="2427" spans="8:14" x14ac:dyDescent="0.25">
      <c r="H2427" s="37"/>
      <c r="I2427" s="79"/>
      <c r="J2427" s="70"/>
      <c r="K2427" s="57"/>
      <c r="L2427" s="11"/>
      <c r="M2427" s="41"/>
      <c r="N2427" s="11"/>
    </row>
    <row r="2428" spans="8:14" x14ac:dyDescent="0.25">
      <c r="H2428" s="37"/>
      <c r="I2428" s="79"/>
      <c r="J2428" s="70"/>
      <c r="K2428" s="57"/>
      <c r="L2428" s="11"/>
      <c r="M2428" s="41"/>
      <c r="N2428" s="11"/>
    </row>
    <row r="2429" spans="8:14" x14ac:dyDescent="0.25">
      <c r="H2429" s="37"/>
      <c r="I2429" s="79"/>
      <c r="J2429" s="70"/>
      <c r="K2429" s="57"/>
      <c r="L2429" s="11"/>
      <c r="M2429" s="41"/>
      <c r="N2429" s="11"/>
    </row>
    <row r="2430" spans="8:14" x14ac:dyDescent="0.25">
      <c r="H2430" s="37"/>
      <c r="I2430" s="79"/>
      <c r="J2430" s="70"/>
      <c r="K2430" s="57"/>
      <c r="L2430" s="11"/>
      <c r="M2430" s="41"/>
      <c r="N2430" s="11"/>
    </row>
    <row r="2431" spans="8:14" x14ac:dyDescent="0.25">
      <c r="H2431" s="37"/>
      <c r="I2431" s="79"/>
      <c r="J2431" s="70"/>
      <c r="K2431" s="57"/>
      <c r="L2431" s="11"/>
      <c r="M2431" s="41"/>
      <c r="N2431" s="11"/>
    </row>
    <row r="2432" spans="8:14" x14ac:dyDescent="0.25">
      <c r="H2432" s="37"/>
      <c r="I2432" s="79"/>
      <c r="J2432" s="70"/>
      <c r="K2432" s="57"/>
      <c r="L2432" s="11"/>
      <c r="M2432" s="41"/>
      <c r="N2432" s="11"/>
    </row>
    <row r="2433" spans="8:14" x14ac:dyDescent="0.25">
      <c r="H2433" s="37"/>
      <c r="I2433" s="79"/>
      <c r="J2433" s="70"/>
      <c r="K2433" s="57"/>
      <c r="L2433" s="11"/>
      <c r="M2433" s="41"/>
      <c r="N2433" s="11"/>
    </row>
    <row r="2434" spans="8:14" x14ac:dyDescent="0.25">
      <c r="H2434" s="37"/>
      <c r="I2434" s="79"/>
      <c r="J2434" s="70"/>
      <c r="K2434" s="57"/>
      <c r="L2434" s="11"/>
      <c r="M2434" s="41"/>
      <c r="N2434" s="11"/>
    </row>
    <row r="2435" spans="8:14" x14ac:dyDescent="0.25">
      <c r="H2435" s="37"/>
      <c r="I2435" s="79"/>
      <c r="J2435" s="70"/>
      <c r="K2435" s="57"/>
      <c r="L2435" s="11"/>
      <c r="M2435" s="41"/>
      <c r="N2435" s="11"/>
    </row>
    <row r="2436" spans="8:14" x14ac:dyDescent="0.25">
      <c r="H2436" s="37"/>
      <c r="I2436" s="79"/>
      <c r="J2436" s="70"/>
      <c r="K2436" s="57"/>
      <c r="L2436" s="11"/>
      <c r="M2436" s="41"/>
      <c r="N2436" s="11"/>
    </row>
    <row r="2437" spans="8:14" x14ac:dyDescent="0.25">
      <c r="H2437" s="37"/>
      <c r="I2437" s="79"/>
      <c r="J2437" s="70"/>
      <c r="K2437" s="57"/>
      <c r="L2437" s="11"/>
      <c r="M2437" s="41"/>
      <c r="N2437" s="11"/>
    </row>
    <row r="2438" spans="8:14" x14ac:dyDescent="0.25">
      <c r="H2438" s="37"/>
      <c r="I2438" s="79"/>
      <c r="J2438" s="70"/>
      <c r="K2438" s="57"/>
      <c r="L2438" s="11"/>
      <c r="M2438" s="41"/>
      <c r="N2438" s="11"/>
    </row>
    <row r="2439" spans="8:14" x14ac:dyDescent="0.25">
      <c r="H2439" s="37"/>
      <c r="I2439" s="79"/>
      <c r="J2439" s="70"/>
      <c r="K2439" s="57"/>
      <c r="L2439" s="11"/>
      <c r="M2439" s="41"/>
      <c r="N2439" s="11"/>
    </row>
    <row r="2440" spans="8:14" x14ac:dyDescent="0.25">
      <c r="H2440" s="37"/>
      <c r="I2440" s="79"/>
      <c r="J2440" s="70"/>
      <c r="K2440" s="57"/>
      <c r="L2440" s="11"/>
      <c r="M2440" s="41"/>
      <c r="N2440" s="11"/>
    </row>
    <row r="2441" spans="8:14" x14ac:dyDescent="0.25">
      <c r="H2441" s="37"/>
      <c r="I2441" s="79"/>
      <c r="J2441" s="70"/>
      <c r="K2441" s="57"/>
      <c r="L2441" s="11"/>
      <c r="M2441" s="41"/>
      <c r="N2441" s="11"/>
    </row>
    <row r="2442" spans="8:14" x14ac:dyDescent="0.25">
      <c r="H2442" s="37"/>
      <c r="I2442" s="79"/>
      <c r="J2442" s="70"/>
      <c r="K2442" s="57"/>
      <c r="L2442" s="11"/>
      <c r="M2442" s="41"/>
      <c r="N2442" s="11"/>
    </row>
    <row r="2443" spans="8:14" x14ac:dyDescent="0.25">
      <c r="H2443" s="37"/>
      <c r="I2443" s="79"/>
      <c r="J2443" s="70"/>
      <c r="K2443" s="57"/>
      <c r="L2443" s="11"/>
      <c r="M2443" s="41"/>
      <c r="N2443" s="11"/>
    </row>
    <row r="2444" spans="8:14" x14ac:dyDescent="0.25">
      <c r="H2444" s="37"/>
      <c r="I2444" s="79"/>
      <c r="J2444" s="70"/>
      <c r="K2444" s="57"/>
      <c r="L2444" s="11"/>
      <c r="M2444" s="41"/>
      <c r="N2444" s="11"/>
    </row>
    <row r="2445" spans="8:14" x14ac:dyDescent="0.25">
      <c r="H2445" s="37"/>
      <c r="I2445" s="79"/>
      <c r="J2445" s="70"/>
      <c r="K2445" s="57"/>
      <c r="L2445" s="11"/>
      <c r="M2445" s="41"/>
      <c r="N2445" s="11"/>
    </row>
    <row r="2446" spans="8:14" x14ac:dyDescent="0.25">
      <c r="H2446" s="37"/>
      <c r="I2446" s="79"/>
      <c r="J2446" s="70"/>
      <c r="K2446" s="57"/>
      <c r="L2446" s="11"/>
      <c r="M2446" s="41"/>
      <c r="N2446" s="11"/>
    </row>
    <row r="2447" spans="8:14" x14ac:dyDescent="0.25">
      <c r="H2447" s="37"/>
      <c r="I2447" s="79"/>
      <c r="J2447" s="70"/>
      <c r="K2447" s="57"/>
      <c r="L2447" s="11"/>
      <c r="M2447" s="41"/>
      <c r="N2447" s="11"/>
    </row>
    <row r="2448" spans="8:14" x14ac:dyDescent="0.25">
      <c r="H2448" s="37"/>
      <c r="I2448" s="79"/>
      <c r="J2448" s="70"/>
      <c r="K2448" s="57"/>
      <c r="L2448" s="11"/>
      <c r="M2448" s="41"/>
      <c r="N2448" s="11"/>
    </row>
    <row r="2449" spans="8:14" x14ac:dyDescent="0.25">
      <c r="H2449" s="37"/>
      <c r="I2449" s="79"/>
      <c r="J2449" s="70"/>
      <c r="K2449" s="57"/>
      <c r="L2449" s="11"/>
      <c r="M2449" s="41"/>
      <c r="N2449" s="11"/>
    </row>
    <row r="2450" spans="8:14" x14ac:dyDescent="0.25">
      <c r="H2450" s="37"/>
      <c r="I2450" s="79"/>
      <c r="J2450" s="70"/>
      <c r="K2450" s="57"/>
      <c r="L2450" s="11"/>
      <c r="M2450" s="41"/>
      <c r="N2450" s="11"/>
    </row>
    <row r="2451" spans="8:14" x14ac:dyDescent="0.25">
      <c r="H2451" s="37"/>
      <c r="I2451" s="79"/>
      <c r="J2451" s="70"/>
      <c r="K2451" s="57"/>
      <c r="L2451" s="11"/>
      <c r="M2451" s="41"/>
      <c r="N2451" s="11"/>
    </row>
    <row r="2452" spans="8:14" x14ac:dyDescent="0.25">
      <c r="H2452" s="37"/>
      <c r="I2452" s="79"/>
      <c r="J2452" s="70"/>
      <c r="K2452" s="57"/>
      <c r="L2452" s="11"/>
      <c r="M2452" s="41"/>
      <c r="N2452" s="11"/>
    </row>
    <row r="2453" spans="8:14" x14ac:dyDescent="0.25">
      <c r="H2453" s="37"/>
      <c r="I2453" s="79"/>
      <c r="J2453" s="70"/>
      <c r="K2453" s="57"/>
      <c r="L2453" s="11"/>
      <c r="M2453" s="41"/>
      <c r="N2453" s="11"/>
    </row>
    <row r="2454" spans="8:14" x14ac:dyDescent="0.25">
      <c r="H2454" s="37"/>
      <c r="I2454" s="79"/>
      <c r="J2454" s="70"/>
      <c r="K2454" s="57"/>
      <c r="L2454" s="11"/>
      <c r="M2454" s="41"/>
      <c r="N2454" s="11"/>
    </row>
    <row r="2455" spans="8:14" x14ac:dyDescent="0.25">
      <c r="H2455" s="37"/>
      <c r="I2455" s="79"/>
      <c r="J2455" s="70"/>
      <c r="K2455" s="57"/>
      <c r="L2455" s="11"/>
      <c r="M2455" s="41"/>
      <c r="N2455" s="11"/>
    </row>
    <row r="2456" spans="8:14" x14ac:dyDescent="0.25">
      <c r="H2456" s="37"/>
      <c r="I2456" s="79"/>
      <c r="J2456" s="70"/>
      <c r="K2456" s="57"/>
      <c r="L2456" s="11"/>
      <c r="M2456" s="41"/>
      <c r="N2456" s="11"/>
    </row>
    <row r="2457" spans="8:14" x14ac:dyDescent="0.25">
      <c r="H2457" s="37"/>
      <c r="I2457" s="79"/>
      <c r="J2457" s="70"/>
      <c r="K2457" s="57"/>
      <c r="L2457" s="11"/>
      <c r="M2457" s="41"/>
      <c r="N2457" s="11"/>
    </row>
    <row r="2458" spans="8:14" x14ac:dyDescent="0.25">
      <c r="H2458" s="37"/>
      <c r="I2458" s="79"/>
      <c r="J2458" s="70"/>
      <c r="K2458" s="57"/>
      <c r="L2458" s="11"/>
      <c r="M2458" s="41"/>
      <c r="N2458" s="11"/>
    </row>
    <row r="2459" spans="8:14" x14ac:dyDescent="0.25">
      <c r="H2459" s="37"/>
      <c r="I2459" s="79"/>
      <c r="J2459" s="70"/>
      <c r="K2459" s="57"/>
      <c r="L2459" s="11"/>
      <c r="M2459" s="41"/>
      <c r="N2459" s="11"/>
    </row>
    <row r="2460" spans="8:14" x14ac:dyDescent="0.25">
      <c r="H2460" s="37"/>
      <c r="I2460" s="79"/>
      <c r="J2460" s="70"/>
      <c r="K2460" s="57"/>
      <c r="L2460" s="11"/>
      <c r="M2460" s="41"/>
      <c r="N2460" s="11"/>
    </row>
    <row r="2461" spans="8:14" x14ac:dyDescent="0.25">
      <c r="H2461" s="37"/>
      <c r="I2461" s="79"/>
      <c r="J2461" s="70"/>
      <c r="K2461" s="57"/>
      <c r="L2461" s="11"/>
      <c r="M2461" s="41"/>
      <c r="N2461" s="11"/>
    </row>
    <row r="2462" spans="8:14" x14ac:dyDescent="0.25">
      <c r="H2462" s="37"/>
      <c r="I2462" s="79"/>
      <c r="J2462" s="70"/>
      <c r="K2462" s="57"/>
      <c r="L2462" s="11"/>
      <c r="M2462" s="41"/>
      <c r="N2462" s="11"/>
    </row>
    <row r="2463" spans="8:14" x14ac:dyDescent="0.25">
      <c r="H2463" s="37"/>
      <c r="I2463" s="79"/>
      <c r="J2463" s="70"/>
      <c r="K2463" s="57"/>
      <c r="L2463" s="11"/>
      <c r="M2463" s="41"/>
      <c r="N2463" s="11"/>
    </row>
    <row r="2464" spans="8:14" x14ac:dyDescent="0.25">
      <c r="H2464" s="37"/>
      <c r="I2464" s="79"/>
      <c r="J2464" s="70"/>
      <c r="K2464" s="57"/>
      <c r="L2464" s="11"/>
      <c r="M2464" s="41"/>
      <c r="N2464" s="11"/>
    </row>
    <row r="2465" spans="8:14" x14ac:dyDescent="0.25">
      <c r="H2465" s="37"/>
      <c r="I2465" s="79"/>
      <c r="J2465" s="70"/>
      <c r="K2465" s="57"/>
      <c r="L2465" s="11"/>
      <c r="M2465" s="41"/>
      <c r="N2465" s="11"/>
    </row>
    <row r="2466" spans="8:14" x14ac:dyDescent="0.25">
      <c r="H2466" s="37"/>
      <c r="I2466" s="79"/>
      <c r="J2466" s="70"/>
      <c r="K2466" s="57"/>
      <c r="L2466" s="11"/>
      <c r="M2466" s="41"/>
      <c r="N2466" s="11"/>
    </row>
    <row r="2467" spans="8:14" x14ac:dyDescent="0.25">
      <c r="H2467" s="37"/>
      <c r="I2467" s="79"/>
      <c r="J2467" s="70"/>
      <c r="K2467" s="57"/>
      <c r="L2467" s="11"/>
      <c r="M2467" s="41"/>
      <c r="N2467" s="11"/>
    </row>
    <row r="2468" spans="8:14" x14ac:dyDescent="0.25">
      <c r="H2468" s="37"/>
      <c r="I2468" s="79"/>
      <c r="J2468" s="70"/>
      <c r="K2468" s="57"/>
      <c r="L2468" s="11"/>
      <c r="M2468" s="41"/>
      <c r="N2468" s="11"/>
    </row>
    <row r="2469" spans="8:14" x14ac:dyDescent="0.25">
      <c r="H2469" s="37"/>
      <c r="I2469" s="79"/>
      <c r="J2469" s="70"/>
      <c r="K2469" s="57"/>
      <c r="L2469" s="11"/>
      <c r="M2469" s="41"/>
      <c r="N2469" s="11"/>
    </row>
    <row r="2470" spans="8:14" x14ac:dyDescent="0.25">
      <c r="H2470" s="37"/>
      <c r="I2470" s="79"/>
      <c r="J2470" s="70"/>
      <c r="K2470" s="57"/>
      <c r="L2470" s="11"/>
      <c r="M2470" s="41"/>
      <c r="N2470" s="11"/>
    </row>
    <row r="2471" spans="8:14" x14ac:dyDescent="0.25">
      <c r="H2471" s="37"/>
      <c r="I2471" s="79"/>
      <c r="J2471" s="70"/>
      <c r="K2471" s="57"/>
      <c r="L2471" s="11"/>
      <c r="M2471" s="41"/>
      <c r="N2471" s="11"/>
    </row>
    <row r="2472" spans="8:14" x14ac:dyDescent="0.25">
      <c r="H2472" s="37"/>
      <c r="I2472" s="79"/>
      <c r="J2472" s="70"/>
      <c r="K2472" s="57"/>
      <c r="L2472" s="11"/>
      <c r="M2472" s="41"/>
      <c r="N2472" s="11"/>
    </row>
    <row r="2473" spans="8:14" x14ac:dyDescent="0.25">
      <c r="H2473" s="37"/>
      <c r="I2473" s="79"/>
      <c r="J2473" s="70"/>
      <c r="K2473" s="57"/>
      <c r="L2473" s="11"/>
      <c r="M2473" s="41"/>
      <c r="N2473" s="11"/>
    </row>
    <row r="2474" spans="8:14" x14ac:dyDescent="0.25">
      <c r="H2474" s="37"/>
      <c r="I2474" s="79"/>
      <c r="J2474" s="70"/>
      <c r="K2474" s="57"/>
      <c r="L2474" s="11"/>
      <c r="M2474" s="41"/>
      <c r="N2474" s="11"/>
    </row>
    <row r="2475" spans="8:14" x14ac:dyDescent="0.25">
      <c r="H2475" s="37"/>
      <c r="I2475" s="79"/>
      <c r="J2475" s="70"/>
      <c r="K2475" s="57"/>
      <c r="L2475" s="11"/>
      <c r="M2475" s="41"/>
      <c r="N2475" s="11"/>
    </row>
    <row r="2476" spans="8:14" x14ac:dyDescent="0.25">
      <c r="H2476" s="37"/>
      <c r="I2476" s="79"/>
      <c r="J2476" s="70"/>
      <c r="K2476" s="57"/>
      <c r="L2476" s="11"/>
      <c r="M2476" s="41"/>
      <c r="N2476" s="11"/>
    </row>
    <row r="2477" spans="8:14" x14ac:dyDescent="0.25">
      <c r="H2477" s="37"/>
      <c r="I2477" s="79"/>
      <c r="J2477" s="70"/>
      <c r="K2477" s="57"/>
      <c r="L2477" s="11"/>
      <c r="M2477" s="41"/>
      <c r="N2477" s="11"/>
    </row>
    <row r="2478" spans="8:14" x14ac:dyDescent="0.25">
      <c r="H2478" s="37"/>
      <c r="I2478" s="79"/>
      <c r="J2478" s="70"/>
      <c r="K2478" s="57"/>
      <c r="L2478" s="11"/>
      <c r="M2478" s="41"/>
      <c r="N2478" s="11"/>
    </row>
    <row r="2479" spans="8:14" x14ac:dyDescent="0.25">
      <c r="H2479" s="37"/>
      <c r="I2479" s="79"/>
      <c r="J2479" s="70"/>
      <c r="K2479" s="57"/>
      <c r="L2479" s="11"/>
      <c r="M2479" s="41"/>
      <c r="N2479" s="11"/>
    </row>
    <row r="2480" spans="8:14" x14ac:dyDescent="0.25">
      <c r="H2480" s="37"/>
      <c r="I2480" s="79"/>
      <c r="J2480" s="70"/>
      <c r="K2480" s="57"/>
      <c r="L2480" s="11"/>
      <c r="M2480" s="41"/>
      <c r="N2480" s="11"/>
    </row>
    <row r="2481" spans="8:14" x14ac:dyDescent="0.25">
      <c r="H2481" s="37"/>
      <c r="I2481" s="79"/>
      <c r="J2481" s="70"/>
      <c r="K2481" s="57"/>
      <c r="L2481" s="11"/>
      <c r="M2481" s="41"/>
      <c r="N2481" s="11"/>
    </row>
    <row r="2482" spans="8:14" x14ac:dyDescent="0.25">
      <c r="H2482" s="37"/>
      <c r="I2482" s="79"/>
      <c r="J2482" s="70"/>
      <c r="K2482" s="57"/>
      <c r="L2482" s="11"/>
      <c r="M2482" s="41"/>
      <c r="N2482" s="11"/>
    </row>
    <row r="2483" spans="8:14" x14ac:dyDescent="0.25">
      <c r="H2483" s="37"/>
      <c r="I2483" s="79"/>
      <c r="J2483" s="70"/>
      <c r="K2483" s="57"/>
      <c r="L2483" s="11"/>
      <c r="M2483" s="41"/>
      <c r="N2483" s="11"/>
    </row>
    <row r="2484" spans="8:14" x14ac:dyDescent="0.25">
      <c r="H2484" s="37"/>
      <c r="I2484" s="79"/>
      <c r="J2484" s="70"/>
      <c r="K2484" s="57"/>
      <c r="L2484" s="11"/>
      <c r="M2484" s="41"/>
      <c r="N2484" s="11"/>
    </row>
    <row r="2485" spans="8:14" x14ac:dyDescent="0.25">
      <c r="H2485" s="37"/>
      <c r="I2485" s="79"/>
      <c r="J2485" s="70"/>
      <c r="K2485" s="57"/>
      <c r="L2485" s="11"/>
      <c r="M2485" s="41"/>
      <c r="N2485" s="11"/>
    </row>
    <row r="2486" spans="8:14" x14ac:dyDescent="0.25">
      <c r="H2486" s="37"/>
      <c r="I2486" s="79"/>
      <c r="J2486" s="70"/>
      <c r="K2486" s="57"/>
      <c r="L2486" s="11"/>
      <c r="M2486" s="41"/>
      <c r="N2486" s="11"/>
    </row>
    <row r="2487" spans="8:14" x14ac:dyDescent="0.25">
      <c r="H2487" s="37"/>
      <c r="I2487" s="79"/>
      <c r="J2487" s="70"/>
      <c r="K2487" s="57"/>
      <c r="L2487" s="11"/>
      <c r="M2487" s="41"/>
      <c r="N2487" s="11"/>
    </row>
    <row r="2488" spans="8:14" x14ac:dyDescent="0.25">
      <c r="H2488" s="37"/>
      <c r="I2488" s="79"/>
      <c r="J2488" s="70"/>
      <c r="K2488" s="57"/>
      <c r="L2488" s="11"/>
      <c r="M2488" s="41"/>
      <c r="N2488" s="11"/>
    </row>
    <row r="2489" spans="8:14" x14ac:dyDescent="0.25">
      <c r="H2489" s="37"/>
      <c r="I2489" s="79"/>
      <c r="J2489" s="70"/>
      <c r="K2489" s="57"/>
      <c r="L2489" s="11"/>
      <c r="M2489" s="41"/>
      <c r="N2489" s="11"/>
    </row>
    <row r="2490" spans="8:14" x14ac:dyDescent="0.25">
      <c r="H2490" s="37"/>
      <c r="I2490" s="79"/>
      <c r="J2490" s="70"/>
      <c r="K2490" s="57"/>
      <c r="L2490" s="11"/>
      <c r="M2490" s="41"/>
      <c r="N2490" s="11"/>
    </row>
    <row r="2491" spans="8:14" x14ac:dyDescent="0.25">
      <c r="H2491" s="37"/>
      <c r="I2491" s="79"/>
      <c r="J2491" s="70"/>
      <c r="K2491" s="57"/>
      <c r="L2491" s="11"/>
      <c r="M2491" s="41"/>
      <c r="N2491" s="11"/>
    </row>
    <row r="2492" spans="8:14" x14ac:dyDescent="0.25">
      <c r="H2492" s="37"/>
      <c r="I2492" s="79"/>
      <c r="J2492" s="70"/>
      <c r="K2492" s="57"/>
      <c r="L2492" s="11"/>
      <c r="M2492" s="41"/>
      <c r="N2492" s="11"/>
    </row>
    <row r="2493" spans="8:14" x14ac:dyDescent="0.25">
      <c r="H2493" s="37"/>
      <c r="I2493" s="79"/>
      <c r="J2493" s="70"/>
      <c r="K2493" s="57"/>
      <c r="L2493" s="11"/>
      <c r="M2493" s="41"/>
      <c r="N2493" s="11"/>
    </row>
    <row r="2494" spans="8:14" x14ac:dyDescent="0.25">
      <c r="H2494" s="37"/>
      <c r="I2494" s="79"/>
      <c r="J2494" s="70"/>
      <c r="K2494" s="57"/>
      <c r="L2494" s="11"/>
      <c r="M2494" s="41"/>
      <c r="N2494" s="11"/>
    </row>
    <row r="2495" spans="8:14" x14ac:dyDescent="0.25">
      <c r="H2495" s="37"/>
      <c r="I2495" s="79"/>
      <c r="J2495" s="70"/>
      <c r="K2495" s="57"/>
      <c r="L2495" s="11"/>
      <c r="M2495" s="41"/>
      <c r="N2495" s="11"/>
    </row>
    <row r="2496" spans="8:14" x14ac:dyDescent="0.25">
      <c r="H2496" s="37"/>
      <c r="I2496" s="79"/>
      <c r="J2496" s="70"/>
      <c r="K2496" s="57"/>
      <c r="L2496" s="11"/>
      <c r="M2496" s="41"/>
      <c r="N2496" s="11"/>
    </row>
    <row r="2497" spans="8:14" x14ac:dyDescent="0.25">
      <c r="H2497" s="37"/>
      <c r="I2497" s="79"/>
      <c r="J2497" s="70"/>
      <c r="K2497" s="57"/>
      <c r="L2497" s="11"/>
      <c r="M2497" s="41"/>
      <c r="N2497" s="11"/>
    </row>
    <row r="2498" spans="8:14" x14ac:dyDescent="0.25">
      <c r="H2498" s="37"/>
      <c r="I2498" s="79"/>
      <c r="J2498" s="70"/>
      <c r="K2498" s="57"/>
      <c r="L2498" s="11"/>
      <c r="M2498" s="41"/>
      <c r="N2498" s="11"/>
    </row>
    <row r="2499" spans="8:14" x14ac:dyDescent="0.25">
      <c r="H2499" s="37"/>
      <c r="I2499" s="79"/>
      <c r="J2499" s="70"/>
      <c r="K2499" s="57"/>
      <c r="L2499" s="11"/>
      <c r="M2499" s="41"/>
      <c r="N2499" s="11"/>
    </row>
    <row r="2500" spans="8:14" x14ac:dyDescent="0.25">
      <c r="H2500" s="37"/>
      <c r="I2500" s="79"/>
      <c r="J2500" s="70"/>
      <c r="K2500" s="57"/>
      <c r="L2500" s="11"/>
      <c r="M2500" s="41"/>
      <c r="N2500" s="11"/>
    </row>
    <row r="2501" spans="8:14" x14ac:dyDescent="0.25">
      <c r="H2501" s="37"/>
      <c r="I2501" s="79"/>
      <c r="J2501" s="70"/>
      <c r="K2501" s="57"/>
      <c r="L2501" s="11"/>
      <c r="M2501" s="41"/>
      <c r="N2501" s="11"/>
    </row>
    <row r="2502" spans="8:14" x14ac:dyDescent="0.25">
      <c r="H2502" s="37"/>
      <c r="I2502" s="79"/>
      <c r="J2502" s="70"/>
      <c r="K2502" s="57"/>
      <c r="L2502" s="11"/>
      <c r="M2502" s="41"/>
      <c r="N2502" s="11"/>
    </row>
    <row r="2503" spans="8:14" x14ac:dyDescent="0.25">
      <c r="H2503" s="37"/>
      <c r="I2503" s="79"/>
      <c r="J2503" s="70"/>
      <c r="K2503" s="57"/>
      <c r="L2503" s="11"/>
      <c r="M2503" s="41"/>
      <c r="N2503" s="11"/>
    </row>
    <row r="2504" spans="8:14" x14ac:dyDescent="0.25">
      <c r="H2504" s="37"/>
      <c r="I2504" s="79"/>
      <c r="J2504" s="70"/>
      <c r="K2504" s="57"/>
      <c r="L2504" s="11"/>
      <c r="M2504" s="41"/>
      <c r="N2504" s="11"/>
    </row>
    <row r="2505" spans="8:14" x14ac:dyDescent="0.25">
      <c r="H2505" s="37"/>
      <c r="I2505" s="79"/>
      <c r="J2505" s="70"/>
      <c r="K2505" s="57"/>
      <c r="L2505" s="11"/>
      <c r="M2505" s="41"/>
      <c r="N2505" s="11"/>
    </row>
    <row r="2506" spans="8:14" x14ac:dyDescent="0.25">
      <c r="H2506" s="37"/>
      <c r="I2506" s="79"/>
      <c r="J2506" s="70"/>
      <c r="K2506" s="57"/>
      <c r="L2506" s="11"/>
      <c r="M2506" s="41"/>
      <c r="N2506" s="11"/>
    </row>
    <row r="2507" spans="8:14" x14ac:dyDescent="0.25">
      <c r="H2507" s="37"/>
      <c r="I2507" s="79"/>
      <c r="J2507" s="70"/>
      <c r="K2507" s="57"/>
      <c r="L2507" s="11"/>
      <c r="M2507" s="41"/>
      <c r="N2507" s="11"/>
    </row>
    <row r="2508" spans="8:14" x14ac:dyDescent="0.25">
      <c r="H2508" s="37"/>
      <c r="I2508" s="79"/>
      <c r="J2508" s="70"/>
      <c r="K2508" s="57"/>
      <c r="L2508" s="11"/>
      <c r="M2508" s="41"/>
      <c r="N2508" s="11"/>
    </row>
    <row r="2509" spans="8:14" x14ac:dyDescent="0.25">
      <c r="H2509" s="37"/>
      <c r="I2509" s="79"/>
      <c r="J2509" s="70"/>
      <c r="K2509" s="57"/>
      <c r="L2509" s="11"/>
      <c r="M2509" s="41"/>
      <c r="N2509" s="11"/>
    </row>
    <row r="2510" spans="8:14" x14ac:dyDescent="0.25">
      <c r="H2510" s="37"/>
      <c r="I2510" s="79"/>
      <c r="J2510" s="70"/>
      <c r="K2510" s="57"/>
      <c r="L2510" s="11"/>
      <c r="M2510" s="41"/>
      <c r="N2510" s="11"/>
    </row>
    <row r="2511" spans="8:14" x14ac:dyDescent="0.25">
      <c r="H2511" s="37"/>
      <c r="I2511" s="79"/>
      <c r="J2511" s="70"/>
      <c r="K2511" s="57"/>
      <c r="L2511" s="11"/>
      <c r="M2511" s="41"/>
      <c r="N2511" s="11"/>
    </row>
    <row r="2512" spans="8:14" x14ac:dyDescent="0.25">
      <c r="H2512" s="37"/>
      <c r="I2512" s="79"/>
      <c r="J2512" s="70"/>
      <c r="K2512" s="57"/>
      <c r="L2512" s="11"/>
      <c r="M2512" s="41"/>
      <c r="N2512" s="11"/>
    </row>
    <row r="2513" spans="8:14" x14ac:dyDescent="0.25">
      <c r="H2513" s="37"/>
      <c r="I2513" s="79"/>
      <c r="J2513" s="70"/>
      <c r="K2513" s="57"/>
      <c r="L2513" s="11"/>
      <c r="M2513" s="41"/>
      <c r="N2513" s="11"/>
    </row>
    <row r="2514" spans="8:14" x14ac:dyDescent="0.25">
      <c r="H2514" s="37"/>
      <c r="I2514" s="79"/>
      <c r="J2514" s="70"/>
      <c r="K2514" s="57"/>
      <c r="L2514" s="11"/>
      <c r="M2514" s="41"/>
      <c r="N2514" s="11"/>
    </row>
    <row r="2515" spans="8:14" x14ac:dyDescent="0.25">
      <c r="H2515" s="37"/>
      <c r="I2515" s="79"/>
      <c r="J2515" s="70"/>
      <c r="K2515" s="57"/>
      <c r="L2515" s="11"/>
      <c r="M2515" s="41"/>
      <c r="N2515" s="11"/>
    </row>
    <row r="2516" spans="8:14" x14ac:dyDescent="0.25">
      <c r="H2516" s="37"/>
      <c r="I2516" s="79"/>
      <c r="J2516" s="70"/>
      <c r="K2516" s="57"/>
      <c r="L2516" s="11"/>
      <c r="M2516" s="41"/>
      <c r="N2516" s="11"/>
    </row>
    <row r="2517" spans="8:14" x14ac:dyDescent="0.25">
      <c r="H2517" s="37"/>
      <c r="I2517" s="79"/>
      <c r="J2517" s="70"/>
      <c r="K2517" s="57"/>
      <c r="L2517" s="11"/>
      <c r="M2517" s="41"/>
      <c r="N2517" s="11"/>
    </row>
    <row r="2518" spans="8:14" x14ac:dyDescent="0.25">
      <c r="H2518" s="37"/>
      <c r="I2518" s="79"/>
      <c r="J2518" s="70"/>
      <c r="K2518" s="57"/>
      <c r="L2518" s="11"/>
      <c r="M2518" s="41"/>
      <c r="N2518" s="11"/>
    </row>
    <row r="2519" spans="8:14" x14ac:dyDescent="0.25">
      <c r="H2519" s="37"/>
      <c r="I2519" s="79"/>
      <c r="J2519" s="70"/>
      <c r="K2519" s="57"/>
      <c r="L2519" s="11"/>
      <c r="M2519" s="41"/>
      <c r="N2519" s="11"/>
    </row>
    <row r="2520" spans="8:14" x14ac:dyDescent="0.25">
      <c r="H2520" s="37"/>
      <c r="I2520" s="79"/>
      <c r="J2520" s="70"/>
      <c r="K2520" s="57"/>
      <c r="L2520" s="11"/>
      <c r="M2520" s="41"/>
      <c r="N2520" s="11"/>
    </row>
    <row r="2521" spans="8:14" x14ac:dyDescent="0.25">
      <c r="H2521" s="37"/>
      <c r="I2521" s="79"/>
      <c r="J2521" s="70"/>
      <c r="K2521" s="57"/>
      <c r="L2521" s="11"/>
      <c r="M2521" s="41"/>
      <c r="N2521" s="11"/>
    </row>
    <row r="2522" spans="8:14" x14ac:dyDescent="0.25">
      <c r="H2522" s="37"/>
      <c r="I2522" s="79"/>
      <c r="J2522" s="70"/>
      <c r="K2522" s="57"/>
      <c r="L2522" s="11"/>
      <c r="M2522" s="41"/>
      <c r="N2522" s="11"/>
    </row>
    <row r="2523" spans="8:14" x14ac:dyDescent="0.25">
      <c r="H2523" s="37"/>
      <c r="I2523" s="79"/>
      <c r="J2523" s="70"/>
      <c r="K2523" s="57"/>
      <c r="L2523" s="11"/>
      <c r="M2523" s="41"/>
      <c r="N2523" s="11"/>
    </row>
    <row r="2524" spans="8:14" x14ac:dyDescent="0.25">
      <c r="H2524" s="37"/>
      <c r="I2524" s="79"/>
      <c r="J2524" s="70"/>
      <c r="K2524" s="57"/>
      <c r="L2524" s="11"/>
      <c r="M2524" s="41"/>
      <c r="N2524" s="11"/>
    </row>
    <row r="2525" spans="8:14" x14ac:dyDescent="0.25">
      <c r="H2525" s="37"/>
      <c r="I2525" s="79"/>
      <c r="J2525" s="70"/>
      <c r="K2525" s="57"/>
      <c r="L2525" s="11"/>
      <c r="M2525" s="41"/>
      <c r="N2525" s="11"/>
    </row>
    <row r="2526" spans="8:14" x14ac:dyDescent="0.25">
      <c r="H2526" s="37"/>
      <c r="I2526" s="79"/>
      <c r="J2526" s="70"/>
      <c r="K2526" s="57"/>
      <c r="L2526" s="11"/>
      <c r="M2526" s="41"/>
      <c r="N2526" s="11"/>
    </row>
    <row r="2527" spans="8:14" x14ac:dyDescent="0.25">
      <c r="H2527" s="37"/>
      <c r="I2527" s="79"/>
      <c r="J2527" s="70"/>
      <c r="K2527" s="57"/>
      <c r="L2527" s="11"/>
      <c r="M2527" s="41"/>
      <c r="N2527" s="11"/>
    </row>
    <row r="2528" spans="8:14" x14ac:dyDescent="0.25">
      <c r="H2528" s="37"/>
      <c r="I2528" s="79"/>
      <c r="J2528" s="70"/>
      <c r="K2528" s="57"/>
      <c r="L2528" s="11"/>
      <c r="M2528" s="41"/>
      <c r="N2528" s="11"/>
    </row>
    <row r="2529" spans="8:14" x14ac:dyDescent="0.25">
      <c r="H2529" s="37"/>
      <c r="I2529" s="79"/>
      <c r="J2529" s="70"/>
      <c r="K2529" s="57"/>
      <c r="L2529" s="11"/>
      <c r="M2529" s="41"/>
      <c r="N2529" s="11"/>
    </row>
    <row r="2530" spans="8:14" x14ac:dyDescent="0.25">
      <c r="H2530" s="37"/>
      <c r="I2530" s="79"/>
      <c r="J2530" s="70"/>
      <c r="K2530" s="57"/>
      <c r="L2530" s="11"/>
      <c r="M2530" s="41"/>
      <c r="N2530" s="11"/>
    </row>
    <row r="2531" spans="8:14" x14ac:dyDescent="0.25">
      <c r="H2531" s="37"/>
      <c r="I2531" s="79"/>
      <c r="J2531" s="70"/>
      <c r="K2531" s="57"/>
      <c r="L2531" s="11"/>
      <c r="M2531" s="41"/>
      <c r="N2531" s="11"/>
    </row>
    <row r="2532" spans="8:14" x14ac:dyDescent="0.25">
      <c r="H2532" s="37"/>
      <c r="I2532" s="79"/>
      <c r="J2532" s="70"/>
      <c r="K2532" s="57"/>
      <c r="L2532" s="11"/>
      <c r="M2532" s="41"/>
      <c r="N2532" s="11"/>
    </row>
    <row r="2533" spans="8:14" x14ac:dyDescent="0.25">
      <c r="H2533" s="37"/>
      <c r="I2533" s="79"/>
      <c r="J2533" s="70"/>
      <c r="K2533" s="57"/>
      <c r="L2533" s="11"/>
      <c r="M2533" s="41"/>
      <c r="N2533" s="11"/>
    </row>
    <row r="2534" spans="8:14" x14ac:dyDescent="0.25">
      <c r="H2534" s="37"/>
      <c r="I2534" s="79"/>
      <c r="J2534" s="70"/>
      <c r="K2534" s="57"/>
      <c r="L2534" s="11"/>
      <c r="M2534" s="41"/>
      <c r="N2534" s="11"/>
    </row>
    <row r="2535" spans="8:14" x14ac:dyDescent="0.25">
      <c r="H2535" s="37"/>
      <c r="I2535" s="79"/>
      <c r="J2535" s="70"/>
      <c r="K2535" s="57"/>
      <c r="L2535" s="11"/>
      <c r="M2535" s="41"/>
      <c r="N2535" s="11"/>
    </row>
    <row r="2536" spans="8:14" x14ac:dyDescent="0.25">
      <c r="H2536" s="37"/>
      <c r="I2536" s="79"/>
      <c r="J2536" s="70"/>
      <c r="K2536" s="57"/>
      <c r="L2536" s="11"/>
      <c r="M2536" s="41"/>
      <c r="N2536" s="11"/>
    </row>
    <row r="2537" spans="8:14" x14ac:dyDescent="0.25">
      <c r="H2537" s="37"/>
      <c r="I2537" s="79"/>
      <c r="J2537" s="70"/>
      <c r="K2537" s="57"/>
      <c r="L2537" s="11"/>
      <c r="M2537" s="41"/>
      <c r="N2537" s="11"/>
    </row>
    <row r="2538" spans="8:14" x14ac:dyDescent="0.25">
      <c r="H2538" s="37"/>
      <c r="I2538" s="79"/>
      <c r="J2538" s="70"/>
      <c r="K2538" s="57"/>
      <c r="L2538" s="11"/>
      <c r="M2538" s="41"/>
      <c r="N2538" s="11"/>
    </row>
    <row r="2539" spans="8:14" x14ac:dyDescent="0.25">
      <c r="H2539" s="37"/>
      <c r="I2539" s="79"/>
      <c r="J2539" s="70"/>
      <c r="K2539" s="57"/>
      <c r="L2539" s="11"/>
      <c r="M2539" s="41"/>
      <c r="N2539" s="11"/>
    </row>
    <row r="2540" spans="8:14" x14ac:dyDescent="0.25">
      <c r="H2540" s="37"/>
      <c r="I2540" s="79"/>
      <c r="J2540" s="70"/>
      <c r="K2540" s="57"/>
      <c r="L2540" s="11"/>
      <c r="M2540" s="41"/>
      <c r="N2540" s="11"/>
    </row>
    <row r="2541" spans="8:14" x14ac:dyDescent="0.25">
      <c r="H2541" s="37"/>
      <c r="I2541" s="79"/>
      <c r="J2541" s="70"/>
      <c r="K2541" s="57"/>
      <c r="L2541" s="11"/>
      <c r="M2541" s="41"/>
      <c r="N2541" s="11"/>
    </row>
    <row r="2542" spans="8:14" x14ac:dyDescent="0.25">
      <c r="H2542" s="37"/>
      <c r="I2542" s="79"/>
      <c r="J2542" s="70"/>
      <c r="K2542" s="57"/>
      <c r="L2542" s="11"/>
      <c r="M2542" s="41"/>
      <c r="N2542" s="11"/>
    </row>
    <row r="2543" spans="8:14" x14ac:dyDescent="0.25">
      <c r="H2543" s="37"/>
      <c r="I2543" s="79"/>
      <c r="J2543" s="70"/>
      <c r="K2543" s="57"/>
      <c r="L2543" s="11"/>
      <c r="M2543" s="41"/>
      <c r="N2543" s="11"/>
    </row>
    <row r="2544" spans="8:14" x14ac:dyDescent="0.25">
      <c r="H2544" s="37"/>
      <c r="I2544" s="79"/>
      <c r="J2544" s="70"/>
      <c r="K2544" s="57"/>
      <c r="L2544" s="11"/>
      <c r="M2544" s="41"/>
      <c r="N2544" s="11"/>
    </row>
    <row r="2545" spans="8:14" x14ac:dyDescent="0.25">
      <c r="H2545" s="37"/>
      <c r="I2545" s="79"/>
      <c r="J2545" s="70"/>
      <c r="K2545" s="57"/>
      <c r="L2545" s="11"/>
      <c r="M2545" s="41"/>
      <c r="N2545" s="11"/>
    </row>
    <row r="2546" spans="8:14" x14ac:dyDescent="0.25">
      <c r="H2546" s="37"/>
      <c r="I2546" s="79"/>
      <c r="J2546" s="70"/>
      <c r="K2546" s="57"/>
      <c r="L2546" s="11"/>
      <c r="M2546" s="41"/>
      <c r="N2546" s="11"/>
    </row>
    <row r="2547" spans="8:14" x14ac:dyDescent="0.25">
      <c r="H2547" s="37"/>
      <c r="I2547" s="79"/>
      <c r="J2547" s="70"/>
      <c r="K2547" s="57"/>
      <c r="L2547" s="11"/>
      <c r="M2547" s="41"/>
      <c r="N2547" s="11"/>
    </row>
    <row r="2548" spans="8:14" x14ac:dyDescent="0.25">
      <c r="H2548" s="37"/>
      <c r="I2548" s="79"/>
      <c r="J2548" s="70"/>
      <c r="K2548" s="57"/>
      <c r="L2548" s="11"/>
      <c r="M2548" s="41"/>
      <c r="N2548" s="11"/>
    </row>
    <row r="2549" spans="8:14" x14ac:dyDescent="0.25">
      <c r="H2549" s="37"/>
      <c r="I2549" s="79"/>
      <c r="J2549" s="70"/>
      <c r="K2549" s="57"/>
      <c r="L2549" s="11"/>
      <c r="M2549" s="41"/>
      <c r="N2549" s="11"/>
    </row>
    <row r="2550" spans="8:14" x14ac:dyDescent="0.25">
      <c r="H2550" s="37"/>
      <c r="I2550" s="79"/>
      <c r="J2550" s="70"/>
      <c r="K2550" s="57"/>
      <c r="L2550" s="11"/>
      <c r="M2550" s="41"/>
      <c r="N2550" s="11"/>
    </row>
    <row r="2551" spans="8:14" x14ac:dyDescent="0.25">
      <c r="H2551" s="37"/>
      <c r="I2551" s="79"/>
      <c r="J2551" s="70"/>
      <c r="K2551" s="57"/>
      <c r="L2551" s="11"/>
      <c r="M2551" s="41"/>
      <c r="N2551" s="11"/>
    </row>
    <row r="2552" spans="8:14" x14ac:dyDescent="0.25">
      <c r="H2552" s="37"/>
      <c r="I2552" s="79"/>
      <c r="J2552" s="70"/>
      <c r="K2552" s="57"/>
      <c r="L2552" s="11"/>
      <c r="M2552" s="41"/>
      <c r="N2552" s="11"/>
    </row>
    <row r="2553" spans="8:14" x14ac:dyDescent="0.25">
      <c r="H2553" s="37"/>
      <c r="I2553" s="79"/>
      <c r="J2553" s="70"/>
      <c r="K2553" s="57"/>
      <c r="L2553" s="11"/>
      <c r="M2553" s="41"/>
      <c r="N2553" s="11"/>
    </row>
    <row r="2554" spans="8:14" x14ac:dyDescent="0.25">
      <c r="H2554" s="37"/>
      <c r="I2554" s="79"/>
      <c r="J2554" s="70"/>
      <c r="K2554" s="57"/>
      <c r="L2554" s="11"/>
      <c r="M2554" s="41"/>
      <c r="N2554" s="11"/>
    </row>
    <row r="2555" spans="8:14" x14ac:dyDescent="0.25">
      <c r="H2555" s="37"/>
      <c r="I2555" s="79"/>
      <c r="J2555" s="70"/>
      <c r="K2555" s="57"/>
      <c r="L2555" s="11"/>
      <c r="M2555" s="41"/>
      <c r="N2555" s="11"/>
    </row>
    <row r="2556" spans="8:14" x14ac:dyDescent="0.25">
      <c r="H2556" s="37"/>
      <c r="I2556" s="79"/>
      <c r="J2556" s="70"/>
      <c r="K2556" s="57"/>
      <c r="L2556" s="11"/>
      <c r="M2556" s="41"/>
      <c r="N2556" s="11"/>
    </row>
    <row r="2557" spans="8:14" x14ac:dyDescent="0.25">
      <c r="H2557" s="37"/>
      <c r="I2557" s="79"/>
      <c r="J2557" s="70"/>
      <c r="K2557" s="57"/>
      <c r="L2557" s="11"/>
      <c r="M2557" s="41"/>
      <c r="N2557" s="11"/>
    </row>
    <row r="2558" spans="8:14" x14ac:dyDescent="0.25">
      <c r="H2558" s="37"/>
      <c r="I2558" s="79"/>
      <c r="J2558" s="70"/>
      <c r="K2558" s="57"/>
      <c r="L2558" s="11"/>
      <c r="M2558" s="41"/>
      <c r="N2558" s="11"/>
    </row>
    <row r="2559" spans="8:14" x14ac:dyDescent="0.25">
      <c r="H2559" s="37"/>
      <c r="I2559" s="79"/>
      <c r="J2559" s="70"/>
      <c r="K2559" s="57"/>
      <c r="L2559" s="11"/>
      <c r="M2559" s="41"/>
      <c r="N2559" s="11"/>
    </row>
    <row r="2560" spans="8:14" x14ac:dyDescent="0.25">
      <c r="H2560" s="37"/>
      <c r="I2560" s="79"/>
      <c r="J2560" s="70"/>
      <c r="K2560" s="57"/>
      <c r="L2560" s="11"/>
      <c r="M2560" s="41"/>
      <c r="N2560" s="11"/>
    </row>
    <row r="2561" spans="8:14" x14ac:dyDescent="0.25">
      <c r="H2561" s="37"/>
      <c r="I2561" s="79"/>
      <c r="J2561" s="70"/>
      <c r="K2561" s="57"/>
      <c r="L2561" s="11"/>
      <c r="M2561" s="41"/>
      <c r="N2561" s="11"/>
    </row>
    <row r="2562" spans="8:14" x14ac:dyDescent="0.25">
      <c r="H2562" s="37"/>
      <c r="I2562" s="79"/>
      <c r="J2562" s="70"/>
      <c r="K2562" s="57"/>
      <c r="L2562" s="11"/>
      <c r="M2562" s="41"/>
      <c r="N2562" s="11"/>
    </row>
    <row r="2563" spans="8:14" x14ac:dyDescent="0.25">
      <c r="H2563" s="37"/>
      <c r="I2563" s="79"/>
      <c r="J2563" s="70"/>
      <c r="K2563" s="57"/>
      <c r="L2563" s="11"/>
      <c r="M2563" s="41"/>
      <c r="N2563" s="11"/>
    </row>
    <row r="2564" spans="8:14" x14ac:dyDescent="0.25">
      <c r="H2564" s="37"/>
      <c r="I2564" s="79"/>
      <c r="J2564" s="70"/>
      <c r="K2564" s="57"/>
      <c r="L2564" s="11"/>
      <c r="M2564" s="41"/>
      <c r="N2564" s="11"/>
    </row>
    <row r="2565" spans="8:14" x14ac:dyDescent="0.25">
      <c r="H2565" s="37"/>
      <c r="I2565" s="79"/>
      <c r="J2565" s="70"/>
      <c r="K2565" s="57"/>
      <c r="L2565" s="11"/>
      <c r="M2565" s="41"/>
      <c r="N2565" s="11"/>
    </row>
    <row r="2566" spans="8:14" x14ac:dyDescent="0.25">
      <c r="H2566" s="37"/>
      <c r="I2566" s="79"/>
      <c r="J2566" s="70"/>
      <c r="K2566" s="57"/>
      <c r="L2566" s="11"/>
      <c r="M2566" s="41"/>
      <c r="N2566" s="11"/>
    </row>
    <row r="2567" spans="8:14" x14ac:dyDescent="0.25">
      <c r="H2567" s="37"/>
      <c r="I2567" s="79"/>
      <c r="J2567" s="70"/>
      <c r="K2567" s="57"/>
      <c r="L2567" s="11"/>
      <c r="M2567" s="41"/>
      <c r="N2567" s="11"/>
    </row>
    <row r="2568" spans="8:14" x14ac:dyDescent="0.25">
      <c r="H2568" s="37"/>
      <c r="I2568" s="79"/>
      <c r="J2568" s="70"/>
      <c r="K2568" s="57"/>
      <c r="L2568" s="11"/>
      <c r="M2568" s="41"/>
      <c r="N2568" s="11"/>
    </row>
    <row r="2569" spans="8:14" x14ac:dyDescent="0.25">
      <c r="H2569" s="37"/>
      <c r="I2569" s="79"/>
      <c r="J2569" s="70"/>
      <c r="K2569" s="57"/>
      <c r="L2569" s="11"/>
      <c r="M2569" s="41"/>
      <c r="N2569" s="11"/>
    </row>
    <row r="2570" spans="8:14" x14ac:dyDescent="0.25">
      <c r="H2570" s="37"/>
      <c r="I2570" s="79"/>
      <c r="J2570" s="70"/>
      <c r="K2570" s="57"/>
      <c r="L2570" s="11"/>
      <c r="M2570" s="41"/>
      <c r="N2570" s="11"/>
    </row>
    <row r="2571" spans="8:14" x14ac:dyDescent="0.25">
      <c r="H2571" s="37"/>
      <c r="I2571" s="79"/>
      <c r="J2571" s="70"/>
      <c r="K2571" s="57"/>
      <c r="L2571" s="11"/>
      <c r="M2571" s="41"/>
      <c r="N2571" s="11"/>
    </row>
    <row r="2572" spans="8:14" x14ac:dyDescent="0.25">
      <c r="H2572" s="37"/>
      <c r="I2572" s="79"/>
      <c r="J2572" s="70"/>
      <c r="K2572" s="57"/>
      <c r="L2572" s="11"/>
      <c r="M2572" s="41"/>
      <c r="N2572" s="11"/>
    </row>
    <row r="2573" spans="8:14" x14ac:dyDescent="0.25">
      <c r="H2573" s="37"/>
      <c r="I2573" s="79"/>
      <c r="J2573" s="70"/>
      <c r="K2573" s="57"/>
      <c r="L2573" s="11"/>
      <c r="M2573" s="41"/>
      <c r="N2573" s="11"/>
    </row>
    <row r="2574" spans="8:14" x14ac:dyDescent="0.25">
      <c r="H2574" s="37"/>
      <c r="I2574" s="79"/>
      <c r="J2574" s="70"/>
      <c r="K2574" s="57"/>
      <c r="L2574" s="11"/>
      <c r="M2574" s="41"/>
      <c r="N2574" s="11"/>
    </row>
    <row r="2575" spans="8:14" x14ac:dyDescent="0.25">
      <c r="H2575" s="37"/>
      <c r="I2575" s="79"/>
      <c r="J2575" s="70"/>
      <c r="K2575" s="57"/>
      <c r="L2575" s="11"/>
      <c r="M2575" s="41"/>
      <c r="N2575" s="11"/>
    </row>
    <row r="2576" spans="8:14" x14ac:dyDescent="0.25">
      <c r="H2576" s="37"/>
      <c r="I2576" s="79"/>
      <c r="J2576" s="70"/>
      <c r="K2576" s="57"/>
      <c r="L2576" s="11"/>
      <c r="M2576" s="41"/>
      <c r="N2576" s="11"/>
    </row>
    <row r="2577" spans="8:14" x14ac:dyDescent="0.25">
      <c r="H2577" s="37"/>
      <c r="I2577" s="79"/>
      <c r="J2577" s="70"/>
      <c r="K2577" s="57"/>
      <c r="L2577" s="11"/>
      <c r="M2577" s="41"/>
      <c r="N2577" s="11"/>
    </row>
    <row r="2578" spans="8:14" x14ac:dyDescent="0.25">
      <c r="H2578" s="37"/>
      <c r="I2578" s="79"/>
      <c r="J2578" s="70"/>
      <c r="K2578" s="57"/>
      <c r="L2578" s="11"/>
      <c r="M2578" s="41"/>
      <c r="N2578" s="11"/>
    </row>
    <row r="2579" spans="8:14" x14ac:dyDescent="0.25">
      <c r="H2579" s="37"/>
      <c r="I2579" s="79"/>
      <c r="J2579" s="70"/>
      <c r="K2579" s="57"/>
      <c r="L2579" s="11"/>
      <c r="M2579" s="41"/>
      <c r="N2579" s="11"/>
    </row>
    <row r="2580" spans="8:14" x14ac:dyDescent="0.25">
      <c r="H2580" s="37"/>
      <c r="I2580" s="79"/>
      <c r="J2580" s="70"/>
      <c r="K2580" s="57"/>
      <c r="L2580" s="11"/>
      <c r="M2580" s="41"/>
      <c r="N2580" s="11"/>
    </row>
    <row r="2581" spans="8:14" x14ac:dyDescent="0.25">
      <c r="H2581" s="37"/>
      <c r="I2581" s="79"/>
      <c r="J2581" s="70"/>
      <c r="K2581" s="57"/>
      <c r="L2581" s="11"/>
      <c r="M2581" s="41"/>
      <c r="N2581" s="11"/>
    </row>
    <row r="2582" spans="8:14" x14ac:dyDescent="0.25">
      <c r="H2582" s="37"/>
      <c r="I2582" s="79"/>
      <c r="J2582" s="70"/>
      <c r="K2582" s="57"/>
      <c r="L2582" s="11"/>
      <c r="M2582" s="41"/>
      <c r="N2582" s="11"/>
    </row>
    <row r="2583" spans="8:14" x14ac:dyDescent="0.25">
      <c r="H2583" s="37"/>
      <c r="I2583" s="79"/>
      <c r="J2583" s="70"/>
      <c r="K2583" s="57"/>
      <c r="L2583" s="11"/>
      <c r="M2583" s="41"/>
      <c r="N2583" s="11"/>
    </row>
    <row r="2584" spans="8:14" x14ac:dyDescent="0.25">
      <c r="H2584" s="37"/>
      <c r="I2584" s="79"/>
      <c r="J2584" s="70"/>
      <c r="K2584" s="57"/>
      <c r="L2584" s="11"/>
      <c r="M2584" s="41"/>
      <c r="N2584" s="11"/>
    </row>
    <row r="2585" spans="8:14" x14ac:dyDescent="0.25">
      <c r="H2585" s="37"/>
      <c r="I2585" s="79"/>
      <c r="J2585" s="70"/>
      <c r="K2585" s="57"/>
      <c r="L2585" s="11"/>
      <c r="M2585" s="41"/>
      <c r="N2585" s="11"/>
    </row>
    <row r="2586" spans="8:14" x14ac:dyDescent="0.25">
      <c r="H2586" s="37"/>
      <c r="I2586" s="79"/>
      <c r="J2586" s="70"/>
      <c r="K2586" s="57"/>
      <c r="L2586" s="11"/>
      <c r="M2586" s="41"/>
      <c r="N2586" s="11"/>
    </row>
    <row r="2587" spans="8:14" x14ac:dyDescent="0.25">
      <c r="H2587" s="37"/>
      <c r="I2587" s="79"/>
      <c r="J2587" s="70"/>
      <c r="K2587" s="57"/>
      <c r="L2587" s="11"/>
      <c r="M2587" s="41"/>
      <c r="N2587" s="11"/>
    </row>
    <row r="2588" spans="8:14" x14ac:dyDescent="0.25">
      <c r="H2588" s="37"/>
      <c r="I2588" s="79"/>
      <c r="J2588" s="70"/>
      <c r="K2588" s="57"/>
      <c r="L2588" s="11"/>
      <c r="M2588" s="41"/>
      <c r="N2588" s="11"/>
    </row>
    <row r="2589" spans="8:14" x14ac:dyDescent="0.25">
      <c r="H2589" s="37"/>
      <c r="I2589" s="79"/>
      <c r="J2589" s="70"/>
      <c r="K2589" s="57"/>
      <c r="L2589" s="11"/>
      <c r="M2589" s="41"/>
      <c r="N2589" s="11"/>
    </row>
    <row r="2590" spans="8:14" x14ac:dyDescent="0.25">
      <c r="H2590" s="37"/>
      <c r="I2590" s="79"/>
      <c r="J2590" s="70"/>
      <c r="K2590" s="57"/>
      <c r="L2590" s="11"/>
      <c r="M2590" s="41"/>
      <c r="N2590" s="11"/>
    </row>
    <row r="2591" spans="8:14" x14ac:dyDescent="0.25">
      <c r="H2591" s="37"/>
      <c r="I2591" s="79"/>
      <c r="J2591" s="70"/>
      <c r="K2591" s="57"/>
      <c r="L2591" s="11"/>
      <c r="M2591" s="41"/>
      <c r="N2591" s="11"/>
    </row>
    <row r="2592" spans="8:14" x14ac:dyDescent="0.25">
      <c r="H2592" s="37"/>
      <c r="I2592" s="79"/>
      <c r="J2592" s="70"/>
      <c r="K2592" s="57"/>
      <c r="L2592" s="11"/>
      <c r="M2592" s="41"/>
      <c r="N2592" s="11"/>
    </row>
    <row r="2593" spans="8:14" x14ac:dyDescent="0.25">
      <c r="H2593" s="37"/>
      <c r="I2593" s="79"/>
      <c r="J2593" s="70"/>
      <c r="K2593" s="57"/>
      <c r="L2593" s="11"/>
      <c r="M2593" s="41"/>
      <c r="N2593" s="11"/>
    </row>
    <row r="2594" spans="8:14" x14ac:dyDescent="0.25">
      <c r="H2594" s="37"/>
      <c r="I2594" s="79"/>
      <c r="J2594" s="70"/>
      <c r="K2594" s="57"/>
      <c r="L2594" s="11"/>
      <c r="M2594" s="41"/>
      <c r="N2594" s="11"/>
    </row>
    <row r="2595" spans="8:14" x14ac:dyDescent="0.25">
      <c r="H2595" s="37"/>
      <c r="I2595" s="79"/>
      <c r="J2595" s="70"/>
      <c r="K2595" s="57"/>
      <c r="L2595" s="11"/>
      <c r="M2595" s="41"/>
      <c r="N2595" s="11"/>
    </row>
    <row r="2596" spans="8:14" x14ac:dyDescent="0.25">
      <c r="H2596" s="37"/>
      <c r="I2596" s="79"/>
      <c r="J2596" s="70"/>
      <c r="K2596" s="57"/>
      <c r="L2596" s="11"/>
      <c r="M2596" s="41"/>
      <c r="N2596" s="11"/>
    </row>
    <row r="2597" spans="8:14" x14ac:dyDescent="0.25">
      <c r="H2597" s="37"/>
      <c r="I2597" s="79"/>
      <c r="J2597" s="70"/>
      <c r="K2597" s="57"/>
      <c r="L2597" s="11"/>
      <c r="M2597" s="41"/>
      <c r="N2597" s="11"/>
    </row>
    <row r="2598" spans="8:14" x14ac:dyDescent="0.25">
      <c r="H2598" s="37"/>
      <c r="I2598" s="79"/>
      <c r="J2598" s="70"/>
      <c r="K2598" s="57"/>
      <c r="L2598" s="11"/>
      <c r="M2598" s="41"/>
      <c r="N2598" s="11"/>
    </row>
    <row r="2599" spans="8:14" x14ac:dyDescent="0.25">
      <c r="H2599" s="37"/>
      <c r="I2599" s="79"/>
      <c r="J2599" s="70"/>
      <c r="K2599" s="57"/>
      <c r="L2599" s="11"/>
      <c r="M2599" s="41"/>
      <c r="N2599" s="11"/>
    </row>
    <row r="2600" spans="8:14" x14ac:dyDescent="0.25">
      <c r="H2600" s="37"/>
      <c r="I2600" s="79"/>
      <c r="J2600" s="70"/>
      <c r="K2600" s="57"/>
      <c r="L2600" s="11"/>
      <c r="M2600" s="41"/>
      <c r="N2600" s="11"/>
    </row>
    <row r="2601" spans="8:14" x14ac:dyDescent="0.25">
      <c r="H2601" s="37"/>
      <c r="I2601" s="79"/>
      <c r="J2601" s="70"/>
      <c r="K2601" s="57"/>
      <c r="L2601" s="11"/>
      <c r="M2601" s="41"/>
      <c r="N2601" s="11"/>
    </row>
    <row r="2602" spans="8:14" x14ac:dyDescent="0.25">
      <c r="H2602" s="37"/>
      <c r="I2602" s="79"/>
      <c r="J2602" s="70"/>
      <c r="K2602" s="57"/>
      <c r="L2602" s="11"/>
      <c r="M2602" s="41"/>
      <c r="N2602" s="11"/>
    </row>
    <row r="2603" spans="8:14" x14ac:dyDescent="0.25">
      <c r="H2603" s="37"/>
      <c r="I2603" s="79"/>
      <c r="J2603" s="70"/>
      <c r="K2603" s="57"/>
      <c r="L2603" s="11"/>
      <c r="M2603" s="41"/>
      <c r="N2603" s="11"/>
    </row>
    <row r="2604" spans="8:14" x14ac:dyDescent="0.25">
      <c r="H2604" s="37"/>
      <c r="I2604" s="79"/>
      <c r="J2604" s="70"/>
      <c r="K2604" s="57"/>
      <c r="L2604" s="11"/>
      <c r="M2604" s="41"/>
      <c r="N2604" s="11"/>
    </row>
    <row r="2605" spans="8:14" x14ac:dyDescent="0.25">
      <c r="H2605" s="37"/>
      <c r="I2605" s="79"/>
      <c r="J2605" s="70"/>
      <c r="K2605" s="57"/>
      <c r="L2605" s="11"/>
      <c r="M2605" s="41"/>
      <c r="N2605" s="11"/>
    </row>
    <row r="2606" spans="8:14" x14ac:dyDescent="0.25">
      <c r="H2606" s="37"/>
      <c r="I2606" s="79"/>
      <c r="J2606" s="70"/>
      <c r="K2606" s="57"/>
      <c r="L2606" s="11"/>
      <c r="M2606" s="41"/>
      <c r="N2606" s="11"/>
    </row>
    <row r="2607" spans="8:14" x14ac:dyDescent="0.25">
      <c r="H2607" s="37"/>
      <c r="I2607" s="79"/>
      <c r="J2607" s="70"/>
      <c r="K2607" s="57"/>
      <c r="L2607" s="11"/>
      <c r="M2607" s="41"/>
      <c r="N2607" s="11"/>
    </row>
    <row r="2608" spans="8:14" x14ac:dyDescent="0.25">
      <c r="H2608" s="37"/>
      <c r="I2608" s="79"/>
      <c r="J2608" s="70"/>
      <c r="K2608" s="57"/>
      <c r="L2608" s="11"/>
      <c r="M2608" s="41"/>
      <c r="N2608" s="11"/>
    </row>
    <row r="2609" spans="8:14" x14ac:dyDescent="0.25">
      <c r="H2609" s="37"/>
      <c r="I2609" s="79"/>
      <c r="J2609" s="70"/>
      <c r="K2609" s="57"/>
      <c r="L2609" s="11"/>
      <c r="M2609" s="41"/>
      <c r="N2609" s="11"/>
    </row>
    <row r="2610" spans="8:14" x14ac:dyDescent="0.25">
      <c r="H2610" s="37"/>
      <c r="I2610" s="79"/>
      <c r="J2610" s="70"/>
      <c r="K2610" s="57"/>
      <c r="L2610" s="11"/>
      <c r="M2610" s="41"/>
      <c r="N2610" s="11"/>
    </row>
    <row r="2611" spans="8:14" x14ac:dyDescent="0.25">
      <c r="H2611" s="37"/>
      <c r="I2611" s="79"/>
      <c r="J2611" s="70"/>
      <c r="K2611" s="57"/>
      <c r="L2611" s="11"/>
      <c r="M2611" s="41"/>
      <c r="N2611" s="11"/>
    </row>
    <row r="2612" spans="8:14" x14ac:dyDescent="0.25">
      <c r="H2612" s="37"/>
      <c r="I2612" s="79"/>
      <c r="J2612" s="70"/>
      <c r="K2612" s="57"/>
      <c r="L2612" s="11"/>
      <c r="M2612" s="41"/>
      <c r="N2612" s="11"/>
    </row>
    <row r="2613" spans="8:14" x14ac:dyDescent="0.25">
      <c r="H2613" s="37"/>
      <c r="I2613" s="79"/>
      <c r="J2613" s="70"/>
      <c r="K2613" s="57"/>
      <c r="L2613" s="11"/>
      <c r="M2613" s="41"/>
      <c r="N2613" s="11"/>
    </row>
    <row r="2614" spans="8:14" x14ac:dyDescent="0.25">
      <c r="H2614" s="37"/>
      <c r="I2614" s="79"/>
      <c r="J2614" s="70"/>
      <c r="K2614" s="57"/>
      <c r="L2614" s="11"/>
      <c r="M2614" s="41"/>
      <c r="N2614" s="11"/>
    </row>
    <row r="2615" spans="8:14" x14ac:dyDescent="0.25">
      <c r="H2615" s="37"/>
      <c r="I2615" s="79"/>
      <c r="J2615" s="70"/>
      <c r="K2615" s="57"/>
      <c r="L2615" s="11"/>
      <c r="M2615" s="41"/>
      <c r="N2615" s="11"/>
    </row>
    <row r="2616" spans="8:14" x14ac:dyDescent="0.25">
      <c r="H2616" s="37"/>
      <c r="I2616" s="79"/>
      <c r="J2616" s="70"/>
      <c r="K2616" s="57"/>
      <c r="L2616" s="11"/>
      <c r="M2616" s="41"/>
      <c r="N2616" s="11"/>
    </row>
    <row r="2617" spans="8:14" x14ac:dyDescent="0.25">
      <c r="H2617" s="37"/>
      <c r="I2617" s="79"/>
      <c r="J2617" s="70"/>
      <c r="K2617" s="57"/>
      <c r="L2617" s="11"/>
      <c r="M2617" s="41"/>
      <c r="N2617" s="11"/>
    </row>
    <row r="2618" spans="8:14" x14ac:dyDescent="0.25">
      <c r="H2618" s="37"/>
      <c r="I2618" s="79"/>
      <c r="J2618" s="70"/>
      <c r="K2618" s="57"/>
      <c r="L2618" s="11"/>
      <c r="M2618" s="41"/>
      <c r="N2618" s="11"/>
    </row>
    <row r="2619" spans="8:14" x14ac:dyDescent="0.25">
      <c r="H2619" s="37"/>
      <c r="I2619" s="79"/>
      <c r="J2619" s="70"/>
      <c r="K2619" s="57"/>
      <c r="L2619" s="11"/>
      <c r="M2619" s="41"/>
      <c r="N2619" s="11"/>
    </row>
    <row r="2620" spans="8:14" x14ac:dyDescent="0.25">
      <c r="H2620" s="37"/>
      <c r="I2620" s="79"/>
      <c r="J2620" s="70"/>
      <c r="K2620" s="57"/>
      <c r="L2620" s="11"/>
      <c r="M2620" s="41"/>
      <c r="N2620" s="11"/>
    </row>
    <row r="2621" spans="8:14" x14ac:dyDescent="0.25">
      <c r="H2621" s="37"/>
      <c r="I2621" s="79"/>
      <c r="J2621" s="70"/>
      <c r="K2621" s="57"/>
      <c r="L2621" s="11"/>
      <c r="M2621" s="41"/>
      <c r="N2621" s="11"/>
    </row>
    <row r="2622" spans="8:14" x14ac:dyDescent="0.25">
      <c r="H2622" s="37"/>
      <c r="I2622" s="79"/>
      <c r="J2622" s="70"/>
      <c r="K2622" s="57"/>
      <c r="L2622" s="11"/>
      <c r="M2622" s="41"/>
      <c r="N2622" s="11"/>
    </row>
    <row r="2623" spans="8:14" x14ac:dyDescent="0.25">
      <c r="H2623" s="37"/>
      <c r="I2623" s="79"/>
      <c r="J2623" s="70"/>
      <c r="K2623" s="57"/>
      <c r="L2623" s="11"/>
      <c r="M2623" s="41"/>
      <c r="N2623" s="11"/>
    </row>
    <row r="2624" spans="8:14" x14ac:dyDescent="0.25">
      <c r="H2624" s="37"/>
      <c r="I2624" s="79"/>
      <c r="J2624" s="70"/>
      <c r="K2624" s="57"/>
      <c r="L2624" s="11"/>
      <c r="M2624" s="41"/>
      <c r="N2624" s="11"/>
    </row>
    <row r="2625" spans="8:14" x14ac:dyDescent="0.25">
      <c r="H2625" s="37"/>
      <c r="I2625" s="79"/>
      <c r="J2625" s="70"/>
      <c r="K2625" s="57"/>
      <c r="L2625" s="11"/>
      <c r="M2625" s="41"/>
      <c r="N2625" s="11"/>
    </row>
    <row r="2626" spans="8:14" x14ac:dyDescent="0.25">
      <c r="H2626" s="37"/>
      <c r="I2626" s="79"/>
      <c r="J2626" s="70"/>
      <c r="K2626" s="57"/>
      <c r="L2626" s="11"/>
      <c r="M2626" s="41"/>
      <c r="N2626" s="11"/>
    </row>
    <row r="2627" spans="8:14" x14ac:dyDescent="0.25">
      <c r="H2627" s="37"/>
      <c r="I2627" s="79"/>
      <c r="J2627" s="70"/>
      <c r="K2627" s="57"/>
      <c r="L2627" s="11"/>
      <c r="M2627" s="41"/>
      <c r="N2627" s="11"/>
    </row>
    <row r="2628" spans="8:14" x14ac:dyDescent="0.25">
      <c r="H2628" s="37"/>
      <c r="I2628" s="79"/>
      <c r="J2628" s="70"/>
      <c r="K2628" s="57"/>
      <c r="L2628" s="11"/>
      <c r="M2628" s="41"/>
      <c r="N2628" s="11"/>
    </row>
    <row r="2629" spans="8:14" x14ac:dyDescent="0.25">
      <c r="H2629" s="37"/>
      <c r="I2629" s="79"/>
      <c r="J2629" s="70"/>
      <c r="K2629" s="57"/>
      <c r="L2629" s="11"/>
      <c r="M2629" s="41"/>
      <c r="N2629" s="11"/>
    </row>
    <row r="2630" spans="8:14" x14ac:dyDescent="0.25">
      <c r="H2630" s="37"/>
      <c r="I2630" s="79"/>
      <c r="J2630" s="70"/>
      <c r="K2630" s="57"/>
      <c r="L2630" s="11"/>
      <c r="M2630" s="41"/>
      <c r="N2630" s="11"/>
    </row>
    <row r="2631" spans="8:14" x14ac:dyDescent="0.25">
      <c r="H2631" s="37"/>
      <c r="I2631" s="79"/>
      <c r="J2631" s="70"/>
      <c r="K2631" s="57"/>
      <c r="L2631" s="11"/>
      <c r="M2631" s="41"/>
      <c r="N2631" s="11"/>
    </row>
    <row r="2632" spans="8:14" x14ac:dyDescent="0.25">
      <c r="H2632" s="37"/>
      <c r="I2632" s="79"/>
      <c r="J2632" s="70"/>
      <c r="K2632" s="57"/>
      <c r="L2632" s="11"/>
      <c r="M2632" s="41"/>
      <c r="N2632" s="11"/>
    </row>
    <row r="2633" spans="8:14" x14ac:dyDescent="0.25">
      <c r="H2633" s="37"/>
      <c r="I2633" s="79"/>
      <c r="J2633" s="70"/>
      <c r="K2633" s="57"/>
      <c r="L2633" s="11"/>
      <c r="M2633" s="41"/>
      <c r="N2633" s="11"/>
    </row>
    <row r="2634" spans="8:14" x14ac:dyDescent="0.25">
      <c r="H2634" s="37"/>
      <c r="I2634" s="79"/>
      <c r="J2634" s="70"/>
      <c r="K2634" s="57"/>
      <c r="L2634" s="11"/>
      <c r="M2634" s="41"/>
      <c r="N2634" s="11"/>
    </row>
    <row r="2635" spans="8:14" x14ac:dyDescent="0.25">
      <c r="H2635" s="37"/>
      <c r="I2635" s="79"/>
      <c r="J2635" s="70"/>
      <c r="K2635" s="57"/>
      <c r="L2635" s="11"/>
      <c r="M2635" s="41"/>
      <c r="N2635" s="11"/>
    </row>
    <row r="2636" spans="8:14" x14ac:dyDescent="0.25">
      <c r="H2636" s="37"/>
      <c r="I2636" s="79"/>
      <c r="J2636" s="70"/>
      <c r="K2636" s="57"/>
      <c r="L2636" s="11"/>
      <c r="M2636" s="41"/>
      <c r="N2636" s="11"/>
    </row>
    <row r="2637" spans="8:14" x14ac:dyDescent="0.25">
      <c r="H2637" s="37"/>
      <c r="I2637" s="79"/>
      <c r="J2637" s="70"/>
      <c r="K2637" s="57"/>
      <c r="L2637" s="11"/>
      <c r="M2637" s="41"/>
      <c r="N2637" s="11"/>
    </row>
    <row r="2638" spans="8:14" x14ac:dyDescent="0.25">
      <c r="H2638" s="37"/>
      <c r="I2638" s="79"/>
      <c r="J2638" s="70"/>
      <c r="K2638" s="57"/>
      <c r="L2638" s="11"/>
      <c r="M2638" s="41"/>
      <c r="N2638" s="11"/>
    </row>
    <row r="2639" spans="8:14" x14ac:dyDescent="0.25">
      <c r="H2639" s="37"/>
      <c r="I2639" s="79"/>
      <c r="J2639" s="70"/>
      <c r="K2639" s="57"/>
      <c r="L2639" s="11"/>
      <c r="M2639" s="41"/>
      <c r="N2639" s="11"/>
    </row>
    <row r="2640" spans="8:14" x14ac:dyDescent="0.25">
      <c r="H2640" s="37"/>
      <c r="I2640" s="79"/>
      <c r="J2640" s="70"/>
      <c r="K2640" s="57"/>
      <c r="L2640" s="11"/>
      <c r="M2640" s="41"/>
      <c r="N2640" s="11"/>
    </row>
    <row r="2641" spans="8:14" x14ac:dyDescent="0.25">
      <c r="H2641" s="37"/>
      <c r="I2641" s="79"/>
      <c r="J2641" s="70"/>
      <c r="K2641" s="57"/>
      <c r="L2641" s="11"/>
      <c r="M2641" s="41"/>
      <c r="N2641" s="11"/>
    </row>
    <row r="2642" spans="8:14" x14ac:dyDescent="0.25">
      <c r="H2642" s="37"/>
      <c r="I2642" s="79"/>
      <c r="J2642" s="70"/>
      <c r="K2642" s="57"/>
      <c r="L2642" s="11"/>
      <c r="M2642" s="41"/>
      <c r="N2642" s="11"/>
    </row>
    <row r="2643" spans="8:14" x14ac:dyDescent="0.25">
      <c r="H2643" s="37"/>
      <c r="I2643" s="79"/>
      <c r="J2643" s="70"/>
      <c r="K2643" s="57"/>
      <c r="L2643" s="11"/>
      <c r="M2643" s="41"/>
      <c r="N2643" s="11"/>
    </row>
    <row r="2644" spans="8:14" x14ac:dyDescent="0.25">
      <c r="H2644" s="37"/>
      <c r="I2644" s="79"/>
      <c r="J2644" s="70"/>
      <c r="K2644" s="57"/>
      <c r="L2644" s="11"/>
      <c r="M2644" s="41"/>
      <c r="N2644" s="11"/>
    </row>
    <row r="2645" spans="8:14" x14ac:dyDescent="0.25">
      <c r="H2645" s="37"/>
      <c r="I2645" s="79"/>
      <c r="J2645" s="70"/>
      <c r="K2645" s="57"/>
      <c r="L2645" s="11"/>
      <c r="M2645" s="41"/>
      <c r="N2645" s="11"/>
    </row>
    <row r="2646" spans="8:14" x14ac:dyDescent="0.25">
      <c r="H2646" s="37"/>
      <c r="I2646" s="79"/>
      <c r="J2646" s="70"/>
      <c r="K2646" s="57"/>
      <c r="L2646" s="11"/>
      <c r="M2646" s="41"/>
      <c r="N2646" s="11"/>
    </row>
    <row r="2647" spans="8:14" x14ac:dyDescent="0.25">
      <c r="H2647" s="37"/>
      <c r="I2647" s="79"/>
      <c r="J2647" s="70"/>
      <c r="K2647" s="57"/>
      <c r="L2647" s="11"/>
      <c r="M2647" s="41"/>
      <c r="N2647" s="11"/>
    </row>
    <row r="2648" spans="8:14" x14ac:dyDescent="0.25">
      <c r="H2648" s="37"/>
      <c r="I2648" s="79"/>
      <c r="J2648" s="70"/>
      <c r="K2648" s="57"/>
      <c r="L2648" s="11"/>
      <c r="M2648" s="41"/>
      <c r="N2648" s="11"/>
    </row>
    <row r="2649" spans="8:14" x14ac:dyDescent="0.25">
      <c r="H2649" s="37"/>
      <c r="I2649" s="79"/>
      <c r="J2649" s="70"/>
      <c r="K2649" s="57"/>
      <c r="L2649" s="11"/>
      <c r="M2649" s="41"/>
      <c r="N2649" s="11"/>
    </row>
    <row r="2650" spans="8:14" x14ac:dyDescent="0.25">
      <c r="H2650" s="37"/>
      <c r="I2650" s="79"/>
      <c r="J2650" s="70"/>
      <c r="K2650" s="57"/>
      <c r="L2650" s="11"/>
      <c r="M2650" s="41"/>
      <c r="N2650" s="11"/>
    </row>
    <row r="2651" spans="8:14" x14ac:dyDescent="0.25">
      <c r="H2651" s="37"/>
      <c r="I2651" s="79"/>
      <c r="J2651" s="70"/>
      <c r="K2651" s="57"/>
      <c r="L2651" s="11"/>
      <c r="M2651" s="41"/>
      <c r="N2651" s="11"/>
    </row>
    <row r="2652" spans="8:14" x14ac:dyDescent="0.25">
      <c r="H2652" s="37"/>
      <c r="I2652" s="79"/>
      <c r="J2652" s="70"/>
      <c r="K2652" s="57"/>
      <c r="L2652" s="11"/>
      <c r="M2652" s="41"/>
      <c r="N2652" s="11"/>
    </row>
    <row r="2653" spans="8:14" x14ac:dyDescent="0.25">
      <c r="H2653" s="37"/>
      <c r="I2653" s="79"/>
      <c r="J2653" s="70"/>
      <c r="K2653" s="57"/>
      <c r="L2653" s="11"/>
      <c r="M2653" s="41"/>
      <c r="N2653" s="11"/>
    </row>
    <row r="2654" spans="8:14" x14ac:dyDescent="0.25">
      <c r="H2654" s="37"/>
      <c r="I2654" s="79"/>
      <c r="J2654" s="70"/>
      <c r="K2654" s="57"/>
      <c r="L2654" s="11"/>
      <c r="M2654" s="41"/>
      <c r="N2654" s="11"/>
    </row>
    <row r="2655" spans="8:14" x14ac:dyDescent="0.25">
      <c r="H2655" s="37"/>
      <c r="I2655" s="79"/>
      <c r="J2655" s="70"/>
      <c r="K2655" s="57"/>
      <c r="L2655" s="11"/>
      <c r="M2655" s="41"/>
      <c r="N2655" s="11"/>
    </row>
    <row r="2656" spans="8:14" x14ac:dyDescent="0.25">
      <c r="H2656" s="37"/>
      <c r="I2656" s="79"/>
      <c r="J2656" s="70"/>
      <c r="K2656" s="57"/>
      <c r="L2656" s="11"/>
      <c r="M2656" s="41"/>
      <c r="N2656" s="11"/>
    </row>
    <row r="2657" spans="8:14" x14ac:dyDescent="0.25">
      <c r="H2657" s="37"/>
      <c r="I2657" s="79"/>
      <c r="J2657" s="70"/>
      <c r="K2657" s="57"/>
      <c r="L2657" s="11"/>
      <c r="M2657" s="41"/>
      <c r="N2657" s="11"/>
    </row>
    <row r="2658" spans="8:14" x14ac:dyDescent="0.25">
      <c r="H2658" s="37"/>
      <c r="I2658" s="79"/>
      <c r="J2658" s="70"/>
      <c r="K2658" s="57"/>
      <c r="L2658" s="11"/>
      <c r="M2658" s="41"/>
      <c r="N2658" s="11"/>
    </row>
    <row r="2659" spans="8:14" x14ac:dyDescent="0.25">
      <c r="H2659" s="37"/>
      <c r="I2659" s="79"/>
      <c r="J2659" s="70"/>
      <c r="K2659" s="57"/>
      <c r="L2659" s="11"/>
      <c r="M2659" s="41"/>
      <c r="N2659" s="11"/>
    </row>
    <row r="2660" spans="8:14" x14ac:dyDescent="0.25">
      <c r="H2660" s="37"/>
      <c r="I2660" s="79"/>
      <c r="J2660" s="70"/>
      <c r="K2660" s="57"/>
      <c r="L2660" s="11"/>
      <c r="M2660" s="41"/>
      <c r="N2660" s="11"/>
    </row>
    <row r="2661" spans="8:14" x14ac:dyDescent="0.25">
      <c r="H2661" s="37"/>
      <c r="I2661" s="79"/>
      <c r="J2661" s="70"/>
      <c r="K2661" s="57"/>
      <c r="L2661" s="11"/>
      <c r="M2661" s="41"/>
      <c r="N2661" s="11"/>
    </row>
    <row r="2662" spans="8:14" x14ac:dyDescent="0.25">
      <c r="H2662" s="37"/>
      <c r="I2662" s="79"/>
      <c r="J2662" s="70"/>
      <c r="K2662" s="57"/>
      <c r="L2662" s="11"/>
      <c r="M2662" s="41"/>
      <c r="N2662" s="11"/>
    </row>
    <row r="2663" spans="8:14" x14ac:dyDescent="0.25">
      <c r="H2663" s="37"/>
      <c r="I2663" s="79"/>
      <c r="J2663" s="70"/>
      <c r="K2663" s="57"/>
      <c r="L2663" s="11"/>
      <c r="M2663" s="41"/>
      <c r="N2663" s="11"/>
    </row>
    <row r="2664" spans="8:14" x14ac:dyDescent="0.25">
      <c r="H2664" s="37"/>
      <c r="I2664" s="79"/>
      <c r="J2664" s="70"/>
      <c r="K2664" s="57"/>
      <c r="L2664" s="11"/>
      <c r="M2664" s="41"/>
      <c r="N2664" s="11"/>
    </row>
    <row r="2665" spans="8:14" x14ac:dyDescent="0.25">
      <c r="H2665" s="37"/>
      <c r="I2665" s="79"/>
      <c r="J2665" s="70"/>
      <c r="K2665" s="57"/>
      <c r="L2665" s="11"/>
      <c r="M2665" s="41"/>
      <c r="N2665" s="11"/>
    </row>
    <row r="2666" spans="8:14" x14ac:dyDescent="0.25">
      <c r="H2666" s="37"/>
      <c r="I2666" s="79"/>
      <c r="J2666" s="70"/>
      <c r="K2666" s="57"/>
      <c r="L2666" s="11"/>
      <c r="M2666" s="41"/>
      <c r="N2666" s="11"/>
    </row>
    <row r="2667" spans="8:14" x14ac:dyDescent="0.25">
      <c r="H2667" s="37"/>
      <c r="I2667" s="79"/>
      <c r="J2667" s="70"/>
      <c r="K2667" s="57"/>
      <c r="L2667" s="11"/>
      <c r="M2667" s="41"/>
      <c r="N2667" s="11"/>
    </row>
    <row r="2668" spans="8:14" x14ac:dyDescent="0.25">
      <c r="H2668" s="37"/>
      <c r="I2668" s="79"/>
      <c r="J2668" s="70"/>
      <c r="K2668" s="57"/>
      <c r="L2668" s="11"/>
      <c r="M2668" s="41"/>
      <c r="N2668" s="11"/>
    </row>
    <row r="2669" spans="8:14" x14ac:dyDescent="0.25">
      <c r="H2669" s="37"/>
      <c r="I2669" s="79"/>
      <c r="J2669" s="70"/>
      <c r="K2669" s="57"/>
      <c r="L2669" s="11"/>
      <c r="M2669" s="41"/>
      <c r="N2669" s="11"/>
    </row>
    <row r="2670" spans="8:14" x14ac:dyDescent="0.25">
      <c r="H2670" s="37"/>
      <c r="I2670" s="79"/>
      <c r="J2670" s="70"/>
      <c r="K2670" s="57"/>
      <c r="L2670" s="11"/>
      <c r="M2670" s="41"/>
      <c r="N2670" s="11"/>
    </row>
    <row r="2671" spans="8:14" x14ac:dyDescent="0.25">
      <c r="H2671" s="37"/>
      <c r="I2671" s="79"/>
      <c r="J2671" s="70"/>
      <c r="K2671" s="57"/>
      <c r="L2671" s="11"/>
      <c r="M2671" s="41"/>
      <c r="N2671" s="11"/>
    </row>
    <row r="2672" spans="8:14" x14ac:dyDescent="0.25">
      <c r="H2672" s="37"/>
      <c r="I2672" s="79"/>
      <c r="J2672" s="70"/>
      <c r="K2672" s="57"/>
      <c r="L2672" s="11"/>
      <c r="M2672" s="41"/>
      <c r="N2672" s="11"/>
    </row>
    <row r="2673" spans="8:14" x14ac:dyDescent="0.25">
      <c r="H2673" s="37"/>
      <c r="I2673" s="79"/>
      <c r="J2673" s="70"/>
      <c r="K2673" s="57"/>
      <c r="L2673" s="11"/>
      <c r="M2673" s="41"/>
      <c r="N2673" s="11"/>
    </row>
    <row r="2674" spans="8:14" x14ac:dyDescent="0.25">
      <c r="H2674" s="37"/>
      <c r="I2674" s="79"/>
      <c r="J2674" s="70"/>
      <c r="K2674" s="57"/>
      <c r="L2674" s="11"/>
      <c r="M2674" s="41"/>
      <c r="N2674" s="11"/>
    </row>
    <row r="2675" spans="8:14" x14ac:dyDescent="0.25">
      <c r="H2675" s="37"/>
      <c r="I2675" s="79"/>
      <c r="J2675" s="70"/>
      <c r="K2675" s="57"/>
      <c r="L2675" s="11"/>
      <c r="M2675" s="41"/>
      <c r="N2675" s="11"/>
    </row>
    <row r="2676" spans="8:14" x14ac:dyDescent="0.25">
      <c r="H2676" s="37"/>
      <c r="I2676" s="79"/>
      <c r="J2676" s="70"/>
      <c r="K2676" s="57"/>
      <c r="L2676" s="11"/>
      <c r="M2676" s="41"/>
      <c r="N2676" s="11"/>
    </row>
    <row r="2677" spans="8:14" x14ac:dyDescent="0.25">
      <c r="H2677" s="37"/>
      <c r="I2677" s="79"/>
      <c r="J2677" s="70"/>
      <c r="K2677" s="57"/>
      <c r="L2677" s="11"/>
      <c r="M2677" s="41"/>
      <c r="N2677" s="11"/>
    </row>
    <row r="2678" spans="8:14" x14ac:dyDescent="0.25">
      <c r="H2678" s="37"/>
      <c r="I2678" s="79"/>
      <c r="J2678" s="70"/>
      <c r="K2678" s="57"/>
      <c r="L2678" s="11"/>
      <c r="M2678" s="41"/>
      <c r="N2678" s="11"/>
    </row>
    <row r="2679" spans="8:14" x14ac:dyDescent="0.25">
      <c r="H2679" s="37"/>
      <c r="I2679" s="79"/>
      <c r="J2679" s="70"/>
      <c r="K2679" s="57"/>
      <c r="L2679" s="11"/>
      <c r="M2679" s="41"/>
      <c r="N2679" s="11"/>
    </row>
    <row r="2680" spans="8:14" x14ac:dyDescent="0.25">
      <c r="H2680" s="37"/>
      <c r="I2680" s="79"/>
      <c r="J2680" s="70"/>
      <c r="K2680" s="57"/>
      <c r="L2680" s="11"/>
      <c r="M2680" s="41"/>
      <c r="N2680" s="11"/>
    </row>
    <row r="2681" spans="8:14" x14ac:dyDescent="0.25">
      <c r="H2681" s="37"/>
      <c r="I2681" s="79"/>
      <c r="J2681" s="70"/>
      <c r="K2681" s="57"/>
      <c r="L2681" s="11"/>
      <c r="M2681" s="41"/>
      <c r="N2681" s="11"/>
    </row>
    <row r="2682" spans="8:14" x14ac:dyDescent="0.25">
      <c r="H2682" s="37"/>
      <c r="I2682" s="79"/>
      <c r="J2682" s="70"/>
      <c r="K2682" s="57"/>
      <c r="L2682" s="11"/>
      <c r="M2682" s="41"/>
      <c r="N2682" s="11"/>
    </row>
    <row r="2683" spans="8:14" x14ac:dyDescent="0.25">
      <c r="H2683" s="37"/>
      <c r="I2683" s="79"/>
      <c r="J2683" s="70"/>
      <c r="K2683" s="57"/>
      <c r="L2683" s="11"/>
      <c r="M2683" s="41"/>
      <c r="N2683" s="11"/>
    </row>
    <row r="2684" spans="8:14" x14ac:dyDescent="0.25">
      <c r="H2684" s="37"/>
      <c r="I2684" s="79"/>
      <c r="J2684" s="70"/>
      <c r="K2684" s="57"/>
      <c r="L2684" s="11"/>
      <c r="M2684" s="41"/>
      <c r="N2684" s="11"/>
    </row>
    <row r="2685" spans="8:14" x14ac:dyDescent="0.25">
      <c r="H2685" s="37"/>
      <c r="I2685" s="79"/>
      <c r="J2685" s="70"/>
      <c r="K2685" s="57"/>
      <c r="L2685" s="11"/>
      <c r="M2685" s="41"/>
      <c r="N2685" s="11"/>
    </row>
    <row r="2686" spans="8:14" x14ac:dyDescent="0.25">
      <c r="H2686" s="37"/>
      <c r="I2686" s="79"/>
      <c r="J2686" s="70"/>
      <c r="K2686" s="57"/>
      <c r="L2686" s="11"/>
      <c r="M2686" s="41"/>
      <c r="N2686" s="11"/>
    </row>
    <row r="2687" spans="8:14" x14ac:dyDescent="0.25">
      <c r="H2687" s="37"/>
      <c r="I2687" s="79"/>
      <c r="J2687" s="70"/>
      <c r="K2687" s="57"/>
      <c r="L2687" s="11"/>
      <c r="M2687" s="41"/>
      <c r="N2687" s="11"/>
    </row>
    <row r="2688" spans="8:14" x14ac:dyDescent="0.25">
      <c r="H2688" s="37"/>
      <c r="I2688" s="79"/>
      <c r="J2688" s="70"/>
      <c r="K2688" s="57"/>
      <c r="L2688" s="11"/>
      <c r="M2688" s="41"/>
      <c r="N2688" s="11"/>
    </row>
    <row r="2689" spans="8:14" x14ac:dyDescent="0.25">
      <c r="H2689" s="37"/>
      <c r="I2689" s="79"/>
      <c r="J2689" s="70"/>
      <c r="K2689" s="57"/>
      <c r="L2689" s="11"/>
      <c r="M2689" s="41"/>
      <c r="N2689" s="11"/>
    </row>
    <row r="2690" spans="8:14" x14ac:dyDescent="0.25">
      <c r="H2690" s="37"/>
      <c r="I2690" s="79"/>
      <c r="J2690" s="70"/>
      <c r="K2690" s="57"/>
      <c r="L2690" s="11"/>
      <c r="M2690" s="41"/>
      <c r="N2690" s="11"/>
    </row>
    <row r="2691" spans="8:14" x14ac:dyDescent="0.25">
      <c r="H2691" s="37"/>
      <c r="I2691" s="79"/>
      <c r="J2691" s="70"/>
      <c r="K2691" s="57"/>
      <c r="L2691" s="11"/>
      <c r="M2691" s="41"/>
      <c r="N2691" s="11"/>
    </row>
    <row r="2692" spans="8:14" x14ac:dyDescent="0.25">
      <c r="H2692" s="37"/>
      <c r="I2692" s="79"/>
      <c r="J2692" s="70"/>
      <c r="K2692" s="57"/>
      <c r="L2692" s="11"/>
      <c r="M2692" s="41"/>
      <c r="N2692" s="11"/>
    </row>
    <row r="2693" spans="8:14" x14ac:dyDescent="0.25">
      <c r="H2693" s="37"/>
      <c r="I2693" s="79"/>
      <c r="J2693" s="70"/>
      <c r="K2693" s="57"/>
      <c r="L2693" s="11"/>
      <c r="M2693" s="41"/>
      <c r="N2693" s="11"/>
    </row>
    <row r="2694" spans="8:14" x14ac:dyDescent="0.25">
      <c r="H2694" s="37"/>
      <c r="I2694" s="79"/>
      <c r="J2694" s="70"/>
      <c r="K2694" s="57"/>
      <c r="L2694" s="11"/>
      <c r="M2694" s="41"/>
      <c r="N2694" s="11"/>
    </row>
    <row r="2695" spans="8:14" x14ac:dyDescent="0.25">
      <c r="H2695" s="37"/>
      <c r="I2695" s="79"/>
      <c r="J2695" s="70"/>
      <c r="K2695" s="57"/>
      <c r="L2695" s="11"/>
      <c r="M2695" s="41"/>
      <c r="N2695" s="11"/>
    </row>
    <row r="2696" spans="8:14" x14ac:dyDescent="0.25">
      <c r="H2696" s="37"/>
      <c r="I2696" s="79"/>
      <c r="J2696" s="70"/>
      <c r="K2696" s="57"/>
      <c r="L2696" s="11"/>
      <c r="M2696" s="41"/>
      <c r="N2696" s="11"/>
    </row>
    <row r="2697" spans="8:14" x14ac:dyDescent="0.25">
      <c r="H2697" s="37"/>
      <c r="I2697" s="79"/>
      <c r="J2697" s="70"/>
      <c r="K2697" s="57"/>
      <c r="L2697" s="11"/>
      <c r="M2697" s="41"/>
      <c r="N2697" s="11"/>
    </row>
    <row r="2698" spans="8:14" x14ac:dyDescent="0.25">
      <c r="H2698" s="37"/>
      <c r="I2698" s="79"/>
      <c r="J2698" s="70"/>
      <c r="K2698" s="57"/>
      <c r="L2698" s="11"/>
      <c r="M2698" s="41"/>
      <c r="N2698" s="11"/>
    </row>
    <row r="2699" spans="8:14" x14ac:dyDescent="0.25">
      <c r="H2699" s="37"/>
      <c r="I2699" s="79"/>
      <c r="J2699" s="70"/>
      <c r="K2699" s="57"/>
      <c r="L2699" s="11"/>
      <c r="M2699" s="41"/>
      <c r="N2699" s="11"/>
    </row>
    <row r="2700" spans="8:14" x14ac:dyDescent="0.25">
      <c r="H2700" s="37"/>
      <c r="I2700" s="79"/>
      <c r="J2700" s="70"/>
      <c r="K2700" s="57"/>
      <c r="L2700" s="11"/>
      <c r="M2700" s="41"/>
      <c r="N2700" s="11"/>
    </row>
    <row r="2701" spans="8:14" x14ac:dyDescent="0.25">
      <c r="H2701" s="37"/>
      <c r="I2701" s="79"/>
      <c r="J2701" s="70"/>
      <c r="K2701" s="57"/>
      <c r="L2701" s="11"/>
      <c r="M2701" s="41"/>
      <c r="N2701" s="11"/>
    </row>
    <row r="2702" spans="8:14" x14ac:dyDescent="0.25">
      <c r="H2702" s="37"/>
      <c r="I2702" s="79"/>
      <c r="J2702" s="70"/>
      <c r="K2702" s="57"/>
      <c r="L2702" s="11"/>
      <c r="M2702" s="41"/>
      <c r="N2702" s="11"/>
    </row>
    <row r="2703" spans="8:14" x14ac:dyDescent="0.25">
      <c r="H2703" s="37"/>
      <c r="I2703" s="79"/>
      <c r="J2703" s="70"/>
      <c r="K2703" s="57"/>
      <c r="L2703" s="11"/>
      <c r="M2703" s="41"/>
      <c r="N2703" s="11"/>
    </row>
    <row r="2704" spans="8:14" x14ac:dyDescent="0.25">
      <c r="H2704" s="37"/>
      <c r="I2704" s="79"/>
      <c r="J2704" s="70"/>
      <c r="K2704" s="57"/>
      <c r="L2704" s="11"/>
      <c r="M2704" s="41"/>
      <c r="N2704" s="11"/>
    </row>
    <row r="2705" spans="8:14" x14ac:dyDescent="0.25">
      <c r="H2705" s="37"/>
      <c r="I2705" s="79"/>
      <c r="J2705" s="70"/>
      <c r="K2705" s="57"/>
      <c r="L2705" s="11"/>
      <c r="M2705" s="41"/>
      <c r="N2705" s="11"/>
    </row>
    <row r="2706" spans="8:14" x14ac:dyDescent="0.25">
      <c r="H2706" s="37"/>
      <c r="I2706" s="79"/>
      <c r="J2706" s="70"/>
      <c r="K2706" s="57"/>
      <c r="L2706" s="11"/>
      <c r="M2706" s="41"/>
      <c r="N2706" s="11"/>
    </row>
    <row r="2707" spans="8:14" x14ac:dyDescent="0.25">
      <c r="H2707" s="37"/>
      <c r="I2707" s="79"/>
      <c r="J2707" s="70"/>
      <c r="K2707" s="57"/>
      <c r="L2707" s="11"/>
      <c r="M2707" s="41"/>
      <c r="N2707" s="11"/>
    </row>
    <row r="2708" spans="8:14" x14ac:dyDescent="0.25">
      <c r="H2708" s="37"/>
      <c r="I2708" s="79"/>
      <c r="J2708" s="70"/>
      <c r="K2708" s="57"/>
      <c r="L2708" s="11"/>
      <c r="M2708" s="41"/>
      <c r="N2708" s="11"/>
    </row>
    <row r="2709" spans="8:14" x14ac:dyDescent="0.25">
      <c r="H2709" s="37"/>
      <c r="I2709" s="79"/>
      <c r="J2709" s="70"/>
      <c r="K2709" s="57"/>
      <c r="L2709" s="11"/>
      <c r="M2709" s="41"/>
      <c r="N2709" s="11"/>
    </row>
    <row r="2710" spans="8:14" x14ac:dyDescent="0.25">
      <c r="H2710" s="37"/>
      <c r="I2710" s="79"/>
      <c r="J2710" s="70"/>
      <c r="K2710" s="57"/>
      <c r="L2710" s="11"/>
      <c r="M2710" s="41"/>
      <c r="N2710" s="11"/>
    </row>
    <row r="2711" spans="8:14" x14ac:dyDescent="0.25">
      <c r="H2711" s="37"/>
      <c r="I2711" s="79"/>
      <c r="J2711" s="70"/>
      <c r="K2711" s="57"/>
      <c r="L2711" s="11"/>
      <c r="M2711" s="41"/>
      <c r="N2711" s="11"/>
    </row>
    <row r="2712" spans="8:14" x14ac:dyDescent="0.25">
      <c r="H2712" s="37"/>
      <c r="I2712" s="79"/>
      <c r="J2712" s="70"/>
      <c r="K2712" s="57"/>
      <c r="L2712" s="11"/>
      <c r="M2712" s="41"/>
      <c r="N2712" s="11"/>
    </row>
    <row r="2713" spans="8:14" x14ac:dyDescent="0.25">
      <c r="H2713" s="37"/>
      <c r="I2713" s="79"/>
      <c r="J2713" s="70"/>
      <c r="K2713" s="57"/>
      <c r="L2713" s="11"/>
      <c r="M2713" s="41"/>
      <c r="N2713" s="11"/>
    </row>
    <row r="2714" spans="8:14" x14ac:dyDescent="0.25">
      <c r="H2714" s="37"/>
      <c r="I2714" s="79"/>
      <c r="J2714" s="70"/>
      <c r="K2714" s="57"/>
      <c r="L2714" s="11"/>
      <c r="M2714" s="41"/>
      <c r="N2714" s="11"/>
    </row>
    <row r="2715" spans="8:14" x14ac:dyDescent="0.25">
      <c r="H2715" s="37"/>
      <c r="I2715" s="79"/>
      <c r="J2715" s="70"/>
      <c r="K2715" s="57"/>
      <c r="L2715" s="11"/>
      <c r="M2715" s="41"/>
      <c r="N2715" s="11"/>
    </row>
    <row r="2716" spans="8:14" x14ac:dyDescent="0.25">
      <c r="H2716" s="37"/>
      <c r="I2716" s="79"/>
      <c r="J2716" s="70"/>
      <c r="K2716" s="57"/>
      <c r="L2716" s="11"/>
      <c r="M2716" s="41"/>
      <c r="N2716" s="11"/>
    </row>
    <row r="2717" spans="8:14" x14ac:dyDescent="0.25">
      <c r="H2717" s="37"/>
      <c r="I2717" s="79"/>
      <c r="J2717" s="70"/>
      <c r="K2717" s="57"/>
      <c r="L2717" s="11"/>
      <c r="M2717" s="41"/>
      <c r="N2717" s="11"/>
    </row>
    <row r="2718" spans="8:14" x14ac:dyDescent="0.25">
      <c r="H2718" s="37"/>
      <c r="I2718" s="79"/>
      <c r="J2718" s="70"/>
      <c r="K2718" s="57"/>
      <c r="L2718" s="11"/>
      <c r="M2718" s="41"/>
      <c r="N2718" s="11"/>
    </row>
    <row r="2719" spans="8:14" x14ac:dyDescent="0.25">
      <c r="H2719" s="37"/>
      <c r="I2719" s="79"/>
      <c r="J2719" s="70"/>
      <c r="K2719" s="57"/>
      <c r="L2719" s="11"/>
      <c r="M2719" s="41"/>
      <c r="N2719" s="11"/>
    </row>
    <row r="2720" spans="8:14" x14ac:dyDescent="0.25">
      <c r="H2720" s="37"/>
      <c r="I2720" s="79"/>
      <c r="J2720" s="70"/>
      <c r="K2720" s="57"/>
      <c r="L2720" s="11"/>
      <c r="M2720" s="41"/>
      <c r="N2720" s="11"/>
    </row>
    <row r="2721" spans="8:14" x14ac:dyDescent="0.25">
      <c r="H2721" s="37"/>
      <c r="I2721" s="79"/>
      <c r="J2721" s="70"/>
      <c r="K2721" s="57"/>
      <c r="L2721" s="11"/>
      <c r="M2721" s="41"/>
      <c r="N2721" s="11"/>
    </row>
    <row r="2722" spans="8:14" x14ac:dyDescent="0.25">
      <c r="H2722" s="37"/>
      <c r="I2722" s="79"/>
      <c r="J2722" s="70"/>
      <c r="K2722" s="57"/>
      <c r="L2722" s="11"/>
      <c r="M2722" s="41"/>
      <c r="N2722" s="11"/>
    </row>
    <row r="2723" spans="8:14" x14ac:dyDescent="0.25">
      <c r="H2723" s="37"/>
      <c r="I2723" s="79"/>
      <c r="J2723" s="70"/>
      <c r="K2723" s="57"/>
      <c r="L2723" s="11"/>
      <c r="M2723" s="41"/>
      <c r="N2723" s="11"/>
    </row>
    <row r="2724" spans="8:14" x14ac:dyDescent="0.25">
      <c r="H2724" s="37"/>
      <c r="I2724" s="79"/>
      <c r="J2724" s="70"/>
      <c r="K2724" s="57"/>
      <c r="L2724" s="11"/>
      <c r="M2724" s="41"/>
      <c r="N2724" s="11"/>
    </row>
    <row r="2725" spans="8:14" x14ac:dyDescent="0.25">
      <c r="H2725" s="37"/>
      <c r="I2725" s="79"/>
      <c r="J2725" s="70"/>
      <c r="K2725" s="57"/>
      <c r="L2725" s="11"/>
      <c r="M2725" s="41"/>
      <c r="N2725" s="11"/>
    </row>
    <row r="2726" spans="8:14" x14ac:dyDescent="0.25">
      <c r="H2726" s="37"/>
      <c r="I2726" s="79"/>
      <c r="J2726" s="70"/>
      <c r="K2726" s="57"/>
      <c r="L2726" s="11"/>
      <c r="M2726" s="41"/>
      <c r="N2726" s="11"/>
    </row>
    <row r="2727" spans="8:14" x14ac:dyDescent="0.25">
      <c r="H2727" s="37"/>
      <c r="I2727" s="79"/>
      <c r="J2727" s="70"/>
      <c r="K2727" s="57"/>
      <c r="L2727" s="11"/>
      <c r="M2727" s="41"/>
      <c r="N2727" s="11"/>
    </row>
    <row r="2728" spans="8:14" x14ac:dyDescent="0.25">
      <c r="H2728" s="37"/>
      <c r="I2728" s="79"/>
      <c r="J2728" s="70"/>
      <c r="K2728" s="57"/>
      <c r="L2728" s="11"/>
      <c r="M2728" s="41"/>
      <c r="N2728" s="11"/>
    </row>
    <row r="2729" spans="8:14" x14ac:dyDescent="0.25">
      <c r="H2729" s="37"/>
      <c r="I2729" s="79"/>
      <c r="J2729" s="70"/>
      <c r="K2729" s="57"/>
      <c r="L2729" s="11"/>
      <c r="M2729" s="41"/>
      <c r="N2729" s="11"/>
    </row>
    <row r="2730" spans="8:14" x14ac:dyDescent="0.25">
      <c r="H2730" s="37"/>
      <c r="I2730" s="79"/>
      <c r="J2730" s="70"/>
      <c r="K2730" s="57"/>
      <c r="L2730" s="11"/>
      <c r="M2730" s="41"/>
      <c r="N2730" s="11"/>
    </row>
    <row r="2731" spans="8:14" x14ac:dyDescent="0.25">
      <c r="H2731" s="37"/>
      <c r="I2731" s="79"/>
      <c r="J2731" s="70"/>
      <c r="K2731" s="57"/>
      <c r="L2731" s="11"/>
      <c r="M2731" s="41"/>
      <c r="N2731" s="11"/>
    </row>
    <row r="2732" spans="8:14" x14ac:dyDescent="0.25">
      <c r="H2732" s="37"/>
      <c r="I2732" s="79"/>
      <c r="J2732" s="70"/>
      <c r="K2732" s="57"/>
      <c r="L2732" s="11"/>
      <c r="M2732" s="41"/>
      <c r="N2732" s="11"/>
    </row>
    <row r="2733" spans="8:14" x14ac:dyDescent="0.25">
      <c r="H2733" s="37"/>
      <c r="I2733" s="79"/>
      <c r="J2733" s="70"/>
      <c r="K2733" s="57"/>
      <c r="L2733" s="11"/>
      <c r="M2733" s="41"/>
      <c r="N2733" s="11"/>
    </row>
    <row r="2734" spans="8:14" x14ac:dyDescent="0.25">
      <c r="H2734" s="37"/>
      <c r="I2734" s="79"/>
      <c r="J2734" s="70"/>
      <c r="K2734" s="57"/>
      <c r="L2734" s="11"/>
      <c r="M2734" s="41"/>
      <c r="N2734" s="11"/>
    </row>
    <row r="2735" spans="8:14" x14ac:dyDescent="0.25">
      <c r="H2735" s="37"/>
      <c r="I2735" s="79"/>
      <c r="J2735" s="70"/>
      <c r="K2735" s="57"/>
      <c r="L2735" s="11"/>
      <c r="M2735" s="41"/>
      <c r="N2735" s="11"/>
    </row>
    <row r="2736" spans="8:14" x14ac:dyDescent="0.25">
      <c r="H2736" s="37"/>
      <c r="I2736" s="79"/>
      <c r="J2736" s="70"/>
      <c r="K2736" s="57"/>
      <c r="L2736" s="11"/>
      <c r="M2736" s="41"/>
      <c r="N2736" s="11"/>
    </row>
    <row r="2737" spans="8:14" x14ac:dyDescent="0.25">
      <c r="H2737" s="37"/>
      <c r="I2737" s="79"/>
      <c r="J2737" s="70"/>
      <c r="K2737" s="57"/>
      <c r="L2737" s="11"/>
      <c r="M2737" s="41"/>
      <c r="N2737" s="11"/>
    </row>
    <row r="2738" spans="8:14" x14ac:dyDescent="0.25">
      <c r="H2738" s="37"/>
      <c r="I2738" s="79"/>
      <c r="J2738" s="70"/>
      <c r="K2738" s="57"/>
      <c r="L2738" s="11"/>
      <c r="M2738" s="41"/>
      <c r="N2738" s="11"/>
    </row>
    <row r="2739" spans="8:14" x14ac:dyDescent="0.25">
      <c r="H2739" s="37"/>
      <c r="I2739" s="79"/>
      <c r="J2739" s="70"/>
      <c r="K2739" s="57"/>
      <c r="L2739" s="11"/>
      <c r="M2739" s="41"/>
      <c r="N2739" s="11"/>
    </row>
    <row r="2740" spans="8:14" x14ac:dyDescent="0.25">
      <c r="H2740" s="37"/>
      <c r="I2740" s="79"/>
      <c r="J2740" s="70"/>
      <c r="K2740" s="57"/>
      <c r="L2740" s="11"/>
      <c r="M2740" s="41"/>
      <c r="N2740" s="11"/>
    </row>
    <row r="2741" spans="8:14" x14ac:dyDescent="0.25">
      <c r="H2741" s="37"/>
      <c r="I2741" s="79"/>
      <c r="J2741" s="70"/>
      <c r="K2741" s="57"/>
      <c r="L2741" s="11"/>
      <c r="M2741" s="41"/>
      <c r="N2741" s="11"/>
    </row>
    <row r="2742" spans="8:14" x14ac:dyDescent="0.25">
      <c r="H2742" s="37"/>
      <c r="I2742" s="79"/>
      <c r="J2742" s="70"/>
      <c r="K2742" s="57"/>
      <c r="L2742" s="11"/>
      <c r="M2742" s="41"/>
      <c r="N2742" s="11"/>
    </row>
    <row r="2743" spans="8:14" x14ac:dyDescent="0.25">
      <c r="H2743" s="37"/>
      <c r="I2743" s="79"/>
      <c r="J2743" s="70"/>
      <c r="K2743" s="57"/>
      <c r="L2743" s="11"/>
      <c r="M2743" s="41"/>
      <c r="N2743" s="11"/>
    </row>
    <row r="2744" spans="8:14" x14ac:dyDescent="0.25">
      <c r="H2744" s="37"/>
      <c r="I2744" s="79"/>
      <c r="J2744" s="70"/>
      <c r="K2744" s="57"/>
      <c r="L2744" s="11"/>
      <c r="M2744" s="41"/>
      <c r="N2744" s="11"/>
    </row>
    <row r="2745" spans="8:14" x14ac:dyDescent="0.25">
      <c r="H2745" s="37"/>
      <c r="I2745" s="79"/>
      <c r="J2745" s="70"/>
      <c r="K2745" s="57"/>
      <c r="L2745" s="11"/>
      <c r="M2745" s="41"/>
      <c r="N2745" s="11"/>
    </row>
    <row r="2746" spans="8:14" x14ac:dyDescent="0.25">
      <c r="H2746" s="37"/>
      <c r="I2746" s="79"/>
      <c r="J2746" s="70"/>
      <c r="K2746" s="57"/>
      <c r="L2746" s="11"/>
      <c r="M2746" s="41"/>
      <c r="N2746" s="11"/>
    </row>
    <row r="2747" spans="8:14" x14ac:dyDescent="0.25">
      <c r="H2747" s="37"/>
      <c r="I2747" s="79"/>
      <c r="J2747" s="70"/>
      <c r="K2747" s="57"/>
      <c r="L2747" s="11"/>
      <c r="M2747" s="41"/>
      <c r="N2747" s="11"/>
    </row>
    <row r="2748" spans="8:14" x14ac:dyDescent="0.25">
      <c r="H2748" s="37"/>
      <c r="I2748" s="79"/>
      <c r="J2748" s="70"/>
      <c r="K2748" s="57"/>
      <c r="L2748" s="11"/>
      <c r="M2748" s="41"/>
      <c r="N2748" s="11"/>
    </row>
    <row r="2749" spans="8:14" x14ac:dyDescent="0.25">
      <c r="H2749" s="37"/>
      <c r="I2749" s="79"/>
      <c r="J2749" s="70"/>
      <c r="K2749" s="57"/>
      <c r="L2749" s="11"/>
      <c r="M2749" s="41"/>
      <c r="N2749" s="11"/>
    </row>
    <row r="2750" spans="8:14" x14ac:dyDescent="0.25">
      <c r="H2750" s="37"/>
      <c r="I2750" s="79"/>
      <c r="J2750" s="70"/>
      <c r="K2750" s="57"/>
      <c r="L2750" s="11"/>
      <c r="M2750" s="41"/>
      <c r="N2750" s="11"/>
    </row>
    <row r="2751" spans="8:14" x14ac:dyDescent="0.25">
      <c r="H2751" s="37"/>
      <c r="I2751" s="79"/>
      <c r="J2751" s="70"/>
      <c r="K2751" s="57"/>
      <c r="L2751" s="11"/>
      <c r="M2751" s="41"/>
      <c r="N2751" s="11"/>
    </row>
    <row r="2752" spans="8:14" x14ac:dyDescent="0.25">
      <c r="H2752" s="37"/>
      <c r="I2752" s="79"/>
      <c r="J2752" s="70"/>
      <c r="K2752" s="57"/>
      <c r="L2752" s="11"/>
      <c r="M2752" s="41"/>
      <c r="N2752" s="11"/>
    </row>
    <row r="2753" spans="8:14" x14ac:dyDescent="0.25">
      <c r="H2753" s="37"/>
      <c r="I2753" s="79"/>
      <c r="J2753" s="70"/>
      <c r="K2753" s="57"/>
      <c r="L2753" s="11"/>
      <c r="M2753" s="41"/>
      <c r="N2753" s="11"/>
    </row>
    <row r="2754" spans="8:14" x14ac:dyDescent="0.25">
      <c r="H2754" s="37"/>
      <c r="I2754" s="79"/>
      <c r="J2754" s="70"/>
      <c r="K2754" s="57"/>
      <c r="L2754" s="11"/>
      <c r="M2754" s="41"/>
      <c r="N2754" s="11"/>
    </row>
    <row r="2755" spans="8:14" x14ac:dyDescent="0.25">
      <c r="H2755" s="37"/>
      <c r="I2755" s="79"/>
      <c r="J2755" s="70"/>
      <c r="K2755" s="57"/>
      <c r="L2755" s="11"/>
      <c r="M2755" s="41"/>
      <c r="N2755" s="11"/>
    </row>
    <row r="2756" spans="8:14" x14ac:dyDescent="0.25">
      <c r="H2756" s="37"/>
      <c r="I2756" s="79"/>
      <c r="J2756" s="70"/>
      <c r="K2756" s="57"/>
      <c r="L2756" s="11"/>
      <c r="M2756" s="41"/>
      <c r="N2756" s="11"/>
    </row>
    <row r="2757" spans="8:14" x14ac:dyDescent="0.25">
      <c r="H2757" s="37"/>
      <c r="I2757" s="79"/>
      <c r="J2757" s="70"/>
      <c r="K2757" s="57"/>
      <c r="L2757" s="11"/>
      <c r="M2757" s="41"/>
      <c r="N2757" s="11"/>
    </row>
    <row r="2758" spans="8:14" x14ac:dyDescent="0.25">
      <c r="H2758" s="37"/>
      <c r="I2758" s="79"/>
      <c r="J2758" s="70"/>
      <c r="K2758" s="57"/>
      <c r="L2758" s="11"/>
      <c r="M2758" s="41"/>
      <c r="N2758" s="11"/>
    </row>
    <row r="2759" spans="8:14" x14ac:dyDescent="0.25">
      <c r="H2759" s="37"/>
      <c r="I2759" s="79"/>
      <c r="J2759" s="70"/>
      <c r="K2759" s="57"/>
      <c r="L2759" s="11"/>
      <c r="M2759" s="41"/>
      <c r="N2759" s="11"/>
    </row>
    <row r="2760" spans="8:14" x14ac:dyDescent="0.25">
      <c r="H2760" s="37"/>
      <c r="I2760" s="79"/>
      <c r="J2760" s="70"/>
      <c r="K2760" s="57"/>
      <c r="L2760" s="11"/>
      <c r="M2760" s="41"/>
      <c r="N2760" s="11"/>
    </row>
    <row r="2761" spans="8:14" x14ac:dyDescent="0.25">
      <c r="H2761" s="37"/>
      <c r="I2761" s="79"/>
      <c r="J2761" s="70"/>
      <c r="K2761" s="57"/>
      <c r="L2761" s="11"/>
      <c r="M2761" s="41"/>
      <c r="N2761" s="11"/>
    </row>
    <row r="2762" spans="8:14" x14ac:dyDescent="0.25">
      <c r="H2762" s="37"/>
      <c r="I2762" s="79"/>
      <c r="J2762" s="70"/>
      <c r="K2762" s="57"/>
      <c r="L2762" s="11"/>
      <c r="M2762" s="41"/>
      <c r="N2762" s="11"/>
    </row>
    <row r="2763" spans="8:14" x14ac:dyDescent="0.25">
      <c r="H2763" s="37"/>
      <c r="I2763" s="79"/>
      <c r="J2763" s="70"/>
      <c r="K2763" s="57"/>
      <c r="L2763" s="11"/>
      <c r="M2763" s="41"/>
      <c r="N2763" s="11"/>
    </row>
    <row r="2764" spans="8:14" x14ac:dyDescent="0.25">
      <c r="H2764" s="37"/>
      <c r="I2764" s="79"/>
      <c r="J2764" s="70"/>
      <c r="K2764" s="57"/>
      <c r="L2764" s="11"/>
      <c r="M2764" s="41"/>
      <c r="N2764" s="11"/>
    </row>
    <row r="2765" spans="8:14" x14ac:dyDescent="0.25">
      <c r="H2765" s="37"/>
      <c r="I2765" s="79"/>
      <c r="J2765" s="70"/>
      <c r="K2765" s="57"/>
      <c r="L2765" s="11"/>
      <c r="M2765" s="41"/>
      <c r="N2765" s="11"/>
    </row>
    <row r="2766" spans="8:14" x14ac:dyDescent="0.25">
      <c r="H2766" s="37"/>
      <c r="I2766" s="79"/>
      <c r="J2766" s="70"/>
      <c r="K2766" s="57"/>
      <c r="L2766" s="11"/>
      <c r="M2766" s="41"/>
      <c r="N2766" s="11"/>
    </row>
    <row r="2767" spans="8:14" x14ac:dyDescent="0.25">
      <c r="H2767" s="37"/>
      <c r="I2767" s="79"/>
      <c r="J2767" s="70"/>
      <c r="K2767" s="57"/>
      <c r="L2767" s="11"/>
      <c r="M2767" s="41"/>
      <c r="N2767" s="11"/>
    </row>
    <row r="2768" spans="8:14" x14ac:dyDescent="0.25">
      <c r="H2768" s="37"/>
      <c r="I2768" s="79"/>
      <c r="J2768" s="70"/>
      <c r="K2768" s="57"/>
      <c r="L2768" s="11"/>
      <c r="M2768" s="41"/>
      <c r="N2768" s="11"/>
    </row>
    <row r="2769" spans="8:14" x14ac:dyDescent="0.25">
      <c r="H2769" s="37"/>
      <c r="I2769" s="79"/>
      <c r="J2769" s="70"/>
      <c r="K2769" s="57"/>
      <c r="L2769" s="11"/>
      <c r="M2769" s="41"/>
      <c r="N2769" s="11"/>
    </row>
    <row r="2770" spans="8:14" x14ac:dyDescent="0.25">
      <c r="H2770" s="37"/>
      <c r="I2770" s="79"/>
      <c r="J2770" s="70"/>
      <c r="K2770" s="57"/>
      <c r="L2770" s="11"/>
      <c r="M2770" s="41"/>
      <c r="N2770" s="11"/>
    </row>
    <row r="2771" spans="8:14" x14ac:dyDescent="0.25">
      <c r="H2771" s="37"/>
      <c r="I2771" s="79"/>
      <c r="J2771" s="70"/>
      <c r="K2771" s="57"/>
      <c r="L2771" s="11"/>
      <c r="M2771" s="41"/>
      <c r="N2771" s="11"/>
    </row>
    <row r="2772" spans="8:14" x14ac:dyDescent="0.25">
      <c r="H2772" s="37"/>
      <c r="I2772" s="79"/>
      <c r="J2772" s="70"/>
      <c r="K2772" s="57"/>
      <c r="L2772" s="11"/>
      <c r="M2772" s="41"/>
      <c r="N2772" s="11"/>
    </row>
    <row r="2773" spans="8:14" x14ac:dyDescent="0.25">
      <c r="H2773" s="37"/>
      <c r="I2773" s="79"/>
      <c r="J2773" s="70"/>
      <c r="K2773" s="57"/>
      <c r="L2773" s="11"/>
      <c r="M2773" s="41"/>
      <c r="N2773" s="11"/>
    </row>
    <row r="2774" spans="8:14" x14ac:dyDescent="0.25">
      <c r="H2774" s="37"/>
      <c r="I2774" s="79"/>
      <c r="J2774" s="70"/>
      <c r="K2774" s="57"/>
      <c r="L2774" s="11"/>
      <c r="M2774" s="41"/>
      <c r="N2774" s="11"/>
    </row>
    <row r="2775" spans="8:14" x14ac:dyDescent="0.25">
      <c r="H2775" s="37"/>
      <c r="I2775" s="79"/>
      <c r="J2775" s="70"/>
      <c r="K2775" s="57"/>
      <c r="L2775" s="11"/>
      <c r="M2775" s="41"/>
      <c r="N2775" s="11"/>
    </row>
    <row r="2776" spans="8:14" x14ac:dyDescent="0.25">
      <c r="H2776" s="37"/>
      <c r="I2776" s="79"/>
      <c r="J2776" s="70"/>
      <c r="K2776" s="57"/>
      <c r="L2776" s="11"/>
      <c r="M2776" s="41"/>
      <c r="N2776" s="11"/>
    </row>
    <row r="2777" spans="8:14" x14ac:dyDescent="0.25">
      <c r="H2777" s="37"/>
      <c r="I2777" s="79"/>
      <c r="J2777" s="70"/>
      <c r="K2777" s="57"/>
      <c r="L2777" s="11"/>
      <c r="M2777" s="41"/>
      <c r="N2777" s="11"/>
    </row>
    <row r="2778" spans="8:14" x14ac:dyDescent="0.25">
      <c r="H2778" s="37"/>
      <c r="I2778" s="79"/>
      <c r="J2778" s="70"/>
      <c r="K2778" s="57"/>
      <c r="L2778" s="11"/>
      <c r="M2778" s="41"/>
      <c r="N2778" s="11"/>
    </row>
    <row r="2779" spans="8:14" x14ac:dyDescent="0.25">
      <c r="H2779" s="37"/>
      <c r="I2779" s="79"/>
      <c r="J2779" s="70"/>
      <c r="K2779" s="57"/>
      <c r="L2779" s="11"/>
      <c r="M2779" s="41"/>
      <c r="N2779" s="11"/>
    </row>
    <row r="2780" spans="8:14" x14ac:dyDescent="0.25">
      <c r="H2780" s="37"/>
      <c r="I2780" s="79"/>
      <c r="J2780" s="70"/>
      <c r="K2780" s="57"/>
      <c r="L2780" s="11"/>
      <c r="M2780" s="41"/>
      <c r="N2780" s="11"/>
    </row>
    <row r="2781" spans="8:14" x14ac:dyDescent="0.25">
      <c r="H2781" s="37"/>
      <c r="I2781" s="79"/>
      <c r="J2781" s="70"/>
      <c r="K2781" s="57"/>
      <c r="L2781" s="11"/>
      <c r="M2781" s="41"/>
      <c r="N2781" s="11"/>
    </row>
    <row r="2782" spans="8:14" x14ac:dyDescent="0.25">
      <c r="H2782" s="37"/>
      <c r="I2782" s="79"/>
      <c r="J2782" s="70"/>
      <c r="K2782" s="57"/>
      <c r="L2782" s="11"/>
      <c r="M2782" s="41"/>
      <c r="N2782" s="11"/>
    </row>
    <row r="2783" spans="8:14" x14ac:dyDescent="0.25">
      <c r="H2783" s="37"/>
      <c r="I2783" s="79"/>
      <c r="J2783" s="70"/>
      <c r="K2783" s="57"/>
      <c r="L2783" s="11"/>
      <c r="M2783" s="41"/>
      <c r="N2783" s="11"/>
    </row>
    <row r="2784" spans="8:14" x14ac:dyDescent="0.25">
      <c r="H2784" s="37"/>
      <c r="I2784" s="79"/>
      <c r="J2784" s="70"/>
      <c r="K2784" s="57"/>
      <c r="L2784" s="11"/>
      <c r="M2784" s="41"/>
      <c r="N2784" s="11"/>
    </row>
    <row r="2785" spans="8:14" x14ac:dyDescent="0.25">
      <c r="H2785" s="37"/>
      <c r="I2785" s="79"/>
      <c r="J2785" s="70"/>
      <c r="K2785" s="57"/>
      <c r="L2785" s="11"/>
      <c r="M2785" s="41"/>
      <c r="N2785" s="11"/>
    </row>
    <row r="2786" spans="8:14" x14ac:dyDescent="0.25">
      <c r="H2786" s="37"/>
      <c r="I2786" s="79"/>
      <c r="J2786" s="70"/>
      <c r="K2786" s="57"/>
      <c r="L2786" s="11"/>
      <c r="M2786" s="41"/>
      <c r="N2786" s="11"/>
    </row>
    <row r="2787" spans="8:14" x14ac:dyDescent="0.25">
      <c r="H2787" s="37"/>
      <c r="I2787" s="79"/>
      <c r="J2787" s="70"/>
      <c r="K2787" s="57"/>
      <c r="L2787" s="11"/>
      <c r="M2787" s="41"/>
      <c r="N2787" s="11"/>
    </row>
    <row r="2788" spans="8:14" x14ac:dyDescent="0.25">
      <c r="H2788" s="37"/>
      <c r="I2788" s="79"/>
      <c r="J2788" s="70"/>
      <c r="K2788" s="57"/>
      <c r="L2788" s="11"/>
      <c r="M2788" s="41"/>
      <c r="N2788" s="11"/>
    </row>
    <row r="2789" spans="8:14" x14ac:dyDescent="0.25">
      <c r="H2789" s="37"/>
      <c r="I2789" s="79"/>
      <c r="J2789" s="70"/>
      <c r="K2789" s="57"/>
      <c r="L2789" s="11"/>
      <c r="M2789" s="41"/>
      <c r="N2789" s="11"/>
    </row>
    <row r="2790" spans="8:14" x14ac:dyDescent="0.25">
      <c r="H2790" s="37"/>
      <c r="I2790" s="79"/>
      <c r="J2790" s="70"/>
      <c r="K2790" s="57"/>
      <c r="L2790" s="11"/>
      <c r="M2790" s="41"/>
      <c r="N2790" s="11"/>
    </row>
    <row r="2791" spans="8:14" x14ac:dyDescent="0.25">
      <c r="H2791" s="37"/>
      <c r="I2791" s="79"/>
      <c r="J2791" s="70"/>
      <c r="K2791" s="57"/>
      <c r="L2791" s="11"/>
      <c r="M2791" s="41"/>
      <c r="N2791" s="11"/>
    </row>
    <row r="2792" spans="8:14" x14ac:dyDescent="0.25">
      <c r="H2792" s="37"/>
      <c r="I2792" s="79"/>
      <c r="J2792" s="70"/>
      <c r="K2792" s="57"/>
      <c r="L2792" s="11"/>
      <c r="M2792" s="41"/>
      <c r="N2792" s="11"/>
    </row>
    <row r="2793" spans="8:14" x14ac:dyDescent="0.25">
      <c r="H2793" s="37"/>
      <c r="I2793" s="79"/>
      <c r="J2793" s="70"/>
      <c r="K2793" s="57"/>
      <c r="L2793" s="11"/>
      <c r="M2793" s="41"/>
      <c r="N2793" s="11"/>
    </row>
    <row r="2794" spans="8:14" x14ac:dyDescent="0.25">
      <c r="H2794" s="37"/>
      <c r="I2794" s="79"/>
      <c r="J2794" s="70"/>
      <c r="K2794" s="57"/>
      <c r="L2794" s="11"/>
      <c r="M2794" s="41"/>
      <c r="N2794" s="11"/>
    </row>
    <row r="2795" spans="8:14" x14ac:dyDescent="0.25">
      <c r="H2795" s="37"/>
      <c r="I2795" s="79"/>
      <c r="J2795" s="70"/>
      <c r="K2795" s="57"/>
      <c r="L2795" s="11"/>
      <c r="M2795" s="41"/>
      <c r="N2795" s="11"/>
    </row>
    <row r="2796" spans="8:14" x14ac:dyDescent="0.25">
      <c r="H2796" s="37"/>
      <c r="I2796" s="79"/>
      <c r="J2796" s="70"/>
      <c r="K2796" s="57"/>
      <c r="L2796" s="11"/>
      <c r="M2796" s="41"/>
      <c r="N2796" s="11"/>
    </row>
    <row r="2797" spans="8:14" x14ac:dyDescent="0.25">
      <c r="H2797" s="37"/>
      <c r="I2797" s="79"/>
      <c r="J2797" s="70"/>
      <c r="K2797" s="57"/>
      <c r="L2797" s="11"/>
      <c r="M2797" s="41"/>
      <c r="N2797" s="11"/>
    </row>
    <row r="2798" spans="8:14" x14ac:dyDescent="0.25">
      <c r="H2798" s="37"/>
      <c r="I2798" s="79"/>
      <c r="J2798" s="70"/>
      <c r="K2798" s="57"/>
      <c r="L2798" s="11"/>
      <c r="M2798" s="41"/>
      <c r="N2798" s="11"/>
    </row>
    <row r="2799" spans="8:14" x14ac:dyDescent="0.25">
      <c r="H2799" s="37"/>
      <c r="I2799" s="79"/>
      <c r="J2799" s="70"/>
      <c r="K2799" s="57"/>
      <c r="L2799" s="11"/>
      <c r="M2799" s="41"/>
      <c r="N2799" s="11"/>
    </row>
    <row r="2800" spans="8:14" x14ac:dyDescent="0.25">
      <c r="H2800" s="37"/>
      <c r="I2800" s="79"/>
      <c r="J2800" s="70"/>
      <c r="K2800" s="57"/>
      <c r="L2800" s="11"/>
      <c r="M2800" s="41"/>
      <c r="N2800" s="11"/>
    </row>
    <row r="2801" spans="8:14" x14ac:dyDescent="0.25">
      <c r="H2801" s="37"/>
      <c r="I2801" s="79"/>
      <c r="J2801" s="70"/>
      <c r="K2801" s="57"/>
      <c r="L2801" s="11"/>
      <c r="M2801" s="41"/>
      <c r="N2801" s="11"/>
    </row>
    <row r="2802" spans="8:14" x14ac:dyDescent="0.25">
      <c r="H2802" s="37"/>
      <c r="I2802" s="79"/>
      <c r="J2802" s="70"/>
      <c r="K2802" s="57"/>
      <c r="L2802" s="11"/>
      <c r="M2802" s="41"/>
      <c r="N2802" s="11"/>
    </row>
    <row r="2803" spans="8:14" x14ac:dyDescent="0.25">
      <c r="H2803" s="37"/>
      <c r="I2803" s="79"/>
      <c r="J2803" s="70"/>
      <c r="K2803" s="57"/>
      <c r="L2803" s="11"/>
      <c r="M2803" s="41"/>
      <c r="N2803" s="11"/>
    </row>
    <row r="2804" spans="8:14" x14ac:dyDescent="0.25">
      <c r="H2804" s="37"/>
      <c r="I2804" s="79"/>
      <c r="J2804" s="70"/>
      <c r="K2804" s="57"/>
      <c r="L2804" s="11"/>
      <c r="M2804" s="41"/>
      <c r="N2804" s="11"/>
    </row>
    <row r="2805" spans="8:14" x14ac:dyDescent="0.25">
      <c r="H2805" s="37"/>
      <c r="I2805" s="79"/>
      <c r="J2805" s="70"/>
      <c r="K2805" s="57"/>
      <c r="L2805" s="11"/>
      <c r="M2805" s="41"/>
      <c r="N2805" s="11"/>
    </row>
    <row r="2806" spans="8:14" x14ac:dyDescent="0.25">
      <c r="H2806" s="37"/>
      <c r="I2806" s="79"/>
      <c r="J2806" s="70"/>
      <c r="K2806" s="57"/>
      <c r="L2806" s="11"/>
      <c r="M2806" s="41"/>
      <c r="N2806" s="11"/>
    </row>
    <row r="2807" spans="8:14" x14ac:dyDescent="0.25">
      <c r="H2807" s="37"/>
      <c r="I2807" s="79"/>
      <c r="J2807" s="70"/>
      <c r="K2807" s="57"/>
      <c r="L2807" s="11"/>
      <c r="M2807" s="41"/>
      <c r="N2807" s="11"/>
    </row>
    <row r="2808" spans="8:14" x14ac:dyDescent="0.25">
      <c r="H2808" s="37"/>
      <c r="I2808" s="79"/>
      <c r="J2808" s="70"/>
      <c r="K2808" s="57"/>
      <c r="L2808" s="11"/>
      <c r="M2808" s="41"/>
      <c r="N2808" s="11"/>
    </row>
    <row r="2809" spans="8:14" x14ac:dyDescent="0.25">
      <c r="H2809" s="37"/>
      <c r="I2809" s="79"/>
      <c r="J2809" s="70"/>
      <c r="K2809" s="57"/>
      <c r="L2809" s="11"/>
      <c r="M2809" s="41"/>
      <c r="N2809" s="11"/>
    </row>
    <row r="2810" spans="8:14" x14ac:dyDescent="0.25">
      <c r="H2810" s="37"/>
      <c r="I2810" s="79"/>
      <c r="J2810" s="70"/>
      <c r="K2810" s="57"/>
      <c r="L2810" s="11"/>
      <c r="M2810" s="41"/>
      <c r="N2810" s="11"/>
    </row>
    <row r="2811" spans="8:14" x14ac:dyDescent="0.25">
      <c r="H2811" s="37"/>
      <c r="I2811" s="79"/>
      <c r="J2811" s="70"/>
      <c r="K2811" s="57"/>
      <c r="L2811" s="11"/>
      <c r="M2811" s="41"/>
      <c r="N2811" s="11"/>
    </row>
    <row r="2812" spans="8:14" x14ac:dyDescent="0.25">
      <c r="H2812" s="37"/>
      <c r="I2812" s="79"/>
      <c r="J2812" s="70"/>
      <c r="K2812" s="57"/>
      <c r="L2812" s="11"/>
      <c r="M2812" s="41"/>
      <c r="N2812" s="11"/>
    </row>
    <row r="2813" spans="8:14" x14ac:dyDescent="0.25">
      <c r="H2813" s="37"/>
      <c r="I2813" s="79"/>
      <c r="J2813" s="70"/>
      <c r="K2813" s="57"/>
      <c r="L2813" s="11"/>
      <c r="M2813" s="41"/>
      <c r="N2813" s="11"/>
    </row>
    <row r="2814" spans="8:14" x14ac:dyDescent="0.25">
      <c r="H2814" s="37"/>
      <c r="I2814" s="79"/>
      <c r="J2814" s="70"/>
      <c r="K2814" s="57"/>
      <c r="L2814" s="11"/>
      <c r="M2814" s="41"/>
      <c r="N2814" s="11"/>
    </row>
    <row r="2815" spans="8:14" x14ac:dyDescent="0.25">
      <c r="H2815" s="37"/>
      <c r="I2815" s="79"/>
      <c r="J2815" s="70"/>
      <c r="K2815" s="57"/>
      <c r="L2815" s="11"/>
      <c r="M2815" s="41"/>
      <c r="N2815" s="11"/>
    </row>
    <row r="2816" spans="8:14" x14ac:dyDescent="0.25">
      <c r="H2816" s="37"/>
      <c r="I2816" s="79"/>
      <c r="J2816" s="70"/>
      <c r="K2816" s="57"/>
      <c r="L2816" s="11"/>
      <c r="M2816" s="41"/>
      <c r="N2816" s="11"/>
    </row>
    <row r="2817" spans="8:14" x14ac:dyDescent="0.25">
      <c r="H2817" s="37"/>
      <c r="I2817" s="79"/>
      <c r="J2817" s="70"/>
      <c r="K2817" s="57"/>
      <c r="L2817" s="11"/>
      <c r="M2817" s="41"/>
      <c r="N2817" s="11"/>
    </row>
    <row r="2818" spans="8:14" x14ac:dyDescent="0.25">
      <c r="H2818" s="37"/>
      <c r="I2818" s="79"/>
      <c r="J2818" s="70"/>
      <c r="K2818" s="57"/>
      <c r="L2818" s="11"/>
      <c r="M2818" s="41"/>
      <c r="N2818" s="11"/>
    </row>
    <row r="2819" spans="8:14" x14ac:dyDescent="0.25">
      <c r="H2819" s="37"/>
      <c r="I2819" s="79"/>
      <c r="J2819" s="70"/>
      <c r="K2819" s="57"/>
      <c r="L2819" s="11"/>
      <c r="M2819" s="41"/>
      <c r="N2819" s="11"/>
    </row>
    <row r="2820" spans="8:14" x14ac:dyDescent="0.25">
      <c r="H2820" s="37"/>
      <c r="I2820" s="79"/>
      <c r="J2820" s="70"/>
      <c r="K2820" s="57"/>
      <c r="L2820" s="11"/>
      <c r="M2820" s="41"/>
      <c r="N2820" s="11"/>
    </row>
    <row r="2821" spans="8:14" x14ac:dyDescent="0.25">
      <c r="H2821" s="37"/>
      <c r="I2821" s="79"/>
      <c r="J2821" s="70"/>
      <c r="K2821" s="57"/>
      <c r="L2821" s="11"/>
      <c r="M2821" s="41"/>
      <c r="N2821" s="11"/>
    </row>
    <row r="2822" spans="8:14" x14ac:dyDescent="0.25">
      <c r="H2822" s="37"/>
      <c r="I2822" s="79"/>
      <c r="J2822" s="70"/>
      <c r="K2822" s="57"/>
      <c r="L2822" s="11"/>
      <c r="M2822" s="41"/>
      <c r="N2822" s="11"/>
    </row>
    <row r="2823" spans="8:14" x14ac:dyDescent="0.25">
      <c r="H2823" s="37"/>
      <c r="I2823" s="79"/>
      <c r="J2823" s="70"/>
      <c r="K2823" s="57"/>
      <c r="L2823" s="11"/>
      <c r="M2823" s="41"/>
      <c r="N2823" s="11"/>
    </row>
    <row r="2824" spans="8:14" x14ac:dyDescent="0.25">
      <c r="H2824" s="37"/>
      <c r="I2824" s="79"/>
      <c r="J2824" s="70"/>
      <c r="K2824" s="57"/>
      <c r="L2824" s="11"/>
      <c r="M2824" s="41"/>
      <c r="N2824" s="11"/>
    </row>
    <row r="2825" spans="8:14" x14ac:dyDescent="0.25">
      <c r="H2825" s="37"/>
      <c r="I2825" s="79"/>
      <c r="J2825" s="70"/>
      <c r="K2825" s="57"/>
      <c r="L2825" s="11"/>
      <c r="M2825" s="41"/>
      <c r="N2825" s="11"/>
    </row>
    <row r="2826" spans="8:14" x14ac:dyDescent="0.25">
      <c r="H2826" s="37"/>
      <c r="I2826" s="79"/>
      <c r="J2826" s="70"/>
      <c r="K2826" s="57"/>
      <c r="L2826" s="11"/>
      <c r="M2826" s="41"/>
      <c r="N2826" s="11"/>
    </row>
    <row r="2827" spans="8:14" x14ac:dyDescent="0.25">
      <c r="H2827" s="37"/>
      <c r="I2827" s="79"/>
      <c r="J2827" s="70"/>
      <c r="K2827" s="57"/>
      <c r="L2827" s="11"/>
      <c r="M2827" s="41"/>
      <c r="N2827" s="11"/>
    </row>
    <row r="2828" spans="8:14" x14ac:dyDescent="0.25">
      <c r="H2828" s="37"/>
      <c r="I2828" s="79"/>
      <c r="J2828" s="70"/>
      <c r="K2828" s="57"/>
      <c r="L2828" s="11"/>
      <c r="M2828" s="41"/>
      <c r="N2828" s="11"/>
    </row>
    <row r="2829" spans="8:14" x14ac:dyDescent="0.25">
      <c r="H2829" s="37"/>
      <c r="I2829" s="79"/>
      <c r="J2829" s="70"/>
      <c r="K2829" s="57"/>
      <c r="L2829" s="11"/>
      <c r="M2829" s="41"/>
      <c r="N2829" s="11"/>
    </row>
    <row r="2830" spans="8:14" x14ac:dyDescent="0.25">
      <c r="H2830" s="37"/>
      <c r="I2830" s="79"/>
      <c r="J2830" s="70"/>
      <c r="K2830" s="57"/>
      <c r="L2830" s="11"/>
      <c r="M2830" s="41"/>
      <c r="N2830" s="11"/>
    </row>
    <row r="2831" spans="8:14" x14ac:dyDescent="0.25">
      <c r="H2831" s="37"/>
      <c r="I2831" s="79"/>
      <c r="J2831" s="70"/>
      <c r="K2831" s="57"/>
      <c r="L2831" s="11"/>
      <c r="M2831" s="41"/>
      <c r="N2831" s="11"/>
    </row>
    <row r="2832" spans="8:14" x14ac:dyDescent="0.25">
      <c r="H2832" s="37"/>
      <c r="I2832" s="79"/>
      <c r="J2832" s="70"/>
      <c r="K2832" s="57"/>
      <c r="L2832" s="11"/>
      <c r="M2832" s="41"/>
      <c r="N2832" s="11"/>
    </row>
    <row r="2833" spans="8:14" x14ac:dyDescent="0.25">
      <c r="H2833" s="37"/>
      <c r="I2833" s="79"/>
      <c r="J2833" s="70"/>
      <c r="K2833" s="57"/>
      <c r="L2833" s="11"/>
      <c r="M2833" s="41"/>
      <c r="N2833" s="11"/>
    </row>
    <row r="2834" spans="8:14" x14ac:dyDescent="0.25">
      <c r="H2834" s="37"/>
      <c r="I2834" s="79"/>
      <c r="J2834" s="70"/>
      <c r="K2834" s="57"/>
      <c r="L2834" s="11"/>
      <c r="M2834" s="41"/>
      <c r="N2834" s="11"/>
    </row>
    <row r="2835" spans="8:14" x14ac:dyDescent="0.25">
      <c r="H2835" s="37"/>
      <c r="I2835" s="79"/>
      <c r="J2835" s="70"/>
      <c r="K2835" s="57"/>
      <c r="L2835" s="11"/>
      <c r="M2835" s="41"/>
      <c r="N2835" s="11"/>
    </row>
    <row r="2836" spans="8:14" x14ac:dyDescent="0.25">
      <c r="H2836" s="37"/>
      <c r="I2836" s="79"/>
      <c r="J2836" s="70"/>
      <c r="K2836" s="57"/>
      <c r="L2836" s="11"/>
      <c r="M2836" s="41"/>
      <c r="N2836" s="11"/>
    </row>
    <row r="2837" spans="8:14" x14ac:dyDescent="0.25">
      <c r="H2837" s="37"/>
      <c r="I2837" s="79"/>
      <c r="J2837" s="70"/>
      <c r="K2837" s="57"/>
      <c r="L2837" s="11"/>
      <c r="M2837" s="41"/>
      <c r="N2837" s="11"/>
    </row>
    <row r="2838" spans="8:14" x14ac:dyDescent="0.25">
      <c r="H2838" s="37"/>
      <c r="I2838" s="79"/>
      <c r="J2838" s="70"/>
      <c r="K2838" s="57"/>
      <c r="L2838" s="11"/>
      <c r="M2838" s="41"/>
      <c r="N2838" s="11"/>
    </row>
    <row r="2839" spans="8:14" x14ac:dyDescent="0.25">
      <c r="H2839" s="37"/>
      <c r="I2839" s="79"/>
      <c r="J2839" s="70"/>
      <c r="K2839" s="57"/>
      <c r="L2839" s="11"/>
      <c r="M2839" s="41"/>
      <c r="N2839" s="11"/>
    </row>
    <row r="2840" spans="8:14" x14ac:dyDescent="0.25">
      <c r="H2840" s="37"/>
      <c r="I2840" s="79"/>
      <c r="J2840" s="70"/>
      <c r="K2840" s="57"/>
      <c r="L2840" s="11"/>
      <c r="M2840" s="41"/>
      <c r="N2840" s="11"/>
    </row>
    <row r="2841" spans="8:14" x14ac:dyDescent="0.25">
      <c r="H2841" s="37"/>
      <c r="I2841" s="79"/>
      <c r="J2841" s="70"/>
      <c r="K2841" s="57"/>
      <c r="L2841" s="11"/>
      <c r="M2841" s="41"/>
      <c r="N2841" s="11"/>
    </row>
    <row r="2842" spans="8:14" x14ac:dyDescent="0.25">
      <c r="H2842" s="37"/>
      <c r="I2842" s="79"/>
      <c r="J2842" s="70"/>
      <c r="K2842" s="57"/>
      <c r="L2842" s="11"/>
      <c r="M2842" s="41"/>
      <c r="N2842" s="11"/>
    </row>
    <row r="2843" spans="8:14" x14ac:dyDescent="0.25">
      <c r="H2843" s="37"/>
      <c r="I2843" s="79"/>
      <c r="J2843" s="70"/>
      <c r="K2843" s="57"/>
      <c r="L2843" s="11"/>
      <c r="M2843" s="41"/>
      <c r="N2843" s="11"/>
    </row>
    <row r="2844" spans="8:14" x14ac:dyDescent="0.25">
      <c r="H2844" s="37"/>
      <c r="I2844" s="79"/>
      <c r="J2844" s="70"/>
      <c r="K2844" s="57"/>
      <c r="L2844" s="11"/>
      <c r="M2844" s="41"/>
      <c r="N2844" s="11"/>
    </row>
    <row r="2845" spans="8:14" x14ac:dyDescent="0.25">
      <c r="H2845" s="37"/>
      <c r="I2845" s="79"/>
      <c r="J2845" s="70"/>
      <c r="K2845" s="57"/>
      <c r="L2845" s="11"/>
      <c r="M2845" s="41"/>
      <c r="N2845" s="11"/>
    </row>
    <row r="2846" spans="8:14" x14ac:dyDescent="0.25">
      <c r="H2846" s="37"/>
      <c r="I2846" s="79"/>
      <c r="J2846" s="70"/>
      <c r="K2846" s="57"/>
      <c r="L2846" s="11"/>
      <c r="M2846" s="41"/>
      <c r="N2846" s="11"/>
    </row>
    <row r="2847" spans="8:14" x14ac:dyDescent="0.25">
      <c r="H2847" s="37"/>
      <c r="I2847" s="79"/>
      <c r="J2847" s="70"/>
      <c r="K2847" s="57"/>
      <c r="L2847" s="11"/>
      <c r="M2847" s="41"/>
      <c r="N2847" s="11"/>
    </row>
    <row r="2848" spans="8:14" x14ac:dyDescent="0.25">
      <c r="H2848" s="37"/>
      <c r="I2848" s="79"/>
      <c r="J2848" s="70"/>
      <c r="K2848" s="57"/>
      <c r="L2848" s="11"/>
      <c r="M2848" s="41"/>
      <c r="N2848" s="11"/>
    </row>
    <row r="2849" spans="8:14" x14ac:dyDescent="0.25">
      <c r="H2849" s="37"/>
      <c r="I2849" s="79"/>
      <c r="J2849" s="70"/>
      <c r="K2849" s="57"/>
      <c r="L2849" s="11"/>
      <c r="M2849" s="41"/>
      <c r="N2849" s="11"/>
    </row>
    <row r="2850" spans="8:14" x14ac:dyDescent="0.25">
      <c r="H2850" s="37"/>
      <c r="I2850" s="79"/>
      <c r="J2850" s="70"/>
      <c r="K2850" s="57"/>
      <c r="L2850" s="11"/>
      <c r="M2850" s="41"/>
      <c r="N2850" s="11"/>
    </row>
    <row r="2851" spans="8:14" x14ac:dyDescent="0.25">
      <c r="H2851" s="37"/>
      <c r="I2851" s="79"/>
      <c r="J2851" s="70"/>
      <c r="K2851" s="57"/>
      <c r="L2851" s="11"/>
      <c r="M2851" s="41"/>
      <c r="N2851" s="11"/>
    </row>
    <row r="2852" spans="8:14" x14ac:dyDescent="0.25">
      <c r="H2852" s="37"/>
      <c r="I2852" s="79"/>
      <c r="J2852" s="70"/>
      <c r="K2852" s="57"/>
      <c r="L2852" s="11"/>
      <c r="M2852" s="41"/>
      <c r="N2852" s="11"/>
    </row>
    <row r="2853" spans="8:14" x14ac:dyDescent="0.25">
      <c r="H2853" s="37"/>
      <c r="I2853" s="79"/>
      <c r="J2853" s="70"/>
      <c r="K2853" s="57"/>
      <c r="L2853" s="11"/>
      <c r="M2853" s="41"/>
      <c r="N2853" s="11"/>
    </row>
    <row r="2854" spans="8:14" x14ac:dyDescent="0.25">
      <c r="H2854" s="37"/>
      <c r="I2854" s="79"/>
      <c r="J2854" s="70"/>
      <c r="K2854" s="57"/>
      <c r="L2854" s="11"/>
      <c r="M2854" s="41"/>
      <c r="N2854" s="11"/>
    </row>
    <row r="2855" spans="8:14" x14ac:dyDescent="0.25">
      <c r="H2855" s="37"/>
      <c r="I2855" s="79"/>
      <c r="J2855" s="70"/>
      <c r="K2855" s="57"/>
      <c r="L2855" s="11"/>
      <c r="M2855" s="41"/>
      <c r="N2855" s="11"/>
    </row>
    <row r="2856" spans="8:14" x14ac:dyDescent="0.25">
      <c r="H2856" s="37"/>
      <c r="I2856" s="79"/>
      <c r="J2856" s="70"/>
      <c r="K2856" s="57"/>
      <c r="L2856" s="11"/>
      <c r="M2856" s="41"/>
      <c r="N2856" s="11"/>
    </row>
    <row r="2857" spans="8:14" x14ac:dyDescent="0.25">
      <c r="H2857" s="37"/>
      <c r="I2857" s="79"/>
      <c r="J2857" s="70"/>
      <c r="K2857" s="57"/>
      <c r="L2857" s="11"/>
      <c r="M2857" s="41"/>
      <c r="N2857" s="11"/>
    </row>
    <row r="2858" spans="8:14" x14ac:dyDescent="0.25">
      <c r="H2858" s="37"/>
      <c r="I2858" s="79"/>
      <c r="J2858" s="70"/>
      <c r="K2858" s="57"/>
      <c r="L2858" s="11"/>
      <c r="M2858" s="41"/>
      <c r="N2858" s="11"/>
    </row>
    <row r="2859" spans="8:14" x14ac:dyDescent="0.25">
      <c r="H2859" s="37"/>
      <c r="I2859" s="79"/>
      <c r="J2859" s="70"/>
      <c r="K2859" s="57"/>
      <c r="L2859" s="11"/>
      <c r="M2859" s="41"/>
      <c r="N2859" s="11"/>
    </row>
    <row r="2860" spans="8:14" x14ac:dyDescent="0.25">
      <c r="H2860" s="37"/>
      <c r="I2860" s="79"/>
      <c r="J2860" s="70"/>
      <c r="K2860" s="57"/>
      <c r="L2860" s="11"/>
      <c r="M2860" s="41"/>
      <c r="N2860" s="11"/>
    </row>
    <row r="2861" spans="8:14" x14ac:dyDescent="0.25">
      <c r="H2861" s="37"/>
      <c r="I2861" s="79"/>
      <c r="J2861" s="70"/>
      <c r="K2861" s="57"/>
      <c r="L2861" s="11"/>
      <c r="M2861" s="41"/>
      <c r="N2861" s="11"/>
    </row>
    <row r="2862" spans="8:14" x14ac:dyDescent="0.25">
      <c r="H2862" s="37"/>
      <c r="I2862" s="79"/>
      <c r="J2862" s="70"/>
      <c r="K2862" s="57"/>
      <c r="L2862" s="11"/>
      <c r="M2862" s="41"/>
      <c r="N2862" s="11"/>
    </row>
    <row r="2863" spans="8:14" x14ac:dyDescent="0.25">
      <c r="H2863" s="37"/>
      <c r="I2863" s="79"/>
      <c r="J2863" s="70"/>
      <c r="K2863" s="57"/>
      <c r="L2863" s="11"/>
      <c r="M2863" s="41"/>
      <c r="N2863" s="11"/>
    </row>
    <row r="2864" spans="8:14" x14ac:dyDescent="0.25">
      <c r="H2864" s="37"/>
      <c r="I2864" s="79"/>
      <c r="J2864" s="70"/>
      <c r="K2864" s="57"/>
      <c r="L2864" s="11"/>
      <c r="M2864" s="41"/>
      <c r="N2864" s="11"/>
    </row>
    <row r="2865" spans="8:14" x14ac:dyDescent="0.25">
      <c r="H2865" s="37"/>
      <c r="I2865" s="79"/>
      <c r="J2865" s="70"/>
      <c r="K2865" s="57"/>
      <c r="L2865" s="11"/>
      <c r="M2865" s="41"/>
      <c r="N2865" s="11"/>
    </row>
    <row r="2866" spans="8:14" x14ac:dyDescent="0.25">
      <c r="H2866" s="37"/>
      <c r="I2866" s="79"/>
      <c r="J2866" s="70"/>
      <c r="K2866" s="57"/>
      <c r="L2866" s="11"/>
      <c r="M2866" s="41"/>
      <c r="N2866" s="11"/>
    </row>
    <row r="2867" spans="8:14" x14ac:dyDescent="0.25">
      <c r="H2867" s="37"/>
      <c r="I2867" s="79"/>
      <c r="J2867" s="70"/>
      <c r="K2867" s="57"/>
      <c r="L2867" s="11"/>
      <c r="M2867" s="41"/>
      <c r="N2867" s="11"/>
    </row>
    <row r="2868" spans="8:14" x14ac:dyDescent="0.25">
      <c r="H2868" s="37"/>
      <c r="I2868" s="79"/>
      <c r="J2868" s="70"/>
      <c r="K2868" s="57"/>
      <c r="L2868" s="11"/>
      <c r="M2868" s="41"/>
      <c r="N2868" s="11"/>
    </row>
    <row r="2869" spans="8:14" x14ac:dyDescent="0.25">
      <c r="H2869" s="37"/>
      <c r="I2869" s="79"/>
      <c r="J2869" s="70"/>
      <c r="K2869" s="57"/>
      <c r="L2869" s="11"/>
      <c r="M2869" s="41"/>
      <c r="N2869" s="11"/>
    </row>
    <row r="2870" spans="8:14" x14ac:dyDescent="0.25">
      <c r="H2870" s="37"/>
      <c r="I2870" s="79"/>
      <c r="J2870" s="70"/>
      <c r="K2870" s="57"/>
      <c r="L2870" s="11"/>
      <c r="M2870" s="41"/>
      <c r="N2870" s="11"/>
    </row>
    <row r="2871" spans="8:14" x14ac:dyDescent="0.25">
      <c r="H2871" s="37"/>
      <c r="I2871" s="79"/>
      <c r="J2871" s="70"/>
      <c r="K2871" s="57"/>
      <c r="L2871" s="11"/>
      <c r="M2871" s="41"/>
      <c r="N2871" s="11"/>
    </row>
    <row r="2872" spans="8:14" x14ac:dyDescent="0.25">
      <c r="H2872" s="37"/>
      <c r="I2872" s="79"/>
      <c r="J2872" s="70"/>
      <c r="K2872" s="57"/>
      <c r="L2872" s="11"/>
      <c r="M2872" s="41"/>
      <c r="N2872" s="11"/>
    </row>
    <row r="2873" spans="8:14" x14ac:dyDescent="0.25">
      <c r="H2873" s="37"/>
      <c r="I2873" s="79"/>
      <c r="J2873" s="70"/>
      <c r="K2873" s="57"/>
      <c r="L2873" s="11"/>
      <c r="M2873" s="41"/>
      <c r="N2873" s="11"/>
    </row>
    <row r="2874" spans="8:14" x14ac:dyDescent="0.25">
      <c r="H2874" s="37"/>
      <c r="I2874" s="79"/>
      <c r="J2874" s="70"/>
      <c r="K2874" s="57"/>
      <c r="L2874" s="11"/>
      <c r="M2874" s="41"/>
      <c r="N2874" s="11"/>
    </row>
    <row r="2875" spans="8:14" x14ac:dyDescent="0.25">
      <c r="H2875" s="37"/>
      <c r="I2875" s="79"/>
      <c r="J2875" s="70"/>
      <c r="K2875" s="57"/>
      <c r="L2875" s="11"/>
      <c r="M2875" s="41"/>
      <c r="N2875" s="11"/>
    </row>
    <row r="2876" spans="8:14" x14ac:dyDescent="0.25">
      <c r="H2876" s="37"/>
      <c r="I2876" s="79"/>
      <c r="J2876" s="70"/>
      <c r="K2876" s="57"/>
      <c r="L2876" s="11"/>
      <c r="M2876" s="41"/>
      <c r="N2876" s="11"/>
    </row>
    <row r="2877" spans="8:14" x14ac:dyDescent="0.25">
      <c r="H2877" s="37"/>
      <c r="I2877" s="79"/>
      <c r="J2877" s="70"/>
      <c r="K2877" s="57"/>
      <c r="L2877" s="11"/>
      <c r="M2877" s="41"/>
      <c r="N2877" s="11"/>
    </row>
    <row r="2878" spans="8:14" x14ac:dyDescent="0.25">
      <c r="H2878" s="37"/>
      <c r="I2878" s="79"/>
      <c r="J2878" s="70"/>
      <c r="K2878" s="57"/>
      <c r="L2878" s="11"/>
      <c r="M2878" s="41"/>
      <c r="N2878" s="11"/>
    </row>
    <row r="2879" spans="8:14" x14ac:dyDescent="0.25">
      <c r="H2879" s="37"/>
      <c r="I2879" s="79"/>
      <c r="J2879" s="70"/>
      <c r="K2879" s="57"/>
      <c r="L2879" s="11"/>
      <c r="M2879" s="41"/>
      <c r="N2879" s="11"/>
    </row>
    <row r="2880" spans="8:14" x14ac:dyDescent="0.25">
      <c r="H2880" s="37"/>
      <c r="I2880" s="79"/>
      <c r="J2880" s="70"/>
      <c r="K2880" s="57"/>
      <c r="L2880" s="11"/>
      <c r="M2880" s="41"/>
      <c r="N2880" s="11"/>
    </row>
    <row r="2881" spans="8:14" x14ac:dyDescent="0.25">
      <c r="H2881" s="37"/>
      <c r="I2881" s="79"/>
      <c r="J2881" s="70"/>
      <c r="K2881" s="57"/>
      <c r="L2881" s="11"/>
      <c r="M2881" s="41"/>
      <c r="N2881" s="11"/>
    </row>
    <row r="2882" spans="8:14" x14ac:dyDescent="0.25">
      <c r="H2882" s="37"/>
      <c r="I2882" s="79"/>
      <c r="J2882" s="70"/>
      <c r="K2882" s="57"/>
      <c r="L2882" s="11"/>
      <c r="M2882" s="41"/>
      <c r="N2882" s="11"/>
    </row>
    <row r="2883" spans="8:14" x14ac:dyDescent="0.25">
      <c r="H2883" s="37"/>
      <c r="I2883" s="79"/>
      <c r="J2883" s="70"/>
      <c r="K2883" s="57"/>
      <c r="L2883" s="11"/>
      <c r="M2883" s="41"/>
      <c r="N2883" s="11"/>
    </row>
    <row r="2884" spans="8:14" x14ac:dyDescent="0.25">
      <c r="H2884" s="37"/>
      <c r="I2884" s="79"/>
      <c r="J2884" s="70"/>
      <c r="K2884" s="57"/>
      <c r="L2884" s="11"/>
      <c r="M2884" s="41"/>
      <c r="N2884" s="11"/>
    </row>
    <row r="2885" spans="8:14" x14ac:dyDescent="0.25">
      <c r="H2885" s="37"/>
      <c r="I2885" s="79"/>
      <c r="J2885" s="70"/>
      <c r="K2885" s="57"/>
      <c r="L2885" s="11"/>
      <c r="M2885" s="41"/>
      <c r="N2885" s="11"/>
    </row>
    <row r="2886" spans="8:14" x14ac:dyDescent="0.25">
      <c r="H2886" s="37"/>
      <c r="I2886" s="79"/>
      <c r="J2886" s="70"/>
      <c r="K2886" s="57"/>
      <c r="L2886" s="11"/>
      <c r="M2886" s="41"/>
      <c r="N2886" s="11"/>
    </row>
    <row r="2887" spans="8:14" x14ac:dyDescent="0.25">
      <c r="H2887" s="37"/>
      <c r="I2887" s="79"/>
      <c r="J2887" s="70"/>
      <c r="K2887" s="57"/>
      <c r="L2887" s="11"/>
      <c r="M2887" s="41"/>
      <c r="N2887" s="11"/>
    </row>
    <row r="2888" spans="8:14" x14ac:dyDescent="0.25">
      <c r="H2888" s="37"/>
      <c r="I2888" s="79"/>
      <c r="J2888" s="70"/>
      <c r="K2888" s="57"/>
      <c r="L2888" s="11"/>
      <c r="M2888" s="41"/>
      <c r="N2888" s="11"/>
    </row>
    <row r="2889" spans="8:14" x14ac:dyDescent="0.25">
      <c r="H2889" s="37"/>
      <c r="I2889" s="79"/>
      <c r="J2889" s="70"/>
      <c r="K2889" s="57"/>
      <c r="L2889" s="11"/>
      <c r="M2889" s="41"/>
      <c r="N2889" s="11"/>
    </row>
    <row r="2890" spans="8:14" x14ac:dyDescent="0.25">
      <c r="H2890" s="37"/>
      <c r="I2890" s="79"/>
      <c r="J2890" s="70"/>
      <c r="K2890" s="57"/>
      <c r="L2890" s="11"/>
      <c r="M2890" s="41"/>
      <c r="N2890" s="11"/>
    </row>
    <row r="2891" spans="8:14" x14ac:dyDescent="0.25">
      <c r="H2891" s="37"/>
      <c r="I2891" s="79"/>
      <c r="J2891" s="70"/>
      <c r="K2891" s="57"/>
      <c r="L2891" s="11"/>
      <c r="M2891" s="41"/>
      <c r="N2891" s="11"/>
    </row>
    <row r="2892" spans="8:14" x14ac:dyDescent="0.25">
      <c r="H2892" s="37"/>
      <c r="I2892" s="79"/>
      <c r="J2892" s="70"/>
      <c r="K2892" s="57"/>
      <c r="L2892" s="11"/>
      <c r="M2892" s="41"/>
      <c r="N2892" s="11"/>
    </row>
    <row r="2893" spans="8:14" x14ac:dyDescent="0.25">
      <c r="H2893" s="37"/>
      <c r="I2893" s="79"/>
      <c r="J2893" s="70"/>
      <c r="K2893" s="57"/>
      <c r="L2893" s="11"/>
      <c r="M2893" s="41"/>
      <c r="N2893" s="11"/>
    </row>
    <row r="2894" spans="8:14" x14ac:dyDescent="0.25">
      <c r="H2894" s="37"/>
      <c r="I2894" s="79"/>
      <c r="J2894" s="70"/>
      <c r="K2894" s="57"/>
      <c r="L2894" s="11"/>
      <c r="M2894" s="41"/>
      <c r="N2894" s="11"/>
    </row>
    <row r="2895" spans="8:14" x14ac:dyDescent="0.25">
      <c r="H2895" s="37"/>
      <c r="I2895" s="79"/>
      <c r="J2895" s="70"/>
      <c r="K2895" s="57"/>
      <c r="L2895" s="11"/>
      <c r="M2895" s="41"/>
      <c r="N2895" s="11"/>
    </row>
    <row r="2896" spans="8:14" x14ac:dyDescent="0.25">
      <c r="H2896" s="37"/>
      <c r="I2896" s="79"/>
      <c r="J2896" s="70"/>
      <c r="K2896" s="57"/>
      <c r="L2896" s="11"/>
      <c r="M2896" s="41"/>
      <c r="N2896" s="11"/>
    </row>
    <row r="2897" spans="8:14" x14ac:dyDescent="0.25">
      <c r="H2897" s="37"/>
      <c r="I2897" s="79"/>
      <c r="J2897" s="70"/>
      <c r="K2897" s="57"/>
      <c r="L2897" s="11"/>
      <c r="M2897" s="41"/>
      <c r="N2897" s="11"/>
    </row>
    <row r="2898" spans="8:14" x14ac:dyDescent="0.25">
      <c r="H2898" s="37"/>
      <c r="I2898" s="79"/>
      <c r="J2898" s="70"/>
      <c r="K2898" s="57"/>
      <c r="L2898" s="11"/>
      <c r="M2898" s="41"/>
      <c r="N2898" s="11"/>
    </row>
    <row r="2899" spans="8:14" x14ac:dyDescent="0.25">
      <c r="H2899" s="37"/>
      <c r="I2899" s="79"/>
      <c r="J2899" s="70"/>
      <c r="K2899" s="57"/>
      <c r="L2899" s="11"/>
      <c r="M2899" s="41"/>
      <c r="N2899" s="11"/>
    </row>
    <row r="2900" spans="8:14" x14ac:dyDescent="0.25">
      <c r="H2900" s="37"/>
      <c r="I2900" s="79"/>
      <c r="J2900" s="70"/>
      <c r="K2900" s="57"/>
      <c r="L2900" s="11"/>
      <c r="M2900" s="41"/>
      <c r="N2900" s="11"/>
    </row>
    <row r="2901" spans="8:14" x14ac:dyDescent="0.25">
      <c r="H2901" s="37"/>
      <c r="I2901" s="79"/>
      <c r="J2901" s="70"/>
      <c r="K2901" s="57"/>
      <c r="L2901" s="11"/>
      <c r="M2901" s="41"/>
      <c r="N2901" s="11"/>
    </row>
    <row r="2902" spans="8:14" x14ac:dyDescent="0.25">
      <c r="H2902" s="37"/>
      <c r="I2902" s="79"/>
      <c r="J2902" s="70"/>
      <c r="K2902" s="57"/>
      <c r="L2902" s="11"/>
      <c r="M2902" s="41"/>
      <c r="N2902" s="11"/>
    </row>
    <row r="2903" spans="8:14" x14ac:dyDescent="0.25">
      <c r="H2903" s="37"/>
      <c r="I2903" s="79"/>
      <c r="J2903" s="70"/>
      <c r="K2903" s="57"/>
      <c r="L2903" s="11"/>
      <c r="M2903" s="41"/>
      <c r="N2903" s="11"/>
    </row>
    <row r="2904" spans="8:14" x14ac:dyDescent="0.25">
      <c r="H2904" s="37"/>
      <c r="I2904" s="79"/>
      <c r="J2904" s="70"/>
      <c r="K2904" s="57"/>
      <c r="L2904" s="11"/>
      <c r="M2904" s="41"/>
      <c r="N2904" s="11"/>
    </row>
    <row r="2905" spans="8:14" x14ac:dyDescent="0.25">
      <c r="H2905" s="37"/>
      <c r="I2905" s="79"/>
      <c r="J2905" s="70"/>
      <c r="K2905" s="57"/>
      <c r="L2905" s="11"/>
      <c r="M2905" s="41"/>
      <c r="N2905" s="11"/>
    </row>
    <row r="2906" spans="8:14" x14ac:dyDescent="0.25">
      <c r="H2906" s="37"/>
      <c r="I2906" s="79"/>
      <c r="J2906" s="70"/>
      <c r="K2906" s="57"/>
      <c r="L2906" s="11"/>
      <c r="M2906" s="41"/>
      <c r="N2906" s="11"/>
    </row>
    <row r="2907" spans="8:14" x14ac:dyDescent="0.25">
      <c r="H2907" s="37"/>
      <c r="I2907" s="79"/>
      <c r="J2907" s="70"/>
      <c r="K2907" s="57"/>
      <c r="L2907" s="11"/>
      <c r="M2907" s="41"/>
      <c r="N2907" s="11"/>
    </row>
    <row r="2908" spans="8:14" x14ac:dyDescent="0.25">
      <c r="H2908" s="37"/>
      <c r="I2908" s="79"/>
      <c r="J2908" s="70"/>
      <c r="K2908" s="57"/>
      <c r="L2908" s="11"/>
      <c r="M2908" s="41"/>
      <c r="N2908" s="11"/>
    </row>
    <row r="2909" spans="8:14" x14ac:dyDescent="0.25">
      <c r="H2909" s="37"/>
      <c r="I2909" s="79"/>
      <c r="J2909" s="70"/>
      <c r="K2909" s="57"/>
      <c r="L2909" s="11"/>
      <c r="M2909" s="41"/>
      <c r="N2909" s="11"/>
    </row>
    <row r="2910" spans="8:14" x14ac:dyDescent="0.25">
      <c r="H2910" s="37"/>
      <c r="I2910" s="79"/>
      <c r="J2910" s="70"/>
      <c r="K2910" s="57"/>
      <c r="L2910" s="11"/>
      <c r="M2910" s="41"/>
      <c r="N2910" s="11"/>
    </row>
    <row r="2911" spans="8:14" x14ac:dyDescent="0.25">
      <c r="H2911" s="37"/>
      <c r="I2911" s="79"/>
      <c r="J2911" s="70"/>
      <c r="K2911" s="57"/>
      <c r="L2911" s="11"/>
      <c r="M2911" s="41"/>
      <c r="N2911" s="11"/>
    </row>
    <row r="2912" spans="8:14" x14ac:dyDescent="0.25">
      <c r="H2912" s="37"/>
      <c r="I2912" s="79"/>
      <c r="J2912" s="70"/>
      <c r="K2912" s="57"/>
      <c r="L2912" s="11"/>
      <c r="M2912" s="41"/>
      <c r="N2912" s="11"/>
    </row>
    <row r="2913" spans="8:14" x14ac:dyDescent="0.25">
      <c r="H2913" s="37"/>
      <c r="I2913" s="79"/>
      <c r="J2913" s="70"/>
      <c r="K2913" s="57"/>
      <c r="L2913" s="11"/>
      <c r="M2913" s="41"/>
      <c r="N2913" s="11"/>
    </row>
    <row r="2914" spans="8:14" x14ac:dyDescent="0.25">
      <c r="H2914" s="37"/>
      <c r="I2914" s="79"/>
      <c r="J2914" s="70"/>
      <c r="K2914" s="57"/>
      <c r="L2914" s="11"/>
      <c r="M2914" s="41"/>
      <c r="N2914" s="11"/>
    </row>
    <row r="2915" spans="8:14" x14ac:dyDescent="0.25">
      <c r="H2915" s="37"/>
      <c r="I2915" s="79"/>
      <c r="J2915" s="70"/>
      <c r="K2915" s="57"/>
      <c r="L2915" s="11"/>
      <c r="M2915" s="41"/>
      <c r="N2915" s="11"/>
    </row>
    <row r="2916" spans="8:14" x14ac:dyDescent="0.25">
      <c r="H2916" s="37"/>
      <c r="I2916" s="79"/>
      <c r="J2916" s="70"/>
      <c r="K2916" s="57"/>
      <c r="L2916" s="11"/>
      <c r="M2916" s="41"/>
      <c r="N2916" s="11"/>
    </row>
    <row r="2917" spans="8:14" x14ac:dyDescent="0.25">
      <c r="H2917" s="37"/>
      <c r="I2917" s="79"/>
      <c r="J2917" s="70"/>
      <c r="K2917" s="57"/>
      <c r="L2917" s="11"/>
      <c r="M2917" s="41"/>
      <c r="N2917" s="11"/>
    </row>
    <row r="2918" spans="8:14" x14ac:dyDescent="0.25">
      <c r="H2918" s="37"/>
      <c r="I2918" s="79"/>
      <c r="J2918" s="70"/>
      <c r="K2918" s="57"/>
      <c r="L2918" s="11"/>
      <c r="M2918" s="41"/>
      <c r="N2918" s="11"/>
    </row>
    <row r="2919" spans="8:14" x14ac:dyDescent="0.25">
      <c r="H2919" s="37"/>
      <c r="I2919" s="79"/>
      <c r="J2919" s="70"/>
      <c r="K2919" s="57"/>
      <c r="L2919" s="11"/>
      <c r="M2919" s="41"/>
      <c r="N2919" s="11"/>
    </row>
    <row r="2920" spans="8:14" x14ac:dyDescent="0.25">
      <c r="H2920" s="37"/>
      <c r="I2920" s="79"/>
      <c r="J2920" s="70"/>
      <c r="K2920" s="57"/>
      <c r="L2920" s="11"/>
      <c r="M2920" s="41"/>
      <c r="N2920" s="11"/>
    </row>
    <row r="2921" spans="8:14" x14ac:dyDescent="0.25">
      <c r="H2921" s="37"/>
      <c r="I2921" s="79"/>
      <c r="J2921" s="70"/>
      <c r="K2921" s="57"/>
      <c r="L2921" s="11"/>
      <c r="M2921" s="41"/>
      <c r="N2921" s="11"/>
    </row>
    <row r="2922" spans="8:14" x14ac:dyDescent="0.25">
      <c r="H2922" s="37"/>
      <c r="I2922" s="79"/>
      <c r="J2922" s="70"/>
      <c r="K2922" s="57"/>
      <c r="L2922" s="11"/>
      <c r="M2922" s="41"/>
      <c r="N2922" s="11"/>
    </row>
    <row r="2923" spans="8:14" x14ac:dyDescent="0.25">
      <c r="H2923" s="37"/>
      <c r="I2923" s="79"/>
      <c r="J2923" s="70"/>
      <c r="K2923" s="57"/>
      <c r="L2923" s="11"/>
      <c r="M2923" s="41"/>
      <c r="N2923" s="11"/>
    </row>
    <row r="2924" spans="8:14" x14ac:dyDescent="0.25">
      <c r="H2924" s="37"/>
      <c r="I2924" s="79"/>
      <c r="J2924" s="70"/>
      <c r="K2924" s="57"/>
      <c r="L2924" s="11"/>
      <c r="M2924" s="41"/>
      <c r="N2924" s="11"/>
    </row>
    <row r="2925" spans="8:14" x14ac:dyDescent="0.25">
      <c r="H2925" s="37"/>
      <c r="I2925" s="79"/>
      <c r="J2925" s="70"/>
      <c r="K2925" s="57"/>
      <c r="L2925" s="11"/>
      <c r="M2925" s="41"/>
      <c r="N2925" s="11"/>
    </row>
    <row r="2926" spans="8:14" x14ac:dyDescent="0.25">
      <c r="H2926" s="37"/>
      <c r="I2926" s="79"/>
      <c r="J2926" s="70"/>
      <c r="K2926" s="57"/>
      <c r="L2926" s="11"/>
      <c r="M2926" s="41"/>
      <c r="N2926" s="11"/>
    </row>
    <row r="2927" spans="8:14" x14ac:dyDescent="0.25">
      <c r="H2927" s="37"/>
      <c r="I2927" s="79"/>
      <c r="J2927" s="70"/>
      <c r="K2927" s="57"/>
      <c r="L2927" s="11"/>
      <c r="M2927" s="41"/>
      <c r="N2927" s="11"/>
    </row>
    <row r="2928" spans="8:14" x14ac:dyDescent="0.25">
      <c r="H2928" s="37"/>
      <c r="I2928" s="79"/>
      <c r="J2928" s="70"/>
      <c r="K2928" s="57"/>
      <c r="L2928" s="11"/>
      <c r="M2928" s="41"/>
      <c r="N2928" s="11"/>
    </row>
    <row r="2929" spans="8:14" x14ac:dyDescent="0.25">
      <c r="H2929" s="37"/>
      <c r="I2929" s="79"/>
      <c r="J2929" s="70"/>
      <c r="K2929" s="57"/>
      <c r="L2929" s="11"/>
      <c r="M2929" s="41"/>
      <c r="N2929" s="11"/>
    </row>
    <row r="2930" spans="8:14" x14ac:dyDescent="0.25">
      <c r="H2930" s="37"/>
      <c r="I2930" s="79"/>
      <c r="J2930" s="70"/>
      <c r="K2930" s="57"/>
      <c r="L2930" s="11"/>
      <c r="M2930" s="41"/>
      <c r="N2930" s="11"/>
    </row>
    <row r="2931" spans="8:14" x14ac:dyDescent="0.25">
      <c r="H2931" s="37"/>
      <c r="I2931" s="79"/>
      <c r="J2931" s="70"/>
      <c r="K2931" s="57"/>
      <c r="L2931" s="11"/>
      <c r="M2931" s="41"/>
      <c r="N2931" s="11"/>
    </row>
    <row r="2932" spans="8:14" x14ac:dyDescent="0.25">
      <c r="H2932" s="37"/>
      <c r="I2932" s="79"/>
      <c r="J2932" s="70"/>
      <c r="K2932" s="57"/>
      <c r="L2932" s="11"/>
      <c r="M2932" s="41"/>
      <c r="N2932" s="11"/>
    </row>
    <row r="2933" spans="8:14" x14ac:dyDescent="0.25">
      <c r="H2933" s="37"/>
      <c r="I2933" s="79"/>
      <c r="J2933" s="70"/>
      <c r="K2933" s="57"/>
      <c r="L2933" s="11"/>
      <c r="M2933" s="41"/>
      <c r="N2933" s="11"/>
    </row>
    <row r="2934" spans="8:14" x14ac:dyDescent="0.25">
      <c r="H2934" s="37"/>
      <c r="I2934" s="79"/>
      <c r="J2934" s="70"/>
      <c r="K2934" s="57"/>
      <c r="L2934" s="11"/>
      <c r="M2934" s="41"/>
      <c r="N2934" s="11"/>
    </row>
    <row r="2935" spans="8:14" x14ac:dyDescent="0.25">
      <c r="H2935" s="37"/>
      <c r="I2935" s="79"/>
      <c r="J2935" s="70"/>
      <c r="K2935" s="57"/>
      <c r="L2935" s="11"/>
      <c r="M2935" s="41"/>
      <c r="N2935" s="11"/>
    </row>
    <row r="2936" spans="8:14" x14ac:dyDescent="0.25">
      <c r="H2936" s="37"/>
      <c r="I2936" s="79"/>
      <c r="J2936" s="70"/>
      <c r="K2936" s="57"/>
      <c r="L2936" s="11"/>
      <c r="M2936" s="41"/>
      <c r="N2936" s="11"/>
    </row>
    <row r="2937" spans="8:14" x14ac:dyDescent="0.25">
      <c r="H2937" s="37"/>
      <c r="I2937" s="79"/>
      <c r="J2937" s="70"/>
      <c r="K2937" s="57"/>
      <c r="L2937" s="11"/>
      <c r="M2937" s="41"/>
      <c r="N2937" s="11"/>
    </row>
    <row r="2938" spans="8:14" x14ac:dyDescent="0.25">
      <c r="H2938" s="37"/>
      <c r="I2938" s="79"/>
      <c r="J2938" s="70"/>
      <c r="K2938" s="57"/>
      <c r="L2938" s="11"/>
      <c r="M2938" s="41"/>
      <c r="N2938" s="11"/>
    </row>
    <row r="2939" spans="8:14" x14ac:dyDescent="0.25">
      <c r="H2939" s="37"/>
      <c r="I2939" s="79"/>
      <c r="J2939" s="70"/>
      <c r="K2939" s="57"/>
      <c r="L2939" s="11"/>
      <c r="M2939" s="41"/>
      <c r="N2939" s="11"/>
    </row>
    <row r="2940" spans="8:14" x14ac:dyDescent="0.25">
      <c r="H2940" s="37"/>
      <c r="I2940" s="79"/>
      <c r="J2940" s="70"/>
      <c r="K2940" s="57"/>
      <c r="L2940" s="11"/>
      <c r="M2940" s="41"/>
      <c r="N2940" s="11"/>
    </row>
    <row r="2941" spans="8:14" x14ac:dyDescent="0.25">
      <c r="H2941" s="37"/>
      <c r="I2941" s="79"/>
      <c r="J2941" s="70"/>
      <c r="K2941" s="57"/>
      <c r="L2941" s="11"/>
      <c r="M2941" s="41"/>
      <c r="N2941" s="11"/>
    </row>
    <row r="2942" spans="8:14" x14ac:dyDescent="0.25">
      <c r="H2942" s="37"/>
      <c r="I2942" s="79"/>
      <c r="J2942" s="70"/>
      <c r="K2942" s="57"/>
      <c r="L2942" s="11"/>
      <c r="M2942" s="41"/>
      <c r="N2942" s="11"/>
    </row>
    <row r="2943" spans="8:14" x14ac:dyDescent="0.25">
      <c r="H2943" s="37"/>
      <c r="I2943" s="79"/>
      <c r="J2943" s="70"/>
      <c r="K2943" s="57"/>
      <c r="L2943" s="11"/>
      <c r="M2943" s="41"/>
      <c r="N2943" s="11"/>
    </row>
    <row r="2944" spans="8:14" x14ac:dyDescent="0.25">
      <c r="H2944" s="37"/>
      <c r="I2944" s="79"/>
      <c r="J2944" s="70"/>
      <c r="K2944" s="57"/>
      <c r="L2944" s="11"/>
      <c r="M2944" s="41"/>
      <c r="N2944" s="11"/>
    </row>
    <row r="2945" spans="8:14" x14ac:dyDescent="0.25">
      <c r="H2945" s="37"/>
      <c r="I2945" s="79"/>
      <c r="J2945" s="70"/>
      <c r="K2945" s="57"/>
      <c r="L2945" s="11"/>
      <c r="M2945" s="41"/>
      <c r="N2945" s="11"/>
    </row>
    <row r="2946" spans="8:14" x14ac:dyDescent="0.25">
      <c r="H2946" s="37"/>
      <c r="I2946" s="79"/>
      <c r="J2946" s="70"/>
      <c r="K2946" s="57"/>
      <c r="L2946" s="11"/>
      <c r="M2946" s="41"/>
      <c r="N2946" s="11"/>
    </row>
    <row r="2947" spans="8:14" x14ac:dyDescent="0.25">
      <c r="H2947" s="37"/>
      <c r="I2947" s="79"/>
      <c r="J2947" s="70"/>
      <c r="K2947" s="57"/>
      <c r="L2947" s="11"/>
      <c r="M2947" s="41"/>
      <c r="N2947" s="11"/>
    </row>
    <row r="2948" spans="8:14" x14ac:dyDescent="0.25">
      <c r="H2948" s="37"/>
      <c r="I2948" s="79"/>
      <c r="J2948" s="70"/>
      <c r="K2948" s="57"/>
      <c r="L2948" s="11"/>
      <c r="M2948" s="41"/>
      <c r="N2948" s="11"/>
    </row>
    <row r="2949" spans="8:14" x14ac:dyDescent="0.25">
      <c r="H2949" s="37"/>
      <c r="I2949" s="79"/>
      <c r="J2949" s="70"/>
      <c r="K2949" s="57"/>
      <c r="L2949" s="11"/>
      <c r="M2949" s="41"/>
      <c r="N2949" s="11"/>
    </row>
    <row r="2950" spans="8:14" x14ac:dyDescent="0.25">
      <c r="H2950" s="37"/>
      <c r="I2950" s="79"/>
      <c r="J2950" s="70"/>
      <c r="K2950" s="57"/>
      <c r="L2950" s="11"/>
      <c r="M2950" s="41"/>
      <c r="N2950" s="11"/>
    </row>
    <row r="2951" spans="8:14" x14ac:dyDescent="0.25">
      <c r="H2951" s="37"/>
      <c r="I2951" s="79"/>
      <c r="J2951" s="70"/>
      <c r="K2951" s="57"/>
      <c r="L2951" s="11"/>
      <c r="M2951" s="41"/>
      <c r="N2951" s="11"/>
    </row>
    <row r="2952" spans="8:14" x14ac:dyDescent="0.25">
      <c r="H2952" s="37"/>
      <c r="I2952" s="79"/>
      <c r="J2952" s="70"/>
      <c r="K2952" s="57"/>
      <c r="L2952" s="11"/>
      <c r="M2952" s="41"/>
      <c r="N2952" s="11"/>
    </row>
    <row r="2953" spans="8:14" x14ac:dyDescent="0.25">
      <c r="H2953" s="37"/>
      <c r="I2953" s="79"/>
      <c r="J2953" s="70"/>
      <c r="K2953" s="57"/>
      <c r="L2953" s="11"/>
      <c r="M2953" s="41"/>
      <c r="N2953" s="11"/>
    </row>
    <row r="2954" spans="8:14" x14ac:dyDescent="0.25">
      <c r="H2954" s="37"/>
      <c r="I2954" s="79"/>
      <c r="J2954" s="70"/>
      <c r="K2954" s="57"/>
      <c r="L2954" s="11"/>
      <c r="M2954" s="41"/>
      <c r="N2954" s="11"/>
    </row>
    <row r="2955" spans="8:14" x14ac:dyDescent="0.25">
      <c r="H2955" s="37"/>
      <c r="I2955" s="79"/>
      <c r="J2955" s="70"/>
      <c r="K2955" s="57"/>
      <c r="L2955" s="11"/>
      <c r="M2955" s="41"/>
      <c r="N2955" s="11"/>
    </row>
    <row r="2956" spans="8:14" x14ac:dyDescent="0.25">
      <c r="H2956" s="37"/>
      <c r="I2956" s="79"/>
      <c r="J2956" s="70"/>
      <c r="K2956" s="57"/>
      <c r="L2956" s="11"/>
      <c r="M2956" s="41"/>
      <c r="N2956" s="11"/>
    </row>
    <row r="2957" spans="8:14" x14ac:dyDescent="0.25">
      <c r="H2957" s="37"/>
      <c r="I2957" s="79"/>
      <c r="J2957" s="70"/>
      <c r="K2957" s="57"/>
      <c r="L2957" s="11"/>
      <c r="M2957" s="41"/>
      <c r="N2957" s="11"/>
    </row>
    <row r="2958" spans="8:14" x14ac:dyDescent="0.25">
      <c r="H2958" s="37"/>
      <c r="I2958" s="79"/>
      <c r="J2958" s="70"/>
      <c r="K2958" s="57"/>
      <c r="L2958" s="11"/>
      <c r="M2958" s="41"/>
      <c r="N2958" s="11"/>
    </row>
    <row r="2959" spans="8:14" x14ac:dyDescent="0.25">
      <c r="H2959" s="37"/>
      <c r="I2959" s="79"/>
      <c r="J2959" s="70"/>
      <c r="K2959" s="57"/>
      <c r="L2959" s="11"/>
      <c r="M2959" s="41"/>
      <c r="N2959" s="11"/>
    </row>
    <row r="2960" spans="8:14" x14ac:dyDescent="0.25">
      <c r="H2960" s="37"/>
      <c r="I2960" s="79"/>
      <c r="J2960" s="70"/>
      <c r="K2960" s="57"/>
      <c r="L2960" s="11"/>
      <c r="M2960" s="41"/>
      <c r="N2960" s="11"/>
    </row>
    <row r="2961" spans="8:14" x14ac:dyDescent="0.25">
      <c r="H2961" s="37"/>
      <c r="I2961" s="79"/>
      <c r="J2961" s="70"/>
      <c r="K2961" s="57"/>
      <c r="L2961" s="11"/>
      <c r="M2961" s="41"/>
      <c r="N2961" s="11"/>
    </row>
    <row r="2962" spans="8:14" x14ac:dyDescent="0.25">
      <c r="H2962" s="37"/>
      <c r="I2962" s="79"/>
      <c r="J2962" s="70"/>
      <c r="K2962" s="57"/>
      <c r="L2962" s="11"/>
      <c r="M2962" s="41"/>
      <c r="N2962" s="11"/>
    </row>
    <row r="2963" spans="8:14" x14ac:dyDescent="0.25">
      <c r="H2963" s="37"/>
      <c r="I2963" s="79"/>
      <c r="J2963" s="70"/>
      <c r="K2963" s="57"/>
      <c r="L2963" s="11"/>
      <c r="M2963" s="41"/>
      <c r="N2963" s="11"/>
    </row>
    <row r="2964" spans="8:14" x14ac:dyDescent="0.25">
      <c r="H2964" s="37"/>
      <c r="I2964" s="79"/>
      <c r="J2964" s="70"/>
      <c r="K2964" s="57"/>
      <c r="L2964" s="11"/>
      <c r="M2964" s="41"/>
      <c r="N2964" s="11"/>
    </row>
    <row r="2965" spans="8:14" x14ac:dyDescent="0.25">
      <c r="H2965" s="37"/>
      <c r="I2965" s="79"/>
      <c r="J2965" s="70"/>
      <c r="K2965" s="57"/>
      <c r="L2965" s="11"/>
      <c r="M2965" s="41"/>
      <c r="N2965" s="11"/>
    </row>
    <row r="2966" spans="8:14" x14ac:dyDescent="0.25">
      <c r="H2966" s="37"/>
      <c r="I2966" s="79"/>
      <c r="J2966" s="70"/>
      <c r="K2966" s="57"/>
      <c r="L2966" s="11"/>
      <c r="M2966" s="41"/>
      <c r="N2966" s="11"/>
    </row>
    <row r="2967" spans="8:14" x14ac:dyDescent="0.25">
      <c r="H2967" s="37"/>
      <c r="I2967" s="79"/>
      <c r="J2967" s="70"/>
      <c r="K2967" s="57"/>
      <c r="L2967" s="11"/>
      <c r="M2967" s="41"/>
      <c r="N2967" s="11"/>
    </row>
    <row r="2968" spans="8:14" x14ac:dyDescent="0.25">
      <c r="H2968" s="37"/>
      <c r="I2968" s="79"/>
      <c r="J2968" s="70"/>
      <c r="K2968" s="57"/>
      <c r="L2968" s="11"/>
      <c r="M2968" s="41"/>
      <c r="N2968" s="11"/>
    </row>
    <row r="2969" spans="8:14" x14ac:dyDescent="0.25">
      <c r="H2969" s="37"/>
      <c r="I2969" s="79"/>
      <c r="J2969" s="70"/>
      <c r="K2969" s="57"/>
      <c r="L2969" s="11"/>
      <c r="M2969" s="41"/>
      <c r="N2969" s="11"/>
    </row>
    <row r="2970" spans="8:14" x14ac:dyDescent="0.25">
      <c r="H2970" s="37"/>
      <c r="I2970" s="79"/>
      <c r="J2970" s="70"/>
      <c r="K2970" s="57"/>
      <c r="L2970" s="11"/>
      <c r="M2970" s="41"/>
      <c r="N2970" s="11"/>
    </row>
    <row r="2971" spans="8:14" x14ac:dyDescent="0.25">
      <c r="H2971" s="37"/>
      <c r="I2971" s="79"/>
      <c r="J2971" s="70"/>
      <c r="K2971" s="57"/>
      <c r="L2971" s="11"/>
      <c r="M2971" s="41"/>
      <c r="N2971" s="11"/>
    </row>
    <row r="2972" spans="8:14" x14ac:dyDescent="0.25">
      <c r="H2972" s="37"/>
      <c r="I2972" s="79"/>
      <c r="J2972" s="70"/>
      <c r="K2972" s="57"/>
      <c r="L2972" s="11"/>
      <c r="M2972" s="41"/>
      <c r="N2972" s="11"/>
    </row>
    <row r="2973" spans="8:14" x14ac:dyDescent="0.25">
      <c r="H2973" s="37"/>
      <c r="I2973" s="79"/>
      <c r="J2973" s="70"/>
      <c r="K2973" s="57"/>
      <c r="L2973" s="11"/>
      <c r="M2973" s="41"/>
      <c r="N2973" s="11"/>
    </row>
    <row r="2974" spans="8:14" x14ac:dyDescent="0.25">
      <c r="H2974" s="37"/>
      <c r="I2974" s="79"/>
      <c r="J2974" s="70"/>
      <c r="K2974" s="57"/>
      <c r="L2974" s="11"/>
      <c r="M2974" s="41"/>
      <c r="N2974" s="11"/>
    </row>
    <row r="2975" spans="8:14" x14ac:dyDescent="0.25">
      <c r="H2975" s="37"/>
      <c r="I2975" s="79"/>
      <c r="J2975" s="70"/>
      <c r="K2975" s="57"/>
      <c r="L2975" s="11"/>
      <c r="M2975" s="41"/>
      <c r="N2975" s="11"/>
    </row>
    <row r="2976" spans="8:14" x14ac:dyDescent="0.25">
      <c r="H2976" s="37"/>
      <c r="I2976" s="79"/>
      <c r="J2976" s="70"/>
      <c r="K2976" s="57"/>
      <c r="L2976" s="11"/>
      <c r="M2976" s="41"/>
      <c r="N2976" s="11"/>
    </row>
    <row r="2977" spans="8:14" x14ac:dyDescent="0.25">
      <c r="H2977" s="37"/>
      <c r="I2977" s="79"/>
      <c r="J2977" s="70"/>
      <c r="K2977" s="57"/>
      <c r="L2977" s="11"/>
      <c r="M2977" s="41"/>
      <c r="N2977" s="11"/>
    </row>
    <row r="2978" spans="8:14" x14ac:dyDescent="0.25">
      <c r="H2978" s="37"/>
      <c r="I2978" s="79"/>
      <c r="J2978" s="70"/>
      <c r="K2978" s="57"/>
      <c r="L2978" s="11"/>
      <c r="M2978" s="41"/>
      <c r="N2978" s="11"/>
    </row>
    <row r="2979" spans="8:14" x14ac:dyDescent="0.25">
      <c r="H2979" s="37"/>
      <c r="I2979" s="79"/>
      <c r="J2979" s="70"/>
      <c r="K2979" s="57"/>
      <c r="L2979" s="11"/>
      <c r="M2979" s="41"/>
      <c r="N2979" s="11"/>
    </row>
    <row r="2980" spans="8:14" x14ac:dyDescent="0.25">
      <c r="H2980" s="37"/>
      <c r="I2980" s="79"/>
      <c r="J2980" s="70"/>
      <c r="K2980" s="57"/>
      <c r="L2980" s="11"/>
      <c r="M2980" s="41"/>
      <c r="N2980" s="11"/>
    </row>
    <row r="2981" spans="8:14" x14ac:dyDescent="0.25">
      <c r="H2981" s="37"/>
      <c r="I2981" s="79"/>
      <c r="J2981" s="70"/>
      <c r="K2981" s="57"/>
      <c r="L2981" s="11"/>
      <c r="M2981" s="41"/>
      <c r="N2981" s="11"/>
    </row>
    <row r="2982" spans="8:14" x14ac:dyDescent="0.25">
      <c r="H2982" s="37"/>
      <c r="I2982" s="79"/>
      <c r="J2982" s="70"/>
      <c r="K2982" s="57"/>
      <c r="L2982" s="11"/>
      <c r="M2982" s="41"/>
      <c r="N2982" s="11"/>
    </row>
    <row r="2983" spans="8:14" x14ac:dyDescent="0.25">
      <c r="H2983" s="37"/>
      <c r="I2983" s="79"/>
      <c r="J2983" s="70"/>
      <c r="K2983" s="57"/>
      <c r="L2983" s="11"/>
      <c r="M2983" s="41"/>
      <c r="N2983" s="11"/>
    </row>
    <row r="2984" spans="8:14" x14ac:dyDescent="0.25">
      <c r="H2984" s="37"/>
      <c r="I2984" s="79"/>
      <c r="J2984" s="70"/>
      <c r="K2984" s="57"/>
      <c r="L2984" s="11"/>
      <c r="M2984" s="41"/>
      <c r="N2984" s="11"/>
    </row>
    <row r="2985" spans="8:14" x14ac:dyDescent="0.25">
      <c r="H2985" s="37"/>
      <c r="I2985" s="79"/>
      <c r="J2985" s="70"/>
      <c r="K2985" s="57"/>
      <c r="L2985" s="11"/>
      <c r="M2985" s="41"/>
      <c r="N2985" s="11"/>
    </row>
    <row r="2986" spans="8:14" x14ac:dyDescent="0.25">
      <c r="H2986" s="37"/>
      <c r="I2986" s="79"/>
      <c r="J2986" s="70"/>
      <c r="K2986" s="57"/>
      <c r="L2986" s="11"/>
      <c r="M2986" s="41"/>
      <c r="N2986" s="11"/>
    </row>
    <row r="2987" spans="8:14" x14ac:dyDescent="0.25">
      <c r="H2987" s="37"/>
      <c r="I2987" s="79"/>
      <c r="J2987" s="70"/>
      <c r="K2987" s="57"/>
      <c r="L2987" s="11"/>
      <c r="M2987" s="41"/>
      <c r="N2987" s="11"/>
    </row>
    <row r="2988" spans="8:14" x14ac:dyDescent="0.25">
      <c r="H2988" s="37"/>
      <c r="I2988" s="79"/>
      <c r="J2988" s="70"/>
      <c r="K2988" s="57"/>
      <c r="L2988" s="11"/>
      <c r="M2988" s="41"/>
      <c r="N2988" s="11"/>
    </row>
    <row r="2989" spans="8:14" x14ac:dyDescent="0.25">
      <c r="H2989" s="37"/>
      <c r="I2989" s="79"/>
      <c r="J2989" s="70"/>
      <c r="K2989" s="57"/>
      <c r="L2989" s="11"/>
      <c r="M2989" s="41"/>
      <c r="N2989" s="11"/>
    </row>
    <row r="2990" spans="8:14" x14ac:dyDescent="0.25">
      <c r="H2990" s="37"/>
      <c r="I2990" s="79"/>
      <c r="J2990" s="70"/>
      <c r="K2990" s="57"/>
      <c r="L2990" s="11"/>
      <c r="M2990" s="41"/>
      <c r="N2990" s="11"/>
    </row>
    <row r="2991" spans="8:14" x14ac:dyDescent="0.25">
      <c r="H2991" s="37"/>
      <c r="I2991" s="79"/>
      <c r="J2991" s="70"/>
      <c r="K2991" s="57"/>
      <c r="L2991" s="11"/>
      <c r="M2991" s="41"/>
      <c r="N2991" s="11"/>
    </row>
    <row r="2992" spans="8:14" x14ac:dyDescent="0.25">
      <c r="H2992" s="37"/>
      <c r="I2992" s="79"/>
      <c r="J2992" s="70"/>
      <c r="K2992" s="57"/>
      <c r="L2992" s="11"/>
      <c r="M2992" s="41"/>
      <c r="N2992" s="11"/>
    </row>
    <row r="2993" spans="8:14" x14ac:dyDescent="0.25">
      <c r="H2993" s="37"/>
      <c r="I2993" s="79"/>
      <c r="J2993" s="70"/>
      <c r="K2993" s="57"/>
      <c r="L2993" s="11"/>
      <c r="M2993" s="41"/>
      <c r="N2993" s="11"/>
    </row>
    <row r="2994" spans="8:14" x14ac:dyDescent="0.25">
      <c r="H2994" s="37"/>
      <c r="I2994" s="79"/>
      <c r="J2994" s="70"/>
      <c r="K2994" s="57"/>
      <c r="L2994" s="11"/>
      <c r="M2994" s="41"/>
      <c r="N2994" s="11"/>
    </row>
    <row r="2995" spans="8:14" x14ac:dyDescent="0.25">
      <c r="H2995" s="37"/>
      <c r="I2995" s="79"/>
      <c r="J2995" s="70"/>
      <c r="K2995" s="57"/>
      <c r="L2995" s="11"/>
      <c r="M2995" s="41"/>
      <c r="N2995" s="11"/>
    </row>
    <row r="2996" spans="8:14" x14ac:dyDescent="0.25">
      <c r="H2996" s="37"/>
      <c r="I2996" s="79"/>
      <c r="J2996" s="70"/>
      <c r="K2996" s="57"/>
      <c r="L2996" s="11"/>
      <c r="M2996" s="41"/>
      <c r="N2996" s="11"/>
    </row>
    <row r="2997" spans="8:14" x14ac:dyDescent="0.25">
      <c r="H2997" s="37"/>
      <c r="I2997" s="79"/>
      <c r="J2997" s="70"/>
      <c r="K2997" s="57"/>
      <c r="L2997" s="11"/>
      <c r="M2997" s="41"/>
      <c r="N2997" s="11"/>
    </row>
    <row r="2998" spans="8:14" x14ac:dyDescent="0.25">
      <c r="H2998" s="37"/>
      <c r="I2998" s="79"/>
      <c r="J2998" s="70"/>
      <c r="K2998" s="57"/>
      <c r="L2998" s="11"/>
      <c r="M2998" s="41"/>
      <c r="N2998" s="11"/>
    </row>
    <row r="2999" spans="8:14" x14ac:dyDescent="0.25">
      <c r="H2999" s="37"/>
      <c r="I2999" s="79"/>
      <c r="J2999" s="70"/>
      <c r="K2999" s="57"/>
      <c r="L2999" s="11"/>
      <c r="M2999" s="41"/>
      <c r="N2999" s="11"/>
    </row>
    <row r="3000" spans="8:14" x14ac:dyDescent="0.25">
      <c r="H3000" s="37"/>
      <c r="I3000" s="79"/>
      <c r="J3000" s="70"/>
      <c r="K3000" s="57"/>
      <c r="L3000" s="11"/>
      <c r="M3000" s="41"/>
      <c r="N3000" s="11"/>
    </row>
    <row r="3001" spans="8:14" x14ac:dyDescent="0.25">
      <c r="H3001" s="37"/>
      <c r="I3001" s="79"/>
      <c r="J3001" s="70"/>
      <c r="K3001" s="57"/>
      <c r="L3001" s="11"/>
      <c r="M3001" s="41"/>
      <c r="N3001" s="11"/>
    </row>
    <row r="3002" spans="8:14" x14ac:dyDescent="0.25">
      <c r="H3002" s="37"/>
      <c r="I3002" s="79"/>
      <c r="J3002" s="70"/>
      <c r="K3002" s="57"/>
      <c r="L3002" s="11"/>
      <c r="M3002" s="41"/>
      <c r="N3002" s="11"/>
    </row>
    <row r="3003" spans="8:14" x14ac:dyDescent="0.25">
      <c r="H3003" s="37"/>
      <c r="I3003" s="79"/>
      <c r="J3003" s="70"/>
      <c r="K3003" s="57"/>
      <c r="L3003" s="11"/>
      <c r="M3003" s="41"/>
      <c r="N3003" s="11"/>
    </row>
    <row r="3004" spans="8:14" x14ac:dyDescent="0.25">
      <c r="H3004" s="37"/>
      <c r="I3004" s="79"/>
      <c r="J3004" s="70"/>
      <c r="K3004" s="57"/>
      <c r="L3004" s="11"/>
      <c r="M3004" s="41"/>
      <c r="N3004" s="11"/>
    </row>
    <row r="3005" spans="8:14" x14ac:dyDescent="0.25">
      <c r="H3005" s="37"/>
      <c r="I3005" s="79"/>
      <c r="J3005" s="70"/>
      <c r="K3005" s="57"/>
      <c r="L3005" s="11"/>
      <c r="M3005" s="41"/>
      <c r="N3005" s="11"/>
    </row>
    <row r="3006" spans="8:14" x14ac:dyDescent="0.25">
      <c r="H3006" s="37"/>
      <c r="I3006" s="79"/>
      <c r="J3006" s="70"/>
      <c r="K3006" s="57"/>
      <c r="L3006" s="11"/>
      <c r="M3006" s="41"/>
      <c r="N3006" s="11"/>
    </row>
    <row r="3007" spans="8:14" x14ac:dyDescent="0.25">
      <c r="H3007" s="37"/>
      <c r="I3007" s="79"/>
      <c r="J3007" s="70"/>
      <c r="K3007" s="57"/>
      <c r="L3007" s="11"/>
      <c r="M3007" s="41"/>
      <c r="N3007" s="11"/>
    </row>
    <row r="3008" spans="8:14" x14ac:dyDescent="0.25">
      <c r="H3008" s="37"/>
      <c r="I3008" s="79"/>
      <c r="J3008" s="70"/>
      <c r="K3008" s="57"/>
      <c r="L3008" s="11"/>
      <c r="M3008" s="41"/>
      <c r="N3008" s="11"/>
    </row>
    <row r="3009" spans="8:14" x14ac:dyDescent="0.25">
      <c r="H3009" s="37"/>
      <c r="I3009" s="79"/>
      <c r="J3009" s="70"/>
      <c r="K3009" s="57"/>
      <c r="L3009" s="11"/>
      <c r="M3009" s="41"/>
      <c r="N3009" s="11"/>
    </row>
    <row r="3010" spans="8:14" x14ac:dyDescent="0.25">
      <c r="H3010" s="37"/>
      <c r="I3010" s="79"/>
      <c r="J3010" s="70"/>
      <c r="K3010" s="57"/>
      <c r="L3010" s="11"/>
      <c r="M3010" s="41"/>
      <c r="N3010" s="11"/>
    </row>
    <row r="3011" spans="8:14" x14ac:dyDescent="0.25">
      <c r="H3011" s="37"/>
      <c r="I3011" s="79"/>
      <c r="J3011" s="70"/>
      <c r="K3011" s="57"/>
      <c r="L3011" s="11"/>
      <c r="M3011" s="41"/>
      <c r="N3011" s="11"/>
    </row>
    <row r="3012" spans="8:14" x14ac:dyDescent="0.25">
      <c r="H3012" s="37"/>
      <c r="I3012" s="79"/>
      <c r="J3012" s="70"/>
      <c r="K3012" s="57"/>
      <c r="L3012" s="11"/>
      <c r="M3012" s="41"/>
      <c r="N3012" s="11"/>
    </row>
    <row r="3013" spans="8:14" x14ac:dyDescent="0.25">
      <c r="H3013" s="37"/>
      <c r="I3013" s="79"/>
      <c r="J3013" s="70"/>
      <c r="K3013" s="57"/>
      <c r="L3013" s="11"/>
      <c r="M3013" s="41"/>
      <c r="N3013" s="11"/>
    </row>
    <row r="3014" spans="8:14" x14ac:dyDescent="0.25">
      <c r="H3014" s="37"/>
      <c r="I3014" s="79"/>
      <c r="J3014" s="70"/>
      <c r="K3014" s="57"/>
      <c r="L3014" s="11"/>
      <c r="M3014" s="41"/>
      <c r="N3014" s="11"/>
    </row>
    <row r="3015" spans="8:14" x14ac:dyDescent="0.25">
      <c r="H3015" s="37"/>
      <c r="I3015" s="79"/>
      <c r="J3015" s="70"/>
      <c r="K3015" s="57"/>
      <c r="L3015" s="11"/>
      <c r="M3015" s="41"/>
      <c r="N3015" s="11"/>
    </row>
    <row r="3016" spans="8:14" x14ac:dyDescent="0.25">
      <c r="H3016" s="37"/>
      <c r="I3016" s="79"/>
      <c r="J3016" s="70"/>
      <c r="K3016" s="57"/>
      <c r="L3016" s="11"/>
      <c r="M3016" s="41"/>
      <c r="N3016" s="11"/>
    </row>
    <row r="3017" spans="8:14" x14ac:dyDescent="0.25">
      <c r="H3017" s="37"/>
      <c r="I3017" s="79"/>
      <c r="J3017" s="70"/>
      <c r="K3017" s="57"/>
      <c r="L3017" s="11"/>
      <c r="M3017" s="41"/>
      <c r="N3017" s="11"/>
    </row>
    <row r="3018" spans="8:14" x14ac:dyDescent="0.25">
      <c r="H3018" s="37"/>
      <c r="I3018" s="79"/>
      <c r="J3018" s="70"/>
      <c r="K3018" s="57"/>
      <c r="L3018" s="11"/>
      <c r="M3018" s="41"/>
      <c r="N3018" s="11"/>
    </row>
    <row r="3019" spans="8:14" x14ac:dyDescent="0.25">
      <c r="H3019" s="37"/>
      <c r="I3019" s="79"/>
      <c r="J3019" s="70"/>
      <c r="K3019" s="57"/>
      <c r="L3019" s="11"/>
      <c r="M3019" s="41"/>
      <c r="N3019" s="11"/>
    </row>
    <row r="3020" spans="8:14" x14ac:dyDescent="0.25">
      <c r="H3020" s="37"/>
      <c r="I3020" s="79"/>
      <c r="J3020" s="70"/>
      <c r="K3020" s="57"/>
      <c r="L3020" s="11"/>
      <c r="M3020" s="41"/>
      <c r="N3020" s="11"/>
    </row>
    <row r="3021" spans="8:14" x14ac:dyDescent="0.25">
      <c r="H3021" s="37"/>
      <c r="I3021" s="79"/>
      <c r="J3021" s="70"/>
      <c r="K3021" s="57"/>
      <c r="L3021" s="11"/>
      <c r="M3021" s="41"/>
      <c r="N3021" s="11"/>
    </row>
    <row r="3022" spans="8:14" x14ac:dyDescent="0.25">
      <c r="H3022" s="37"/>
      <c r="I3022" s="79"/>
      <c r="J3022" s="70"/>
      <c r="K3022" s="57"/>
      <c r="L3022" s="11"/>
      <c r="M3022" s="41"/>
      <c r="N3022" s="11"/>
    </row>
    <row r="3023" spans="8:14" x14ac:dyDescent="0.25">
      <c r="H3023" s="37"/>
      <c r="I3023" s="79"/>
      <c r="J3023" s="70"/>
      <c r="K3023" s="57"/>
      <c r="L3023" s="11"/>
      <c r="M3023" s="41"/>
      <c r="N3023" s="11"/>
    </row>
    <row r="3024" spans="8:14" x14ac:dyDescent="0.25">
      <c r="H3024" s="37"/>
      <c r="I3024" s="79"/>
      <c r="J3024" s="70"/>
      <c r="K3024" s="57"/>
      <c r="L3024" s="11"/>
      <c r="M3024" s="41"/>
      <c r="N3024" s="11"/>
    </row>
    <row r="3025" spans="8:14" x14ac:dyDescent="0.25">
      <c r="H3025" s="37"/>
      <c r="I3025" s="79"/>
      <c r="J3025" s="70"/>
      <c r="K3025" s="57"/>
      <c r="L3025" s="11"/>
      <c r="M3025" s="41"/>
      <c r="N3025" s="11"/>
    </row>
    <row r="3026" spans="8:14" x14ac:dyDescent="0.25">
      <c r="H3026" s="37"/>
      <c r="I3026" s="79"/>
      <c r="J3026" s="70"/>
      <c r="K3026" s="57"/>
      <c r="L3026" s="11"/>
      <c r="M3026" s="41"/>
      <c r="N3026" s="11"/>
    </row>
    <row r="3027" spans="8:14" x14ac:dyDescent="0.25">
      <c r="H3027" s="37"/>
      <c r="I3027" s="79"/>
      <c r="J3027" s="70"/>
      <c r="K3027" s="57"/>
      <c r="L3027" s="11"/>
      <c r="M3027" s="41"/>
      <c r="N3027" s="11"/>
    </row>
    <row r="3028" spans="8:14" x14ac:dyDescent="0.25">
      <c r="H3028" s="37"/>
      <c r="I3028" s="79"/>
      <c r="J3028" s="70"/>
      <c r="K3028" s="57"/>
      <c r="L3028" s="11"/>
      <c r="M3028" s="41"/>
      <c r="N3028" s="11"/>
    </row>
    <row r="3029" spans="8:14" x14ac:dyDescent="0.25">
      <c r="H3029" s="37"/>
      <c r="I3029" s="79"/>
      <c r="J3029" s="70"/>
      <c r="K3029" s="57"/>
      <c r="L3029" s="11"/>
      <c r="M3029" s="41"/>
      <c r="N3029" s="11"/>
    </row>
    <row r="3030" spans="8:14" x14ac:dyDescent="0.25">
      <c r="H3030" s="37"/>
      <c r="I3030" s="79"/>
      <c r="J3030" s="70"/>
      <c r="K3030" s="57"/>
      <c r="L3030" s="11"/>
      <c r="M3030" s="41"/>
      <c r="N3030" s="11"/>
    </row>
    <row r="3031" spans="8:14" x14ac:dyDescent="0.25">
      <c r="H3031" s="37"/>
      <c r="I3031" s="79"/>
      <c r="J3031" s="70"/>
      <c r="K3031" s="57"/>
      <c r="L3031" s="11"/>
      <c r="M3031" s="41"/>
      <c r="N3031" s="11"/>
    </row>
    <row r="3032" spans="8:14" x14ac:dyDescent="0.25">
      <c r="H3032" s="37"/>
      <c r="I3032" s="79"/>
      <c r="J3032" s="70"/>
      <c r="K3032" s="57"/>
      <c r="L3032" s="11"/>
      <c r="M3032" s="41"/>
      <c r="N3032" s="11"/>
    </row>
    <row r="3033" spans="8:14" x14ac:dyDescent="0.25">
      <c r="H3033" s="37"/>
      <c r="I3033" s="79"/>
      <c r="J3033" s="70"/>
      <c r="K3033" s="57"/>
      <c r="L3033" s="11"/>
      <c r="M3033" s="41"/>
      <c r="N3033" s="11"/>
    </row>
    <row r="3034" spans="8:14" x14ac:dyDescent="0.25">
      <c r="H3034" s="37"/>
      <c r="I3034" s="79"/>
      <c r="J3034" s="70"/>
      <c r="K3034" s="57"/>
      <c r="L3034" s="11"/>
      <c r="M3034" s="41"/>
      <c r="N3034" s="11"/>
    </row>
    <row r="3035" spans="8:14" x14ac:dyDescent="0.25">
      <c r="H3035" s="37"/>
      <c r="I3035" s="79"/>
      <c r="J3035" s="70"/>
      <c r="K3035" s="57"/>
      <c r="L3035" s="11"/>
      <c r="M3035" s="41"/>
      <c r="N3035" s="11"/>
    </row>
    <row r="3036" spans="8:14" x14ac:dyDescent="0.25">
      <c r="H3036" s="37"/>
      <c r="I3036" s="79"/>
      <c r="J3036" s="70"/>
      <c r="K3036" s="57"/>
      <c r="L3036" s="11"/>
      <c r="M3036" s="41"/>
      <c r="N3036" s="11"/>
    </row>
    <row r="3037" spans="8:14" x14ac:dyDescent="0.25">
      <c r="H3037" s="37"/>
      <c r="I3037" s="79"/>
      <c r="J3037" s="70"/>
      <c r="K3037" s="57"/>
      <c r="L3037" s="11"/>
      <c r="M3037" s="41"/>
      <c r="N3037" s="11"/>
    </row>
    <row r="3038" spans="8:14" x14ac:dyDescent="0.25">
      <c r="H3038" s="37"/>
      <c r="I3038" s="79"/>
      <c r="J3038" s="70"/>
      <c r="K3038" s="57"/>
      <c r="L3038" s="11"/>
      <c r="M3038" s="41"/>
      <c r="N3038" s="11"/>
    </row>
    <row r="3039" spans="8:14" x14ac:dyDescent="0.25">
      <c r="H3039" s="37"/>
      <c r="I3039" s="79"/>
      <c r="J3039" s="70"/>
      <c r="K3039" s="57"/>
      <c r="L3039" s="11"/>
      <c r="M3039" s="41"/>
      <c r="N3039" s="11"/>
    </row>
    <row r="3040" spans="8:14" x14ac:dyDescent="0.25">
      <c r="H3040" s="37"/>
      <c r="I3040" s="79"/>
      <c r="J3040" s="70"/>
      <c r="K3040" s="57"/>
      <c r="L3040" s="11"/>
      <c r="M3040" s="41"/>
      <c r="N3040" s="11"/>
    </row>
    <row r="3041" spans="8:14" x14ac:dyDescent="0.25">
      <c r="H3041" s="37"/>
      <c r="I3041" s="79"/>
      <c r="J3041" s="70"/>
      <c r="K3041" s="57"/>
      <c r="L3041" s="11"/>
      <c r="M3041" s="41"/>
      <c r="N3041" s="11"/>
    </row>
    <row r="3042" spans="8:14" x14ac:dyDescent="0.25">
      <c r="H3042" s="37"/>
      <c r="I3042" s="79"/>
      <c r="J3042" s="70"/>
      <c r="K3042" s="57"/>
      <c r="L3042" s="11"/>
      <c r="M3042" s="41"/>
      <c r="N3042" s="11"/>
    </row>
    <row r="3043" spans="8:14" x14ac:dyDescent="0.25">
      <c r="H3043" s="37"/>
      <c r="I3043" s="79"/>
      <c r="J3043" s="70"/>
      <c r="K3043" s="57"/>
      <c r="L3043" s="11"/>
      <c r="M3043" s="41"/>
      <c r="N3043" s="11"/>
    </row>
    <row r="3044" spans="8:14" x14ac:dyDescent="0.25">
      <c r="H3044" s="37"/>
      <c r="I3044" s="79"/>
      <c r="J3044" s="70"/>
      <c r="K3044" s="57"/>
      <c r="L3044" s="11"/>
      <c r="M3044" s="41"/>
      <c r="N3044" s="11"/>
    </row>
    <row r="3045" spans="8:14" x14ac:dyDescent="0.25">
      <c r="H3045" s="37"/>
      <c r="I3045" s="79"/>
      <c r="J3045" s="70"/>
      <c r="K3045" s="57"/>
      <c r="L3045" s="11"/>
      <c r="M3045" s="41"/>
      <c r="N3045" s="11"/>
    </row>
    <row r="3046" spans="8:14" x14ac:dyDescent="0.25">
      <c r="H3046" s="37"/>
      <c r="I3046" s="79"/>
      <c r="J3046" s="70"/>
      <c r="K3046" s="57"/>
      <c r="L3046" s="11"/>
      <c r="M3046" s="41"/>
      <c r="N3046" s="11"/>
    </row>
    <row r="3047" spans="8:14" x14ac:dyDescent="0.25">
      <c r="H3047" s="37"/>
      <c r="I3047" s="79"/>
      <c r="J3047" s="70"/>
      <c r="K3047" s="57"/>
      <c r="L3047" s="11"/>
      <c r="M3047" s="41"/>
      <c r="N3047" s="11"/>
    </row>
    <row r="3048" spans="8:14" x14ac:dyDescent="0.25">
      <c r="H3048" s="37"/>
      <c r="I3048" s="79"/>
      <c r="J3048" s="70"/>
      <c r="K3048" s="57"/>
      <c r="L3048" s="11"/>
      <c r="M3048" s="41"/>
      <c r="N3048" s="11"/>
    </row>
    <row r="3049" spans="8:14" x14ac:dyDescent="0.25">
      <c r="H3049" s="37"/>
      <c r="I3049" s="79"/>
      <c r="J3049" s="70"/>
      <c r="K3049" s="57"/>
      <c r="L3049" s="11"/>
      <c r="M3049" s="41"/>
      <c r="N3049" s="11"/>
    </row>
    <row r="3050" spans="8:14" x14ac:dyDescent="0.25">
      <c r="H3050" s="37"/>
      <c r="I3050" s="79"/>
      <c r="J3050" s="70"/>
      <c r="K3050" s="57"/>
      <c r="L3050" s="11"/>
      <c r="M3050" s="41"/>
      <c r="N3050" s="11"/>
    </row>
    <row r="3051" spans="8:14" x14ac:dyDescent="0.25">
      <c r="H3051" s="37"/>
      <c r="I3051" s="79"/>
      <c r="J3051" s="70"/>
      <c r="K3051" s="57"/>
      <c r="L3051" s="11"/>
      <c r="M3051" s="41"/>
      <c r="N3051" s="11"/>
    </row>
    <row r="3052" spans="8:14" x14ac:dyDescent="0.25">
      <c r="H3052" s="37"/>
      <c r="I3052" s="79"/>
      <c r="J3052" s="70"/>
      <c r="K3052" s="57"/>
      <c r="L3052" s="11"/>
      <c r="M3052" s="41"/>
      <c r="N3052" s="11"/>
    </row>
    <row r="3053" spans="8:14" x14ac:dyDescent="0.25">
      <c r="H3053" s="37"/>
      <c r="I3053" s="79"/>
      <c r="J3053" s="70"/>
      <c r="K3053" s="57"/>
      <c r="L3053" s="11"/>
      <c r="M3053" s="41"/>
      <c r="N3053" s="11"/>
    </row>
    <row r="3054" spans="8:14" x14ac:dyDescent="0.25">
      <c r="H3054" s="37"/>
      <c r="I3054" s="79"/>
      <c r="J3054" s="70"/>
      <c r="K3054" s="57"/>
      <c r="L3054" s="11"/>
      <c r="M3054" s="41"/>
      <c r="N3054" s="11"/>
    </row>
    <row r="3055" spans="8:14" x14ac:dyDescent="0.25">
      <c r="H3055" s="37"/>
      <c r="I3055" s="79"/>
      <c r="J3055" s="70"/>
      <c r="K3055" s="57"/>
      <c r="L3055" s="11"/>
      <c r="M3055" s="41"/>
      <c r="N3055" s="11"/>
    </row>
    <row r="3056" spans="8:14" x14ac:dyDescent="0.25">
      <c r="H3056" s="37"/>
      <c r="I3056" s="79"/>
      <c r="J3056" s="70"/>
      <c r="K3056" s="57"/>
      <c r="L3056" s="11"/>
      <c r="M3056" s="41"/>
      <c r="N3056" s="11"/>
    </row>
    <row r="3057" spans="8:14" x14ac:dyDescent="0.25">
      <c r="H3057" s="37"/>
      <c r="I3057" s="79"/>
      <c r="J3057" s="70"/>
      <c r="K3057" s="57"/>
      <c r="L3057" s="11"/>
      <c r="M3057" s="41"/>
      <c r="N3057" s="11"/>
    </row>
    <row r="3058" spans="8:14" x14ac:dyDescent="0.25">
      <c r="H3058" s="37"/>
      <c r="I3058" s="79"/>
      <c r="J3058" s="70"/>
      <c r="K3058" s="57"/>
      <c r="L3058" s="11"/>
      <c r="M3058" s="41"/>
      <c r="N3058" s="11"/>
    </row>
    <row r="3059" spans="8:14" x14ac:dyDescent="0.25">
      <c r="H3059" s="37"/>
      <c r="I3059" s="79"/>
      <c r="J3059" s="70"/>
      <c r="K3059" s="57"/>
      <c r="L3059" s="11"/>
      <c r="M3059" s="41"/>
      <c r="N3059" s="11"/>
    </row>
    <row r="3060" spans="8:14" x14ac:dyDescent="0.25">
      <c r="H3060" s="37"/>
      <c r="I3060" s="79"/>
      <c r="J3060" s="70"/>
      <c r="K3060" s="57"/>
      <c r="L3060" s="11"/>
      <c r="M3060" s="41"/>
      <c r="N3060" s="11"/>
    </row>
    <row r="3061" spans="8:14" x14ac:dyDescent="0.25">
      <c r="H3061" s="37"/>
      <c r="I3061" s="79"/>
      <c r="J3061" s="70"/>
      <c r="K3061" s="57"/>
      <c r="L3061" s="11"/>
      <c r="M3061" s="41"/>
      <c r="N3061" s="11"/>
    </row>
    <row r="3062" spans="8:14" x14ac:dyDescent="0.25">
      <c r="H3062" s="37"/>
      <c r="I3062" s="79"/>
      <c r="J3062" s="70"/>
      <c r="K3062" s="57"/>
      <c r="L3062" s="11"/>
      <c r="M3062" s="41"/>
      <c r="N3062" s="11"/>
    </row>
    <row r="3063" spans="8:14" x14ac:dyDescent="0.25">
      <c r="H3063" s="37"/>
      <c r="I3063" s="79"/>
      <c r="J3063" s="70"/>
      <c r="K3063" s="57"/>
      <c r="L3063" s="11"/>
      <c r="M3063" s="41"/>
      <c r="N3063" s="11"/>
    </row>
    <row r="3064" spans="8:14" x14ac:dyDescent="0.25">
      <c r="H3064" s="37"/>
      <c r="I3064" s="79"/>
      <c r="J3064" s="70"/>
      <c r="K3064" s="57"/>
      <c r="L3064" s="11"/>
      <c r="M3064" s="41"/>
      <c r="N3064" s="11"/>
    </row>
    <row r="3065" spans="8:14" x14ac:dyDescent="0.25">
      <c r="H3065" s="37"/>
      <c r="I3065" s="79"/>
      <c r="J3065" s="70"/>
      <c r="K3065" s="57"/>
      <c r="L3065" s="11"/>
      <c r="M3065" s="41"/>
      <c r="N3065" s="11"/>
    </row>
    <row r="3066" spans="8:14" x14ac:dyDescent="0.25">
      <c r="H3066" s="37"/>
      <c r="I3066" s="79"/>
      <c r="J3066" s="70"/>
      <c r="K3066" s="57"/>
      <c r="L3066" s="11"/>
      <c r="M3066" s="41"/>
      <c r="N3066" s="11"/>
    </row>
    <row r="3067" spans="8:14" x14ac:dyDescent="0.25">
      <c r="H3067" s="37"/>
      <c r="I3067" s="79"/>
      <c r="J3067" s="70"/>
      <c r="K3067" s="57"/>
      <c r="L3067" s="11"/>
      <c r="M3067" s="41"/>
      <c r="N3067" s="11"/>
    </row>
    <row r="3068" spans="8:14" x14ac:dyDescent="0.25">
      <c r="H3068" s="37"/>
      <c r="I3068" s="79"/>
      <c r="J3068" s="70"/>
      <c r="K3068" s="57"/>
      <c r="L3068" s="11"/>
      <c r="M3068" s="41"/>
      <c r="N3068" s="11"/>
    </row>
    <row r="3069" spans="8:14" x14ac:dyDescent="0.25">
      <c r="H3069" s="37"/>
      <c r="I3069" s="79"/>
      <c r="J3069" s="70"/>
      <c r="K3069" s="57"/>
      <c r="L3069" s="11"/>
      <c r="M3069" s="41"/>
      <c r="N3069" s="11"/>
    </row>
    <row r="3070" spans="8:14" x14ac:dyDescent="0.25">
      <c r="H3070" s="37"/>
      <c r="I3070" s="79"/>
      <c r="J3070" s="70"/>
      <c r="K3070" s="57"/>
      <c r="L3070" s="11"/>
      <c r="M3070" s="41"/>
      <c r="N3070" s="11"/>
    </row>
    <row r="3071" spans="8:14" x14ac:dyDescent="0.25">
      <c r="H3071" s="37"/>
      <c r="I3071" s="79"/>
      <c r="J3071" s="70"/>
      <c r="K3071" s="57"/>
      <c r="L3071" s="11"/>
      <c r="M3071" s="41"/>
      <c r="N3071" s="11"/>
    </row>
    <row r="3072" spans="8:14" x14ac:dyDescent="0.25">
      <c r="H3072" s="37"/>
      <c r="I3072" s="79"/>
      <c r="J3072" s="70"/>
      <c r="K3072" s="57"/>
      <c r="L3072" s="11"/>
      <c r="M3072" s="41"/>
      <c r="N3072" s="11"/>
    </row>
    <row r="3073" spans="8:14" x14ac:dyDescent="0.25">
      <c r="H3073" s="37"/>
      <c r="I3073" s="79"/>
      <c r="J3073" s="70"/>
      <c r="K3073" s="57"/>
      <c r="L3073" s="11"/>
      <c r="M3073" s="41"/>
      <c r="N3073" s="11"/>
    </row>
    <row r="3074" spans="8:14" x14ac:dyDescent="0.25">
      <c r="H3074" s="37"/>
      <c r="I3074" s="79"/>
      <c r="J3074" s="70"/>
      <c r="K3074" s="57"/>
      <c r="L3074" s="11"/>
      <c r="M3074" s="41"/>
      <c r="N3074" s="11"/>
    </row>
    <row r="3075" spans="8:14" x14ac:dyDescent="0.25">
      <c r="H3075" s="37"/>
      <c r="I3075" s="79"/>
      <c r="J3075" s="70"/>
      <c r="K3075" s="57"/>
      <c r="L3075" s="11"/>
      <c r="M3075" s="41"/>
      <c r="N3075" s="11"/>
    </row>
    <row r="3076" spans="8:14" x14ac:dyDescent="0.25">
      <c r="H3076" s="37"/>
      <c r="I3076" s="79"/>
      <c r="J3076" s="70"/>
      <c r="K3076" s="57"/>
      <c r="L3076" s="11"/>
      <c r="M3076" s="41"/>
      <c r="N3076" s="11"/>
    </row>
    <row r="3077" spans="8:14" x14ac:dyDescent="0.25">
      <c r="H3077" s="37"/>
      <c r="I3077" s="79"/>
      <c r="J3077" s="70"/>
      <c r="K3077" s="57"/>
      <c r="L3077" s="11"/>
      <c r="M3077" s="41"/>
      <c r="N3077" s="11"/>
    </row>
    <row r="3078" spans="8:14" x14ac:dyDescent="0.25">
      <c r="H3078" s="37"/>
      <c r="I3078" s="79"/>
      <c r="J3078" s="70"/>
      <c r="K3078" s="57"/>
      <c r="L3078" s="11"/>
      <c r="M3078" s="41"/>
      <c r="N3078" s="11"/>
    </row>
    <row r="3079" spans="8:14" x14ac:dyDescent="0.25">
      <c r="H3079" s="37"/>
      <c r="I3079" s="79"/>
      <c r="J3079" s="70"/>
      <c r="K3079" s="57"/>
      <c r="L3079" s="11"/>
      <c r="M3079" s="41"/>
      <c r="N3079" s="11"/>
    </row>
    <row r="3080" spans="8:14" x14ac:dyDescent="0.25">
      <c r="H3080" s="37"/>
      <c r="I3080" s="79"/>
      <c r="J3080" s="70"/>
      <c r="K3080" s="57"/>
      <c r="L3080" s="11"/>
      <c r="M3080" s="41"/>
      <c r="N3080" s="11"/>
    </row>
    <row r="3081" spans="8:14" x14ac:dyDescent="0.25">
      <c r="H3081" s="37"/>
      <c r="I3081" s="79"/>
      <c r="J3081" s="70"/>
      <c r="K3081" s="57"/>
      <c r="L3081" s="11"/>
      <c r="M3081" s="41"/>
      <c r="N3081" s="11"/>
    </row>
    <row r="3082" spans="8:14" x14ac:dyDescent="0.25">
      <c r="H3082" s="37"/>
      <c r="I3082" s="79"/>
      <c r="J3082" s="70"/>
      <c r="K3082" s="57"/>
      <c r="L3082" s="11"/>
      <c r="M3082" s="41"/>
      <c r="N3082" s="11"/>
    </row>
    <row r="3083" spans="8:14" x14ac:dyDescent="0.25">
      <c r="H3083" s="37"/>
      <c r="I3083" s="79"/>
      <c r="J3083" s="70"/>
      <c r="K3083" s="57"/>
      <c r="L3083" s="11"/>
      <c r="M3083" s="41"/>
      <c r="N3083" s="11"/>
    </row>
    <row r="3084" spans="8:14" x14ac:dyDescent="0.25">
      <c r="H3084" s="37"/>
      <c r="I3084" s="79"/>
      <c r="J3084" s="70"/>
      <c r="K3084" s="57"/>
      <c r="L3084" s="11"/>
      <c r="M3084" s="41"/>
      <c r="N3084" s="11"/>
    </row>
    <row r="3085" spans="8:14" x14ac:dyDescent="0.25">
      <c r="H3085" s="37"/>
      <c r="I3085" s="79"/>
      <c r="J3085" s="70"/>
      <c r="K3085" s="57"/>
      <c r="L3085" s="11"/>
      <c r="M3085" s="41"/>
      <c r="N3085" s="11"/>
    </row>
    <row r="3086" spans="8:14" x14ac:dyDescent="0.25">
      <c r="H3086" s="37"/>
      <c r="I3086" s="79"/>
      <c r="J3086" s="70"/>
      <c r="K3086" s="57"/>
      <c r="L3086" s="11"/>
      <c r="M3086" s="41"/>
      <c r="N3086" s="11"/>
    </row>
    <row r="3087" spans="8:14" x14ac:dyDescent="0.25">
      <c r="H3087" s="37"/>
      <c r="I3087" s="79"/>
      <c r="J3087" s="70"/>
      <c r="K3087" s="57"/>
      <c r="L3087" s="11"/>
      <c r="M3087" s="41"/>
      <c r="N3087" s="11"/>
    </row>
    <row r="3088" spans="8:14" x14ac:dyDescent="0.25">
      <c r="H3088" s="37"/>
      <c r="I3088" s="79"/>
      <c r="J3088" s="70"/>
      <c r="K3088" s="57"/>
      <c r="L3088" s="11"/>
      <c r="M3088" s="41"/>
      <c r="N3088" s="11"/>
    </row>
    <row r="3089" spans="8:14" x14ac:dyDescent="0.25">
      <c r="H3089" s="37"/>
      <c r="I3089" s="79"/>
      <c r="J3089" s="70"/>
      <c r="K3089" s="57"/>
      <c r="L3089" s="11"/>
      <c r="M3089" s="41"/>
      <c r="N3089" s="11"/>
    </row>
    <row r="3090" spans="8:14" x14ac:dyDescent="0.25">
      <c r="H3090" s="37"/>
      <c r="I3090" s="79"/>
      <c r="J3090" s="70"/>
      <c r="K3090" s="57"/>
      <c r="L3090" s="11"/>
      <c r="M3090" s="41"/>
      <c r="N3090" s="11"/>
    </row>
    <row r="3091" spans="8:14" x14ac:dyDescent="0.25">
      <c r="H3091" s="37"/>
      <c r="I3091" s="79"/>
      <c r="J3091" s="70"/>
      <c r="K3091" s="57"/>
      <c r="L3091" s="11"/>
      <c r="M3091" s="41"/>
      <c r="N3091" s="11"/>
    </row>
    <row r="3092" spans="8:14" x14ac:dyDescent="0.25">
      <c r="H3092" s="37"/>
      <c r="I3092" s="79"/>
      <c r="J3092" s="70"/>
      <c r="K3092" s="57"/>
      <c r="L3092" s="11"/>
      <c r="M3092" s="41"/>
      <c r="N3092" s="11"/>
    </row>
    <row r="3093" spans="8:14" x14ac:dyDescent="0.25">
      <c r="H3093" s="37"/>
      <c r="I3093" s="79"/>
      <c r="J3093" s="70"/>
      <c r="K3093" s="57"/>
      <c r="L3093" s="11"/>
      <c r="M3093" s="41"/>
      <c r="N3093" s="11"/>
    </row>
    <row r="3094" spans="8:14" x14ac:dyDescent="0.25">
      <c r="H3094" s="37"/>
      <c r="I3094" s="79"/>
      <c r="J3094" s="70"/>
      <c r="K3094" s="57"/>
      <c r="L3094" s="11"/>
      <c r="M3094" s="41"/>
      <c r="N3094" s="11"/>
    </row>
    <row r="3095" spans="8:14" x14ac:dyDescent="0.25">
      <c r="H3095" s="37"/>
      <c r="I3095" s="79"/>
      <c r="J3095" s="70"/>
      <c r="K3095" s="57"/>
      <c r="L3095" s="11"/>
      <c r="M3095" s="41"/>
      <c r="N3095" s="11"/>
    </row>
    <row r="3096" spans="8:14" x14ac:dyDescent="0.25">
      <c r="H3096" s="37"/>
      <c r="I3096" s="79"/>
      <c r="J3096" s="70"/>
      <c r="K3096" s="57"/>
      <c r="L3096" s="11"/>
      <c r="M3096" s="41"/>
      <c r="N3096" s="11"/>
    </row>
    <row r="3097" spans="8:14" x14ac:dyDescent="0.25">
      <c r="H3097" s="37"/>
      <c r="I3097" s="79"/>
      <c r="J3097" s="70"/>
      <c r="K3097" s="57"/>
      <c r="L3097" s="11"/>
      <c r="M3097" s="41"/>
      <c r="N3097" s="11"/>
    </row>
    <row r="3098" spans="8:14" x14ac:dyDescent="0.25">
      <c r="H3098" s="37"/>
      <c r="I3098" s="79"/>
      <c r="J3098" s="70"/>
      <c r="K3098" s="57"/>
      <c r="L3098" s="11"/>
      <c r="M3098" s="41"/>
      <c r="N3098" s="11"/>
    </row>
    <row r="3099" spans="8:14" x14ac:dyDescent="0.25">
      <c r="H3099" s="37"/>
      <c r="I3099" s="79"/>
      <c r="J3099" s="70"/>
      <c r="K3099" s="57"/>
      <c r="L3099" s="11"/>
      <c r="M3099" s="41"/>
      <c r="N3099" s="11"/>
    </row>
    <row r="3100" spans="8:14" x14ac:dyDescent="0.25">
      <c r="H3100" s="37"/>
      <c r="I3100" s="79"/>
      <c r="J3100" s="70"/>
      <c r="K3100" s="57"/>
      <c r="L3100" s="11"/>
      <c r="M3100" s="41"/>
      <c r="N3100" s="11"/>
    </row>
    <row r="3101" spans="8:14" x14ac:dyDescent="0.25">
      <c r="H3101" s="37"/>
      <c r="I3101" s="79"/>
      <c r="J3101" s="70"/>
      <c r="K3101" s="57"/>
      <c r="L3101" s="11"/>
      <c r="M3101" s="41"/>
      <c r="N3101" s="11"/>
    </row>
    <row r="3102" spans="8:14" x14ac:dyDescent="0.25">
      <c r="H3102" s="37"/>
      <c r="I3102" s="79"/>
      <c r="J3102" s="70"/>
      <c r="K3102" s="57"/>
      <c r="L3102" s="11"/>
      <c r="M3102" s="41"/>
      <c r="N3102" s="11"/>
    </row>
    <row r="3103" spans="8:14" x14ac:dyDescent="0.25">
      <c r="H3103" s="37"/>
      <c r="I3103" s="79"/>
      <c r="J3103" s="70"/>
      <c r="K3103" s="57"/>
      <c r="L3103" s="11"/>
      <c r="M3103" s="41"/>
      <c r="N3103" s="11"/>
    </row>
    <row r="3104" spans="8:14" x14ac:dyDescent="0.25">
      <c r="H3104" s="37"/>
      <c r="I3104" s="79"/>
      <c r="J3104" s="70"/>
      <c r="K3104" s="57"/>
      <c r="L3104" s="11"/>
      <c r="M3104" s="41"/>
      <c r="N3104" s="11"/>
    </row>
    <row r="3105" spans="8:14" x14ac:dyDescent="0.25">
      <c r="H3105" s="37"/>
      <c r="I3105" s="79"/>
      <c r="J3105" s="70"/>
      <c r="K3105" s="57"/>
      <c r="L3105" s="11"/>
      <c r="M3105" s="41"/>
      <c r="N3105" s="11"/>
    </row>
    <row r="3106" spans="8:14" x14ac:dyDescent="0.25">
      <c r="H3106" s="37"/>
      <c r="I3106" s="79"/>
      <c r="J3106" s="70"/>
      <c r="K3106" s="57"/>
      <c r="L3106" s="11"/>
      <c r="M3106" s="41"/>
      <c r="N3106" s="11"/>
    </row>
    <row r="3107" spans="8:14" x14ac:dyDescent="0.25">
      <c r="H3107" s="37"/>
      <c r="I3107" s="79"/>
      <c r="J3107" s="70"/>
      <c r="K3107" s="57"/>
      <c r="L3107" s="11"/>
      <c r="M3107" s="41"/>
      <c r="N3107" s="11"/>
    </row>
    <row r="3108" spans="8:14" x14ac:dyDescent="0.25">
      <c r="H3108" s="37"/>
      <c r="I3108" s="79"/>
      <c r="J3108" s="70"/>
      <c r="K3108" s="57"/>
      <c r="L3108" s="11"/>
      <c r="M3108" s="41"/>
      <c r="N3108" s="11"/>
    </row>
    <row r="3109" spans="8:14" x14ac:dyDescent="0.25">
      <c r="H3109" s="37"/>
      <c r="I3109" s="79"/>
      <c r="J3109" s="70"/>
      <c r="K3109" s="57"/>
      <c r="L3109" s="11"/>
      <c r="M3109" s="41"/>
      <c r="N3109" s="11"/>
    </row>
    <row r="3110" spans="8:14" x14ac:dyDescent="0.25">
      <c r="H3110" s="37"/>
      <c r="I3110" s="79"/>
      <c r="J3110" s="70"/>
      <c r="K3110" s="57"/>
      <c r="L3110" s="11"/>
      <c r="M3110" s="41"/>
      <c r="N3110" s="11"/>
    </row>
    <row r="3111" spans="8:14" x14ac:dyDescent="0.25">
      <c r="H3111" s="37"/>
      <c r="I3111" s="79"/>
      <c r="J3111" s="70"/>
      <c r="K3111" s="57"/>
      <c r="L3111" s="11"/>
      <c r="M3111" s="41"/>
      <c r="N3111" s="11"/>
    </row>
    <row r="3112" spans="8:14" x14ac:dyDescent="0.25">
      <c r="H3112" s="37"/>
      <c r="I3112" s="79"/>
      <c r="J3112" s="70"/>
      <c r="K3112" s="57"/>
      <c r="L3112" s="11"/>
      <c r="M3112" s="41"/>
      <c r="N3112" s="11"/>
    </row>
    <row r="3113" spans="8:14" x14ac:dyDescent="0.25">
      <c r="H3113" s="37"/>
      <c r="I3113" s="79"/>
      <c r="J3113" s="70"/>
      <c r="K3113" s="57"/>
      <c r="L3113" s="11"/>
      <c r="M3113" s="41"/>
      <c r="N3113" s="11"/>
    </row>
    <row r="3114" spans="8:14" x14ac:dyDescent="0.25">
      <c r="H3114" s="37"/>
      <c r="I3114" s="79"/>
      <c r="J3114" s="70"/>
      <c r="K3114" s="57"/>
      <c r="L3114" s="11"/>
      <c r="M3114" s="41"/>
      <c r="N3114" s="11"/>
    </row>
    <row r="3115" spans="8:14" x14ac:dyDescent="0.25">
      <c r="H3115" s="37"/>
      <c r="I3115" s="79"/>
      <c r="J3115" s="70"/>
      <c r="K3115" s="57"/>
      <c r="L3115" s="11"/>
      <c r="M3115" s="41"/>
      <c r="N3115" s="11"/>
    </row>
    <row r="3116" spans="8:14" x14ac:dyDescent="0.25">
      <c r="H3116" s="37"/>
      <c r="I3116" s="79"/>
      <c r="J3116" s="70"/>
      <c r="K3116" s="57"/>
      <c r="L3116" s="11"/>
      <c r="M3116" s="41"/>
      <c r="N3116" s="11"/>
    </row>
    <row r="3117" spans="8:14" x14ac:dyDescent="0.25">
      <c r="H3117" s="37"/>
      <c r="I3117" s="79"/>
      <c r="J3117" s="70"/>
      <c r="K3117" s="57"/>
      <c r="L3117" s="11"/>
      <c r="M3117" s="41"/>
      <c r="N3117" s="11"/>
    </row>
    <row r="3118" spans="8:14" x14ac:dyDescent="0.25">
      <c r="H3118" s="37"/>
      <c r="I3118" s="79"/>
      <c r="J3118" s="70"/>
      <c r="K3118" s="57"/>
      <c r="L3118" s="11"/>
      <c r="M3118" s="41"/>
      <c r="N3118" s="11"/>
    </row>
    <row r="3119" spans="8:14" x14ac:dyDescent="0.25">
      <c r="H3119" s="37"/>
      <c r="I3119" s="79"/>
      <c r="J3119" s="70"/>
      <c r="K3119" s="57"/>
      <c r="L3119" s="11"/>
      <c r="M3119" s="41"/>
      <c r="N3119" s="11"/>
    </row>
    <row r="3120" spans="8:14" x14ac:dyDescent="0.25">
      <c r="H3120" s="37"/>
      <c r="I3120" s="79"/>
      <c r="J3120" s="70"/>
      <c r="K3120" s="57"/>
      <c r="L3120" s="11"/>
      <c r="M3120" s="41"/>
      <c r="N3120" s="11"/>
    </row>
    <row r="3121" spans="8:14" x14ac:dyDescent="0.25">
      <c r="H3121" s="37"/>
      <c r="I3121" s="79"/>
      <c r="J3121" s="70"/>
      <c r="K3121" s="57"/>
      <c r="L3121" s="11"/>
      <c r="M3121" s="41"/>
      <c r="N3121" s="11"/>
    </row>
    <row r="3122" spans="8:14" x14ac:dyDescent="0.25">
      <c r="H3122" s="37"/>
      <c r="I3122" s="79"/>
      <c r="J3122" s="70"/>
      <c r="K3122" s="57"/>
      <c r="L3122" s="11"/>
      <c r="M3122" s="41"/>
      <c r="N3122" s="11"/>
    </row>
    <row r="3123" spans="8:14" x14ac:dyDescent="0.25">
      <c r="H3123" s="37"/>
      <c r="I3123" s="79"/>
      <c r="J3123" s="70"/>
      <c r="K3123" s="57"/>
      <c r="L3123" s="11"/>
      <c r="M3123" s="41"/>
      <c r="N3123" s="11"/>
    </row>
    <row r="3124" spans="8:14" x14ac:dyDescent="0.25">
      <c r="H3124" s="37"/>
      <c r="I3124" s="79"/>
      <c r="J3124" s="70"/>
      <c r="K3124" s="57"/>
      <c r="L3124" s="11"/>
      <c r="M3124" s="41"/>
      <c r="N3124" s="11"/>
    </row>
    <row r="3125" spans="8:14" x14ac:dyDescent="0.25">
      <c r="H3125" s="37"/>
      <c r="I3125" s="79"/>
      <c r="J3125" s="70"/>
      <c r="K3125" s="57"/>
      <c r="L3125" s="11"/>
      <c r="M3125" s="41"/>
      <c r="N3125" s="11"/>
    </row>
    <row r="3126" spans="8:14" x14ac:dyDescent="0.25">
      <c r="H3126" s="37"/>
      <c r="I3126" s="79"/>
      <c r="J3126" s="70"/>
      <c r="K3126" s="57"/>
      <c r="L3126" s="11"/>
      <c r="M3126" s="41"/>
      <c r="N3126" s="11"/>
    </row>
    <row r="3127" spans="8:14" x14ac:dyDescent="0.25">
      <c r="H3127" s="37"/>
      <c r="I3127" s="79"/>
      <c r="J3127" s="70"/>
      <c r="K3127" s="57"/>
      <c r="L3127" s="11"/>
      <c r="M3127" s="41"/>
      <c r="N3127" s="11"/>
    </row>
    <row r="3128" spans="8:14" x14ac:dyDescent="0.25">
      <c r="H3128" s="37"/>
      <c r="I3128" s="79"/>
      <c r="J3128" s="70"/>
      <c r="K3128" s="57"/>
      <c r="L3128" s="11"/>
      <c r="M3128" s="41"/>
      <c r="N3128" s="11"/>
    </row>
    <row r="3129" spans="8:14" x14ac:dyDescent="0.25">
      <c r="H3129" s="37"/>
      <c r="I3129" s="79"/>
      <c r="J3129" s="70"/>
      <c r="K3129" s="57"/>
      <c r="L3129" s="11"/>
      <c r="M3129" s="41"/>
      <c r="N3129" s="11"/>
    </row>
    <row r="3130" spans="8:14" x14ac:dyDescent="0.25">
      <c r="H3130" s="37"/>
      <c r="I3130" s="79"/>
      <c r="J3130" s="70"/>
      <c r="K3130" s="57"/>
      <c r="L3130" s="11"/>
      <c r="M3130" s="41"/>
      <c r="N3130" s="11"/>
    </row>
    <row r="3131" spans="8:14" x14ac:dyDescent="0.25">
      <c r="H3131" s="37"/>
      <c r="I3131" s="79"/>
      <c r="J3131" s="70"/>
      <c r="K3131" s="57"/>
      <c r="L3131" s="11"/>
      <c r="M3131" s="41"/>
      <c r="N3131" s="11"/>
    </row>
    <row r="3132" spans="8:14" x14ac:dyDescent="0.25">
      <c r="H3132" s="37"/>
      <c r="I3132" s="79"/>
      <c r="J3132" s="70"/>
      <c r="K3132" s="57"/>
      <c r="L3132" s="11"/>
      <c r="M3132" s="41"/>
      <c r="N3132" s="11"/>
    </row>
    <row r="3133" spans="8:14" x14ac:dyDescent="0.25">
      <c r="H3133" s="37"/>
      <c r="I3133" s="79"/>
      <c r="J3133" s="70"/>
      <c r="K3133" s="57"/>
      <c r="L3133" s="11"/>
      <c r="M3133" s="41"/>
      <c r="N3133" s="11"/>
    </row>
    <row r="3134" spans="8:14" x14ac:dyDescent="0.25">
      <c r="H3134" s="37"/>
      <c r="I3134" s="79"/>
      <c r="J3134" s="70"/>
      <c r="K3134" s="57"/>
      <c r="L3134" s="11"/>
      <c r="M3134" s="41"/>
      <c r="N3134" s="11"/>
    </row>
    <row r="3135" spans="8:14" x14ac:dyDescent="0.25">
      <c r="H3135" s="37"/>
      <c r="I3135" s="79"/>
      <c r="J3135" s="70"/>
      <c r="K3135" s="57"/>
      <c r="L3135" s="11"/>
      <c r="M3135" s="41"/>
      <c r="N3135" s="11"/>
    </row>
    <row r="3136" spans="8:14" x14ac:dyDescent="0.25">
      <c r="H3136" s="37"/>
      <c r="I3136" s="79"/>
      <c r="J3136" s="70"/>
      <c r="K3136" s="57"/>
      <c r="L3136" s="11"/>
      <c r="M3136" s="41"/>
      <c r="N3136" s="11"/>
    </row>
    <row r="3137" spans="8:14" x14ac:dyDescent="0.25">
      <c r="H3137" s="37"/>
      <c r="I3137" s="79"/>
      <c r="J3137" s="70"/>
      <c r="K3137" s="57"/>
      <c r="L3137" s="11"/>
      <c r="M3137" s="41"/>
      <c r="N3137" s="11"/>
    </row>
    <row r="3138" spans="8:14" x14ac:dyDescent="0.25">
      <c r="H3138" s="37"/>
      <c r="I3138" s="79"/>
      <c r="J3138" s="70"/>
      <c r="K3138" s="57"/>
      <c r="L3138" s="11"/>
      <c r="M3138" s="41"/>
      <c r="N3138" s="11"/>
    </row>
    <row r="3139" spans="8:14" x14ac:dyDescent="0.25">
      <c r="H3139" s="37"/>
      <c r="I3139" s="79"/>
      <c r="J3139" s="70"/>
      <c r="K3139" s="57"/>
      <c r="L3139" s="11"/>
      <c r="M3139" s="41"/>
      <c r="N3139" s="11"/>
    </row>
    <row r="3140" spans="8:14" x14ac:dyDescent="0.25">
      <c r="H3140" s="37"/>
      <c r="I3140" s="79"/>
      <c r="J3140" s="70"/>
      <c r="K3140" s="57"/>
      <c r="L3140" s="11"/>
      <c r="M3140" s="41"/>
      <c r="N3140" s="11"/>
    </row>
    <row r="3141" spans="8:14" x14ac:dyDescent="0.25">
      <c r="H3141" s="37"/>
      <c r="I3141" s="79"/>
      <c r="J3141" s="70"/>
      <c r="K3141" s="57"/>
      <c r="L3141" s="11"/>
      <c r="M3141" s="41"/>
      <c r="N3141" s="11"/>
    </row>
    <row r="3142" spans="8:14" x14ac:dyDescent="0.25">
      <c r="H3142" s="37"/>
      <c r="I3142" s="79"/>
      <c r="J3142" s="70"/>
      <c r="K3142" s="57"/>
      <c r="L3142" s="11"/>
      <c r="M3142" s="41"/>
      <c r="N3142" s="11"/>
    </row>
    <row r="3143" spans="8:14" x14ac:dyDescent="0.25">
      <c r="H3143" s="37"/>
      <c r="I3143" s="79"/>
      <c r="J3143" s="70"/>
      <c r="K3143" s="57"/>
      <c r="L3143" s="11"/>
      <c r="M3143" s="41"/>
      <c r="N3143" s="11"/>
    </row>
    <row r="3144" spans="8:14" x14ac:dyDescent="0.25">
      <c r="H3144" s="37"/>
      <c r="I3144" s="79"/>
      <c r="J3144" s="70"/>
      <c r="K3144" s="57"/>
      <c r="L3144" s="11"/>
      <c r="M3144" s="41"/>
      <c r="N3144" s="11"/>
    </row>
    <row r="3145" spans="8:14" x14ac:dyDescent="0.25">
      <c r="H3145" s="37"/>
      <c r="I3145" s="79"/>
      <c r="J3145" s="70"/>
      <c r="K3145" s="57"/>
      <c r="L3145" s="11"/>
      <c r="M3145" s="41"/>
      <c r="N3145" s="11"/>
    </row>
    <row r="3146" spans="8:14" x14ac:dyDescent="0.25">
      <c r="H3146" s="37"/>
      <c r="I3146" s="79"/>
      <c r="J3146" s="70"/>
      <c r="K3146" s="57"/>
      <c r="L3146" s="11"/>
      <c r="M3146" s="41"/>
      <c r="N3146" s="11"/>
    </row>
    <row r="3147" spans="8:14" x14ac:dyDescent="0.25">
      <c r="H3147" s="37"/>
      <c r="I3147" s="79"/>
      <c r="J3147" s="70"/>
      <c r="K3147" s="57"/>
      <c r="L3147" s="11"/>
      <c r="M3147" s="41"/>
      <c r="N3147" s="11"/>
    </row>
    <row r="3148" spans="8:14" x14ac:dyDescent="0.25">
      <c r="H3148" s="37"/>
      <c r="I3148" s="79"/>
      <c r="J3148" s="70"/>
      <c r="K3148" s="57"/>
      <c r="L3148" s="11"/>
      <c r="M3148" s="41"/>
      <c r="N3148" s="11"/>
    </row>
    <row r="3149" spans="8:14" x14ac:dyDescent="0.25">
      <c r="H3149" s="37"/>
      <c r="I3149" s="79"/>
      <c r="J3149" s="70"/>
      <c r="K3149" s="57"/>
      <c r="L3149" s="11"/>
      <c r="M3149" s="41"/>
      <c r="N3149" s="11"/>
    </row>
    <row r="3150" spans="8:14" x14ac:dyDescent="0.25">
      <c r="H3150" s="37"/>
      <c r="I3150" s="79"/>
      <c r="J3150" s="70"/>
      <c r="K3150" s="57"/>
      <c r="L3150" s="11"/>
      <c r="M3150" s="41"/>
      <c r="N3150" s="11"/>
    </row>
    <row r="3151" spans="8:14" x14ac:dyDescent="0.25">
      <c r="H3151" s="37"/>
      <c r="I3151" s="79"/>
      <c r="J3151" s="70"/>
      <c r="K3151" s="57"/>
      <c r="L3151" s="11"/>
      <c r="M3151" s="41"/>
      <c r="N3151" s="11"/>
    </row>
    <row r="3152" spans="8:14" x14ac:dyDescent="0.25">
      <c r="H3152" s="37"/>
      <c r="I3152" s="79"/>
      <c r="J3152" s="70"/>
      <c r="K3152" s="57"/>
      <c r="L3152" s="11"/>
      <c r="M3152" s="41"/>
      <c r="N3152" s="11"/>
    </row>
    <row r="3153" spans="8:14" x14ac:dyDescent="0.25">
      <c r="H3153" s="37"/>
      <c r="I3153" s="79"/>
      <c r="J3153" s="70"/>
      <c r="K3153" s="57"/>
      <c r="L3153" s="11"/>
      <c r="M3153" s="41"/>
      <c r="N3153" s="11"/>
    </row>
    <row r="3154" spans="8:14" x14ac:dyDescent="0.25">
      <c r="H3154" s="37"/>
      <c r="I3154" s="79"/>
      <c r="J3154" s="70"/>
      <c r="K3154" s="57"/>
      <c r="L3154" s="11"/>
      <c r="M3154" s="41"/>
      <c r="N3154" s="11"/>
    </row>
    <row r="3155" spans="8:14" x14ac:dyDescent="0.25">
      <c r="H3155" s="37"/>
      <c r="I3155" s="79"/>
      <c r="J3155" s="70"/>
      <c r="K3155" s="57"/>
      <c r="L3155" s="11"/>
      <c r="M3155" s="41"/>
      <c r="N3155" s="11"/>
    </row>
    <row r="3156" spans="8:14" x14ac:dyDescent="0.25">
      <c r="H3156" s="37"/>
      <c r="I3156" s="79"/>
      <c r="J3156" s="70"/>
      <c r="K3156" s="57"/>
      <c r="L3156" s="11"/>
      <c r="M3156" s="41"/>
      <c r="N3156" s="11"/>
    </row>
    <row r="3157" spans="8:14" x14ac:dyDescent="0.25">
      <c r="H3157" s="37"/>
      <c r="I3157" s="79"/>
      <c r="J3157" s="70"/>
      <c r="K3157" s="57"/>
      <c r="L3157" s="11"/>
      <c r="M3157" s="41"/>
      <c r="N3157" s="11"/>
    </row>
    <row r="3158" spans="8:14" x14ac:dyDescent="0.25">
      <c r="H3158" s="37"/>
      <c r="I3158" s="79"/>
      <c r="J3158" s="70"/>
      <c r="K3158" s="57"/>
      <c r="L3158" s="11"/>
      <c r="M3158" s="41"/>
      <c r="N3158" s="11"/>
    </row>
    <row r="3159" spans="8:14" x14ac:dyDescent="0.25">
      <c r="H3159" s="37"/>
      <c r="I3159" s="79"/>
      <c r="J3159" s="70"/>
      <c r="K3159" s="57"/>
      <c r="L3159" s="11"/>
      <c r="M3159" s="41"/>
      <c r="N3159" s="11"/>
    </row>
    <row r="3160" spans="8:14" x14ac:dyDescent="0.25">
      <c r="H3160" s="37"/>
      <c r="I3160" s="79"/>
      <c r="J3160" s="70"/>
      <c r="K3160" s="57"/>
      <c r="L3160" s="11"/>
      <c r="M3160" s="41"/>
      <c r="N3160" s="11"/>
    </row>
    <row r="3161" spans="8:14" x14ac:dyDescent="0.25">
      <c r="H3161" s="37"/>
      <c r="I3161" s="79"/>
      <c r="J3161" s="70"/>
      <c r="K3161" s="57"/>
      <c r="L3161" s="11"/>
      <c r="M3161" s="41"/>
      <c r="N3161" s="11"/>
    </row>
    <row r="3162" spans="8:14" x14ac:dyDescent="0.25">
      <c r="H3162" s="37"/>
      <c r="I3162" s="79"/>
      <c r="J3162" s="70"/>
      <c r="K3162" s="57"/>
      <c r="L3162" s="11"/>
      <c r="M3162" s="41"/>
      <c r="N3162" s="11"/>
    </row>
    <row r="3163" spans="8:14" x14ac:dyDescent="0.25">
      <c r="H3163" s="37"/>
      <c r="I3163" s="79"/>
      <c r="J3163" s="70"/>
      <c r="K3163" s="57"/>
      <c r="L3163" s="11"/>
      <c r="M3163" s="41"/>
      <c r="N3163" s="11"/>
    </row>
    <row r="3164" spans="8:14" x14ac:dyDescent="0.25">
      <c r="H3164" s="37"/>
      <c r="I3164" s="79"/>
      <c r="J3164" s="70"/>
      <c r="K3164" s="57"/>
      <c r="L3164" s="11"/>
      <c r="M3164" s="41"/>
      <c r="N3164" s="11"/>
    </row>
    <row r="3165" spans="8:14" x14ac:dyDescent="0.25">
      <c r="H3165" s="37"/>
      <c r="I3165" s="79"/>
      <c r="J3165" s="70"/>
      <c r="K3165" s="57"/>
      <c r="L3165" s="11"/>
      <c r="M3165" s="41"/>
      <c r="N3165" s="11"/>
    </row>
    <row r="3166" spans="8:14" x14ac:dyDescent="0.25">
      <c r="H3166" s="37"/>
      <c r="I3166" s="79"/>
      <c r="J3166" s="70"/>
      <c r="K3166" s="57"/>
      <c r="L3166" s="11"/>
      <c r="M3166" s="41"/>
      <c r="N3166" s="11"/>
    </row>
    <row r="3167" spans="8:14" x14ac:dyDescent="0.25">
      <c r="H3167" s="37"/>
      <c r="I3167" s="79"/>
      <c r="J3167" s="70"/>
      <c r="K3167" s="57"/>
      <c r="L3167" s="11"/>
      <c r="M3167" s="41"/>
      <c r="N3167" s="11"/>
    </row>
    <row r="3168" spans="8:14" x14ac:dyDescent="0.25">
      <c r="H3168" s="37"/>
      <c r="I3168" s="79"/>
      <c r="J3168" s="70"/>
      <c r="K3168" s="57"/>
      <c r="L3168" s="11"/>
      <c r="M3168" s="41"/>
      <c r="N3168" s="11"/>
    </row>
    <row r="3169" spans="8:14" x14ac:dyDescent="0.25">
      <c r="H3169" s="37"/>
      <c r="I3169" s="79"/>
      <c r="J3169" s="70"/>
      <c r="K3169" s="57"/>
      <c r="L3169" s="11"/>
      <c r="M3169" s="41"/>
      <c r="N3169" s="11"/>
    </row>
    <row r="3170" spans="8:14" x14ac:dyDescent="0.25">
      <c r="H3170" s="37"/>
      <c r="I3170" s="79"/>
      <c r="J3170" s="70"/>
      <c r="K3170" s="57"/>
      <c r="L3170" s="11"/>
      <c r="M3170" s="41"/>
      <c r="N3170" s="11"/>
    </row>
    <row r="3171" spans="8:14" x14ac:dyDescent="0.25">
      <c r="H3171" s="37"/>
      <c r="I3171" s="79"/>
      <c r="J3171" s="70"/>
      <c r="K3171" s="57"/>
      <c r="L3171" s="11"/>
      <c r="M3171" s="41"/>
      <c r="N3171" s="11"/>
    </row>
    <row r="3172" spans="8:14" x14ac:dyDescent="0.25">
      <c r="H3172" s="37"/>
      <c r="I3172" s="79"/>
      <c r="J3172" s="70"/>
      <c r="K3172" s="57"/>
      <c r="L3172" s="11"/>
      <c r="M3172" s="41"/>
      <c r="N3172" s="11"/>
    </row>
    <row r="3173" spans="8:14" x14ac:dyDescent="0.25">
      <c r="H3173" s="37"/>
      <c r="I3173" s="79"/>
      <c r="J3173" s="70"/>
      <c r="K3173" s="57"/>
      <c r="L3173" s="11"/>
      <c r="M3173" s="41"/>
      <c r="N3173" s="11"/>
    </row>
    <row r="3174" spans="8:14" x14ac:dyDescent="0.25">
      <c r="H3174" s="37"/>
      <c r="I3174" s="79"/>
      <c r="J3174" s="70"/>
      <c r="K3174" s="57"/>
      <c r="L3174" s="11"/>
      <c r="M3174" s="41"/>
      <c r="N3174" s="11"/>
    </row>
    <row r="3175" spans="8:14" x14ac:dyDescent="0.25">
      <c r="H3175" s="37"/>
      <c r="I3175" s="79"/>
      <c r="J3175" s="70"/>
      <c r="K3175" s="57"/>
      <c r="L3175" s="11"/>
      <c r="M3175" s="41"/>
      <c r="N3175" s="11"/>
    </row>
    <row r="3176" spans="8:14" x14ac:dyDescent="0.25">
      <c r="H3176" s="37"/>
      <c r="I3176" s="79"/>
      <c r="J3176" s="70"/>
      <c r="K3176" s="57"/>
      <c r="L3176" s="11"/>
      <c r="M3176" s="41"/>
      <c r="N3176" s="11"/>
    </row>
    <row r="3177" spans="8:14" x14ac:dyDescent="0.25">
      <c r="H3177" s="37"/>
      <c r="I3177" s="79"/>
      <c r="J3177" s="70"/>
      <c r="K3177" s="57"/>
      <c r="L3177" s="11"/>
      <c r="M3177" s="41"/>
      <c r="N3177" s="11"/>
    </row>
    <row r="3178" spans="8:14" x14ac:dyDescent="0.25">
      <c r="H3178" s="37"/>
      <c r="I3178" s="79"/>
      <c r="J3178" s="70"/>
      <c r="K3178" s="57"/>
      <c r="L3178" s="11"/>
      <c r="M3178" s="41"/>
      <c r="N3178" s="11"/>
    </row>
    <row r="3179" spans="8:14" x14ac:dyDescent="0.25">
      <c r="H3179" s="37"/>
      <c r="I3179" s="79"/>
      <c r="J3179" s="70"/>
      <c r="K3179" s="57"/>
      <c r="L3179" s="11"/>
      <c r="M3179" s="41"/>
      <c r="N3179" s="11"/>
    </row>
    <row r="3180" spans="8:14" x14ac:dyDescent="0.25">
      <c r="H3180" s="37"/>
      <c r="I3180" s="79"/>
      <c r="J3180" s="70"/>
      <c r="K3180" s="57"/>
      <c r="L3180" s="11"/>
      <c r="M3180" s="41"/>
      <c r="N3180" s="11"/>
    </row>
    <row r="3181" spans="8:14" x14ac:dyDescent="0.25">
      <c r="H3181" s="37"/>
      <c r="I3181" s="79"/>
      <c r="J3181" s="70"/>
      <c r="K3181" s="57"/>
      <c r="L3181" s="11"/>
      <c r="M3181" s="41"/>
      <c r="N3181" s="11"/>
    </row>
    <row r="3182" spans="8:14" x14ac:dyDescent="0.25">
      <c r="H3182" s="37"/>
      <c r="I3182" s="79"/>
      <c r="J3182" s="70"/>
      <c r="K3182" s="57"/>
      <c r="L3182" s="11"/>
      <c r="M3182" s="41"/>
      <c r="N3182" s="11"/>
    </row>
    <row r="3183" spans="8:14" x14ac:dyDescent="0.25">
      <c r="H3183" s="37"/>
      <c r="I3183" s="79"/>
      <c r="J3183" s="70"/>
      <c r="K3183" s="57"/>
      <c r="L3183" s="11"/>
      <c r="M3183" s="41"/>
      <c r="N3183" s="11"/>
    </row>
    <row r="3184" spans="8:14" x14ac:dyDescent="0.25">
      <c r="H3184" s="37"/>
      <c r="I3184" s="79"/>
      <c r="J3184" s="70"/>
      <c r="K3184" s="57"/>
      <c r="L3184" s="11"/>
      <c r="M3184" s="41"/>
      <c r="N3184" s="11"/>
    </row>
    <row r="3185" spans="8:14" x14ac:dyDescent="0.25">
      <c r="H3185" s="37"/>
      <c r="I3185" s="79"/>
      <c r="J3185" s="70"/>
      <c r="K3185" s="57"/>
      <c r="L3185" s="11"/>
      <c r="M3185" s="41"/>
      <c r="N3185" s="11"/>
    </row>
    <row r="3186" spans="8:14" x14ac:dyDescent="0.25">
      <c r="H3186" s="37"/>
      <c r="I3186" s="79"/>
      <c r="J3186" s="70"/>
      <c r="K3186" s="57"/>
      <c r="L3186" s="11"/>
      <c r="M3186" s="41"/>
      <c r="N3186" s="11"/>
    </row>
    <row r="3187" spans="8:14" x14ac:dyDescent="0.25">
      <c r="H3187" s="37"/>
      <c r="I3187" s="79"/>
      <c r="J3187" s="70"/>
      <c r="K3187" s="57"/>
      <c r="L3187" s="11"/>
      <c r="M3187" s="41"/>
      <c r="N3187" s="11"/>
    </row>
    <row r="3188" spans="8:14" x14ac:dyDescent="0.25">
      <c r="H3188" s="37"/>
      <c r="I3188" s="79"/>
      <c r="J3188" s="70"/>
      <c r="K3188" s="57"/>
      <c r="L3188" s="11"/>
      <c r="M3188" s="41"/>
      <c r="N3188" s="11"/>
    </row>
    <row r="3189" spans="8:14" x14ac:dyDescent="0.25">
      <c r="H3189" s="37"/>
      <c r="I3189" s="79"/>
      <c r="J3189" s="70"/>
      <c r="K3189" s="57"/>
      <c r="L3189" s="11"/>
      <c r="M3189" s="41"/>
      <c r="N3189" s="11"/>
    </row>
    <row r="3190" spans="8:14" x14ac:dyDescent="0.25">
      <c r="H3190" s="37"/>
      <c r="I3190" s="79"/>
      <c r="J3190" s="70"/>
      <c r="K3190" s="57"/>
      <c r="L3190" s="11"/>
      <c r="M3190" s="41"/>
      <c r="N3190" s="11"/>
    </row>
    <row r="3191" spans="8:14" x14ac:dyDescent="0.25">
      <c r="H3191" s="37"/>
      <c r="I3191" s="79"/>
      <c r="J3191" s="70"/>
      <c r="K3191" s="57"/>
      <c r="L3191" s="11"/>
      <c r="M3191" s="41"/>
      <c r="N3191" s="11"/>
    </row>
    <row r="3192" spans="8:14" x14ac:dyDescent="0.25">
      <c r="H3192" s="37"/>
      <c r="I3192" s="79"/>
      <c r="J3192" s="70"/>
      <c r="K3192" s="57"/>
      <c r="L3192" s="11"/>
      <c r="M3192" s="41"/>
      <c r="N3192" s="11"/>
    </row>
    <row r="3193" spans="8:14" x14ac:dyDescent="0.25">
      <c r="H3193" s="37"/>
      <c r="I3193" s="79"/>
      <c r="J3193" s="70"/>
      <c r="K3193" s="57"/>
      <c r="L3193" s="11"/>
      <c r="M3193" s="41"/>
      <c r="N3193" s="11"/>
    </row>
    <row r="3194" spans="8:14" x14ac:dyDescent="0.25">
      <c r="H3194" s="37"/>
      <c r="I3194" s="79"/>
      <c r="J3194" s="70"/>
      <c r="K3194" s="57"/>
      <c r="L3194" s="11"/>
      <c r="M3194" s="41"/>
      <c r="N3194" s="11"/>
    </row>
    <row r="3195" spans="8:14" x14ac:dyDescent="0.25">
      <c r="H3195" s="37"/>
      <c r="I3195" s="79"/>
      <c r="J3195" s="70"/>
      <c r="K3195" s="57"/>
      <c r="L3195" s="11"/>
      <c r="M3195" s="41"/>
      <c r="N3195" s="11"/>
    </row>
    <row r="3196" spans="8:14" x14ac:dyDescent="0.25">
      <c r="H3196" s="37"/>
      <c r="I3196" s="79"/>
      <c r="J3196" s="70"/>
      <c r="K3196" s="57"/>
      <c r="L3196" s="11"/>
      <c r="M3196" s="41"/>
      <c r="N3196" s="11"/>
    </row>
    <row r="3197" spans="8:14" x14ac:dyDescent="0.25">
      <c r="H3197" s="37"/>
      <c r="I3197" s="79"/>
      <c r="J3197" s="70"/>
      <c r="K3197" s="57"/>
      <c r="L3197" s="11"/>
      <c r="M3197" s="41"/>
      <c r="N3197" s="11"/>
    </row>
    <row r="3198" spans="8:14" x14ac:dyDescent="0.25">
      <c r="H3198" s="37"/>
      <c r="I3198" s="79"/>
      <c r="J3198" s="70"/>
      <c r="K3198" s="57"/>
      <c r="L3198" s="11"/>
      <c r="M3198" s="41"/>
      <c r="N3198" s="11"/>
    </row>
    <row r="3199" spans="8:14" x14ac:dyDescent="0.25">
      <c r="H3199" s="37"/>
      <c r="I3199" s="79"/>
      <c r="J3199" s="70"/>
      <c r="K3199" s="57"/>
      <c r="L3199" s="11"/>
      <c r="M3199" s="41"/>
      <c r="N3199" s="11"/>
    </row>
    <row r="3200" spans="8:14" x14ac:dyDescent="0.25">
      <c r="H3200" s="37"/>
      <c r="I3200" s="79"/>
      <c r="J3200" s="70"/>
      <c r="K3200" s="57"/>
      <c r="L3200" s="11"/>
      <c r="M3200" s="41"/>
      <c r="N3200" s="11"/>
    </row>
    <row r="3201" spans="8:14" x14ac:dyDescent="0.25">
      <c r="H3201" s="37"/>
      <c r="I3201" s="79"/>
      <c r="J3201" s="70"/>
      <c r="K3201" s="57"/>
      <c r="L3201" s="11"/>
      <c r="M3201" s="41"/>
      <c r="N3201" s="11"/>
    </row>
    <row r="3202" spans="8:14" x14ac:dyDescent="0.25">
      <c r="H3202" s="37"/>
      <c r="I3202" s="79"/>
      <c r="J3202" s="70"/>
      <c r="K3202" s="57"/>
      <c r="L3202" s="11"/>
      <c r="M3202" s="41"/>
      <c r="N3202" s="11"/>
    </row>
    <row r="3203" spans="8:14" x14ac:dyDescent="0.25">
      <c r="H3203" s="37"/>
      <c r="I3203" s="79"/>
      <c r="J3203" s="70"/>
      <c r="K3203" s="57"/>
      <c r="L3203" s="11"/>
      <c r="M3203" s="41"/>
      <c r="N3203" s="11"/>
    </row>
    <row r="3204" spans="8:14" x14ac:dyDescent="0.25">
      <c r="H3204" s="37"/>
      <c r="I3204" s="79"/>
      <c r="J3204" s="70"/>
      <c r="K3204" s="57"/>
      <c r="L3204" s="11"/>
      <c r="M3204" s="41"/>
      <c r="N3204" s="11"/>
    </row>
    <row r="3205" spans="8:14" x14ac:dyDescent="0.25">
      <c r="H3205" s="37"/>
      <c r="I3205" s="79"/>
      <c r="J3205" s="70"/>
      <c r="K3205" s="57"/>
      <c r="L3205" s="11"/>
      <c r="M3205" s="41"/>
      <c r="N3205" s="11"/>
    </row>
    <row r="3206" spans="8:14" x14ac:dyDescent="0.25">
      <c r="H3206" s="37"/>
      <c r="I3206" s="79"/>
      <c r="J3206" s="70"/>
      <c r="K3206" s="57"/>
      <c r="L3206" s="11"/>
      <c r="M3206" s="41"/>
      <c r="N3206" s="11"/>
    </row>
    <row r="3207" spans="8:14" x14ac:dyDescent="0.25">
      <c r="H3207" s="37"/>
      <c r="I3207" s="79"/>
      <c r="J3207" s="70"/>
      <c r="K3207" s="57"/>
      <c r="L3207" s="11"/>
      <c r="M3207" s="41"/>
      <c r="N3207" s="11"/>
    </row>
    <row r="3208" spans="8:14" x14ac:dyDescent="0.25">
      <c r="H3208" s="37"/>
      <c r="I3208" s="79"/>
      <c r="J3208" s="70"/>
      <c r="K3208" s="57"/>
      <c r="L3208" s="11"/>
      <c r="M3208" s="41"/>
      <c r="N3208" s="11"/>
    </row>
    <row r="3209" spans="8:14" x14ac:dyDescent="0.25">
      <c r="H3209" s="37"/>
      <c r="I3209" s="79"/>
      <c r="J3209" s="70"/>
      <c r="K3209" s="57"/>
      <c r="L3209" s="11"/>
      <c r="M3209" s="41"/>
      <c r="N3209" s="11"/>
    </row>
    <row r="3210" spans="8:14" x14ac:dyDescent="0.25">
      <c r="H3210" s="37"/>
      <c r="I3210" s="79"/>
      <c r="J3210" s="70"/>
      <c r="K3210" s="57"/>
      <c r="L3210" s="11"/>
      <c r="M3210" s="41"/>
      <c r="N3210" s="11"/>
    </row>
    <row r="3211" spans="8:14" x14ac:dyDescent="0.25">
      <c r="H3211" s="37"/>
      <c r="I3211" s="79"/>
      <c r="J3211" s="70"/>
      <c r="K3211" s="57"/>
      <c r="L3211" s="11"/>
      <c r="M3211" s="41"/>
      <c r="N3211" s="11"/>
    </row>
    <row r="3212" spans="8:14" x14ac:dyDescent="0.25">
      <c r="H3212" s="37"/>
      <c r="I3212" s="79"/>
      <c r="J3212" s="70"/>
      <c r="K3212" s="57"/>
      <c r="L3212" s="11"/>
      <c r="M3212" s="41"/>
      <c r="N3212" s="11"/>
    </row>
    <row r="3213" spans="8:14" x14ac:dyDescent="0.25">
      <c r="H3213" s="37"/>
      <c r="I3213" s="79"/>
      <c r="J3213" s="70"/>
      <c r="K3213" s="57"/>
      <c r="L3213" s="11"/>
      <c r="M3213" s="41"/>
      <c r="N3213" s="11"/>
    </row>
    <row r="3214" spans="8:14" x14ac:dyDescent="0.25">
      <c r="H3214" s="37"/>
      <c r="I3214" s="79"/>
      <c r="J3214" s="70"/>
      <c r="K3214" s="57"/>
      <c r="L3214" s="11"/>
      <c r="M3214" s="41"/>
      <c r="N3214" s="11"/>
    </row>
    <row r="3215" spans="8:14" x14ac:dyDescent="0.25">
      <c r="H3215" s="37"/>
      <c r="I3215" s="79"/>
      <c r="J3215" s="70"/>
      <c r="K3215" s="57"/>
      <c r="L3215" s="11"/>
      <c r="M3215" s="41"/>
      <c r="N3215" s="11"/>
    </row>
    <row r="3216" spans="8:14" x14ac:dyDescent="0.25">
      <c r="H3216" s="37"/>
      <c r="I3216" s="79"/>
      <c r="J3216" s="70"/>
      <c r="K3216" s="57"/>
      <c r="L3216" s="11"/>
      <c r="M3216" s="41"/>
      <c r="N3216" s="11"/>
    </row>
    <row r="3217" spans="8:14" x14ac:dyDescent="0.25">
      <c r="H3217" s="37"/>
      <c r="I3217" s="79"/>
      <c r="J3217" s="70"/>
      <c r="K3217" s="57"/>
      <c r="L3217" s="11"/>
      <c r="M3217" s="41"/>
      <c r="N3217" s="11"/>
    </row>
    <row r="3218" spans="8:14" x14ac:dyDescent="0.25">
      <c r="H3218" s="37"/>
      <c r="I3218" s="79"/>
      <c r="J3218" s="70"/>
      <c r="K3218" s="57"/>
      <c r="L3218" s="11"/>
      <c r="M3218" s="41"/>
      <c r="N3218" s="11"/>
    </row>
    <row r="3219" spans="8:14" x14ac:dyDescent="0.25">
      <c r="H3219" s="37"/>
      <c r="I3219" s="79"/>
      <c r="J3219" s="70"/>
      <c r="K3219" s="57"/>
      <c r="L3219" s="11"/>
      <c r="M3219" s="41"/>
      <c r="N3219" s="11"/>
    </row>
    <row r="3220" spans="8:14" x14ac:dyDescent="0.25">
      <c r="H3220" s="37"/>
      <c r="I3220" s="79"/>
      <c r="J3220" s="70"/>
      <c r="K3220" s="57"/>
      <c r="L3220" s="11"/>
      <c r="M3220" s="41"/>
      <c r="N3220" s="11"/>
    </row>
    <row r="3221" spans="8:14" x14ac:dyDescent="0.25">
      <c r="H3221" s="37"/>
      <c r="I3221" s="79"/>
      <c r="J3221" s="70"/>
      <c r="K3221" s="57"/>
      <c r="L3221" s="11"/>
      <c r="M3221" s="41"/>
      <c r="N3221" s="11"/>
    </row>
    <row r="3222" spans="8:14" x14ac:dyDescent="0.25">
      <c r="H3222" s="37"/>
      <c r="I3222" s="79"/>
      <c r="J3222" s="70"/>
      <c r="K3222" s="57"/>
      <c r="L3222" s="11"/>
      <c r="M3222" s="41"/>
      <c r="N3222" s="11"/>
    </row>
    <row r="3223" spans="8:14" x14ac:dyDescent="0.25">
      <c r="H3223" s="37"/>
      <c r="I3223" s="79"/>
      <c r="J3223" s="70"/>
      <c r="K3223" s="57"/>
      <c r="L3223" s="11"/>
      <c r="M3223" s="41"/>
      <c r="N3223" s="11"/>
    </row>
    <row r="3224" spans="8:14" x14ac:dyDescent="0.25">
      <c r="H3224" s="37"/>
      <c r="I3224" s="79"/>
      <c r="J3224" s="70"/>
      <c r="K3224" s="57"/>
      <c r="L3224" s="11"/>
      <c r="M3224" s="41"/>
      <c r="N3224" s="11"/>
    </row>
    <row r="3225" spans="8:14" x14ac:dyDescent="0.25">
      <c r="H3225" s="37"/>
      <c r="I3225" s="79"/>
      <c r="J3225" s="70"/>
      <c r="K3225" s="57"/>
      <c r="L3225" s="11"/>
      <c r="M3225" s="41"/>
      <c r="N3225" s="11"/>
    </row>
    <row r="3226" spans="8:14" x14ac:dyDescent="0.25">
      <c r="H3226" s="37"/>
      <c r="I3226" s="79"/>
      <c r="J3226" s="70"/>
      <c r="K3226" s="57"/>
      <c r="L3226" s="11"/>
      <c r="M3226" s="41"/>
      <c r="N3226" s="11"/>
    </row>
    <row r="3227" spans="8:14" x14ac:dyDescent="0.25">
      <c r="H3227" s="37"/>
      <c r="I3227" s="79"/>
      <c r="J3227" s="70"/>
      <c r="K3227" s="57"/>
      <c r="L3227" s="11"/>
      <c r="M3227" s="41"/>
      <c r="N3227" s="11"/>
    </row>
    <row r="3228" spans="8:14" x14ac:dyDescent="0.25">
      <c r="H3228" s="37"/>
      <c r="I3228" s="79"/>
      <c r="J3228" s="70"/>
      <c r="K3228" s="57"/>
      <c r="L3228" s="11"/>
      <c r="M3228" s="41"/>
      <c r="N3228" s="11"/>
    </row>
    <row r="3229" spans="8:14" x14ac:dyDescent="0.25">
      <c r="H3229" s="37"/>
      <c r="I3229" s="79"/>
      <c r="J3229" s="70"/>
      <c r="K3229" s="57"/>
      <c r="L3229" s="11"/>
      <c r="M3229" s="41"/>
      <c r="N3229" s="11"/>
    </row>
    <row r="3230" spans="8:14" x14ac:dyDescent="0.25">
      <c r="H3230" s="37"/>
      <c r="I3230" s="79"/>
      <c r="J3230" s="70"/>
      <c r="K3230" s="57"/>
      <c r="L3230" s="11"/>
      <c r="M3230" s="41"/>
      <c r="N3230" s="11"/>
    </row>
    <row r="3231" spans="8:14" x14ac:dyDescent="0.25">
      <c r="H3231" s="37"/>
      <c r="I3231" s="79"/>
      <c r="J3231" s="70"/>
      <c r="K3231" s="57"/>
      <c r="L3231" s="11"/>
      <c r="M3231" s="41"/>
      <c r="N3231" s="11"/>
    </row>
    <row r="3232" spans="8:14" x14ac:dyDescent="0.25">
      <c r="H3232" s="37"/>
      <c r="I3232" s="79"/>
      <c r="J3232" s="70"/>
      <c r="K3232" s="57"/>
      <c r="L3232" s="11"/>
      <c r="M3232" s="41"/>
      <c r="N3232" s="11"/>
    </row>
    <row r="3233" spans="8:14" x14ac:dyDescent="0.25">
      <c r="H3233" s="37"/>
      <c r="I3233" s="79"/>
      <c r="J3233" s="70"/>
      <c r="K3233" s="57"/>
      <c r="L3233" s="11"/>
      <c r="M3233" s="41"/>
      <c r="N3233" s="11"/>
    </row>
    <row r="3234" spans="8:14" x14ac:dyDescent="0.25">
      <c r="H3234" s="37"/>
      <c r="I3234" s="79"/>
      <c r="J3234" s="70"/>
      <c r="K3234" s="57"/>
      <c r="L3234" s="11"/>
      <c r="M3234" s="41"/>
      <c r="N3234" s="11"/>
    </row>
    <row r="3235" spans="8:14" x14ac:dyDescent="0.25">
      <c r="H3235" s="37"/>
      <c r="I3235" s="79"/>
      <c r="J3235" s="70"/>
      <c r="K3235" s="57"/>
      <c r="L3235" s="11"/>
      <c r="M3235" s="41"/>
      <c r="N3235" s="11"/>
    </row>
    <row r="3236" spans="8:14" x14ac:dyDescent="0.25">
      <c r="H3236" s="37"/>
      <c r="I3236" s="79"/>
      <c r="J3236" s="70"/>
      <c r="K3236" s="57"/>
      <c r="L3236" s="11"/>
      <c r="M3236" s="41"/>
      <c r="N3236" s="11"/>
    </row>
    <row r="3237" spans="8:14" x14ac:dyDescent="0.25">
      <c r="H3237" s="37"/>
      <c r="I3237" s="79"/>
      <c r="J3237" s="70"/>
      <c r="K3237" s="57"/>
      <c r="L3237" s="11"/>
      <c r="M3237" s="41"/>
      <c r="N3237" s="11"/>
    </row>
    <row r="3238" spans="8:14" x14ac:dyDescent="0.25">
      <c r="H3238" s="37"/>
      <c r="I3238" s="79"/>
      <c r="J3238" s="70"/>
      <c r="K3238" s="57"/>
      <c r="L3238" s="11"/>
      <c r="M3238" s="41"/>
      <c r="N3238" s="11"/>
    </row>
    <row r="3239" spans="8:14" x14ac:dyDescent="0.25">
      <c r="H3239" s="37"/>
      <c r="I3239" s="79"/>
      <c r="J3239" s="70"/>
      <c r="K3239" s="57"/>
      <c r="L3239" s="11"/>
      <c r="M3239" s="41"/>
      <c r="N3239" s="11"/>
    </row>
    <row r="3240" spans="8:14" x14ac:dyDescent="0.25">
      <c r="H3240" s="37"/>
      <c r="I3240" s="79"/>
      <c r="J3240" s="70"/>
      <c r="K3240" s="57"/>
      <c r="L3240" s="11"/>
      <c r="M3240" s="41"/>
      <c r="N3240" s="11"/>
    </row>
    <row r="3241" spans="8:14" x14ac:dyDescent="0.25">
      <c r="H3241" s="37"/>
      <c r="I3241" s="79"/>
      <c r="J3241" s="70"/>
      <c r="K3241" s="57"/>
      <c r="L3241" s="11"/>
      <c r="M3241" s="41"/>
      <c r="N3241" s="11"/>
    </row>
    <row r="3242" spans="8:14" x14ac:dyDescent="0.25">
      <c r="H3242" s="37"/>
      <c r="I3242" s="79"/>
      <c r="J3242" s="70"/>
      <c r="K3242" s="57"/>
      <c r="L3242" s="11"/>
      <c r="M3242" s="41"/>
      <c r="N3242" s="11"/>
    </row>
    <row r="3243" spans="8:14" x14ac:dyDescent="0.25">
      <c r="H3243" s="37"/>
      <c r="I3243" s="79"/>
      <c r="J3243" s="70"/>
      <c r="K3243" s="57"/>
      <c r="L3243" s="11"/>
      <c r="M3243" s="41"/>
      <c r="N3243" s="11"/>
    </row>
    <row r="3244" spans="8:14" x14ac:dyDescent="0.25">
      <c r="H3244" s="37"/>
      <c r="I3244" s="79"/>
      <c r="J3244" s="70"/>
      <c r="K3244" s="57"/>
      <c r="L3244" s="11"/>
      <c r="M3244" s="41"/>
      <c r="N3244" s="11"/>
    </row>
    <row r="3245" spans="8:14" x14ac:dyDescent="0.25">
      <c r="H3245" s="37"/>
      <c r="I3245" s="79"/>
      <c r="J3245" s="70"/>
      <c r="K3245" s="57"/>
      <c r="L3245" s="11"/>
      <c r="M3245" s="41"/>
      <c r="N3245" s="11"/>
    </row>
    <row r="3246" spans="8:14" x14ac:dyDescent="0.25">
      <c r="H3246" s="37"/>
      <c r="I3246" s="79"/>
      <c r="J3246" s="70"/>
      <c r="K3246" s="57"/>
      <c r="L3246" s="11"/>
      <c r="M3246" s="41"/>
      <c r="N3246" s="11"/>
    </row>
    <row r="3247" spans="8:14" x14ac:dyDescent="0.25">
      <c r="H3247" s="37"/>
      <c r="I3247" s="79"/>
      <c r="J3247" s="70"/>
      <c r="K3247" s="57"/>
      <c r="L3247" s="11"/>
      <c r="M3247" s="41"/>
      <c r="N3247" s="11"/>
    </row>
    <row r="3248" spans="8:14" x14ac:dyDescent="0.25">
      <c r="H3248" s="37"/>
      <c r="I3248" s="79"/>
      <c r="J3248" s="70"/>
      <c r="K3248" s="57"/>
      <c r="L3248" s="11"/>
      <c r="M3248" s="41"/>
      <c r="N3248" s="11"/>
    </row>
    <row r="3249" spans="8:14" x14ac:dyDescent="0.25">
      <c r="H3249" s="37"/>
      <c r="I3249" s="79"/>
      <c r="J3249" s="70"/>
      <c r="K3249" s="57"/>
      <c r="L3249" s="11"/>
      <c r="M3249" s="41"/>
      <c r="N3249" s="11"/>
    </row>
    <row r="3250" spans="8:14" x14ac:dyDescent="0.25">
      <c r="H3250" s="37"/>
      <c r="I3250" s="79"/>
      <c r="J3250" s="70"/>
      <c r="K3250" s="57"/>
      <c r="L3250" s="11"/>
      <c r="M3250" s="41"/>
      <c r="N3250" s="11"/>
    </row>
    <row r="3251" spans="8:14" x14ac:dyDescent="0.25">
      <c r="H3251" s="37"/>
      <c r="I3251" s="79"/>
      <c r="J3251" s="70"/>
      <c r="K3251" s="57"/>
      <c r="L3251" s="11"/>
      <c r="M3251" s="41"/>
      <c r="N3251" s="11"/>
    </row>
    <row r="3252" spans="8:14" x14ac:dyDescent="0.25">
      <c r="H3252" s="37"/>
      <c r="I3252" s="79"/>
      <c r="J3252" s="70"/>
      <c r="K3252" s="57"/>
      <c r="L3252" s="11"/>
      <c r="M3252" s="41"/>
      <c r="N3252" s="11"/>
    </row>
    <row r="3253" spans="8:14" x14ac:dyDescent="0.25">
      <c r="H3253" s="37"/>
      <c r="I3253" s="79"/>
      <c r="J3253" s="70"/>
      <c r="K3253" s="57"/>
      <c r="L3253" s="11"/>
      <c r="M3253" s="41"/>
      <c r="N3253" s="11"/>
    </row>
    <row r="3254" spans="8:14" x14ac:dyDescent="0.25">
      <c r="H3254" s="37"/>
      <c r="I3254" s="79"/>
      <c r="J3254" s="70"/>
      <c r="K3254" s="57"/>
      <c r="L3254" s="11"/>
      <c r="M3254" s="41"/>
      <c r="N3254" s="11"/>
    </row>
    <row r="3255" spans="8:14" x14ac:dyDescent="0.25">
      <c r="H3255" s="37"/>
      <c r="I3255" s="79"/>
      <c r="J3255" s="70"/>
      <c r="K3255" s="57"/>
      <c r="L3255" s="11"/>
      <c r="M3255" s="41"/>
      <c r="N3255" s="11"/>
    </row>
    <row r="3256" spans="8:14" x14ac:dyDescent="0.25">
      <c r="H3256" s="37"/>
      <c r="I3256" s="79"/>
      <c r="J3256" s="70"/>
      <c r="K3256" s="57"/>
      <c r="L3256" s="11"/>
      <c r="M3256" s="41"/>
      <c r="N3256" s="11"/>
    </row>
    <row r="3257" spans="8:14" x14ac:dyDescent="0.25">
      <c r="H3257" s="37"/>
      <c r="I3257" s="79"/>
      <c r="J3257" s="70"/>
      <c r="K3257" s="57"/>
      <c r="L3257" s="11"/>
      <c r="M3257" s="41"/>
      <c r="N3257" s="11"/>
    </row>
    <row r="3258" spans="8:14" x14ac:dyDescent="0.25">
      <c r="H3258" s="37"/>
      <c r="I3258" s="79"/>
      <c r="J3258" s="70"/>
      <c r="K3258" s="57"/>
      <c r="L3258" s="11"/>
      <c r="M3258" s="41"/>
      <c r="N3258" s="11"/>
    </row>
    <row r="3259" spans="8:14" x14ac:dyDescent="0.25">
      <c r="H3259" s="37"/>
      <c r="I3259" s="79"/>
      <c r="J3259" s="70"/>
      <c r="K3259" s="57"/>
      <c r="L3259" s="11"/>
      <c r="M3259" s="41"/>
      <c r="N3259" s="11"/>
    </row>
    <row r="3260" spans="8:14" x14ac:dyDescent="0.25">
      <c r="H3260" s="37"/>
      <c r="I3260" s="79"/>
      <c r="J3260" s="70"/>
      <c r="K3260" s="57"/>
      <c r="L3260" s="11"/>
      <c r="M3260" s="41"/>
      <c r="N3260" s="11"/>
    </row>
    <row r="3261" spans="8:14" x14ac:dyDescent="0.25">
      <c r="H3261" s="37"/>
      <c r="I3261" s="79"/>
      <c r="J3261" s="70"/>
      <c r="K3261" s="57"/>
      <c r="L3261" s="11"/>
      <c r="M3261" s="41"/>
      <c r="N3261" s="11"/>
    </row>
    <row r="3262" spans="8:14" x14ac:dyDescent="0.25">
      <c r="H3262" s="37"/>
      <c r="I3262" s="79"/>
      <c r="J3262" s="70"/>
      <c r="K3262" s="57"/>
      <c r="L3262" s="11"/>
      <c r="M3262" s="41"/>
      <c r="N3262" s="11"/>
    </row>
    <row r="3263" spans="8:14" x14ac:dyDescent="0.25">
      <c r="H3263" s="37"/>
      <c r="I3263" s="79"/>
      <c r="J3263" s="70"/>
      <c r="K3263" s="57"/>
      <c r="L3263" s="11"/>
      <c r="M3263" s="41"/>
      <c r="N3263" s="11"/>
    </row>
    <row r="3264" spans="8:14" x14ac:dyDescent="0.25">
      <c r="H3264" s="37"/>
      <c r="I3264" s="79"/>
      <c r="J3264" s="70"/>
      <c r="K3264" s="57"/>
      <c r="L3264" s="11"/>
      <c r="M3264" s="41"/>
      <c r="N3264" s="11"/>
    </row>
    <row r="3265" spans="8:14" x14ac:dyDescent="0.25">
      <c r="H3265" s="37"/>
      <c r="I3265" s="79"/>
      <c r="J3265" s="70"/>
      <c r="K3265" s="57"/>
      <c r="L3265" s="11"/>
      <c r="M3265" s="41"/>
      <c r="N3265" s="11"/>
    </row>
    <row r="3266" spans="8:14" x14ac:dyDescent="0.25">
      <c r="H3266" s="37"/>
      <c r="I3266" s="79"/>
      <c r="J3266" s="70"/>
      <c r="K3266" s="57"/>
      <c r="L3266" s="11"/>
      <c r="M3266" s="41"/>
      <c r="N3266" s="11"/>
    </row>
    <row r="3267" spans="8:14" x14ac:dyDescent="0.25">
      <c r="H3267" s="37"/>
      <c r="I3267" s="79"/>
      <c r="J3267" s="70"/>
      <c r="K3267" s="57"/>
      <c r="L3267" s="11"/>
      <c r="M3267" s="41"/>
      <c r="N3267" s="11"/>
    </row>
    <row r="3268" spans="8:14" x14ac:dyDescent="0.25">
      <c r="H3268" s="37"/>
      <c r="I3268" s="79"/>
      <c r="J3268" s="70"/>
      <c r="K3268" s="57"/>
      <c r="L3268" s="11"/>
      <c r="M3268" s="41"/>
      <c r="N3268" s="11"/>
    </row>
    <row r="3269" spans="8:14" x14ac:dyDescent="0.25">
      <c r="H3269" s="37"/>
      <c r="I3269" s="79"/>
      <c r="J3269" s="70"/>
      <c r="K3269" s="57"/>
      <c r="L3269" s="11"/>
      <c r="M3269" s="41"/>
      <c r="N3269" s="11"/>
    </row>
    <row r="3270" spans="8:14" x14ac:dyDescent="0.25">
      <c r="H3270" s="37"/>
      <c r="I3270" s="79"/>
      <c r="J3270" s="70"/>
      <c r="K3270" s="57"/>
      <c r="L3270" s="11"/>
      <c r="M3270" s="41"/>
      <c r="N3270" s="11"/>
    </row>
    <row r="3271" spans="8:14" x14ac:dyDescent="0.25">
      <c r="H3271" s="37"/>
      <c r="I3271" s="79"/>
      <c r="J3271" s="70"/>
      <c r="K3271" s="57"/>
      <c r="L3271" s="11"/>
      <c r="M3271" s="41"/>
      <c r="N3271" s="11"/>
    </row>
    <row r="3272" spans="8:14" x14ac:dyDescent="0.25">
      <c r="H3272" s="37"/>
      <c r="I3272" s="79"/>
      <c r="J3272" s="70"/>
      <c r="K3272" s="57"/>
      <c r="L3272" s="11"/>
      <c r="M3272" s="41"/>
      <c r="N3272" s="11"/>
    </row>
    <row r="3273" spans="8:14" x14ac:dyDescent="0.25">
      <c r="H3273" s="37"/>
      <c r="I3273" s="79"/>
      <c r="J3273" s="70"/>
      <c r="K3273" s="57"/>
      <c r="L3273" s="11"/>
      <c r="M3273" s="41"/>
      <c r="N3273" s="11"/>
    </row>
    <row r="3274" spans="8:14" x14ac:dyDescent="0.25">
      <c r="H3274" s="37"/>
      <c r="I3274" s="79"/>
      <c r="J3274" s="70"/>
      <c r="K3274" s="57"/>
      <c r="L3274" s="11"/>
      <c r="M3274" s="41"/>
      <c r="N3274" s="11"/>
    </row>
    <row r="3275" spans="8:14" x14ac:dyDescent="0.25">
      <c r="H3275" s="37"/>
      <c r="I3275" s="79"/>
      <c r="J3275" s="70"/>
      <c r="K3275" s="57"/>
      <c r="L3275" s="11"/>
      <c r="M3275" s="41"/>
      <c r="N3275" s="11"/>
    </row>
    <row r="3276" spans="8:14" x14ac:dyDescent="0.25">
      <c r="H3276" s="37"/>
      <c r="I3276" s="79"/>
      <c r="J3276" s="70"/>
      <c r="K3276" s="57"/>
      <c r="L3276" s="11"/>
      <c r="M3276" s="41"/>
      <c r="N3276" s="11"/>
    </row>
    <row r="3277" spans="8:14" x14ac:dyDescent="0.25">
      <c r="H3277" s="37"/>
      <c r="I3277" s="79"/>
      <c r="J3277" s="70"/>
      <c r="K3277" s="57"/>
      <c r="L3277" s="11"/>
      <c r="M3277" s="41"/>
      <c r="N3277" s="11"/>
    </row>
    <row r="3278" spans="8:14" x14ac:dyDescent="0.25">
      <c r="H3278" s="37"/>
      <c r="I3278" s="79"/>
      <c r="J3278" s="70"/>
      <c r="K3278" s="57"/>
      <c r="L3278" s="11"/>
      <c r="M3278" s="41"/>
      <c r="N3278" s="11"/>
    </row>
    <row r="3279" spans="8:14" x14ac:dyDescent="0.25">
      <c r="H3279" s="37"/>
      <c r="I3279" s="79"/>
      <c r="J3279" s="70"/>
      <c r="K3279" s="57"/>
      <c r="L3279" s="11"/>
      <c r="M3279" s="41"/>
      <c r="N3279" s="11"/>
    </row>
    <row r="3280" spans="8:14" x14ac:dyDescent="0.25">
      <c r="H3280" s="37"/>
      <c r="I3280" s="79"/>
      <c r="J3280" s="70"/>
      <c r="K3280" s="57"/>
      <c r="L3280" s="11"/>
      <c r="M3280" s="41"/>
      <c r="N3280" s="11"/>
    </row>
    <row r="3281" spans="8:14" x14ac:dyDescent="0.25">
      <c r="H3281" s="37"/>
      <c r="I3281" s="79"/>
      <c r="J3281" s="70"/>
      <c r="K3281" s="57"/>
      <c r="L3281" s="11"/>
      <c r="M3281" s="41"/>
      <c r="N3281" s="11"/>
    </row>
    <row r="3282" spans="8:14" x14ac:dyDescent="0.25">
      <c r="H3282" s="37"/>
      <c r="I3282" s="79"/>
      <c r="J3282" s="70"/>
      <c r="K3282" s="57"/>
      <c r="L3282" s="11"/>
      <c r="M3282" s="41"/>
      <c r="N3282" s="11"/>
    </row>
    <row r="3283" spans="8:14" x14ac:dyDescent="0.25">
      <c r="H3283" s="37"/>
      <c r="I3283" s="79"/>
      <c r="J3283" s="70"/>
      <c r="K3283" s="57"/>
      <c r="L3283" s="11"/>
      <c r="M3283" s="41"/>
      <c r="N3283" s="11"/>
    </row>
    <row r="3284" spans="8:14" x14ac:dyDescent="0.25">
      <c r="H3284" s="37"/>
      <c r="I3284" s="79"/>
      <c r="J3284" s="70"/>
      <c r="K3284" s="57"/>
      <c r="L3284" s="11"/>
      <c r="M3284" s="41"/>
      <c r="N3284" s="11"/>
    </row>
    <row r="3285" spans="8:14" x14ac:dyDescent="0.25">
      <c r="H3285" s="37"/>
      <c r="I3285" s="79"/>
      <c r="J3285" s="70"/>
      <c r="K3285" s="57"/>
      <c r="L3285" s="11"/>
      <c r="M3285" s="41"/>
      <c r="N3285" s="11"/>
    </row>
    <row r="3286" spans="8:14" x14ac:dyDescent="0.25">
      <c r="H3286" s="37"/>
      <c r="I3286" s="79"/>
      <c r="J3286" s="70"/>
      <c r="K3286" s="57"/>
      <c r="L3286" s="11"/>
      <c r="M3286" s="41"/>
      <c r="N3286" s="11"/>
    </row>
    <row r="3287" spans="8:14" x14ac:dyDescent="0.25">
      <c r="H3287" s="37"/>
      <c r="I3287" s="79"/>
      <c r="J3287" s="70"/>
      <c r="K3287" s="57"/>
      <c r="L3287" s="11"/>
      <c r="M3287" s="41"/>
      <c r="N3287" s="11"/>
    </row>
    <row r="3288" spans="8:14" x14ac:dyDescent="0.25">
      <c r="H3288" s="37"/>
      <c r="I3288" s="79"/>
      <c r="J3288" s="70"/>
      <c r="K3288" s="57"/>
      <c r="L3288" s="11"/>
      <c r="M3288" s="41"/>
      <c r="N3288" s="11"/>
    </row>
    <row r="3289" spans="8:14" x14ac:dyDescent="0.25">
      <c r="H3289" s="37"/>
      <c r="I3289" s="79"/>
      <c r="J3289" s="70"/>
      <c r="K3289" s="57"/>
      <c r="L3289" s="11"/>
      <c r="M3289" s="41"/>
      <c r="N3289" s="11"/>
    </row>
    <row r="3290" spans="8:14" x14ac:dyDescent="0.25">
      <c r="H3290" s="37"/>
      <c r="I3290" s="79"/>
      <c r="J3290" s="70"/>
      <c r="K3290" s="57"/>
      <c r="L3290" s="11"/>
      <c r="M3290" s="41"/>
      <c r="N3290" s="11"/>
    </row>
    <row r="3291" spans="8:14" x14ac:dyDescent="0.25">
      <c r="H3291" s="37"/>
      <c r="I3291" s="79"/>
      <c r="J3291" s="70"/>
      <c r="K3291" s="57"/>
      <c r="L3291" s="11"/>
      <c r="M3291" s="41"/>
      <c r="N3291" s="11"/>
    </row>
    <row r="3292" spans="8:14" x14ac:dyDescent="0.25">
      <c r="H3292" s="37"/>
      <c r="I3292" s="79"/>
      <c r="J3292" s="70"/>
      <c r="K3292" s="57"/>
      <c r="L3292" s="11"/>
      <c r="M3292" s="41"/>
      <c r="N3292" s="11"/>
    </row>
    <row r="3293" spans="8:14" x14ac:dyDescent="0.25">
      <c r="H3293" s="37"/>
      <c r="I3293" s="79"/>
      <c r="J3293" s="70"/>
      <c r="K3293" s="57"/>
      <c r="L3293" s="11"/>
      <c r="M3293" s="41"/>
      <c r="N3293" s="11"/>
    </row>
    <row r="3294" spans="8:14" x14ac:dyDescent="0.25">
      <c r="H3294" s="37"/>
      <c r="I3294" s="79"/>
      <c r="J3294" s="70"/>
      <c r="K3294" s="57"/>
      <c r="L3294" s="11"/>
      <c r="M3294" s="41"/>
      <c r="N3294" s="11"/>
    </row>
    <row r="3295" spans="8:14" x14ac:dyDescent="0.25">
      <c r="H3295" s="37"/>
      <c r="I3295" s="79"/>
      <c r="J3295" s="70"/>
      <c r="K3295" s="57"/>
      <c r="L3295" s="11"/>
      <c r="M3295" s="41"/>
      <c r="N3295" s="11"/>
    </row>
    <row r="3296" spans="8:14" x14ac:dyDescent="0.25">
      <c r="H3296" s="37"/>
      <c r="I3296" s="79"/>
      <c r="J3296" s="70"/>
      <c r="K3296" s="57"/>
      <c r="L3296" s="11"/>
      <c r="M3296" s="41"/>
      <c r="N3296" s="11"/>
    </row>
    <row r="3297" spans="8:14" x14ac:dyDescent="0.25">
      <c r="H3297" s="37"/>
      <c r="I3297" s="79"/>
      <c r="J3297" s="70"/>
      <c r="K3297" s="57"/>
      <c r="L3297" s="11"/>
      <c r="M3297" s="41"/>
      <c r="N3297" s="11"/>
    </row>
    <row r="3298" spans="8:14" x14ac:dyDescent="0.25">
      <c r="H3298" s="37"/>
      <c r="I3298" s="79"/>
      <c r="J3298" s="70"/>
      <c r="K3298" s="57"/>
      <c r="L3298" s="11"/>
      <c r="M3298" s="41"/>
      <c r="N3298" s="11"/>
    </row>
    <row r="3299" spans="8:14" x14ac:dyDescent="0.25">
      <c r="H3299" s="37"/>
      <c r="I3299" s="79"/>
      <c r="J3299" s="70"/>
      <c r="K3299" s="57"/>
      <c r="L3299" s="11"/>
      <c r="M3299" s="41"/>
      <c r="N3299" s="11"/>
    </row>
    <row r="3300" spans="8:14" x14ac:dyDescent="0.25">
      <c r="H3300" s="37"/>
      <c r="I3300" s="79"/>
      <c r="J3300" s="70"/>
      <c r="K3300" s="57"/>
      <c r="L3300" s="11"/>
      <c r="M3300" s="41"/>
      <c r="N3300" s="11"/>
    </row>
    <row r="3301" spans="8:14" x14ac:dyDescent="0.25">
      <c r="H3301" s="37"/>
      <c r="I3301" s="79"/>
      <c r="J3301" s="70"/>
      <c r="K3301" s="57"/>
      <c r="L3301" s="11"/>
      <c r="M3301" s="41"/>
      <c r="N3301" s="11"/>
    </row>
    <row r="3302" spans="8:14" x14ac:dyDescent="0.25">
      <c r="H3302" s="37"/>
      <c r="I3302" s="79"/>
      <c r="J3302" s="70"/>
      <c r="K3302" s="57"/>
      <c r="L3302" s="11"/>
      <c r="M3302" s="41"/>
      <c r="N3302" s="11"/>
    </row>
    <row r="3303" spans="8:14" x14ac:dyDescent="0.25">
      <c r="H3303" s="37"/>
      <c r="I3303" s="79"/>
      <c r="J3303" s="70"/>
      <c r="K3303" s="57"/>
      <c r="L3303" s="11"/>
      <c r="M3303" s="41"/>
      <c r="N3303" s="11"/>
    </row>
    <row r="3304" spans="8:14" x14ac:dyDescent="0.25">
      <c r="H3304" s="37"/>
      <c r="I3304" s="79"/>
      <c r="J3304" s="70"/>
      <c r="K3304" s="57"/>
      <c r="L3304" s="11"/>
      <c r="M3304" s="41"/>
      <c r="N3304" s="11"/>
    </row>
    <row r="3305" spans="8:14" x14ac:dyDescent="0.25">
      <c r="H3305" s="37"/>
      <c r="I3305" s="79"/>
      <c r="J3305" s="70"/>
      <c r="K3305" s="57"/>
      <c r="L3305" s="11"/>
      <c r="M3305" s="41"/>
      <c r="N3305" s="11"/>
    </row>
    <row r="3306" spans="8:14" x14ac:dyDescent="0.25">
      <c r="H3306" s="37"/>
      <c r="I3306" s="79"/>
      <c r="J3306" s="70"/>
      <c r="K3306" s="57"/>
      <c r="L3306" s="11"/>
      <c r="M3306" s="41"/>
      <c r="N3306" s="11"/>
    </row>
    <row r="3307" spans="8:14" x14ac:dyDescent="0.25">
      <c r="H3307" s="37"/>
      <c r="I3307" s="79"/>
      <c r="J3307" s="70"/>
      <c r="K3307" s="57"/>
      <c r="L3307" s="11"/>
      <c r="M3307" s="41"/>
      <c r="N3307" s="11"/>
    </row>
    <row r="3308" spans="8:14" x14ac:dyDescent="0.25">
      <c r="H3308" s="37"/>
      <c r="I3308" s="79"/>
      <c r="J3308" s="70"/>
      <c r="K3308" s="57"/>
      <c r="L3308" s="11"/>
      <c r="M3308" s="41"/>
      <c r="N3308" s="11"/>
    </row>
    <row r="3309" spans="8:14" x14ac:dyDescent="0.25">
      <c r="H3309" s="37"/>
      <c r="I3309" s="79"/>
      <c r="J3309" s="70"/>
      <c r="K3309" s="57"/>
      <c r="L3309" s="11"/>
      <c r="M3309" s="41"/>
      <c r="N3309" s="11"/>
    </row>
    <row r="3310" spans="8:14" x14ac:dyDescent="0.25">
      <c r="H3310" s="37"/>
      <c r="I3310" s="79"/>
      <c r="J3310" s="70"/>
      <c r="K3310" s="57"/>
      <c r="L3310" s="11"/>
      <c r="M3310" s="41"/>
      <c r="N3310" s="11"/>
    </row>
    <row r="3311" spans="8:14" x14ac:dyDescent="0.25">
      <c r="H3311" s="37"/>
      <c r="I3311" s="79"/>
      <c r="J3311" s="70"/>
      <c r="K3311" s="57"/>
      <c r="L3311" s="11"/>
      <c r="M3311" s="41"/>
      <c r="N3311" s="11"/>
    </row>
    <row r="3312" spans="8:14" x14ac:dyDescent="0.25">
      <c r="H3312" s="37"/>
      <c r="I3312" s="79"/>
      <c r="J3312" s="70"/>
      <c r="K3312" s="57"/>
      <c r="L3312" s="11"/>
      <c r="M3312" s="41"/>
      <c r="N3312" s="11"/>
    </row>
    <row r="3313" spans="8:14" x14ac:dyDescent="0.25">
      <c r="H3313" s="37"/>
      <c r="I3313" s="79"/>
      <c r="J3313" s="70"/>
      <c r="K3313" s="57"/>
      <c r="L3313" s="11"/>
      <c r="M3313" s="41"/>
      <c r="N3313" s="11"/>
    </row>
    <row r="3314" spans="8:14" x14ac:dyDescent="0.25">
      <c r="H3314" s="37"/>
      <c r="I3314" s="79"/>
      <c r="J3314" s="70"/>
      <c r="K3314" s="57"/>
      <c r="L3314" s="11"/>
      <c r="M3314" s="41"/>
      <c r="N3314" s="11"/>
    </row>
    <row r="3315" spans="8:14" x14ac:dyDescent="0.25">
      <c r="H3315" s="37"/>
      <c r="I3315" s="79"/>
      <c r="J3315" s="70"/>
      <c r="K3315" s="57"/>
      <c r="L3315" s="11"/>
      <c r="M3315" s="41"/>
      <c r="N3315" s="11"/>
    </row>
    <row r="3316" spans="8:14" x14ac:dyDescent="0.25">
      <c r="H3316" s="37"/>
      <c r="I3316" s="79"/>
      <c r="J3316" s="70"/>
      <c r="K3316" s="57"/>
      <c r="L3316" s="11"/>
      <c r="M3316" s="41"/>
      <c r="N3316" s="11"/>
    </row>
    <row r="3317" spans="8:14" x14ac:dyDescent="0.25">
      <c r="H3317" s="37"/>
      <c r="I3317" s="79"/>
      <c r="J3317" s="70"/>
      <c r="K3317" s="57"/>
      <c r="L3317" s="11"/>
      <c r="M3317" s="41"/>
      <c r="N3317" s="11"/>
    </row>
    <row r="3318" spans="8:14" x14ac:dyDescent="0.25">
      <c r="H3318" s="37"/>
      <c r="I3318" s="79"/>
      <c r="J3318" s="70"/>
      <c r="K3318" s="57"/>
      <c r="L3318" s="11"/>
      <c r="M3318" s="41"/>
      <c r="N3318" s="11"/>
    </row>
    <row r="3319" spans="8:14" x14ac:dyDescent="0.25">
      <c r="H3319" s="37"/>
      <c r="I3319" s="79"/>
      <c r="J3319" s="70"/>
      <c r="K3319" s="57"/>
      <c r="L3319" s="11"/>
      <c r="M3319" s="41"/>
      <c r="N3319" s="11"/>
    </row>
    <row r="3320" spans="8:14" x14ac:dyDescent="0.25">
      <c r="H3320" s="37"/>
      <c r="I3320" s="79"/>
      <c r="J3320" s="70"/>
      <c r="K3320" s="57"/>
      <c r="L3320" s="11"/>
      <c r="M3320" s="41"/>
      <c r="N3320" s="11"/>
    </row>
    <row r="3321" spans="8:14" x14ac:dyDescent="0.25">
      <c r="H3321" s="37"/>
      <c r="I3321" s="79"/>
      <c r="J3321" s="70"/>
      <c r="K3321" s="57"/>
      <c r="L3321" s="11"/>
      <c r="M3321" s="41"/>
      <c r="N3321" s="11"/>
    </row>
    <row r="3322" spans="8:14" x14ac:dyDescent="0.25">
      <c r="H3322" s="37"/>
      <c r="I3322" s="79"/>
      <c r="J3322" s="70"/>
      <c r="K3322" s="57"/>
      <c r="L3322" s="11"/>
      <c r="M3322" s="41"/>
      <c r="N3322" s="11"/>
    </row>
    <row r="3323" spans="8:14" x14ac:dyDescent="0.25">
      <c r="H3323" s="37"/>
      <c r="I3323" s="79"/>
      <c r="J3323" s="70"/>
      <c r="K3323" s="57"/>
      <c r="L3323" s="11"/>
      <c r="M3323" s="41"/>
      <c r="N3323" s="11"/>
    </row>
    <row r="3324" spans="8:14" x14ac:dyDescent="0.25">
      <c r="H3324" s="37"/>
      <c r="I3324" s="79"/>
      <c r="J3324" s="70"/>
      <c r="K3324" s="57"/>
      <c r="L3324" s="11"/>
      <c r="M3324" s="41"/>
      <c r="N3324" s="11"/>
    </row>
    <row r="3325" spans="8:14" x14ac:dyDescent="0.25">
      <c r="H3325" s="37"/>
      <c r="I3325" s="79"/>
      <c r="J3325" s="70"/>
      <c r="K3325" s="57"/>
      <c r="L3325" s="11"/>
      <c r="M3325" s="41"/>
      <c r="N3325" s="11"/>
    </row>
    <row r="3326" spans="8:14" x14ac:dyDescent="0.25">
      <c r="H3326" s="37"/>
      <c r="I3326" s="79"/>
      <c r="J3326" s="70"/>
      <c r="K3326" s="57"/>
      <c r="L3326" s="11"/>
      <c r="M3326" s="41"/>
      <c r="N3326" s="11"/>
    </row>
    <row r="3327" spans="8:14" x14ac:dyDescent="0.25">
      <c r="H3327" s="37"/>
      <c r="I3327" s="79"/>
      <c r="J3327" s="70"/>
      <c r="K3327" s="57"/>
      <c r="L3327" s="11"/>
      <c r="M3327" s="41"/>
      <c r="N3327" s="11"/>
    </row>
    <row r="3328" spans="8:14" x14ac:dyDescent="0.25">
      <c r="H3328" s="37"/>
      <c r="I3328" s="79"/>
      <c r="J3328" s="70"/>
      <c r="K3328" s="57"/>
      <c r="L3328" s="11"/>
      <c r="M3328" s="41"/>
      <c r="N3328" s="11"/>
    </row>
    <row r="3329" spans="8:14" x14ac:dyDescent="0.25">
      <c r="H3329" s="37"/>
      <c r="I3329" s="79"/>
      <c r="J3329" s="70"/>
      <c r="K3329" s="57"/>
      <c r="L3329" s="11"/>
      <c r="M3329" s="41"/>
      <c r="N3329" s="11"/>
    </row>
    <row r="3330" spans="8:14" x14ac:dyDescent="0.25">
      <c r="H3330" s="37"/>
      <c r="I3330" s="79"/>
      <c r="J3330" s="70"/>
      <c r="K3330" s="57"/>
      <c r="L3330" s="11"/>
      <c r="M3330" s="41"/>
      <c r="N3330" s="11"/>
    </row>
    <row r="3331" spans="8:14" x14ac:dyDescent="0.25">
      <c r="H3331" s="37"/>
      <c r="I3331" s="79"/>
      <c r="J3331" s="70"/>
      <c r="K3331" s="57"/>
      <c r="L3331" s="11"/>
      <c r="M3331" s="41"/>
      <c r="N3331" s="11"/>
    </row>
    <row r="3332" spans="8:14" x14ac:dyDescent="0.25">
      <c r="H3332" s="37"/>
      <c r="I3332" s="79"/>
      <c r="J3332" s="70"/>
      <c r="K3332" s="57"/>
      <c r="L3332" s="11"/>
      <c r="M3332" s="41"/>
      <c r="N3332" s="11"/>
    </row>
    <row r="3333" spans="8:14" x14ac:dyDescent="0.25">
      <c r="H3333" s="37"/>
      <c r="I3333" s="79"/>
      <c r="J3333" s="70"/>
      <c r="K3333" s="57"/>
      <c r="L3333" s="11"/>
      <c r="M3333" s="41"/>
      <c r="N3333" s="11"/>
    </row>
    <row r="3334" spans="8:14" x14ac:dyDescent="0.25">
      <c r="H3334" s="37"/>
      <c r="I3334" s="79"/>
      <c r="J3334" s="70"/>
      <c r="K3334" s="57"/>
      <c r="L3334" s="11"/>
      <c r="M3334" s="41"/>
      <c r="N3334" s="11"/>
    </row>
    <row r="3335" spans="8:14" x14ac:dyDescent="0.25">
      <c r="H3335" s="37"/>
      <c r="I3335" s="79"/>
      <c r="J3335" s="70"/>
      <c r="K3335" s="57"/>
      <c r="L3335" s="11"/>
      <c r="M3335" s="41"/>
      <c r="N3335" s="11"/>
    </row>
    <row r="3336" spans="8:14" x14ac:dyDescent="0.25">
      <c r="H3336" s="37"/>
      <c r="I3336" s="79"/>
      <c r="J3336" s="70"/>
      <c r="K3336" s="57"/>
      <c r="L3336" s="11"/>
      <c r="M3336" s="41"/>
      <c r="N3336" s="11"/>
    </row>
    <row r="3337" spans="8:14" x14ac:dyDescent="0.25">
      <c r="H3337" s="37"/>
      <c r="I3337" s="79"/>
      <c r="J3337" s="70"/>
      <c r="K3337" s="57"/>
      <c r="L3337" s="11"/>
      <c r="M3337" s="41"/>
      <c r="N3337" s="11"/>
    </row>
    <row r="3338" spans="8:14" x14ac:dyDescent="0.25">
      <c r="H3338" s="37"/>
      <c r="I3338" s="79"/>
      <c r="J3338" s="70"/>
      <c r="K3338" s="57"/>
      <c r="L3338" s="11"/>
      <c r="M3338" s="41"/>
      <c r="N3338" s="11"/>
    </row>
    <row r="3339" spans="8:14" x14ac:dyDescent="0.25">
      <c r="H3339" s="37"/>
      <c r="I3339" s="79"/>
      <c r="J3339" s="70"/>
      <c r="K3339" s="57"/>
      <c r="L3339" s="11"/>
      <c r="M3339" s="41"/>
      <c r="N3339" s="11"/>
    </row>
    <row r="3340" spans="8:14" x14ac:dyDescent="0.25">
      <c r="H3340" s="37"/>
      <c r="I3340" s="79"/>
      <c r="J3340" s="70"/>
      <c r="K3340" s="57"/>
      <c r="L3340" s="11"/>
      <c r="M3340" s="41"/>
      <c r="N3340" s="11"/>
    </row>
    <row r="3341" spans="8:14" x14ac:dyDescent="0.25">
      <c r="H3341" s="37"/>
      <c r="I3341" s="79"/>
      <c r="J3341" s="70"/>
      <c r="K3341" s="57"/>
      <c r="L3341" s="11"/>
      <c r="M3341" s="41"/>
      <c r="N3341" s="11"/>
    </row>
    <row r="3342" spans="8:14" x14ac:dyDescent="0.25">
      <c r="H3342" s="37"/>
      <c r="I3342" s="79"/>
      <c r="J3342" s="70"/>
      <c r="K3342" s="57"/>
      <c r="L3342" s="11"/>
      <c r="M3342" s="41"/>
      <c r="N3342" s="11"/>
    </row>
    <row r="3343" spans="8:14" x14ac:dyDescent="0.25">
      <c r="H3343" s="37"/>
      <c r="I3343" s="79"/>
      <c r="J3343" s="70"/>
      <c r="K3343" s="57"/>
      <c r="L3343" s="11"/>
      <c r="M3343" s="41"/>
      <c r="N3343" s="11"/>
    </row>
    <row r="3344" spans="8:14" x14ac:dyDescent="0.25">
      <c r="H3344" s="37"/>
      <c r="I3344" s="79"/>
      <c r="J3344" s="70"/>
      <c r="K3344" s="57"/>
      <c r="L3344" s="11"/>
      <c r="M3344" s="41"/>
      <c r="N3344" s="11"/>
    </row>
    <row r="3345" spans="8:14" x14ac:dyDescent="0.25">
      <c r="H3345" s="37"/>
      <c r="I3345" s="79"/>
      <c r="J3345" s="70"/>
      <c r="K3345" s="57"/>
      <c r="L3345" s="11"/>
      <c r="M3345" s="41"/>
      <c r="N3345" s="11"/>
    </row>
    <row r="3346" spans="8:14" x14ac:dyDescent="0.25">
      <c r="H3346" s="37"/>
      <c r="I3346" s="79"/>
      <c r="J3346" s="70"/>
      <c r="K3346" s="57"/>
      <c r="L3346" s="11"/>
      <c r="M3346" s="41"/>
      <c r="N3346" s="11"/>
    </row>
    <row r="3347" spans="8:14" x14ac:dyDescent="0.25">
      <c r="H3347" s="37"/>
      <c r="I3347" s="79"/>
      <c r="J3347" s="70"/>
      <c r="K3347" s="57"/>
      <c r="L3347" s="11"/>
      <c r="M3347" s="41"/>
      <c r="N3347" s="11"/>
    </row>
    <row r="3348" spans="8:14" x14ac:dyDescent="0.25">
      <c r="H3348" s="37"/>
      <c r="I3348" s="79"/>
      <c r="J3348" s="70"/>
      <c r="K3348" s="57"/>
      <c r="L3348" s="11"/>
      <c r="M3348" s="41"/>
      <c r="N3348" s="11"/>
    </row>
    <row r="3349" spans="8:14" x14ac:dyDescent="0.25">
      <c r="H3349" s="37"/>
      <c r="I3349" s="79"/>
      <c r="J3349" s="70"/>
      <c r="K3349" s="57"/>
      <c r="L3349" s="11"/>
      <c r="M3349" s="41"/>
      <c r="N3349" s="11"/>
    </row>
    <row r="3350" spans="8:14" x14ac:dyDescent="0.25">
      <c r="H3350" s="37"/>
      <c r="I3350" s="79"/>
      <c r="J3350" s="70"/>
      <c r="K3350" s="57"/>
      <c r="L3350" s="11"/>
      <c r="M3350" s="41"/>
      <c r="N3350" s="11"/>
    </row>
    <row r="3351" spans="8:14" x14ac:dyDescent="0.25">
      <c r="H3351" s="37"/>
      <c r="I3351" s="79"/>
      <c r="J3351" s="70"/>
      <c r="K3351" s="57"/>
      <c r="L3351" s="11"/>
      <c r="M3351" s="41"/>
      <c r="N3351" s="11"/>
    </row>
    <row r="3352" spans="8:14" x14ac:dyDescent="0.25">
      <c r="H3352" s="37"/>
      <c r="I3352" s="79"/>
      <c r="J3352" s="70"/>
      <c r="K3352" s="57"/>
      <c r="L3352" s="11"/>
      <c r="M3352" s="41"/>
      <c r="N3352" s="11"/>
    </row>
    <row r="3353" spans="8:14" x14ac:dyDescent="0.25">
      <c r="H3353" s="37"/>
      <c r="I3353" s="79"/>
      <c r="J3353" s="70"/>
      <c r="K3353" s="57"/>
      <c r="L3353" s="11"/>
      <c r="M3353" s="41"/>
      <c r="N3353" s="11"/>
    </row>
    <row r="3354" spans="8:14" x14ac:dyDescent="0.25">
      <c r="H3354" s="37"/>
      <c r="I3354" s="79"/>
      <c r="J3354" s="70"/>
      <c r="K3354" s="57"/>
      <c r="L3354" s="11"/>
      <c r="M3354" s="41"/>
      <c r="N3354" s="11"/>
    </row>
    <row r="3355" spans="8:14" x14ac:dyDescent="0.25">
      <c r="H3355" s="37"/>
      <c r="I3355" s="79"/>
      <c r="J3355" s="70"/>
      <c r="K3355" s="57"/>
      <c r="L3355" s="11"/>
      <c r="M3355" s="41"/>
      <c r="N3355" s="11"/>
    </row>
    <row r="3356" spans="8:14" x14ac:dyDescent="0.25">
      <c r="H3356" s="37"/>
      <c r="I3356" s="79"/>
      <c r="J3356" s="70"/>
      <c r="K3356" s="57"/>
      <c r="L3356" s="11"/>
      <c r="M3356" s="41"/>
      <c r="N3356" s="11"/>
    </row>
    <row r="3357" spans="8:14" x14ac:dyDescent="0.25">
      <c r="H3357" s="37"/>
      <c r="I3357" s="79"/>
      <c r="J3357" s="70"/>
      <c r="K3357" s="57"/>
      <c r="L3357" s="11"/>
      <c r="M3357" s="41"/>
      <c r="N3357" s="11"/>
    </row>
    <row r="3358" spans="8:14" x14ac:dyDescent="0.25">
      <c r="H3358" s="37"/>
      <c r="I3358" s="79"/>
      <c r="J3358" s="70"/>
      <c r="K3358" s="57"/>
      <c r="L3358" s="11"/>
      <c r="M3358" s="41"/>
      <c r="N3358" s="11"/>
    </row>
    <row r="3359" spans="8:14" x14ac:dyDescent="0.25">
      <c r="H3359" s="37"/>
      <c r="I3359" s="79"/>
      <c r="J3359" s="70"/>
      <c r="K3359" s="57"/>
      <c r="L3359" s="11"/>
      <c r="M3359" s="41"/>
      <c r="N3359" s="11"/>
    </row>
    <row r="3360" spans="8:14" x14ac:dyDescent="0.25">
      <c r="H3360" s="37"/>
      <c r="I3360" s="79"/>
      <c r="J3360" s="70"/>
      <c r="K3360" s="57"/>
      <c r="L3360" s="11"/>
      <c r="M3360" s="41"/>
      <c r="N3360" s="11"/>
    </row>
    <row r="3361" spans="8:14" x14ac:dyDescent="0.25">
      <c r="H3361" s="37"/>
      <c r="I3361" s="79"/>
      <c r="J3361" s="70"/>
      <c r="K3361" s="57"/>
      <c r="L3361" s="11"/>
      <c r="M3361" s="41"/>
      <c r="N3361" s="11"/>
    </row>
    <row r="3362" spans="8:14" x14ac:dyDescent="0.25">
      <c r="H3362" s="37"/>
      <c r="I3362" s="79"/>
      <c r="J3362" s="70"/>
      <c r="K3362" s="57"/>
      <c r="L3362" s="11"/>
      <c r="M3362" s="41"/>
      <c r="N3362" s="11"/>
    </row>
    <row r="3363" spans="8:14" x14ac:dyDescent="0.25">
      <c r="H3363" s="37"/>
      <c r="I3363" s="79"/>
      <c r="J3363" s="70"/>
      <c r="K3363" s="57"/>
      <c r="L3363" s="11"/>
      <c r="M3363" s="41"/>
      <c r="N3363" s="11"/>
    </row>
    <row r="3364" spans="8:14" x14ac:dyDescent="0.25">
      <c r="H3364" s="37"/>
      <c r="I3364" s="79"/>
      <c r="J3364" s="70"/>
      <c r="K3364" s="57"/>
      <c r="L3364" s="11"/>
      <c r="M3364" s="41"/>
      <c r="N3364" s="11"/>
    </row>
    <row r="3365" spans="8:14" x14ac:dyDescent="0.25">
      <c r="H3365" s="37"/>
      <c r="I3365" s="79"/>
      <c r="J3365" s="70"/>
      <c r="K3365" s="57"/>
      <c r="L3365" s="11"/>
      <c r="M3365" s="41"/>
      <c r="N3365" s="11"/>
    </row>
    <row r="3366" spans="8:14" x14ac:dyDescent="0.25">
      <c r="H3366" s="37"/>
      <c r="I3366" s="79"/>
      <c r="J3366" s="70"/>
      <c r="K3366" s="57"/>
      <c r="L3366" s="11"/>
      <c r="M3366" s="41"/>
      <c r="N3366" s="11"/>
    </row>
    <row r="3367" spans="8:14" x14ac:dyDescent="0.25">
      <c r="H3367" s="37"/>
      <c r="I3367" s="79"/>
      <c r="J3367" s="70"/>
      <c r="K3367" s="57"/>
      <c r="L3367" s="11"/>
      <c r="M3367" s="41"/>
      <c r="N3367" s="11"/>
    </row>
    <row r="3368" spans="8:14" x14ac:dyDescent="0.25">
      <c r="H3368" s="37"/>
      <c r="I3368" s="79"/>
      <c r="J3368" s="70"/>
      <c r="K3368" s="57"/>
      <c r="L3368" s="11"/>
      <c r="M3368" s="41"/>
      <c r="N3368" s="11"/>
    </row>
    <row r="3369" spans="8:14" x14ac:dyDescent="0.25">
      <c r="H3369" s="37"/>
      <c r="I3369" s="79"/>
      <c r="J3369" s="70"/>
      <c r="K3369" s="57"/>
      <c r="L3369" s="11"/>
      <c r="M3369" s="41"/>
      <c r="N3369" s="11"/>
    </row>
    <row r="3370" spans="8:14" x14ac:dyDescent="0.25">
      <c r="H3370" s="37"/>
      <c r="I3370" s="79"/>
      <c r="J3370" s="70"/>
      <c r="K3370" s="57"/>
      <c r="L3370" s="11"/>
      <c r="M3370" s="41"/>
      <c r="N3370" s="11"/>
    </row>
    <row r="3371" spans="8:14" x14ac:dyDescent="0.25">
      <c r="H3371" s="37"/>
      <c r="I3371" s="79"/>
      <c r="J3371" s="70"/>
      <c r="K3371" s="57"/>
      <c r="L3371" s="11"/>
      <c r="M3371" s="41"/>
      <c r="N3371" s="11"/>
    </row>
    <row r="3372" spans="8:14" x14ac:dyDescent="0.25">
      <c r="H3372" s="37"/>
      <c r="I3372" s="79"/>
      <c r="J3372" s="70"/>
      <c r="K3372" s="57"/>
      <c r="L3372" s="11"/>
      <c r="M3372" s="41"/>
      <c r="N3372" s="11"/>
    </row>
    <row r="3373" spans="8:14" x14ac:dyDescent="0.25">
      <c r="H3373" s="37"/>
      <c r="I3373" s="79"/>
      <c r="J3373" s="70"/>
      <c r="K3373" s="57"/>
      <c r="L3373" s="11"/>
      <c r="M3373" s="41"/>
      <c r="N3373" s="11"/>
    </row>
    <row r="3374" spans="8:14" x14ac:dyDescent="0.25">
      <c r="H3374" s="37"/>
      <c r="I3374" s="79"/>
      <c r="J3374" s="70"/>
      <c r="K3374" s="57"/>
      <c r="L3374" s="11"/>
      <c r="M3374" s="41"/>
      <c r="N3374" s="11"/>
    </row>
    <row r="3375" spans="8:14" x14ac:dyDescent="0.25">
      <c r="H3375" s="37"/>
      <c r="I3375" s="79"/>
      <c r="J3375" s="70"/>
      <c r="K3375" s="57"/>
      <c r="L3375" s="11"/>
      <c r="M3375" s="41"/>
      <c r="N3375" s="11"/>
    </row>
    <row r="3376" spans="8:14" x14ac:dyDescent="0.25">
      <c r="H3376" s="37"/>
      <c r="I3376" s="79"/>
      <c r="J3376" s="70"/>
      <c r="K3376" s="57"/>
      <c r="L3376" s="11"/>
      <c r="M3376" s="41"/>
      <c r="N3376" s="11"/>
    </row>
    <row r="3377" spans="8:14" x14ac:dyDescent="0.25">
      <c r="H3377" s="37"/>
      <c r="I3377" s="79"/>
      <c r="J3377" s="70"/>
      <c r="K3377" s="57"/>
      <c r="L3377" s="11"/>
      <c r="M3377" s="41"/>
      <c r="N3377" s="11"/>
    </row>
    <row r="3378" spans="8:14" x14ac:dyDescent="0.25">
      <c r="H3378" s="37"/>
      <c r="I3378" s="79"/>
      <c r="J3378" s="70"/>
      <c r="K3378" s="57"/>
      <c r="L3378" s="11"/>
      <c r="M3378" s="41"/>
      <c r="N3378" s="11"/>
    </row>
    <row r="3379" spans="8:14" x14ac:dyDescent="0.25">
      <c r="H3379" s="37"/>
      <c r="I3379" s="79"/>
      <c r="J3379" s="70"/>
      <c r="K3379" s="57"/>
      <c r="L3379" s="11"/>
      <c r="M3379" s="41"/>
      <c r="N3379" s="11"/>
    </row>
    <row r="3380" spans="8:14" x14ac:dyDescent="0.25">
      <c r="H3380" s="37"/>
      <c r="I3380" s="79"/>
      <c r="J3380" s="70"/>
      <c r="K3380" s="57"/>
      <c r="L3380" s="11"/>
      <c r="M3380" s="41"/>
      <c r="N3380" s="11"/>
    </row>
    <row r="3381" spans="8:14" x14ac:dyDescent="0.25">
      <c r="H3381" s="37"/>
      <c r="I3381" s="79"/>
      <c r="J3381" s="70"/>
      <c r="K3381" s="57"/>
      <c r="L3381" s="11"/>
      <c r="M3381" s="41"/>
      <c r="N3381" s="11"/>
    </row>
    <row r="3382" spans="8:14" x14ac:dyDescent="0.25">
      <c r="H3382" s="37"/>
      <c r="I3382" s="79"/>
      <c r="J3382" s="70"/>
      <c r="K3382" s="57"/>
      <c r="L3382" s="11"/>
      <c r="M3382" s="41"/>
      <c r="N3382" s="11"/>
    </row>
    <row r="3383" spans="8:14" x14ac:dyDescent="0.25">
      <c r="H3383" s="37"/>
      <c r="I3383" s="79"/>
      <c r="J3383" s="70"/>
      <c r="K3383" s="57"/>
      <c r="L3383" s="11"/>
      <c r="M3383" s="41"/>
      <c r="N3383" s="11"/>
    </row>
    <row r="3384" spans="8:14" x14ac:dyDescent="0.25">
      <c r="H3384" s="37"/>
      <c r="I3384" s="79"/>
      <c r="J3384" s="70"/>
      <c r="K3384" s="57"/>
      <c r="L3384" s="11"/>
      <c r="M3384" s="41"/>
      <c r="N3384" s="11"/>
    </row>
    <row r="3385" spans="8:14" x14ac:dyDescent="0.25">
      <c r="H3385" s="37"/>
      <c r="I3385" s="79"/>
      <c r="J3385" s="70"/>
      <c r="K3385" s="57"/>
      <c r="L3385" s="11"/>
      <c r="M3385" s="41"/>
      <c r="N3385" s="11"/>
    </row>
    <row r="3386" spans="8:14" x14ac:dyDescent="0.25">
      <c r="H3386" s="37"/>
      <c r="I3386" s="79"/>
      <c r="J3386" s="70"/>
      <c r="K3386" s="57"/>
      <c r="L3386" s="11"/>
      <c r="M3386" s="41"/>
      <c r="N3386" s="11"/>
    </row>
    <row r="3387" spans="8:14" x14ac:dyDescent="0.25">
      <c r="H3387" s="37"/>
      <c r="I3387" s="79"/>
      <c r="J3387" s="70"/>
      <c r="K3387" s="57"/>
      <c r="L3387" s="11"/>
      <c r="M3387" s="41"/>
      <c r="N3387" s="11"/>
    </row>
    <row r="3388" spans="8:14" x14ac:dyDescent="0.25">
      <c r="H3388" s="37"/>
      <c r="I3388" s="79"/>
      <c r="J3388" s="70"/>
      <c r="K3388" s="57"/>
      <c r="L3388" s="11"/>
      <c r="M3388" s="41"/>
      <c r="N3388" s="11"/>
    </row>
    <row r="3389" spans="8:14" x14ac:dyDescent="0.25">
      <c r="H3389" s="37"/>
      <c r="I3389" s="79"/>
      <c r="J3389" s="70"/>
      <c r="K3389" s="57"/>
      <c r="L3389" s="11"/>
      <c r="M3389" s="41"/>
      <c r="N3389" s="11"/>
    </row>
    <row r="3390" spans="8:14" x14ac:dyDescent="0.25">
      <c r="H3390" s="37"/>
      <c r="I3390" s="79"/>
      <c r="J3390" s="70"/>
      <c r="K3390" s="57"/>
      <c r="L3390" s="11"/>
      <c r="M3390" s="41"/>
      <c r="N3390" s="11"/>
    </row>
    <row r="3391" spans="8:14" x14ac:dyDescent="0.25">
      <c r="H3391" s="37"/>
      <c r="I3391" s="79"/>
      <c r="J3391" s="70"/>
      <c r="K3391" s="57"/>
      <c r="L3391" s="11"/>
      <c r="M3391" s="41"/>
      <c r="N3391" s="11"/>
    </row>
    <row r="3392" spans="8:14" x14ac:dyDescent="0.25">
      <c r="H3392" s="37"/>
      <c r="I3392" s="79"/>
      <c r="J3392" s="70"/>
      <c r="K3392" s="57"/>
      <c r="L3392" s="11"/>
      <c r="M3392" s="41"/>
      <c r="N3392" s="11"/>
    </row>
    <row r="3393" spans="8:14" x14ac:dyDescent="0.25">
      <c r="H3393" s="37"/>
      <c r="I3393" s="79"/>
      <c r="J3393" s="70"/>
      <c r="K3393" s="57"/>
      <c r="L3393" s="11"/>
      <c r="M3393" s="41"/>
      <c r="N3393" s="11"/>
    </row>
    <row r="3394" spans="8:14" x14ac:dyDescent="0.25">
      <c r="H3394" s="37"/>
      <c r="I3394" s="79"/>
      <c r="J3394" s="70"/>
      <c r="K3394" s="57"/>
      <c r="L3394" s="11"/>
      <c r="M3394" s="41"/>
      <c r="N3394" s="11"/>
    </row>
    <row r="3395" spans="8:14" x14ac:dyDescent="0.25">
      <c r="H3395" s="37"/>
      <c r="I3395" s="79"/>
      <c r="J3395" s="70"/>
      <c r="K3395" s="57"/>
      <c r="L3395" s="11"/>
      <c r="M3395" s="41"/>
      <c r="N3395" s="11"/>
    </row>
    <row r="3396" spans="8:14" x14ac:dyDescent="0.25">
      <c r="H3396" s="37"/>
      <c r="I3396" s="79"/>
      <c r="J3396" s="70"/>
      <c r="K3396" s="57"/>
      <c r="L3396" s="11"/>
      <c r="M3396" s="41"/>
      <c r="N3396" s="11"/>
    </row>
    <row r="3397" spans="8:14" x14ac:dyDescent="0.25">
      <c r="H3397" s="37"/>
      <c r="I3397" s="79"/>
      <c r="J3397" s="70"/>
      <c r="K3397" s="57"/>
      <c r="L3397" s="11"/>
      <c r="M3397" s="41"/>
      <c r="N3397" s="11"/>
    </row>
    <row r="3398" spans="8:14" x14ac:dyDescent="0.25">
      <c r="H3398" s="37"/>
      <c r="I3398" s="79"/>
      <c r="J3398" s="70"/>
      <c r="K3398" s="57"/>
      <c r="L3398" s="11"/>
      <c r="M3398" s="41"/>
      <c r="N3398" s="11"/>
    </row>
    <row r="3399" spans="8:14" x14ac:dyDescent="0.25">
      <c r="H3399" s="37"/>
      <c r="I3399" s="79"/>
      <c r="J3399" s="70"/>
      <c r="K3399" s="57"/>
      <c r="L3399" s="11"/>
      <c r="M3399" s="41"/>
      <c r="N3399" s="11"/>
    </row>
    <row r="3400" spans="8:14" x14ac:dyDescent="0.25">
      <c r="H3400" s="37"/>
      <c r="I3400" s="79"/>
      <c r="J3400" s="70"/>
      <c r="K3400" s="57"/>
      <c r="L3400" s="11"/>
      <c r="M3400" s="41"/>
      <c r="N3400" s="11"/>
    </row>
    <row r="3401" spans="8:14" x14ac:dyDescent="0.25">
      <c r="H3401" s="37"/>
      <c r="I3401" s="79"/>
      <c r="J3401" s="70"/>
      <c r="K3401" s="57"/>
      <c r="L3401" s="11"/>
      <c r="M3401" s="41"/>
      <c r="N3401" s="11"/>
    </row>
    <row r="3402" spans="8:14" x14ac:dyDescent="0.25">
      <c r="H3402" s="37"/>
      <c r="I3402" s="79"/>
      <c r="J3402" s="70"/>
      <c r="K3402" s="57"/>
      <c r="L3402" s="11"/>
      <c r="M3402" s="41"/>
      <c r="N3402" s="11"/>
    </row>
    <row r="3403" spans="8:14" x14ac:dyDescent="0.25">
      <c r="H3403" s="37"/>
      <c r="I3403" s="79"/>
      <c r="J3403" s="70"/>
      <c r="K3403" s="57"/>
      <c r="L3403" s="11"/>
      <c r="M3403" s="41"/>
      <c r="N3403" s="11"/>
    </row>
    <row r="3404" spans="8:14" x14ac:dyDescent="0.25">
      <c r="H3404" s="37"/>
      <c r="I3404" s="79"/>
      <c r="J3404" s="70"/>
      <c r="K3404" s="57"/>
      <c r="L3404" s="11"/>
      <c r="M3404" s="41"/>
      <c r="N3404" s="11"/>
    </row>
    <row r="3405" spans="8:14" x14ac:dyDescent="0.25">
      <c r="H3405" s="37"/>
      <c r="I3405" s="79"/>
      <c r="J3405" s="70"/>
      <c r="K3405" s="57"/>
      <c r="L3405" s="11"/>
      <c r="M3405" s="41"/>
      <c r="N3405" s="11"/>
    </row>
    <row r="3406" spans="8:14" x14ac:dyDescent="0.25">
      <c r="H3406" s="37"/>
      <c r="I3406" s="79"/>
      <c r="J3406" s="70"/>
      <c r="K3406" s="57"/>
      <c r="L3406" s="11"/>
      <c r="M3406" s="41"/>
      <c r="N3406" s="11"/>
    </row>
    <row r="3407" spans="8:14" x14ac:dyDescent="0.25">
      <c r="H3407" s="37"/>
      <c r="I3407" s="79"/>
      <c r="J3407" s="70"/>
      <c r="K3407" s="57"/>
      <c r="L3407" s="11"/>
      <c r="M3407" s="41"/>
      <c r="N3407" s="11"/>
    </row>
    <row r="3408" spans="8:14" x14ac:dyDescent="0.25">
      <c r="H3408" s="37"/>
      <c r="I3408" s="79"/>
      <c r="J3408" s="70"/>
      <c r="K3408" s="57"/>
      <c r="L3408" s="11"/>
      <c r="M3408" s="41"/>
      <c r="N3408" s="11"/>
    </row>
    <row r="3409" spans="8:14" x14ac:dyDescent="0.25">
      <c r="H3409" s="37"/>
      <c r="I3409" s="79"/>
      <c r="J3409" s="70"/>
      <c r="K3409" s="57"/>
      <c r="L3409" s="11"/>
      <c r="M3409" s="41"/>
      <c r="N3409" s="11"/>
    </row>
    <row r="3410" spans="8:14" x14ac:dyDescent="0.25">
      <c r="H3410" s="37"/>
      <c r="I3410" s="79"/>
      <c r="J3410" s="70"/>
      <c r="K3410" s="57"/>
      <c r="L3410" s="11"/>
      <c r="M3410" s="41"/>
      <c r="N3410" s="11"/>
    </row>
    <row r="3411" spans="8:14" x14ac:dyDescent="0.25">
      <c r="H3411" s="37"/>
      <c r="I3411" s="79"/>
      <c r="J3411" s="70"/>
      <c r="K3411" s="57"/>
      <c r="L3411" s="11"/>
      <c r="M3411" s="41"/>
      <c r="N3411" s="11"/>
    </row>
    <row r="3412" spans="8:14" x14ac:dyDescent="0.25">
      <c r="H3412" s="37"/>
      <c r="I3412" s="79"/>
      <c r="J3412" s="70"/>
      <c r="K3412" s="57"/>
      <c r="L3412" s="11"/>
      <c r="M3412" s="41"/>
      <c r="N3412" s="11"/>
    </row>
    <row r="3413" spans="8:14" x14ac:dyDescent="0.25">
      <c r="H3413" s="37"/>
      <c r="I3413" s="79"/>
      <c r="J3413" s="70"/>
      <c r="K3413" s="57"/>
      <c r="L3413" s="11"/>
      <c r="M3413" s="41"/>
      <c r="N3413" s="11"/>
    </row>
    <row r="3414" spans="8:14" x14ac:dyDescent="0.25">
      <c r="H3414" s="37"/>
      <c r="I3414" s="79"/>
      <c r="J3414" s="70"/>
      <c r="K3414" s="57"/>
      <c r="L3414" s="11"/>
      <c r="M3414" s="41"/>
      <c r="N3414" s="11"/>
    </row>
    <row r="3415" spans="8:14" x14ac:dyDescent="0.25">
      <c r="H3415" s="37"/>
      <c r="I3415" s="79"/>
      <c r="J3415" s="70"/>
      <c r="K3415" s="57"/>
      <c r="L3415" s="11"/>
      <c r="M3415" s="41"/>
      <c r="N3415" s="11"/>
    </row>
    <row r="3416" spans="8:14" x14ac:dyDescent="0.25">
      <c r="H3416" s="37"/>
      <c r="I3416" s="79"/>
      <c r="J3416" s="70"/>
      <c r="K3416" s="57"/>
      <c r="L3416" s="11"/>
      <c r="M3416" s="41"/>
      <c r="N3416" s="11"/>
    </row>
    <row r="3417" spans="8:14" x14ac:dyDescent="0.25">
      <c r="H3417" s="37"/>
      <c r="I3417" s="79"/>
      <c r="J3417" s="70"/>
      <c r="K3417" s="57"/>
      <c r="L3417" s="11"/>
      <c r="M3417" s="41"/>
      <c r="N3417" s="11"/>
    </row>
    <row r="3418" spans="8:14" x14ac:dyDescent="0.25">
      <c r="H3418" s="37"/>
      <c r="I3418" s="79"/>
      <c r="J3418" s="70"/>
      <c r="K3418" s="57"/>
      <c r="L3418" s="11"/>
      <c r="M3418" s="41"/>
      <c r="N3418" s="11"/>
    </row>
    <row r="3419" spans="8:14" x14ac:dyDescent="0.25">
      <c r="H3419" s="37"/>
      <c r="I3419" s="79"/>
      <c r="J3419" s="70"/>
      <c r="K3419" s="57"/>
      <c r="L3419" s="11"/>
      <c r="M3419" s="41"/>
      <c r="N3419" s="11"/>
    </row>
    <row r="3420" spans="8:14" x14ac:dyDescent="0.25">
      <c r="H3420" s="37"/>
      <c r="I3420" s="79"/>
      <c r="J3420" s="70"/>
      <c r="K3420" s="57"/>
      <c r="L3420" s="11"/>
      <c r="M3420" s="41"/>
      <c r="N3420" s="11"/>
    </row>
    <row r="3421" spans="8:14" x14ac:dyDescent="0.25">
      <c r="H3421" s="37"/>
      <c r="I3421" s="79"/>
      <c r="J3421" s="70"/>
      <c r="K3421" s="57"/>
      <c r="L3421" s="11"/>
      <c r="M3421" s="41"/>
      <c r="N3421" s="11"/>
    </row>
    <row r="3422" spans="8:14" x14ac:dyDescent="0.25">
      <c r="H3422" s="37"/>
      <c r="I3422" s="79"/>
      <c r="J3422" s="70"/>
      <c r="K3422" s="57"/>
      <c r="L3422" s="11"/>
      <c r="M3422" s="41"/>
      <c r="N3422" s="11"/>
    </row>
    <row r="3423" spans="8:14" x14ac:dyDescent="0.25">
      <c r="H3423" s="37"/>
      <c r="I3423" s="79"/>
      <c r="J3423" s="70"/>
      <c r="K3423" s="57"/>
      <c r="L3423" s="11"/>
      <c r="M3423" s="41"/>
      <c r="N3423" s="11"/>
    </row>
    <row r="3424" spans="8:14" x14ac:dyDescent="0.25">
      <c r="H3424" s="37"/>
      <c r="I3424" s="79"/>
      <c r="J3424" s="70"/>
      <c r="K3424" s="57"/>
      <c r="L3424" s="11"/>
      <c r="M3424" s="41"/>
      <c r="N3424" s="11"/>
    </row>
    <row r="3425" spans="8:14" x14ac:dyDescent="0.25">
      <c r="H3425" s="37"/>
      <c r="I3425" s="79"/>
      <c r="J3425" s="70"/>
      <c r="K3425" s="57"/>
      <c r="L3425" s="11"/>
      <c r="M3425" s="41"/>
      <c r="N3425" s="11"/>
    </row>
    <row r="3426" spans="8:14" x14ac:dyDescent="0.25">
      <c r="H3426" s="37"/>
      <c r="I3426" s="79"/>
      <c r="J3426" s="70"/>
      <c r="K3426" s="57"/>
      <c r="L3426" s="11"/>
      <c r="M3426" s="41"/>
      <c r="N3426" s="11"/>
    </row>
    <row r="3427" spans="8:14" x14ac:dyDescent="0.25">
      <c r="H3427" s="37"/>
      <c r="I3427" s="79"/>
      <c r="J3427" s="70"/>
      <c r="K3427" s="57"/>
      <c r="L3427" s="11"/>
      <c r="M3427" s="41"/>
      <c r="N3427" s="11"/>
    </row>
    <row r="3428" spans="8:14" x14ac:dyDescent="0.25">
      <c r="H3428" s="37"/>
      <c r="I3428" s="79"/>
      <c r="J3428" s="70"/>
      <c r="K3428" s="57"/>
      <c r="L3428" s="11"/>
      <c r="M3428" s="41"/>
      <c r="N3428" s="11"/>
    </row>
    <row r="3429" spans="8:14" x14ac:dyDescent="0.25">
      <c r="H3429" s="37"/>
      <c r="I3429" s="79"/>
      <c r="J3429" s="70"/>
      <c r="K3429" s="57"/>
      <c r="L3429" s="11"/>
      <c r="M3429" s="41"/>
      <c r="N3429" s="11"/>
    </row>
    <row r="3430" spans="8:14" x14ac:dyDescent="0.25">
      <c r="H3430" s="37"/>
      <c r="I3430" s="79"/>
      <c r="J3430" s="70"/>
      <c r="K3430" s="57"/>
      <c r="L3430" s="11"/>
      <c r="M3430" s="41"/>
      <c r="N3430" s="11"/>
    </row>
    <row r="3431" spans="8:14" x14ac:dyDescent="0.25">
      <c r="H3431" s="37"/>
      <c r="I3431" s="79"/>
      <c r="J3431" s="70"/>
      <c r="K3431" s="57"/>
      <c r="L3431" s="11"/>
      <c r="M3431" s="41"/>
      <c r="N3431" s="11"/>
    </row>
    <row r="3432" spans="8:14" x14ac:dyDescent="0.25">
      <c r="H3432" s="37"/>
      <c r="I3432" s="79"/>
      <c r="J3432" s="70"/>
      <c r="K3432" s="57"/>
      <c r="L3432" s="11"/>
      <c r="M3432" s="41"/>
      <c r="N3432" s="11"/>
    </row>
    <row r="3433" spans="8:14" x14ac:dyDescent="0.25">
      <c r="H3433" s="37"/>
      <c r="I3433" s="79"/>
      <c r="J3433" s="70"/>
      <c r="K3433" s="57"/>
      <c r="L3433" s="11"/>
      <c r="M3433" s="41"/>
      <c r="N3433" s="11"/>
    </row>
    <row r="3434" spans="8:14" x14ac:dyDescent="0.25">
      <c r="H3434" s="37"/>
      <c r="I3434" s="79"/>
      <c r="J3434" s="70"/>
      <c r="K3434" s="57"/>
      <c r="L3434" s="11"/>
      <c r="M3434" s="41"/>
      <c r="N3434" s="11"/>
    </row>
    <row r="3435" spans="8:14" x14ac:dyDescent="0.25">
      <c r="H3435" s="37"/>
      <c r="I3435" s="79"/>
      <c r="J3435" s="70"/>
      <c r="K3435" s="57"/>
      <c r="L3435" s="11"/>
      <c r="M3435" s="41"/>
      <c r="N3435" s="11"/>
    </row>
    <row r="3436" spans="8:14" x14ac:dyDescent="0.25">
      <c r="H3436" s="37"/>
      <c r="I3436" s="79"/>
      <c r="J3436" s="70"/>
      <c r="K3436" s="57"/>
      <c r="L3436" s="11"/>
      <c r="M3436" s="41"/>
      <c r="N3436" s="11"/>
    </row>
    <row r="3437" spans="8:14" x14ac:dyDescent="0.25">
      <c r="H3437" s="37"/>
      <c r="I3437" s="79"/>
      <c r="J3437" s="70"/>
      <c r="K3437" s="57"/>
      <c r="L3437" s="11"/>
      <c r="M3437" s="41"/>
      <c r="N3437" s="11"/>
    </row>
    <row r="3438" spans="8:14" x14ac:dyDescent="0.25">
      <c r="H3438" s="37"/>
      <c r="I3438" s="79"/>
      <c r="J3438" s="70"/>
      <c r="K3438" s="57"/>
      <c r="L3438" s="11"/>
      <c r="M3438" s="41"/>
      <c r="N3438" s="11"/>
    </row>
    <row r="3439" spans="8:14" x14ac:dyDescent="0.25">
      <c r="H3439" s="37"/>
      <c r="I3439" s="79"/>
      <c r="J3439" s="70"/>
      <c r="K3439" s="57"/>
      <c r="L3439" s="11"/>
      <c r="M3439" s="41"/>
      <c r="N3439" s="11"/>
    </row>
    <row r="3440" spans="8:14" x14ac:dyDescent="0.25">
      <c r="H3440" s="37"/>
      <c r="I3440" s="79"/>
      <c r="J3440" s="70"/>
      <c r="K3440" s="57"/>
      <c r="L3440" s="11"/>
      <c r="M3440" s="41"/>
      <c r="N3440" s="11"/>
    </row>
    <row r="3441" spans="8:14" x14ac:dyDescent="0.25">
      <c r="H3441" s="37"/>
      <c r="I3441" s="79"/>
      <c r="J3441" s="70"/>
      <c r="K3441" s="57"/>
      <c r="L3441" s="11"/>
      <c r="M3441" s="41"/>
      <c r="N3441" s="11"/>
    </row>
    <row r="3442" spans="8:14" x14ac:dyDescent="0.25">
      <c r="H3442" s="37"/>
      <c r="I3442" s="79"/>
      <c r="J3442" s="70"/>
      <c r="K3442" s="57"/>
      <c r="L3442" s="11"/>
      <c r="M3442" s="41"/>
      <c r="N3442" s="11"/>
    </row>
    <row r="3443" spans="8:14" x14ac:dyDescent="0.25">
      <c r="H3443" s="37"/>
      <c r="I3443" s="79"/>
      <c r="J3443" s="70"/>
      <c r="K3443" s="57"/>
      <c r="L3443" s="11"/>
      <c r="M3443" s="41"/>
      <c r="N3443" s="11"/>
    </row>
    <row r="3444" spans="8:14" x14ac:dyDescent="0.25">
      <c r="H3444" s="37"/>
      <c r="I3444" s="79"/>
      <c r="J3444" s="70"/>
      <c r="K3444" s="57"/>
      <c r="L3444" s="11"/>
      <c r="M3444" s="41"/>
      <c r="N3444" s="11"/>
    </row>
    <row r="3445" spans="8:14" x14ac:dyDescent="0.25">
      <c r="H3445" s="37"/>
      <c r="I3445" s="79"/>
      <c r="J3445" s="70"/>
      <c r="K3445" s="57"/>
      <c r="L3445" s="11"/>
      <c r="M3445" s="41"/>
      <c r="N3445" s="11"/>
    </row>
    <row r="3446" spans="8:14" x14ac:dyDescent="0.25">
      <c r="H3446" s="37"/>
      <c r="I3446" s="79"/>
      <c r="J3446" s="70"/>
      <c r="K3446" s="57"/>
      <c r="L3446" s="11"/>
      <c r="M3446" s="41"/>
      <c r="N3446" s="11"/>
    </row>
    <row r="3447" spans="8:14" x14ac:dyDescent="0.25">
      <c r="H3447" s="37"/>
      <c r="I3447" s="79"/>
      <c r="J3447" s="70"/>
      <c r="K3447" s="57"/>
      <c r="L3447" s="11"/>
      <c r="M3447" s="41"/>
      <c r="N3447" s="11"/>
    </row>
    <row r="3448" spans="8:14" x14ac:dyDescent="0.25">
      <c r="H3448" s="37"/>
      <c r="I3448" s="79"/>
      <c r="J3448" s="70"/>
      <c r="K3448" s="57"/>
      <c r="L3448" s="11"/>
      <c r="M3448" s="41"/>
      <c r="N3448" s="11"/>
    </row>
    <row r="3449" spans="8:14" x14ac:dyDescent="0.25">
      <c r="H3449" s="37"/>
      <c r="I3449" s="79"/>
      <c r="J3449" s="70"/>
      <c r="K3449" s="57"/>
      <c r="L3449" s="11"/>
      <c r="M3449" s="41"/>
      <c r="N3449" s="11"/>
    </row>
    <row r="3450" spans="8:14" x14ac:dyDescent="0.25">
      <c r="H3450" s="37"/>
      <c r="I3450" s="79"/>
      <c r="J3450" s="70"/>
      <c r="K3450" s="57"/>
      <c r="L3450" s="11"/>
      <c r="M3450" s="41"/>
      <c r="N3450" s="11"/>
    </row>
    <row r="3451" spans="8:14" x14ac:dyDescent="0.25">
      <c r="H3451" s="37"/>
      <c r="I3451" s="79"/>
      <c r="J3451" s="70"/>
      <c r="K3451" s="57"/>
      <c r="L3451" s="11"/>
      <c r="M3451" s="41"/>
      <c r="N3451" s="11"/>
    </row>
    <row r="3452" spans="8:14" x14ac:dyDescent="0.25">
      <c r="H3452" s="37"/>
      <c r="I3452" s="79"/>
      <c r="J3452" s="70"/>
      <c r="K3452" s="57"/>
      <c r="L3452" s="11"/>
      <c r="M3452" s="41"/>
      <c r="N3452" s="11"/>
    </row>
    <row r="3453" spans="8:14" x14ac:dyDescent="0.25">
      <c r="H3453" s="37"/>
      <c r="I3453" s="79"/>
      <c r="J3453" s="70"/>
      <c r="K3453" s="57"/>
      <c r="L3453" s="11"/>
      <c r="M3453" s="41"/>
      <c r="N3453" s="11"/>
    </row>
    <row r="3454" spans="8:14" x14ac:dyDescent="0.25">
      <c r="H3454" s="37"/>
      <c r="I3454" s="79"/>
      <c r="J3454" s="70"/>
      <c r="K3454" s="57"/>
      <c r="L3454" s="11"/>
      <c r="M3454" s="41"/>
      <c r="N3454" s="11"/>
    </row>
    <row r="3455" spans="8:14" x14ac:dyDescent="0.25">
      <c r="H3455" s="37"/>
      <c r="I3455" s="79"/>
      <c r="J3455" s="70"/>
      <c r="K3455" s="57"/>
      <c r="L3455" s="11"/>
      <c r="M3455" s="41"/>
      <c r="N3455" s="11"/>
    </row>
    <row r="3456" spans="8:14" x14ac:dyDescent="0.25">
      <c r="H3456" s="37"/>
      <c r="I3456" s="79"/>
      <c r="J3456" s="70"/>
      <c r="K3456" s="57"/>
      <c r="L3456" s="11"/>
      <c r="M3456" s="41"/>
      <c r="N3456" s="11"/>
    </row>
    <row r="3457" spans="8:14" x14ac:dyDescent="0.25">
      <c r="H3457" s="37"/>
      <c r="I3457" s="79"/>
      <c r="J3457" s="70"/>
      <c r="K3457" s="57"/>
      <c r="L3457" s="11"/>
      <c r="M3457" s="41"/>
      <c r="N3457" s="11"/>
    </row>
    <row r="3458" spans="8:14" x14ac:dyDescent="0.25">
      <c r="H3458" s="37"/>
      <c r="I3458" s="79"/>
      <c r="J3458" s="70"/>
      <c r="K3458" s="57"/>
      <c r="L3458" s="11"/>
      <c r="M3458" s="41"/>
      <c r="N3458" s="11"/>
    </row>
    <row r="3459" spans="8:14" x14ac:dyDescent="0.25">
      <c r="H3459" s="37"/>
      <c r="I3459" s="79"/>
      <c r="J3459" s="70"/>
      <c r="K3459" s="57"/>
      <c r="L3459" s="11"/>
      <c r="M3459" s="41"/>
      <c r="N3459" s="11"/>
    </row>
    <row r="3460" spans="8:14" x14ac:dyDescent="0.25">
      <c r="H3460" s="37"/>
      <c r="I3460" s="79"/>
      <c r="J3460" s="70"/>
      <c r="K3460" s="57"/>
      <c r="L3460" s="11"/>
      <c r="M3460" s="41"/>
      <c r="N3460" s="11"/>
    </row>
    <row r="3461" spans="8:14" x14ac:dyDescent="0.25">
      <c r="H3461" s="37"/>
      <c r="I3461" s="79"/>
      <c r="J3461" s="70"/>
      <c r="K3461" s="57"/>
      <c r="L3461" s="11"/>
      <c r="M3461" s="41"/>
      <c r="N3461" s="11"/>
    </row>
    <row r="3462" spans="8:14" x14ac:dyDescent="0.25">
      <c r="H3462" s="37"/>
      <c r="I3462" s="79"/>
      <c r="J3462" s="70"/>
      <c r="K3462" s="57"/>
      <c r="L3462" s="11"/>
      <c r="M3462" s="41"/>
      <c r="N3462" s="11"/>
    </row>
    <row r="3463" spans="8:14" x14ac:dyDescent="0.25">
      <c r="H3463" s="37"/>
      <c r="I3463" s="79"/>
      <c r="J3463" s="70"/>
      <c r="K3463" s="57"/>
      <c r="L3463" s="11"/>
      <c r="M3463" s="41"/>
      <c r="N3463" s="11"/>
    </row>
    <row r="3464" spans="8:14" x14ac:dyDescent="0.25">
      <c r="H3464" s="37"/>
      <c r="I3464" s="79"/>
      <c r="J3464" s="70"/>
      <c r="K3464" s="57"/>
      <c r="L3464" s="11"/>
      <c r="M3464" s="41"/>
      <c r="N3464" s="11"/>
    </row>
    <row r="3465" spans="8:14" x14ac:dyDescent="0.25">
      <c r="H3465" s="37"/>
      <c r="I3465" s="79"/>
      <c r="J3465" s="70"/>
      <c r="K3465" s="57"/>
      <c r="L3465" s="11"/>
      <c r="M3465" s="41"/>
      <c r="N3465" s="11"/>
    </row>
    <row r="3466" spans="8:14" x14ac:dyDescent="0.25">
      <c r="H3466" s="37"/>
      <c r="I3466" s="79"/>
      <c r="J3466" s="70"/>
      <c r="K3466" s="57"/>
      <c r="L3466" s="11"/>
      <c r="M3466" s="41"/>
      <c r="N3466" s="11"/>
    </row>
    <row r="3467" spans="8:14" x14ac:dyDescent="0.25">
      <c r="H3467" s="37"/>
      <c r="I3467" s="79"/>
      <c r="J3467" s="70"/>
      <c r="K3467" s="57"/>
      <c r="L3467" s="11"/>
      <c r="M3467" s="41"/>
      <c r="N3467" s="11"/>
    </row>
    <row r="3468" spans="8:14" x14ac:dyDescent="0.25">
      <c r="H3468" s="37"/>
      <c r="I3468" s="79"/>
      <c r="J3468" s="70"/>
      <c r="K3468" s="57"/>
      <c r="L3468" s="11"/>
      <c r="M3468" s="41"/>
      <c r="N3468" s="11"/>
    </row>
    <row r="3469" spans="8:14" x14ac:dyDescent="0.25">
      <c r="H3469" s="37"/>
      <c r="I3469" s="79"/>
      <c r="J3469" s="70"/>
      <c r="K3469" s="57"/>
      <c r="L3469" s="11"/>
      <c r="M3469" s="41"/>
      <c r="N3469" s="11"/>
    </row>
    <row r="3470" spans="8:14" x14ac:dyDescent="0.25">
      <c r="H3470" s="37"/>
      <c r="I3470" s="79"/>
      <c r="J3470" s="70"/>
      <c r="K3470" s="57"/>
      <c r="L3470" s="11"/>
      <c r="M3470" s="41"/>
      <c r="N3470" s="11"/>
    </row>
    <row r="3471" spans="8:14" x14ac:dyDescent="0.25">
      <c r="H3471" s="37"/>
      <c r="I3471" s="79"/>
      <c r="J3471" s="70"/>
      <c r="K3471" s="57"/>
      <c r="L3471" s="11"/>
      <c r="M3471" s="41"/>
      <c r="N3471" s="11"/>
    </row>
    <row r="3472" spans="8:14" x14ac:dyDescent="0.25">
      <c r="H3472" s="37"/>
      <c r="I3472" s="79"/>
      <c r="J3472" s="70"/>
      <c r="K3472" s="57"/>
      <c r="L3472" s="11"/>
      <c r="M3472" s="41"/>
      <c r="N3472" s="11"/>
    </row>
    <row r="3473" spans="8:14" x14ac:dyDescent="0.25">
      <c r="H3473" s="37"/>
      <c r="I3473" s="79"/>
      <c r="J3473" s="70"/>
      <c r="K3473" s="57"/>
      <c r="L3473" s="11"/>
      <c r="M3473" s="41"/>
      <c r="N3473" s="11"/>
    </row>
    <row r="3474" spans="8:14" x14ac:dyDescent="0.25">
      <c r="H3474" s="37"/>
      <c r="I3474" s="79"/>
      <c r="J3474" s="70"/>
      <c r="K3474" s="57"/>
      <c r="L3474" s="11"/>
      <c r="M3474" s="41"/>
      <c r="N3474" s="11"/>
    </row>
    <row r="3475" spans="8:14" x14ac:dyDescent="0.25">
      <c r="H3475" s="37"/>
      <c r="I3475" s="79"/>
      <c r="J3475" s="70"/>
      <c r="K3475" s="57"/>
      <c r="L3475" s="11"/>
      <c r="M3475" s="41"/>
      <c r="N3475" s="11"/>
    </row>
    <row r="3476" spans="8:14" x14ac:dyDescent="0.25">
      <c r="H3476" s="37"/>
      <c r="I3476" s="79"/>
      <c r="J3476" s="70"/>
      <c r="K3476" s="57"/>
      <c r="L3476" s="11"/>
      <c r="M3476" s="41"/>
      <c r="N3476" s="11"/>
    </row>
    <row r="3477" spans="8:14" x14ac:dyDescent="0.25">
      <c r="H3477" s="37"/>
      <c r="I3477" s="79"/>
      <c r="J3477" s="70"/>
      <c r="K3477" s="57"/>
      <c r="L3477" s="11"/>
      <c r="M3477" s="41"/>
      <c r="N3477" s="11"/>
    </row>
    <row r="3478" spans="8:14" x14ac:dyDescent="0.25">
      <c r="H3478" s="37"/>
      <c r="I3478" s="79"/>
      <c r="J3478" s="70"/>
      <c r="K3478" s="57"/>
      <c r="L3478" s="11"/>
      <c r="M3478" s="41"/>
      <c r="N3478" s="11"/>
    </row>
    <row r="3479" spans="8:14" x14ac:dyDescent="0.25">
      <c r="H3479" s="37"/>
      <c r="I3479" s="79"/>
      <c r="J3479" s="70"/>
      <c r="K3479" s="57"/>
      <c r="L3479" s="11"/>
      <c r="M3479" s="41"/>
      <c r="N3479" s="11"/>
    </row>
    <row r="3480" spans="8:14" x14ac:dyDescent="0.25">
      <c r="H3480" s="37"/>
      <c r="I3480" s="79"/>
      <c r="J3480" s="70"/>
      <c r="K3480" s="57"/>
      <c r="L3480" s="11"/>
      <c r="M3480" s="41"/>
      <c r="N3480" s="11"/>
    </row>
    <row r="3481" spans="8:14" x14ac:dyDescent="0.25">
      <c r="H3481" s="37"/>
      <c r="I3481" s="79"/>
      <c r="J3481" s="70"/>
      <c r="K3481" s="57"/>
      <c r="L3481" s="11"/>
      <c r="M3481" s="41"/>
      <c r="N3481" s="11"/>
    </row>
    <row r="3482" spans="8:14" x14ac:dyDescent="0.25">
      <c r="H3482" s="37"/>
      <c r="I3482" s="79"/>
      <c r="J3482" s="70"/>
      <c r="K3482" s="57"/>
      <c r="L3482" s="11"/>
      <c r="M3482" s="41"/>
      <c r="N3482" s="11"/>
    </row>
    <row r="3483" spans="8:14" x14ac:dyDescent="0.25">
      <c r="H3483" s="37"/>
      <c r="I3483" s="79"/>
      <c r="J3483" s="70"/>
      <c r="K3483" s="57"/>
      <c r="L3483" s="11"/>
      <c r="M3483" s="41"/>
      <c r="N3483" s="11"/>
    </row>
    <row r="3484" spans="8:14" x14ac:dyDescent="0.25">
      <c r="H3484" s="37"/>
      <c r="I3484" s="79"/>
      <c r="J3484" s="70"/>
      <c r="K3484" s="57"/>
      <c r="L3484" s="11"/>
      <c r="M3484" s="41"/>
      <c r="N3484" s="11"/>
    </row>
    <row r="3485" spans="8:14" x14ac:dyDescent="0.25">
      <c r="H3485" s="37"/>
      <c r="I3485" s="79"/>
      <c r="J3485" s="70"/>
      <c r="K3485" s="57"/>
      <c r="L3485" s="11"/>
      <c r="M3485" s="41"/>
      <c r="N3485" s="11"/>
    </row>
    <row r="3486" spans="8:14" x14ac:dyDescent="0.25">
      <c r="H3486" s="37"/>
      <c r="I3486" s="79"/>
      <c r="J3486" s="70"/>
      <c r="K3486" s="57"/>
      <c r="L3486" s="11"/>
      <c r="M3486" s="41"/>
      <c r="N3486" s="11"/>
    </row>
    <row r="3487" spans="8:14" x14ac:dyDescent="0.25">
      <c r="H3487" s="37"/>
      <c r="I3487" s="79"/>
      <c r="J3487" s="70"/>
      <c r="K3487" s="57"/>
      <c r="L3487" s="11"/>
      <c r="M3487" s="41"/>
      <c r="N3487" s="11"/>
    </row>
    <row r="3488" spans="8:14" x14ac:dyDescent="0.25">
      <c r="H3488" s="37"/>
      <c r="I3488" s="79"/>
      <c r="J3488" s="70"/>
      <c r="K3488" s="57"/>
      <c r="L3488" s="11"/>
      <c r="M3488" s="41"/>
      <c r="N3488" s="11"/>
    </row>
    <row r="3489" spans="8:14" x14ac:dyDescent="0.25">
      <c r="H3489" s="37"/>
      <c r="I3489" s="79"/>
      <c r="J3489" s="70"/>
      <c r="K3489" s="57"/>
      <c r="L3489" s="11"/>
      <c r="M3489" s="41"/>
      <c r="N3489" s="11"/>
    </row>
    <row r="3490" spans="8:14" x14ac:dyDescent="0.25">
      <c r="H3490" s="37"/>
      <c r="I3490" s="79"/>
      <c r="J3490" s="70"/>
      <c r="K3490" s="57"/>
      <c r="L3490" s="11"/>
      <c r="M3490" s="41"/>
      <c r="N3490" s="11"/>
    </row>
    <row r="3491" spans="8:14" x14ac:dyDescent="0.25">
      <c r="H3491" s="37"/>
      <c r="I3491" s="79"/>
      <c r="J3491" s="70"/>
      <c r="K3491" s="57"/>
      <c r="L3491" s="11"/>
      <c r="M3491" s="41"/>
      <c r="N3491" s="11"/>
    </row>
    <row r="3492" spans="8:14" x14ac:dyDescent="0.25">
      <c r="H3492" s="37"/>
      <c r="I3492" s="79"/>
      <c r="J3492" s="70"/>
      <c r="K3492" s="57"/>
      <c r="L3492" s="11"/>
      <c r="M3492" s="41"/>
      <c r="N3492" s="11"/>
    </row>
    <row r="3493" spans="8:14" x14ac:dyDescent="0.25">
      <c r="H3493" s="37"/>
      <c r="I3493" s="79"/>
      <c r="J3493" s="70"/>
      <c r="K3493" s="57"/>
      <c r="L3493" s="11"/>
      <c r="M3493" s="41"/>
      <c r="N3493" s="11"/>
    </row>
    <row r="3494" spans="8:14" x14ac:dyDescent="0.25">
      <c r="H3494" s="37"/>
      <c r="I3494" s="79"/>
      <c r="J3494" s="70"/>
      <c r="K3494" s="57"/>
      <c r="L3494" s="11"/>
      <c r="M3494" s="41"/>
      <c r="N3494" s="11"/>
    </row>
    <row r="3495" spans="8:14" x14ac:dyDescent="0.25">
      <c r="H3495" s="37"/>
      <c r="I3495" s="79"/>
      <c r="J3495" s="70"/>
      <c r="K3495" s="57"/>
      <c r="L3495" s="11"/>
      <c r="M3495" s="41"/>
      <c r="N3495" s="11"/>
    </row>
    <row r="3496" spans="8:14" x14ac:dyDescent="0.25">
      <c r="H3496" s="37"/>
      <c r="I3496" s="79"/>
      <c r="J3496" s="70"/>
      <c r="K3496" s="57"/>
      <c r="L3496" s="11"/>
      <c r="M3496" s="41"/>
      <c r="N3496" s="11"/>
    </row>
    <row r="3497" spans="8:14" x14ac:dyDescent="0.25">
      <c r="H3497" s="37"/>
      <c r="I3497" s="79"/>
      <c r="J3497" s="70"/>
      <c r="K3497" s="57"/>
      <c r="L3497" s="11"/>
      <c r="M3497" s="41"/>
      <c r="N3497" s="11"/>
    </row>
    <row r="3498" spans="8:14" x14ac:dyDescent="0.25">
      <c r="H3498" s="37"/>
      <c r="I3498" s="79"/>
      <c r="J3498" s="70"/>
      <c r="K3498" s="57"/>
      <c r="L3498" s="11"/>
      <c r="M3498" s="41"/>
      <c r="N3498" s="11"/>
    </row>
    <row r="3499" spans="8:14" x14ac:dyDescent="0.25">
      <c r="H3499" s="37"/>
      <c r="I3499" s="79"/>
      <c r="J3499" s="70"/>
      <c r="K3499" s="57"/>
      <c r="L3499" s="11"/>
      <c r="M3499" s="41"/>
      <c r="N3499" s="11"/>
    </row>
    <row r="3500" spans="8:14" x14ac:dyDescent="0.25">
      <c r="H3500" s="37"/>
      <c r="I3500" s="79"/>
      <c r="J3500" s="70"/>
      <c r="K3500" s="57"/>
      <c r="L3500" s="11"/>
      <c r="M3500" s="41"/>
      <c r="N3500" s="11"/>
    </row>
    <row r="3501" spans="8:14" x14ac:dyDescent="0.25">
      <c r="H3501" s="37"/>
      <c r="I3501" s="79"/>
      <c r="J3501" s="70"/>
      <c r="K3501" s="57"/>
      <c r="L3501" s="11"/>
      <c r="M3501" s="41"/>
      <c r="N3501" s="11"/>
    </row>
    <row r="3502" spans="8:14" x14ac:dyDescent="0.25">
      <c r="H3502" s="37"/>
      <c r="I3502" s="79"/>
      <c r="J3502" s="70"/>
      <c r="K3502" s="57"/>
      <c r="L3502" s="11"/>
      <c r="M3502" s="41"/>
      <c r="N3502" s="11"/>
    </row>
    <row r="3503" spans="8:14" x14ac:dyDescent="0.25">
      <c r="H3503" s="37"/>
      <c r="I3503" s="79"/>
      <c r="J3503" s="70"/>
      <c r="K3503" s="57"/>
      <c r="L3503" s="11"/>
      <c r="M3503" s="41"/>
      <c r="N3503" s="11"/>
    </row>
    <row r="3504" spans="8:14" x14ac:dyDescent="0.25">
      <c r="H3504" s="37"/>
      <c r="I3504" s="79"/>
      <c r="J3504" s="70"/>
      <c r="K3504" s="57"/>
      <c r="L3504" s="11"/>
      <c r="M3504" s="41"/>
      <c r="N3504" s="11"/>
    </row>
    <row r="3505" spans="8:14" x14ac:dyDescent="0.25">
      <c r="H3505" s="37"/>
      <c r="I3505" s="79"/>
      <c r="J3505" s="70"/>
      <c r="K3505" s="57"/>
      <c r="L3505" s="11"/>
      <c r="M3505" s="41"/>
      <c r="N3505" s="11"/>
    </row>
    <row r="3506" spans="8:14" x14ac:dyDescent="0.25">
      <c r="H3506" s="37"/>
      <c r="I3506" s="79"/>
      <c r="J3506" s="70"/>
      <c r="K3506" s="57"/>
      <c r="L3506" s="11"/>
      <c r="M3506" s="41"/>
      <c r="N3506" s="11"/>
    </row>
    <row r="3507" spans="8:14" x14ac:dyDescent="0.25">
      <c r="H3507" s="37"/>
      <c r="I3507" s="79"/>
      <c r="J3507" s="70"/>
      <c r="K3507" s="57"/>
      <c r="L3507" s="11"/>
      <c r="M3507" s="41"/>
      <c r="N3507" s="11"/>
    </row>
    <row r="3508" spans="8:14" x14ac:dyDescent="0.25">
      <c r="H3508" s="37"/>
      <c r="I3508" s="79"/>
      <c r="J3508" s="70"/>
      <c r="K3508" s="57"/>
      <c r="L3508" s="11"/>
      <c r="M3508" s="41"/>
      <c r="N3508" s="11"/>
    </row>
    <row r="3509" spans="8:14" x14ac:dyDescent="0.25">
      <c r="H3509" s="37"/>
      <c r="I3509" s="79"/>
      <c r="J3509" s="70"/>
      <c r="K3509" s="57"/>
      <c r="L3509" s="11"/>
      <c r="M3509" s="41"/>
      <c r="N3509" s="11"/>
    </row>
    <row r="3510" spans="8:14" x14ac:dyDescent="0.25">
      <c r="H3510" s="37"/>
      <c r="I3510" s="79"/>
      <c r="J3510" s="70"/>
      <c r="K3510" s="57"/>
      <c r="L3510" s="11"/>
      <c r="M3510" s="41"/>
      <c r="N3510" s="11"/>
    </row>
    <row r="3511" spans="8:14" x14ac:dyDescent="0.25">
      <c r="H3511" s="37"/>
      <c r="I3511" s="79"/>
      <c r="J3511" s="70"/>
      <c r="K3511" s="57"/>
      <c r="L3511" s="11"/>
      <c r="M3511" s="41"/>
      <c r="N3511" s="11"/>
    </row>
    <row r="3512" spans="8:14" x14ac:dyDescent="0.25">
      <c r="H3512" s="37"/>
      <c r="I3512" s="79"/>
      <c r="J3512" s="70"/>
      <c r="K3512" s="57"/>
      <c r="L3512" s="11"/>
      <c r="M3512" s="41"/>
      <c r="N3512" s="11"/>
    </row>
    <row r="3513" spans="8:14" x14ac:dyDescent="0.25">
      <c r="H3513" s="37"/>
      <c r="I3513" s="79"/>
      <c r="J3513" s="70"/>
      <c r="K3513" s="57"/>
      <c r="L3513" s="11"/>
      <c r="M3513" s="41"/>
      <c r="N3513" s="11"/>
    </row>
    <row r="3514" spans="8:14" x14ac:dyDescent="0.25">
      <c r="H3514" s="37"/>
      <c r="I3514" s="79"/>
      <c r="J3514" s="70"/>
      <c r="K3514" s="57"/>
      <c r="L3514" s="11"/>
      <c r="M3514" s="41"/>
      <c r="N3514" s="11"/>
    </row>
    <row r="3515" spans="8:14" x14ac:dyDescent="0.25">
      <c r="H3515" s="37"/>
      <c r="I3515" s="79"/>
      <c r="J3515" s="70"/>
      <c r="K3515" s="57"/>
      <c r="L3515" s="11"/>
      <c r="M3515" s="41"/>
      <c r="N3515" s="11"/>
    </row>
    <row r="3516" spans="8:14" x14ac:dyDescent="0.25">
      <c r="H3516" s="37"/>
      <c r="I3516" s="79"/>
      <c r="J3516" s="70"/>
      <c r="K3516" s="57"/>
      <c r="L3516" s="11"/>
      <c r="M3516" s="41"/>
      <c r="N3516" s="11"/>
    </row>
    <row r="3517" spans="8:14" x14ac:dyDescent="0.25">
      <c r="H3517" s="37"/>
      <c r="I3517" s="79"/>
      <c r="J3517" s="70"/>
      <c r="K3517" s="57"/>
      <c r="L3517" s="11"/>
      <c r="M3517" s="41"/>
      <c r="N3517" s="11"/>
    </row>
    <row r="3518" spans="8:14" x14ac:dyDescent="0.25">
      <c r="H3518" s="37"/>
      <c r="I3518" s="79"/>
      <c r="J3518" s="70"/>
      <c r="K3518" s="57"/>
      <c r="L3518" s="11"/>
      <c r="M3518" s="41"/>
      <c r="N3518" s="11"/>
    </row>
    <row r="3519" spans="8:14" x14ac:dyDescent="0.25">
      <c r="H3519" s="37"/>
      <c r="I3519" s="79"/>
      <c r="J3519" s="70"/>
      <c r="K3519" s="57"/>
      <c r="L3519" s="11"/>
      <c r="M3519" s="41"/>
      <c r="N3519" s="11"/>
    </row>
    <row r="3520" spans="8:14" x14ac:dyDescent="0.25">
      <c r="H3520" s="37"/>
      <c r="I3520" s="79"/>
      <c r="J3520" s="70"/>
      <c r="K3520" s="57"/>
      <c r="L3520" s="11"/>
      <c r="M3520" s="41"/>
      <c r="N3520" s="11"/>
    </row>
    <row r="3521" spans="8:14" x14ac:dyDescent="0.25">
      <c r="H3521" s="37"/>
      <c r="I3521" s="79"/>
      <c r="J3521" s="70"/>
      <c r="K3521" s="57"/>
      <c r="L3521" s="11"/>
      <c r="M3521" s="41"/>
      <c r="N3521" s="11"/>
    </row>
    <row r="3522" spans="8:14" x14ac:dyDescent="0.25">
      <c r="H3522" s="37"/>
      <c r="I3522" s="79"/>
      <c r="J3522" s="70"/>
      <c r="K3522" s="57"/>
      <c r="L3522" s="11"/>
      <c r="M3522" s="41"/>
      <c r="N3522" s="11"/>
    </row>
    <row r="3523" spans="8:14" x14ac:dyDescent="0.25">
      <c r="H3523" s="37"/>
      <c r="I3523" s="79"/>
      <c r="J3523" s="70"/>
      <c r="K3523" s="57"/>
      <c r="L3523" s="11"/>
      <c r="M3523" s="41"/>
      <c r="N3523" s="11"/>
    </row>
    <row r="3524" spans="8:14" x14ac:dyDescent="0.25">
      <c r="H3524" s="37"/>
      <c r="I3524" s="79"/>
      <c r="J3524" s="70"/>
      <c r="K3524" s="57"/>
      <c r="L3524" s="11"/>
      <c r="M3524" s="41"/>
      <c r="N3524" s="11"/>
    </row>
    <row r="3525" spans="8:14" x14ac:dyDescent="0.25">
      <c r="H3525" s="37"/>
      <c r="I3525" s="79"/>
      <c r="J3525" s="70"/>
      <c r="K3525" s="57"/>
      <c r="L3525" s="11"/>
      <c r="M3525" s="41"/>
      <c r="N3525" s="11"/>
    </row>
    <row r="3526" spans="8:14" x14ac:dyDescent="0.25">
      <c r="H3526" s="37"/>
      <c r="I3526" s="79"/>
      <c r="J3526" s="70"/>
      <c r="K3526" s="57"/>
      <c r="L3526" s="11"/>
      <c r="M3526" s="41"/>
      <c r="N3526" s="11"/>
    </row>
    <row r="3527" spans="8:14" x14ac:dyDescent="0.25">
      <c r="H3527" s="37"/>
      <c r="I3527" s="79"/>
      <c r="J3527" s="70"/>
      <c r="K3527" s="57"/>
      <c r="L3527" s="11"/>
      <c r="M3527" s="41"/>
      <c r="N3527" s="11"/>
    </row>
    <row r="3528" spans="8:14" x14ac:dyDescent="0.25">
      <c r="H3528" s="37"/>
      <c r="I3528" s="79"/>
      <c r="J3528" s="70"/>
      <c r="K3528" s="57"/>
      <c r="L3528" s="11"/>
      <c r="M3528" s="41"/>
      <c r="N3528" s="11"/>
    </row>
    <row r="3529" spans="8:14" x14ac:dyDescent="0.25">
      <c r="H3529" s="37"/>
      <c r="I3529" s="79"/>
      <c r="J3529" s="70"/>
      <c r="K3529" s="57"/>
      <c r="L3529" s="11"/>
      <c r="M3529" s="41"/>
      <c r="N3529" s="11"/>
    </row>
    <row r="3530" spans="8:14" x14ac:dyDescent="0.25">
      <c r="H3530" s="37"/>
      <c r="I3530" s="79"/>
      <c r="J3530" s="70"/>
      <c r="K3530" s="57"/>
      <c r="L3530" s="11"/>
      <c r="M3530" s="41"/>
      <c r="N3530" s="11"/>
    </row>
    <row r="3531" spans="8:14" x14ac:dyDescent="0.25">
      <c r="H3531" s="37"/>
      <c r="I3531" s="79"/>
      <c r="J3531" s="70"/>
      <c r="K3531" s="57"/>
      <c r="L3531" s="11"/>
      <c r="M3531" s="41"/>
      <c r="N3531" s="11"/>
    </row>
    <row r="3532" spans="8:14" x14ac:dyDescent="0.25">
      <c r="H3532" s="37"/>
      <c r="I3532" s="79"/>
      <c r="J3532" s="70"/>
      <c r="K3532" s="57"/>
      <c r="L3532" s="11"/>
      <c r="M3532" s="41"/>
      <c r="N3532" s="11"/>
    </row>
    <row r="3533" spans="8:14" x14ac:dyDescent="0.25">
      <c r="H3533" s="37"/>
      <c r="I3533" s="79"/>
      <c r="J3533" s="70"/>
      <c r="K3533" s="57"/>
      <c r="L3533" s="11"/>
      <c r="M3533" s="41"/>
      <c r="N3533" s="11"/>
    </row>
    <row r="3534" spans="8:14" x14ac:dyDescent="0.25">
      <c r="H3534" s="37"/>
      <c r="I3534" s="79"/>
      <c r="J3534" s="70"/>
      <c r="K3534" s="57"/>
      <c r="L3534" s="11"/>
      <c r="M3534" s="41"/>
      <c r="N3534" s="11"/>
    </row>
    <row r="3535" spans="8:14" x14ac:dyDescent="0.25">
      <c r="H3535" s="37"/>
      <c r="I3535" s="79"/>
      <c r="J3535" s="70"/>
      <c r="K3535" s="57"/>
      <c r="L3535" s="11"/>
      <c r="M3535" s="41"/>
      <c r="N3535" s="11"/>
    </row>
    <row r="3536" spans="8:14" x14ac:dyDescent="0.25">
      <c r="H3536" s="37"/>
      <c r="I3536" s="79"/>
      <c r="J3536" s="70"/>
      <c r="K3536" s="57"/>
      <c r="L3536" s="11"/>
      <c r="M3536" s="41"/>
      <c r="N3536" s="11"/>
    </row>
    <row r="3537" spans="8:14" x14ac:dyDescent="0.25">
      <c r="H3537" s="37"/>
      <c r="I3537" s="79"/>
      <c r="J3537" s="70"/>
      <c r="K3537" s="57"/>
      <c r="L3537" s="11"/>
      <c r="M3537" s="41"/>
      <c r="N3537" s="11"/>
    </row>
    <row r="3538" spans="8:14" x14ac:dyDescent="0.25">
      <c r="H3538" s="37"/>
      <c r="I3538" s="79"/>
      <c r="J3538" s="70"/>
      <c r="K3538" s="57"/>
      <c r="L3538" s="11"/>
      <c r="M3538" s="41"/>
      <c r="N3538" s="11"/>
    </row>
    <row r="3539" spans="8:14" x14ac:dyDescent="0.25">
      <c r="H3539" s="37"/>
      <c r="I3539" s="79"/>
      <c r="J3539" s="70"/>
      <c r="K3539" s="57"/>
      <c r="L3539" s="11"/>
      <c r="M3539" s="41"/>
      <c r="N3539" s="11"/>
    </row>
    <row r="3540" spans="8:14" x14ac:dyDescent="0.25">
      <c r="H3540" s="37"/>
      <c r="I3540" s="79"/>
      <c r="J3540" s="70"/>
      <c r="K3540" s="57"/>
      <c r="L3540" s="11"/>
      <c r="M3540" s="41"/>
      <c r="N3540" s="11"/>
    </row>
    <row r="3541" spans="8:14" x14ac:dyDescent="0.25">
      <c r="H3541" s="37"/>
      <c r="I3541" s="79"/>
      <c r="J3541" s="70"/>
      <c r="K3541" s="57"/>
      <c r="L3541" s="11"/>
      <c r="M3541" s="41"/>
      <c r="N3541" s="11"/>
    </row>
    <row r="3542" spans="8:14" x14ac:dyDescent="0.25">
      <c r="H3542" s="37"/>
      <c r="I3542" s="79"/>
      <c r="J3542" s="70"/>
      <c r="K3542" s="57"/>
      <c r="L3542" s="11"/>
      <c r="M3542" s="41"/>
      <c r="N3542" s="11"/>
    </row>
    <row r="3543" spans="8:14" x14ac:dyDescent="0.25">
      <c r="H3543" s="37"/>
      <c r="I3543" s="79"/>
      <c r="J3543" s="70"/>
      <c r="K3543" s="57"/>
      <c r="L3543" s="11"/>
      <c r="M3543" s="41"/>
      <c r="N3543" s="11"/>
    </row>
    <row r="3544" spans="8:14" x14ac:dyDescent="0.25">
      <c r="H3544" s="37"/>
      <c r="I3544" s="79"/>
      <c r="J3544" s="70"/>
      <c r="K3544" s="57"/>
      <c r="L3544" s="11"/>
      <c r="M3544" s="41"/>
      <c r="N3544" s="11"/>
    </row>
    <row r="3545" spans="8:14" x14ac:dyDescent="0.25">
      <c r="H3545" s="37"/>
      <c r="I3545" s="79"/>
      <c r="J3545" s="70"/>
      <c r="K3545" s="57"/>
      <c r="L3545" s="11"/>
      <c r="M3545" s="41"/>
      <c r="N3545" s="11"/>
    </row>
    <row r="3546" spans="8:14" x14ac:dyDescent="0.25">
      <c r="H3546" s="37"/>
      <c r="I3546" s="79"/>
      <c r="J3546" s="70"/>
      <c r="K3546" s="57"/>
      <c r="L3546" s="11"/>
      <c r="M3546" s="41"/>
      <c r="N3546" s="11"/>
    </row>
    <row r="3547" spans="8:14" x14ac:dyDescent="0.25">
      <c r="H3547" s="37"/>
      <c r="I3547" s="79"/>
      <c r="J3547" s="70"/>
      <c r="K3547" s="57"/>
      <c r="L3547" s="11"/>
      <c r="M3547" s="41"/>
      <c r="N3547" s="11"/>
    </row>
    <row r="3548" spans="8:14" x14ac:dyDescent="0.25">
      <c r="H3548" s="37"/>
      <c r="I3548" s="79"/>
      <c r="J3548" s="70"/>
      <c r="K3548" s="57"/>
      <c r="L3548" s="11"/>
      <c r="M3548" s="41"/>
      <c r="N3548" s="11"/>
    </row>
    <row r="3549" spans="8:14" x14ac:dyDescent="0.25">
      <c r="H3549" s="37"/>
      <c r="I3549" s="79"/>
      <c r="J3549" s="70"/>
      <c r="K3549" s="57"/>
      <c r="L3549" s="11"/>
      <c r="M3549" s="41"/>
      <c r="N3549" s="11"/>
    </row>
    <row r="3550" spans="8:14" x14ac:dyDescent="0.25">
      <c r="H3550" s="37"/>
      <c r="I3550" s="79"/>
      <c r="J3550" s="70"/>
      <c r="K3550" s="57"/>
      <c r="L3550" s="11"/>
      <c r="M3550" s="41"/>
      <c r="N3550" s="11"/>
    </row>
    <row r="3551" spans="8:14" x14ac:dyDescent="0.25">
      <c r="H3551" s="37"/>
      <c r="I3551" s="79"/>
      <c r="J3551" s="70"/>
      <c r="K3551" s="57"/>
      <c r="L3551" s="11"/>
      <c r="M3551" s="41"/>
      <c r="N3551" s="11"/>
    </row>
    <row r="3552" spans="8:14" x14ac:dyDescent="0.25">
      <c r="H3552" s="37"/>
      <c r="I3552" s="79"/>
      <c r="J3552" s="70"/>
      <c r="K3552" s="57"/>
      <c r="L3552" s="11"/>
      <c r="M3552" s="41"/>
      <c r="N3552" s="11"/>
    </row>
    <row r="3553" spans="8:14" x14ac:dyDescent="0.25">
      <c r="H3553" s="37"/>
      <c r="I3553" s="79"/>
      <c r="J3553" s="70"/>
      <c r="K3553" s="57"/>
      <c r="L3553" s="11"/>
      <c r="M3553" s="41"/>
      <c r="N3553" s="11"/>
    </row>
    <row r="3554" spans="8:14" x14ac:dyDescent="0.25">
      <c r="H3554" s="37"/>
      <c r="I3554" s="79"/>
      <c r="J3554" s="70"/>
      <c r="K3554" s="57"/>
      <c r="L3554" s="11"/>
      <c r="M3554" s="41"/>
      <c r="N3554" s="11"/>
    </row>
    <row r="3555" spans="8:14" x14ac:dyDescent="0.25">
      <c r="H3555" s="37"/>
      <c r="I3555" s="79"/>
      <c r="J3555" s="70"/>
      <c r="K3555" s="57"/>
      <c r="L3555" s="11"/>
      <c r="M3555" s="41"/>
      <c r="N3555" s="11"/>
    </row>
    <row r="3556" spans="8:14" x14ac:dyDescent="0.25">
      <c r="H3556" s="37"/>
      <c r="I3556" s="79"/>
      <c r="J3556" s="70"/>
      <c r="K3556" s="57"/>
      <c r="L3556" s="11"/>
      <c r="M3556" s="41"/>
      <c r="N3556" s="11"/>
    </row>
    <row r="3557" spans="8:14" x14ac:dyDescent="0.25">
      <c r="H3557" s="37"/>
      <c r="I3557" s="79"/>
      <c r="J3557" s="70"/>
      <c r="K3557" s="57"/>
      <c r="L3557" s="11"/>
      <c r="M3557" s="41"/>
      <c r="N3557" s="11"/>
    </row>
    <row r="3558" spans="8:14" x14ac:dyDescent="0.25">
      <c r="H3558" s="37"/>
      <c r="I3558" s="79"/>
      <c r="J3558" s="70"/>
      <c r="K3558" s="57"/>
      <c r="L3558" s="11"/>
      <c r="M3558" s="41"/>
      <c r="N3558" s="11"/>
    </row>
    <row r="3559" spans="8:14" x14ac:dyDescent="0.25">
      <c r="H3559" s="37"/>
      <c r="I3559" s="79"/>
      <c r="J3559" s="70"/>
      <c r="K3559" s="57"/>
      <c r="L3559" s="11"/>
      <c r="M3559" s="41"/>
      <c r="N3559" s="11"/>
    </row>
    <row r="3560" spans="8:14" x14ac:dyDescent="0.25">
      <c r="H3560" s="37"/>
      <c r="I3560" s="79"/>
      <c r="J3560" s="70"/>
      <c r="K3560" s="57"/>
      <c r="L3560" s="11"/>
      <c r="M3560" s="41"/>
      <c r="N3560" s="11"/>
    </row>
    <row r="3561" spans="8:14" x14ac:dyDescent="0.25">
      <c r="H3561" s="37"/>
      <c r="I3561" s="79"/>
      <c r="J3561" s="70"/>
      <c r="K3561" s="57"/>
      <c r="L3561" s="11"/>
      <c r="M3561" s="41"/>
      <c r="N3561" s="11"/>
    </row>
    <row r="3562" spans="8:14" x14ac:dyDescent="0.25">
      <c r="H3562" s="37"/>
      <c r="I3562" s="79"/>
      <c r="J3562" s="70"/>
      <c r="K3562" s="57"/>
      <c r="L3562" s="11"/>
      <c r="M3562" s="41"/>
      <c r="N3562" s="11"/>
    </row>
    <row r="3563" spans="8:14" x14ac:dyDescent="0.25">
      <c r="H3563" s="37"/>
      <c r="I3563" s="79"/>
      <c r="J3563" s="70"/>
      <c r="K3563" s="57"/>
      <c r="L3563" s="11"/>
      <c r="M3563" s="41"/>
      <c r="N3563" s="11"/>
    </row>
    <row r="3564" spans="8:14" x14ac:dyDescent="0.25">
      <c r="H3564" s="37"/>
      <c r="I3564" s="79"/>
      <c r="J3564" s="70"/>
      <c r="K3564" s="57"/>
      <c r="L3564" s="11"/>
      <c r="M3564" s="41"/>
      <c r="N3564" s="11"/>
    </row>
    <row r="3565" spans="8:14" x14ac:dyDescent="0.25">
      <c r="H3565" s="37"/>
      <c r="I3565" s="79"/>
      <c r="J3565" s="70"/>
      <c r="K3565" s="57"/>
      <c r="L3565" s="11"/>
      <c r="M3565" s="41"/>
      <c r="N3565" s="11"/>
    </row>
    <row r="3566" spans="8:14" x14ac:dyDescent="0.25">
      <c r="H3566" s="37"/>
      <c r="I3566" s="79"/>
      <c r="J3566" s="70"/>
      <c r="K3566" s="57"/>
      <c r="L3566" s="11"/>
      <c r="M3566" s="41"/>
      <c r="N3566" s="11"/>
    </row>
    <row r="3567" spans="8:14" x14ac:dyDescent="0.25">
      <c r="H3567" s="37"/>
      <c r="I3567" s="79"/>
      <c r="J3567" s="70"/>
      <c r="K3567" s="57"/>
      <c r="L3567" s="11"/>
      <c r="M3567" s="41"/>
      <c r="N3567" s="11"/>
    </row>
    <row r="3568" spans="8:14" x14ac:dyDescent="0.25">
      <c r="H3568" s="37"/>
      <c r="I3568" s="79"/>
      <c r="J3568" s="70"/>
      <c r="K3568" s="57"/>
      <c r="L3568" s="11"/>
      <c r="M3568" s="41"/>
      <c r="N3568" s="11"/>
    </row>
    <row r="3569" spans="8:14" x14ac:dyDescent="0.25">
      <c r="H3569" s="37"/>
      <c r="I3569" s="79"/>
      <c r="J3569" s="70"/>
      <c r="K3569" s="57"/>
      <c r="L3569" s="11"/>
      <c r="M3569" s="41"/>
      <c r="N3569" s="11"/>
    </row>
    <row r="3570" spans="8:14" x14ac:dyDescent="0.25">
      <c r="H3570" s="37"/>
      <c r="I3570" s="79"/>
      <c r="J3570" s="70"/>
      <c r="K3570" s="57"/>
      <c r="L3570" s="11"/>
      <c r="M3570" s="41"/>
      <c r="N3570" s="11"/>
    </row>
    <row r="3571" spans="8:14" x14ac:dyDescent="0.25">
      <c r="H3571" s="37"/>
      <c r="I3571" s="79"/>
      <c r="J3571" s="70"/>
      <c r="K3571" s="57"/>
      <c r="L3571" s="11"/>
      <c r="M3571" s="41"/>
      <c r="N3571" s="11"/>
    </row>
    <row r="3572" spans="8:14" x14ac:dyDescent="0.25">
      <c r="H3572" s="37"/>
      <c r="I3572" s="79"/>
      <c r="J3572" s="70"/>
      <c r="K3572" s="57"/>
      <c r="L3572" s="11"/>
      <c r="M3572" s="41"/>
      <c r="N3572" s="11"/>
    </row>
    <row r="3573" spans="8:14" x14ac:dyDescent="0.25">
      <c r="H3573" s="37"/>
      <c r="I3573" s="79"/>
      <c r="J3573" s="70"/>
      <c r="K3573" s="57"/>
      <c r="L3573" s="11"/>
      <c r="M3573" s="41"/>
      <c r="N3573" s="11"/>
    </row>
    <row r="3574" spans="8:14" x14ac:dyDescent="0.25">
      <c r="H3574" s="37"/>
      <c r="I3574" s="79"/>
      <c r="J3574" s="70"/>
      <c r="K3574" s="57"/>
      <c r="L3574" s="11"/>
      <c r="M3574" s="41"/>
      <c r="N3574" s="11"/>
    </row>
    <row r="3575" spans="8:14" x14ac:dyDescent="0.25">
      <c r="H3575" s="37"/>
      <c r="I3575" s="79"/>
      <c r="J3575" s="70"/>
      <c r="K3575" s="57"/>
      <c r="L3575" s="11"/>
      <c r="M3575" s="41"/>
      <c r="N3575" s="11"/>
    </row>
    <row r="3576" spans="8:14" x14ac:dyDescent="0.25">
      <c r="H3576" s="37"/>
      <c r="I3576" s="79"/>
      <c r="J3576" s="70"/>
      <c r="K3576" s="57"/>
      <c r="L3576" s="11"/>
      <c r="M3576" s="41"/>
      <c r="N3576" s="11"/>
    </row>
    <row r="3577" spans="8:14" x14ac:dyDescent="0.25">
      <c r="H3577" s="37"/>
      <c r="I3577" s="79"/>
      <c r="J3577" s="70"/>
      <c r="K3577" s="57"/>
      <c r="L3577" s="11"/>
      <c r="M3577" s="41"/>
      <c r="N3577" s="11"/>
    </row>
    <row r="3578" spans="8:14" x14ac:dyDescent="0.25">
      <c r="H3578" s="37"/>
      <c r="I3578" s="79"/>
      <c r="J3578" s="70"/>
      <c r="K3578" s="57"/>
      <c r="L3578" s="11"/>
      <c r="M3578" s="41"/>
      <c r="N3578" s="11"/>
    </row>
    <row r="3579" spans="8:14" x14ac:dyDescent="0.25">
      <c r="H3579" s="37"/>
      <c r="I3579" s="79"/>
      <c r="J3579" s="70"/>
      <c r="K3579" s="57"/>
      <c r="L3579" s="11"/>
      <c r="M3579" s="41"/>
      <c r="N3579" s="11"/>
    </row>
    <row r="3580" spans="8:14" x14ac:dyDescent="0.25">
      <c r="H3580" s="37"/>
      <c r="I3580" s="79"/>
      <c r="J3580" s="70"/>
      <c r="K3580" s="57"/>
      <c r="L3580" s="11"/>
      <c r="M3580" s="41"/>
      <c r="N3580" s="11"/>
    </row>
    <row r="3581" spans="8:14" x14ac:dyDescent="0.25">
      <c r="H3581" s="37"/>
      <c r="I3581" s="79"/>
      <c r="J3581" s="70"/>
      <c r="K3581" s="57"/>
      <c r="L3581" s="11"/>
      <c r="M3581" s="41"/>
      <c r="N3581" s="11"/>
    </row>
    <row r="3582" spans="8:14" x14ac:dyDescent="0.25">
      <c r="H3582" s="37"/>
      <c r="I3582" s="79"/>
      <c r="J3582" s="70"/>
      <c r="K3582" s="57"/>
      <c r="L3582" s="11"/>
      <c r="M3582" s="41"/>
      <c r="N3582" s="11"/>
    </row>
    <row r="3583" spans="8:14" x14ac:dyDescent="0.25">
      <c r="H3583" s="37"/>
      <c r="I3583" s="79"/>
      <c r="J3583" s="70"/>
      <c r="K3583" s="57"/>
      <c r="L3583" s="11"/>
      <c r="M3583" s="41"/>
      <c r="N3583" s="11"/>
    </row>
    <row r="3584" spans="8:14" x14ac:dyDescent="0.25">
      <c r="H3584" s="37"/>
      <c r="I3584" s="79"/>
      <c r="J3584" s="70"/>
      <c r="K3584" s="57"/>
      <c r="L3584" s="11"/>
      <c r="M3584" s="41"/>
      <c r="N3584" s="11"/>
    </row>
    <row r="3585" spans="8:14" x14ac:dyDescent="0.25">
      <c r="H3585" s="37"/>
      <c r="I3585" s="79"/>
      <c r="J3585" s="70"/>
      <c r="K3585" s="57"/>
      <c r="L3585" s="11"/>
      <c r="M3585" s="41"/>
      <c r="N3585" s="11"/>
    </row>
    <row r="3586" spans="8:14" x14ac:dyDescent="0.25">
      <c r="H3586" s="37"/>
      <c r="I3586" s="79"/>
      <c r="J3586" s="70"/>
      <c r="K3586" s="57"/>
      <c r="L3586" s="11"/>
      <c r="M3586" s="41"/>
      <c r="N3586" s="11"/>
    </row>
    <row r="3587" spans="8:14" x14ac:dyDescent="0.25">
      <c r="H3587" s="37"/>
      <c r="I3587" s="79"/>
      <c r="J3587" s="70"/>
      <c r="K3587" s="57"/>
      <c r="L3587" s="11"/>
      <c r="M3587" s="41"/>
      <c r="N3587" s="11"/>
    </row>
    <row r="3588" spans="8:14" x14ac:dyDescent="0.25">
      <c r="H3588" s="37"/>
      <c r="I3588" s="79"/>
      <c r="J3588" s="70"/>
      <c r="K3588" s="57"/>
      <c r="L3588" s="11"/>
      <c r="M3588" s="41"/>
      <c r="N3588" s="11"/>
    </row>
    <row r="3589" spans="8:14" x14ac:dyDescent="0.25">
      <c r="H3589" s="37"/>
      <c r="I3589" s="79"/>
      <c r="J3589" s="70"/>
      <c r="K3589" s="57"/>
      <c r="L3589" s="11"/>
      <c r="M3589" s="41"/>
      <c r="N3589" s="11"/>
    </row>
    <row r="3590" spans="8:14" x14ac:dyDescent="0.25">
      <c r="H3590" s="37"/>
      <c r="I3590" s="79"/>
      <c r="J3590" s="70"/>
      <c r="K3590" s="57"/>
      <c r="L3590" s="11"/>
      <c r="M3590" s="41"/>
      <c r="N3590" s="11"/>
    </row>
    <row r="3591" spans="8:14" x14ac:dyDescent="0.25">
      <c r="H3591" s="37"/>
      <c r="I3591" s="79"/>
      <c r="J3591" s="70"/>
      <c r="K3591" s="57"/>
      <c r="L3591" s="11"/>
      <c r="M3591" s="41"/>
      <c r="N3591" s="11"/>
    </row>
    <row r="3592" spans="8:14" x14ac:dyDescent="0.25">
      <c r="H3592" s="37"/>
      <c r="I3592" s="79"/>
      <c r="J3592" s="70"/>
      <c r="K3592" s="57"/>
      <c r="L3592" s="11"/>
      <c r="M3592" s="41"/>
      <c r="N3592" s="11"/>
    </row>
    <row r="3593" spans="8:14" x14ac:dyDescent="0.25">
      <c r="H3593" s="37"/>
      <c r="I3593" s="79"/>
      <c r="J3593" s="70"/>
      <c r="K3593" s="57"/>
      <c r="L3593" s="11"/>
      <c r="M3593" s="41"/>
      <c r="N3593" s="11"/>
    </row>
    <row r="3594" spans="8:14" x14ac:dyDescent="0.25">
      <c r="H3594" s="37"/>
      <c r="I3594" s="79"/>
      <c r="J3594" s="70"/>
      <c r="K3594" s="57"/>
      <c r="L3594" s="11"/>
      <c r="M3594" s="41"/>
      <c r="N3594" s="11"/>
    </row>
    <row r="3595" spans="8:14" x14ac:dyDescent="0.25">
      <c r="H3595" s="37"/>
      <c r="I3595" s="79"/>
      <c r="J3595" s="70"/>
      <c r="K3595" s="57"/>
      <c r="L3595" s="11"/>
      <c r="M3595" s="41"/>
      <c r="N3595" s="11"/>
    </row>
    <row r="3596" spans="8:14" x14ac:dyDescent="0.25">
      <c r="H3596" s="37"/>
      <c r="I3596" s="79"/>
      <c r="J3596" s="70"/>
      <c r="K3596" s="57"/>
      <c r="L3596" s="11"/>
      <c r="M3596" s="41"/>
      <c r="N3596" s="11"/>
    </row>
    <row r="3597" spans="8:14" x14ac:dyDescent="0.25">
      <c r="H3597" s="37"/>
      <c r="I3597" s="79"/>
      <c r="J3597" s="70"/>
      <c r="K3597" s="57"/>
      <c r="L3597" s="11"/>
      <c r="M3597" s="41"/>
      <c r="N3597" s="11"/>
    </row>
    <row r="3598" spans="8:14" x14ac:dyDescent="0.25">
      <c r="H3598" s="37"/>
      <c r="I3598" s="79"/>
      <c r="J3598" s="70"/>
      <c r="K3598" s="57"/>
      <c r="L3598" s="11"/>
      <c r="M3598" s="41"/>
      <c r="N3598" s="11"/>
    </row>
    <row r="3599" spans="8:14" x14ac:dyDescent="0.25">
      <c r="H3599" s="37"/>
      <c r="I3599" s="79"/>
      <c r="J3599" s="70"/>
      <c r="K3599" s="57"/>
      <c r="L3599" s="11"/>
      <c r="M3599" s="41"/>
      <c r="N3599" s="11"/>
    </row>
    <row r="3600" spans="8:14" x14ac:dyDescent="0.25">
      <c r="H3600" s="37"/>
      <c r="I3600" s="79"/>
      <c r="J3600" s="70"/>
      <c r="K3600" s="57"/>
      <c r="L3600" s="11"/>
      <c r="M3600" s="41"/>
      <c r="N3600" s="11"/>
    </row>
    <row r="3601" spans="8:14" x14ac:dyDescent="0.25">
      <c r="H3601" s="37"/>
      <c r="I3601" s="79"/>
      <c r="J3601" s="70"/>
      <c r="K3601" s="57"/>
      <c r="L3601" s="11"/>
      <c r="M3601" s="41"/>
      <c r="N3601" s="11"/>
    </row>
    <row r="3602" spans="8:14" x14ac:dyDescent="0.25">
      <c r="H3602" s="37"/>
      <c r="I3602" s="79"/>
      <c r="J3602" s="70"/>
      <c r="K3602" s="57"/>
      <c r="L3602" s="11"/>
      <c r="M3602" s="41"/>
      <c r="N3602" s="11"/>
    </row>
    <row r="3603" spans="8:14" x14ac:dyDescent="0.25">
      <c r="H3603" s="37"/>
      <c r="I3603" s="79"/>
      <c r="J3603" s="70"/>
      <c r="K3603" s="57"/>
      <c r="L3603" s="11"/>
      <c r="M3603" s="41"/>
      <c r="N3603" s="11"/>
    </row>
    <row r="3604" spans="8:14" x14ac:dyDescent="0.25">
      <c r="H3604" s="37"/>
      <c r="I3604" s="79"/>
      <c r="J3604" s="70"/>
      <c r="K3604" s="57"/>
      <c r="L3604" s="11"/>
      <c r="M3604" s="41"/>
      <c r="N3604" s="11"/>
    </row>
    <row r="3605" spans="8:14" x14ac:dyDescent="0.25">
      <c r="H3605" s="37"/>
      <c r="I3605" s="79"/>
      <c r="J3605" s="70"/>
      <c r="K3605" s="57"/>
      <c r="L3605" s="11"/>
      <c r="M3605" s="41"/>
      <c r="N3605" s="11"/>
    </row>
    <row r="3606" spans="8:14" x14ac:dyDescent="0.25">
      <c r="H3606" s="37"/>
      <c r="I3606" s="79"/>
      <c r="J3606" s="70"/>
      <c r="K3606" s="57"/>
      <c r="L3606" s="11"/>
      <c r="M3606" s="41"/>
      <c r="N3606" s="11"/>
    </row>
    <row r="3607" spans="8:14" x14ac:dyDescent="0.25">
      <c r="H3607" s="37"/>
      <c r="I3607" s="79"/>
      <c r="J3607" s="70"/>
      <c r="K3607" s="57"/>
      <c r="L3607" s="11"/>
      <c r="M3607" s="41"/>
      <c r="N3607" s="11"/>
    </row>
    <row r="3608" spans="8:14" x14ac:dyDescent="0.25">
      <c r="H3608" s="37"/>
      <c r="I3608" s="79"/>
      <c r="J3608" s="70"/>
      <c r="K3608" s="57"/>
      <c r="L3608" s="11"/>
      <c r="M3608" s="41"/>
      <c r="N3608" s="11"/>
    </row>
    <row r="3609" spans="8:14" x14ac:dyDescent="0.25">
      <c r="H3609" s="37"/>
      <c r="I3609" s="79"/>
      <c r="J3609" s="70"/>
      <c r="K3609" s="57"/>
      <c r="L3609" s="11"/>
      <c r="M3609" s="41"/>
      <c r="N3609" s="11"/>
    </row>
    <row r="3610" spans="8:14" x14ac:dyDescent="0.25">
      <c r="H3610" s="37"/>
      <c r="I3610" s="79"/>
      <c r="J3610" s="70"/>
      <c r="K3610" s="57"/>
      <c r="L3610" s="11"/>
      <c r="M3610" s="41"/>
      <c r="N3610" s="11"/>
    </row>
    <row r="3611" spans="8:14" x14ac:dyDescent="0.25">
      <c r="H3611" s="37"/>
      <c r="I3611" s="79"/>
      <c r="J3611" s="70"/>
      <c r="K3611" s="57"/>
      <c r="L3611" s="11"/>
      <c r="M3611" s="41"/>
      <c r="N3611" s="11"/>
    </row>
    <row r="3612" spans="8:14" x14ac:dyDescent="0.25">
      <c r="H3612" s="37"/>
      <c r="I3612" s="79"/>
      <c r="J3612" s="70"/>
      <c r="K3612" s="57"/>
      <c r="L3612" s="11"/>
      <c r="M3612" s="41"/>
      <c r="N3612" s="11"/>
    </row>
    <row r="3613" spans="8:14" x14ac:dyDescent="0.25">
      <c r="H3613" s="37"/>
      <c r="I3613" s="79"/>
      <c r="J3613" s="70"/>
      <c r="K3613" s="57"/>
      <c r="L3613" s="11"/>
      <c r="M3613" s="41"/>
      <c r="N3613" s="11"/>
    </row>
    <row r="3614" spans="8:14" x14ac:dyDescent="0.25">
      <c r="H3614" s="37"/>
      <c r="I3614" s="79"/>
      <c r="J3614" s="70"/>
      <c r="K3614" s="57"/>
      <c r="L3614" s="11"/>
      <c r="M3614" s="41"/>
      <c r="N3614" s="11"/>
    </row>
    <row r="3615" spans="8:14" x14ac:dyDescent="0.25">
      <c r="H3615" s="37"/>
      <c r="I3615" s="79"/>
      <c r="J3615" s="70"/>
      <c r="K3615" s="57"/>
      <c r="L3615" s="11"/>
      <c r="M3615" s="41"/>
      <c r="N3615" s="11"/>
    </row>
    <row r="3616" spans="8:14" x14ac:dyDescent="0.25">
      <c r="H3616" s="37"/>
      <c r="I3616" s="79"/>
      <c r="J3616" s="70"/>
      <c r="K3616" s="57"/>
      <c r="L3616" s="11"/>
      <c r="M3616" s="41"/>
      <c r="N3616" s="11"/>
    </row>
    <row r="3617" spans="8:14" x14ac:dyDescent="0.25">
      <c r="H3617" s="37"/>
      <c r="I3617" s="79"/>
      <c r="J3617" s="70"/>
      <c r="K3617" s="57"/>
      <c r="L3617" s="11"/>
      <c r="M3617" s="41"/>
      <c r="N3617" s="11"/>
    </row>
    <row r="3618" spans="8:14" x14ac:dyDescent="0.25">
      <c r="H3618" s="37"/>
      <c r="I3618" s="79"/>
      <c r="J3618" s="70"/>
      <c r="K3618" s="57"/>
      <c r="L3618" s="11"/>
      <c r="M3618" s="41"/>
      <c r="N3618" s="11"/>
    </row>
    <row r="3619" spans="8:14" x14ac:dyDescent="0.25">
      <c r="H3619" s="37"/>
      <c r="I3619" s="79"/>
      <c r="J3619" s="70"/>
      <c r="K3619" s="57"/>
      <c r="L3619" s="11"/>
      <c r="M3619" s="41"/>
      <c r="N3619" s="11"/>
    </row>
    <row r="3620" spans="8:14" x14ac:dyDescent="0.25">
      <c r="H3620" s="37"/>
      <c r="I3620" s="79"/>
      <c r="J3620" s="70"/>
      <c r="K3620" s="57"/>
      <c r="L3620" s="11"/>
      <c r="M3620" s="41"/>
      <c r="N3620" s="11"/>
    </row>
    <row r="3621" spans="8:14" x14ac:dyDescent="0.25">
      <c r="H3621" s="37"/>
      <c r="I3621" s="79"/>
      <c r="J3621" s="70"/>
      <c r="K3621" s="57"/>
      <c r="L3621" s="11"/>
      <c r="M3621" s="41"/>
      <c r="N3621" s="11"/>
    </row>
    <row r="3622" spans="8:14" x14ac:dyDescent="0.25">
      <c r="H3622" s="37"/>
      <c r="I3622" s="79"/>
      <c r="J3622" s="70"/>
      <c r="K3622" s="57"/>
      <c r="L3622" s="11"/>
      <c r="M3622" s="41"/>
      <c r="N3622" s="11"/>
    </row>
    <row r="3623" spans="8:14" x14ac:dyDescent="0.25">
      <c r="H3623" s="37"/>
      <c r="I3623" s="79"/>
      <c r="J3623" s="70"/>
      <c r="K3623" s="57"/>
      <c r="L3623" s="11"/>
      <c r="M3623" s="41"/>
      <c r="N3623" s="11"/>
    </row>
    <row r="3624" spans="8:14" x14ac:dyDescent="0.25">
      <c r="H3624" s="37"/>
      <c r="I3624" s="79"/>
      <c r="J3624" s="70"/>
      <c r="K3624" s="57"/>
      <c r="L3624" s="11"/>
      <c r="M3624" s="41"/>
      <c r="N3624" s="11"/>
    </row>
    <row r="3625" spans="8:14" x14ac:dyDescent="0.25">
      <c r="H3625" s="37"/>
      <c r="I3625" s="79"/>
      <c r="J3625" s="70"/>
      <c r="K3625" s="57"/>
      <c r="L3625" s="11"/>
      <c r="M3625" s="41"/>
      <c r="N3625" s="11"/>
    </row>
    <row r="3626" spans="8:14" x14ac:dyDescent="0.25">
      <c r="H3626" s="37"/>
      <c r="I3626" s="79"/>
      <c r="J3626" s="70"/>
      <c r="K3626" s="57"/>
      <c r="L3626" s="11"/>
      <c r="M3626" s="41"/>
      <c r="N3626" s="11"/>
    </row>
    <row r="3627" spans="8:14" x14ac:dyDescent="0.25">
      <c r="H3627" s="37"/>
      <c r="I3627" s="79"/>
      <c r="J3627" s="70"/>
      <c r="K3627" s="57"/>
      <c r="L3627" s="11"/>
      <c r="M3627" s="41"/>
      <c r="N3627" s="11"/>
    </row>
    <row r="3628" spans="8:14" x14ac:dyDescent="0.25">
      <c r="H3628" s="37"/>
      <c r="I3628" s="79"/>
      <c r="J3628" s="70"/>
      <c r="K3628" s="57"/>
      <c r="L3628" s="11"/>
      <c r="M3628" s="41"/>
      <c r="N3628" s="11"/>
    </row>
    <row r="3629" spans="8:14" x14ac:dyDescent="0.25">
      <c r="H3629" s="37"/>
      <c r="I3629" s="79"/>
      <c r="J3629" s="70"/>
      <c r="K3629" s="57"/>
      <c r="L3629" s="11"/>
      <c r="M3629" s="41"/>
      <c r="N3629" s="11"/>
    </row>
    <row r="3630" spans="8:14" x14ac:dyDescent="0.25">
      <c r="H3630" s="37"/>
      <c r="I3630" s="79"/>
      <c r="J3630" s="70"/>
      <c r="K3630" s="57"/>
      <c r="L3630" s="11"/>
      <c r="M3630" s="41"/>
      <c r="N3630" s="11"/>
    </row>
    <row r="3631" spans="8:14" x14ac:dyDescent="0.25">
      <c r="H3631" s="37"/>
      <c r="I3631" s="79"/>
      <c r="J3631" s="70"/>
      <c r="K3631" s="57"/>
      <c r="L3631" s="11"/>
      <c r="M3631" s="41"/>
      <c r="N3631" s="11"/>
    </row>
    <row r="3632" spans="8:14" x14ac:dyDescent="0.25">
      <c r="H3632" s="37"/>
      <c r="I3632" s="79"/>
      <c r="J3632" s="70"/>
      <c r="K3632" s="57"/>
      <c r="L3632" s="11"/>
      <c r="M3632" s="41"/>
      <c r="N3632" s="11"/>
    </row>
    <row r="3633" spans="8:14" x14ac:dyDescent="0.25">
      <c r="H3633" s="37"/>
      <c r="I3633" s="79"/>
      <c r="J3633" s="70"/>
      <c r="K3633" s="57"/>
      <c r="L3633" s="11"/>
      <c r="M3633" s="41"/>
      <c r="N3633" s="11"/>
    </row>
    <row r="3634" spans="8:14" x14ac:dyDescent="0.25">
      <c r="H3634" s="37"/>
      <c r="I3634" s="79"/>
      <c r="J3634" s="70"/>
      <c r="K3634" s="57"/>
      <c r="L3634" s="11"/>
      <c r="M3634" s="41"/>
      <c r="N3634" s="11"/>
    </row>
    <row r="3635" spans="8:14" x14ac:dyDescent="0.25">
      <c r="H3635" s="37"/>
      <c r="I3635" s="79"/>
      <c r="J3635" s="70"/>
      <c r="K3635" s="57"/>
      <c r="L3635" s="11"/>
      <c r="M3635" s="41"/>
      <c r="N3635" s="11"/>
    </row>
    <row r="3636" spans="8:14" x14ac:dyDescent="0.25">
      <c r="H3636" s="37"/>
      <c r="I3636" s="79"/>
      <c r="J3636" s="70"/>
      <c r="K3636" s="57"/>
      <c r="L3636" s="11"/>
      <c r="M3636" s="41"/>
      <c r="N3636" s="11"/>
    </row>
    <row r="3637" spans="8:14" x14ac:dyDescent="0.25">
      <c r="H3637" s="37"/>
      <c r="I3637" s="79"/>
      <c r="J3637" s="70"/>
      <c r="K3637" s="57"/>
      <c r="L3637" s="11"/>
      <c r="M3637" s="41"/>
      <c r="N3637" s="11"/>
    </row>
    <row r="3638" spans="8:14" x14ac:dyDescent="0.25">
      <c r="H3638" s="37"/>
      <c r="I3638" s="79"/>
      <c r="J3638" s="70"/>
      <c r="K3638" s="57"/>
      <c r="L3638" s="11"/>
      <c r="M3638" s="41"/>
      <c r="N3638" s="11"/>
    </row>
    <row r="3639" spans="8:14" x14ac:dyDescent="0.25">
      <c r="H3639" s="37"/>
      <c r="I3639" s="79"/>
      <c r="J3639" s="70"/>
      <c r="K3639" s="57"/>
      <c r="L3639" s="11"/>
      <c r="M3639" s="41"/>
      <c r="N3639" s="11"/>
    </row>
    <row r="3640" spans="8:14" x14ac:dyDescent="0.25">
      <c r="H3640" s="37"/>
      <c r="I3640" s="79"/>
      <c r="J3640" s="70"/>
      <c r="K3640" s="57"/>
      <c r="L3640" s="11"/>
      <c r="M3640" s="41"/>
      <c r="N3640" s="11"/>
    </row>
    <row r="3641" spans="8:14" x14ac:dyDescent="0.25">
      <c r="H3641" s="37"/>
      <c r="I3641" s="79"/>
      <c r="J3641" s="70"/>
      <c r="K3641" s="57"/>
      <c r="L3641" s="11"/>
      <c r="M3641" s="41"/>
      <c r="N3641" s="11"/>
    </row>
    <row r="3642" spans="8:14" x14ac:dyDescent="0.25">
      <c r="H3642" s="37"/>
      <c r="I3642" s="79"/>
      <c r="J3642" s="70"/>
      <c r="K3642" s="57"/>
      <c r="L3642" s="11"/>
      <c r="M3642" s="41"/>
      <c r="N3642" s="11"/>
    </row>
    <row r="3643" spans="8:14" x14ac:dyDescent="0.25">
      <c r="H3643" s="37"/>
      <c r="I3643" s="79"/>
      <c r="J3643" s="70"/>
      <c r="K3643" s="57"/>
      <c r="L3643" s="11"/>
      <c r="M3643" s="41"/>
      <c r="N3643" s="11"/>
    </row>
    <row r="3644" spans="8:14" x14ac:dyDescent="0.25">
      <c r="H3644" s="37"/>
      <c r="I3644" s="79"/>
      <c r="J3644" s="70"/>
      <c r="K3644" s="57"/>
      <c r="L3644" s="11"/>
      <c r="M3644" s="41"/>
      <c r="N3644" s="11"/>
    </row>
    <row r="3645" spans="8:14" x14ac:dyDescent="0.25">
      <c r="H3645" s="37"/>
      <c r="I3645" s="79"/>
      <c r="J3645" s="70"/>
      <c r="K3645" s="57"/>
      <c r="L3645" s="11"/>
      <c r="M3645" s="41"/>
      <c r="N3645" s="11"/>
    </row>
    <row r="3646" spans="8:14" x14ac:dyDescent="0.25">
      <c r="H3646" s="37"/>
      <c r="I3646" s="79"/>
      <c r="J3646" s="70"/>
      <c r="K3646" s="57"/>
      <c r="L3646" s="11"/>
      <c r="M3646" s="41"/>
      <c r="N3646" s="11"/>
    </row>
    <row r="3647" spans="8:14" x14ac:dyDescent="0.25">
      <c r="H3647" s="37"/>
      <c r="I3647" s="79"/>
      <c r="J3647" s="70"/>
      <c r="K3647" s="57"/>
      <c r="L3647" s="11"/>
      <c r="M3647" s="41"/>
      <c r="N3647" s="11"/>
    </row>
    <row r="3648" spans="8:14" x14ac:dyDescent="0.25">
      <c r="H3648" s="37"/>
      <c r="I3648" s="79"/>
      <c r="J3648" s="70"/>
      <c r="K3648" s="57"/>
      <c r="L3648" s="11"/>
      <c r="M3648" s="41"/>
      <c r="N3648" s="11"/>
    </row>
    <row r="3649" spans="8:14" x14ac:dyDescent="0.25">
      <c r="H3649" s="37"/>
      <c r="I3649" s="79"/>
      <c r="J3649" s="70"/>
      <c r="K3649" s="57"/>
      <c r="L3649" s="11"/>
      <c r="M3649" s="41"/>
      <c r="N3649" s="11"/>
    </row>
    <row r="3650" spans="8:14" x14ac:dyDescent="0.25">
      <c r="H3650" s="37"/>
      <c r="I3650" s="79"/>
      <c r="J3650" s="70"/>
      <c r="K3650" s="57"/>
      <c r="L3650" s="11"/>
      <c r="M3650" s="41"/>
      <c r="N3650" s="11"/>
    </row>
    <row r="3651" spans="8:14" x14ac:dyDescent="0.25">
      <c r="H3651" s="37"/>
      <c r="I3651" s="79"/>
      <c r="J3651" s="70"/>
      <c r="K3651" s="57"/>
      <c r="L3651" s="11"/>
      <c r="M3651" s="41"/>
      <c r="N3651" s="11"/>
    </row>
    <row r="3652" spans="8:14" x14ac:dyDescent="0.25">
      <c r="H3652" s="37"/>
      <c r="I3652" s="79"/>
      <c r="J3652" s="70"/>
      <c r="K3652" s="57"/>
      <c r="L3652" s="11"/>
      <c r="M3652" s="41"/>
      <c r="N3652" s="11"/>
    </row>
    <row r="3653" spans="8:14" x14ac:dyDescent="0.25">
      <c r="H3653" s="37"/>
      <c r="I3653" s="79"/>
      <c r="J3653" s="70"/>
      <c r="K3653" s="57"/>
      <c r="L3653" s="11"/>
      <c r="M3653" s="41"/>
      <c r="N3653" s="11"/>
    </row>
    <row r="3654" spans="8:14" x14ac:dyDescent="0.25">
      <c r="H3654" s="37"/>
      <c r="I3654" s="79"/>
      <c r="J3654" s="70"/>
      <c r="K3654" s="57"/>
      <c r="L3654" s="11"/>
      <c r="M3654" s="41"/>
      <c r="N3654" s="11"/>
    </row>
    <row r="3655" spans="8:14" x14ac:dyDescent="0.25">
      <c r="H3655" s="37"/>
      <c r="I3655" s="79"/>
      <c r="J3655" s="70"/>
      <c r="K3655" s="57"/>
      <c r="L3655" s="11"/>
      <c r="M3655" s="41"/>
      <c r="N3655" s="11"/>
    </row>
    <row r="3656" spans="8:14" x14ac:dyDescent="0.25">
      <c r="H3656" s="37"/>
      <c r="I3656" s="79"/>
      <c r="J3656" s="70"/>
      <c r="K3656" s="57"/>
      <c r="L3656" s="11"/>
      <c r="M3656" s="41"/>
      <c r="N3656" s="11"/>
    </row>
    <row r="3657" spans="8:14" x14ac:dyDescent="0.25">
      <c r="H3657" s="37"/>
      <c r="I3657" s="79"/>
      <c r="J3657" s="70"/>
      <c r="K3657" s="57"/>
      <c r="L3657" s="11"/>
      <c r="M3657" s="41"/>
      <c r="N3657" s="11"/>
    </row>
    <row r="3658" spans="8:14" x14ac:dyDescent="0.25">
      <c r="H3658" s="37"/>
      <c r="I3658" s="79"/>
      <c r="J3658" s="70"/>
      <c r="K3658" s="57"/>
      <c r="L3658" s="11"/>
      <c r="M3658" s="41"/>
      <c r="N3658" s="11"/>
    </row>
    <row r="3659" spans="8:14" x14ac:dyDescent="0.25">
      <c r="H3659" s="37"/>
      <c r="I3659" s="79"/>
      <c r="J3659" s="70"/>
      <c r="K3659" s="57"/>
      <c r="L3659" s="11"/>
      <c r="M3659" s="41"/>
      <c r="N3659" s="11"/>
    </row>
    <row r="3660" spans="8:14" x14ac:dyDescent="0.25">
      <c r="H3660" s="37"/>
      <c r="I3660" s="79"/>
      <c r="J3660" s="70"/>
      <c r="K3660" s="57"/>
      <c r="L3660" s="11"/>
      <c r="M3660" s="41"/>
      <c r="N3660" s="11"/>
    </row>
    <row r="3661" spans="8:14" x14ac:dyDescent="0.25">
      <c r="H3661" s="37"/>
      <c r="I3661" s="79"/>
      <c r="J3661" s="70"/>
      <c r="K3661" s="57"/>
      <c r="L3661" s="11"/>
      <c r="M3661" s="41"/>
      <c r="N3661" s="11"/>
    </row>
    <row r="3662" spans="8:14" x14ac:dyDescent="0.25">
      <c r="H3662" s="37"/>
      <c r="I3662" s="79"/>
      <c r="J3662" s="70"/>
      <c r="K3662" s="57"/>
      <c r="L3662" s="11"/>
      <c r="M3662" s="41"/>
      <c r="N3662" s="11"/>
    </row>
    <row r="3663" spans="8:14" x14ac:dyDescent="0.25">
      <c r="H3663" s="37"/>
      <c r="I3663" s="79"/>
      <c r="J3663" s="70"/>
      <c r="K3663" s="57"/>
      <c r="L3663" s="11"/>
      <c r="M3663" s="41"/>
      <c r="N3663" s="11"/>
    </row>
    <row r="3664" spans="8:14" x14ac:dyDescent="0.25">
      <c r="H3664" s="37"/>
      <c r="I3664" s="79"/>
      <c r="J3664" s="70"/>
      <c r="K3664" s="57"/>
      <c r="L3664" s="11"/>
      <c r="M3664" s="41"/>
      <c r="N3664" s="11"/>
    </row>
    <row r="3665" spans="8:14" x14ac:dyDescent="0.25">
      <c r="H3665" s="37"/>
      <c r="I3665" s="79"/>
      <c r="J3665" s="70"/>
      <c r="K3665" s="57"/>
      <c r="L3665" s="11"/>
      <c r="M3665" s="41"/>
      <c r="N3665" s="11"/>
    </row>
    <row r="3666" spans="8:14" x14ac:dyDescent="0.25">
      <c r="H3666" s="37"/>
      <c r="I3666" s="79"/>
      <c r="J3666" s="70"/>
      <c r="K3666" s="57"/>
      <c r="L3666" s="11"/>
      <c r="M3666" s="41"/>
      <c r="N3666" s="11"/>
    </row>
    <row r="3667" spans="8:14" x14ac:dyDescent="0.25">
      <c r="H3667" s="37"/>
      <c r="I3667" s="79"/>
      <c r="J3667" s="70"/>
      <c r="K3667" s="57"/>
      <c r="L3667" s="11"/>
      <c r="M3667" s="41"/>
      <c r="N3667" s="11"/>
    </row>
    <row r="3668" spans="8:14" x14ac:dyDescent="0.25">
      <c r="H3668" s="37"/>
      <c r="I3668" s="79"/>
      <c r="J3668" s="70"/>
      <c r="K3668" s="57"/>
      <c r="L3668" s="11"/>
      <c r="M3668" s="41"/>
      <c r="N3668" s="11"/>
    </row>
    <row r="3669" spans="8:14" x14ac:dyDescent="0.25">
      <c r="H3669" s="37"/>
      <c r="I3669" s="79"/>
      <c r="J3669" s="70"/>
      <c r="K3669" s="57"/>
      <c r="L3669" s="11"/>
      <c r="M3669" s="41"/>
      <c r="N3669" s="11"/>
    </row>
    <row r="3670" spans="8:14" x14ac:dyDescent="0.25">
      <c r="H3670" s="37"/>
      <c r="I3670" s="79"/>
      <c r="J3670" s="70"/>
      <c r="K3670" s="57"/>
      <c r="L3670" s="11"/>
      <c r="M3670" s="41"/>
      <c r="N3670" s="11"/>
    </row>
    <row r="3671" spans="8:14" x14ac:dyDescent="0.25">
      <c r="H3671" s="37"/>
      <c r="I3671" s="79"/>
      <c r="J3671" s="70"/>
      <c r="K3671" s="57"/>
      <c r="L3671" s="11"/>
      <c r="M3671" s="41"/>
      <c r="N3671" s="11"/>
    </row>
    <row r="3672" spans="8:14" x14ac:dyDescent="0.25">
      <c r="H3672" s="37"/>
      <c r="I3672" s="79"/>
      <c r="J3672" s="70"/>
      <c r="K3672" s="57"/>
      <c r="L3672" s="11"/>
      <c r="M3672" s="41"/>
      <c r="N3672" s="11"/>
    </row>
    <row r="3673" spans="8:14" x14ac:dyDescent="0.25">
      <c r="H3673" s="37"/>
      <c r="I3673" s="79"/>
      <c r="J3673" s="70"/>
      <c r="K3673" s="57"/>
      <c r="L3673" s="11"/>
      <c r="M3673" s="41"/>
      <c r="N3673" s="11"/>
    </row>
    <row r="3674" spans="8:14" x14ac:dyDescent="0.25">
      <c r="H3674" s="37"/>
      <c r="I3674" s="79"/>
      <c r="J3674" s="70"/>
      <c r="K3674" s="57"/>
      <c r="L3674" s="11"/>
      <c r="M3674" s="41"/>
      <c r="N3674" s="11"/>
    </row>
    <row r="3675" spans="8:14" x14ac:dyDescent="0.25">
      <c r="H3675" s="37"/>
      <c r="I3675" s="79"/>
      <c r="J3675" s="70"/>
      <c r="K3675" s="57"/>
      <c r="L3675" s="11"/>
      <c r="M3675" s="41"/>
      <c r="N3675" s="11"/>
    </row>
    <row r="3676" spans="8:14" x14ac:dyDescent="0.25">
      <c r="H3676" s="37"/>
      <c r="I3676" s="79"/>
      <c r="J3676" s="70"/>
      <c r="K3676" s="57"/>
      <c r="L3676" s="11"/>
      <c r="M3676" s="41"/>
      <c r="N3676" s="11"/>
    </row>
    <row r="3677" spans="8:14" x14ac:dyDescent="0.25">
      <c r="H3677" s="37"/>
      <c r="I3677" s="79"/>
      <c r="J3677" s="70"/>
      <c r="K3677" s="57"/>
      <c r="L3677" s="11"/>
      <c r="M3677" s="41"/>
      <c r="N3677" s="11"/>
    </row>
    <row r="3678" spans="8:14" x14ac:dyDescent="0.25">
      <c r="H3678" s="37"/>
      <c r="I3678" s="79"/>
      <c r="J3678" s="70"/>
      <c r="K3678" s="57"/>
      <c r="L3678" s="11"/>
      <c r="M3678" s="41"/>
      <c r="N3678" s="11"/>
    </row>
    <row r="3679" spans="8:14" x14ac:dyDescent="0.25">
      <c r="H3679" s="37"/>
      <c r="I3679" s="79"/>
      <c r="J3679" s="70"/>
      <c r="K3679" s="57"/>
      <c r="L3679" s="11"/>
      <c r="M3679" s="41"/>
      <c r="N3679" s="11"/>
    </row>
    <row r="3680" spans="8:14" x14ac:dyDescent="0.25">
      <c r="H3680" s="37"/>
      <c r="I3680" s="79"/>
      <c r="J3680" s="70"/>
      <c r="K3680" s="57"/>
      <c r="L3680" s="11"/>
      <c r="M3680" s="41"/>
      <c r="N3680" s="11"/>
    </row>
    <row r="3681" spans="8:14" x14ac:dyDescent="0.25">
      <c r="H3681" s="37"/>
      <c r="I3681" s="79"/>
      <c r="J3681" s="70"/>
      <c r="K3681" s="57"/>
      <c r="L3681" s="11"/>
      <c r="M3681" s="41"/>
      <c r="N3681" s="11"/>
    </row>
    <row r="3682" spans="8:14" x14ac:dyDescent="0.25">
      <c r="H3682" s="37"/>
      <c r="I3682" s="79"/>
      <c r="J3682" s="70"/>
      <c r="K3682" s="57"/>
      <c r="L3682" s="11"/>
      <c r="M3682" s="41"/>
      <c r="N3682" s="11"/>
    </row>
    <row r="3683" spans="8:14" x14ac:dyDescent="0.25">
      <c r="H3683" s="37"/>
      <c r="I3683" s="79"/>
      <c r="J3683" s="70"/>
      <c r="K3683" s="57"/>
      <c r="L3683" s="11"/>
      <c r="M3683" s="41"/>
      <c r="N3683" s="11"/>
    </row>
    <row r="3684" spans="8:14" x14ac:dyDescent="0.25">
      <c r="H3684" s="37"/>
      <c r="I3684" s="79"/>
      <c r="J3684" s="70"/>
      <c r="K3684" s="57"/>
      <c r="L3684" s="11"/>
      <c r="M3684" s="41"/>
      <c r="N3684" s="11"/>
    </row>
    <row r="3685" spans="8:14" x14ac:dyDescent="0.25">
      <c r="H3685" s="37"/>
      <c r="I3685" s="79"/>
      <c r="J3685" s="70"/>
      <c r="K3685" s="57"/>
      <c r="L3685" s="11"/>
      <c r="M3685" s="41"/>
      <c r="N3685" s="11"/>
    </row>
    <row r="3686" spans="8:14" x14ac:dyDescent="0.25">
      <c r="H3686" s="37"/>
      <c r="I3686" s="79"/>
      <c r="J3686" s="70"/>
      <c r="K3686" s="57"/>
      <c r="L3686" s="11"/>
      <c r="M3686" s="41"/>
      <c r="N3686" s="11"/>
    </row>
    <row r="3687" spans="8:14" x14ac:dyDescent="0.25">
      <c r="H3687" s="37"/>
      <c r="I3687" s="79"/>
      <c r="J3687" s="70"/>
      <c r="K3687" s="57"/>
      <c r="L3687" s="11"/>
      <c r="M3687" s="41"/>
      <c r="N3687" s="11"/>
    </row>
    <row r="3688" spans="8:14" x14ac:dyDescent="0.25">
      <c r="H3688" s="37"/>
      <c r="I3688" s="79"/>
      <c r="J3688" s="70"/>
      <c r="K3688" s="57"/>
      <c r="L3688" s="11"/>
      <c r="M3688" s="41"/>
      <c r="N3688" s="11"/>
    </row>
    <row r="3689" spans="8:14" x14ac:dyDescent="0.25">
      <c r="H3689" s="37"/>
      <c r="I3689" s="79"/>
      <c r="J3689" s="70"/>
      <c r="K3689" s="57"/>
      <c r="L3689" s="11"/>
      <c r="M3689" s="41"/>
      <c r="N3689" s="11"/>
    </row>
    <row r="3690" spans="8:14" x14ac:dyDescent="0.25">
      <c r="H3690" s="37"/>
      <c r="I3690" s="79"/>
      <c r="J3690" s="70"/>
      <c r="K3690" s="57"/>
      <c r="L3690" s="11"/>
      <c r="M3690" s="41"/>
      <c r="N3690" s="11"/>
    </row>
    <row r="3691" spans="8:14" x14ac:dyDescent="0.25">
      <c r="H3691" s="37"/>
      <c r="I3691" s="79"/>
      <c r="J3691" s="70"/>
      <c r="K3691" s="57"/>
      <c r="L3691" s="11"/>
      <c r="M3691" s="41"/>
      <c r="N3691" s="11"/>
    </row>
    <row r="3692" spans="8:14" x14ac:dyDescent="0.25">
      <c r="H3692" s="37"/>
      <c r="I3692" s="79"/>
      <c r="J3692" s="70"/>
      <c r="K3692" s="57"/>
      <c r="L3692" s="11"/>
      <c r="M3692" s="41"/>
      <c r="N3692" s="11"/>
    </row>
    <row r="3693" spans="8:14" x14ac:dyDescent="0.25">
      <c r="H3693" s="37"/>
      <c r="I3693" s="79"/>
      <c r="J3693" s="70"/>
      <c r="K3693" s="57"/>
      <c r="L3693" s="11"/>
      <c r="M3693" s="41"/>
      <c r="N3693" s="11"/>
    </row>
    <row r="3694" spans="8:14" x14ac:dyDescent="0.25">
      <c r="H3694" s="37"/>
      <c r="I3694" s="79"/>
      <c r="J3694" s="70"/>
      <c r="K3694" s="57"/>
      <c r="L3694" s="11"/>
      <c r="M3694" s="41"/>
      <c r="N3694" s="11"/>
    </row>
    <row r="3695" spans="8:14" x14ac:dyDescent="0.25">
      <c r="H3695" s="37"/>
      <c r="I3695" s="79"/>
      <c r="J3695" s="70"/>
      <c r="K3695" s="57"/>
      <c r="L3695" s="11"/>
      <c r="M3695" s="41"/>
      <c r="N3695" s="11"/>
    </row>
    <row r="3696" spans="8:14" x14ac:dyDescent="0.25">
      <c r="H3696" s="37"/>
      <c r="I3696" s="79"/>
      <c r="J3696" s="70"/>
      <c r="K3696" s="57"/>
      <c r="L3696" s="11"/>
      <c r="M3696" s="41"/>
      <c r="N3696" s="11"/>
    </row>
    <row r="3697" spans="8:14" x14ac:dyDescent="0.25">
      <c r="H3697" s="37"/>
      <c r="I3697" s="79"/>
      <c r="J3697" s="70"/>
      <c r="K3697" s="57"/>
      <c r="L3697" s="11"/>
      <c r="M3697" s="41"/>
      <c r="N3697" s="11"/>
    </row>
    <row r="3698" spans="8:14" x14ac:dyDescent="0.25">
      <c r="H3698" s="37"/>
      <c r="I3698" s="79"/>
      <c r="J3698" s="70"/>
      <c r="K3698" s="57"/>
      <c r="L3698" s="11"/>
      <c r="M3698" s="41"/>
      <c r="N3698" s="11"/>
    </row>
    <row r="3699" spans="8:14" x14ac:dyDescent="0.25">
      <c r="H3699" s="37"/>
      <c r="I3699" s="79"/>
      <c r="J3699" s="70"/>
      <c r="K3699" s="57"/>
      <c r="L3699" s="11"/>
      <c r="M3699" s="41"/>
      <c r="N3699" s="11"/>
    </row>
    <row r="3700" spans="8:14" x14ac:dyDescent="0.25">
      <c r="H3700" s="37"/>
      <c r="I3700" s="79"/>
      <c r="J3700" s="70"/>
      <c r="K3700" s="57"/>
      <c r="L3700" s="11"/>
      <c r="M3700" s="41"/>
      <c r="N3700" s="11"/>
    </row>
    <row r="3701" spans="8:14" x14ac:dyDescent="0.25">
      <c r="H3701" s="37"/>
      <c r="I3701" s="79"/>
      <c r="J3701" s="70"/>
      <c r="K3701" s="57"/>
      <c r="L3701" s="11"/>
      <c r="M3701" s="41"/>
      <c r="N3701" s="11"/>
    </row>
    <row r="3702" spans="8:14" x14ac:dyDescent="0.25">
      <c r="H3702" s="37"/>
      <c r="I3702" s="79"/>
      <c r="J3702" s="70"/>
      <c r="K3702" s="57"/>
      <c r="L3702" s="11"/>
      <c r="M3702" s="41"/>
      <c r="N3702" s="11"/>
    </row>
    <row r="3703" spans="8:14" x14ac:dyDescent="0.25">
      <c r="H3703" s="37"/>
      <c r="I3703" s="79"/>
      <c r="J3703" s="70"/>
      <c r="K3703" s="57"/>
      <c r="L3703" s="11"/>
      <c r="M3703" s="41"/>
      <c r="N3703" s="11"/>
    </row>
    <row r="3704" spans="8:14" x14ac:dyDescent="0.25">
      <c r="H3704" s="37"/>
      <c r="I3704" s="79"/>
      <c r="J3704" s="70"/>
      <c r="K3704" s="57"/>
      <c r="L3704" s="11"/>
      <c r="M3704" s="41"/>
      <c r="N3704" s="11"/>
    </row>
    <row r="3705" spans="8:14" x14ac:dyDescent="0.25">
      <c r="H3705" s="37"/>
      <c r="I3705" s="79"/>
      <c r="J3705" s="70"/>
      <c r="K3705" s="57"/>
      <c r="L3705" s="11"/>
      <c r="M3705" s="41"/>
      <c r="N3705" s="11"/>
    </row>
    <row r="3706" spans="8:14" x14ac:dyDescent="0.25">
      <c r="H3706" s="37"/>
      <c r="I3706" s="79"/>
      <c r="J3706" s="70"/>
      <c r="K3706" s="57"/>
      <c r="L3706" s="11"/>
      <c r="M3706" s="41"/>
      <c r="N3706" s="11"/>
    </row>
    <row r="3707" spans="8:14" x14ac:dyDescent="0.25">
      <c r="H3707" s="37"/>
      <c r="I3707" s="79"/>
      <c r="J3707" s="70"/>
      <c r="K3707" s="57"/>
      <c r="L3707" s="11"/>
      <c r="M3707" s="41"/>
      <c r="N3707" s="11"/>
    </row>
    <row r="3708" spans="8:14" x14ac:dyDescent="0.25">
      <c r="H3708" s="37"/>
      <c r="I3708" s="79"/>
      <c r="J3708" s="70"/>
      <c r="K3708" s="57"/>
      <c r="L3708" s="11"/>
      <c r="M3708" s="41"/>
      <c r="N3708" s="11"/>
    </row>
    <row r="3709" spans="8:14" x14ac:dyDescent="0.25">
      <c r="H3709" s="37"/>
      <c r="I3709" s="79"/>
      <c r="J3709" s="70"/>
      <c r="K3709" s="57"/>
      <c r="L3709" s="11"/>
      <c r="M3709" s="41"/>
      <c r="N3709" s="11"/>
    </row>
    <row r="3710" spans="8:14" x14ac:dyDescent="0.25">
      <c r="H3710" s="37"/>
      <c r="I3710" s="79"/>
      <c r="J3710" s="70"/>
      <c r="K3710" s="57"/>
      <c r="L3710" s="11"/>
      <c r="M3710" s="41"/>
      <c r="N3710" s="11"/>
    </row>
    <row r="3711" spans="8:14" x14ac:dyDescent="0.25">
      <c r="H3711" s="37"/>
      <c r="I3711" s="79"/>
      <c r="J3711" s="70"/>
      <c r="K3711" s="57"/>
      <c r="L3711" s="11"/>
      <c r="M3711" s="41"/>
      <c r="N3711" s="11"/>
    </row>
    <row r="3712" spans="8:14" x14ac:dyDescent="0.25">
      <c r="H3712" s="37"/>
      <c r="I3712" s="79"/>
      <c r="J3712" s="70"/>
      <c r="K3712" s="57"/>
      <c r="L3712" s="11"/>
      <c r="M3712" s="41"/>
      <c r="N3712" s="11"/>
    </row>
    <row r="3713" spans="8:14" x14ac:dyDescent="0.25">
      <c r="H3713" s="37"/>
      <c r="I3713" s="79"/>
      <c r="J3713" s="70"/>
      <c r="K3713" s="57"/>
      <c r="L3713" s="11"/>
      <c r="M3713" s="41"/>
      <c r="N3713" s="11"/>
    </row>
    <row r="3714" spans="8:14" x14ac:dyDescent="0.25">
      <c r="H3714" s="37"/>
      <c r="I3714" s="79"/>
      <c r="J3714" s="70"/>
      <c r="K3714" s="57"/>
      <c r="L3714" s="11"/>
      <c r="M3714" s="41"/>
      <c r="N3714" s="11"/>
    </row>
    <row r="3715" spans="8:14" x14ac:dyDescent="0.25">
      <c r="H3715" s="37"/>
      <c r="I3715" s="79"/>
      <c r="J3715" s="70"/>
      <c r="K3715" s="57"/>
      <c r="L3715" s="11"/>
      <c r="M3715" s="41"/>
      <c r="N3715" s="11"/>
    </row>
    <row r="3716" spans="8:14" x14ac:dyDescent="0.25">
      <c r="H3716" s="37"/>
      <c r="I3716" s="79"/>
      <c r="J3716" s="70"/>
      <c r="K3716" s="57"/>
      <c r="L3716" s="11"/>
      <c r="M3716" s="41"/>
      <c r="N3716" s="11"/>
    </row>
    <row r="3717" spans="8:14" x14ac:dyDescent="0.25">
      <c r="H3717" s="37"/>
      <c r="I3717" s="79"/>
      <c r="J3717" s="70"/>
      <c r="K3717" s="57"/>
      <c r="L3717" s="11"/>
      <c r="M3717" s="41"/>
      <c r="N3717" s="11"/>
    </row>
    <row r="3718" spans="8:14" x14ac:dyDescent="0.25">
      <c r="H3718" s="37"/>
      <c r="I3718" s="79"/>
      <c r="J3718" s="70"/>
      <c r="K3718" s="57"/>
      <c r="L3718" s="11"/>
      <c r="M3718" s="41"/>
      <c r="N3718" s="11"/>
    </row>
    <row r="3719" spans="8:14" x14ac:dyDescent="0.25">
      <c r="H3719" s="37"/>
      <c r="I3719" s="79"/>
      <c r="J3719" s="70"/>
      <c r="K3719" s="57"/>
      <c r="L3719" s="11"/>
      <c r="M3719" s="41"/>
      <c r="N3719" s="11"/>
    </row>
    <row r="3720" spans="8:14" x14ac:dyDescent="0.25">
      <c r="H3720" s="37"/>
      <c r="I3720" s="79"/>
      <c r="J3720" s="70"/>
      <c r="K3720" s="57"/>
      <c r="L3720" s="11"/>
      <c r="M3720" s="41"/>
      <c r="N3720" s="11"/>
    </row>
    <row r="3721" spans="8:14" x14ac:dyDescent="0.25">
      <c r="H3721" s="37"/>
      <c r="I3721" s="79"/>
      <c r="J3721" s="70"/>
      <c r="K3721" s="57"/>
      <c r="L3721" s="11"/>
      <c r="M3721" s="41"/>
      <c r="N3721" s="11"/>
    </row>
    <row r="3722" spans="8:14" x14ac:dyDescent="0.25">
      <c r="H3722" s="37"/>
      <c r="I3722" s="79"/>
      <c r="J3722" s="70"/>
      <c r="K3722" s="57"/>
      <c r="L3722" s="11"/>
      <c r="M3722" s="41"/>
      <c r="N3722" s="11"/>
    </row>
    <row r="3723" spans="8:14" x14ac:dyDescent="0.25">
      <c r="H3723" s="37"/>
      <c r="I3723" s="79"/>
      <c r="J3723" s="70"/>
      <c r="K3723" s="57"/>
      <c r="L3723" s="11"/>
      <c r="M3723" s="41"/>
      <c r="N3723" s="11"/>
    </row>
    <row r="3724" spans="8:14" x14ac:dyDescent="0.25">
      <c r="H3724" s="37"/>
      <c r="I3724" s="79"/>
      <c r="J3724" s="70"/>
      <c r="K3724" s="57"/>
      <c r="L3724" s="11"/>
      <c r="M3724" s="41"/>
      <c r="N3724" s="11"/>
    </row>
    <row r="3725" spans="8:14" x14ac:dyDescent="0.25">
      <c r="H3725" s="37"/>
      <c r="I3725" s="79"/>
      <c r="J3725" s="70"/>
      <c r="K3725" s="57"/>
      <c r="L3725" s="11"/>
      <c r="M3725" s="41"/>
      <c r="N3725" s="11"/>
    </row>
    <row r="3726" spans="8:14" x14ac:dyDescent="0.25">
      <c r="H3726" s="37"/>
      <c r="I3726" s="79"/>
      <c r="J3726" s="70"/>
      <c r="K3726" s="57"/>
      <c r="L3726" s="11"/>
      <c r="M3726" s="41"/>
      <c r="N3726" s="11"/>
    </row>
    <row r="3727" spans="8:14" x14ac:dyDescent="0.25">
      <c r="H3727" s="37"/>
      <c r="I3727" s="79"/>
      <c r="J3727" s="70"/>
      <c r="K3727" s="57"/>
      <c r="L3727" s="11"/>
      <c r="M3727" s="41"/>
      <c r="N3727" s="11"/>
    </row>
    <row r="3728" spans="8:14" x14ac:dyDescent="0.25">
      <c r="H3728" s="37"/>
      <c r="I3728" s="79"/>
      <c r="J3728" s="70"/>
      <c r="K3728" s="57"/>
      <c r="L3728" s="11"/>
      <c r="M3728" s="41"/>
      <c r="N3728" s="11"/>
    </row>
    <row r="3729" spans="8:14" x14ac:dyDescent="0.25">
      <c r="H3729" s="37"/>
      <c r="I3729" s="79"/>
      <c r="J3729" s="70"/>
      <c r="K3729" s="57"/>
      <c r="L3729" s="11"/>
      <c r="M3729" s="41"/>
      <c r="N3729" s="11"/>
    </row>
    <row r="3730" spans="8:14" x14ac:dyDescent="0.25">
      <c r="H3730" s="37"/>
      <c r="I3730" s="79"/>
      <c r="J3730" s="70"/>
      <c r="K3730" s="57"/>
      <c r="L3730" s="11"/>
      <c r="M3730" s="41"/>
      <c r="N3730" s="11"/>
    </row>
    <row r="3731" spans="8:14" x14ac:dyDescent="0.25">
      <c r="H3731" s="37"/>
      <c r="I3731" s="79"/>
      <c r="J3731" s="70"/>
      <c r="K3731" s="57"/>
      <c r="L3731" s="11"/>
      <c r="M3731" s="41"/>
      <c r="N3731" s="11"/>
    </row>
    <row r="3732" spans="8:14" x14ac:dyDescent="0.25">
      <c r="H3732" s="37"/>
      <c r="I3732" s="79"/>
      <c r="J3732" s="70"/>
      <c r="K3732" s="57"/>
      <c r="L3732" s="11"/>
      <c r="M3732" s="41"/>
      <c r="N3732" s="11"/>
    </row>
    <row r="3733" spans="8:14" x14ac:dyDescent="0.25">
      <c r="H3733" s="37"/>
      <c r="I3733" s="79"/>
      <c r="J3733" s="70"/>
      <c r="K3733" s="57"/>
      <c r="L3733" s="11"/>
      <c r="M3733" s="41"/>
      <c r="N3733" s="11"/>
    </row>
    <row r="3734" spans="8:14" x14ac:dyDescent="0.25">
      <c r="H3734" s="37"/>
      <c r="I3734" s="79"/>
      <c r="J3734" s="70"/>
      <c r="K3734" s="57"/>
      <c r="L3734" s="11"/>
      <c r="M3734" s="41"/>
      <c r="N3734" s="11"/>
    </row>
    <row r="3735" spans="8:14" x14ac:dyDescent="0.25">
      <c r="H3735" s="37"/>
      <c r="I3735" s="79"/>
      <c r="J3735" s="70"/>
      <c r="K3735" s="57"/>
      <c r="L3735" s="11"/>
      <c r="M3735" s="41"/>
      <c r="N3735" s="11"/>
    </row>
    <row r="3736" spans="8:14" x14ac:dyDescent="0.25">
      <c r="H3736" s="37"/>
      <c r="I3736" s="79"/>
      <c r="J3736" s="70"/>
      <c r="K3736" s="57"/>
      <c r="L3736" s="11"/>
      <c r="M3736" s="41"/>
      <c r="N3736" s="11"/>
    </row>
    <row r="3737" spans="8:14" x14ac:dyDescent="0.25">
      <c r="H3737" s="37"/>
      <c r="I3737" s="79"/>
      <c r="J3737" s="70"/>
      <c r="K3737" s="57"/>
      <c r="L3737" s="11"/>
      <c r="M3737" s="41"/>
      <c r="N3737" s="11"/>
    </row>
    <row r="3738" spans="8:14" x14ac:dyDescent="0.25">
      <c r="H3738" s="37"/>
      <c r="I3738" s="79"/>
      <c r="J3738" s="70"/>
      <c r="K3738" s="57"/>
      <c r="L3738" s="11"/>
      <c r="M3738" s="41"/>
      <c r="N3738" s="11"/>
    </row>
    <row r="3739" spans="8:14" x14ac:dyDescent="0.25">
      <c r="H3739" s="37"/>
      <c r="I3739" s="79"/>
      <c r="J3739" s="70"/>
      <c r="K3739" s="57"/>
      <c r="L3739" s="11"/>
      <c r="M3739" s="41"/>
      <c r="N3739" s="11"/>
    </row>
    <row r="3740" spans="8:14" x14ac:dyDescent="0.25">
      <c r="H3740" s="37"/>
      <c r="I3740" s="79"/>
      <c r="J3740" s="70"/>
      <c r="K3740" s="57"/>
      <c r="L3740" s="11"/>
      <c r="M3740" s="41"/>
      <c r="N3740" s="11"/>
    </row>
    <row r="3741" spans="8:14" x14ac:dyDescent="0.25">
      <c r="H3741" s="37"/>
      <c r="I3741" s="79"/>
      <c r="J3741" s="70"/>
      <c r="K3741" s="57"/>
      <c r="L3741" s="11"/>
      <c r="M3741" s="41"/>
      <c r="N3741" s="11"/>
    </row>
    <row r="3742" spans="8:14" x14ac:dyDescent="0.25">
      <c r="H3742" s="37"/>
      <c r="I3742" s="79"/>
      <c r="J3742" s="70"/>
      <c r="K3742" s="57"/>
      <c r="L3742" s="11"/>
      <c r="M3742" s="41"/>
      <c r="N3742" s="11"/>
    </row>
    <row r="3743" spans="8:14" x14ac:dyDescent="0.25">
      <c r="H3743" s="37"/>
      <c r="I3743" s="79"/>
      <c r="J3743" s="70"/>
      <c r="K3743" s="57"/>
      <c r="L3743" s="11"/>
      <c r="M3743" s="41"/>
      <c r="N3743" s="11"/>
    </row>
    <row r="3744" spans="8:14" x14ac:dyDescent="0.25">
      <c r="H3744" s="37"/>
      <c r="I3744" s="79"/>
      <c r="J3744" s="70"/>
      <c r="K3744" s="57"/>
      <c r="L3744" s="11"/>
      <c r="M3744" s="41"/>
      <c r="N3744" s="11"/>
    </row>
    <row r="3745" spans="8:14" x14ac:dyDescent="0.25">
      <c r="H3745" s="37"/>
      <c r="I3745" s="79"/>
      <c r="J3745" s="70"/>
      <c r="K3745" s="57"/>
      <c r="L3745" s="11"/>
      <c r="M3745" s="41"/>
      <c r="N3745" s="11"/>
    </row>
    <row r="3746" spans="8:14" x14ac:dyDescent="0.25">
      <c r="H3746" s="37"/>
      <c r="I3746" s="79"/>
      <c r="J3746" s="70"/>
      <c r="K3746" s="57"/>
      <c r="L3746" s="11"/>
      <c r="M3746" s="41"/>
      <c r="N3746" s="11"/>
    </row>
    <row r="3747" spans="8:14" x14ac:dyDescent="0.25">
      <c r="H3747" s="37"/>
      <c r="I3747" s="79"/>
      <c r="J3747" s="70"/>
      <c r="K3747" s="57"/>
      <c r="L3747" s="11"/>
      <c r="M3747" s="41"/>
      <c r="N3747" s="11"/>
    </row>
    <row r="3748" spans="8:14" x14ac:dyDescent="0.25">
      <c r="H3748" s="37"/>
      <c r="I3748" s="79"/>
      <c r="J3748" s="70"/>
      <c r="K3748" s="57"/>
      <c r="L3748" s="11"/>
      <c r="M3748" s="41"/>
      <c r="N3748" s="11"/>
    </row>
    <row r="3749" spans="8:14" x14ac:dyDescent="0.25">
      <c r="H3749" s="37"/>
      <c r="I3749" s="79"/>
      <c r="J3749" s="70"/>
      <c r="K3749" s="57"/>
      <c r="L3749" s="11"/>
      <c r="M3749" s="41"/>
      <c r="N3749" s="11"/>
    </row>
    <row r="3750" spans="8:14" x14ac:dyDescent="0.25">
      <c r="H3750" s="37"/>
      <c r="I3750" s="79"/>
      <c r="J3750" s="70"/>
      <c r="K3750" s="57"/>
      <c r="L3750" s="11"/>
      <c r="M3750" s="41"/>
      <c r="N3750" s="11"/>
    </row>
    <row r="3751" spans="8:14" x14ac:dyDescent="0.25">
      <c r="H3751" s="37"/>
      <c r="I3751" s="79"/>
      <c r="J3751" s="70"/>
      <c r="K3751" s="57"/>
      <c r="L3751" s="11"/>
      <c r="M3751" s="41"/>
      <c r="N3751" s="11"/>
    </row>
    <row r="3752" spans="8:14" x14ac:dyDescent="0.25">
      <c r="H3752" s="37"/>
      <c r="I3752" s="79"/>
      <c r="J3752" s="70"/>
      <c r="K3752" s="57"/>
      <c r="L3752" s="11"/>
      <c r="M3752" s="41"/>
      <c r="N3752" s="11"/>
    </row>
    <row r="3753" spans="8:14" x14ac:dyDescent="0.25">
      <c r="H3753" s="37"/>
      <c r="I3753" s="79"/>
      <c r="J3753" s="70"/>
      <c r="K3753" s="57"/>
      <c r="L3753" s="11"/>
      <c r="M3753" s="41"/>
      <c r="N3753" s="11"/>
    </row>
    <row r="3754" spans="8:14" x14ac:dyDescent="0.25">
      <c r="H3754" s="37"/>
      <c r="I3754" s="79"/>
      <c r="J3754" s="70"/>
      <c r="K3754" s="57"/>
      <c r="L3754" s="11"/>
      <c r="M3754" s="41"/>
      <c r="N3754" s="11"/>
    </row>
    <row r="3755" spans="8:14" x14ac:dyDescent="0.25">
      <c r="H3755" s="37"/>
      <c r="I3755" s="79"/>
      <c r="J3755" s="70"/>
      <c r="K3755" s="57"/>
      <c r="L3755" s="11"/>
      <c r="M3755" s="41"/>
      <c r="N3755" s="11"/>
    </row>
    <row r="3756" spans="8:14" x14ac:dyDescent="0.25">
      <c r="H3756" s="37"/>
      <c r="I3756" s="79"/>
      <c r="J3756" s="70"/>
      <c r="K3756" s="57"/>
      <c r="L3756" s="11"/>
      <c r="M3756" s="41"/>
      <c r="N3756" s="11"/>
    </row>
    <row r="3757" spans="8:14" x14ac:dyDescent="0.25">
      <c r="H3757" s="37"/>
      <c r="I3757" s="79"/>
      <c r="J3757" s="70"/>
      <c r="K3757" s="57"/>
      <c r="L3757" s="11"/>
      <c r="M3757" s="41"/>
      <c r="N3757" s="11"/>
    </row>
    <row r="3758" spans="8:14" x14ac:dyDescent="0.25">
      <c r="H3758" s="37"/>
      <c r="I3758" s="79"/>
      <c r="J3758" s="70"/>
      <c r="K3758" s="57"/>
      <c r="L3758" s="11"/>
      <c r="M3758" s="41"/>
      <c r="N3758" s="11"/>
    </row>
    <row r="3759" spans="8:14" x14ac:dyDescent="0.25">
      <c r="H3759" s="37"/>
      <c r="I3759" s="79"/>
      <c r="J3759" s="70"/>
      <c r="K3759" s="57"/>
      <c r="L3759" s="11"/>
      <c r="M3759" s="41"/>
      <c r="N3759" s="11"/>
    </row>
    <row r="3760" spans="8:14" x14ac:dyDescent="0.25">
      <c r="H3760" s="37"/>
      <c r="I3760" s="79"/>
      <c r="J3760" s="70"/>
      <c r="K3760" s="57"/>
      <c r="L3760" s="11"/>
      <c r="M3760" s="41"/>
      <c r="N3760" s="11"/>
    </row>
    <row r="3761" spans="8:14" x14ac:dyDescent="0.25">
      <c r="H3761" s="37"/>
      <c r="I3761" s="79"/>
      <c r="J3761" s="70"/>
      <c r="K3761" s="57"/>
      <c r="L3761" s="11"/>
      <c r="M3761" s="41"/>
      <c r="N3761" s="11"/>
    </row>
    <row r="3762" spans="8:14" x14ac:dyDescent="0.25">
      <c r="H3762" s="37"/>
      <c r="I3762" s="79"/>
      <c r="J3762" s="70"/>
      <c r="K3762" s="57"/>
      <c r="L3762" s="11"/>
      <c r="M3762" s="41"/>
      <c r="N3762" s="11"/>
    </row>
    <row r="3763" spans="8:14" x14ac:dyDescent="0.25">
      <c r="H3763" s="37"/>
      <c r="I3763" s="79"/>
      <c r="J3763" s="70"/>
      <c r="K3763" s="57"/>
      <c r="L3763" s="11"/>
      <c r="M3763" s="41"/>
      <c r="N3763" s="11"/>
    </row>
    <row r="3764" spans="8:14" x14ac:dyDescent="0.25">
      <c r="H3764" s="37"/>
      <c r="I3764" s="79"/>
      <c r="J3764" s="70"/>
      <c r="K3764" s="57"/>
      <c r="L3764" s="11"/>
      <c r="M3764" s="41"/>
      <c r="N3764" s="11"/>
    </row>
    <row r="3765" spans="8:14" x14ac:dyDescent="0.25">
      <c r="H3765" s="37"/>
      <c r="I3765" s="79"/>
      <c r="J3765" s="70"/>
      <c r="K3765" s="57"/>
      <c r="L3765" s="11"/>
      <c r="M3765" s="41"/>
      <c r="N3765" s="11"/>
    </row>
    <row r="3766" spans="8:14" x14ac:dyDescent="0.25">
      <c r="H3766" s="37"/>
      <c r="I3766" s="79"/>
      <c r="J3766" s="70"/>
      <c r="K3766" s="57"/>
      <c r="L3766" s="11"/>
      <c r="M3766" s="41"/>
      <c r="N3766" s="11"/>
    </row>
    <row r="3767" spans="8:14" x14ac:dyDescent="0.25">
      <c r="H3767" s="37"/>
      <c r="I3767" s="79"/>
      <c r="J3767" s="70"/>
      <c r="K3767" s="57"/>
      <c r="L3767" s="11"/>
      <c r="M3767" s="41"/>
      <c r="N3767" s="11"/>
    </row>
    <row r="3768" spans="8:14" x14ac:dyDescent="0.25">
      <c r="H3768" s="37"/>
      <c r="I3768" s="79"/>
      <c r="J3768" s="70"/>
      <c r="K3768" s="57"/>
      <c r="L3768" s="11"/>
      <c r="M3768" s="41"/>
      <c r="N3768" s="11"/>
    </row>
    <row r="3769" spans="8:14" x14ac:dyDescent="0.25">
      <c r="H3769" s="37"/>
      <c r="I3769" s="79"/>
      <c r="J3769" s="70"/>
      <c r="K3769" s="57"/>
      <c r="L3769" s="11"/>
      <c r="M3769" s="41"/>
      <c r="N3769" s="11"/>
    </row>
    <row r="3770" spans="8:14" x14ac:dyDescent="0.25">
      <c r="H3770" s="37"/>
      <c r="I3770" s="79"/>
      <c r="J3770" s="70"/>
      <c r="K3770" s="57"/>
      <c r="L3770" s="11"/>
      <c r="M3770" s="41"/>
      <c r="N3770" s="11"/>
    </row>
    <row r="3771" spans="8:14" x14ac:dyDescent="0.25">
      <c r="H3771" s="37"/>
      <c r="I3771" s="79"/>
      <c r="J3771" s="70"/>
      <c r="K3771" s="57"/>
      <c r="L3771" s="11"/>
      <c r="M3771" s="41"/>
      <c r="N3771" s="11"/>
    </row>
    <row r="3772" spans="8:14" x14ac:dyDescent="0.25">
      <c r="H3772" s="37"/>
      <c r="I3772" s="79"/>
      <c r="J3772" s="70"/>
      <c r="K3772" s="57"/>
      <c r="L3772" s="11"/>
      <c r="M3772" s="41"/>
      <c r="N3772" s="11"/>
    </row>
    <row r="3773" spans="8:14" x14ac:dyDescent="0.25">
      <c r="H3773" s="37"/>
      <c r="I3773" s="79"/>
      <c r="J3773" s="70"/>
      <c r="K3773" s="57"/>
      <c r="L3773" s="11"/>
      <c r="M3773" s="41"/>
      <c r="N3773" s="11"/>
    </row>
    <row r="3774" spans="8:14" x14ac:dyDescent="0.25">
      <c r="H3774" s="37"/>
      <c r="I3774" s="79"/>
      <c r="J3774" s="70"/>
      <c r="K3774" s="57"/>
      <c r="L3774" s="11"/>
      <c r="M3774" s="41"/>
      <c r="N3774" s="11"/>
    </row>
    <row r="3775" spans="8:14" x14ac:dyDescent="0.25">
      <c r="H3775" s="37"/>
      <c r="I3775" s="79"/>
      <c r="J3775" s="70"/>
      <c r="K3775" s="57"/>
      <c r="L3775" s="11"/>
      <c r="M3775" s="41"/>
      <c r="N3775" s="11"/>
    </row>
    <row r="3776" spans="8:14" x14ac:dyDescent="0.25">
      <c r="H3776" s="37"/>
      <c r="I3776" s="79"/>
      <c r="J3776" s="70"/>
      <c r="K3776" s="57"/>
      <c r="L3776" s="11"/>
      <c r="M3776" s="41"/>
      <c r="N3776" s="11"/>
    </row>
    <row r="3777" spans="8:14" x14ac:dyDescent="0.25">
      <c r="H3777" s="37"/>
      <c r="I3777" s="79"/>
      <c r="J3777" s="70"/>
      <c r="K3777" s="57"/>
      <c r="L3777" s="11"/>
      <c r="M3777" s="41"/>
      <c r="N3777" s="11"/>
    </row>
    <row r="3778" spans="8:14" x14ac:dyDescent="0.25">
      <c r="H3778" s="37"/>
      <c r="I3778" s="79"/>
      <c r="J3778" s="70"/>
      <c r="K3778" s="57"/>
      <c r="L3778" s="11"/>
      <c r="M3778" s="41"/>
      <c r="N3778" s="11"/>
    </row>
    <row r="3779" spans="8:14" x14ac:dyDescent="0.25">
      <c r="H3779" s="37"/>
      <c r="I3779" s="79"/>
      <c r="J3779" s="70"/>
      <c r="K3779" s="57"/>
      <c r="L3779" s="11"/>
      <c r="M3779" s="41"/>
      <c r="N3779" s="11"/>
    </row>
    <row r="3780" spans="8:14" x14ac:dyDescent="0.25">
      <c r="H3780" s="37"/>
      <c r="I3780" s="79"/>
      <c r="J3780" s="70"/>
      <c r="K3780" s="57"/>
      <c r="L3780" s="11"/>
      <c r="M3780" s="41"/>
      <c r="N3780" s="11"/>
    </row>
    <row r="3781" spans="8:14" x14ac:dyDescent="0.25">
      <c r="H3781" s="37"/>
      <c r="I3781" s="79"/>
      <c r="J3781" s="70"/>
      <c r="K3781" s="57"/>
      <c r="L3781" s="11"/>
      <c r="M3781" s="41"/>
      <c r="N3781" s="11"/>
    </row>
    <row r="3782" spans="8:14" x14ac:dyDescent="0.25">
      <c r="H3782" s="37"/>
      <c r="I3782" s="79"/>
      <c r="J3782" s="70"/>
      <c r="K3782" s="57"/>
      <c r="L3782" s="11"/>
      <c r="M3782" s="41"/>
      <c r="N3782" s="11"/>
    </row>
    <row r="3783" spans="8:14" x14ac:dyDescent="0.25">
      <c r="H3783" s="37"/>
      <c r="I3783" s="79"/>
      <c r="J3783" s="70"/>
      <c r="K3783" s="57"/>
      <c r="L3783" s="11"/>
      <c r="M3783" s="41"/>
      <c r="N3783" s="11"/>
    </row>
    <row r="3784" spans="8:14" x14ac:dyDescent="0.25">
      <c r="H3784" s="37"/>
      <c r="I3784" s="79"/>
      <c r="J3784" s="70"/>
      <c r="K3784" s="57"/>
      <c r="L3784" s="11"/>
      <c r="M3784" s="41"/>
      <c r="N3784" s="11"/>
    </row>
    <row r="3785" spans="8:14" x14ac:dyDescent="0.25">
      <c r="H3785" s="37"/>
      <c r="I3785" s="79"/>
      <c r="J3785" s="70"/>
      <c r="K3785" s="57"/>
      <c r="L3785" s="11"/>
      <c r="M3785" s="41"/>
      <c r="N3785" s="11"/>
    </row>
    <row r="3786" spans="8:14" x14ac:dyDescent="0.25">
      <c r="H3786" s="37"/>
      <c r="I3786" s="79"/>
      <c r="J3786" s="70"/>
      <c r="K3786" s="57"/>
      <c r="L3786" s="11"/>
      <c r="M3786" s="41"/>
      <c r="N3786" s="11"/>
    </row>
    <row r="3787" spans="8:14" x14ac:dyDescent="0.25">
      <c r="H3787" s="37"/>
      <c r="I3787" s="79"/>
      <c r="J3787" s="70"/>
      <c r="K3787" s="57"/>
      <c r="L3787" s="11"/>
      <c r="M3787" s="41"/>
      <c r="N3787" s="11"/>
    </row>
    <row r="3788" spans="8:14" x14ac:dyDescent="0.25">
      <c r="H3788" s="37"/>
      <c r="I3788" s="79"/>
      <c r="J3788" s="70"/>
      <c r="K3788" s="57"/>
      <c r="L3788" s="11"/>
      <c r="M3788" s="41"/>
      <c r="N3788" s="11"/>
    </row>
    <row r="3789" spans="8:14" x14ac:dyDescent="0.25">
      <c r="H3789" s="37"/>
      <c r="I3789" s="79"/>
      <c r="J3789" s="70"/>
      <c r="K3789" s="57"/>
      <c r="L3789" s="11"/>
      <c r="M3789" s="41"/>
      <c r="N3789" s="11"/>
    </row>
    <row r="3790" spans="8:14" x14ac:dyDescent="0.25">
      <c r="H3790" s="37"/>
      <c r="I3790" s="79"/>
      <c r="J3790" s="70"/>
      <c r="K3790" s="57"/>
      <c r="L3790" s="11"/>
      <c r="M3790" s="41"/>
      <c r="N3790" s="11"/>
    </row>
    <row r="3791" spans="8:14" x14ac:dyDescent="0.25">
      <c r="H3791" s="37"/>
      <c r="I3791" s="79"/>
      <c r="J3791" s="70"/>
      <c r="K3791" s="57"/>
      <c r="L3791" s="11"/>
      <c r="M3791" s="41"/>
      <c r="N3791" s="11"/>
    </row>
    <row r="3792" spans="8:14" x14ac:dyDescent="0.25">
      <c r="H3792" s="37"/>
      <c r="I3792" s="79"/>
      <c r="J3792" s="70"/>
      <c r="K3792" s="57"/>
      <c r="L3792" s="11"/>
      <c r="M3792" s="41"/>
      <c r="N3792" s="11"/>
    </row>
    <row r="3793" spans="8:14" x14ac:dyDescent="0.25">
      <c r="H3793" s="37"/>
      <c r="I3793" s="79"/>
      <c r="J3793" s="70"/>
      <c r="K3793" s="57"/>
      <c r="L3793" s="11"/>
      <c r="M3793" s="41"/>
      <c r="N3793" s="11"/>
    </row>
    <row r="3794" spans="8:14" x14ac:dyDescent="0.25">
      <c r="H3794" s="37"/>
      <c r="I3794" s="79"/>
      <c r="J3794" s="70"/>
      <c r="K3794" s="57"/>
      <c r="L3794" s="11"/>
      <c r="M3794" s="41"/>
      <c r="N3794" s="11"/>
    </row>
    <row r="3795" spans="8:14" x14ac:dyDescent="0.25">
      <c r="H3795" s="37"/>
      <c r="I3795" s="79"/>
      <c r="J3795" s="70"/>
      <c r="K3795" s="57"/>
      <c r="L3795" s="11"/>
      <c r="M3795" s="41"/>
      <c r="N3795" s="11"/>
    </row>
    <row r="3796" spans="8:14" x14ac:dyDescent="0.25">
      <c r="H3796" s="37"/>
      <c r="I3796" s="79"/>
      <c r="J3796" s="70"/>
      <c r="K3796" s="57"/>
      <c r="L3796" s="11"/>
      <c r="M3796" s="41"/>
      <c r="N3796" s="11"/>
    </row>
    <row r="3797" spans="8:14" x14ac:dyDescent="0.25">
      <c r="H3797" s="37"/>
      <c r="I3797" s="79"/>
      <c r="J3797" s="70"/>
      <c r="K3797" s="57"/>
      <c r="L3797" s="11"/>
      <c r="M3797" s="41"/>
      <c r="N3797" s="11"/>
    </row>
    <row r="3798" spans="8:14" x14ac:dyDescent="0.25">
      <c r="H3798" s="37"/>
      <c r="I3798" s="79"/>
      <c r="J3798" s="70"/>
      <c r="K3798" s="57"/>
      <c r="L3798" s="11"/>
      <c r="M3798" s="41"/>
      <c r="N3798" s="11"/>
    </row>
    <row r="3799" spans="8:14" x14ac:dyDescent="0.25">
      <c r="H3799" s="37"/>
      <c r="I3799" s="79"/>
      <c r="J3799" s="70"/>
      <c r="K3799" s="57"/>
      <c r="L3799" s="11"/>
      <c r="M3799" s="41"/>
      <c r="N3799" s="11"/>
    </row>
    <row r="3800" spans="8:14" x14ac:dyDescent="0.25">
      <c r="H3800" s="37"/>
      <c r="I3800" s="79"/>
      <c r="J3800" s="70"/>
      <c r="K3800" s="57"/>
      <c r="L3800" s="11"/>
      <c r="M3800" s="41"/>
      <c r="N3800" s="11"/>
    </row>
    <row r="3801" spans="8:14" x14ac:dyDescent="0.25">
      <c r="H3801" s="37"/>
      <c r="I3801" s="79"/>
      <c r="J3801" s="70"/>
      <c r="K3801" s="57"/>
      <c r="L3801" s="11"/>
      <c r="M3801" s="41"/>
      <c r="N3801" s="11"/>
    </row>
    <row r="3802" spans="8:14" x14ac:dyDescent="0.25">
      <c r="H3802" s="37"/>
      <c r="I3802" s="79"/>
      <c r="J3802" s="70"/>
      <c r="K3802" s="57"/>
      <c r="L3802" s="11"/>
      <c r="M3802" s="41"/>
      <c r="N3802" s="11"/>
    </row>
    <row r="3803" spans="8:14" x14ac:dyDescent="0.25">
      <c r="H3803" s="37"/>
      <c r="I3803" s="79"/>
      <c r="J3803" s="70"/>
      <c r="K3803" s="57"/>
      <c r="L3803" s="11"/>
      <c r="M3803" s="41"/>
      <c r="N3803" s="11"/>
    </row>
    <row r="3804" spans="8:14" x14ac:dyDescent="0.25">
      <c r="H3804" s="37"/>
      <c r="I3804" s="79"/>
      <c r="J3804" s="70"/>
      <c r="K3804" s="57"/>
      <c r="L3804" s="11"/>
      <c r="M3804" s="41"/>
      <c r="N3804" s="11"/>
    </row>
    <row r="3805" spans="8:14" x14ac:dyDescent="0.25">
      <c r="H3805" s="37"/>
      <c r="I3805" s="79"/>
      <c r="J3805" s="70"/>
      <c r="K3805" s="57"/>
      <c r="L3805" s="11"/>
      <c r="M3805" s="41"/>
      <c r="N3805" s="11"/>
    </row>
    <row r="3806" spans="8:14" x14ac:dyDescent="0.25">
      <c r="H3806" s="37"/>
      <c r="I3806" s="79"/>
      <c r="J3806" s="70"/>
      <c r="K3806" s="57"/>
      <c r="L3806" s="11"/>
      <c r="M3806" s="41"/>
      <c r="N3806" s="11"/>
    </row>
    <row r="3807" spans="8:14" x14ac:dyDescent="0.25">
      <c r="H3807" s="37"/>
      <c r="I3807" s="79"/>
      <c r="J3807" s="70"/>
      <c r="K3807" s="57"/>
      <c r="L3807" s="11"/>
      <c r="M3807" s="41"/>
      <c r="N3807" s="11"/>
    </row>
    <row r="3808" spans="8:14" x14ac:dyDescent="0.25">
      <c r="H3808" s="37"/>
      <c r="I3808" s="79"/>
      <c r="J3808" s="70"/>
      <c r="K3808" s="57"/>
      <c r="L3808" s="11"/>
      <c r="M3808" s="41"/>
      <c r="N3808" s="11"/>
    </row>
    <row r="3809" spans="8:14" x14ac:dyDescent="0.25">
      <c r="H3809" s="37"/>
      <c r="I3809" s="79"/>
      <c r="J3809" s="70"/>
      <c r="K3809" s="57"/>
      <c r="L3809" s="11"/>
      <c r="M3809" s="41"/>
      <c r="N3809" s="11"/>
    </row>
    <row r="3810" spans="8:14" x14ac:dyDescent="0.25">
      <c r="H3810" s="37"/>
      <c r="I3810" s="79"/>
      <c r="J3810" s="70"/>
      <c r="K3810" s="57"/>
      <c r="L3810" s="11"/>
      <c r="M3810" s="41"/>
      <c r="N3810" s="11"/>
    </row>
    <row r="3811" spans="8:14" x14ac:dyDescent="0.25">
      <c r="H3811" s="37"/>
      <c r="I3811" s="79"/>
      <c r="J3811" s="70"/>
      <c r="K3811" s="57"/>
      <c r="L3811" s="11"/>
      <c r="M3811" s="41"/>
      <c r="N3811" s="11"/>
    </row>
    <row r="3812" spans="8:14" x14ac:dyDescent="0.25">
      <c r="H3812" s="37"/>
      <c r="I3812" s="79"/>
      <c r="J3812" s="70"/>
      <c r="K3812" s="57"/>
      <c r="L3812" s="11"/>
      <c r="M3812" s="41"/>
      <c r="N3812" s="11"/>
    </row>
    <row r="3813" spans="8:14" x14ac:dyDescent="0.25">
      <c r="H3813" s="37"/>
      <c r="I3813" s="79"/>
      <c r="J3813" s="70"/>
      <c r="K3813" s="57"/>
      <c r="L3813" s="11"/>
      <c r="M3813" s="41"/>
      <c r="N3813" s="11"/>
    </row>
    <row r="3814" spans="8:14" x14ac:dyDescent="0.25">
      <c r="H3814" s="37"/>
      <c r="I3814" s="79"/>
      <c r="J3814" s="70"/>
      <c r="K3814" s="57"/>
      <c r="L3814" s="11"/>
      <c r="M3814" s="41"/>
      <c r="N3814" s="11"/>
    </row>
    <row r="3815" spans="8:14" x14ac:dyDescent="0.25">
      <c r="H3815" s="37"/>
      <c r="I3815" s="79"/>
      <c r="J3815" s="70"/>
      <c r="K3815" s="57"/>
      <c r="L3815" s="11"/>
      <c r="M3815" s="41"/>
      <c r="N3815" s="11"/>
    </row>
    <row r="3816" spans="8:14" x14ac:dyDescent="0.25">
      <c r="H3816" s="37"/>
      <c r="I3816" s="79"/>
      <c r="J3816" s="70"/>
      <c r="K3816" s="57"/>
      <c r="L3816" s="11"/>
      <c r="M3816" s="41"/>
      <c r="N3816" s="11"/>
    </row>
    <row r="3817" spans="8:14" x14ac:dyDescent="0.25">
      <c r="H3817" s="37"/>
      <c r="I3817" s="79"/>
      <c r="J3817" s="70"/>
      <c r="K3817" s="57"/>
      <c r="L3817" s="11"/>
      <c r="M3817" s="41"/>
      <c r="N3817" s="11"/>
    </row>
    <row r="3818" spans="8:14" x14ac:dyDescent="0.25">
      <c r="H3818" s="37"/>
      <c r="I3818" s="79"/>
      <c r="J3818" s="70"/>
      <c r="K3818" s="57"/>
      <c r="L3818" s="11"/>
      <c r="M3818" s="41"/>
      <c r="N3818" s="11"/>
    </row>
    <row r="3819" spans="8:14" x14ac:dyDescent="0.25">
      <c r="H3819" s="37"/>
      <c r="I3819" s="79"/>
      <c r="J3819" s="70"/>
      <c r="K3819" s="57"/>
      <c r="L3819" s="11"/>
      <c r="M3819" s="41"/>
      <c r="N3819" s="11"/>
    </row>
    <row r="3820" spans="8:14" x14ac:dyDescent="0.25">
      <c r="H3820" s="37"/>
      <c r="I3820" s="79"/>
      <c r="J3820" s="70"/>
      <c r="K3820" s="57"/>
      <c r="L3820" s="11"/>
      <c r="M3820" s="41"/>
      <c r="N3820" s="11"/>
    </row>
    <row r="3821" spans="8:14" x14ac:dyDescent="0.25">
      <c r="H3821" s="37"/>
      <c r="I3821" s="79"/>
      <c r="J3821" s="70"/>
      <c r="K3821" s="57"/>
      <c r="L3821" s="11"/>
      <c r="M3821" s="41"/>
      <c r="N3821" s="11"/>
    </row>
    <row r="3822" spans="8:14" x14ac:dyDescent="0.25">
      <c r="H3822" s="37"/>
      <c r="I3822" s="79"/>
      <c r="J3822" s="70"/>
      <c r="K3822" s="57"/>
      <c r="L3822" s="11"/>
      <c r="M3822" s="41"/>
      <c r="N3822" s="11"/>
    </row>
    <row r="3823" spans="8:14" x14ac:dyDescent="0.25">
      <c r="H3823" s="37"/>
      <c r="I3823" s="79"/>
      <c r="J3823" s="70"/>
      <c r="K3823" s="57"/>
      <c r="L3823" s="11"/>
      <c r="M3823" s="41"/>
      <c r="N3823" s="11"/>
    </row>
    <row r="3824" spans="8:14" x14ac:dyDescent="0.25">
      <c r="H3824" s="37"/>
      <c r="I3824" s="79"/>
      <c r="J3824" s="70"/>
      <c r="K3824" s="57"/>
      <c r="L3824" s="11"/>
      <c r="M3824" s="41"/>
      <c r="N3824" s="11"/>
    </row>
    <row r="3825" spans="8:14" x14ac:dyDescent="0.25">
      <c r="H3825" s="37"/>
      <c r="I3825" s="79"/>
      <c r="J3825" s="70"/>
      <c r="K3825" s="57"/>
      <c r="L3825" s="11"/>
      <c r="M3825" s="41"/>
      <c r="N3825" s="11"/>
    </row>
    <row r="3826" spans="8:14" x14ac:dyDescent="0.25">
      <c r="H3826" s="37"/>
      <c r="I3826" s="79"/>
      <c r="J3826" s="70"/>
      <c r="K3826" s="57"/>
      <c r="L3826" s="11"/>
      <c r="M3826" s="41"/>
      <c r="N3826" s="11"/>
    </row>
    <row r="3827" spans="8:14" x14ac:dyDescent="0.25">
      <c r="H3827" s="37"/>
      <c r="I3827" s="79"/>
      <c r="J3827" s="70"/>
      <c r="K3827" s="57"/>
      <c r="L3827" s="11"/>
      <c r="M3827" s="41"/>
      <c r="N3827" s="11"/>
    </row>
    <row r="3828" spans="8:14" x14ac:dyDescent="0.25">
      <c r="H3828" s="37"/>
      <c r="I3828" s="79"/>
      <c r="J3828" s="70"/>
      <c r="K3828" s="57"/>
      <c r="L3828" s="11"/>
      <c r="M3828" s="41"/>
      <c r="N3828" s="11"/>
    </row>
    <row r="3829" spans="8:14" x14ac:dyDescent="0.25">
      <c r="H3829" s="37"/>
      <c r="I3829" s="79"/>
      <c r="J3829" s="70"/>
      <c r="K3829" s="57"/>
      <c r="L3829" s="11"/>
      <c r="M3829" s="41"/>
      <c r="N3829" s="11"/>
    </row>
    <row r="3830" spans="8:14" x14ac:dyDescent="0.25">
      <c r="H3830" s="37"/>
      <c r="I3830" s="79"/>
      <c r="J3830" s="70"/>
      <c r="K3830" s="57"/>
      <c r="L3830" s="11"/>
      <c r="M3830" s="41"/>
      <c r="N3830" s="11"/>
    </row>
    <row r="3831" spans="8:14" x14ac:dyDescent="0.25">
      <c r="H3831" s="37"/>
      <c r="I3831" s="79"/>
      <c r="J3831" s="70"/>
      <c r="K3831" s="57"/>
      <c r="L3831" s="11"/>
      <c r="M3831" s="41"/>
      <c r="N3831" s="11"/>
    </row>
    <row r="3832" spans="8:14" x14ac:dyDescent="0.25">
      <c r="H3832" s="37"/>
      <c r="I3832" s="79"/>
      <c r="J3832" s="70"/>
      <c r="K3832" s="57"/>
      <c r="L3832" s="11"/>
      <c r="M3832" s="41"/>
      <c r="N3832" s="11"/>
    </row>
    <row r="3833" spans="8:14" x14ac:dyDescent="0.25">
      <c r="H3833" s="37"/>
      <c r="I3833" s="79"/>
      <c r="J3833" s="70"/>
      <c r="K3833" s="57"/>
      <c r="L3833" s="11"/>
      <c r="M3833" s="41"/>
      <c r="N3833" s="11"/>
    </row>
    <row r="3834" spans="8:14" x14ac:dyDescent="0.25">
      <c r="H3834" s="37"/>
      <c r="I3834" s="79"/>
      <c r="J3834" s="70"/>
      <c r="K3834" s="57"/>
      <c r="L3834" s="11"/>
      <c r="M3834" s="41"/>
      <c r="N3834" s="11"/>
    </row>
    <row r="3835" spans="8:14" x14ac:dyDescent="0.25">
      <c r="H3835" s="37"/>
      <c r="I3835" s="79"/>
      <c r="J3835" s="70"/>
      <c r="K3835" s="57"/>
      <c r="L3835" s="11"/>
      <c r="M3835" s="41"/>
      <c r="N3835" s="11"/>
    </row>
    <row r="3836" spans="8:14" x14ac:dyDescent="0.25">
      <c r="H3836" s="37"/>
      <c r="I3836" s="79"/>
      <c r="J3836" s="70"/>
      <c r="K3836" s="57"/>
      <c r="L3836" s="11"/>
      <c r="M3836" s="41"/>
      <c r="N3836" s="11"/>
    </row>
    <row r="3837" spans="8:14" x14ac:dyDescent="0.25">
      <c r="H3837" s="37"/>
      <c r="I3837" s="79"/>
      <c r="J3837" s="70"/>
      <c r="K3837" s="57"/>
      <c r="L3837" s="11"/>
      <c r="M3837" s="41"/>
      <c r="N3837" s="11"/>
    </row>
    <row r="3838" spans="8:14" x14ac:dyDescent="0.25">
      <c r="H3838" s="37"/>
      <c r="I3838" s="79"/>
      <c r="J3838" s="70"/>
      <c r="K3838" s="57"/>
      <c r="L3838" s="11"/>
      <c r="M3838" s="41"/>
      <c r="N3838" s="11"/>
    </row>
    <row r="3839" spans="8:14" x14ac:dyDescent="0.25">
      <c r="H3839" s="37"/>
      <c r="I3839" s="79"/>
      <c r="J3839" s="70"/>
      <c r="K3839" s="57"/>
      <c r="L3839" s="11"/>
      <c r="M3839" s="41"/>
      <c r="N3839" s="11"/>
    </row>
    <row r="3840" spans="8:14" x14ac:dyDescent="0.25">
      <c r="H3840" s="37"/>
      <c r="I3840" s="79"/>
      <c r="J3840" s="70"/>
      <c r="K3840" s="57"/>
      <c r="L3840" s="11"/>
      <c r="M3840" s="41"/>
      <c r="N3840" s="11"/>
    </row>
    <row r="3841" spans="8:14" x14ac:dyDescent="0.25">
      <c r="H3841" s="37"/>
      <c r="I3841" s="79"/>
      <c r="J3841" s="70"/>
      <c r="K3841" s="57"/>
      <c r="L3841" s="11"/>
      <c r="M3841" s="41"/>
      <c r="N3841" s="11"/>
    </row>
    <row r="3842" spans="8:14" x14ac:dyDescent="0.25">
      <c r="H3842" s="37"/>
      <c r="I3842" s="79"/>
      <c r="J3842" s="70"/>
      <c r="K3842" s="57"/>
      <c r="L3842" s="11"/>
      <c r="M3842" s="41"/>
      <c r="N3842" s="11"/>
    </row>
    <row r="3843" spans="8:14" x14ac:dyDescent="0.25">
      <c r="H3843" s="37"/>
      <c r="I3843" s="79"/>
      <c r="J3843" s="70"/>
      <c r="K3843" s="57"/>
      <c r="L3843" s="11"/>
      <c r="M3843" s="41"/>
      <c r="N3843" s="11"/>
    </row>
    <row r="3844" spans="8:14" x14ac:dyDescent="0.25">
      <c r="H3844" s="37"/>
      <c r="I3844" s="79"/>
      <c r="J3844" s="70"/>
      <c r="K3844" s="57"/>
      <c r="L3844" s="11"/>
      <c r="M3844" s="41"/>
      <c r="N3844" s="11"/>
    </row>
    <row r="3845" spans="8:14" x14ac:dyDescent="0.25">
      <c r="H3845" s="37"/>
      <c r="I3845" s="79"/>
      <c r="J3845" s="70"/>
      <c r="K3845" s="57"/>
      <c r="L3845" s="11"/>
      <c r="M3845" s="41"/>
      <c r="N3845" s="11"/>
    </row>
    <row r="3846" spans="8:14" x14ac:dyDescent="0.25">
      <c r="H3846" s="37"/>
      <c r="I3846" s="79"/>
      <c r="J3846" s="70"/>
      <c r="K3846" s="57"/>
      <c r="L3846" s="11"/>
      <c r="M3846" s="41"/>
      <c r="N3846" s="11"/>
    </row>
    <row r="3847" spans="8:14" x14ac:dyDescent="0.25">
      <c r="H3847" s="37"/>
      <c r="I3847" s="79"/>
      <c r="J3847" s="70"/>
      <c r="K3847" s="57"/>
      <c r="L3847" s="11"/>
      <c r="M3847" s="41"/>
      <c r="N3847" s="11"/>
    </row>
    <row r="3848" spans="8:14" x14ac:dyDescent="0.25">
      <c r="H3848" s="37"/>
      <c r="I3848" s="79"/>
      <c r="J3848" s="70"/>
      <c r="K3848" s="57"/>
      <c r="L3848" s="11"/>
      <c r="M3848" s="41"/>
      <c r="N3848" s="11"/>
    </row>
    <row r="3849" spans="8:14" x14ac:dyDescent="0.25">
      <c r="H3849" s="37"/>
      <c r="I3849" s="79"/>
      <c r="J3849" s="70"/>
      <c r="K3849" s="57"/>
      <c r="L3849" s="11"/>
      <c r="M3849" s="41"/>
      <c r="N3849" s="11"/>
    </row>
    <row r="3850" spans="8:14" x14ac:dyDescent="0.25">
      <c r="H3850" s="37"/>
      <c r="I3850" s="79"/>
      <c r="J3850" s="70"/>
      <c r="K3850" s="57"/>
      <c r="L3850" s="11"/>
      <c r="M3850" s="41"/>
      <c r="N3850" s="11"/>
    </row>
    <row r="3851" spans="8:14" x14ac:dyDescent="0.25">
      <c r="H3851" s="37"/>
      <c r="I3851" s="79"/>
      <c r="J3851" s="70"/>
      <c r="K3851" s="57"/>
      <c r="L3851" s="11"/>
      <c r="M3851" s="41"/>
      <c r="N3851" s="11"/>
    </row>
    <row r="3852" spans="8:14" x14ac:dyDescent="0.25">
      <c r="H3852" s="37"/>
      <c r="I3852" s="79"/>
      <c r="J3852" s="70"/>
      <c r="K3852" s="57"/>
      <c r="L3852" s="11"/>
      <c r="M3852" s="41"/>
      <c r="N3852" s="11"/>
    </row>
    <row r="3853" spans="8:14" x14ac:dyDescent="0.25">
      <c r="H3853" s="37"/>
      <c r="I3853" s="79"/>
      <c r="J3853" s="70"/>
      <c r="K3853" s="57"/>
      <c r="L3853" s="11"/>
      <c r="M3853" s="41"/>
      <c r="N3853" s="11"/>
    </row>
    <row r="3854" spans="8:14" x14ac:dyDescent="0.25">
      <c r="H3854" s="37"/>
      <c r="I3854" s="79"/>
      <c r="J3854" s="70"/>
      <c r="K3854" s="57"/>
      <c r="L3854" s="11"/>
      <c r="M3854" s="41"/>
      <c r="N3854" s="11"/>
    </row>
    <row r="3855" spans="8:14" x14ac:dyDescent="0.25">
      <c r="H3855" s="37"/>
      <c r="I3855" s="79"/>
      <c r="J3855" s="70"/>
      <c r="K3855" s="57"/>
      <c r="L3855" s="11"/>
      <c r="M3855" s="41"/>
      <c r="N3855" s="11"/>
    </row>
    <row r="3856" spans="8:14" x14ac:dyDescent="0.25">
      <c r="H3856" s="37"/>
      <c r="I3856" s="79"/>
      <c r="J3856" s="70"/>
      <c r="K3856" s="57"/>
      <c r="L3856" s="11"/>
      <c r="M3856" s="41"/>
      <c r="N3856" s="11"/>
    </row>
    <row r="3857" spans="8:14" x14ac:dyDescent="0.25">
      <c r="H3857" s="37"/>
      <c r="I3857" s="79"/>
      <c r="J3857" s="70"/>
      <c r="K3857" s="57"/>
      <c r="L3857" s="11"/>
      <c r="M3857" s="41"/>
      <c r="N3857" s="11"/>
    </row>
    <row r="3858" spans="8:14" x14ac:dyDescent="0.25">
      <c r="H3858" s="37"/>
      <c r="I3858" s="79"/>
      <c r="J3858" s="70"/>
      <c r="K3858" s="57"/>
      <c r="L3858" s="11"/>
      <c r="M3858" s="41"/>
      <c r="N3858" s="11"/>
    </row>
    <row r="3859" spans="8:14" x14ac:dyDescent="0.25">
      <c r="H3859" s="37"/>
      <c r="I3859" s="79"/>
      <c r="J3859" s="70"/>
      <c r="K3859" s="57"/>
      <c r="L3859" s="11"/>
      <c r="M3859" s="41"/>
      <c r="N3859" s="11"/>
    </row>
    <row r="3860" spans="8:14" x14ac:dyDescent="0.25">
      <c r="H3860" s="37"/>
      <c r="I3860" s="79"/>
      <c r="J3860" s="70"/>
      <c r="K3860" s="57"/>
      <c r="L3860" s="11"/>
      <c r="M3860" s="41"/>
      <c r="N3860" s="11"/>
    </row>
    <row r="3861" spans="8:14" x14ac:dyDescent="0.25">
      <c r="H3861" s="37"/>
      <c r="I3861" s="79"/>
      <c r="J3861" s="70"/>
      <c r="K3861" s="57"/>
      <c r="L3861" s="11"/>
      <c r="M3861" s="41"/>
      <c r="N3861" s="11"/>
    </row>
    <row r="3862" spans="8:14" x14ac:dyDescent="0.25">
      <c r="H3862" s="37"/>
      <c r="I3862" s="79"/>
      <c r="J3862" s="70"/>
      <c r="K3862" s="57"/>
      <c r="L3862" s="11"/>
      <c r="M3862" s="41"/>
      <c r="N3862" s="11"/>
    </row>
    <row r="3863" spans="8:14" x14ac:dyDescent="0.25">
      <c r="H3863" s="37"/>
      <c r="I3863" s="79"/>
      <c r="J3863" s="70"/>
      <c r="K3863" s="57"/>
      <c r="L3863" s="11"/>
      <c r="M3863" s="41"/>
      <c r="N3863" s="11"/>
    </row>
    <row r="3864" spans="8:14" x14ac:dyDescent="0.25">
      <c r="H3864" s="37"/>
      <c r="I3864" s="79"/>
      <c r="J3864" s="70"/>
      <c r="K3864" s="57"/>
      <c r="L3864" s="11"/>
      <c r="M3864" s="41"/>
      <c r="N3864" s="11"/>
    </row>
    <row r="3865" spans="8:14" x14ac:dyDescent="0.25">
      <c r="H3865" s="37"/>
      <c r="I3865" s="79"/>
      <c r="J3865" s="70"/>
      <c r="K3865" s="57"/>
      <c r="L3865" s="11"/>
      <c r="M3865" s="41"/>
      <c r="N3865" s="11"/>
    </row>
    <row r="3866" spans="8:14" x14ac:dyDescent="0.25">
      <c r="H3866" s="37"/>
      <c r="I3866" s="79"/>
      <c r="J3866" s="70"/>
      <c r="K3866" s="57"/>
      <c r="L3866" s="11"/>
      <c r="M3866" s="41"/>
      <c r="N3866" s="11"/>
    </row>
    <row r="3867" spans="8:14" x14ac:dyDescent="0.25">
      <c r="H3867" s="37"/>
      <c r="I3867" s="79"/>
      <c r="J3867" s="70"/>
      <c r="K3867" s="57"/>
      <c r="L3867" s="11"/>
      <c r="M3867" s="41"/>
      <c r="N3867" s="11"/>
    </row>
    <row r="3868" spans="8:14" x14ac:dyDescent="0.25">
      <c r="H3868" s="37"/>
      <c r="I3868" s="79"/>
      <c r="J3868" s="70"/>
      <c r="K3868" s="57"/>
      <c r="L3868" s="11"/>
      <c r="M3868" s="41"/>
      <c r="N3868" s="11"/>
    </row>
    <row r="3869" spans="8:14" x14ac:dyDescent="0.25">
      <c r="H3869" s="37"/>
      <c r="I3869" s="79"/>
      <c r="J3869" s="70"/>
      <c r="K3869" s="57"/>
      <c r="L3869" s="11"/>
      <c r="M3869" s="41"/>
      <c r="N3869" s="11"/>
    </row>
    <row r="3870" spans="8:14" x14ac:dyDescent="0.25">
      <c r="H3870" s="37"/>
      <c r="I3870" s="79"/>
      <c r="J3870" s="70"/>
      <c r="K3870" s="57"/>
      <c r="L3870" s="11"/>
      <c r="M3870" s="41"/>
      <c r="N3870" s="11"/>
    </row>
    <row r="3871" spans="8:14" x14ac:dyDescent="0.25">
      <c r="H3871" s="37"/>
      <c r="I3871" s="79"/>
      <c r="J3871" s="70"/>
      <c r="K3871" s="57"/>
      <c r="L3871" s="11"/>
      <c r="M3871" s="41"/>
      <c r="N3871" s="11"/>
    </row>
    <row r="3872" spans="8:14" x14ac:dyDescent="0.25">
      <c r="H3872" s="37"/>
      <c r="I3872" s="79"/>
      <c r="J3872" s="70"/>
      <c r="K3872" s="57"/>
      <c r="L3872" s="11"/>
      <c r="M3872" s="41"/>
      <c r="N3872" s="11"/>
    </row>
    <row r="3873" spans="8:14" x14ac:dyDescent="0.25">
      <c r="H3873" s="37"/>
      <c r="I3873" s="79"/>
      <c r="J3873" s="70"/>
      <c r="K3873" s="57"/>
      <c r="L3873" s="11"/>
      <c r="M3873" s="41"/>
      <c r="N3873" s="11"/>
    </row>
    <row r="3874" spans="8:14" x14ac:dyDescent="0.25">
      <c r="H3874" s="37"/>
      <c r="I3874" s="79"/>
      <c r="J3874" s="70"/>
      <c r="K3874" s="57"/>
      <c r="L3874" s="11"/>
      <c r="M3874" s="41"/>
      <c r="N3874" s="11"/>
    </row>
    <row r="3875" spans="8:14" x14ac:dyDescent="0.25">
      <c r="H3875" s="37"/>
      <c r="I3875" s="79"/>
      <c r="J3875" s="70"/>
      <c r="K3875" s="57"/>
      <c r="L3875" s="11"/>
      <c r="M3875" s="41"/>
      <c r="N3875" s="11"/>
    </row>
    <row r="3876" spans="8:14" x14ac:dyDescent="0.25">
      <c r="H3876" s="37"/>
      <c r="I3876" s="79"/>
      <c r="J3876" s="70"/>
      <c r="K3876" s="57"/>
      <c r="L3876" s="11"/>
      <c r="M3876" s="41"/>
      <c r="N3876" s="11"/>
    </row>
    <row r="3877" spans="8:14" x14ac:dyDescent="0.25">
      <c r="H3877" s="37"/>
      <c r="I3877" s="79"/>
      <c r="J3877" s="70"/>
      <c r="K3877" s="57"/>
      <c r="L3877" s="11"/>
      <c r="M3877" s="41"/>
      <c r="N3877" s="11"/>
    </row>
    <row r="3878" spans="8:14" x14ac:dyDescent="0.25">
      <c r="H3878" s="37"/>
      <c r="I3878" s="79"/>
      <c r="J3878" s="70"/>
      <c r="K3878" s="57"/>
      <c r="L3878" s="11"/>
      <c r="M3878" s="41"/>
      <c r="N3878" s="11"/>
    </row>
    <row r="3879" spans="8:14" x14ac:dyDescent="0.25">
      <c r="H3879" s="37"/>
      <c r="I3879" s="79"/>
      <c r="J3879" s="70"/>
      <c r="K3879" s="57"/>
      <c r="L3879" s="11"/>
      <c r="M3879" s="41"/>
      <c r="N3879" s="11"/>
    </row>
    <row r="3880" spans="8:14" x14ac:dyDescent="0.25">
      <c r="H3880" s="37"/>
      <c r="I3880" s="79"/>
      <c r="J3880" s="70"/>
      <c r="K3880" s="57"/>
      <c r="L3880" s="11"/>
      <c r="M3880" s="41"/>
      <c r="N3880" s="11"/>
    </row>
    <row r="3881" spans="8:14" x14ac:dyDescent="0.25">
      <c r="H3881" s="37"/>
      <c r="I3881" s="79"/>
      <c r="J3881" s="70"/>
      <c r="K3881" s="57"/>
      <c r="L3881" s="11"/>
      <c r="M3881" s="41"/>
      <c r="N3881" s="11"/>
    </row>
    <row r="3882" spans="8:14" x14ac:dyDescent="0.25">
      <c r="H3882" s="37"/>
      <c r="I3882" s="79"/>
      <c r="J3882" s="70"/>
      <c r="K3882" s="57"/>
      <c r="L3882" s="11"/>
      <c r="M3882" s="41"/>
      <c r="N3882" s="11"/>
    </row>
    <row r="3883" spans="8:14" x14ac:dyDescent="0.25">
      <c r="H3883" s="37"/>
      <c r="I3883" s="79"/>
      <c r="J3883" s="70"/>
      <c r="K3883" s="57"/>
      <c r="L3883" s="11"/>
      <c r="M3883" s="41"/>
      <c r="N3883" s="11"/>
    </row>
    <row r="3884" spans="8:14" x14ac:dyDescent="0.25">
      <c r="H3884" s="37"/>
      <c r="I3884" s="79"/>
      <c r="J3884" s="70"/>
      <c r="K3884" s="57"/>
      <c r="L3884" s="11"/>
      <c r="M3884" s="41"/>
      <c r="N3884" s="11"/>
    </row>
    <row r="3885" spans="8:14" x14ac:dyDescent="0.25">
      <c r="H3885" s="37"/>
      <c r="I3885" s="79"/>
      <c r="J3885" s="70"/>
      <c r="K3885" s="57"/>
      <c r="L3885" s="11"/>
      <c r="M3885" s="41"/>
      <c r="N3885" s="11"/>
    </row>
    <row r="3886" spans="8:14" x14ac:dyDescent="0.25">
      <c r="H3886" s="37"/>
      <c r="I3886" s="79"/>
      <c r="J3886" s="70"/>
      <c r="K3886" s="57"/>
      <c r="L3886" s="11"/>
      <c r="M3886" s="41"/>
      <c r="N3886" s="11"/>
    </row>
    <row r="3887" spans="8:14" x14ac:dyDescent="0.25">
      <c r="H3887" s="37"/>
      <c r="I3887" s="79"/>
      <c r="J3887" s="70"/>
      <c r="K3887" s="57"/>
      <c r="L3887" s="11"/>
      <c r="M3887" s="41"/>
      <c r="N3887" s="11"/>
    </row>
    <row r="3888" spans="8:14" x14ac:dyDescent="0.25">
      <c r="H3888" s="37"/>
      <c r="I3888" s="79"/>
      <c r="J3888" s="70"/>
      <c r="K3888" s="57"/>
      <c r="L3888" s="11"/>
      <c r="M3888" s="41"/>
      <c r="N3888" s="11"/>
    </row>
    <row r="3889" spans="8:14" x14ac:dyDescent="0.25">
      <c r="H3889" s="37"/>
      <c r="I3889" s="79"/>
      <c r="J3889" s="70"/>
      <c r="K3889" s="57"/>
      <c r="L3889" s="11"/>
      <c r="M3889" s="41"/>
      <c r="N3889" s="11"/>
    </row>
    <row r="3890" spans="8:14" x14ac:dyDescent="0.25">
      <c r="H3890" s="37"/>
      <c r="I3890" s="79"/>
      <c r="J3890" s="70"/>
      <c r="K3890" s="57"/>
      <c r="L3890" s="11"/>
      <c r="M3890" s="41"/>
      <c r="N3890" s="11"/>
    </row>
    <row r="3891" spans="8:14" x14ac:dyDescent="0.25">
      <c r="H3891" s="37"/>
      <c r="I3891" s="79"/>
      <c r="J3891" s="70"/>
      <c r="K3891" s="57"/>
      <c r="L3891" s="11"/>
      <c r="M3891" s="41"/>
      <c r="N3891" s="11"/>
    </row>
    <row r="3892" spans="8:14" x14ac:dyDescent="0.25">
      <c r="H3892" s="37"/>
      <c r="I3892" s="79"/>
      <c r="J3892" s="70"/>
      <c r="K3892" s="57"/>
      <c r="L3892" s="11"/>
      <c r="M3892" s="41"/>
      <c r="N3892" s="11"/>
    </row>
    <row r="3893" spans="8:14" x14ac:dyDescent="0.25">
      <c r="H3893" s="37"/>
      <c r="I3893" s="79"/>
      <c r="J3893" s="70"/>
      <c r="K3893" s="57"/>
      <c r="L3893" s="11"/>
      <c r="M3893" s="41"/>
      <c r="N3893" s="11"/>
    </row>
    <row r="3894" spans="8:14" x14ac:dyDescent="0.25">
      <c r="H3894" s="37"/>
      <c r="I3894" s="79"/>
      <c r="J3894" s="70"/>
      <c r="K3894" s="57"/>
      <c r="L3894" s="11"/>
      <c r="M3894" s="41"/>
      <c r="N3894" s="11"/>
    </row>
    <row r="3895" spans="8:14" x14ac:dyDescent="0.25">
      <c r="H3895" s="37"/>
      <c r="I3895" s="79"/>
      <c r="J3895" s="70"/>
      <c r="K3895" s="57"/>
      <c r="L3895" s="11"/>
      <c r="M3895" s="41"/>
      <c r="N3895" s="11"/>
    </row>
    <row r="3896" spans="8:14" x14ac:dyDescent="0.25">
      <c r="H3896" s="37"/>
      <c r="I3896" s="79"/>
      <c r="J3896" s="70"/>
      <c r="K3896" s="57"/>
      <c r="L3896" s="11"/>
      <c r="M3896" s="41"/>
      <c r="N3896" s="11"/>
    </row>
    <row r="3897" spans="8:14" x14ac:dyDescent="0.25">
      <c r="H3897" s="37"/>
      <c r="I3897" s="79"/>
      <c r="J3897" s="70"/>
      <c r="K3897" s="57"/>
      <c r="L3897" s="11"/>
      <c r="M3897" s="41"/>
      <c r="N3897" s="11"/>
    </row>
    <row r="3898" spans="8:14" x14ac:dyDescent="0.25">
      <c r="H3898" s="37"/>
      <c r="I3898" s="79"/>
      <c r="J3898" s="70"/>
      <c r="K3898" s="57"/>
      <c r="L3898" s="11"/>
      <c r="M3898" s="41"/>
      <c r="N3898" s="11"/>
    </row>
    <row r="3899" spans="8:14" x14ac:dyDescent="0.25">
      <c r="H3899" s="37"/>
      <c r="I3899" s="79"/>
      <c r="J3899" s="70"/>
      <c r="K3899" s="57"/>
      <c r="L3899" s="11"/>
      <c r="M3899" s="41"/>
      <c r="N3899" s="11"/>
    </row>
    <row r="3900" spans="8:14" x14ac:dyDescent="0.25">
      <c r="H3900" s="37"/>
      <c r="I3900" s="79"/>
      <c r="J3900" s="70"/>
      <c r="K3900" s="57"/>
      <c r="L3900" s="11"/>
      <c r="M3900" s="41"/>
      <c r="N3900" s="11"/>
    </row>
    <row r="3901" spans="8:14" x14ac:dyDescent="0.25">
      <c r="H3901" s="37"/>
      <c r="I3901" s="79"/>
      <c r="J3901" s="70"/>
      <c r="K3901" s="57"/>
      <c r="L3901" s="11"/>
      <c r="M3901" s="41"/>
      <c r="N3901" s="11"/>
    </row>
    <row r="3902" spans="8:14" x14ac:dyDescent="0.25">
      <c r="H3902" s="37"/>
      <c r="I3902" s="79"/>
      <c r="J3902" s="70"/>
      <c r="K3902" s="57"/>
      <c r="L3902" s="11"/>
      <c r="M3902" s="41"/>
      <c r="N3902" s="11"/>
    </row>
    <row r="3903" spans="8:14" x14ac:dyDescent="0.25">
      <c r="H3903" s="37"/>
      <c r="I3903" s="79"/>
      <c r="J3903" s="70"/>
      <c r="K3903" s="57"/>
      <c r="L3903" s="11"/>
      <c r="M3903" s="41"/>
      <c r="N3903" s="11"/>
    </row>
    <row r="3904" spans="8:14" x14ac:dyDescent="0.25">
      <c r="H3904" s="37"/>
      <c r="I3904" s="79"/>
      <c r="J3904" s="70"/>
      <c r="K3904" s="57"/>
      <c r="L3904" s="11"/>
      <c r="M3904" s="41"/>
      <c r="N3904" s="11"/>
    </row>
    <row r="3905" spans="8:14" x14ac:dyDescent="0.25">
      <c r="H3905" s="37"/>
      <c r="I3905" s="79"/>
      <c r="J3905" s="70"/>
      <c r="K3905" s="57"/>
      <c r="L3905" s="11"/>
      <c r="M3905" s="41"/>
      <c r="N3905" s="11"/>
    </row>
    <row r="3906" spans="8:14" x14ac:dyDescent="0.25">
      <c r="H3906" s="37"/>
      <c r="I3906" s="79"/>
      <c r="J3906" s="70"/>
      <c r="K3906" s="57"/>
      <c r="L3906" s="11"/>
      <c r="M3906" s="41"/>
      <c r="N3906" s="11"/>
    </row>
    <row r="3907" spans="8:14" x14ac:dyDescent="0.25">
      <c r="H3907" s="37"/>
      <c r="I3907" s="79"/>
      <c r="J3907" s="70"/>
      <c r="K3907" s="57"/>
      <c r="L3907" s="11"/>
      <c r="M3907" s="41"/>
      <c r="N3907" s="11"/>
    </row>
    <row r="3908" spans="8:14" x14ac:dyDescent="0.25">
      <c r="H3908" s="37"/>
      <c r="I3908" s="79"/>
      <c r="J3908" s="70"/>
      <c r="K3908" s="57"/>
      <c r="L3908" s="11"/>
      <c r="M3908" s="41"/>
      <c r="N3908" s="11"/>
    </row>
    <row r="3909" spans="8:14" x14ac:dyDescent="0.25">
      <c r="H3909" s="37"/>
      <c r="I3909" s="79"/>
      <c r="J3909" s="70"/>
      <c r="K3909" s="57"/>
      <c r="L3909" s="11"/>
      <c r="M3909" s="41"/>
      <c r="N3909" s="11"/>
    </row>
    <row r="3910" spans="8:14" x14ac:dyDescent="0.25">
      <c r="H3910" s="37"/>
      <c r="I3910" s="79"/>
      <c r="J3910" s="70"/>
      <c r="K3910" s="57"/>
      <c r="L3910" s="11"/>
      <c r="M3910" s="41"/>
      <c r="N3910" s="11"/>
    </row>
    <row r="3911" spans="8:14" x14ac:dyDescent="0.25">
      <c r="H3911" s="37"/>
      <c r="I3911" s="79"/>
      <c r="J3911" s="70"/>
      <c r="K3911" s="57"/>
      <c r="L3911" s="11"/>
      <c r="M3911" s="41"/>
      <c r="N3911" s="11"/>
    </row>
    <row r="3912" spans="8:14" x14ac:dyDescent="0.25">
      <c r="H3912" s="37"/>
      <c r="I3912" s="79"/>
      <c r="J3912" s="70"/>
      <c r="K3912" s="57"/>
      <c r="L3912" s="11"/>
      <c r="M3912" s="41"/>
      <c r="N3912" s="11"/>
    </row>
    <row r="3913" spans="8:14" x14ac:dyDescent="0.25">
      <c r="H3913" s="37"/>
      <c r="I3913" s="79"/>
      <c r="J3913" s="70"/>
      <c r="K3913" s="57"/>
      <c r="L3913" s="11"/>
      <c r="M3913" s="41"/>
      <c r="N3913" s="11"/>
    </row>
    <row r="3914" spans="8:14" x14ac:dyDescent="0.25">
      <c r="H3914" s="37"/>
      <c r="I3914" s="79"/>
      <c r="J3914" s="70"/>
      <c r="K3914" s="57"/>
      <c r="L3914" s="11"/>
      <c r="M3914" s="41"/>
      <c r="N3914" s="11"/>
    </row>
    <row r="3915" spans="8:14" x14ac:dyDescent="0.25">
      <c r="H3915" s="37"/>
      <c r="I3915" s="79"/>
      <c r="J3915" s="70"/>
      <c r="K3915" s="57"/>
      <c r="L3915" s="11"/>
      <c r="M3915" s="41"/>
      <c r="N3915" s="11"/>
    </row>
    <row r="3916" spans="8:14" x14ac:dyDescent="0.25">
      <c r="H3916" s="37"/>
      <c r="I3916" s="79"/>
      <c r="J3916" s="70"/>
      <c r="K3916" s="57"/>
      <c r="L3916" s="11"/>
      <c r="M3916" s="41"/>
      <c r="N3916" s="11"/>
    </row>
    <row r="3917" spans="8:14" x14ac:dyDescent="0.25">
      <c r="H3917" s="37"/>
      <c r="I3917" s="79"/>
      <c r="J3917" s="70"/>
      <c r="K3917" s="57"/>
      <c r="L3917" s="11"/>
      <c r="M3917" s="41"/>
      <c r="N3917" s="11"/>
    </row>
    <row r="3918" spans="8:14" x14ac:dyDescent="0.25">
      <c r="H3918" s="37"/>
      <c r="I3918" s="79"/>
      <c r="J3918" s="70"/>
      <c r="K3918" s="57"/>
      <c r="L3918" s="11"/>
      <c r="M3918" s="41"/>
      <c r="N3918" s="11"/>
    </row>
    <row r="3919" spans="8:14" x14ac:dyDescent="0.25">
      <c r="H3919" s="37"/>
      <c r="I3919" s="79"/>
      <c r="J3919" s="70"/>
      <c r="K3919" s="57"/>
      <c r="L3919" s="11"/>
      <c r="M3919" s="41"/>
      <c r="N3919" s="11"/>
    </row>
    <row r="3920" spans="8:14" x14ac:dyDescent="0.25">
      <c r="H3920" s="37"/>
      <c r="I3920" s="79"/>
      <c r="J3920" s="70"/>
      <c r="K3920" s="57"/>
      <c r="L3920" s="11"/>
      <c r="M3920" s="41"/>
      <c r="N3920" s="11"/>
    </row>
    <row r="3921" spans="8:14" x14ac:dyDescent="0.25">
      <c r="H3921" s="37"/>
      <c r="I3921" s="79"/>
      <c r="J3921" s="70"/>
      <c r="K3921" s="57"/>
      <c r="L3921" s="11"/>
      <c r="M3921" s="41"/>
      <c r="N3921" s="11"/>
    </row>
    <row r="3922" spans="8:14" x14ac:dyDescent="0.25">
      <c r="H3922" s="37"/>
      <c r="I3922" s="79"/>
      <c r="J3922" s="70"/>
      <c r="K3922" s="57"/>
      <c r="L3922" s="11"/>
      <c r="M3922" s="41"/>
      <c r="N3922" s="11"/>
    </row>
    <row r="3923" spans="8:14" x14ac:dyDescent="0.25">
      <c r="H3923" s="37"/>
      <c r="I3923" s="79"/>
      <c r="J3923" s="70"/>
      <c r="K3923" s="57"/>
      <c r="L3923" s="11"/>
      <c r="M3923" s="41"/>
      <c r="N3923" s="11"/>
    </row>
    <row r="3924" spans="8:14" x14ac:dyDescent="0.25">
      <c r="H3924" s="37"/>
      <c r="I3924" s="79"/>
      <c r="J3924" s="70"/>
      <c r="K3924" s="57"/>
      <c r="L3924" s="11"/>
      <c r="M3924" s="41"/>
      <c r="N3924" s="11"/>
    </row>
    <row r="3925" spans="8:14" x14ac:dyDescent="0.25">
      <c r="H3925" s="37"/>
      <c r="I3925" s="79"/>
      <c r="J3925" s="70"/>
      <c r="K3925" s="57"/>
      <c r="L3925" s="11"/>
      <c r="M3925" s="41"/>
      <c r="N3925" s="11"/>
    </row>
    <row r="3926" spans="8:14" x14ac:dyDescent="0.25">
      <c r="H3926" s="37"/>
      <c r="I3926" s="79"/>
      <c r="J3926" s="70"/>
      <c r="K3926" s="57"/>
      <c r="L3926" s="11"/>
      <c r="M3926" s="41"/>
      <c r="N3926" s="11"/>
    </row>
    <row r="3927" spans="8:14" x14ac:dyDescent="0.25">
      <c r="H3927" s="37"/>
      <c r="I3927" s="79"/>
      <c r="J3927" s="70"/>
      <c r="K3927" s="57"/>
      <c r="L3927" s="11"/>
      <c r="M3927" s="41"/>
      <c r="N3927" s="11"/>
    </row>
    <row r="3928" spans="8:14" x14ac:dyDescent="0.25">
      <c r="H3928" s="37"/>
      <c r="I3928" s="79"/>
      <c r="J3928" s="70"/>
      <c r="K3928" s="57"/>
      <c r="L3928" s="11"/>
      <c r="M3928" s="41"/>
      <c r="N3928" s="11"/>
    </row>
    <row r="3929" spans="8:14" x14ac:dyDescent="0.25">
      <c r="H3929" s="37"/>
      <c r="I3929" s="79"/>
      <c r="J3929" s="70"/>
      <c r="K3929" s="57"/>
      <c r="L3929" s="11"/>
      <c r="M3929" s="41"/>
      <c r="N3929" s="11"/>
    </row>
    <row r="3930" spans="8:14" x14ac:dyDescent="0.25">
      <c r="H3930" s="37"/>
      <c r="I3930" s="79"/>
      <c r="J3930" s="70"/>
      <c r="K3930" s="57"/>
      <c r="L3930" s="11"/>
      <c r="M3930" s="41"/>
      <c r="N3930" s="11"/>
    </row>
    <row r="3931" spans="8:14" x14ac:dyDescent="0.25">
      <c r="H3931" s="37"/>
      <c r="I3931" s="79"/>
      <c r="J3931" s="70"/>
      <c r="K3931" s="57"/>
      <c r="L3931" s="11"/>
      <c r="M3931" s="41"/>
      <c r="N3931" s="11"/>
    </row>
    <row r="3932" spans="8:14" x14ac:dyDescent="0.25">
      <c r="H3932" s="37"/>
      <c r="I3932" s="79"/>
      <c r="J3932" s="70"/>
      <c r="K3932" s="57"/>
      <c r="L3932" s="11"/>
      <c r="M3932" s="41"/>
      <c r="N3932" s="11"/>
    </row>
    <row r="3933" spans="8:14" x14ac:dyDescent="0.25">
      <c r="H3933" s="37"/>
      <c r="I3933" s="79"/>
      <c r="J3933" s="70"/>
      <c r="K3933" s="57"/>
      <c r="L3933" s="11"/>
      <c r="M3933" s="41"/>
      <c r="N3933" s="11"/>
    </row>
    <row r="3934" spans="8:14" x14ac:dyDescent="0.25">
      <c r="H3934" s="37"/>
      <c r="I3934" s="79"/>
      <c r="J3934" s="70"/>
      <c r="K3934" s="57"/>
      <c r="L3934" s="11"/>
      <c r="M3934" s="41"/>
      <c r="N3934" s="11"/>
    </row>
    <row r="3935" spans="8:14" x14ac:dyDescent="0.25">
      <c r="H3935" s="37"/>
      <c r="I3935" s="79"/>
      <c r="J3935" s="70"/>
      <c r="K3935" s="57"/>
      <c r="L3935" s="11"/>
      <c r="M3935" s="41"/>
      <c r="N3935" s="11"/>
    </row>
    <row r="3936" spans="8:14" x14ac:dyDescent="0.25">
      <c r="H3936" s="37"/>
      <c r="I3936" s="79"/>
      <c r="J3936" s="70"/>
      <c r="K3936" s="57"/>
      <c r="L3936" s="11"/>
      <c r="M3936" s="41"/>
      <c r="N3936" s="11"/>
    </row>
    <row r="3937" spans="8:14" x14ac:dyDescent="0.25">
      <c r="H3937" s="37"/>
      <c r="I3937" s="79"/>
      <c r="J3937" s="70"/>
      <c r="K3937" s="57"/>
      <c r="L3937" s="11"/>
      <c r="M3937" s="41"/>
      <c r="N3937" s="11"/>
    </row>
    <row r="3938" spans="8:14" x14ac:dyDescent="0.25">
      <c r="H3938" s="37"/>
      <c r="I3938" s="79"/>
      <c r="J3938" s="70"/>
      <c r="K3938" s="57"/>
      <c r="L3938" s="11"/>
      <c r="M3938" s="41"/>
      <c r="N3938" s="11"/>
    </row>
    <row r="3939" spans="8:14" x14ac:dyDescent="0.25">
      <c r="H3939" s="37"/>
      <c r="I3939" s="79"/>
      <c r="J3939" s="70"/>
      <c r="K3939" s="57"/>
      <c r="L3939" s="11"/>
      <c r="M3939" s="41"/>
      <c r="N3939" s="11"/>
    </row>
    <row r="3940" spans="8:14" x14ac:dyDescent="0.25">
      <c r="H3940" s="37"/>
      <c r="I3940" s="79"/>
      <c r="J3940" s="70"/>
      <c r="K3940" s="57"/>
      <c r="L3940" s="11"/>
      <c r="M3940" s="41"/>
      <c r="N3940" s="11"/>
    </row>
    <row r="3941" spans="8:14" x14ac:dyDescent="0.25">
      <c r="H3941" s="37"/>
      <c r="I3941" s="79"/>
      <c r="J3941" s="70"/>
      <c r="K3941" s="57"/>
      <c r="L3941" s="11"/>
      <c r="M3941" s="41"/>
      <c r="N3941" s="11"/>
    </row>
    <row r="3942" spans="8:14" x14ac:dyDescent="0.25">
      <c r="H3942" s="37"/>
      <c r="I3942" s="79"/>
      <c r="J3942" s="70"/>
      <c r="K3942" s="57"/>
      <c r="L3942" s="11"/>
      <c r="M3942" s="41"/>
      <c r="N3942" s="11"/>
    </row>
    <row r="3943" spans="8:14" x14ac:dyDescent="0.25">
      <c r="H3943" s="37"/>
      <c r="I3943" s="79"/>
      <c r="J3943" s="70"/>
      <c r="K3943" s="57"/>
      <c r="L3943" s="11"/>
      <c r="M3943" s="41"/>
      <c r="N3943" s="11"/>
    </row>
    <row r="3944" spans="8:14" x14ac:dyDescent="0.25">
      <c r="H3944" s="37"/>
      <c r="I3944" s="79"/>
      <c r="J3944" s="70"/>
      <c r="K3944" s="57"/>
      <c r="L3944" s="11"/>
      <c r="M3944" s="41"/>
      <c r="N3944" s="11"/>
    </row>
    <row r="3945" spans="8:14" x14ac:dyDescent="0.25">
      <c r="H3945" s="37"/>
      <c r="I3945" s="79"/>
      <c r="J3945" s="70"/>
      <c r="K3945" s="57"/>
      <c r="L3945" s="11"/>
      <c r="M3945" s="41"/>
      <c r="N3945" s="11"/>
    </row>
    <row r="3946" spans="8:14" x14ac:dyDescent="0.25">
      <c r="H3946" s="37"/>
      <c r="I3946" s="79"/>
      <c r="J3946" s="70"/>
      <c r="K3946" s="57"/>
      <c r="L3946" s="11"/>
      <c r="M3946" s="41"/>
      <c r="N3946" s="11"/>
    </row>
    <row r="3947" spans="8:14" x14ac:dyDescent="0.25">
      <c r="H3947" s="37"/>
      <c r="I3947" s="79"/>
      <c r="J3947" s="70"/>
      <c r="K3947" s="57"/>
      <c r="L3947" s="11"/>
      <c r="M3947" s="41"/>
      <c r="N3947" s="11"/>
    </row>
    <row r="3948" spans="8:14" x14ac:dyDescent="0.25">
      <c r="H3948" s="37"/>
      <c r="I3948" s="79"/>
      <c r="J3948" s="70"/>
      <c r="K3948" s="57"/>
      <c r="L3948" s="11"/>
      <c r="M3948" s="41"/>
      <c r="N3948" s="11"/>
    </row>
    <row r="3949" spans="8:14" x14ac:dyDescent="0.25">
      <c r="H3949" s="37"/>
      <c r="I3949" s="79"/>
      <c r="J3949" s="70"/>
      <c r="K3949" s="57"/>
      <c r="L3949" s="11"/>
      <c r="M3949" s="41"/>
      <c r="N3949" s="11"/>
    </row>
    <row r="3950" spans="8:14" x14ac:dyDescent="0.25">
      <c r="H3950" s="37"/>
      <c r="I3950" s="79"/>
      <c r="J3950" s="70"/>
      <c r="K3950" s="57"/>
      <c r="L3950" s="11"/>
      <c r="M3950" s="41"/>
      <c r="N3950" s="11"/>
    </row>
    <row r="3951" spans="8:14" x14ac:dyDescent="0.25">
      <c r="H3951" s="37"/>
      <c r="I3951" s="79"/>
      <c r="J3951" s="70"/>
      <c r="K3951" s="57"/>
      <c r="L3951" s="11"/>
      <c r="M3951" s="41"/>
      <c r="N3951" s="11"/>
    </row>
    <row r="3952" spans="8:14" x14ac:dyDescent="0.25">
      <c r="H3952" s="37"/>
      <c r="I3952" s="79"/>
      <c r="J3952" s="70"/>
      <c r="K3952" s="57"/>
      <c r="L3952" s="11"/>
      <c r="M3952" s="41"/>
      <c r="N3952" s="11"/>
    </row>
    <row r="3953" spans="8:14" x14ac:dyDescent="0.25">
      <c r="H3953" s="37"/>
      <c r="I3953" s="79"/>
      <c r="J3953" s="70"/>
      <c r="K3953" s="57"/>
      <c r="L3953" s="11"/>
      <c r="M3953" s="41"/>
      <c r="N3953" s="11"/>
    </row>
    <row r="3954" spans="8:14" x14ac:dyDescent="0.25">
      <c r="H3954" s="37"/>
      <c r="I3954" s="79"/>
      <c r="J3954" s="70"/>
      <c r="K3954" s="57"/>
      <c r="L3954" s="11"/>
      <c r="M3954" s="41"/>
      <c r="N3954" s="11"/>
    </row>
    <row r="3955" spans="8:14" x14ac:dyDescent="0.25">
      <c r="H3955" s="37"/>
      <c r="I3955" s="79"/>
      <c r="J3955" s="70"/>
      <c r="K3955" s="57"/>
      <c r="L3955" s="11"/>
      <c r="M3955" s="41"/>
      <c r="N3955" s="11"/>
    </row>
    <row r="3956" spans="8:14" x14ac:dyDescent="0.25">
      <c r="H3956" s="37"/>
      <c r="I3956" s="79"/>
      <c r="J3956" s="70"/>
      <c r="K3956" s="57"/>
      <c r="L3956" s="11"/>
      <c r="M3956" s="41"/>
      <c r="N3956" s="11"/>
    </row>
    <row r="3957" spans="8:14" x14ac:dyDescent="0.25">
      <c r="H3957" s="37"/>
      <c r="I3957" s="79"/>
      <c r="J3957" s="70"/>
      <c r="K3957" s="57"/>
      <c r="L3957" s="11"/>
      <c r="M3957" s="41"/>
      <c r="N3957" s="11"/>
    </row>
    <row r="3958" spans="8:14" x14ac:dyDescent="0.25">
      <c r="H3958" s="37"/>
      <c r="I3958" s="79"/>
      <c r="J3958" s="70"/>
      <c r="K3958" s="57"/>
      <c r="L3958" s="11"/>
      <c r="M3958" s="41"/>
      <c r="N3958" s="11"/>
    </row>
    <row r="3959" spans="8:14" x14ac:dyDescent="0.25">
      <c r="H3959" s="37"/>
      <c r="I3959" s="79"/>
      <c r="J3959" s="70"/>
      <c r="K3959" s="57"/>
      <c r="L3959" s="11"/>
      <c r="M3959" s="41"/>
      <c r="N3959" s="11"/>
    </row>
    <row r="3960" spans="8:14" x14ac:dyDescent="0.25">
      <c r="H3960" s="37"/>
      <c r="I3960" s="79"/>
      <c r="J3960" s="70"/>
      <c r="K3960" s="57"/>
      <c r="L3960" s="11"/>
      <c r="M3960" s="41"/>
      <c r="N3960" s="11"/>
    </row>
    <row r="3961" spans="8:14" x14ac:dyDescent="0.25">
      <c r="H3961" s="37"/>
      <c r="I3961" s="79"/>
      <c r="J3961" s="70"/>
      <c r="K3961" s="57"/>
      <c r="L3961" s="11"/>
      <c r="M3961" s="41"/>
      <c r="N3961" s="11"/>
    </row>
    <row r="3962" spans="8:14" x14ac:dyDescent="0.25">
      <c r="H3962" s="37"/>
      <c r="I3962" s="79"/>
      <c r="J3962" s="70"/>
      <c r="K3962" s="57"/>
      <c r="L3962" s="11"/>
      <c r="M3962" s="41"/>
      <c r="N3962" s="11"/>
    </row>
    <row r="3963" spans="8:14" x14ac:dyDescent="0.25">
      <c r="H3963" s="37"/>
      <c r="I3963" s="79"/>
      <c r="J3963" s="70"/>
      <c r="K3963" s="57"/>
      <c r="L3963" s="11"/>
      <c r="M3963" s="41"/>
      <c r="N3963" s="11"/>
    </row>
    <row r="3964" spans="8:14" x14ac:dyDescent="0.25">
      <c r="H3964" s="37"/>
      <c r="I3964" s="79"/>
      <c r="J3964" s="70"/>
      <c r="K3964" s="57"/>
      <c r="L3964" s="11"/>
      <c r="M3964" s="41"/>
      <c r="N3964" s="11"/>
    </row>
    <row r="3965" spans="8:14" x14ac:dyDescent="0.25">
      <c r="H3965" s="37"/>
      <c r="I3965" s="79"/>
      <c r="J3965" s="70"/>
      <c r="K3965" s="57"/>
      <c r="L3965" s="11"/>
      <c r="M3965" s="41"/>
      <c r="N3965" s="11"/>
    </row>
    <row r="3966" spans="8:14" x14ac:dyDescent="0.25">
      <c r="H3966" s="37"/>
      <c r="I3966" s="79"/>
      <c r="J3966" s="70"/>
      <c r="K3966" s="57"/>
      <c r="L3966" s="11"/>
      <c r="M3966" s="41"/>
      <c r="N3966" s="11"/>
    </row>
    <row r="3967" spans="8:14" x14ac:dyDescent="0.25">
      <c r="H3967" s="37"/>
      <c r="I3967" s="79"/>
      <c r="J3967" s="70"/>
      <c r="K3967" s="57"/>
      <c r="L3967" s="11"/>
      <c r="M3967" s="41"/>
      <c r="N3967" s="11"/>
    </row>
    <row r="3968" spans="8:14" x14ac:dyDescent="0.25">
      <c r="H3968" s="37"/>
      <c r="I3968" s="79"/>
      <c r="J3968" s="70"/>
      <c r="K3968" s="57"/>
      <c r="L3968" s="11"/>
      <c r="M3968" s="41"/>
      <c r="N3968" s="11"/>
    </row>
    <row r="3969" spans="8:14" x14ac:dyDescent="0.25">
      <c r="H3969" s="37"/>
      <c r="I3969" s="79"/>
      <c r="J3969" s="70"/>
      <c r="K3969" s="57"/>
      <c r="L3969" s="11"/>
      <c r="M3969" s="41"/>
      <c r="N3969" s="11"/>
    </row>
    <row r="3970" spans="8:14" x14ac:dyDescent="0.25">
      <c r="H3970" s="37"/>
      <c r="I3970" s="79"/>
      <c r="J3970" s="70"/>
      <c r="K3970" s="57"/>
      <c r="L3970" s="11"/>
      <c r="M3970" s="41"/>
      <c r="N3970" s="11"/>
    </row>
    <row r="3971" spans="8:14" x14ac:dyDescent="0.25">
      <c r="H3971" s="37"/>
      <c r="I3971" s="79"/>
      <c r="J3971" s="70"/>
      <c r="K3971" s="57"/>
      <c r="L3971" s="11"/>
      <c r="M3971" s="41"/>
      <c r="N3971" s="11"/>
    </row>
    <row r="3972" spans="8:14" x14ac:dyDescent="0.25">
      <c r="H3972" s="37"/>
      <c r="I3972" s="79"/>
      <c r="J3972" s="70"/>
      <c r="K3972" s="57"/>
      <c r="L3972" s="11"/>
      <c r="M3972" s="41"/>
      <c r="N3972" s="11"/>
    </row>
    <row r="3973" spans="8:14" x14ac:dyDescent="0.25">
      <c r="H3973" s="37"/>
      <c r="I3973" s="79"/>
      <c r="J3973" s="70"/>
      <c r="K3973" s="57"/>
      <c r="L3973" s="11"/>
      <c r="M3973" s="41"/>
      <c r="N3973" s="11"/>
    </row>
    <row r="3974" spans="8:14" x14ac:dyDescent="0.25">
      <c r="H3974" s="37"/>
      <c r="I3974" s="79"/>
      <c r="J3974" s="70"/>
      <c r="K3974" s="57"/>
      <c r="L3974" s="11"/>
      <c r="M3974" s="41"/>
      <c r="N3974" s="11"/>
    </row>
    <row r="3975" spans="8:14" x14ac:dyDescent="0.25">
      <c r="H3975" s="37"/>
      <c r="I3975" s="79"/>
      <c r="J3975" s="70"/>
      <c r="K3975" s="57"/>
      <c r="L3975" s="11"/>
      <c r="M3975" s="41"/>
      <c r="N3975" s="11"/>
    </row>
    <row r="3976" spans="8:14" x14ac:dyDescent="0.25">
      <c r="H3976" s="37"/>
      <c r="I3976" s="79"/>
      <c r="J3976" s="70"/>
      <c r="K3976" s="57"/>
      <c r="L3976" s="11"/>
      <c r="M3976" s="41"/>
      <c r="N3976" s="11"/>
    </row>
    <row r="3977" spans="8:14" x14ac:dyDescent="0.25">
      <c r="H3977" s="37"/>
      <c r="I3977" s="79"/>
      <c r="J3977" s="70"/>
      <c r="K3977" s="57"/>
      <c r="L3977" s="11"/>
      <c r="M3977" s="41"/>
      <c r="N3977" s="11"/>
    </row>
    <row r="3978" spans="8:14" x14ac:dyDescent="0.25">
      <c r="H3978" s="37"/>
      <c r="I3978" s="79"/>
      <c r="J3978" s="70"/>
      <c r="K3978" s="57"/>
      <c r="L3978" s="11"/>
      <c r="M3978" s="41"/>
      <c r="N3978" s="11"/>
    </row>
    <row r="3979" spans="8:14" x14ac:dyDescent="0.25">
      <c r="H3979" s="37"/>
      <c r="I3979" s="79"/>
      <c r="J3979" s="70"/>
      <c r="K3979" s="57"/>
      <c r="L3979" s="11"/>
      <c r="M3979" s="41"/>
      <c r="N3979" s="11"/>
    </row>
    <row r="3980" spans="8:14" x14ac:dyDescent="0.25">
      <c r="H3980" s="37"/>
      <c r="I3980" s="79"/>
      <c r="J3980" s="70"/>
      <c r="K3980" s="57"/>
      <c r="L3980" s="11"/>
      <c r="M3980" s="41"/>
      <c r="N3980" s="11"/>
    </row>
    <row r="3981" spans="8:14" x14ac:dyDescent="0.25">
      <c r="H3981" s="37"/>
      <c r="I3981" s="79"/>
      <c r="J3981" s="70"/>
      <c r="K3981" s="57"/>
      <c r="L3981" s="11"/>
      <c r="M3981" s="41"/>
      <c r="N3981" s="11"/>
    </row>
    <row r="3982" spans="8:14" x14ac:dyDescent="0.25">
      <c r="H3982" s="37"/>
      <c r="I3982" s="79"/>
      <c r="J3982" s="70"/>
      <c r="K3982" s="57"/>
      <c r="L3982" s="11"/>
      <c r="M3982" s="41"/>
      <c r="N3982" s="11"/>
    </row>
    <row r="3983" spans="8:14" x14ac:dyDescent="0.25">
      <c r="H3983" s="37"/>
      <c r="I3983" s="79"/>
      <c r="J3983" s="70"/>
      <c r="K3983" s="57"/>
      <c r="L3983" s="11"/>
      <c r="M3983" s="41"/>
      <c r="N3983" s="11"/>
    </row>
    <row r="3984" spans="8:14" x14ac:dyDescent="0.25">
      <c r="H3984" s="37"/>
      <c r="I3984" s="79"/>
      <c r="J3984" s="70"/>
      <c r="K3984" s="57"/>
      <c r="L3984" s="11"/>
      <c r="M3984" s="41"/>
      <c r="N3984" s="11"/>
    </row>
    <row r="3985" spans="8:14" x14ac:dyDescent="0.25">
      <c r="H3985" s="37"/>
      <c r="I3985" s="79"/>
      <c r="J3985" s="70"/>
      <c r="K3985" s="57"/>
      <c r="L3985" s="11"/>
      <c r="M3985" s="41"/>
      <c r="N3985" s="11"/>
    </row>
    <row r="3986" spans="8:14" x14ac:dyDescent="0.25">
      <c r="H3986" s="37"/>
      <c r="I3986" s="79"/>
      <c r="J3986" s="70"/>
      <c r="K3986" s="57"/>
      <c r="L3986" s="11"/>
      <c r="M3986" s="41"/>
      <c r="N3986" s="11"/>
    </row>
    <row r="3987" spans="8:14" x14ac:dyDescent="0.25">
      <c r="H3987" s="37"/>
      <c r="I3987" s="79"/>
      <c r="J3987" s="70"/>
      <c r="K3987" s="57"/>
      <c r="L3987" s="11"/>
      <c r="M3987" s="41"/>
      <c r="N3987" s="11"/>
    </row>
    <row r="3988" spans="8:14" x14ac:dyDescent="0.25">
      <c r="H3988" s="37"/>
      <c r="I3988" s="79"/>
      <c r="J3988" s="70"/>
      <c r="K3988" s="57"/>
      <c r="L3988" s="11"/>
      <c r="M3988" s="41"/>
      <c r="N3988" s="11"/>
    </row>
    <row r="3989" spans="8:14" x14ac:dyDescent="0.25">
      <c r="H3989" s="37"/>
      <c r="I3989" s="79"/>
      <c r="J3989" s="70"/>
      <c r="K3989" s="57"/>
      <c r="L3989" s="11"/>
      <c r="M3989" s="41"/>
      <c r="N3989" s="11"/>
    </row>
    <row r="3990" spans="8:14" x14ac:dyDescent="0.25">
      <c r="H3990" s="37"/>
      <c r="I3990" s="79"/>
      <c r="J3990" s="70"/>
      <c r="K3990" s="57"/>
      <c r="L3990" s="11"/>
      <c r="M3990" s="41"/>
      <c r="N3990" s="11"/>
    </row>
    <row r="3991" spans="8:14" x14ac:dyDescent="0.25">
      <c r="H3991" s="37"/>
      <c r="I3991" s="79"/>
      <c r="J3991" s="70"/>
      <c r="K3991" s="57"/>
      <c r="L3991" s="11"/>
      <c r="M3991" s="41"/>
      <c r="N3991" s="11"/>
    </row>
    <row r="3992" spans="8:14" x14ac:dyDescent="0.25">
      <c r="H3992" s="37"/>
      <c r="I3992" s="79"/>
      <c r="J3992" s="70"/>
      <c r="K3992" s="57"/>
      <c r="L3992" s="11"/>
      <c r="M3992" s="41"/>
      <c r="N3992" s="11"/>
    </row>
    <row r="3993" spans="8:14" x14ac:dyDescent="0.25">
      <c r="H3993" s="37"/>
      <c r="I3993" s="79"/>
      <c r="J3993" s="70"/>
      <c r="K3993" s="57"/>
      <c r="L3993" s="11"/>
      <c r="M3993" s="41"/>
      <c r="N3993" s="11"/>
    </row>
    <row r="3994" spans="8:14" x14ac:dyDescent="0.25">
      <c r="H3994" s="37"/>
      <c r="I3994" s="79"/>
      <c r="J3994" s="70"/>
      <c r="K3994" s="57"/>
      <c r="L3994" s="11"/>
      <c r="M3994" s="41"/>
      <c r="N3994" s="11"/>
    </row>
    <row r="3995" spans="8:14" x14ac:dyDescent="0.25">
      <c r="H3995" s="37"/>
      <c r="I3995" s="79"/>
      <c r="J3995" s="70"/>
      <c r="K3995" s="57"/>
      <c r="L3995" s="11"/>
      <c r="M3995" s="41"/>
      <c r="N3995" s="11"/>
    </row>
    <row r="3996" spans="8:14" x14ac:dyDescent="0.25">
      <c r="H3996" s="37"/>
      <c r="I3996" s="79"/>
      <c r="J3996" s="70"/>
      <c r="K3996" s="57"/>
      <c r="L3996" s="11"/>
      <c r="M3996" s="41"/>
      <c r="N3996" s="11"/>
    </row>
    <row r="3997" spans="8:14" x14ac:dyDescent="0.25">
      <c r="H3997" s="37"/>
      <c r="I3997" s="79"/>
      <c r="J3997" s="70"/>
      <c r="K3997" s="57"/>
      <c r="L3997" s="11"/>
      <c r="M3997" s="41"/>
      <c r="N3997" s="11"/>
    </row>
    <row r="3998" spans="8:14" x14ac:dyDescent="0.25">
      <c r="H3998" s="37"/>
      <c r="I3998" s="79"/>
      <c r="J3998" s="70"/>
      <c r="K3998" s="57"/>
      <c r="L3998" s="11"/>
      <c r="M3998" s="41"/>
      <c r="N3998" s="11"/>
    </row>
    <row r="3999" spans="8:14" x14ac:dyDescent="0.25">
      <c r="H3999" s="37"/>
      <c r="I3999" s="79"/>
      <c r="J3999" s="70"/>
      <c r="K3999" s="57"/>
      <c r="L3999" s="11"/>
      <c r="M3999" s="41"/>
      <c r="N3999" s="11"/>
    </row>
    <row r="4000" spans="8:14" x14ac:dyDescent="0.25">
      <c r="H4000" s="37"/>
      <c r="I4000" s="79"/>
      <c r="J4000" s="70"/>
      <c r="K4000" s="57"/>
      <c r="L4000" s="11"/>
      <c r="M4000" s="41"/>
      <c r="N4000" s="11"/>
    </row>
    <row r="4001" spans="8:14" x14ac:dyDescent="0.25">
      <c r="H4001" s="37"/>
      <c r="I4001" s="79"/>
      <c r="J4001" s="70"/>
      <c r="K4001" s="57"/>
      <c r="L4001" s="11"/>
      <c r="M4001" s="41"/>
      <c r="N4001" s="11"/>
    </row>
    <row r="4002" spans="8:14" x14ac:dyDescent="0.25">
      <c r="H4002" s="37"/>
      <c r="I4002" s="79"/>
      <c r="J4002" s="70"/>
      <c r="K4002" s="57"/>
      <c r="L4002" s="11"/>
      <c r="M4002" s="41"/>
      <c r="N4002" s="11"/>
    </row>
    <row r="4003" spans="8:14" x14ac:dyDescent="0.25">
      <c r="H4003" s="37"/>
      <c r="I4003" s="79"/>
      <c r="J4003" s="70"/>
      <c r="K4003" s="57"/>
      <c r="L4003" s="11"/>
      <c r="M4003" s="41"/>
      <c r="N4003" s="11"/>
    </row>
    <row r="4004" spans="8:14" x14ac:dyDescent="0.25">
      <c r="H4004" s="37"/>
      <c r="I4004" s="79"/>
      <c r="J4004" s="70"/>
      <c r="K4004" s="57"/>
      <c r="L4004" s="11"/>
      <c r="M4004" s="41"/>
      <c r="N4004" s="11"/>
    </row>
    <row r="4005" spans="8:14" x14ac:dyDescent="0.25">
      <c r="H4005" s="37"/>
      <c r="I4005" s="79"/>
      <c r="J4005" s="70"/>
      <c r="K4005" s="57"/>
      <c r="L4005" s="11"/>
      <c r="M4005" s="41"/>
      <c r="N4005" s="11"/>
    </row>
    <row r="4006" spans="8:14" x14ac:dyDescent="0.25">
      <c r="H4006" s="37"/>
      <c r="I4006" s="79"/>
      <c r="J4006" s="70"/>
      <c r="K4006" s="57"/>
      <c r="L4006" s="11"/>
      <c r="M4006" s="41"/>
      <c r="N4006" s="11"/>
    </row>
    <row r="4007" spans="8:14" x14ac:dyDescent="0.25">
      <c r="H4007" s="37"/>
      <c r="I4007" s="79"/>
      <c r="J4007" s="70"/>
      <c r="K4007" s="57"/>
      <c r="L4007" s="11"/>
      <c r="M4007" s="41"/>
      <c r="N4007" s="11"/>
    </row>
    <row r="4008" spans="8:14" x14ac:dyDescent="0.25">
      <c r="H4008" s="37"/>
      <c r="I4008" s="79"/>
      <c r="J4008" s="70"/>
      <c r="K4008" s="57"/>
      <c r="L4008" s="11"/>
      <c r="M4008" s="41"/>
      <c r="N4008" s="11"/>
    </row>
    <row r="4009" spans="8:14" x14ac:dyDescent="0.25">
      <c r="H4009" s="37"/>
      <c r="I4009" s="79"/>
      <c r="J4009" s="70"/>
      <c r="K4009" s="57"/>
      <c r="L4009" s="11"/>
      <c r="M4009" s="41"/>
      <c r="N4009" s="11"/>
    </row>
    <row r="4010" spans="8:14" x14ac:dyDescent="0.25">
      <c r="H4010" s="37"/>
      <c r="I4010" s="79"/>
      <c r="J4010" s="70"/>
      <c r="K4010" s="57"/>
      <c r="L4010" s="11"/>
      <c r="M4010" s="41"/>
      <c r="N4010" s="11"/>
    </row>
    <row r="4011" spans="8:14" x14ac:dyDescent="0.25">
      <c r="H4011" s="37"/>
      <c r="I4011" s="79"/>
      <c r="J4011" s="70"/>
      <c r="K4011" s="57"/>
      <c r="L4011" s="11"/>
      <c r="M4011" s="41"/>
      <c r="N4011" s="11"/>
    </row>
    <row r="4012" spans="8:14" x14ac:dyDescent="0.25">
      <c r="H4012" s="37"/>
      <c r="I4012" s="79"/>
      <c r="J4012" s="70"/>
      <c r="K4012" s="57"/>
      <c r="L4012" s="11"/>
      <c r="M4012" s="41"/>
      <c r="N4012" s="11"/>
    </row>
    <row r="4013" spans="8:14" x14ac:dyDescent="0.25">
      <c r="H4013" s="37"/>
      <c r="I4013" s="79"/>
      <c r="J4013" s="70"/>
      <c r="K4013" s="57"/>
      <c r="L4013" s="11"/>
      <c r="M4013" s="41"/>
      <c r="N4013" s="11"/>
    </row>
    <row r="4014" spans="8:14" x14ac:dyDescent="0.25">
      <c r="H4014" s="37"/>
      <c r="I4014" s="79"/>
      <c r="J4014" s="70"/>
      <c r="K4014" s="57"/>
      <c r="L4014" s="11"/>
      <c r="M4014" s="41"/>
      <c r="N4014" s="11"/>
    </row>
    <row r="4015" spans="8:14" x14ac:dyDescent="0.25">
      <c r="H4015" s="37"/>
      <c r="I4015" s="79"/>
      <c r="J4015" s="70"/>
      <c r="K4015" s="57"/>
      <c r="L4015" s="11"/>
      <c r="M4015" s="41"/>
      <c r="N4015" s="11"/>
    </row>
    <row r="4016" spans="8:14" x14ac:dyDescent="0.25">
      <c r="H4016" s="37"/>
      <c r="I4016" s="79"/>
      <c r="J4016" s="70"/>
      <c r="K4016" s="57"/>
      <c r="L4016" s="11"/>
      <c r="M4016" s="41"/>
      <c r="N4016" s="11"/>
    </row>
    <row r="4017" spans="8:14" x14ac:dyDescent="0.25">
      <c r="H4017" s="37"/>
      <c r="I4017" s="79"/>
      <c r="J4017" s="70"/>
      <c r="K4017" s="57"/>
      <c r="L4017" s="11"/>
      <c r="M4017" s="41"/>
      <c r="N4017" s="11"/>
    </row>
    <row r="4018" spans="8:14" x14ac:dyDescent="0.25">
      <c r="H4018" s="37"/>
      <c r="I4018" s="79"/>
      <c r="J4018" s="70"/>
      <c r="K4018" s="57"/>
      <c r="L4018" s="11"/>
      <c r="M4018" s="41"/>
      <c r="N4018" s="11"/>
    </row>
    <row r="4019" spans="8:14" x14ac:dyDescent="0.25">
      <c r="H4019" s="37"/>
      <c r="I4019" s="79"/>
      <c r="J4019" s="70"/>
      <c r="K4019" s="57"/>
      <c r="L4019" s="11"/>
      <c r="M4019" s="41"/>
      <c r="N4019" s="11"/>
    </row>
    <row r="4020" spans="8:14" x14ac:dyDescent="0.25">
      <c r="H4020" s="37"/>
      <c r="I4020" s="79"/>
      <c r="J4020" s="70"/>
      <c r="K4020" s="57"/>
      <c r="L4020" s="11"/>
      <c r="M4020" s="41"/>
      <c r="N4020" s="11"/>
    </row>
    <row r="4021" spans="8:14" x14ac:dyDescent="0.25">
      <c r="H4021" s="37"/>
      <c r="I4021" s="79"/>
      <c r="J4021" s="70"/>
      <c r="K4021" s="57"/>
      <c r="L4021" s="11"/>
      <c r="M4021" s="41"/>
      <c r="N4021" s="11"/>
    </row>
    <row r="4022" spans="8:14" x14ac:dyDescent="0.25">
      <c r="H4022" s="37"/>
      <c r="I4022" s="79"/>
      <c r="J4022" s="70"/>
      <c r="K4022" s="57"/>
      <c r="L4022" s="11"/>
      <c r="M4022" s="41"/>
      <c r="N4022" s="11"/>
    </row>
    <row r="4023" spans="8:14" x14ac:dyDescent="0.25">
      <c r="H4023" s="37"/>
      <c r="I4023" s="79"/>
      <c r="J4023" s="70"/>
      <c r="K4023" s="57"/>
      <c r="L4023" s="11"/>
      <c r="M4023" s="41"/>
      <c r="N4023" s="11"/>
    </row>
    <row r="4024" spans="8:14" x14ac:dyDescent="0.25">
      <c r="H4024" s="37"/>
      <c r="I4024" s="79"/>
      <c r="J4024" s="70"/>
      <c r="K4024" s="57"/>
      <c r="L4024" s="11"/>
      <c r="M4024" s="41"/>
      <c r="N4024" s="11"/>
    </row>
    <row r="4025" spans="8:14" x14ac:dyDescent="0.25">
      <c r="H4025" s="37"/>
      <c r="I4025" s="79"/>
      <c r="J4025" s="70"/>
      <c r="K4025" s="57"/>
      <c r="L4025" s="11"/>
      <c r="M4025" s="41"/>
      <c r="N4025" s="11"/>
    </row>
    <row r="4026" spans="8:14" x14ac:dyDescent="0.25">
      <c r="H4026" s="37"/>
      <c r="I4026" s="79"/>
      <c r="J4026" s="70"/>
      <c r="K4026" s="57"/>
      <c r="L4026" s="11"/>
      <c r="M4026" s="41"/>
      <c r="N4026" s="11"/>
    </row>
    <row r="4027" spans="8:14" x14ac:dyDescent="0.25">
      <c r="H4027" s="37"/>
      <c r="I4027" s="79"/>
      <c r="J4027" s="70"/>
      <c r="K4027" s="57"/>
      <c r="L4027" s="11"/>
      <c r="M4027" s="41"/>
      <c r="N4027" s="11"/>
    </row>
    <row r="4028" spans="8:14" x14ac:dyDescent="0.25">
      <c r="H4028" s="37"/>
      <c r="I4028" s="79"/>
      <c r="J4028" s="70"/>
      <c r="K4028" s="57"/>
      <c r="L4028" s="11"/>
      <c r="M4028" s="41"/>
      <c r="N4028" s="11"/>
    </row>
    <row r="4029" spans="8:14" x14ac:dyDescent="0.25">
      <c r="H4029" s="37"/>
      <c r="I4029" s="79"/>
      <c r="J4029" s="70"/>
      <c r="K4029" s="57"/>
      <c r="L4029" s="11"/>
      <c r="M4029" s="41"/>
      <c r="N4029" s="11"/>
    </row>
    <row r="4030" spans="8:14" x14ac:dyDescent="0.25">
      <c r="H4030" s="37"/>
      <c r="I4030" s="79"/>
      <c r="J4030" s="70"/>
      <c r="K4030" s="57"/>
      <c r="L4030" s="11"/>
      <c r="M4030" s="41"/>
      <c r="N4030" s="11"/>
    </row>
    <row r="4031" spans="8:14" x14ac:dyDescent="0.25">
      <c r="H4031" s="37"/>
      <c r="I4031" s="79"/>
      <c r="J4031" s="70"/>
      <c r="K4031" s="57"/>
      <c r="L4031" s="11"/>
      <c r="M4031" s="41"/>
      <c r="N4031" s="11"/>
    </row>
    <row r="4032" spans="8:14" x14ac:dyDescent="0.25">
      <c r="H4032" s="37"/>
      <c r="I4032" s="79"/>
      <c r="J4032" s="70"/>
      <c r="K4032" s="57"/>
      <c r="L4032" s="11"/>
      <c r="M4032" s="41"/>
      <c r="N4032" s="11"/>
    </row>
    <row r="4033" spans="8:14" x14ac:dyDescent="0.25">
      <c r="H4033" s="37"/>
      <c r="I4033" s="79"/>
      <c r="J4033" s="70"/>
      <c r="K4033" s="57"/>
      <c r="L4033" s="11"/>
      <c r="M4033" s="41"/>
      <c r="N4033" s="11"/>
    </row>
    <row r="4034" spans="8:14" x14ac:dyDescent="0.25">
      <c r="H4034" s="37"/>
      <c r="I4034" s="79"/>
      <c r="J4034" s="70"/>
      <c r="K4034" s="57"/>
      <c r="L4034" s="11"/>
      <c r="M4034" s="41"/>
      <c r="N4034" s="11"/>
    </row>
    <row r="4035" spans="8:14" x14ac:dyDescent="0.25">
      <c r="H4035" s="37"/>
      <c r="I4035" s="79"/>
      <c r="J4035" s="70"/>
      <c r="K4035" s="57"/>
      <c r="L4035" s="11"/>
      <c r="M4035" s="41"/>
      <c r="N4035" s="11"/>
    </row>
    <row r="4036" spans="8:14" x14ac:dyDescent="0.25">
      <c r="H4036" s="37"/>
      <c r="I4036" s="79"/>
      <c r="J4036" s="70"/>
      <c r="K4036" s="57"/>
      <c r="L4036" s="11"/>
      <c r="M4036" s="41"/>
      <c r="N4036" s="11"/>
    </row>
    <row r="4037" spans="8:14" x14ac:dyDescent="0.25">
      <c r="H4037" s="37"/>
      <c r="I4037" s="79"/>
      <c r="J4037" s="70"/>
      <c r="K4037" s="57"/>
      <c r="L4037" s="11"/>
      <c r="M4037" s="41"/>
      <c r="N4037" s="11"/>
    </row>
    <row r="4038" spans="8:14" x14ac:dyDescent="0.25">
      <c r="H4038" s="37"/>
      <c r="I4038" s="79"/>
      <c r="J4038" s="70"/>
      <c r="K4038" s="57"/>
      <c r="L4038" s="11"/>
      <c r="M4038" s="41"/>
      <c r="N4038" s="11"/>
    </row>
    <row r="4039" spans="8:14" x14ac:dyDescent="0.25">
      <c r="H4039" s="37"/>
      <c r="I4039" s="79"/>
      <c r="J4039" s="70"/>
      <c r="K4039" s="57"/>
      <c r="L4039" s="11"/>
      <c r="M4039" s="41"/>
      <c r="N4039" s="11"/>
    </row>
    <row r="4040" spans="8:14" x14ac:dyDescent="0.25">
      <c r="H4040" s="37"/>
      <c r="I4040" s="79"/>
      <c r="J4040" s="70"/>
      <c r="K4040" s="57"/>
      <c r="L4040" s="11"/>
      <c r="M4040" s="41"/>
      <c r="N4040" s="11"/>
    </row>
    <row r="4041" spans="8:14" x14ac:dyDescent="0.25">
      <c r="H4041" s="37"/>
      <c r="I4041" s="79"/>
      <c r="J4041" s="70"/>
      <c r="K4041" s="57"/>
      <c r="L4041" s="11"/>
      <c r="M4041" s="41"/>
      <c r="N4041" s="11"/>
    </row>
    <row r="4042" spans="8:14" x14ac:dyDescent="0.25">
      <c r="H4042" s="37"/>
      <c r="I4042" s="79"/>
      <c r="J4042" s="70"/>
      <c r="K4042" s="57"/>
      <c r="L4042" s="11"/>
      <c r="M4042" s="41"/>
      <c r="N4042" s="11"/>
    </row>
    <row r="4043" spans="8:14" x14ac:dyDescent="0.25">
      <c r="H4043" s="37"/>
      <c r="I4043" s="79"/>
      <c r="J4043" s="70"/>
      <c r="K4043" s="57"/>
      <c r="L4043" s="11"/>
      <c r="M4043" s="41"/>
      <c r="N4043" s="11"/>
    </row>
    <row r="4044" spans="8:14" x14ac:dyDescent="0.25">
      <c r="H4044" s="37"/>
      <c r="I4044" s="79"/>
      <c r="J4044" s="70"/>
      <c r="K4044" s="57"/>
      <c r="L4044" s="11"/>
      <c r="M4044" s="41"/>
      <c r="N4044" s="11"/>
    </row>
    <row r="4045" spans="8:14" x14ac:dyDescent="0.25">
      <c r="H4045" s="37"/>
      <c r="I4045" s="79"/>
      <c r="J4045" s="70"/>
      <c r="K4045" s="57"/>
      <c r="L4045" s="11"/>
      <c r="M4045" s="41"/>
      <c r="N4045" s="11"/>
    </row>
    <row r="4046" spans="8:14" x14ac:dyDescent="0.25">
      <c r="H4046" s="37"/>
      <c r="I4046" s="79"/>
      <c r="J4046" s="70"/>
      <c r="K4046" s="57"/>
      <c r="L4046" s="11"/>
      <c r="M4046" s="41"/>
      <c r="N4046" s="11"/>
    </row>
    <row r="4047" spans="8:14" x14ac:dyDescent="0.25">
      <c r="H4047" s="37"/>
      <c r="I4047" s="79"/>
      <c r="J4047" s="70"/>
      <c r="K4047" s="57"/>
      <c r="L4047" s="11"/>
      <c r="M4047" s="41"/>
      <c r="N4047" s="11"/>
    </row>
    <row r="4048" spans="8:14" x14ac:dyDescent="0.25">
      <c r="H4048" s="37"/>
      <c r="I4048" s="79"/>
      <c r="J4048" s="70"/>
      <c r="K4048" s="57"/>
      <c r="L4048" s="11"/>
      <c r="M4048" s="41"/>
      <c r="N4048" s="11"/>
    </row>
    <row r="4049" spans="8:14" x14ac:dyDescent="0.25">
      <c r="H4049" s="37"/>
      <c r="I4049" s="79"/>
      <c r="J4049" s="70"/>
      <c r="K4049" s="57"/>
      <c r="L4049" s="11"/>
      <c r="M4049" s="41"/>
      <c r="N4049" s="11"/>
    </row>
    <row r="4050" spans="8:14" x14ac:dyDescent="0.25">
      <c r="H4050" s="37"/>
      <c r="I4050" s="79"/>
      <c r="J4050" s="70"/>
      <c r="K4050" s="57"/>
      <c r="L4050" s="11"/>
      <c r="M4050" s="41"/>
      <c r="N4050" s="11"/>
    </row>
    <row r="4051" spans="8:14" x14ac:dyDescent="0.25">
      <c r="H4051" s="37"/>
      <c r="I4051" s="79"/>
      <c r="J4051" s="70"/>
      <c r="K4051" s="57"/>
      <c r="L4051" s="11"/>
      <c r="M4051" s="41"/>
      <c r="N4051" s="11"/>
    </row>
    <row r="4052" spans="8:14" x14ac:dyDescent="0.25">
      <c r="H4052" s="37"/>
      <c r="I4052" s="79"/>
      <c r="J4052" s="70"/>
      <c r="K4052" s="57"/>
      <c r="L4052" s="11"/>
      <c r="M4052" s="41"/>
      <c r="N4052" s="11"/>
    </row>
    <row r="4053" spans="8:14" x14ac:dyDescent="0.25">
      <c r="H4053" s="37"/>
      <c r="I4053" s="79"/>
      <c r="J4053" s="70"/>
      <c r="K4053" s="57"/>
      <c r="L4053" s="11"/>
      <c r="M4053" s="41"/>
      <c r="N4053" s="11"/>
    </row>
    <row r="4054" spans="8:14" x14ac:dyDescent="0.25">
      <c r="H4054" s="37"/>
      <c r="I4054" s="79"/>
      <c r="J4054" s="70"/>
      <c r="K4054" s="57"/>
      <c r="L4054" s="11"/>
      <c r="M4054" s="41"/>
      <c r="N4054" s="11"/>
    </row>
    <row r="4055" spans="8:14" x14ac:dyDescent="0.25">
      <c r="H4055" s="37"/>
      <c r="I4055" s="79"/>
      <c r="J4055" s="70"/>
      <c r="K4055" s="57"/>
      <c r="L4055" s="11"/>
      <c r="M4055" s="41"/>
      <c r="N4055" s="11"/>
    </row>
    <row r="4056" spans="8:14" x14ac:dyDescent="0.25">
      <c r="H4056" s="37"/>
      <c r="I4056" s="79"/>
      <c r="J4056" s="70"/>
      <c r="K4056" s="57"/>
      <c r="L4056" s="11"/>
      <c r="M4056" s="41"/>
      <c r="N4056" s="11"/>
    </row>
    <row r="4057" spans="8:14" x14ac:dyDescent="0.25">
      <c r="H4057" s="37"/>
      <c r="I4057" s="79"/>
      <c r="J4057" s="70"/>
      <c r="K4057" s="57"/>
      <c r="L4057" s="11"/>
      <c r="M4057" s="41"/>
      <c r="N4057" s="11"/>
    </row>
    <row r="4058" spans="8:14" x14ac:dyDescent="0.25">
      <c r="H4058" s="37"/>
      <c r="I4058" s="79"/>
      <c r="J4058" s="70"/>
      <c r="K4058" s="57"/>
      <c r="L4058" s="11"/>
      <c r="M4058" s="41"/>
      <c r="N4058" s="11"/>
    </row>
    <row r="4059" spans="8:14" x14ac:dyDescent="0.25">
      <c r="H4059" s="37"/>
      <c r="I4059" s="79"/>
      <c r="J4059" s="70"/>
      <c r="K4059" s="57"/>
      <c r="L4059" s="11"/>
      <c r="M4059" s="41"/>
      <c r="N4059" s="11"/>
    </row>
    <row r="4060" spans="8:14" x14ac:dyDescent="0.25">
      <c r="H4060" s="37"/>
      <c r="I4060" s="79"/>
      <c r="J4060" s="70"/>
      <c r="K4060" s="57"/>
      <c r="L4060" s="11"/>
      <c r="M4060" s="41"/>
      <c r="N4060" s="11"/>
    </row>
    <row r="4061" spans="8:14" x14ac:dyDescent="0.25">
      <c r="H4061" s="37"/>
      <c r="I4061" s="79"/>
      <c r="J4061" s="70"/>
      <c r="K4061" s="57"/>
      <c r="L4061" s="11"/>
      <c r="M4061" s="41"/>
      <c r="N4061" s="11"/>
    </row>
    <row r="4062" spans="8:14" x14ac:dyDescent="0.25">
      <c r="H4062" s="37"/>
      <c r="I4062" s="79"/>
      <c r="J4062" s="70"/>
      <c r="K4062" s="57"/>
      <c r="L4062" s="11"/>
      <c r="M4062" s="41"/>
      <c r="N4062" s="11"/>
    </row>
    <row r="4063" spans="8:14" x14ac:dyDescent="0.25">
      <c r="H4063" s="37"/>
      <c r="I4063" s="79"/>
      <c r="J4063" s="70"/>
      <c r="K4063" s="57"/>
      <c r="L4063" s="11"/>
      <c r="M4063" s="41"/>
      <c r="N4063" s="11"/>
    </row>
    <row r="4064" spans="8:14" x14ac:dyDescent="0.25">
      <c r="H4064" s="37"/>
      <c r="I4064" s="79"/>
      <c r="J4064" s="70"/>
      <c r="K4064" s="57"/>
      <c r="L4064" s="11"/>
      <c r="M4064" s="41"/>
      <c r="N4064" s="11"/>
    </row>
    <row r="4065" spans="8:14" x14ac:dyDescent="0.25">
      <c r="H4065" s="37"/>
      <c r="I4065" s="79"/>
      <c r="J4065" s="70"/>
      <c r="K4065" s="57"/>
      <c r="L4065" s="11"/>
      <c r="M4065" s="41"/>
      <c r="N4065" s="11"/>
    </row>
    <row r="4066" spans="8:14" x14ac:dyDescent="0.25">
      <c r="H4066" s="37"/>
      <c r="I4066" s="79"/>
      <c r="J4066" s="70"/>
      <c r="K4066" s="57"/>
      <c r="L4066" s="11"/>
      <c r="M4066" s="41"/>
      <c r="N4066" s="11"/>
    </row>
    <row r="4067" spans="8:14" x14ac:dyDescent="0.25">
      <c r="H4067" s="37"/>
      <c r="I4067" s="79"/>
      <c r="J4067" s="70"/>
      <c r="K4067" s="57"/>
      <c r="L4067" s="11"/>
      <c r="M4067" s="41"/>
      <c r="N4067" s="11"/>
    </row>
    <row r="4068" spans="8:14" x14ac:dyDescent="0.25">
      <c r="H4068" s="37"/>
      <c r="I4068" s="79"/>
      <c r="J4068" s="70"/>
      <c r="K4068" s="57"/>
      <c r="L4068" s="11"/>
      <c r="M4068" s="41"/>
      <c r="N4068" s="11"/>
    </row>
    <row r="4069" spans="8:14" x14ac:dyDescent="0.25">
      <c r="H4069" s="37"/>
      <c r="I4069" s="79"/>
      <c r="J4069" s="70"/>
      <c r="K4069" s="57"/>
      <c r="L4069" s="11"/>
      <c r="M4069" s="41"/>
      <c r="N4069" s="11"/>
    </row>
    <row r="4070" spans="8:14" x14ac:dyDescent="0.25">
      <c r="H4070" s="37"/>
      <c r="I4070" s="79"/>
      <c r="J4070" s="70"/>
      <c r="K4070" s="57"/>
      <c r="L4070" s="11"/>
      <c r="M4070" s="41"/>
      <c r="N4070" s="11"/>
    </row>
    <row r="4071" spans="8:14" x14ac:dyDescent="0.25">
      <c r="H4071" s="37"/>
      <c r="I4071" s="79"/>
      <c r="J4071" s="70"/>
      <c r="K4071" s="57"/>
      <c r="L4071" s="11"/>
      <c r="M4071" s="41"/>
      <c r="N4071" s="11"/>
    </row>
    <row r="4072" spans="8:14" x14ac:dyDescent="0.25">
      <c r="H4072" s="37"/>
      <c r="I4072" s="79"/>
      <c r="J4072" s="70"/>
      <c r="K4072" s="57"/>
      <c r="L4072" s="11"/>
      <c r="M4072" s="41"/>
      <c r="N4072" s="11"/>
    </row>
    <row r="4073" spans="8:14" x14ac:dyDescent="0.25">
      <c r="H4073" s="37"/>
      <c r="I4073" s="79"/>
      <c r="J4073" s="70"/>
      <c r="K4073" s="57"/>
      <c r="L4073" s="11"/>
      <c r="M4073" s="41"/>
      <c r="N4073" s="11"/>
    </row>
    <row r="4074" spans="8:14" x14ac:dyDescent="0.25">
      <c r="H4074" s="37"/>
      <c r="I4074" s="79"/>
      <c r="J4074" s="70"/>
      <c r="K4074" s="57"/>
      <c r="L4074" s="11"/>
      <c r="M4074" s="41"/>
      <c r="N4074" s="11"/>
    </row>
    <row r="4075" spans="8:14" x14ac:dyDescent="0.25">
      <c r="H4075" s="37"/>
      <c r="I4075" s="79"/>
      <c r="J4075" s="70"/>
      <c r="K4075" s="57"/>
      <c r="L4075" s="11"/>
      <c r="M4075" s="41"/>
      <c r="N4075" s="11"/>
    </row>
    <row r="4076" spans="8:14" x14ac:dyDescent="0.25">
      <c r="H4076" s="37"/>
      <c r="I4076" s="79"/>
      <c r="J4076" s="70"/>
      <c r="K4076" s="57"/>
      <c r="L4076" s="11"/>
      <c r="M4076" s="41"/>
      <c r="N4076" s="11"/>
    </row>
    <row r="4077" spans="8:14" x14ac:dyDescent="0.25">
      <c r="H4077" s="37"/>
      <c r="I4077" s="79"/>
      <c r="J4077" s="70"/>
      <c r="K4077" s="57"/>
      <c r="L4077" s="11"/>
      <c r="M4077" s="41"/>
      <c r="N4077" s="11"/>
    </row>
    <row r="4078" spans="8:14" x14ac:dyDescent="0.25">
      <c r="H4078" s="37"/>
      <c r="I4078" s="79"/>
      <c r="J4078" s="70"/>
      <c r="K4078" s="57"/>
      <c r="L4078" s="11"/>
      <c r="M4078" s="41"/>
      <c r="N4078" s="11"/>
    </row>
    <row r="4079" spans="8:14" x14ac:dyDescent="0.25">
      <c r="H4079" s="37"/>
      <c r="I4079" s="79"/>
      <c r="J4079" s="70"/>
      <c r="K4079" s="57"/>
      <c r="L4079" s="11"/>
      <c r="M4079" s="41"/>
      <c r="N4079" s="11"/>
    </row>
    <row r="4080" spans="8:14" x14ac:dyDescent="0.25">
      <c r="H4080" s="37"/>
      <c r="I4080" s="79"/>
      <c r="J4080" s="70"/>
      <c r="K4080" s="57"/>
      <c r="L4080" s="11"/>
      <c r="M4080" s="41"/>
      <c r="N4080" s="11"/>
    </row>
    <row r="4081" spans="8:14" x14ac:dyDescent="0.25">
      <c r="H4081" s="37"/>
      <c r="I4081" s="79"/>
      <c r="J4081" s="70"/>
      <c r="K4081" s="57"/>
      <c r="L4081" s="11"/>
      <c r="M4081" s="41"/>
      <c r="N4081" s="11"/>
    </row>
    <row r="4082" spans="8:14" x14ac:dyDescent="0.25">
      <c r="H4082" s="37"/>
      <c r="I4082" s="79"/>
      <c r="J4082" s="70"/>
      <c r="K4082" s="57"/>
      <c r="L4082" s="11"/>
      <c r="M4082" s="41"/>
      <c r="N4082" s="11"/>
    </row>
    <row r="4083" spans="8:14" x14ac:dyDescent="0.25">
      <c r="H4083" s="37"/>
      <c r="I4083" s="79"/>
      <c r="J4083" s="70"/>
      <c r="K4083" s="57"/>
      <c r="L4083" s="11"/>
      <c r="M4083" s="41"/>
      <c r="N4083" s="11"/>
    </row>
    <row r="4084" spans="8:14" x14ac:dyDescent="0.25">
      <c r="H4084" s="37"/>
      <c r="I4084" s="79"/>
      <c r="J4084" s="70"/>
      <c r="K4084" s="57"/>
      <c r="L4084" s="11"/>
      <c r="M4084" s="41"/>
      <c r="N4084" s="11"/>
    </row>
    <row r="4085" spans="8:14" x14ac:dyDescent="0.25">
      <c r="H4085" s="37"/>
      <c r="I4085" s="79"/>
      <c r="J4085" s="70"/>
      <c r="K4085" s="57"/>
      <c r="L4085" s="11"/>
      <c r="M4085" s="41"/>
      <c r="N4085" s="11"/>
    </row>
    <row r="4086" spans="8:14" x14ac:dyDescent="0.25">
      <c r="H4086" s="37"/>
      <c r="I4086" s="79"/>
      <c r="J4086" s="70"/>
      <c r="K4086" s="57"/>
      <c r="L4086" s="11"/>
      <c r="M4086" s="41"/>
      <c r="N4086" s="11"/>
    </row>
    <row r="4087" spans="8:14" x14ac:dyDescent="0.25">
      <c r="H4087" s="37"/>
      <c r="I4087" s="79"/>
      <c r="J4087" s="70"/>
      <c r="K4087" s="57"/>
      <c r="L4087" s="11"/>
      <c r="M4087" s="41"/>
      <c r="N4087" s="11"/>
    </row>
    <row r="4088" spans="8:14" x14ac:dyDescent="0.25">
      <c r="H4088" s="37"/>
      <c r="I4088" s="79"/>
      <c r="J4088" s="70"/>
      <c r="K4088" s="57"/>
      <c r="L4088" s="11"/>
      <c r="M4088" s="41"/>
      <c r="N4088" s="11"/>
    </row>
    <row r="4089" spans="8:14" x14ac:dyDescent="0.25">
      <c r="H4089" s="37"/>
      <c r="I4089" s="79"/>
      <c r="J4089" s="70"/>
      <c r="K4089" s="57"/>
      <c r="L4089" s="11"/>
      <c r="M4089" s="41"/>
      <c r="N4089" s="11"/>
    </row>
    <row r="4090" spans="8:14" x14ac:dyDescent="0.25">
      <c r="H4090" s="37"/>
      <c r="I4090" s="79"/>
      <c r="J4090" s="70"/>
      <c r="K4090" s="57"/>
      <c r="L4090" s="11"/>
      <c r="M4090" s="41"/>
      <c r="N4090" s="11"/>
    </row>
    <row r="4091" spans="8:14" x14ac:dyDescent="0.25">
      <c r="H4091" s="37"/>
      <c r="I4091" s="79"/>
      <c r="J4091" s="70"/>
      <c r="K4091" s="57"/>
      <c r="L4091" s="11"/>
      <c r="M4091" s="41"/>
      <c r="N4091" s="11"/>
    </row>
    <row r="4092" spans="8:14" x14ac:dyDescent="0.25">
      <c r="H4092" s="37"/>
      <c r="I4092" s="79"/>
      <c r="J4092" s="70"/>
      <c r="K4092" s="57"/>
      <c r="L4092" s="11"/>
      <c r="M4092" s="41"/>
      <c r="N4092" s="11"/>
    </row>
    <row r="4093" spans="8:14" x14ac:dyDescent="0.25">
      <c r="H4093" s="37"/>
      <c r="I4093" s="79"/>
      <c r="J4093" s="70"/>
      <c r="K4093" s="57"/>
      <c r="L4093" s="11"/>
      <c r="M4093" s="41"/>
      <c r="N4093" s="11"/>
    </row>
    <row r="4094" spans="8:14" x14ac:dyDescent="0.25">
      <c r="H4094" s="37"/>
      <c r="I4094" s="79"/>
      <c r="J4094" s="70"/>
      <c r="K4094" s="57"/>
      <c r="L4094" s="11"/>
      <c r="M4094" s="41"/>
      <c r="N4094" s="11"/>
    </row>
    <row r="4095" spans="8:14" x14ac:dyDescent="0.25">
      <c r="H4095" s="37"/>
      <c r="I4095" s="79"/>
      <c r="J4095" s="70"/>
      <c r="K4095" s="57"/>
      <c r="L4095" s="11"/>
      <c r="M4095" s="41"/>
      <c r="N4095" s="11"/>
    </row>
    <row r="4096" spans="8:14" x14ac:dyDescent="0.25">
      <c r="H4096" s="37"/>
      <c r="I4096" s="79"/>
      <c r="J4096" s="70"/>
      <c r="K4096" s="57"/>
      <c r="L4096" s="11"/>
      <c r="M4096" s="41"/>
      <c r="N4096" s="11"/>
    </row>
    <row r="4097" spans="8:14" x14ac:dyDescent="0.25">
      <c r="H4097" s="37"/>
      <c r="I4097" s="79"/>
      <c r="J4097" s="70"/>
      <c r="K4097" s="57"/>
      <c r="L4097" s="11"/>
      <c r="M4097" s="41"/>
      <c r="N4097" s="11"/>
    </row>
    <row r="4098" spans="8:14" x14ac:dyDescent="0.25">
      <c r="H4098" s="37"/>
      <c r="I4098" s="79"/>
      <c r="J4098" s="70"/>
      <c r="K4098" s="57"/>
      <c r="L4098" s="11"/>
      <c r="M4098" s="41"/>
      <c r="N4098" s="11"/>
    </row>
    <row r="4099" spans="8:14" x14ac:dyDescent="0.25">
      <c r="H4099" s="37"/>
      <c r="I4099" s="79"/>
      <c r="J4099" s="70"/>
      <c r="K4099" s="57"/>
      <c r="L4099" s="11"/>
      <c r="M4099" s="41"/>
      <c r="N4099" s="11"/>
    </row>
    <row r="4100" spans="8:14" x14ac:dyDescent="0.25">
      <c r="H4100" s="37"/>
      <c r="I4100" s="79"/>
      <c r="J4100" s="70"/>
      <c r="K4100" s="57"/>
      <c r="L4100" s="11"/>
      <c r="M4100" s="41"/>
      <c r="N4100" s="11"/>
    </row>
    <row r="4101" spans="8:14" x14ac:dyDescent="0.25">
      <c r="H4101" s="37"/>
      <c r="I4101" s="79"/>
      <c r="J4101" s="70"/>
      <c r="K4101" s="57"/>
      <c r="L4101" s="11"/>
      <c r="M4101" s="41"/>
      <c r="N4101" s="11"/>
    </row>
    <row r="4102" spans="8:14" x14ac:dyDescent="0.25">
      <c r="H4102" s="37"/>
      <c r="I4102" s="79"/>
      <c r="J4102" s="70"/>
      <c r="K4102" s="57"/>
      <c r="L4102" s="11"/>
      <c r="M4102" s="41"/>
      <c r="N4102" s="11"/>
    </row>
    <row r="4103" spans="8:14" x14ac:dyDescent="0.25">
      <c r="H4103" s="37"/>
      <c r="I4103" s="79"/>
      <c r="J4103" s="70"/>
      <c r="K4103" s="57"/>
      <c r="L4103" s="11"/>
      <c r="M4103" s="41"/>
      <c r="N4103" s="11"/>
    </row>
    <row r="4104" spans="8:14" x14ac:dyDescent="0.25">
      <c r="H4104" s="37"/>
      <c r="I4104" s="79"/>
      <c r="J4104" s="70"/>
      <c r="K4104" s="57"/>
      <c r="L4104" s="11"/>
      <c r="M4104" s="41"/>
      <c r="N4104" s="11"/>
    </row>
    <row r="4105" spans="8:14" x14ac:dyDescent="0.25">
      <c r="H4105" s="37"/>
      <c r="I4105" s="79"/>
      <c r="J4105" s="70"/>
      <c r="K4105" s="57"/>
      <c r="L4105" s="11"/>
      <c r="M4105" s="41"/>
      <c r="N4105" s="11"/>
    </row>
    <row r="4106" spans="8:14" x14ac:dyDescent="0.25">
      <c r="H4106" s="37"/>
      <c r="I4106" s="79"/>
      <c r="J4106" s="70"/>
      <c r="K4106" s="57"/>
      <c r="L4106" s="11"/>
      <c r="M4106" s="41"/>
      <c r="N4106" s="11"/>
    </row>
    <row r="4107" spans="8:14" x14ac:dyDescent="0.25">
      <c r="H4107" s="37"/>
      <c r="I4107" s="79"/>
      <c r="J4107" s="70"/>
      <c r="K4107" s="57"/>
      <c r="L4107" s="11"/>
      <c r="M4107" s="41"/>
      <c r="N4107" s="11"/>
    </row>
    <row r="4108" spans="8:14" x14ac:dyDescent="0.25">
      <c r="H4108" s="37"/>
      <c r="I4108" s="79"/>
      <c r="J4108" s="70"/>
      <c r="K4108" s="57"/>
      <c r="L4108" s="11"/>
      <c r="M4108" s="41"/>
      <c r="N4108" s="11"/>
    </row>
    <row r="4109" spans="8:14" x14ac:dyDescent="0.25">
      <c r="H4109" s="37"/>
      <c r="I4109" s="79"/>
      <c r="J4109" s="70"/>
      <c r="K4109" s="57"/>
      <c r="L4109" s="11"/>
      <c r="M4109" s="41"/>
      <c r="N4109" s="11"/>
    </row>
    <row r="4110" spans="8:14" x14ac:dyDescent="0.25">
      <c r="H4110" s="37"/>
      <c r="I4110" s="79"/>
      <c r="J4110" s="70"/>
      <c r="K4110" s="57"/>
      <c r="L4110" s="11"/>
      <c r="M4110" s="41"/>
      <c r="N4110" s="11"/>
    </row>
    <row r="4111" spans="8:14" x14ac:dyDescent="0.25">
      <c r="H4111" s="37"/>
      <c r="I4111" s="79"/>
      <c r="J4111" s="70"/>
      <c r="K4111" s="57"/>
      <c r="L4111" s="11"/>
      <c r="M4111" s="41"/>
      <c r="N4111" s="11"/>
    </row>
    <row r="4112" spans="8:14" x14ac:dyDescent="0.25">
      <c r="H4112" s="37"/>
      <c r="I4112" s="79"/>
      <c r="J4112" s="70"/>
      <c r="K4112" s="57"/>
      <c r="L4112" s="11"/>
      <c r="M4112" s="41"/>
      <c r="N4112" s="11"/>
    </row>
    <row r="4113" spans="8:14" x14ac:dyDescent="0.25">
      <c r="H4113" s="37"/>
      <c r="I4113" s="79"/>
      <c r="J4113" s="70"/>
      <c r="K4113" s="57"/>
      <c r="L4113" s="11"/>
      <c r="M4113" s="41"/>
      <c r="N4113" s="11"/>
    </row>
    <row r="4114" spans="8:14" x14ac:dyDescent="0.25">
      <c r="H4114" s="37"/>
      <c r="I4114" s="79"/>
      <c r="J4114" s="70"/>
      <c r="K4114" s="57"/>
      <c r="L4114" s="11"/>
      <c r="M4114" s="41"/>
      <c r="N4114" s="11"/>
    </row>
    <row r="4115" spans="8:14" x14ac:dyDescent="0.25">
      <c r="H4115" s="37"/>
      <c r="I4115" s="79"/>
      <c r="J4115" s="70"/>
      <c r="K4115" s="57"/>
      <c r="L4115" s="11"/>
      <c r="M4115" s="41"/>
      <c r="N4115" s="11"/>
    </row>
    <row r="4116" spans="8:14" x14ac:dyDescent="0.25">
      <c r="H4116" s="37"/>
      <c r="I4116" s="79"/>
      <c r="J4116" s="70"/>
      <c r="K4116" s="57"/>
      <c r="L4116" s="11"/>
      <c r="M4116" s="41"/>
      <c r="N4116" s="11"/>
    </row>
    <row r="4117" spans="8:14" x14ac:dyDescent="0.25">
      <c r="H4117" s="37"/>
      <c r="I4117" s="79"/>
      <c r="J4117" s="70"/>
      <c r="K4117" s="57"/>
      <c r="L4117" s="11"/>
      <c r="M4117" s="41"/>
      <c r="N4117" s="11"/>
    </row>
    <row r="4118" spans="8:14" x14ac:dyDescent="0.25">
      <c r="H4118" s="37"/>
      <c r="I4118" s="79"/>
      <c r="J4118" s="70"/>
      <c r="K4118" s="57"/>
      <c r="L4118" s="11"/>
      <c r="M4118" s="41"/>
      <c r="N4118" s="11"/>
    </row>
    <row r="4119" spans="8:14" x14ac:dyDescent="0.25">
      <c r="H4119" s="37"/>
      <c r="I4119" s="79"/>
      <c r="J4119" s="70"/>
      <c r="K4119" s="57"/>
      <c r="L4119" s="11"/>
      <c r="M4119" s="41"/>
      <c r="N4119" s="11"/>
    </row>
    <row r="4120" spans="8:14" x14ac:dyDescent="0.25">
      <c r="H4120" s="37"/>
      <c r="I4120" s="79"/>
      <c r="J4120" s="70"/>
      <c r="K4120" s="57"/>
      <c r="L4120" s="11"/>
      <c r="M4120" s="41"/>
      <c r="N4120" s="11"/>
    </row>
    <row r="4121" spans="8:14" x14ac:dyDescent="0.25">
      <c r="H4121" s="37"/>
      <c r="I4121" s="79"/>
      <c r="J4121" s="70"/>
      <c r="K4121" s="57"/>
      <c r="L4121" s="11"/>
      <c r="M4121" s="41"/>
      <c r="N4121" s="11"/>
    </row>
    <row r="4122" spans="8:14" x14ac:dyDescent="0.25">
      <c r="H4122" s="37"/>
      <c r="I4122" s="79"/>
      <c r="J4122" s="70"/>
      <c r="K4122" s="57"/>
      <c r="L4122" s="11"/>
      <c r="M4122" s="41"/>
      <c r="N4122" s="11"/>
    </row>
    <row r="4123" spans="8:14" x14ac:dyDescent="0.25">
      <c r="H4123" s="37"/>
      <c r="I4123" s="79"/>
      <c r="J4123" s="70"/>
      <c r="K4123" s="57"/>
      <c r="L4123" s="11"/>
      <c r="M4123" s="41"/>
      <c r="N4123" s="11"/>
    </row>
    <row r="4124" spans="8:14" x14ac:dyDescent="0.25">
      <c r="H4124" s="37"/>
      <c r="I4124" s="79"/>
      <c r="J4124" s="70"/>
      <c r="K4124" s="57"/>
      <c r="L4124" s="11"/>
      <c r="M4124" s="41"/>
      <c r="N4124" s="11"/>
    </row>
    <row r="4125" spans="8:14" x14ac:dyDescent="0.25">
      <c r="H4125" s="37"/>
      <c r="I4125" s="79"/>
      <c r="J4125" s="70"/>
      <c r="K4125" s="57"/>
      <c r="L4125" s="11"/>
      <c r="M4125" s="41"/>
      <c r="N4125" s="11"/>
    </row>
    <row r="4126" spans="8:14" x14ac:dyDescent="0.25">
      <c r="H4126" s="37"/>
      <c r="I4126" s="79"/>
      <c r="J4126" s="70"/>
      <c r="K4126" s="57"/>
      <c r="L4126" s="11"/>
      <c r="M4126" s="41"/>
      <c r="N4126" s="11"/>
    </row>
    <row r="4127" spans="8:14" x14ac:dyDescent="0.25">
      <c r="H4127" s="37"/>
      <c r="I4127" s="79"/>
      <c r="J4127" s="70"/>
      <c r="K4127" s="57"/>
      <c r="L4127" s="11"/>
      <c r="M4127" s="41"/>
      <c r="N4127" s="11"/>
    </row>
    <row r="4128" spans="8:14" x14ac:dyDescent="0.25">
      <c r="H4128" s="37"/>
      <c r="I4128" s="79"/>
      <c r="J4128" s="70"/>
      <c r="K4128" s="57"/>
      <c r="L4128" s="11"/>
      <c r="M4128" s="41"/>
      <c r="N4128" s="11"/>
    </row>
    <row r="4129" spans="8:14" x14ac:dyDescent="0.25">
      <c r="H4129" s="37"/>
      <c r="I4129" s="79"/>
      <c r="J4129" s="70"/>
      <c r="K4129" s="57"/>
      <c r="L4129" s="11"/>
      <c r="M4129" s="41"/>
      <c r="N4129" s="11"/>
    </row>
    <row r="4130" spans="8:14" x14ac:dyDescent="0.25">
      <c r="H4130" s="37"/>
      <c r="I4130" s="79"/>
      <c r="J4130" s="70"/>
      <c r="K4130" s="57"/>
      <c r="L4130" s="11"/>
      <c r="M4130" s="41"/>
      <c r="N4130" s="11"/>
    </row>
    <row r="4131" spans="8:14" x14ac:dyDescent="0.25">
      <c r="H4131" s="37"/>
      <c r="I4131" s="79"/>
      <c r="J4131" s="70"/>
      <c r="K4131" s="57"/>
      <c r="L4131" s="11"/>
      <c r="M4131" s="41"/>
      <c r="N4131" s="11"/>
    </row>
    <row r="4132" spans="8:14" x14ac:dyDescent="0.25">
      <c r="H4132" s="37"/>
      <c r="I4132" s="79"/>
      <c r="J4132" s="70"/>
      <c r="K4132" s="57"/>
      <c r="L4132" s="11"/>
      <c r="M4132" s="41"/>
      <c r="N4132" s="11"/>
    </row>
    <row r="4133" spans="8:14" x14ac:dyDescent="0.25">
      <c r="H4133" s="37"/>
      <c r="I4133" s="79"/>
      <c r="J4133" s="70"/>
      <c r="K4133" s="57"/>
      <c r="L4133" s="11"/>
      <c r="M4133" s="41"/>
      <c r="N4133" s="11"/>
    </row>
    <row r="4134" spans="8:14" x14ac:dyDescent="0.25">
      <c r="H4134" s="37"/>
      <c r="I4134" s="79"/>
      <c r="J4134" s="70"/>
      <c r="K4134" s="57"/>
      <c r="L4134" s="11"/>
      <c r="M4134" s="41"/>
      <c r="N4134" s="11"/>
    </row>
    <row r="4135" spans="8:14" x14ac:dyDescent="0.25">
      <c r="H4135" s="37"/>
      <c r="I4135" s="79"/>
      <c r="J4135" s="70"/>
      <c r="K4135" s="57"/>
      <c r="L4135" s="11"/>
      <c r="M4135" s="41"/>
      <c r="N4135" s="11"/>
    </row>
    <row r="4136" spans="8:14" x14ac:dyDescent="0.25">
      <c r="H4136" s="37"/>
      <c r="I4136" s="79"/>
      <c r="J4136" s="70"/>
      <c r="K4136" s="57"/>
      <c r="L4136" s="11"/>
      <c r="M4136" s="41"/>
      <c r="N4136" s="11"/>
    </row>
    <row r="4137" spans="8:14" x14ac:dyDescent="0.25">
      <c r="H4137" s="37"/>
      <c r="I4137" s="79"/>
      <c r="J4137" s="70"/>
      <c r="K4137" s="57"/>
      <c r="L4137" s="11"/>
      <c r="M4137" s="41"/>
      <c r="N4137" s="11"/>
    </row>
    <row r="4138" spans="8:14" x14ac:dyDescent="0.25">
      <c r="H4138" s="37"/>
      <c r="I4138" s="79"/>
      <c r="J4138" s="70"/>
      <c r="K4138" s="57"/>
      <c r="L4138" s="11"/>
      <c r="M4138" s="41"/>
      <c r="N4138" s="11"/>
    </row>
    <row r="4139" spans="8:14" x14ac:dyDescent="0.25">
      <c r="H4139" s="37"/>
      <c r="I4139" s="79"/>
      <c r="J4139" s="70"/>
      <c r="K4139" s="57"/>
      <c r="L4139" s="11"/>
      <c r="M4139" s="41"/>
      <c r="N4139" s="11"/>
    </row>
    <row r="4140" spans="8:14" x14ac:dyDescent="0.25">
      <c r="H4140" s="37"/>
      <c r="I4140" s="79"/>
      <c r="J4140" s="70"/>
      <c r="K4140" s="57"/>
      <c r="L4140" s="11"/>
      <c r="M4140" s="41"/>
      <c r="N4140" s="11"/>
    </row>
    <row r="4141" spans="8:14" x14ac:dyDescent="0.25">
      <c r="H4141" s="37"/>
      <c r="I4141" s="79"/>
      <c r="J4141" s="70"/>
      <c r="K4141" s="57"/>
      <c r="L4141" s="11"/>
      <c r="M4141" s="41"/>
      <c r="N4141" s="11"/>
    </row>
    <row r="4142" spans="8:14" x14ac:dyDescent="0.25">
      <c r="H4142" s="37"/>
      <c r="I4142" s="79"/>
      <c r="J4142" s="70"/>
      <c r="K4142" s="57"/>
      <c r="L4142" s="11"/>
      <c r="M4142" s="41"/>
      <c r="N4142" s="11"/>
    </row>
    <row r="4143" spans="8:14" x14ac:dyDescent="0.25">
      <c r="H4143" s="37"/>
      <c r="I4143" s="79"/>
      <c r="J4143" s="70"/>
      <c r="K4143" s="57"/>
      <c r="L4143" s="11"/>
      <c r="M4143" s="41"/>
      <c r="N4143" s="11"/>
    </row>
    <row r="4144" spans="8:14" x14ac:dyDescent="0.25">
      <c r="H4144" s="37"/>
      <c r="I4144" s="79"/>
      <c r="J4144" s="70"/>
      <c r="K4144" s="57"/>
      <c r="L4144" s="11"/>
      <c r="M4144" s="41"/>
      <c r="N4144" s="11"/>
    </row>
    <row r="4145" spans="8:14" x14ac:dyDescent="0.25">
      <c r="H4145" s="37"/>
      <c r="I4145" s="79"/>
      <c r="J4145" s="70"/>
      <c r="K4145" s="57"/>
      <c r="L4145" s="11"/>
      <c r="M4145" s="41"/>
      <c r="N4145" s="11"/>
    </row>
    <row r="4146" spans="8:14" x14ac:dyDescent="0.25">
      <c r="H4146" s="37"/>
      <c r="I4146" s="79"/>
      <c r="J4146" s="70"/>
      <c r="K4146" s="57"/>
      <c r="L4146" s="11"/>
      <c r="M4146" s="41"/>
      <c r="N4146" s="11"/>
    </row>
    <row r="4147" spans="8:14" x14ac:dyDescent="0.25">
      <c r="H4147" s="37"/>
      <c r="I4147" s="79"/>
      <c r="J4147" s="70"/>
      <c r="K4147" s="57"/>
      <c r="L4147" s="11"/>
      <c r="M4147" s="41"/>
      <c r="N4147" s="11"/>
    </row>
    <row r="4148" spans="8:14" x14ac:dyDescent="0.25">
      <c r="H4148" s="37"/>
      <c r="I4148" s="79"/>
      <c r="J4148" s="70"/>
      <c r="K4148" s="57"/>
      <c r="L4148" s="11"/>
      <c r="M4148" s="41"/>
      <c r="N4148" s="11"/>
    </row>
    <row r="4149" spans="8:14" x14ac:dyDescent="0.25">
      <c r="H4149" s="37"/>
      <c r="I4149" s="79"/>
      <c r="J4149" s="70"/>
      <c r="K4149" s="57"/>
      <c r="L4149" s="11"/>
      <c r="M4149" s="41"/>
      <c r="N4149" s="11"/>
    </row>
    <row r="4150" spans="8:14" x14ac:dyDescent="0.25">
      <c r="H4150" s="37"/>
      <c r="I4150" s="79"/>
      <c r="J4150" s="70"/>
      <c r="K4150" s="57"/>
      <c r="L4150" s="11"/>
      <c r="M4150" s="41"/>
      <c r="N4150" s="11"/>
    </row>
    <row r="4151" spans="8:14" x14ac:dyDescent="0.25">
      <c r="H4151" s="37"/>
      <c r="I4151" s="79"/>
      <c r="J4151" s="70"/>
      <c r="K4151" s="57"/>
      <c r="L4151" s="11"/>
      <c r="M4151" s="41"/>
      <c r="N4151" s="11"/>
    </row>
    <row r="4152" spans="8:14" x14ac:dyDescent="0.25">
      <c r="H4152" s="37"/>
      <c r="I4152" s="79"/>
      <c r="J4152" s="70"/>
      <c r="K4152" s="57"/>
      <c r="L4152" s="11"/>
      <c r="M4152" s="41"/>
      <c r="N4152" s="11"/>
    </row>
    <row r="4153" spans="8:14" x14ac:dyDescent="0.25">
      <c r="H4153" s="37"/>
      <c r="I4153" s="79"/>
      <c r="J4153" s="70"/>
      <c r="K4153" s="57"/>
      <c r="L4153" s="11"/>
      <c r="M4153" s="41"/>
      <c r="N4153" s="11"/>
    </row>
    <row r="4154" spans="8:14" x14ac:dyDescent="0.25">
      <c r="H4154" s="37"/>
      <c r="I4154" s="79"/>
      <c r="J4154" s="70"/>
      <c r="K4154" s="57"/>
      <c r="L4154" s="11"/>
      <c r="M4154" s="41"/>
      <c r="N4154" s="11"/>
    </row>
    <row r="4155" spans="8:14" x14ac:dyDescent="0.25">
      <c r="H4155" s="37"/>
      <c r="I4155" s="79"/>
      <c r="J4155" s="70"/>
      <c r="K4155" s="57"/>
      <c r="L4155" s="11"/>
      <c r="M4155" s="41"/>
      <c r="N4155" s="11"/>
    </row>
    <row r="4156" spans="8:14" x14ac:dyDescent="0.25">
      <c r="H4156" s="37"/>
      <c r="I4156" s="79"/>
      <c r="J4156" s="70"/>
      <c r="K4156" s="57"/>
      <c r="L4156" s="11"/>
      <c r="M4156" s="41"/>
      <c r="N4156" s="11"/>
    </row>
    <row r="4157" spans="8:14" x14ac:dyDescent="0.25">
      <c r="H4157" s="37"/>
      <c r="I4157" s="79"/>
      <c r="J4157" s="70"/>
      <c r="K4157" s="57"/>
      <c r="L4157" s="11"/>
      <c r="M4157" s="41"/>
      <c r="N4157" s="11"/>
    </row>
    <row r="4158" spans="8:14" x14ac:dyDescent="0.25">
      <c r="H4158" s="37"/>
      <c r="I4158" s="79"/>
      <c r="J4158" s="70"/>
      <c r="K4158" s="57"/>
      <c r="L4158" s="11"/>
      <c r="M4158" s="41"/>
      <c r="N4158" s="11"/>
    </row>
    <row r="4159" spans="8:14" x14ac:dyDescent="0.25">
      <c r="H4159" s="37"/>
      <c r="I4159" s="79"/>
      <c r="J4159" s="70"/>
      <c r="K4159" s="57"/>
      <c r="L4159" s="11"/>
      <c r="M4159" s="41"/>
      <c r="N4159" s="11"/>
    </row>
    <row r="4160" spans="8:14" x14ac:dyDescent="0.25">
      <c r="H4160" s="37"/>
      <c r="I4160" s="79"/>
      <c r="J4160" s="70"/>
      <c r="K4160" s="57"/>
      <c r="L4160" s="11"/>
      <c r="M4160" s="41"/>
      <c r="N4160" s="11"/>
    </row>
    <row r="4161" spans="8:14" x14ac:dyDescent="0.25">
      <c r="H4161" s="37"/>
      <c r="I4161" s="79"/>
      <c r="J4161" s="70"/>
      <c r="K4161" s="57"/>
      <c r="L4161" s="11"/>
      <c r="M4161" s="41"/>
      <c r="N4161" s="11"/>
    </row>
    <row r="4162" spans="8:14" x14ac:dyDescent="0.25">
      <c r="H4162" s="37"/>
      <c r="I4162" s="79"/>
      <c r="J4162" s="70"/>
      <c r="K4162" s="57"/>
      <c r="L4162" s="11"/>
      <c r="M4162" s="41"/>
      <c r="N4162" s="11"/>
    </row>
    <row r="4163" spans="8:14" x14ac:dyDescent="0.25">
      <c r="H4163" s="37"/>
      <c r="I4163" s="79"/>
      <c r="J4163" s="70"/>
      <c r="K4163" s="57"/>
      <c r="L4163" s="11"/>
      <c r="M4163" s="41"/>
      <c r="N4163" s="11"/>
    </row>
    <row r="4164" spans="8:14" x14ac:dyDescent="0.25">
      <c r="H4164" s="37"/>
      <c r="I4164" s="79"/>
      <c r="J4164" s="70"/>
      <c r="K4164" s="57"/>
      <c r="L4164" s="11"/>
      <c r="M4164" s="41"/>
      <c r="N4164" s="11"/>
    </row>
    <row r="4165" spans="8:14" x14ac:dyDescent="0.25">
      <c r="H4165" s="37"/>
      <c r="I4165" s="79"/>
      <c r="J4165" s="70"/>
      <c r="K4165" s="57"/>
      <c r="L4165" s="11"/>
      <c r="M4165" s="41"/>
      <c r="N4165" s="11"/>
    </row>
    <row r="4166" spans="8:14" x14ac:dyDescent="0.25">
      <c r="H4166" s="37"/>
      <c r="I4166" s="79"/>
      <c r="J4166" s="70"/>
      <c r="K4166" s="57"/>
      <c r="L4166" s="11"/>
      <c r="M4166" s="41"/>
      <c r="N4166" s="11"/>
    </row>
    <row r="4167" spans="8:14" x14ac:dyDescent="0.25">
      <c r="H4167" s="37"/>
      <c r="I4167" s="79"/>
      <c r="J4167" s="70"/>
      <c r="K4167" s="57"/>
      <c r="L4167" s="11"/>
      <c r="M4167" s="41"/>
      <c r="N4167" s="11"/>
    </row>
    <row r="4168" spans="8:14" x14ac:dyDescent="0.25">
      <c r="H4168" s="37"/>
      <c r="I4168" s="79"/>
      <c r="J4168" s="70"/>
      <c r="K4168" s="57"/>
      <c r="L4168" s="11"/>
      <c r="M4168" s="41"/>
      <c r="N4168" s="11"/>
    </row>
    <row r="4169" spans="8:14" x14ac:dyDescent="0.25">
      <c r="H4169" s="37"/>
      <c r="I4169" s="79"/>
      <c r="J4169" s="70"/>
      <c r="K4169" s="57"/>
      <c r="L4169" s="11"/>
      <c r="M4169" s="41"/>
      <c r="N4169" s="11"/>
    </row>
    <row r="4170" spans="8:14" x14ac:dyDescent="0.25">
      <c r="H4170" s="37"/>
      <c r="I4170" s="79"/>
      <c r="J4170" s="70"/>
      <c r="K4170" s="57"/>
      <c r="L4170" s="11"/>
      <c r="M4170" s="41"/>
      <c r="N4170" s="11"/>
    </row>
    <row r="4171" spans="8:14" x14ac:dyDescent="0.25">
      <c r="H4171" s="37"/>
      <c r="I4171" s="79"/>
      <c r="J4171" s="70"/>
      <c r="K4171" s="57"/>
      <c r="L4171" s="11"/>
      <c r="M4171" s="41"/>
      <c r="N4171" s="11"/>
    </row>
    <row r="4172" spans="8:14" x14ac:dyDescent="0.25">
      <c r="H4172" s="37"/>
      <c r="I4172" s="79"/>
      <c r="J4172" s="70"/>
      <c r="K4172" s="57"/>
      <c r="L4172" s="11"/>
      <c r="M4172" s="41"/>
      <c r="N4172" s="11"/>
    </row>
    <row r="4173" spans="8:14" x14ac:dyDescent="0.25">
      <c r="H4173" s="37"/>
      <c r="I4173" s="79"/>
      <c r="J4173" s="70"/>
      <c r="K4173" s="57"/>
      <c r="L4173" s="11"/>
      <c r="M4173" s="41"/>
      <c r="N4173" s="11"/>
    </row>
    <row r="4174" spans="8:14" x14ac:dyDescent="0.25">
      <c r="H4174" s="37"/>
      <c r="I4174" s="79"/>
      <c r="J4174" s="70"/>
      <c r="K4174" s="57"/>
      <c r="L4174" s="11"/>
      <c r="M4174" s="41"/>
      <c r="N4174" s="11"/>
    </row>
    <row r="4175" spans="8:14" x14ac:dyDescent="0.25">
      <c r="H4175" s="37"/>
      <c r="I4175" s="79"/>
      <c r="J4175" s="70"/>
      <c r="K4175" s="57"/>
      <c r="L4175" s="11"/>
      <c r="M4175" s="41"/>
      <c r="N4175" s="11"/>
    </row>
    <row r="4176" spans="8:14" x14ac:dyDescent="0.25">
      <c r="H4176" s="37"/>
      <c r="I4176" s="79"/>
      <c r="J4176" s="70"/>
      <c r="K4176" s="57"/>
      <c r="L4176" s="11"/>
      <c r="M4176" s="41"/>
      <c r="N4176" s="11"/>
    </row>
    <row r="4177" spans="8:14" x14ac:dyDescent="0.25">
      <c r="H4177" s="37"/>
      <c r="I4177" s="79"/>
      <c r="J4177" s="70"/>
      <c r="K4177" s="57"/>
      <c r="L4177" s="11"/>
      <c r="M4177" s="41"/>
      <c r="N4177" s="11"/>
    </row>
    <row r="4178" spans="8:14" x14ac:dyDescent="0.25">
      <c r="H4178" s="37"/>
      <c r="I4178" s="79"/>
      <c r="J4178" s="70"/>
      <c r="K4178" s="57"/>
      <c r="L4178" s="11"/>
      <c r="M4178" s="41"/>
      <c r="N4178" s="11"/>
    </row>
    <row r="4179" spans="8:14" x14ac:dyDescent="0.25">
      <c r="H4179" s="37"/>
      <c r="I4179" s="79"/>
      <c r="J4179" s="70"/>
      <c r="K4179" s="57"/>
      <c r="L4179" s="11"/>
      <c r="M4179" s="41"/>
      <c r="N4179" s="11"/>
    </row>
    <row r="4180" spans="8:14" x14ac:dyDescent="0.25">
      <c r="H4180" s="37"/>
      <c r="I4180" s="79"/>
      <c r="J4180" s="70"/>
      <c r="K4180" s="57"/>
      <c r="L4180" s="11"/>
      <c r="M4180" s="41"/>
      <c r="N4180" s="11"/>
    </row>
    <row r="4181" spans="8:14" x14ac:dyDescent="0.25">
      <c r="H4181" s="37"/>
      <c r="I4181" s="79"/>
      <c r="J4181" s="70"/>
      <c r="K4181" s="57"/>
      <c r="L4181" s="11"/>
      <c r="M4181" s="41"/>
      <c r="N4181" s="11"/>
    </row>
    <row r="4182" spans="8:14" x14ac:dyDescent="0.25">
      <c r="H4182" s="37"/>
      <c r="I4182" s="79"/>
      <c r="J4182" s="70"/>
      <c r="K4182" s="57"/>
      <c r="L4182" s="11"/>
      <c r="M4182" s="41"/>
      <c r="N4182" s="11"/>
    </row>
    <row r="4183" spans="8:14" x14ac:dyDescent="0.25">
      <c r="H4183" s="37"/>
      <c r="I4183" s="79"/>
      <c r="J4183" s="70"/>
      <c r="K4183" s="57"/>
      <c r="L4183" s="11"/>
      <c r="M4183" s="41"/>
      <c r="N4183" s="11"/>
    </row>
    <row r="4184" spans="8:14" x14ac:dyDescent="0.25">
      <c r="H4184" s="37"/>
      <c r="I4184" s="79"/>
      <c r="J4184" s="70"/>
      <c r="K4184" s="57"/>
      <c r="L4184" s="11"/>
      <c r="M4184" s="41"/>
      <c r="N4184" s="11"/>
    </row>
    <row r="4185" spans="8:14" x14ac:dyDescent="0.25">
      <c r="H4185" s="37"/>
      <c r="I4185" s="79"/>
      <c r="J4185" s="70"/>
      <c r="K4185" s="57"/>
      <c r="L4185" s="11"/>
      <c r="M4185" s="41"/>
      <c r="N4185" s="11"/>
    </row>
    <row r="4186" spans="8:14" x14ac:dyDescent="0.25">
      <c r="H4186" s="37"/>
      <c r="I4186" s="79"/>
      <c r="J4186" s="70"/>
      <c r="K4186" s="57"/>
      <c r="L4186" s="11"/>
      <c r="M4186" s="41"/>
      <c r="N4186" s="11"/>
    </row>
    <row r="4187" spans="8:14" x14ac:dyDescent="0.25">
      <c r="H4187" s="37"/>
      <c r="I4187" s="79"/>
      <c r="J4187" s="70"/>
      <c r="K4187" s="57"/>
      <c r="L4187" s="11"/>
      <c r="M4187" s="41"/>
      <c r="N4187" s="11"/>
    </row>
    <row r="4188" spans="8:14" x14ac:dyDescent="0.25">
      <c r="H4188" s="37"/>
      <c r="I4188" s="79"/>
      <c r="J4188" s="70"/>
      <c r="K4188" s="57"/>
      <c r="L4188" s="11"/>
      <c r="M4188" s="41"/>
      <c r="N4188" s="11"/>
    </row>
    <row r="4189" spans="8:14" x14ac:dyDescent="0.25">
      <c r="H4189" s="37"/>
      <c r="I4189" s="79"/>
      <c r="J4189" s="70"/>
      <c r="K4189" s="57"/>
      <c r="L4189" s="11"/>
      <c r="M4189" s="41"/>
      <c r="N4189" s="11"/>
    </row>
    <row r="4190" spans="8:14" x14ac:dyDescent="0.25">
      <c r="H4190" s="37"/>
      <c r="I4190" s="79"/>
      <c r="J4190" s="70"/>
      <c r="K4190" s="57"/>
      <c r="L4190" s="11"/>
      <c r="M4190" s="41"/>
      <c r="N4190" s="11"/>
    </row>
    <row r="4191" spans="8:14" x14ac:dyDescent="0.25">
      <c r="H4191" s="37"/>
      <c r="I4191" s="79"/>
      <c r="J4191" s="70"/>
      <c r="K4191" s="57"/>
      <c r="L4191" s="11"/>
      <c r="M4191" s="41"/>
      <c r="N4191" s="11"/>
    </row>
    <row r="4192" spans="8:14" x14ac:dyDescent="0.25">
      <c r="H4192" s="37"/>
      <c r="I4192" s="79"/>
      <c r="J4192" s="70"/>
      <c r="K4192" s="57"/>
      <c r="L4192" s="11"/>
      <c r="M4192" s="41"/>
      <c r="N4192" s="11"/>
    </row>
    <row r="4193" spans="8:14" x14ac:dyDescent="0.25">
      <c r="H4193" s="37"/>
      <c r="I4193" s="79"/>
      <c r="J4193" s="70"/>
      <c r="K4193" s="57"/>
      <c r="L4193" s="11"/>
      <c r="M4193" s="41"/>
      <c r="N4193" s="11"/>
    </row>
    <row r="4194" spans="8:14" x14ac:dyDescent="0.25">
      <c r="H4194" s="37"/>
      <c r="I4194" s="79"/>
      <c r="J4194" s="70"/>
      <c r="K4194" s="57"/>
      <c r="L4194" s="11"/>
      <c r="M4194" s="41"/>
      <c r="N4194" s="11"/>
    </row>
    <row r="4195" spans="8:14" x14ac:dyDescent="0.25">
      <c r="H4195" s="37"/>
      <c r="I4195" s="79"/>
      <c r="J4195" s="70"/>
      <c r="K4195" s="57"/>
      <c r="L4195" s="11"/>
      <c r="M4195" s="41"/>
      <c r="N4195" s="11"/>
    </row>
    <row r="4196" spans="8:14" x14ac:dyDescent="0.25">
      <c r="H4196" s="37"/>
      <c r="I4196" s="79"/>
      <c r="J4196" s="70"/>
      <c r="K4196" s="57"/>
      <c r="L4196" s="11"/>
      <c r="M4196" s="41"/>
      <c r="N4196" s="11"/>
    </row>
    <row r="4197" spans="8:14" x14ac:dyDescent="0.25">
      <c r="H4197" s="37"/>
      <c r="I4197" s="79"/>
      <c r="J4197" s="70"/>
      <c r="K4197" s="57"/>
      <c r="L4197" s="11"/>
      <c r="M4197" s="41"/>
      <c r="N4197" s="11"/>
    </row>
    <row r="4198" spans="8:14" x14ac:dyDescent="0.25">
      <c r="H4198" s="37"/>
      <c r="I4198" s="79"/>
      <c r="J4198" s="70"/>
      <c r="K4198" s="57"/>
      <c r="L4198" s="11"/>
      <c r="M4198" s="41"/>
      <c r="N4198" s="11"/>
    </row>
    <row r="4199" spans="8:14" x14ac:dyDescent="0.25">
      <c r="H4199" s="37"/>
      <c r="I4199" s="79"/>
      <c r="J4199" s="70"/>
      <c r="K4199" s="57"/>
      <c r="L4199" s="11"/>
      <c r="M4199" s="41"/>
      <c r="N4199" s="11"/>
    </row>
    <row r="4200" spans="8:14" x14ac:dyDescent="0.25">
      <c r="H4200" s="37"/>
      <c r="I4200" s="79"/>
      <c r="J4200" s="70"/>
      <c r="K4200" s="57"/>
      <c r="L4200" s="11"/>
      <c r="M4200" s="41"/>
      <c r="N4200" s="11"/>
    </row>
    <row r="4201" spans="8:14" x14ac:dyDescent="0.25">
      <c r="H4201" s="37"/>
      <c r="I4201" s="79"/>
      <c r="J4201" s="70"/>
      <c r="K4201" s="57"/>
      <c r="L4201" s="11"/>
      <c r="M4201" s="41"/>
      <c r="N4201" s="11"/>
    </row>
    <row r="4202" spans="8:14" x14ac:dyDescent="0.25">
      <c r="H4202" s="37"/>
      <c r="I4202" s="79"/>
      <c r="J4202" s="70"/>
      <c r="K4202" s="57"/>
      <c r="L4202" s="11"/>
      <c r="M4202" s="41"/>
      <c r="N4202" s="11"/>
    </row>
    <row r="4203" spans="8:14" x14ac:dyDescent="0.25">
      <c r="H4203" s="37"/>
      <c r="I4203" s="79"/>
      <c r="J4203" s="70"/>
      <c r="K4203" s="57"/>
      <c r="L4203" s="11"/>
      <c r="M4203" s="41"/>
      <c r="N4203" s="11"/>
    </row>
    <row r="4204" spans="8:14" x14ac:dyDescent="0.25">
      <c r="H4204" s="37"/>
      <c r="I4204" s="79"/>
      <c r="J4204" s="70"/>
      <c r="K4204" s="57"/>
      <c r="L4204" s="11"/>
      <c r="M4204" s="41"/>
      <c r="N4204" s="11"/>
    </row>
    <row r="4205" spans="8:14" x14ac:dyDescent="0.25">
      <c r="H4205" s="37"/>
      <c r="I4205" s="79"/>
      <c r="J4205" s="70"/>
      <c r="K4205" s="57"/>
      <c r="L4205" s="11"/>
      <c r="M4205" s="41"/>
      <c r="N4205" s="11"/>
    </row>
    <row r="4206" spans="8:14" x14ac:dyDescent="0.25">
      <c r="H4206" s="37"/>
      <c r="I4206" s="79"/>
      <c r="J4206" s="70"/>
      <c r="K4206" s="57"/>
      <c r="L4206" s="11"/>
      <c r="M4206" s="41"/>
      <c r="N4206" s="11"/>
    </row>
    <row r="4207" spans="8:14" x14ac:dyDescent="0.25">
      <c r="H4207" s="37"/>
      <c r="I4207" s="79"/>
      <c r="J4207" s="70"/>
      <c r="K4207" s="57"/>
      <c r="L4207" s="11"/>
      <c r="M4207" s="41"/>
      <c r="N4207" s="11"/>
    </row>
    <row r="4208" spans="8:14" x14ac:dyDescent="0.25">
      <c r="H4208" s="37"/>
      <c r="I4208" s="79"/>
      <c r="J4208" s="70"/>
      <c r="K4208" s="57"/>
      <c r="L4208" s="11"/>
      <c r="M4208" s="41"/>
      <c r="N4208" s="11"/>
    </row>
    <row r="4209" spans="8:14" x14ac:dyDescent="0.25">
      <c r="H4209" s="37"/>
      <c r="I4209" s="79"/>
      <c r="J4209" s="70"/>
      <c r="K4209" s="57"/>
      <c r="L4209" s="11"/>
      <c r="M4209" s="41"/>
      <c r="N4209" s="11"/>
    </row>
    <row r="4210" spans="8:14" x14ac:dyDescent="0.25">
      <c r="H4210" s="37"/>
      <c r="I4210" s="79"/>
      <c r="J4210" s="70"/>
      <c r="K4210" s="57"/>
      <c r="L4210" s="11"/>
      <c r="M4210" s="41"/>
      <c r="N4210" s="11"/>
    </row>
    <row r="4211" spans="8:14" x14ac:dyDescent="0.25">
      <c r="H4211" s="37"/>
      <c r="I4211" s="79"/>
      <c r="J4211" s="70"/>
      <c r="K4211" s="57"/>
      <c r="L4211" s="11"/>
      <c r="M4211" s="41"/>
      <c r="N4211" s="11"/>
    </row>
    <row r="4212" spans="8:14" x14ac:dyDescent="0.25">
      <c r="H4212" s="37"/>
      <c r="I4212" s="79"/>
      <c r="J4212" s="70"/>
      <c r="K4212" s="57"/>
      <c r="L4212" s="11"/>
      <c r="M4212" s="41"/>
      <c r="N4212" s="11"/>
    </row>
    <row r="4213" spans="8:14" x14ac:dyDescent="0.25">
      <c r="H4213" s="37"/>
      <c r="I4213" s="79"/>
      <c r="J4213" s="70"/>
      <c r="K4213" s="57"/>
      <c r="L4213" s="11"/>
      <c r="M4213" s="41"/>
      <c r="N4213" s="11"/>
    </row>
    <row r="4214" spans="8:14" x14ac:dyDescent="0.25">
      <c r="H4214" s="37"/>
      <c r="I4214" s="79"/>
      <c r="J4214" s="70"/>
      <c r="K4214" s="57"/>
      <c r="L4214" s="11"/>
      <c r="M4214" s="41"/>
      <c r="N4214" s="11"/>
    </row>
    <row r="4215" spans="8:14" x14ac:dyDescent="0.25">
      <c r="H4215" s="37"/>
      <c r="I4215" s="79"/>
      <c r="J4215" s="70"/>
      <c r="K4215" s="57"/>
      <c r="L4215" s="11"/>
      <c r="M4215" s="41"/>
      <c r="N4215" s="11"/>
    </row>
    <row r="4216" spans="8:14" x14ac:dyDescent="0.25">
      <c r="H4216" s="37"/>
      <c r="I4216" s="79"/>
      <c r="J4216" s="70"/>
      <c r="K4216" s="57"/>
      <c r="L4216" s="11"/>
      <c r="M4216" s="41"/>
      <c r="N4216" s="11"/>
    </row>
    <row r="4217" spans="8:14" x14ac:dyDescent="0.25">
      <c r="H4217" s="37"/>
      <c r="I4217" s="79"/>
      <c r="J4217" s="70"/>
      <c r="K4217" s="57"/>
      <c r="L4217" s="11"/>
      <c r="M4217" s="41"/>
      <c r="N4217" s="11"/>
    </row>
    <row r="4218" spans="8:14" x14ac:dyDescent="0.25">
      <c r="H4218" s="37"/>
      <c r="I4218" s="79"/>
      <c r="J4218" s="70"/>
      <c r="K4218" s="57"/>
      <c r="L4218" s="11"/>
      <c r="M4218" s="41"/>
      <c r="N4218" s="11"/>
    </row>
    <row r="4219" spans="8:14" x14ac:dyDescent="0.25">
      <c r="H4219" s="37"/>
      <c r="I4219" s="79"/>
      <c r="J4219" s="70"/>
      <c r="K4219" s="57"/>
      <c r="L4219" s="11"/>
      <c r="M4219" s="41"/>
      <c r="N4219" s="11"/>
    </row>
    <row r="4220" spans="8:14" x14ac:dyDescent="0.25">
      <c r="H4220" s="37"/>
      <c r="I4220" s="79"/>
      <c r="J4220" s="70"/>
      <c r="K4220" s="57"/>
      <c r="L4220" s="11"/>
      <c r="M4220" s="41"/>
      <c r="N4220" s="11"/>
    </row>
    <row r="4221" spans="8:14" x14ac:dyDescent="0.25">
      <c r="H4221" s="37"/>
      <c r="I4221" s="79"/>
      <c r="J4221" s="70"/>
      <c r="K4221" s="57"/>
      <c r="L4221" s="11"/>
      <c r="M4221" s="41"/>
      <c r="N4221" s="11"/>
    </row>
    <row r="4222" spans="8:14" x14ac:dyDescent="0.25">
      <c r="H4222" s="37"/>
      <c r="I4222" s="79"/>
      <c r="J4222" s="70"/>
      <c r="K4222" s="57"/>
      <c r="L4222" s="11"/>
      <c r="M4222" s="41"/>
      <c r="N4222" s="11"/>
    </row>
    <row r="4223" spans="8:14" x14ac:dyDescent="0.25">
      <c r="H4223" s="37"/>
      <c r="I4223" s="79"/>
      <c r="J4223" s="70"/>
      <c r="K4223" s="57"/>
      <c r="L4223" s="11"/>
      <c r="M4223" s="41"/>
      <c r="N4223" s="11"/>
    </row>
    <row r="4224" spans="8:14" x14ac:dyDescent="0.25">
      <c r="H4224" s="37"/>
      <c r="I4224" s="79"/>
      <c r="J4224" s="70"/>
      <c r="K4224" s="57"/>
      <c r="L4224" s="11"/>
      <c r="M4224" s="41"/>
      <c r="N4224" s="11"/>
    </row>
    <row r="4225" spans="8:14" x14ac:dyDescent="0.25">
      <c r="H4225" s="37"/>
      <c r="I4225" s="79"/>
      <c r="J4225" s="70"/>
      <c r="K4225" s="57"/>
      <c r="L4225" s="11"/>
      <c r="M4225" s="41"/>
      <c r="N4225" s="11"/>
    </row>
    <row r="4226" spans="8:14" x14ac:dyDescent="0.25">
      <c r="H4226" s="37"/>
      <c r="I4226" s="79"/>
      <c r="J4226" s="70"/>
      <c r="K4226" s="57"/>
      <c r="L4226" s="11"/>
      <c r="M4226" s="41"/>
      <c r="N4226" s="11"/>
    </row>
    <row r="4227" spans="8:14" x14ac:dyDescent="0.25">
      <c r="H4227" s="37"/>
      <c r="I4227" s="79"/>
      <c r="J4227" s="70"/>
      <c r="K4227" s="57"/>
      <c r="L4227" s="11"/>
      <c r="M4227" s="41"/>
      <c r="N4227" s="11"/>
    </row>
    <row r="4228" spans="8:14" x14ac:dyDescent="0.25">
      <c r="H4228" s="37"/>
      <c r="I4228" s="79"/>
      <c r="J4228" s="70"/>
      <c r="K4228" s="57"/>
      <c r="L4228" s="11"/>
      <c r="M4228" s="41"/>
      <c r="N4228" s="11"/>
    </row>
    <row r="4229" spans="8:14" x14ac:dyDescent="0.25">
      <c r="H4229" s="37"/>
      <c r="I4229" s="79"/>
      <c r="J4229" s="70"/>
      <c r="K4229" s="57"/>
      <c r="L4229" s="11"/>
      <c r="M4229" s="41"/>
      <c r="N4229" s="11"/>
    </row>
    <row r="4230" spans="8:14" x14ac:dyDescent="0.25">
      <c r="H4230" s="37"/>
      <c r="I4230" s="79"/>
      <c r="J4230" s="70"/>
      <c r="K4230" s="57"/>
      <c r="L4230" s="11"/>
      <c r="M4230" s="41"/>
      <c r="N4230" s="11"/>
    </row>
    <row r="4231" spans="8:14" x14ac:dyDescent="0.25">
      <c r="H4231" s="37"/>
      <c r="I4231" s="79"/>
      <c r="J4231" s="70"/>
      <c r="K4231" s="57"/>
      <c r="L4231" s="11"/>
      <c r="M4231" s="41"/>
      <c r="N4231" s="11"/>
    </row>
    <row r="4232" spans="8:14" x14ac:dyDescent="0.25">
      <c r="H4232" s="37"/>
      <c r="I4232" s="79"/>
      <c r="J4232" s="70"/>
      <c r="K4232" s="57"/>
      <c r="L4232" s="11"/>
      <c r="M4232" s="41"/>
      <c r="N4232" s="11"/>
    </row>
    <row r="4233" spans="8:14" x14ac:dyDescent="0.25">
      <c r="H4233" s="37"/>
      <c r="I4233" s="79"/>
      <c r="J4233" s="70"/>
      <c r="K4233" s="57"/>
      <c r="L4233" s="11"/>
      <c r="M4233" s="41"/>
      <c r="N4233" s="11"/>
    </row>
    <row r="4234" spans="8:14" x14ac:dyDescent="0.25">
      <c r="H4234" s="37"/>
      <c r="I4234" s="79"/>
      <c r="J4234" s="70"/>
      <c r="K4234" s="57"/>
      <c r="L4234" s="11"/>
      <c r="M4234" s="41"/>
      <c r="N4234" s="11"/>
    </row>
    <row r="4235" spans="8:14" x14ac:dyDescent="0.25">
      <c r="H4235" s="37"/>
      <c r="I4235" s="79"/>
      <c r="J4235" s="70"/>
      <c r="K4235" s="57"/>
      <c r="L4235" s="11"/>
      <c r="M4235" s="41"/>
      <c r="N4235" s="11"/>
    </row>
    <row r="4236" spans="8:14" x14ac:dyDescent="0.25">
      <c r="H4236" s="37"/>
      <c r="I4236" s="79"/>
      <c r="J4236" s="70"/>
      <c r="K4236" s="57"/>
      <c r="L4236" s="11"/>
      <c r="M4236" s="41"/>
      <c r="N4236" s="11"/>
    </row>
    <row r="4237" spans="8:14" x14ac:dyDescent="0.25">
      <c r="H4237" s="37"/>
      <c r="I4237" s="79"/>
      <c r="J4237" s="70"/>
      <c r="K4237" s="57"/>
      <c r="L4237" s="11"/>
      <c r="M4237" s="41"/>
      <c r="N4237" s="11"/>
    </row>
    <row r="4238" spans="8:14" x14ac:dyDescent="0.25">
      <c r="H4238" s="37"/>
      <c r="I4238" s="79"/>
      <c r="J4238" s="70"/>
      <c r="K4238" s="57"/>
      <c r="L4238" s="11"/>
      <c r="M4238" s="41"/>
      <c r="N4238" s="11"/>
    </row>
    <row r="4239" spans="8:14" x14ac:dyDescent="0.25">
      <c r="H4239" s="37"/>
      <c r="I4239" s="79"/>
      <c r="J4239" s="70"/>
      <c r="K4239" s="57"/>
      <c r="L4239" s="11"/>
      <c r="M4239" s="41"/>
      <c r="N4239" s="11"/>
    </row>
    <row r="4240" spans="8:14" x14ac:dyDescent="0.25">
      <c r="H4240" s="37"/>
      <c r="I4240" s="79"/>
      <c r="J4240" s="70"/>
      <c r="K4240" s="57"/>
      <c r="L4240" s="11"/>
      <c r="M4240" s="41"/>
      <c r="N4240" s="11"/>
    </row>
    <row r="4241" spans="8:14" x14ac:dyDescent="0.25">
      <c r="H4241" s="37"/>
      <c r="I4241" s="79"/>
      <c r="J4241" s="70"/>
      <c r="K4241" s="57"/>
      <c r="L4241" s="11"/>
      <c r="M4241" s="41"/>
      <c r="N4241" s="11"/>
    </row>
    <row r="4242" spans="8:14" x14ac:dyDescent="0.25">
      <c r="H4242" s="37"/>
      <c r="I4242" s="79"/>
      <c r="J4242" s="70"/>
      <c r="K4242" s="57"/>
      <c r="L4242" s="11"/>
      <c r="M4242" s="41"/>
      <c r="N4242" s="11"/>
    </row>
    <row r="4243" spans="8:14" x14ac:dyDescent="0.25">
      <c r="H4243" s="37"/>
      <c r="I4243" s="79"/>
      <c r="J4243" s="70"/>
      <c r="K4243" s="57"/>
      <c r="L4243" s="11"/>
      <c r="M4243" s="41"/>
      <c r="N4243" s="11"/>
    </row>
    <row r="4244" spans="8:14" x14ac:dyDescent="0.25">
      <c r="H4244" s="37"/>
      <c r="I4244" s="79"/>
      <c r="J4244" s="70"/>
      <c r="K4244" s="57"/>
      <c r="L4244" s="11"/>
      <c r="M4244" s="41"/>
      <c r="N4244" s="11"/>
    </row>
    <row r="4245" spans="8:14" x14ac:dyDescent="0.25">
      <c r="H4245" s="37"/>
      <c r="I4245" s="79"/>
      <c r="J4245" s="70"/>
      <c r="K4245" s="57"/>
      <c r="L4245" s="11"/>
      <c r="M4245" s="41"/>
      <c r="N4245" s="11"/>
    </row>
    <row r="4246" spans="8:14" x14ac:dyDescent="0.25">
      <c r="H4246" s="37"/>
      <c r="I4246" s="79"/>
      <c r="J4246" s="70"/>
      <c r="K4246" s="57"/>
      <c r="L4246" s="11"/>
      <c r="M4246" s="41"/>
      <c r="N4246" s="11"/>
    </row>
    <row r="4247" spans="8:14" x14ac:dyDescent="0.25">
      <c r="H4247" s="37"/>
      <c r="I4247" s="79"/>
      <c r="J4247" s="70"/>
      <c r="K4247" s="57"/>
      <c r="L4247" s="11"/>
      <c r="M4247" s="41"/>
      <c r="N4247" s="11"/>
    </row>
    <row r="4248" spans="8:14" x14ac:dyDescent="0.25">
      <c r="H4248" s="37"/>
      <c r="I4248" s="79"/>
      <c r="J4248" s="70"/>
      <c r="K4248" s="57"/>
      <c r="L4248" s="11"/>
      <c r="M4248" s="41"/>
      <c r="N4248" s="11"/>
    </row>
    <row r="4249" spans="8:14" x14ac:dyDescent="0.25">
      <c r="H4249" s="37"/>
      <c r="I4249" s="79"/>
      <c r="J4249" s="70"/>
      <c r="K4249" s="57"/>
      <c r="L4249" s="11"/>
      <c r="M4249" s="41"/>
      <c r="N4249" s="11"/>
    </row>
    <row r="4250" spans="8:14" x14ac:dyDescent="0.25">
      <c r="H4250" s="37"/>
      <c r="I4250" s="79"/>
      <c r="J4250" s="70"/>
      <c r="K4250" s="57"/>
      <c r="L4250" s="11"/>
      <c r="M4250" s="41"/>
      <c r="N4250" s="11"/>
    </row>
    <row r="4251" spans="8:14" x14ac:dyDescent="0.25">
      <c r="H4251" s="37"/>
      <c r="I4251" s="79"/>
      <c r="J4251" s="70"/>
      <c r="K4251" s="57"/>
      <c r="L4251" s="11"/>
      <c r="M4251" s="41"/>
      <c r="N4251" s="11"/>
    </row>
    <row r="4252" spans="8:14" x14ac:dyDescent="0.25">
      <c r="H4252" s="37"/>
      <c r="I4252" s="79"/>
      <c r="J4252" s="70"/>
      <c r="K4252" s="57"/>
      <c r="L4252" s="11"/>
      <c r="M4252" s="41"/>
      <c r="N4252" s="11"/>
    </row>
    <row r="4253" spans="8:14" x14ac:dyDescent="0.25">
      <c r="H4253" s="37"/>
      <c r="I4253" s="79"/>
      <c r="J4253" s="70"/>
      <c r="K4253" s="57"/>
      <c r="L4253" s="11"/>
      <c r="M4253" s="41"/>
      <c r="N4253" s="11"/>
    </row>
    <row r="4254" spans="8:14" x14ac:dyDescent="0.25">
      <c r="H4254" s="37"/>
      <c r="I4254" s="79"/>
      <c r="J4254" s="70"/>
      <c r="K4254" s="57"/>
      <c r="L4254" s="11"/>
      <c r="M4254" s="41"/>
      <c r="N4254" s="11"/>
    </row>
    <row r="4255" spans="8:14" x14ac:dyDescent="0.25">
      <c r="H4255" s="37"/>
      <c r="I4255" s="79"/>
      <c r="J4255" s="70"/>
      <c r="K4255" s="57"/>
      <c r="L4255" s="11"/>
      <c r="M4255" s="41"/>
      <c r="N4255" s="11"/>
    </row>
    <row r="4256" spans="8:14" x14ac:dyDescent="0.25">
      <c r="H4256" s="37"/>
      <c r="I4256" s="79"/>
      <c r="J4256" s="70"/>
      <c r="K4256" s="57"/>
      <c r="L4256" s="11"/>
      <c r="M4256" s="41"/>
      <c r="N4256" s="11"/>
    </row>
    <row r="4257" spans="8:14" x14ac:dyDescent="0.25">
      <c r="H4257" s="37"/>
      <c r="I4257" s="79"/>
      <c r="J4257" s="70"/>
      <c r="K4257" s="57"/>
      <c r="L4257" s="11"/>
      <c r="M4257" s="41"/>
      <c r="N4257" s="11"/>
    </row>
    <row r="4258" spans="8:14" x14ac:dyDescent="0.25">
      <c r="H4258" s="37"/>
      <c r="I4258" s="79"/>
      <c r="J4258" s="70"/>
      <c r="K4258" s="57"/>
      <c r="L4258" s="11"/>
      <c r="M4258" s="41"/>
      <c r="N4258" s="11"/>
    </row>
    <row r="4259" spans="8:14" x14ac:dyDescent="0.25">
      <c r="H4259" s="37"/>
      <c r="I4259" s="79"/>
      <c r="J4259" s="70"/>
      <c r="K4259" s="57"/>
      <c r="L4259" s="11"/>
      <c r="M4259" s="41"/>
      <c r="N4259" s="11"/>
    </row>
    <row r="4260" spans="8:14" x14ac:dyDescent="0.25">
      <c r="H4260" s="37"/>
      <c r="I4260" s="79"/>
      <c r="J4260" s="70"/>
      <c r="K4260" s="57"/>
      <c r="L4260" s="11"/>
      <c r="M4260" s="41"/>
      <c r="N4260" s="11"/>
    </row>
    <row r="4261" spans="8:14" x14ac:dyDescent="0.25">
      <c r="H4261" s="37"/>
      <c r="I4261" s="79"/>
      <c r="J4261" s="70"/>
      <c r="K4261" s="57"/>
      <c r="L4261" s="11"/>
      <c r="M4261" s="41"/>
      <c r="N4261" s="11"/>
    </row>
    <row r="4262" spans="8:14" x14ac:dyDescent="0.25">
      <c r="H4262" s="37"/>
      <c r="I4262" s="79"/>
      <c r="J4262" s="70"/>
      <c r="K4262" s="57"/>
      <c r="L4262" s="11"/>
      <c r="M4262" s="41"/>
      <c r="N4262" s="11"/>
    </row>
    <row r="4263" spans="8:14" x14ac:dyDescent="0.25">
      <c r="H4263" s="37"/>
      <c r="I4263" s="79"/>
      <c r="J4263" s="70"/>
      <c r="K4263" s="57"/>
      <c r="L4263" s="11"/>
      <c r="M4263" s="41"/>
      <c r="N4263" s="11"/>
    </row>
    <row r="4264" spans="8:14" x14ac:dyDescent="0.25">
      <c r="H4264" s="37"/>
      <c r="I4264" s="79"/>
      <c r="J4264" s="70"/>
      <c r="K4264" s="57"/>
      <c r="L4264" s="11"/>
      <c r="M4264" s="41"/>
      <c r="N4264" s="11"/>
    </row>
    <row r="4265" spans="8:14" x14ac:dyDescent="0.25">
      <c r="H4265" s="37"/>
      <c r="I4265" s="79"/>
      <c r="J4265" s="70"/>
      <c r="K4265" s="57"/>
      <c r="L4265" s="11"/>
      <c r="M4265" s="41"/>
      <c r="N4265" s="11"/>
    </row>
    <row r="4266" spans="8:14" x14ac:dyDescent="0.25">
      <c r="H4266" s="37"/>
      <c r="I4266" s="79"/>
      <c r="J4266" s="70"/>
      <c r="K4266" s="57"/>
      <c r="L4266" s="11"/>
      <c r="M4266" s="41"/>
      <c r="N4266" s="11"/>
    </row>
    <row r="4267" spans="8:14" x14ac:dyDescent="0.25">
      <c r="H4267" s="37"/>
      <c r="I4267" s="79"/>
      <c r="J4267" s="70"/>
      <c r="K4267" s="57"/>
      <c r="L4267" s="11"/>
      <c r="M4267" s="41"/>
      <c r="N4267" s="11"/>
    </row>
    <row r="4268" spans="8:14" x14ac:dyDescent="0.25">
      <c r="H4268" s="37"/>
      <c r="I4268" s="79"/>
      <c r="J4268" s="70"/>
      <c r="K4268" s="57"/>
      <c r="L4268" s="11"/>
      <c r="M4268" s="41"/>
      <c r="N4268" s="11"/>
    </row>
    <row r="4269" spans="8:14" x14ac:dyDescent="0.25">
      <c r="H4269" s="37"/>
      <c r="I4269" s="79"/>
      <c r="J4269" s="70"/>
      <c r="K4269" s="57"/>
      <c r="L4269" s="11"/>
      <c r="M4269" s="41"/>
      <c r="N4269" s="11"/>
    </row>
    <row r="4270" spans="8:14" x14ac:dyDescent="0.25">
      <c r="H4270" s="37"/>
      <c r="I4270" s="79"/>
      <c r="J4270" s="70"/>
      <c r="K4270" s="57"/>
      <c r="L4270" s="11"/>
      <c r="M4270" s="41"/>
      <c r="N4270" s="11"/>
    </row>
    <row r="4271" spans="8:14" x14ac:dyDescent="0.25">
      <c r="H4271" s="37"/>
      <c r="I4271" s="79"/>
      <c r="J4271" s="70"/>
      <c r="K4271" s="57"/>
      <c r="L4271" s="11"/>
      <c r="M4271" s="41"/>
      <c r="N4271" s="11"/>
    </row>
    <row r="4272" spans="8:14" x14ac:dyDescent="0.25">
      <c r="H4272" s="37"/>
      <c r="I4272" s="79"/>
      <c r="J4272" s="70"/>
      <c r="K4272" s="57"/>
      <c r="L4272" s="11"/>
      <c r="M4272" s="41"/>
      <c r="N4272" s="11"/>
    </row>
    <row r="4273" spans="8:14" x14ac:dyDescent="0.25">
      <c r="H4273" s="37"/>
      <c r="I4273" s="79"/>
      <c r="J4273" s="70"/>
      <c r="K4273" s="57"/>
      <c r="L4273" s="11"/>
      <c r="M4273" s="41"/>
      <c r="N4273" s="11"/>
    </row>
    <row r="4274" spans="8:14" x14ac:dyDescent="0.25">
      <c r="H4274" s="37"/>
      <c r="I4274" s="79"/>
      <c r="J4274" s="70"/>
      <c r="K4274" s="57"/>
      <c r="L4274" s="11"/>
      <c r="M4274" s="41"/>
      <c r="N4274" s="11"/>
    </row>
    <row r="4275" spans="8:14" x14ac:dyDescent="0.25">
      <c r="H4275" s="37"/>
      <c r="I4275" s="79"/>
      <c r="J4275" s="70"/>
      <c r="K4275" s="57"/>
      <c r="L4275" s="11"/>
      <c r="M4275" s="41"/>
      <c r="N4275" s="11"/>
    </row>
    <row r="4276" spans="8:14" x14ac:dyDescent="0.25">
      <c r="H4276" s="37"/>
      <c r="I4276" s="79"/>
      <c r="J4276" s="70"/>
      <c r="K4276" s="57"/>
      <c r="L4276" s="11"/>
      <c r="M4276" s="41"/>
      <c r="N4276" s="11"/>
    </row>
    <row r="4277" spans="8:14" x14ac:dyDescent="0.25">
      <c r="H4277" s="37"/>
      <c r="I4277" s="79"/>
      <c r="J4277" s="70"/>
      <c r="K4277" s="57"/>
      <c r="L4277" s="11"/>
      <c r="M4277" s="41"/>
      <c r="N4277" s="11"/>
    </row>
    <row r="4278" spans="8:14" x14ac:dyDescent="0.25">
      <c r="H4278" s="37"/>
      <c r="I4278" s="79"/>
      <c r="J4278" s="70"/>
      <c r="K4278" s="57"/>
      <c r="L4278" s="11"/>
      <c r="M4278" s="41"/>
      <c r="N4278" s="11"/>
    </row>
    <row r="4279" spans="8:14" x14ac:dyDescent="0.25">
      <c r="H4279" s="37"/>
      <c r="I4279" s="79"/>
      <c r="J4279" s="70"/>
      <c r="K4279" s="57"/>
      <c r="L4279" s="11"/>
      <c r="M4279" s="41"/>
      <c r="N4279" s="11"/>
    </row>
    <row r="4280" spans="8:14" x14ac:dyDescent="0.25">
      <c r="H4280" s="37"/>
      <c r="I4280" s="79"/>
      <c r="J4280" s="70"/>
      <c r="K4280" s="57"/>
      <c r="L4280" s="11"/>
      <c r="M4280" s="41"/>
      <c r="N4280" s="11"/>
    </row>
    <row r="4281" spans="8:14" x14ac:dyDescent="0.25">
      <c r="H4281" s="37"/>
      <c r="I4281" s="79"/>
      <c r="J4281" s="70"/>
      <c r="K4281" s="57"/>
      <c r="L4281" s="11"/>
      <c r="M4281" s="41"/>
      <c r="N4281" s="11"/>
    </row>
    <row r="4282" spans="8:14" x14ac:dyDescent="0.25">
      <c r="H4282" s="37"/>
      <c r="I4282" s="79"/>
      <c r="J4282" s="70"/>
      <c r="K4282" s="57"/>
      <c r="L4282" s="11"/>
      <c r="M4282" s="41"/>
      <c r="N4282" s="11"/>
    </row>
    <row r="4283" spans="8:14" x14ac:dyDescent="0.25">
      <c r="H4283" s="37"/>
      <c r="I4283" s="79"/>
      <c r="J4283" s="70"/>
      <c r="K4283" s="57"/>
      <c r="L4283" s="11"/>
      <c r="M4283" s="41"/>
      <c r="N4283" s="11"/>
    </row>
    <row r="4284" spans="8:14" x14ac:dyDescent="0.25">
      <c r="H4284" s="37"/>
      <c r="I4284" s="79"/>
      <c r="J4284" s="70"/>
      <c r="K4284" s="57"/>
      <c r="L4284" s="11"/>
      <c r="M4284" s="41"/>
      <c r="N4284" s="11"/>
    </row>
    <row r="4285" spans="8:14" x14ac:dyDescent="0.25">
      <c r="H4285" s="37"/>
      <c r="I4285" s="79"/>
      <c r="J4285" s="70"/>
      <c r="K4285" s="57"/>
      <c r="L4285" s="11"/>
      <c r="M4285" s="41"/>
      <c r="N4285" s="11"/>
    </row>
    <row r="4286" spans="8:14" x14ac:dyDescent="0.25">
      <c r="H4286" s="37"/>
      <c r="I4286" s="79"/>
      <c r="J4286" s="70"/>
      <c r="K4286" s="57"/>
      <c r="L4286" s="11"/>
      <c r="M4286" s="41"/>
      <c r="N4286" s="11"/>
    </row>
    <row r="4287" spans="8:14" x14ac:dyDescent="0.25">
      <c r="H4287" s="37"/>
      <c r="I4287" s="79"/>
      <c r="J4287" s="70"/>
      <c r="K4287" s="57"/>
      <c r="L4287" s="11"/>
      <c r="M4287" s="41"/>
      <c r="N4287" s="11"/>
    </row>
    <row r="4288" spans="8:14" x14ac:dyDescent="0.25">
      <c r="H4288" s="37"/>
      <c r="I4288" s="79"/>
      <c r="J4288" s="70"/>
      <c r="K4288" s="57"/>
      <c r="L4288" s="11"/>
      <c r="M4288" s="41"/>
      <c r="N4288" s="11"/>
    </row>
    <row r="4289" spans="8:14" x14ac:dyDescent="0.25">
      <c r="H4289" s="37"/>
      <c r="I4289" s="79"/>
      <c r="J4289" s="70"/>
      <c r="K4289" s="57"/>
      <c r="L4289" s="11"/>
      <c r="M4289" s="41"/>
      <c r="N4289" s="11"/>
    </row>
    <row r="4290" spans="8:14" x14ac:dyDescent="0.25">
      <c r="H4290" s="37"/>
      <c r="I4290" s="79"/>
      <c r="J4290" s="70"/>
      <c r="K4290" s="57"/>
      <c r="L4290" s="11"/>
      <c r="M4290" s="41"/>
      <c r="N4290" s="11"/>
    </row>
    <row r="4291" spans="8:14" x14ac:dyDescent="0.25">
      <c r="H4291" s="37"/>
      <c r="I4291" s="79"/>
      <c r="J4291" s="70"/>
      <c r="K4291" s="57"/>
      <c r="L4291" s="11"/>
      <c r="M4291" s="41"/>
      <c r="N4291" s="11"/>
    </row>
    <row r="4292" spans="8:14" x14ac:dyDescent="0.25">
      <c r="H4292" s="37"/>
      <c r="I4292" s="79"/>
      <c r="J4292" s="70"/>
      <c r="K4292" s="57"/>
      <c r="L4292" s="11"/>
      <c r="M4292" s="41"/>
      <c r="N4292" s="11"/>
    </row>
    <row r="4293" spans="8:14" x14ac:dyDescent="0.25">
      <c r="H4293" s="37"/>
      <c r="I4293" s="79"/>
      <c r="J4293" s="70"/>
      <c r="K4293" s="57"/>
      <c r="L4293" s="11"/>
      <c r="M4293" s="41"/>
      <c r="N4293" s="11"/>
    </row>
    <row r="4294" spans="8:14" x14ac:dyDescent="0.25">
      <c r="H4294" s="37"/>
      <c r="I4294" s="79"/>
      <c r="J4294" s="70"/>
      <c r="K4294" s="57"/>
      <c r="L4294" s="11"/>
      <c r="M4294" s="41"/>
      <c r="N4294" s="11"/>
    </row>
    <row r="4295" spans="8:14" x14ac:dyDescent="0.25">
      <c r="H4295" s="37"/>
      <c r="I4295" s="79"/>
      <c r="J4295" s="70"/>
      <c r="K4295" s="57"/>
      <c r="L4295" s="11"/>
      <c r="M4295" s="41"/>
      <c r="N4295" s="11"/>
    </row>
    <row r="4296" spans="8:14" x14ac:dyDescent="0.25">
      <c r="H4296" s="37"/>
      <c r="I4296" s="79"/>
      <c r="J4296" s="70"/>
      <c r="K4296" s="57"/>
      <c r="L4296" s="11"/>
      <c r="M4296" s="41"/>
      <c r="N4296" s="11"/>
    </row>
    <row r="4297" spans="8:14" x14ac:dyDescent="0.25">
      <c r="H4297" s="37"/>
      <c r="I4297" s="79"/>
      <c r="J4297" s="70"/>
      <c r="K4297" s="57"/>
      <c r="L4297" s="11"/>
      <c r="M4297" s="41"/>
      <c r="N4297" s="11"/>
    </row>
    <row r="4298" spans="8:14" x14ac:dyDescent="0.25">
      <c r="H4298" s="37"/>
      <c r="I4298" s="79"/>
      <c r="J4298" s="70"/>
      <c r="K4298" s="57"/>
      <c r="L4298" s="11"/>
      <c r="M4298" s="41"/>
      <c r="N4298" s="11"/>
    </row>
    <row r="4299" spans="8:14" x14ac:dyDescent="0.25">
      <c r="H4299" s="37"/>
      <c r="I4299" s="79"/>
      <c r="J4299" s="70"/>
      <c r="K4299" s="57"/>
      <c r="L4299" s="11"/>
      <c r="M4299" s="41"/>
      <c r="N4299" s="11"/>
    </row>
    <row r="4300" spans="8:14" x14ac:dyDescent="0.25">
      <c r="H4300" s="37"/>
      <c r="I4300" s="79"/>
      <c r="J4300" s="70"/>
      <c r="K4300" s="57"/>
      <c r="L4300" s="11"/>
      <c r="M4300" s="41"/>
      <c r="N4300" s="11"/>
    </row>
    <row r="4301" spans="8:14" x14ac:dyDescent="0.25">
      <c r="H4301" s="37"/>
      <c r="I4301" s="79"/>
      <c r="J4301" s="70"/>
      <c r="K4301" s="57"/>
      <c r="L4301" s="11"/>
      <c r="M4301" s="41"/>
      <c r="N4301" s="11"/>
    </row>
    <row r="4302" spans="8:14" x14ac:dyDescent="0.25">
      <c r="H4302" s="37"/>
      <c r="I4302" s="79"/>
      <c r="J4302" s="70"/>
      <c r="K4302" s="57"/>
      <c r="L4302" s="11"/>
      <c r="M4302" s="41"/>
      <c r="N4302" s="11"/>
    </row>
    <row r="4303" spans="8:14" x14ac:dyDescent="0.25">
      <c r="H4303" s="37"/>
      <c r="I4303" s="79"/>
      <c r="J4303" s="70"/>
      <c r="K4303" s="57"/>
      <c r="L4303" s="11"/>
      <c r="M4303" s="41"/>
      <c r="N4303" s="11"/>
    </row>
    <row r="4304" spans="8:14" x14ac:dyDescent="0.25">
      <c r="H4304" s="37"/>
      <c r="I4304" s="79"/>
      <c r="J4304" s="70"/>
      <c r="K4304" s="57"/>
      <c r="L4304" s="11"/>
      <c r="M4304" s="41"/>
      <c r="N4304" s="11"/>
    </row>
    <row r="4305" spans="8:14" x14ac:dyDescent="0.25">
      <c r="H4305" s="37"/>
      <c r="I4305" s="79"/>
      <c r="J4305" s="70"/>
      <c r="K4305" s="57"/>
      <c r="L4305" s="11"/>
      <c r="M4305" s="41"/>
      <c r="N4305" s="11"/>
    </row>
    <row r="4306" spans="8:14" x14ac:dyDescent="0.25">
      <c r="H4306" s="37"/>
      <c r="I4306" s="79"/>
      <c r="J4306" s="70"/>
      <c r="K4306" s="57"/>
      <c r="L4306" s="11"/>
      <c r="M4306" s="41"/>
      <c r="N4306" s="11"/>
    </row>
    <row r="4307" spans="8:14" x14ac:dyDescent="0.25">
      <c r="H4307" s="37"/>
      <c r="I4307" s="79"/>
      <c r="J4307" s="70"/>
      <c r="K4307" s="57"/>
      <c r="L4307" s="11"/>
      <c r="M4307" s="41"/>
      <c r="N4307" s="11"/>
    </row>
    <row r="4308" spans="8:14" x14ac:dyDescent="0.25">
      <c r="H4308" s="37"/>
      <c r="I4308" s="79"/>
      <c r="J4308" s="70"/>
      <c r="K4308" s="57"/>
      <c r="L4308" s="11"/>
      <c r="M4308" s="41"/>
      <c r="N4308" s="11"/>
    </row>
    <row r="4309" spans="8:14" x14ac:dyDescent="0.25">
      <c r="H4309" s="37"/>
      <c r="I4309" s="79"/>
      <c r="J4309" s="70"/>
      <c r="K4309" s="57"/>
      <c r="L4309" s="11"/>
      <c r="M4309" s="41"/>
      <c r="N4309" s="11"/>
    </row>
    <row r="4310" spans="8:14" x14ac:dyDescent="0.25">
      <c r="H4310" s="37"/>
      <c r="I4310" s="79"/>
      <c r="J4310" s="70"/>
      <c r="K4310" s="57"/>
      <c r="L4310" s="11"/>
      <c r="M4310" s="41"/>
      <c r="N4310" s="11"/>
    </row>
    <row r="4311" spans="8:14" x14ac:dyDescent="0.25">
      <c r="H4311" s="37"/>
      <c r="I4311" s="79"/>
      <c r="J4311" s="70"/>
      <c r="K4311" s="57"/>
      <c r="L4311" s="11"/>
      <c r="M4311" s="41"/>
      <c r="N4311" s="11"/>
    </row>
    <row r="4312" spans="8:14" x14ac:dyDescent="0.25">
      <c r="H4312" s="37"/>
      <c r="I4312" s="79"/>
      <c r="J4312" s="70"/>
      <c r="K4312" s="57"/>
      <c r="L4312" s="11"/>
      <c r="M4312" s="41"/>
      <c r="N4312" s="11"/>
    </row>
    <row r="4313" spans="8:14" x14ac:dyDescent="0.25">
      <c r="H4313" s="37"/>
      <c r="I4313" s="79"/>
      <c r="J4313" s="70"/>
      <c r="K4313" s="57"/>
      <c r="L4313" s="11"/>
      <c r="M4313" s="41"/>
      <c r="N4313" s="11"/>
    </row>
    <row r="4314" spans="8:14" x14ac:dyDescent="0.25">
      <c r="H4314" s="37"/>
      <c r="I4314" s="79"/>
      <c r="J4314" s="70"/>
      <c r="K4314" s="57"/>
      <c r="L4314" s="11"/>
      <c r="M4314" s="41"/>
      <c r="N4314" s="11"/>
    </row>
    <row r="4315" spans="8:14" x14ac:dyDescent="0.25">
      <c r="H4315" s="37"/>
      <c r="I4315" s="79"/>
      <c r="J4315" s="70"/>
      <c r="K4315" s="57"/>
      <c r="L4315" s="11"/>
      <c r="M4315" s="41"/>
      <c r="N4315" s="11"/>
    </row>
    <row r="4316" spans="8:14" x14ac:dyDescent="0.25">
      <c r="H4316" s="37"/>
      <c r="I4316" s="79"/>
      <c r="J4316" s="70"/>
      <c r="K4316" s="57"/>
      <c r="L4316" s="11"/>
      <c r="M4316" s="41"/>
      <c r="N4316" s="11"/>
    </row>
    <row r="4317" spans="8:14" x14ac:dyDescent="0.25">
      <c r="H4317" s="37"/>
      <c r="I4317" s="79"/>
      <c r="J4317" s="70"/>
      <c r="K4317" s="57"/>
      <c r="L4317" s="11"/>
      <c r="M4317" s="41"/>
      <c r="N4317" s="11"/>
    </row>
    <row r="4318" spans="8:14" x14ac:dyDescent="0.25">
      <c r="H4318" s="37"/>
      <c r="I4318" s="79"/>
      <c r="J4318" s="70"/>
      <c r="K4318" s="57"/>
      <c r="L4318" s="11"/>
      <c r="M4318" s="41"/>
      <c r="N4318" s="11"/>
    </row>
    <row r="4319" spans="8:14" x14ac:dyDescent="0.25">
      <c r="H4319" s="37"/>
      <c r="I4319" s="79"/>
      <c r="J4319" s="70"/>
      <c r="K4319" s="57"/>
      <c r="L4319" s="11"/>
      <c r="M4319" s="41"/>
      <c r="N4319" s="11"/>
    </row>
    <row r="4320" spans="8:14" x14ac:dyDescent="0.25">
      <c r="H4320" s="37"/>
      <c r="I4320" s="79"/>
      <c r="J4320" s="70"/>
      <c r="K4320" s="57"/>
      <c r="L4320" s="11"/>
      <c r="M4320" s="41"/>
      <c r="N4320" s="11"/>
    </row>
    <row r="4321" spans="8:14" x14ac:dyDescent="0.25">
      <c r="H4321" s="37"/>
      <c r="I4321" s="79"/>
      <c r="J4321" s="70"/>
      <c r="K4321" s="57"/>
      <c r="L4321" s="11"/>
      <c r="M4321" s="41"/>
      <c r="N4321" s="11"/>
    </row>
    <row r="4322" spans="8:14" x14ac:dyDescent="0.25">
      <c r="H4322" s="37"/>
      <c r="I4322" s="79"/>
      <c r="J4322" s="70"/>
      <c r="K4322" s="57"/>
      <c r="L4322" s="11"/>
      <c r="M4322" s="41"/>
      <c r="N4322" s="11"/>
    </row>
    <row r="4323" spans="8:14" x14ac:dyDescent="0.25">
      <c r="H4323" s="37"/>
      <c r="I4323" s="79"/>
      <c r="J4323" s="70"/>
      <c r="K4323" s="57"/>
      <c r="L4323" s="11"/>
      <c r="M4323" s="41"/>
      <c r="N4323" s="11"/>
    </row>
    <row r="4324" spans="8:14" x14ac:dyDescent="0.25">
      <c r="H4324" s="37"/>
      <c r="I4324" s="79"/>
      <c r="J4324" s="70"/>
      <c r="K4324" s="57"/>
      <c r="L4324" s="11"/>
      <c r="M4324" s="41"/>
      <c r="N4324" s="11"/>
    </row>
    <row r="4325" spans="8:14" x14ac:dyDescent="0.25">
      <c r="H4325" s="37"/>
      <c r="I4325" s="79"/>
      <c r="J4325" s="70"/>
      <c r="K4325" s="57"/>
      <c r="L4325" s="11"/>
      <c r="M4325" s="41"/>
      <c r="N4325" s="11"/>
    </row>
    <row r="4326" spans="8:14" x14ac:dyDescent="0.25">
      <c r="H4326" s="37"/>
      <c r="I4326" s="79"/>
      <c r="J4326" s="70"/>
      <c r="K4326" s="57"/>
      <c r="L4326" s="11"/>
      <c r="M4326" s="41"/>
      <c r="N4326" s="11"/>
    </row>
    <row r="4327" spans="8:14" x14ac:dyDescent="0.25">
      <c r="H4327" s="37"/>
      <c r="I4327" s="79"/>
      <c r="J4327" s="70"/>
      <c r="K4327" s="57"/>
      <c r="L4327" s="11"/>
      <c r="M4327" s="41"/>
      <c r="N4327" s="11"/>
    </row>
    <row r="4328" spans="8:14" x14ac:dyDescent="0.25">
      <c r="H4328" s="37"/>
      <c r="I4328" s="79"/>
      <c r="J4328" s="70"/>
      <c r="K4328" s="57"/>
      <c r="L4328" s="11"/>
      <c r="M4328" s="41"/>
      <c r="N4328" s="11"/>
    </row>
    <row r="4329" spans="8:14" x14ac:dyDescent="0.25">
      <c r="H4329" s="37"/>
      <c r="I4329" s="79"/>
      <c r="J4329" s="70"/>
      <c r="K4329" s="57"/>
      <c r="L4329" s="11"/>
      <c r="M4329" s="41"/>
      <c r="N4329" s="11"/>
    </row>
    <row r="4330" spans="8:14" x14ac:dyDescent="0.25">
      <c r="H4330" s="37"/>
      <c r="I4330" s="79"/>
      <c r="J4330" s="70"/>
      <c r="K4330" s="57"/>
      <c r="L4330" s="11"/>
      <c r="M4330" s="41"/>
      <c r="N4330" s="11"/>
    </row>
    <row r="4331" spans="8:14" x14ac:dyDescent="0.25">
      <c r="H4331" s="37"/>
      <c r="I4331" s="79"/>
      <c r="J4331" s="70"/>
      <c r="K4331" s="57"/>
      <c r="L4331" s="11"/>
      <c r="M4331" s="41"/>
      <c r="N4331" s="11"/>
    </row>
    <row r="4332" spans="8:14" x14ac:dyDescent="0.25">
      <c r="H4332" s="37"/>
      <c r="I4332" s="79"/>
      <c r="J4332" s="70"/>
      <c r="K4332" s="57"/>
      <c r="L4332" s="11"/>
      <c r="M4332" s="41"/>
      <c r="N4332" s="11"/>
    </row>
    <row r="4333" spans="8:14" x14ac:dyDescent="0.25">
      <c r="H4333" s="37"/>
      <c r="I4333" s="79"/>
      <c r="J4333" s="70"/>
      <c r="K4333" s="57"/>
      <c r="L4333" s="11"/>
      <c r="M4333" s="41"/>
      <c r="N4333" s="11"/>
    </row>
    <row r="4334" spans="8:14" x14ac:dyDescent="0.25">
      <c r="H4334" s="37"/>
      <c r="I4334" s="79"/>
      <c r="J4334" s="70"/>
      <c r="K4334" s="57"/>
      <c r="L4334" s="11"/>
      <c r="M4334" s="41"/>
      <c r="N4334" s="11"/>
    </row>
    <row r="4335" spans="8:14" x14ac:dyDescent="0.25">
      <c r="H4335" s="37"/>
      <c r="I4335" s="79"/>
      <c r="J4335" s="70"/>
      <c r="K4335" s="57"/>
      <c r="L4335" s="11"/>
      <c r="M4335" s="41"/>
      <c r="N4335" s="11"/>
    </row>
    <row r="4336" spans="8:14" x14ac:dyDescent="0.25">
      <c r="H4336" s="37"/>
      <c r="I4336" s="79"/>
      <c r="J4336" s="70"/>
      <c r="K4336" s="57"/>
      <c r="L4336" s="11"/>
      <c r="M4336" s="41"/>
      <c r="N4336" s="11"/>
    </row>
    <row r="4337" spans="8:14" x14ac:dyDescent="0.25">
      <c r="H4337" s="37"/>
      <c r="I4337" s="79"/>
      <c r="J4337" s="70"/>
      <c r="K4337" s="57"/>
      <c r="L4337" s="11"/>
      <c r="M4337" s="41"/>
      <c r="N4337" s="11"/>
    </row>
    <row r="4338" spans="8:14" x14ac:dyDescent="0.25">
      <c r="H4338" s="37"/>
      <c r="I4338" s="79"/>
      <c r="J4338" s="70"/>
      <c r="K4338" s="57"/>
      <c r="L4338" s="11"/>
      <c r="M4338" s="41"/>
      <c r="N4338" s="11"/>
    </row>
    <row r="4339" spans="8:14" x14ac:dyDescent="0.25">
      <c r="H4339" s="37"/>
      <c r="I4339" s="79"/>
      <c r="J4339" s="70"/>
      <c r="K4339" s="57"/>
      <c r="L4339" s="11"/>
      <c r="M4339" s="41"/>
      <c r="N4339" s="11"/>
    </row>
    <row r="4340" spans="8:14" x14ac:dyDescent="0.25">
      <c r="H4340" s="37"/>
      <c r="I4340" s="79"/>
      <c r="J4340" s="70"/>
      <c r="K4340" s="57"/>
      <c r="L4340" s="11"/>
      <c r="M4340" s="41"/>
      <c r="N4340" s="11"/>
    </row>
    <row r="4341" spans="8:14" x14ac:dyDescent="0.25">
      <c r="H4341" s="37"/>
      <c r="I4341" s="79"/>
      <c r="J4341" s="70"/>
      <c r="K4341" s="57"/>
      <c r="L4341" s="11"/>
      <c r="M4341" s="41"/>
      <c r="N4341" s="11"/>
    </row>
    <row r="4342" spans="8:14" x14ac:dyDescent="0.25">
      <c r="H4342" s="37"/>
      <c r="I4342" s="79"/>
      <c r="J4342" s="70"/>
      <c r="K4342" s="57"/>
      <c r="L4342" s="11"/>
      <c r="M4342" s="41"/>
      <c r="N4342" s="11"/>
    </row>
    <row r="4343" spans="8:14" x14ac:dyDescent="0.25">
      <c r="H4343" s="37"/>
      <c r="I4343" s="79"/>
      <c r="J4343" s="70"/>
      <c r="K4343" s="57"/>
      <c r="L4343" s="11"/>
      <c r="M4343" s="41"/>
      <c r="N4343" s="11"/>
    </row>
    <row r="4344" spans="8:14" x14ac:dyDescent="0.25">
      <c r="H4344" s="37"/>
      <c r="I4344" s="79"/>
      <c r="J4344" s="70"/>
      <c r="K4344" s="57"/>
      <c r="L4344" s="11"/>
      <c r="M4344" s="41"/>
      <c r="N4344" s="11"/>
    </row>
    <row r="4345" spans="8:14" x14ac:dyDescent="0.25">
      <c r="H4345" s="37"/>
      <c r="I4345" s="79"/>
      <c r="J4345" s="70"/>
      <c r="K4345" s="57"/>
      <c r="L4345" s="11"/>
      <c r="M4345" s="41"/>
      <c r="N4345" s="11"/>
    </row>
    <row r="4346" spans="8:14" x14ac:dyDescent="0.25">
      <c r="H4346" s="37"/>
      <c r="I4346" s="79"/>
      <c r="J4346" s="70"/>
      <c r="K4346" s="57"/>
      <c r="L4346" s="11"/>
      <c r="M4346" s="41"/>
      <c r="N4346" s="11"/>
    </row>
    <row r="4347" spans="8:14" x14ac:dyDescent="0.25">
      <c r="H4347" s="37"/>
      <c r="I4347" s="79"/>
      <c r="J4347" s="70"/>
      <c r="K4347" s="57"/>
      <c r="L4347" s="11"/>
      <c r="M4347" s="41"/>
      <c r="N4347" s="11"/>
    </row>
    <row r="4348" spans="8:14" x14ac:dyDescent="0.25">
      <c r="H4348" s="37"/>
      <c r="I4348" s="79"/>
      <c r="J4348" s="70"/>
      <c r="K4348" s="57"/>
      <c r="L4348" s="11"/>
      <c r="M4348" s="41"/>
      <c r="N4348" s="11"/>
    </row>
    <row r="4349" spans="8:14" x14ac:dyDescent="0.25">
      <c r="H4349" s="37"/>
      <c r="I4349" s="79"/>
      <c r="J4349" s="70"/>
      <c r="K4349" s="57"/>
      <c r="L4349" s="11"/>
      <c r="M4349" s="41"/>
      <c r="N4349" s="11"/>
    </row>
    <row r="4350" spans="8:14" x14ac:dyDescent="0.25">
      <c r="H4350" s="37"/>
      <c r="I4350" s="79"/>
      <c r="J4350" s="70"/>
      <c r="K4350" s="57"/>
      <c r="L4350" s="11"/>
      <c r="M4350" s="41"/>
      <c r="N4350" s="11"/>
    </row>
    <row r="4351" spans="8:14" x14ac:dyDescent="0.25">
      <c r="H4351" s="37"/>
      <c r="I4351" s="79"/>
      <c r="J4351" s="70"/>
      <c r="K4351" s="57"/>
      <c r="L4351" s="11"/>
      <c r="M4351" s="41"/>
      <c r="N4351" s="11"/>
    </row>
    <row r="4352" spans="8:14" x14ac:dyDescent="0.25">
      <c r="H4352" s="37"/>
      <c r="I4352" s="79"/>
      <c r="J4352" s="70"/>
      <c r="K4352" s="57"/>
      <c r="L4352" s="11"/>
      <c r="M4352" s="41"/>
      <c r="N4352" s="11"/>
    </row>
    <row r="4353" spans="8:14" x14ac:dyDescent="0.25">
      <c r="H4353" s="37"/>
      <c r="I4353" s="79"/>
      <c r="J4353" s="70"/>
      <c r="K4353" s="57"/>
      <c r="L4353" s="11"/>
      <c r="M4353" s="41"/>
      <c r="N4353" s="11"/>
    </row>
    <row r="4354" spans="8:14" x14ac:dyDescent="0.25">
      <c r="H4354" s="37"/>
      <c r="I4354" s="79"/>
      <c r="J4354" s="70"/>
      <c r="K4354" s="57"/>
      <c r="L4354" s="11"/>
      <c r="M4354" s="41"/>
      <c r="N4354" s="11"/>
    </row>
    <row r="4355" spans="8:14" x14ac:dyDescent="0.25">
      <c r="H4355" s="37"/>
      <c r="I4355" s="79"/>
      <c r="J4355" s="70"/>
      <c r="K4355" s="57"/>
      <c r="L4355" s="11"/>
      <c r="M4355" s="41"/>
      <c r="N4355" s="11"/>
    </row>
    <row r="4356" spans="8:14" x14ac:dyDescent="0.25">
      <c r="H4356" s="37"/>
      <c r="I4356" s="79"/>
      <c r="J4356" s="70"/>
      <c r="K4356" s="57"/>
      <c r="L4356" s="11"/>
      <c r="M4356" s="41"/>
      <c r="N4356" s="11"/>
    </row>
    <row r="4357" spans="8:14" x14ac:dyDescent="0.25">
      <c r="H4357" s="37"/>
      <c r="I4357" s="79"/>
      <c r="J4357" s="70"/>
      <c r="K4357" s="57"/>
      <c r="L4357" s="11"/>
      <c r="M4357" s="41"/>
      <c r="N4357" s="11"/>
    </row>
    <row r="4358" spans="8:14" x14ac:dyDescent="0.25">
      <c r="H4358" s="37"/>
      <c r="I4358" s="79"/>
      <c r="J4358" s="70"/>
      <c r="K4358" s="57"/>
      <c r="L4358" s="11"/>
      <c r="M4358" s="41"/>
      <c r="N4358" s="11"/>
    </row>
    <row r="4359" spans="8:14" x14ac:dyDescent="0.25">
      <c r="H4359" s="37"/>
      <c r="I4359" s="79"/>
      <c r="J4359" s="70"/>
      <c r="K4359" s="57"/>
      <c r="L4359" s="11"/>
      <c r="M4359" s="41"/>
      <c r="N4359" s="11"/>
    </row>
    <row r="4360" spans="8:14" x14ac:dyDescent="0.25">
      <c r="H4360" s="37"/>
      <c r="I4360" s="79"/>
      <c r="J4360" s="70"/>
      <c r="K4360" s="57"/>
      <c r="L4360" s="11"/>
      <c r="M4360" s="41"/>
      <c r="N4360" s="11"/>
    </row>
    <row r="4361" spans="8:14" x14ac:dyDescent="0.25">
      <c r="H4361" s="37"/>
      <c r="I4361" s="79"/>
      <c r="J4361" s="70"/>
      <c r="K4361" s="57"/>
      <c r="L4361" s="11"/>
      <c r="M4361" s="41"/>
      <c r="N4361" s="11"/>
    </row>
    <row r="4362" spans="8:14" x14ac:dyDescent="0.25">
      <c r="H4362" s="37"/>
      <c r="I4362" s="79"/>
      <c r="J4362" s="70"/>
      <c r="K4362" s="57"/>
      <c r="L4362" s="11"/>
      <c r="M4362" s="41"/>
      <c r="N4362" s="11"/>
    </row>
    <row r="4363" spans="8:14" x14ac:dyDescent="0.25">
      <c r="H4363" s="37"/>
      <c r="I4363" s="79"/>
      <c r="J4363" s="70"/>
      <c r="K4363" s="57"/>
      <c r="L4363" s="11"/>
      <c r="M4363" s="41"/>
      <c r="N4363" s="11"/>
    </row>
    <row r="4364" spans="8:14" x14ac:dyDescent="0.25">
      <c r="H4364" s="37"/>
      <c r="I4364" s="79"/>
      <c r="J4364" s="70"/>
      <c r="K4364" s="57"/>
      <c r="L4364" s="11"/>
      <c r="M4364" s="41"/>
      <c r="N4364" s="11"/>
    </row>
    <row r="4365" spans="8:14" x14ac:dyDescent="0.25">
      <c r="H4365" s="37"/>
      <c r="I4365" s="79"/>
      <c r="J4365" s="70"/>
      <c r="K4365" s="57"/>
      <c r="L4365" s="11"/>
      <c r="M4365" s="41"/>
      <c r="N4365" s="11"/>
    </row>
    <row r="4366" spans="8:14" x14ac:dyDescent="0.25">
      <c r="H4366" s="37"/>
      <c r="I4366" s="79"/>
      <c r="J4366" s="70"/>
      <c r="K4366" s="57"/>
      <c r="L4366" s="11"/>
      <c r="M4366" s="41"/>
      <c r="N4366" s="11"/>
    </row>
    <row r="4367" spans="8:14" x14ac:dyDescent="0.25">
      <c r="H4367" s="37"/>
      <c r="I4367" s="79"/>
      <c r="J4367" s="70"/>
      <c r="K4367" s="57"/>
      <c r="L4367" s="11"/>
      <c r="M4367" s="41"/>
      <c r="N4367" s="11"/>
    </row>
    <row r="4368" spans="8:14" x14ac:dyDescent="0.25">
      <c r="H4368" s="37"/>
      <c r="I4368" s="79"/>
      <c r="J4368" s="70"/>
      <c r="K4368" s="57"/>
      <c r="L4368" s="11"/>
      <c r="M4368" s="41"/>
      <c r="N4368" s="11"/>
    </row>
    <row r="4369" spans="8:14" x14ac:dyDescent="0.25">
      <c r="H4369" s="37"/>
      <c r="I4369" s="79"/>
      <c r="J4369" s="70"/>
      <c r="K4369" s="57"/>
      <c r="L4369" s="11"/>
      <c r="M4369" s="41"/>
      <c r="N4369" s="11"/>
    </row>
    <row r="4370" spans="8:14" x14ac:dyDescent="0.25">
      <c r="H4370" s="37"/>
      <c r="I4370" s="79"/>
      <c r="J4370" s="70"/>
      <c r="K4370" s="57"/>
      <c r="L4370" s="11"/>
      <c r="M4370" s="41"/>
      <c r="N4370" s="11"/>
    </row>
    <row r="4371" spans="8:14" x14ac:dyDescent="0.25">
      <c r="H4371" s="37"/>
      <c r="I4371" s="79"/>
      <c r="J4371" s="70"/>
      <c r="K4371" s="57"/>
      <c r="L4371" s="11"/>
      <c r="M4371" s="41"/>
      <c r="N4371" s="11"/>
    </row>
    <row r="4372" spans="8:14" x14ac:dyDescent="0.25">
      <c r="H4372" s="37"/>
      <c r="I4372" s="79"/>
      <c r="J4372" s="70"/>
      <c r="K4372" s="57"/>
      <c r="L4372" s="11"/>
      <c r="M4372" s="41"/>
      <c r="N4372" s="11"/>
    </row>
    <row r="4373" spans="8:14" x14ac:dyDescent="0.25">
      <c r="H4373" s="37"/>
      <c r="I4373" s="79"/>
      <c r="J4373" s="70"/>
      <c r="K4373" s="57"/>
      <c r="L4373" s="11"/>
      <c r="M4373" s="41"/>
      <c r="N4373" s="11"/>
    </row>
    <row r="4374" spans="8:14" x14ac:dyDescent="0.25">
      <c r="H4374" s="37"/>
      <c r="I4374" s="79"/>
      <c r="J4374" s="70"/>
      <c r="K4374" s="57"/>
      <c r="L4374" s="11"/>
      <c r="M4374" s="41"/>
      <c r="N4374" s="11"/>
    </row>
    <row r="4375" spans="8:14" x14ac:dyDescent="0.25">
      <c r="H4375" s="37"/>
      <c r="I4375" s="79"/>
      <c r="J4375" s="70"/>
      <c r="K4375" s="57"/>
      <c r="L4375" s="11"/>
      <c r="M4375" s="41"/>
      <c r="N4375" s="11"/>
    </row>
    <row r="4376" spans="8:14" x14ac:dyDescent="0.25">
      <c r="H4376" s="37"/>
      <c r="I4376" s="79"/>
      <c r="J4376" s="70"/>
      <c r="K4376" s="57"/>
      <c r="L4376" s="11"/>
      <c r="M4376" s="41"/>
      <c r="N4376" s="11"/>
    </row>
    <row r="4377" spans="8:14" x14ac:dyDescent="0.25">
      <c r="H4377" s="37"/>
      <c r="I4377" s="79"/>
      <c r="J4377" s="70"/>
      <c r="K4377" s="57"/>
      <c r="L4377" s="11"/>
      <c r="M4377" s="41"/>
      <c r="N4377" s="11"/>
    </row>
    <row r="4378" spans="8:14" x14ac:dyDescent="0.25">
      <c r="H4378" s="37"/>
      <c r="I4378" s="79"/>
      <c r="J4378" s="70"/>
      <c r="K4378" s="57"/>
      <c r="L4378" s="11"/>
      <c r="M4378" s="41"/>
      <c r="N4378" s="11"/>
    </row>
    <row r="4379" spans="8:14" x14ac:dyDescent="0.25">
      <c r="H4379" s="37"/>
      <c r="I4379" s="79"/>
      <c r="J4379" s="70"/>
      <c r="K4379" s="57"/>
      <c r="L4379" s="11"/>
      <c r="M4379" s="41"/>
      <c r="N4379" s="11"/>
    </row>
    <row r="4380" spans="8:14" x14ac:dyDescent="0.25">
      <c r="H4380" s="37"/>
      <c r="I4380" s="79"/>
      <c r="J4380" s="70"/>
      <c r="K4380" s="57"/>
      <c r="L4380" s="11"/>
      <c r="M4380" s="41"/>
      <c r="N4380" s="11"/>
    </row>
    <row r="4381" spans="8:14" x14ac:dyDescent="0.25">
      <c r="H4381" s="37"/>
      <c r="I4381" s="79"/>
      <c r="J4381" s="70"/>
      <c r="K4381" s="57"/>
      <c r="L4381" s="11"/>
      <c r="M4381" s="41"/>
      <c r="N4381" s="11"/>
    </row>
    <row r="4382" spans="8:14" x14ac:dyDescent="0.25">
      <c r="H4382" s="37"/>
      <c r="I4382" s="79"/>
      <c r="J4382" s="70"/>
      <c r="K4382" s="57"/>
      <c r="L4382" s="11"/>
      <c r="M4382" s="41"/>
      <c r="N4382" s="11"/>
    </row>
    <row r="4383" spans="8:14" x14ac:dyDescent="0.25">
      <c r="H4383" s="37"/>
      <c r="I4383" s="79"/>
      <c r="J4383" s="70"/>
      <c r="K4383" s="57"/>
      <c r="L4383" s="11"/>
      <c r="M4383" s="41"/>
      <c r="N4383" s="11"/>
    </row>
    <row r="4384" spans="8:14" x14ac:dyDescent="0.25">
      <c r="H4384" s="37"/>
      <c r="I4384" s="79"/>
      <c r="J4384" s="70"/>
      <c r="K4384" s="57"/>
      <c r="L4384" s="11"/>
      <c r="M4384" s="41"/>
      <c r="N4384" s="11"/>
    </row>
    <row r="4385" spans="8:14" x14ac:dyDescent="0.25">
      <c r="H4385" s="37"/>
      <c r="I4385" s="79"/>
      <c r="J4385" s="70"/>
      <c r="K4385" s="57"/>
      <c r="L4385" s="11"/>
      <c r="M4385" s="41"/>
      <c r="N4385" s="11"/>
    </row>
    <row r="4386" spans="8:14" x14ac:dyDescent="0.25">
      <c r="H4386" s="37"/>
      <c r="I4386" s="79"/>
      <c r="J4386" s="70"/>
      <c r="K4386" s="57"/>
      <c r="L4386" s="11"/>
      <c r="M4386" s="41"/>
      <c r="N4386" s="11"/>
    </row>
    <row r="4387" spans="8:14" x14ac:dyDescent="0.25">
      <c r="H4387" s="37"/>
      <c r="I4387" s="79"/>
      <c r="J4387" s="70"/>
      <c r="K4387" s="57"/>
      <c r="L4387" s="11"/>
      <c r="M4387" s="41"/>
      <c r="N4387" s="11"/>
    </row>
    <row r="4388" spans="8:14" x14ac:dyDescent="0.25">
      <c r="H4388" s="37"/>
      <c r="I4388" s="79"/>
      <c r="J4388" s="70"/>
      <c r="K4388" s="57"/>
      <c r="L4388" s="11"/>
      <c r="M4388" s="41"/>
      <c r="N4388" s="11"/>
    </row>
    <row r="4389" spans="8:14" x14ac:dyDescent="0.25">
      <c r="H4389" s="37"/>
      <c r="I4389" s="79"/>
      <c r="J4389" s="70"/>
      <c r="K4389" s="57"/>
      <c r="L4389" s="11"/>
      <c r="M4389" s="41"/>
      <c r="N4389" s="11"/>
    </row>
    <row r="4390" spans="8:14" x14ac:dyDescent="0.25">
      <c r="H4390" s="37"/>
      <c r="I4390" s="79"/>
      <c r="J4390" s="70"/>
      <c r="K4390" s="57"/>
      <c r="L4390" s="11"/>
      <c r="M4390" s="41"/>
      <c r="N4390" s="11"/>
    </row>
    <row r="4391" spans="8:14" x14ac:dyDescent="0.25">
      <c r="H4391" s="37"/>
      <c r="I4391" s="79"/>
      <c r="J4391" s="70"/>
      <c r="K4391" s="57"/>
      <c r="L4391" s="11"/>
      <c r="M4391" s="41"/>
      <c r="N4391" s="11"/>
    </row>
    <row r="4392" spans="8:14" x14ac:dyDescent="0.25">
      <c r="H4392" s="37"/>
      <c r="I4392" s="79"/>
      <c r="J4392" s="70"/>
      <c r="K4392" s="57"/>
      <c r="L4392" s="11"/>
      <c r="M4392" s="41"/>
      <c r="N4392" s="11"/>
    </row>
    <row r="4393" spans="8:14" x14ac:dyDescent="0.25">
      <c r="H4393" s="37"/>
      <c r="I4393" s="79"/>
      <c r="J4393" s="70"/>
      <c r="K4393" s="57"/>
      <c r="L4393" s="11"/>
      <c r="M4393" s="41"/>
      <c r="N4393" s="11"/>
    </row>
    <row r="4394" spans="8:14" x14ac:dyDescent="0.25">
      <c r="H4394" s="37"/>
      <c r="I4394" s="79"/>
      <c r="J4394" s="70"/>
      <c r="K4394" s="57"/>
      <c r="L4394" s="11"/>
      <c r="M4394" s="41"/>
      <c r="N4394" s="11"/>
    </row>
    <row r="4395" spans="8:14" x14ac:dyDescent="0.25">
      <c r="H4395" s="37"/>
      <c r="I4395" s="79"/>
      <c r="J4395" s="70"/>
      <c r="K4395" s="57"/>
      <c r="L4395" s="11"/>
      <c r="M4395" s="41"/>
      <c r="N4395" s="11"/>
    </row>
    <row r="4396" spans="8:14" x14ac:dyDescent="0.25">
      <c r="H4396" s="37"/>
      <c r="I4396" s="79"/>
      <c r="J4396" s="70"/>
      <c r="K4396" s="57"/>
      <c r="L4396" s="11"/>
      <c r="M4396" s="41"/>
      <c r="N4396" s="11"/>
    </row>
    <row r="4397" spans="8:14" x14ac:dyDescent="0.25">
      <c r="H4397" s="37"/>
      <c r="I4397" s="79"/>
      <c r="J4397" s="70"/>
      <c r="K4397" s="57"/>
      <c r="L4397" s="11"/>
      <c r="M4397" s="41"/>
      <c r="N4397" s="11"/>
    </row>
    <row r="4398" spans="8:14" x14ac:dyDescent="0.25">
      <c r="H4398" s="37"/>
      <c r="I4398" s="79"/>
      <c r="J4398" s="70"/>
      <c r="K4398" s="57"/>
      <c r="L4398" s="11"/>
      <c r="M4398" s="41"/>
      <c r="N4398" s="11"/>
    </row>
    <row r="4399" spans="8:14" x14ac:dyDescent="0.25">
      <c r="H4399" s="37"/>
      <c r="I4399" s="79"/>
      <c r="J4399" s="70"/>
      <c r="K4399" s="57"/>
      <c r="L4399" s="11"/>
      <c r="M4399" s="41"/>
      <c r="N4399" s="11"/>
    </row>
    <row r="4400" spans="8:14" x14ac:dyDescent="0.25">
      <c r="H4400" s="37"/>
      <c r="I4400" s="79"/>
      <c r="J4400" s="70"/>
      <c r="K4400" s="57"/>
      <c r="L4400" s="11"/>
      <c r="M4400" s="41"/>
      <c r="N4400" s="11"/>
    </row>
    <row r="4401" spans="8:14" x14ac:dyDescent="0.25">
      <c r="H4401" s="37"/>
      <c r="I4401" s="79"/>
      <c r="J4401" s="70"/>
      <c r="K4401" s="57"/>
      <c r="L4401" s="11"/>
      <c r="M4401" s="41"/>
      <c r="N4401" s="11"/>
    </row>
    <row r="4402" spans="8:14" x14ac:dyDescent="0.25">
      <c r="H4402" s="37"/>
      <c r="I4402" s="79"/>
      <c r="J4402" s="70"/>
      <c r="K4402" s="57"/>
      <c r="L4402" s="11"/>
      <c r="M4402" s="41"/>
      <c r="N4402" s="11"/>
    </row>
    <row r="4403" spans="8:14" x14ac:dyDescent="0.25">
      <c r="H4403" s="37"/>
      <c r="I4403" s="79"/>
      <c r="J4403" s="70"/>
      <c r="K4403" s="57"/>
      <c r="L4403" s="11"/>
      <c r="M4403" s="41"/>
      <c r="N4403" s="11"/>
    </row>
    <row r="4404" spans="8:14" x14ac:dyDescent="0.25">
      <c r="H4404" s="37"/>
      <c r="I4404" s="79"/>
      <c r="J4404" s="70"/>
      <c r="K4404" s="57"/>
      <c r="L4404" s="11"/>
      <c r="M4404" s="41"/>
      <c r="N4404" s="11"/>
    </row>
    <row r="4405" spans="8:14" x14ac:dyDescent="0.25">
      <c r="H4405" s="37"/>
      <c r="I4405" s="79"/>
      <c r="J4405" s="70"/>
      <c r="K4405" s="57"/>
      <c r="L4405" s="11"/>
      <c r="M4405" s="41"/>
      <c r="N4405" s="11"/>
    </row>
    <row r="4406" spans="8:14" x14ac:dyDescent="0.25">
      <c r="H4406" s="37"/>
      <c r="I4406" s="79"/>
      <c r="J4406" s="70"/>
      <c r="K4406" s="57"/>
      <c r="L4406" s="11"/>
      <c r="M4406" s="41"/>
      <c r="N4406" s="11"/>
    </row>
    <row r="4407" spans="8:14" x14ac:dyDescent="0.25">
      <c r="H4407" s="37"/>
      <c r="I4407" s="79"/>
      <c r="J4407" s="70"/>
      <c r="K4407" s="57"/>
      <c r="L4407" s="11"/>
      <c r="M4407" s="41"/>
      <c r="N4407" s="11"/>
    </row>
    <row r="4408" spans="8:14" x14ac:dyDescent="0.25">
      <c r="H4408" s="37"/>
      <c r="I4408" s="79"/>
      <c r="J4408" s="70"/>
      <c r="K4408" s="57"/>
      <c r="L4408" s="11"/>
      <c r="M4408" s="41"/>
      <c r="N4408" s="11"/>
    </row>
    <row r="4409" spans="8:14" x14ac:dyDescent="0.25">
      <c r="H4409" s="37"/>
      <c r="I4409" s="79"/>
      <c r="J4409" s="70"/>
      <c r="K4409" s="57"/>
      <c r="L4409" s="11"/>
      <c r="M4409" s="41"/>
      <c r="N4409" s="11"/>
    </row>
    <row r="4410" spans="8:14" x14ac:dyDescent="0.25">
      <c r="H4410" s="37"/>
      <c r="I4410" s="79"/>
      <c r="J4410" s="70"/>
      <c r="K4410" s="57"/>
      <c r="L4410" s="11"/>
      <c r="M4410" s="41"/>
      <c r="N4410" s="11"/>
    </row>
    <row r="4411" spans="8:14" x14ac:dyDescent="0.25">
      <c r="H4411" s="37"/>
      <c r="I4411" s="79"/>
      <c r="J4411" s="70"/>
      <c r="K4411" s="57"/>
      <c r="L4411" s="11"/>
      <c r="M4411" s="41"/>
      <c r="N4411" s="11"/>
    </row>
    <row r="4412" spans="8:14" x14ac:dyDescent="0.25">
      <c r="H4412" s="37"/>
      <c r="I4412" s="79"/>
      <c r="J4412" s="70"/>
      <c r="K4412" s="57"/>
      <c r="L4412" s="11"/>
      <c r="M4412" s="41"/>
      <c r="N4412" s="11"/>
    </row>
    <row r="4413" spans="8:14" x14ac:dyDescent="0.25">
      <c r="H4413" s="37"/>
      <c r="I4413" s="79"/>
      <c r="J4413" s="70"/>
      <c r="K4413" s="57"/>
      <c r="L4413" s="11"/>
      <c r="M4413" s="41"/>
      <c r="N4413" s="11"/>
    </row>
    <row r="4414" spans="8:14" x14ac:dyDescent="0.25">
      <c r="H4414" s="37"/>
      <c r="I4414" s="79"/>
      <c r="J4414" s="70"/>
      <c r="K4414" s="57"/>
      <c r="L4414" s="11"/>
      <c r="M4414" s="41"/>
      <c r="N4414" s="11"/>
    </row>
    <row r="4415" spans="8:14" x14ac:dyDescent="0.25">
      <c r="H4415" s="37"/>
      <c r="I4415" s="79"/>
      <c r="J4415" s="70"/>
      <c r="K4415" s="57"/>
      <c r="L4415" s="11"/>
      <c r="M4415" s="41"/>
      <c r="N4415" s="11"/>
    </row>
    <row r="4416" spans="8:14" x14ac:dyDescent="0.25">
      <c r="H4416" s="37"/>
      <c r="I4416" s="79"/>
      <c r="J4416" s="70"/>
      <c r="K4416" s="57"/>
      <c r="L4416" s="11"/>
      <c r="M4416" s="41"/>
      <c r="N4416" s="11"/>
    </row>
    <row r="4417" spans="8:14" x14ac:dyDescent="0.25">
      <c r="H4417" s="37"/>
      <c r="I4417" s="79"/>
      <c r="J4417" s="70"/>
      <c r="K4417" s="57"/>
      <c r="L4417" s="11"/>
      <c r="M4417" s="41"/>
      <c r="N4417" s="11"/>
    </row>
    <row r="4418" spans="8:14" x14ac:dyDescent="0.25">
      <c r="H4418" s="37"/>
      <c r="I4418" s="79"/>
      <c r="J4418" s="70"/>
      <c r="K4418" s="57"/>
      <c r="L4418" s="11"/>
      <c r="M4418" s="41"/>
      <c r="N4418" s="11"/>
    </row>
    <row r="4419" spans="8:14" x14ac:dyDescent="0.25">
      <c r="H4419" s="37"/>
      <c r="I4419" s="79"/>
      <c r="J4419" s="70"/>
      <c r="K4419" s="57"/>
      <c r="L4419" s="11"/>
      <c r="M4419" s="41"/>
      <c r="N4419" s="11"/>
    </row>
    <row r="4420" spans="8:14" x14ac:dyDescent="0.25">
      <c r="H4420" s="37"/>
      <c r="I4420" s="79"/>
      <c r="J4420" s="70"/>
      <c r="K4420" s="57"/>
      <c r="L4420" s="11"/>
      <c r="M4420" s="41"/>
      <c r="N4420" s="11"/>
    </row>
    <row r="4421" spans="8:14" x14ac:dyDescent="0.25">
      <c r="H4421" s="37"/>
      <c r="I4421" s="79"/>
      <c r="J4421" s="70"/>
      <c r="K4421" s="57"/>
      <c r="L4421" s="11"/>
      <c r="M4421" s="41"/>
      <c r="N4421" s="11"/>
    </row>
    <row r="4422" spans="8:14" x14ac:dyDescent="0.25">
      <c r="H4422" s="37"/>
      <c r="I4422" s="79"/>
      <c r="J4422" s="70"/>
      <c r="K4422" s="57"/>
      <c r="L4422" s="11"/>
      <c r="M4422" s="41"/>
      <c r="N4422" s="11"/>
    </row>
    <row r="4423" spans="8:14" x14ac:dyDescent="0.25">
      <c r="H4423" s="37"/>
      <c r="I4423" s="79"/>
      <c r="J4423" s="70"/>
      <c r="K4423" s="57"/>
      <c r="L4423" s="11"/>
      <c r="M4423" s="41"/>
      <c r="N4423" s="11"/>
    </row>
    <row r="4424" spans="8:14" x14ac:dyDescent="0.25">
      <c r="H4424" s="37"/>
      <c r="I4424" s="79"/>
      <c r="J4424" s="70"/>
      <c r="K4424" s="57"/>
      <c r="L4424" s="11"/>
      <c r="M4424" s="41"/>
      <c r="N4424" s="11"/>
    </row>
    <row r="4425" spans="8:14" x14ac:dyDescent="0.25">
      <c r="H4425" s="37"/>
      <c r="I4425" s="79"/>
      <c r="J4425" s="70"/>
      <c r="K4425" s="57"/>
      <c r="L4425" s="11"/>
      <c r="M4425" s="41"/>
      <c r="N4425" s="11"/>
    </row>
    <row r="4426" spans="8:14" x14ac:dyDescent="0.25">
      <c r="H4426" s="37"/>
      <c r="I4426" s="79"/>
      <c r="J4426" s="70"/>
      <c r="K4426" s="57"/>
      <c r="L4426" s="11"/>
      <c r="M4426" s="41"/>
      <c r="N4426" s="11"/>
    </row>
    <row r="4427" spans="8:14" x14ac:dyDescent="0.25">
      <c r="H4427" s="37"/>
      <c r="I4427" s="79"/>
      <c r="J4427" s="70"/>
      <c r="K4427" s="57"/>
      <c r="L4427" s="11"/>
      <c r="M4427" s="41"/>
      <c r="N4427" s="11"/>
    </row>
    <row r="4428" spans="8:14" x14ac:dyDescent="0.25">
      <c r="H4428" s="37"/>
      <c r="I4428" s="79"/>
      <c r="J4428" s="70"/>
      <c r="K4428" s="57"/>
      <c r="L4428" s="11"/>
      <c r="M4428" s="41"/>
      <c r="N4428" s="11"/>
    </row>
    <row r="4429" spans="8:14" x14ac:dyDescent="0.25">
      <c r="H4429" s="37"/>
      <c r="I4429" s="79"/>
      <c r="J4429" s="70"/>
      <c r="K4429" s="57"/>
      <c r="L4429" s="11"/>
      <c r="M4429" s="41"/>
      <c r="N4429" s="11"/>
    </row>
    <row r="4430" spans="8:14" x14ac:dyDescent="0.25">
      <c r="H4430" s="37"/>
      <c r="I4430" s="79"/>
      <c r="J4430" s="70"/>
      <c r="K4430" s="57"/>
      <c r="L4430" s="11"/>
      <c r="M4430" s="41"/>
      <c r="N4430" s="11"/>
    </row>
    <row r="4431" spans="8:14" x14ac:dyDescent="0.25">
      <c r="H4431" s="37"/>
      <c r="I4431" s="79"/>
      <c r="J4431" s="70"/>
      <c r="K4431" s="57"/>
      <c r="L4431" s="11"/>
      <c r="M4431" s="41"/>
      <c r="N4431" s="11"/>
    </row>
    <row r="4432" spans="8:14" x14ac:dyDescent="0.25">
      <c r="H4432" s="37"/>
      <c r="I4432" s="79"/>
      <c r="J4432" s="70"/>
      <c r="K4432" s="57"/>
      <c r="L4432" s="11"/>
      <c r="M4432" s="41"/>
      <c r="N4432" s="11"/>
    </row>
    <row r="4433" spans="8:14" x14ac:dyDescent="0.25">
      <c r="H4433" s="37"/>
      <c r="I4433" s="79"/>
      <c r="J4433" s="70"/>
      <c r="K4433" s="57"/>
      <c r="L4433" s="11"/>
      <c r="M4433" s="41"/>
      <c r="N4433" s="11"/>
    </row>
    <row r="4434" spans="8:14" x14ac:dyDescent="0.25">
      <c r="H4434" s="37"/>
      <c r="I4434" s="79"/>
      <c r="J4434" s="70"/>
      <c r="K4434" s="57"/>
      <c r="L4434" s="11"/>
      <c r="M4434" s="41"/>
      <c r="N4434" s="11"/>
    </row>
    <row r="4435" spans="8:14" x14ac:dyDescent="0.25">
      <c r="H4435" s="37"/>
      <c r="I4435" s="79"/>
      <c r="J4435" s="70"/>
      <c r="K4435" s="57"/>
      <c r="L4435" s="11"/>
      <c r="M4435" s="41"/>
      <c r="N4435" s="11"/>
    </row>
    <row r="4436" spans="8:14" x14ac:dyDescent="0.25">
      <c r="H4436" s="37"/>
      <c r="I4436" s="79"/>
      <c r="J4436" s="70"/>
      <c r="K4436" s="57"/>
      <c r="L4436" s="11"/>
      <c r="M4436" s="41"/>
      <c r="N4436" s="11"/>
    </row>
    <row r="4437" spans="8:14" x14ac:dyDescent="0.25">
      <c r="H4437" s="37"/>
      <c r="I4437" s="79"/>
      <c r="J4437" s="70"/>
      <c r="K4437" s="57"/>
      <c r="L4437" s="11"/>
      <c r="M4437" s="41"/>
      <c r="N4437" s="11"/>
    </row>
    <row r="4438" spans="8:14" x14ac:dyDescent="0.25">
      <c r="H4438" s="37"/>
      <c r="I4438" s="79"/>
      <c r="J4438" s="70"/>
      <c r="K4438" s="57"/>
      <c r="L4438" s="11"/>
      <c r="M4438" s="41"/>
      <c r="N4438" s="11"/>
    </row>
    <row r="4439" spans="8:14" x14ac:dyDescent="0.25">
      <c r="H4439" s="37"/>
      <c r="I4439" s="79"/>
      <c r="J4439" s="70"/>
      <c r="K4439" s="57"/>
      <c r="L4439" s="11"/>
      <c r="M4439" s="41"/>
      <c r="N4439" s="11"/>
    </row>
    <row r="4440" spans="8:14" x14ac:dyDescent="0.25">
      <c r="H4440" s="37"/>
      <c r="I4440" s="79"/>
      <c r="J4440" s="70"/>
      <c r="K4440" s="57"/>
      <c r="L4440" s="11"/>
      <c r="M4440" s="41"/>
      <c r="N4440" s="11"/>
    </row>
    <row r="4441" spans="8:14" x14ac:dyDescent="0.25">
      <c r="H4441" s="37"/>
      <c r="I4441" s="79"/>
      <c r="J4441" s="70"/>
      <c r="K4441" s="57"/>
      <c r="L4441" s="11"/>
      <c r="M4441" s="41"/>
      <c r="N4441" s="11"/>
    </row>
    <row r="4442" spans="8:14" x14ac:dyDescent="0.25">
      <c r="H4442" s="37"/>
      <c r="I4442" s="79"/>
      <c r="J4442" s="70"/>
      <c r="K4442" s="57"/>
      <c r="L4442" s="11"/>
      <c r="M4442" s="41"/>
      <c r="N4442" s="11"/>
    </row>
    <row r="4443" spans="8:14" x14ac:dyDescent="0.25">
      <c r="H4443" s="37"/>
      <c r="I4443" s="79"/>
      <c r="J4443" s="70"/>
      <c r="K4443" s="57"/>
      <c r="L4443" s="11"/>
      <c r="M4443" s="41"/>
      <c r="N4443" s="11"/>
    </row>
    <row r="4444" spans="8:14" x14ac:dyDescent="0.25">
      <c r="H4444" s="37"/>
      <c r="I4444" s="79"/>
      <c r="J4444" s="70"/>
      <c r="K4444" s="57"/>
      <c r="L4444" s="11"/>
      <c r="M4444" s="41"/>
      <c r="N4444" s="11"/>
    </row>
    <row r="4445" spans="8:14" x14ac:dyDescent="0.25">
      <c r="H4445" s="37"/>
      <c r="I4445" s="79"/>
      <c r="J4445" s="70"/>
      <c r="K4445" s="57"/>
      <c r="L4445" s="11"/>
      <c r="M4445" s="41"/>
      <c r="N4445" s="11"/>
    </row>
    <row r="4446" spans="8:14" x14ac:dyDescent="0.25">
      <c r="H4446" s="37"/>
      <c r="I4446" s="79"/>
      <c r="J4446" s="70"/>
      <c r="K4446" s="57"/>
      <c r="L4446" s="11"/>
      <c r="M4446" s="41"/>
      <c r="N4446" s="11"/>
    </row>
    <row r="4447" spans="8:14" x14ac:dyDescent="0.25">
      <c r="H4447" s="37"/>
      <c r="I4447" s="79"/>
      <c r="J4447" s="70"/>
      <c r="K4447" s="57"/>
      <c r="L4447" s="11"/>
      <c r="M4447" s="41"/>
      <c r="N4447" s="11"/>
    </row>
    <row r="4448" spans="8:14" x14ac:dyDescent="0.25">
      <c r="H4448" s="37"/>
      <c r="I4448" s="79"/>
      <c r="J4448" s="70"/>
      <c r="K4448" s="57"/>
      <c r="L4448" s="11"/>
      <c r="M4448" s="41"/>
      <c r="N4448" s="11"/>
    </row>
    <row r="4449" spans="8:14" x14ac:dyDescent="0.25">
      <c r="H4449" s="37"/>
      <c r="I4449" s="79"/>
      <c r="J4449" s="70"/>
      <c r="K4449" s="57"/>
      <c r="L4449" s="11"/>
      <c r="M4449" s="41"/>
      <c r="N4449" s="11"/>
    </row>
    <row r="4450" spans="8:14" x14ac:dyDescent="0.25">
      <c r="H4450" s="37"/>
      <c r="I4450" s="79"/>
      <c r="J4450" s="70"/>
      <c r="K4450" s="57"/>
      <c r="L4450" s="11"/>
      <c r="M4450" s="41"/>
      <c r="N4450" s="11"/>
    </row>
    <row r="4451" spans="8:14" x14ac:dyDescent="0.25">
      <c r="H4451" s="37"/>
      <c r="I4451" s="79"/>
      <c r="J4451" s="70"/>
      <c r="K4451" s="57"/>
      <c r="L4451" s="11"/>
      <c r="M4451" s="41"/>
      <c r="N4451" s="11"/>
    </row>
    <row r="4452" spans="8:14" x14ac:dyDescent="0.25">
      <c r="H4452" s="37"/>
      <c r="I4452" s="79"/>
      <c r="J4452" s="70"/>
      <c r="K4452" s="57"/>
      <c r="L4452" s="11"/>
      <c r="M4452" s="41"/>
      <c r="N4452" s="11"/>
    </row>
    <row r="4453" spans="8:14" x14ac:dyDescent="0.25">
      <c r="H4453" s="37"/>
      <c r="I4453" s="79"/>
      <c r="J4453" s="70"/>
      <c r="K4453" s="57"/>
      <c r="L4453" s="11"/>
      <c r="M4453" s="41"/>
      <c r="N4453" s="11"/>
    </row>
    <row r="4454" spans="8:14" x14ac:dyDescent="0.25">
      <c r="H4454" s="37"/>
      <c r="I4454" s="79"/>
      <c r="J4454" s="70"/>
      <c r="K4454" s="57"/>
      <c r="L4454" s="11"/>
      <c r="M4454" s="41"/>
      <c r="N4454" s="11"/>
    </row>
    <row r="4455" spans="8:14" x14ac:dyDescent="0.25">
      <c r="H4455" s="37"/>
      <c r="I4455" s="79"/>
      <c r="J4455" s="70"/>
      <c r="K4455" s="57"/>
      <c r="L4455" s="11"/>
      <c r="M4455" s="41"/>
      <c r="N4455" s="11"/>
    </row>
    <row r="4456" spans="8:14" x14ac:dyDescent="0.25">
      <c r="H4456" s="37"/>
      <c r="I4456" s="79"/>
      <c r="J4456" s="70"/>
      <c r="K4456" s="57"/>
      <c r="L4456" s="11"/>
      <c r="M4456" s="41"/>
      <c r="N4456" s="11"/>
    </row>
    <row r="4457" spans="8:14" x14ac:dyDescent="0.25">
      <c r="H4457" s="37"/>
      <c r="I4457" s="79"/>
      <c r="J4457" s="70"/>
      <c r="K4457" s="57"/>
      <c r="L4457" s="11"/>
      <c r="M4457" s="41"/>
      <c r="N4457" s="11"/>
    </row>
    <row r="4458" spans="8:14" x14ac:dyDescent="0.25">
      <c r="H4458" s="37"/>
      <c r="I4458" s="79"/>
      <c r="J4458" s="70"/>
      <c r="K4458" s="57"/>
      <c r="L4458" s="11"/>
      <c r="M4458" s="41"/>
      <c r="N4458" s="11"/>
    </row>
    <row r="4459" spans="8:14" x14ac:dyDescent="0.25">
      <c r="H4459" s="37"/>
      <c r="I4459" s="79"/>
      <c r="J4459" s="70"/>
      <c r="K4459" s="57"/>
      <c r="L4459" s="11"/>
      <c r="M4459" s="41"/>
      <c r="N4459" s="11"/>
    </row>
    <row r="4460" spans="8:14" x14ac:dyDescent="0.25">
      <c r="H4460" s="37"/>
      <c r="I4460" s="79"/>
      <c r="J4460" s="70"/>
      <c r="K4460" s="57"/>
      <c r="L4460" s="11"/>
      <c r="M4460" s="41"/>
      <c r="N4460" s="11"/>
    </row>
    <row r="4461" spans="8:14" x14ac:dyDescent="0.25">
      <c r="H4461" s="37"/>
      <c r="I4461" s="79"/>
      <c r="J4461" s="70"/>
      <c r="K4461" s="57"/>
      <c r="L4461" s="11"/>
      <c r="M4461" s="41"/>
      <c r="N4461" s="11"/>
    </row>
    <row r="4462" spans="8:14" x14ac:dyDescent="0.25">
      <c r="H4462" s="37"/>
      <c r="I4462" s="79"/>
      <c r="J4462" s="70"/>
      <c r="K4462" s="57"/>
      <c r="L4462" s="11"/>
      <c r="M4462" s="41"/>
      <c r="N4462" s="11"/>
    </row>
    <row r="4463" spans="8:14" x14ac:dyDescent="0.25">
      <c r="H4463" s="37"/>
      <c r="I4463" s="79"/>
      <c r="J4463" s="70"/>
      <c r="K4463" s="57"/>
      <c r="L4463" s="11"/>
      <c r="M4463" s="41"/>
      <c r="N4463" s="11"/>
    </row>
    <row r="4464" spans="8:14" x14ac:dyDescent="0.25">
      <c r="H4464" s="37"/>
      <c r="I4464" s="79"/>
      <c r="J4464" s="70"/>
      <c r="K4464" s="57"/>
      <c r="L4464" s="11"/>
      <c r="M4464" s="41"/>
      <c r="N4464" s="11"/>
    </row>
    <row r="4465" spans="8:14" x14ac:dyDescent="0.25">
      <c r="H4465" s="37"/>
      <c r="I4465" s="79"/>
      <c r="J4465" s="70"/>
      <c r="K4465" s="57"/>
      <c r="L4465" s="11"/>
      <c r="M4465" s="41"/>
      <c r="N4465" s="11"/>
    </row>
    <row r="4466" spans="8:14" x14ac:dyDescent="0.25">
      <c r="H4466" s="37"/>
      <c r="I4466" s="79"/>
      <c r="J4466" s="70"/>
      <c r="K4466" s="57"/>
      <c r="L4466" s="11"/>
      <c r="M4466" s="41"/>
      <c r="N4466" s="11"/>
    </row>
    <row r="4467" spans="8:14" x14ac:dyDescent="0.25">
      <c r="H4467" s="37"/>
      <c r="I4467" s="79"/>
      <c r="J4467" s="70"/>
      <c r="K4467" s="57"/>
      <c r="L4467" s="11"/>
      <c r="M4467" s="41"/>
      <c r="N4467" s="11"/>
    </row>
    <row r="4468" spans="8:14" x14ac:dyDescent="0.25">
      <c r="H4468" s="37"/>
      <c r="I4468" s="79"/>
      <c r="J4468" s="70"/>
      <c r="K4468" s="57"/>
      <c r="L4468" s="11"/>
      <c r="M4468" s="41"/>
      <c r="N4468" s="11"/>
    </row>
    <row r="4469" spans="8:14" x14ac:dyDescent="0.25">
      <c r="H4469" s="37"/>
      <c r="I4469" s="79"/>
      <c r="J4469" s="70"/>
      <c r="K4469" s="57"/>
      <c r="L4469" s="11"/>
      <c r="M4469" s="41"/>
      <c r="N4469" s="11"/>
    </row>
    <row r="4470" spans="8:14" x14ac:dyDescent="0.25">
      <c r="H4470" s="37"/>
      <c r="I4470" s="79"/>
      <c r="J4470" s="70"/>
      <c r="K4470" s="57"/>
      <c r="L4470" s="11"/>
      <c r="M4470" s="41"/>
      <c r="N4470" s="11"/>
    </row>
    <row r="4471" spans="8:14" x14ac:dyDescent="0.25">
      <c r="H4471" s="37"/>
      <c r="I4471" s="79"/>
      <c r="J4471" s="70"/>
      <c r="K4471" s="57"/>
      <c r="L4471" s="11"/>
      <c r="M4471" s="41"/>
      <c r="N4471" s="11"/>
    </row>
    <row r="4472" spans="8:14" x14ac:dyDescent="0.25">
      <c r="H4472" s="37"/>
      <c r="I4472" s="79"/>
      <c r="J4472" s="70"/>
      <c r="K4472" s="57"/>
      <c r="L4472" s="11"/>
      <c r="M4472" s="41"/>
      <c r="N4472" s="11"/>
    </row>
    <row r="4473" spans="8:14" x14ac:dyDescent="0.25">
      <c r="H4473" s="37"/>
      <c r="I4473" s="79"/>
      <c r="J4473" s="70"/>
      <c r="K4473" s="57"/>
      <c r="L4473" s="11"/>
      <c r="M4473" s="41"/>
      <c r="N4473" s="11"/>
    </row>
    <row r="4474" spans="8:14" x14ac:dyDescent="0.25">
      <c r="H4474" s="37"/>
      <c r="I4474" s="79"/>
      <c r="J4474" s="70"/>
      <c r="K4474" s="57"/>
      <c r="L4474" s="11"/>
      <c r="M4474" s="41"/>
      <c r="N4474" s="11"/>
    </row>
    <row r="4475" spans="8:14" x14ac:dyDescent="0.25">
      <c r="H4475" s="37"/>
      <c r="I4475" s="79"/>
      <c r="J4475" s="70"/>
      <c r="K4475" s="57"/>
      <c r="L4475" s="11"/>
      <c r="M4475" s="41"/>
      <c r="N4475" s="11"/>
    </row>
    <row r="4476" spans="8:14" x14ac:dyDescent="0.25">
      <c r="H4476" s="37"/>
      <c r="I4476" s="79"/>
      <c r="J4476" s="70"/>
      <c r="K4476" s="57"/>
      <c r="L4476" s="11"/>
      <c r="M4476" s="41"/>
      <c r="N4476" s="11"/>
    </row>
    <row r="4477" spans="8:14" x14ac:dyDescent="0.25">
      <c r="H4477" s="37"/>
      <c r="I4477" s="79"/>
      <c r="J4477" s="70"/>
      <c r="K4477" s="57"/>
      <c r="L4477" s="11"/>
      <c r="M4477" s="41"/>
      <c r="N4477" s="11"/>
    </row>
    <row r="4478" spans="8:14" x14ac:dyDescent="0.25">
      <c r="H4478" s="37"/>
      <c r="I4478" s="79"/>
      <c r="J4478" s="70"/>
      <c r="K4478" s="57"/>
      <c r="L4478" s="11"/>
      <c r="M4478" s="41"/>
      <c r="N4478" s="11"/>
    </row>
    <row r="4479" spans="8:14" x14ac:dyDescent="0.25">
      <c r="H4479" s="37"/>
      <c r="I4479" s="79"/>
      <c r="J4479" s="70"/>
      <c r="K4479" s="57"/>
      <c r="L4479" s="11"/>
      <c r="M4479" s="41"/>
      <c r="N4479" s="11"/>
    </row>
    <row r="4480" spans="8:14" x14ac:dyDescent="0.25">
      <c r="H4480" s="37"/>
      <c r="I4480" s="79"/>
      <c r="J4480" s="70"/>
      <c r="K4480" s="57"/>
      <c r="L4480" s="11"/>
      <c r="M4480" s="41"/>
      <c r="N4480" s="11"/>
    </row>
    <row r="4481" spans="8:14" x14ac:dyDescent="0.25">
      <c r="H4481" s="37"/>
      <c r="I4481" s="79"/>
      <c r="J4481" s="70"/>
      <c r="K4481" s="57"/>
      <c r="L4481" s="11"/>
      <c r="M4481" s="41"/>
      <c r="N4481" s="11"/>
    </row>
    <row r="4482" spans="8:14" x14ac:dyDescent="0.25">
      <c r="H4482" s="37"/>
      <c r="I4482" s="79"/>
      <c r="J4482" s="70"/>
      <c r="K4482" s="57"/>
      <c r="L4482" s="11"/>
      <c r="M4482" s="41"/>
      <c r="N4482" s="11"/>
    </row>
    <row r="4483" spans="8:14" x14ac:dyDescent="0.25">
      <c r="H4483" s="37"/>
      <c r="I4483" s="79"/>
      <c r="J4483" s="70"/>
      <c r="K4483" s="57"/>
      <c r="L4483" s="11"/>
      <c r="M4483" s="41"/>
      <c r="N4483" s="11"/>
    </row>
    <row r="4484" spans="8:14" x14ac:dyDescent="0.25">
      <c r="H4484" s="37"/>
      <c r="I4484" s="79"/>
      <c r="J4484" s="70"/>
      <c r="K4484" s="57"/>
      <c r="L4484" s="11"/>
      <c r="M4484" s="41"/>
      <c r="N4484" s="11"/>
    </row>
    <row r="4485" spans="8:14" x14ac:dyDescent="0.25">
      <c r="H4485" s="37"/>
      <c r="I4485" s="79"/>
      <c r="J4485" s="70"/>
      <c r="K4485" s="57"/>
      <c r="L4485" s="11"/>
      <c r="M4485" s="41"/>
      <c r="N4485" s="11"/>
    </row>
    <row r="4486" spans="8:14" x14ac:dyDescent="0.25">
      <c r="H4486" s="37"/>
      <c r="I4486" s="79"/>
      <c r="J4486" s="70"/>
      <c r="K4486" s="57"/>
      <c r="L4486" s="11"/>
      <c r="M4486" s="41"/>
      <c r="N4486" s="11"/>
    </row>
    <row r="4487" spans="8:14" x14ac:dyDescent="0.25">
      <c r="H4487" s="37"/>
      <c r="I4487" s="79"/>
      <c r="J4487" s="70"/>
      <c r="K4487" s="57"/>
      <c r="L4487" s="11"/>
      <c r="M4487" s="41"/>
      <c r="N4487" s="11"/>
    </row>
    <row r="4488" spans="8:14" x14ac:dyDescent="0.25">
      <c r="H4488" s="37"/>
      <c r="I4488" s="79"/>
      <c r="J4488" s="70"/>
      <c r="K4488" s="57"/>
      <c r="L4488" s="11"/>
      <c r="M4488" s="41"/>
      <c r="N4488" s="11"/>
    </row>
    <row r="4489" spans="8:14" x14ac:dyDescent="0.25">
      <c r="H4489" s="37"/>
      <c r="I4489" s="79"/>
      <c r="J4489" s="70"/>
      <c r="K4489" s="57"/>
      <c r="L4489" s="11"/>
      <c r="M4489" s="41"/>
      <c r="N4489" s="11"/>
    </row>
    <row r="4490" spans="8:14" x14ac:dyDescent="0.25">
      <c r="H4490" s="37"/>
      <c r="I4490" s="79"/>
      <c r="J4490" s="70"/>
      <c r="K4490" s="57"/>
      <c r="L4490" s="11"/>
      <c r="M4490" s="41"/>
      <c r="N4490" s="11"/>
    </row>
    <row r="4491" spans="8:14" x14ac:dyDescent="0.25">
      <c r="H4491" s="37"/>
      <c r="I4491" s="79"/>
      <c r="J4491" s="70"/>
      <c r="K4491" s="57"/>
      <c r="L4491" s="11"/>
      <c r="M4491" s="41"/>
      <c r="N4491" s="11"/>
    </row>
    <row r="4492" spans="8:14" x14ac:dyDescent="0.25">
      <c r="H4492" s="37"/>
      <c r="I4492" s="79"/>
      <c r="J4492" s="70"/>
      <c r="K4492" s="57"/>
      <c r="L4492" s="11"/>
      <c r="M4492" s="41"/>
      <c r="N4492" s="11"/>
    </row>
    <row r="4493" spans="8:14" x14ac:dyDescent="0.25">
      <c r="H4493" s="37"/>
      <c r="I4493" s="79"/>
      <c r="J4493" s="70"/>
      <c r="K4493" s="57"/>
      <c r="L4493" s="11"/>
      <c r="M4493" s="41"/>
      <c r="N4493" s="11"/>
    </row>
    <row r="4494" spans="8:14" x14ac:dyDescent="0.25">
      <c r="H4494" s="37"/>
      <c r="I4494" s="79"/>
      <c r="J4494" s="70"/>
      <c r="K4494" s="57"/>
      <c r="L4494" s="11"/>
      <c r="M4494" s="41"/>
      <c r="N4494" s="11"/>
    </row>
    <row r="4495" spans="8:14" x14ac:dyDescent="0.25">
      <c r="H4495" s="37"/>
      <c r="I4495" s="79"/>
      <c r="J4495" s="70"/>
      <c r="K4495" s="57"/>
      <c r="L4495" s="11"/>
      <c r="M4495" s="41"/>
      <c r="N4495" s="11"/>
    </row>
    <row r="4496" spans="8:14" x14ac:dyDescent="0.25">
      <c r="H4496" s="37"/>
      <c r="I4496" s="79"/>
      <c r="J4496" s="70"/>
      <c r="K4496" s="57"/>
      <c r="L4496" s="11"/>
      <c r="M4496" s="41"/>
      <c r="N4496" s="11"/>
    </row>
    <row r="4497" spans="8:14" x14ac:dyDescent="0.25">
      <c r="H4497" s="37"/>
      <c r="I4497" s="79"/>
      <c r="J4497" s="70"/>
      <c r="K4497" s="57"/>
      <c r="L4497" s="11"/>
      <c r="M4497" s="41"/>
      <c r="N4497" s="11"/>
    </row>
    <row r="4498" spans="8:14" x14ac:dyDescent="0.25">
      <c r="H4498" s="37"/>
      <c r="I4498" s="79"/>
      <c r="J4498" s="70"/>
      <c r="K4498" s="57"/>
      <c r="L4498" s="11"/>
      <c r="M4498" s="41"/>
      <c r="N4498" s="11"/>
    </row>
    <row r="4499" spans="8:14" x14ac:dyDescent="0.25">
      <c r="H4499" s="37"/>
      <c r="I4499" s="79"/>
      <c r="J4499" s="70"/>
      <c r="K4499" s="57"/>
      <c r="L4499" s="11"/>
      <c r="M4499" s="41"/>
      <c r="N4499" s="11"/>
    </row>
    <row r="4500" spans="8:14" x14ac:dyDescent="0.25">
      <c r="H4500" s="37"/>
      <c r="I4500" s="79"/>
      <c r="J4500" s="70"/>
      <c r="K4500" s="57"/>
      <c r="L4500" s="11"/>
      <c r="M4500" s="41"/>
      <c r="N4500" s="11"/>
    </row>
    <row r="4501" spans="8:14" x14ac:dyDescent="0.25">
      <c r="H4501" s="37"/>
      <c r="I4501" s="79"/>
      <c r="J4501" s="70"/>
      <c r="K4501" s="57"/>
      <c r="L4501" s="11"/>
      <c r="M4501" s="41"/>
      <c r="N4501" s="11"/>
    </row>
    <row r="4502" spans="8:14" x14ac:dyDescent="0.25">
      <c r="H4502" s="37"/>
      <c r="I4502" s="79"/>
      <c r="J4502" s="70"/>
      <c r="K4502" s="57"/>
      <c r="L4502" s="11"/>
      <c r="M4502" s="41"/>
      <c r="N4502" s="11"/>
    </row>
    <row r="4503" spans="8:14" x14ac:dyDescent="0.25">
      <c r="H4503" s="37"/>
      <c r="I4503" s="79"/>
      <c r="J4503" s="70"/>
      <c r="K4503" s="57"/>
      <c r="L4503" s="11"/>
      <c r="M4503" s="41"/>
      <c r="N4503" s="11"/>
    </row>
    <row r="4504" spans="8:14" x14ac:dyDescent="0.25">
      <c r="H4504" s="37"/>
      <c r="I4504" s="79"/>
      <c r="J4504" s="70"/>
      <c r="K4504" s="57"/>
      <c r="L4504" s="11"/>
      <c r="M4504" s="41"/>
      <c r="N4504" s="11"/>
    </row>
    <row r="4505" spans="8:14" x14ac:dyDescent="0.25">
      <c r="H4505" s="37"/>
      <c r="I4505" s="79"/>
      <c r="J4505" s="70"/>
      <c r="K4505" s="57"/>
      <c r="L4505" s="11"/>
      <c r="M4505" s="41"/>
      <c r="N4505" s="11"/>
    </row>
    <row r="4506" spans="8:14" x14ac:dyDescent="0.25">
      <c r="H4506" s="37"/>
      <c r="I4506" s="79"/>
      <c r="J4506" s="70"/>
      <c r="K4506" s="57"/>
      <c r="L4506" s="11"/>
      <c r="M4506" s="41"/>
      <c r="N4506" s="11"/>
    </row>
    <row r="4507" spans="8:14" x14ac:dyDescent="0.25">
      <c r="H4507" s="37"/>
      <c r="I4507" s="79"/>
      <c r="J4507" s="70"/>
      <c r="K4507" s="57"/>
      <c r="L4507" s="11"/>
      <c r="M4507" s="41"/>
      <c r="N4507" s="11"/>
    </row>
    <row r="4508" spans="8:14" x14ac:dyDescent="0.25">
      <c r="H4508" s="37"/>
      <c r="I4508" s="79"/>
      <c r="J4508" s="70"/>
      <c r="K4508" s="57"/>
      <c r="L4508" s="11"/>
      <c r="M4508" s="41"/>
      <c r="N4508" s="11"/>
    </row>
    <row r="4509" spans="8:14" x14ac:dyDescent="0.25">
      <c r="H4509" s="37"/>
      <c r="I4509" s="79"/>
      <c r="J4509" s="70"/>
      <c r="K4509" s="57"/>
      <c r="L4509" s="11"/>
      <c r="M4509" s="41"/>
      <c r="N4509" s="11"/>
    </row>
    <row r="4510" spans="8:14" x14ac:dyDescent="0.25">
      <c r="H4510" s="37"/>
      <c r="I4510" s="79"/>
      <c r="J4510" s="70"/>
      <c r="K4510" s="57"/>
      <c r="L4510" s="11"/>
      <c r="M4510" s="41"/>
      <c r="N4510" s="11"/>
    </row>
    <row r="4511" spans="8:14" x14ac:dyDescent="0.25">
      <c r="H4511" s="37"/>
      <c r="I4511" s="79"/>
      <c r="J4511" s="70"/>
      <c r="K4511" s="57"/>
      <c r="L4511" s="11"/>
      <c r="M4511" s="41"/>
      <c r="N4511" s="11"/>
    </row>
    <row r="4512" spans="8:14" x14ac:dyDescent="0.25">
      <c r="H4512" s="37"/>
      <c r="I4512" s="79"/>
      <c r="J4512" s="70"/>
      <c r="K4512" s="57"/>
      <c r="L4512" s="11"/>
      <c r="M4512" s="41"/>
      <c r="N4512" s="11"/>
    </row>
    <row r="4513" spans="8:14" x14ac:dyDescent="0.25">
      <c r="H4513" s="37"/>
      <c r="I4513" s="79"/>
      <c r="J4513" s="70"/>
      <c r="K4513" s="57"/>
      <c r="L4513" s="11"/>
      <c r="M4513" s="41"/>
      <c r="N4513" s="11"/>
    </row>
    <row r="4514" spans="8:14" x14ac:dyDescent="0.25">
      <c r="H4514" s="37"/>
      <c r="I4514" s="79"/>
      <c r="J4514" s="70"/>
      <c r="K4514" s="57"/>
      <c r="L4514" s="11"/>
      <c r="M4514" s="41"/>
      <c r="N4514" s="11"/>
    </row>
    <row r="4515" spans="8:14" x14ac:dyDescent="0.25">
      <c r="H4515" s="37"/>
      <c r="I4515" s="79"/>
      <c r="J4515" s="70"/>
      <c r="K4515" s="57"/>
      <c r="L4515" s="11"/>
      <c r="M4515" s="41"/>
      <c r="N4515" s="11"/>
    </row>
    <row r="4516" spans="8:14" x14ac:dyDescent="0.25">
      <c r="H4516" s="37"/>
      <c r="I4516" s="79"/>
      <c r="J4516" s="70"/>
      <c r="K4516" s="57"/>
      <c r="L4516" s="11"/>
      <c r="M4516" s="41"/>
      <c r="N4516" s="11"/>
    </row>
    <row r="4517" spans="8:14" x14ac:dyDescent="0.25">
      <c r="H4517" s="37"/>
      <c r="I4517" s="79"/>
      <c r="J4517" s="70"/>
      <c r="K4517" s="57"/>
      <c r="L4517" s="11"/>
      <c r="M4517" s="41"/>
      <c r="N4517" s="11"/>
    </row>
    <row r="4518" spans="8:14" x14ac:dyDescent="0.25">
      <c r="H4518" s="37"/>
      <c r="I4518" s="79"/>
      <c r="J4518" s="70"/>
      <c r="K4518" s="57"/>
      <c r="L4518" s="11"/>
      <c r="M4518" s="41"/>
      <c r="N4518" s="11"/>
    </row>
    <row r="4519" spans="8:14" x14ac:dyDescent="0.25">
      <c r="H4519" s="37"/>
      <c r="I4519" s="79"/>
      <c r="J4519" s="70"/>
      <c r="K4519" s="57"/>
      <c r="L4519" s="11"/>
      <c r="M4519" s="41"/>
      <c r="N4519" s="11"/>
    </row>
    <row r="4520" spans="8:14" x14ac:dyDescent="0.25">
      <c r="H4520" s="37"/>
      <c r="I4520" s="79"/>
      <c r="J4520" s="70"/>
      <c r="K4520" s="57"/>
      <c r="L4520" s="11"/>
      <c r="M4520" s="41"/>
      <c r="N4520" s="11"/>
    </row>
    <row r="4521" spans="8:14" x14ac:dyDescent="0.25">
      <c r="H4521" s="37"/>
      <c r="I4521" s="79"/>
      <c r="J4521" s="70"/>
      <c r="K4521" s="57"/>
      <c r="L4521" s="11"/>
      <c r="M4521" s="41"/>
      <c r="N4521" s="11"/>
    </row>
    <row r="4522" spans="8:14" x14ac:dyDescent="0.25">
      <c r="H4522" s="37"/>
      <c r="I4522" s="79"/>
      <c r="J4522" s="70"/>
      <c r="K4522" s="57"/>
      <c r="L4522" s="11"/>
      <c r="M4522" s="41"/>
      <c r="N4522" s="11"/>
    </row>
    <row r="4523" spans="8:14" x14ac:dyDescent="0.25">
      <c r="H4523" s="37"/>
      <c r="I4523" s="79"/>
      <c r="J4523" s="70"/>
      <c r="K4523" s="57"/>
      <c r="L4523" s="11"/>
      <c r="M4523" s="41"/>
      <c r="N4523" s="11"/>
    </row>
    <row r="4524" spans="8:14" x14ac:dyDescent="0.25">
      <c r="H4524" s="37"/>
      <c r="I4524" s="79"/>
      <c r="J4524" s="70"/>
      <c r="K4524" s="57"/>
      <c r="L4524" s="11"/>
      <c r="M4524" s="41"/>
      <c r="N4524" s="11"/>
    </row>
    <row r="4525" spans="8:14" x14ac:dyDescent="0.25">
      <c r="H4525" s="37"/>
      <c r="I4525" s="79"/>
      <c r="J4525" s="70"/>
      <c r="K4525" s="57"/>
      <c r="L4525" s="11"/>
      <c r="M4525" s="41"/>
      <c r="N4525" s="11"/>
    </row>
    <row r="4526" spans="8:14" x14ac:dyDescent="0.25">
      <c r="H4526" s="37"/>
      <c r="I4526" s="79"/>
      <c r="J4526" s="70"/>
      <c r="K4526" s="57"/>
      <c r="L4526" s="11"/>
      <c r="M4526" s="41"/>
      <c r="N4526" s="11"/>
    </row>
    <row r="4527" spans="8:14" x14ac:dyDescent="0.25">
      <c r="H4527" s="37"/>
      <c r="I4527" s="79"/>
      <c r="J4527" s="70"/>
      <c r="K4527" s="57"/>
      <c r="L4527" s="11"/>
      <c r="M4527" s="41"/>
      <c r="N4527" s="11"/>
    </row>
    <row r="4528" spans="8:14" x14ac:dyDescent="0.25">
      <c r="H4528" s="37"/>
      <c r="I4528" s="79"/>
      <c r="J4528" s="70"/>
      <c r="K4528" s="57"/>
      <c r="L4528" s="11"/>
      <c r="M4528" s="41"/>
      <c r="N4528" s="11"/>
    </row>
    <row r="4529" spans="8:14" x14ac:dyDescent="0.25">
      <c r="H4529" s="37"/>
      <c r="I4529" s="79"/>
      <c r="J4529" s="70"/>
      <c r="K4529" s="57"/>
      <c r="L4529" s="11"/>
      <c r="M4529" s="41"/>
      <c r="N4529" s="11"/>
    </row>
    <row r="4530" spans="8:14" x14ac:dyDescent="0.25">
      <c r="H4530" s="37"/>
      <c r="I4530" s="79"/>
      <c r="J4530" s="70"/>
      <c r="K4530" s="57"/>
      <c r="L4530" s="11"/>
      <c r="M4530" s="41"/>
      <c r="N4530" s="11"/>
    </row>
    <row r="4531" spans="8:14" x14ac:dyDescent="0.25">
      <c r="H4531" s="37"/>
      <c r="I4531" s="79"/>
      <c r="J4531" s="70"/>
      <c r="K4531" s="57"/>
      <c r="L4531" s="11"/>
      <c r="M4531" s="41"/>
      <c r="N4531" s="11"/>
    </row>
    <row r="4532" spans="8:14" x14ac:dyDescent="0.25">
      <c r="H4532" s="37"/>
      <c r="I4532" s="79"/>
      <c r="J4532" s="70"/>
      <c r="K4532" s="57"/>
      <c r="L4532" s="11"/>
      <c r="M4532" s="41"/>
      <c r="N4532" s="11"/>
    </row>
    <row r="4533" spans="8:14" x14ac:dyDescent="0.25">
      <c r="H4533" s="37"/>
      <c r="I4533" s="79"/>
      <c r="J4533" s="70"/>
      <c r="K4533" s="57"/>
      <c r="L4533" s="11"/>
      <c r="M4533" s="41"/>
      <c r="N4533" s="11"/>
    </row>
    <row r="4534" spans="8:14" x14ac:dyDescent="0.25">
      <c r="H4534" s="37"/>
      <c r="I4534" s="79"/>
      <c r="J4534" s="70"/>
      <c r="K4534" s="57"/>
      <c r="L4534" s="11"/>
      <c r="M4534" s="41"/>
      <c r="N4534" s="11"/>
    </row>
    <row r="4535" spans="8:14" x14ac:dyDescent="0.25">
      <c r="H4535" s="37"/>
      <c r="I4535" s="79"/>
      <c r="J4535" s="70"/>
      <c r="K4535" s="57"/>
      <c r="L4535" s="11"/>
      <c r="M4535" s="41"/>
      <c r="N4535" s="11"/>
    </row>
    <row r="4536" spans="8:14" x14ac:dyDescent="0.25">
      <c r="H4536" s="37"/>
      <c r="I4536" s="79"/>
      <c r="J4536" s="70"/>
      <c r="K4536" s="57"/>
      <c r="L4536" s="11"/>
      <c r="M4536" s="41"/>
      <c r="N4536" s="11"/>
    </row>
    <row r="4537" spans="8:14" x14ac:dyDescent="0.25">
      <c r="H4537" s="37"/>
      <c r="I4537" s="79"/>
      <c r="J4537" s="70"/>
      <c r="K4537" s="57"/>
      <c r="L4537" s="11"/>
      <c r="M4537" s="41"/>
      <c r="N4537" s="11"/>
    </row>
    <row r="4538" spans="8:14" x14ac:dyDescent="0.25">
      <c r="H4538" s="37"/>
      <c r="I4538" s="79"/>
      <c r="J4538" s="70"/>
      <c r="K4538" s="57"/>
      <c r="L4538" s="11"/>
      <c r="M4538" s="41"/>
      <c r="N4538" s="11"/>
    </row>
    <row r="4539" spans="8:14" x14ac:dyDescent="0.25">
      <c r="H4539" s="37"/>
      <c r="I4539" s="79"/>
      <c r="J4539" s="70"/>
      <c r="K4539" s="57"/>
      <c r="L4539" s="11"/>
      <c r="M4539" s="41"/>
      <c r="N4539" s="11"/>
    </row>
    <row r="4540" spans="8:14" x14ac:dyDescent="0.25">
      <c r="H4540" s="37"/>
      <c r="I4540" s="79"/>
      <c r="J4540" s="70"/>
      <c r="K4540" s="57"/>
      <c r="L4540" s="11"/>
      <c r="M4540" s="41"/>
      <c r="N4540" s="11"/>
    </row>
    <row r="4541" spans="8:14" x14ac:dyDescent="0.25">
      <c r="H4541" s="37"/>
      <c r="I4541" s="79"/>
      <c r="J4541" s="70"/>
      <c r="K4541" s="57"/>
      <c r="L4541" s="11"/>
      <c r="M4541" s="41"/>
      <c r="N4541" s="11"/>
    </row>
    <row r="4542" spans="8:14" x14ac:dyDescent="0.25">
      <c r="H4542" s="37"/>
      <c r="I4542" s="79"/>
      <c r="J4542" s="70"/>
      <c r="K4542" s="57"/>
      <c r="L4542" s="11"/>
      <c r="M4542" s="41"/>
      <c r="N4542" s="11"/>
    </row>
    <row r="4543" spans="8:14" x14ac:dyDescent="0.25">
      <c r="H4543" s="37"/>
      <c r="I4543" s="79"/>
      <c r="J4543" s="70"/>
      <c r="K4543" s="57"/>
      <c r="L4543" s="11"/>
      <c r="M4543" s="41"/>
      <c r="N4543" s="11"/>
    </row>
    <row r="4544" spans="8:14" x14ac:dyDescent="0.25">
      <c r="H4544" s="37"/>
      <c r="I4544" s="79"/>
      <c r="J4544" s="70"/>
      <c r="K4544" s="57"/>
      <c r="L4544" s="11"/>
      <c r="M4544" s="41"/>
      <c r="N4544" s="11"/>
    </row>
    <row r="4545" spans="8:14" x14ac:dyDescent="0.25">
      <c r="H4545" s="37"/>
      <c r="I4545" s="79"/>
      <c r="J4545" s="70"/>
      <c r="K4545" s="57"/>
      <c r="L4545" s="11"/>
      <c r="M4545" s="41"/>
      <c r="N4545" s="11"/>
    </row>
    <row r="4546" spans="8:14" x14ac:dyDescent="0.25">
      <c r="H4546" s="37"/>
      <c r="I4546" s="79"/>
      <c r="J4546" s="70"/>
      <c r="K4546" s="57"/>
      <c r="L4546" s="11"/>
      <c r="M4546" s="41"/>
      <c r="N4546" s="11"/>
    </row>
    <row r="4547" spans="8:14" x14ac:dyDescent="0.25">
      <c r="H4547" s="37"/>
      <c r="I4547" s="79"/>
      <c r="J4547" s="70"/>
      <c r="K4547" s="57"/>
      <c r="L4547" s="11"/>
      <c r="M4547" s="41"/>
      <c r="N4547" s="11"/>
    </row>
    <row r="4548" spans="8:14" x14ac:dyDescent="0.25">
      <c r="H4548" s="37"/>
      <c r="I4548" s="79"/>
      <c r="J4548" s="70"/>
      <c r="K4548" s="57"/>
      <c r="L4548" s="11"/>
      <c r="M4548" s="41"/>
      <c r="N4548" s="11"/>
    </row>
    <row r="4549" spans="8:14" x14ac:dyDescent="0.25">
      <c r="H4549" s="37"/>
      <c r="I4549" s="79"/>
      <c r="J4549" s="70"/>
      <c r="K4549" s="57"/>
      <c r="L4549" s="11"/>
      <c r="M4549" s="41"/>
      <c r="N4549" s="11"/>
    </row>
    <row r="4550" spans="8:14" x14ac:dyDescent="0.25">
      <c r="H4550" s="37"/>
      <c r="I4550" s="79"/>
      <c r="J4550" s="70"/>
      <c r="K4550" s="57"/>
      <c r="L4550" s="11"/>
      <c r="M4550" s="41"/>
      <c r="N4550" s="11"/>
    </row>
    <row r="4551" spans="8:14" x14ac:dyDescent="0.25">
      <c r="H4551" s="37"/>
      <c r="I4551" s="79"/>
      <c r="J4551" s="70"/>
      <c r="K4551" s="57"/>
      <c r="L4551" s="11"/>
      <c r="M4551" s="41"/>
      <c r="N4551" s="11"/>
    </row>
    <row r="4552" spans="8:14" x14ac:dyDescent="0.25">
      <c r="H4552" s="37"/>
      <c r="I4552" s="79"/>
      <c r="J4552" s="70"/>
      <c r="K4552" s="57"/>
      <c r="L4552" s="11"/>
      <c r="M4552" s="41"/>
      <c r="N4552" s="11"/>
    </row>
    <row r="4553" spans="8:14" x14ac:dyDescent="0.25">
      <c r="H4553" s="37"/>
      <c r="I4553" s="79"/>
      <c r="J4553" s="70"/>
      <c r="K4553" s="57"/>
      <c r="L4553" s="11"/>
      <c r="M4553" s="41"/>
      <c r="N4553" s="11"/>
    </row>
    <row r="4554" spans="8:14" x14ac:dyDescent="0.25">
      <c r="H4554" s="37"/>
      <c r="I4554" s="79"/>
      <c r="J4554" s="70"/>
      <c r="K4554" s="57"/>
      <c r="L4554" s="11"/>
      <c r="M4554" s="41"/>
      <c r="N4554" s="11"/>
    </row>
    <row r="4555" spans="8:14" x14ac:dyDescent="0.25">
      <c r="H4555" s="37"/>
      <c r="I4555" s="79"/>
      <c r="J4555" s="70"/>
      <c r="K4555" s="57"/>
      <c r="L4555" s="11"/>
      <c r="M4555" s="41"/>
      <c r="N4555" s="11"/>
    </row>
    <row r="4556" spans="8:14" x14ac:dyDescent="0.25">
      <c r="H4556" s="37"/>
      <c r="I4556" s="79"/>
      <c r="J4556" s="70"/>
      <c r="K4556" s="57"/>
      <c r="L4556" s="11"/>
      <c r="M4556" s="41"/>
      <c r="N4556" s="11"/>
    </row>
    <row r="4557" spans="8:14" x14ac:dyDescent="0.25">
      <c r="H4557" s="37"/>
      <c r="I4557" s="79"/>
      <c r="J4557" s="70"/>
      <c r="K4557" s="57"/>
      <c r="L4557" s="11"/>
      <c r="M4557" s="41"/>
      <c r="N4557" s="11"/>
    </row>
    <row r="4558" spans="8:14" x14ac:dyDescent="0.25">
      <c r="H4558" s="37"/>
      <c r="I4558" s="79"/>
      <c r="J4558" s="70"/>
      <c r="K4558" s="57"/>
      <c r="L4558" s="11"/>
      <c r="M4558" s="41"/>
      <c r="N4558" s="11"/>
    </row>
    <row r="4559" spans="8:14" x14ac:dyDescent="0.25">
      <c r="H4559" s="37"/>
      <c r="I4559" s="79"/>
      <c r="J4559" s="70"/>
      <c r="K4559" s="57"/>
      <c r="L4559" s="11"/>
      <c r="M4559" s="41"/>
      <c r="N4559" s="11"/>
    </row>
    <row r="4560" spans="8:14" x14ac:dyDescent="0.25">
      <c r="H4560" s="37"/>
      <c r="I4560" s="79"/>
      <c r="J4560" s="70"/>
      <c r="K4560" s="57"/>
      <c r="L4560" s="11"/>
      <c r="M4560" s="41"/>
      <c r="N4560" s="11"/>
    </row>
    <row r="4561" spans="8:14" x14ac:dyDescent="0.25">
      <c r="H4561" s="37"/>
      <c r="I4561" s="79"/>
      <c r="J4561" s="70"/>
      <c r="K4561" s="57"/>
      <c r="L4561" s="11"/>
      <c r="M4561" s="41"/>
      <c r="N4561" s="11"/>
    </row>
    <row r="4562" spans="8:14" x14ac:dyDescent="0.25">
      <c r="H4562" s="37"/>
      <c r="I4562" s="79"/>
      <c r="J4562" s="70"/>
      <c r="K4562" s="57"/>
      <c r="L4562" s="11"/>
      <c r="M4562" s="41"/>
      <c r="N4562" s="11"/>
    </row>
    <row r="4563" spans="8:14" x14ac:dyDescent="0.25">
      <c r="H4563" s="37"/>
      <c r="I4563" s="79"/>
      <c r="J4563" s="70"/>
      <c r="K4563" s="57"/>
      <c r="L4563" s="11"/>
      <c r="M4563" s="41"/>
      <c r="N4563" s="11"/>
    </row>
    <row r="4564" spans="8:14" x14ac:dyDescent="0.25">
      <c r="H4564" s="37"/>
      <c r="I4564" s="79"/>
      <c r="J4564" s="70"/>
      <c r="K4564" s="57"/>
      <c r="L4564" s="11"/>
      <c r="M4564" s="41"/>
      <c r="N4564" s="11"/>
    </row>
    <row r="4565" spans="8:14" x14ac:dyDescent="0.25">
      <c r="H4565" s="37"/>
      <c r="I4565" s="79"/>
      <c r="J4565" s="70"/>
      <c r="K4565" s="57"/>
      <c r="L4565" s="11"/>
      <c r="M4565" s="41"/>
      <c r="N4565" s="11"/>
    </row>
    <row r="4566" spans="8:14" x14ac:dyDescent="0.25">
      <c r="H4566" s="37"/>
      <c r="I4566" s="79"/>
      <c r="J4566" s="70"/>
      <c r="K4566" s="57"/>
      <c r="L4566" s="11"/>
      <c r="M4566" s="41"/>
      <c r="N4566" s="11"/>
    </row>
    <row r="4567" spans="8:14" x14ac:dyDescent="0.25">
      <c r="H4567" s="37"/>
      <c r="I4567" s="79"/>
      <c r="J4567" s="70"/>
      <c r="K4567" s="57"/>
      <c r="L4567" s="11"/>
      <c r="M4567" s="41"/>
      <c r="N4567" s="11"/>
    </row>
    <row r="4568" spans="8:14" x14ac:dyDescent="0.25">
      <c r="H4568" s="37"/>
      <c r="I4568" s="79"/>
      <c r="J4568" s="70"/>
      <c r="K4568" s="57"/>
      <c r="L4568" s="11"/>
      <c r="M4568" s="41"/>
      <c r="N4568" s="11"/>
    </row>
    <row r="4569" spans="8:14" x14ac:dyDescent="0.25">
      <c r="H4569" s="37"/>
      <c r="I4569" s="79"/>
      <c r="J4569" s="70"/>
      <c r="K4569" s="57"/>
      <c r="L4569" s="11"/>
      <c r="M4569" s="41"/>
      <c r="N4569" s="11"/>
    </row>
    <row r="4570" spans="8:14" x14ac:dyDescent="0.25">
      <c r="H4570" s="37"/>
      <c r="I4570" s="79"/>
      <c r="J4570" s="70"/>
      <c r="K4570" s="57"/>
      <c r="L4570" s="11"/>
      <c r="M4570" s="41"/>
      <c r="N4570" s="11"/>
    </row>
    <row r="4571" spans="8:14" x14ac:dyDescent="0.25">
      <c r="H4571" s="37"/>
      <c r="I4571" s="79"/>
      <c r="J4571" s="70"/>
      <c r="K4571" s="57"/>
      <c r="L4571" s="11"/>
      <c r="M4571" s="41"/>
      <c r="N4571" s="11"/>
    </row>
    <row r="4572" spans="8:14" x14ac:dyDescent="0.25">
      <c r="H4572" s="37"/>
      <c r="I4572" s="79"/>
      <c r="J4572" s="70"/>
      <c r="K4572" s="57"/>
      <c r="L4572" s="11"/>
      <c r="M4572" s="41"/>
      <c r="N4572" s="11"/>
    </row>
    <row r="4573" spans="8:14" x14ac:dyDescent="0.25">
      <c r="H4573" s="37"/>
      <c r="I4573" s="79"/>
      <c r="J4573" s="70"/>
      <c r="K4573" s="57"/>
      <c r="L4573" s="11"/>
      <c r="M4573" s="41"/>
      <c r="N4573" s="11"/>
    </row>
    <row r="4574" spans="8:14" x14ac:dyDescent="0.25">
      <c r="H4574" s="37"/>
      <c r="I4574" s="79"/>
      <c r="J4574" s="70"/>
      <c r="K4574" s="57"/>
      <c r="L4574" s="11"/>
      <c r="M4574" s="41"/>
      <c r="N4574" s="11"/>
    </row>
    <row r="4575" spans="8:14" x14ac:dyDescent="0.25">
      <c r="H4575" s="37"/>
      <c r="I4575" s="79"/>
      <c r="J4575" s="70"/>
      <c r="K4575" s="57"/>
      <c r="L4575" s="11"/>
      <c r="M4575" s="41"/>
      <c r="N4575" s="11"/>
    </row>
    <row r="4576" spans="8:14" x14ac:dyDescent="0.25">
      <c r="H4576" s="37"/>
      <c r="I4576" s="79"/>
      <c r="J4576" s="70"/>
      <c r="K4576" s="57"/>
      <c r="L4576" s="11"/>
      <c r="M4576" s="41"/>
      <c r="N4576" s="11"/>
    </row>
    <row r="4577" spans="8:14" x14ac:dyDescent="0.25">
      <c r="H4577" s="37"/>
      <c r="I4577" s="79"/>
      <c r="J4577" s="70"/>
      <c r="K4577" s="57"/>
      <c r="L4577" s="11"/>
      <c r="M4577" s="41"/>
      <c r="N4577" s="11"/>
    </row>
    <row r="4578" spans="8:14" x14ac:dyDescent="0.25">
      <c r="H4578" s="37"/>
      <c r="I4578" s="79"/>
      <c r="J4578" s="70"/>
      <c r="K4578" s="57"/>
      <c r="L4578" s="11"/>
      <c r="M4578" s="41"/>
      <c r="N4578" s="11"/>
    </row>
    <row r="4579" spans="8:14" x14ac:dyDescent="0.25">
      <c r="H4579" s="37"/>
      <c r="I4579" s="79"/>
      <c r="J4579" s="70"/>
      <c r="K4579" s="57"/>
      <c r="L4579" s="11"/>
      <c r="M4579" s="41"/>
      <c r="N4579" s="11"/>
    </row>
    <row r="4580" spans="8:14" x14ac:dyDescent="0.25">
      <c r="H4580" s="37"/>
      <c r="I4580" s="79"/>
      <c r="J4580" s="70"/>
      <c r="K4580" s="57"/>
      <c r="L4580" s="11"/>
      <c r="M4580" s="41"/>
      <c r="N4580" s="11"/>
    </row>
    <row r="4581" spans="8:14" x14ac:dyDescent="0.25">
      <c r="H4581" s="37"/>
      <c r="I4581" s="79"/>
      <c r="J4581" s="70"/>
      <c r="K4581" s="57"/>
      <c r="L4581" s="11"/>
      <c r="M4581" s="41"/>
      <c r="N4581" s="11"/>
    </row>
    <row r="4582" spans="8:14" x14ac:dyDescent="0.25">
      <c r="H4582" s="37"/>
      <c r="I4582" s="79"/>
      <c r="J4582" s="70"/>
      <c r="K4582" s="57"/>
      <c r="L4582" s="11"/>
      <c r="M4582" s="41"/>
      <c r="N4582" s="11"/>
    </row>
    <row r="4583" spans="8:14" x14ac:dyDescent="0.25">
      <c r="H4583" s="37"/>
      <c r="I4583" s="79"/>
      <c r="J4583" s="70"/>
      <c r="K4583" s="57"/>
      <c r="L4583" s="11"/>
      <c r="M4583" s="41"/>
      <c r="N4583" s="11"/>
    </row>
    <row r="4584" spans="8:14" x14ac:dyDescent="0.25">
      <c r="H4584" s="37"/>
      <c r="I4584" s="79"/>
      <c r="J4584" s="70"/>
      <c r="K4584" s="57"/>
      <c r="L4584" s="11"/>
      <c r="M4584" s="41"/>
      <c r="N4584" s="11"/>
    </row>
    <row r="4585" spans="8:14" x14ac:dyDescent="0.25">
      <c r="H4585" s="37"/>
      <c r="I4585" s="79"/>
      <c r="J4585" s="70"/>
      <c r="K4585" s="57"/>
      <c r="L4585" s="11"/>
      <c r="M4585" s="41"/>
      <c r="N4585" s="11"/>
    </row>
    <row r="4586" spans="8:14" x14ac:dyDescent="0.25">
      <c r="H4586" s="37"/>
      <c r="I4586" s="79"/>
      <c r="J4586" s="70"/>
      <c r="K4586" s="57"/>
      <c r="L4586" s="11"/>
      <c r="M4586" s="41"/>
      <c r="N4586" s="11"/>
    </row>
    <row r="4587" spans="8:14" x14ac:dyDescent="0.25">
      <c r="H4587" s="37"/>
      <c r="I4587" s="79"/>
      <c r="J4587" s="70"/>
      <c r="K4587" s="57"/>
      <c r="L4587" s="11"/>
      <c r="M4587" s="41"/>
      <c r="N4587" s="11"/>
    </row>
    <row r="4588" spans="8:14" x14ac:dyDescent="0.25">
      <c r="H4588" s="37"/>
      <c r="I4588" s="79"/>
      <c r="J4588" s="70"/>
      <c r="K4588" s="57"/>
      <c r="L4588" s="11"/>
      <c r="M4588" s="41"/>
      <c r="N4588" s="11"/>
    </row>
    <row r="4589" spans="8:14" x14ac:dyDescent="0.25">
      <c r="H4589" s="37"/>
      <c r="I4589" s="79"/>
      <c r="J4589" s="70"/>
      <c r="K4589" s="57"/>
      <c r="L4589" s="11"/>
      <c r="M4589" s="41"/>
      <c r="N4589" s="11"/>
    </row>
    <row r="4590" spans="8:14" x14ac:dyDescent="0.25">
      <c r="H4590" s="37"/>
      <c r="I4590" s="79"/>
      <c r="J4590" s="70"/>
      <c r="K4590" s="57"/>
      <c r="L4590" s="11"/>
      <c r="M4590" s="41"/>
      <c r="N4590" s="11"/>
    </row>
    <row r="4591" spans="8:14" x14ac:dyDescent="0.25">
      <c r="H4591" s="37"/>
      <c r="I4591" s="79"/>
      <c r="J4591" s="70"/>
      <c r="K4591" s="57"/>
      <c r="L4591" s="11"/>
      <c r="M4591" s="41"/>
      <c r="N4591" s="11"/>
    </row>
    <row r="4592" spans="8:14" x14ac:dyDescent="0.25">
      <c r="H4592" s="37"/>
      <c r="I4592" s="79"/>
      <c r="J4592" s="70"/>
      <c r="K4592" s="57"/>
      <c r="L4592" s="11"/>
      <c r="M4592" s="41"/>
      <c r="N4592" s="11"/>
    </row>
    <row r="4593" spans="8:14" x14ac:dyDescent="0.25">
      <c r="H4593" s="37"/>
      <c r="I4593" s="79"/>
      <c r="J4593" s="70"/>
      <c r="K4593" s="57"/>
      <c r="L4593" s="11"/>
      <c r="M4593" s="41"/>
      <c r="N4593" s="11"/>
    </row>
    <row r="4594" spans="8:14" x14ac:dyDescent="0.25">
      <c r="H4594" s="37"/>
      <c r="I4594" s="79"/>
      <c r="J4594" s="70"/>
      <c r="K4594" s="57"/>
      <c r="L4594" s="11"/>
      <c r="M4594" s="41"/>
      <c r="N4594" s="11"/>
    </row>
    <row r="4595" spans="8:14" x14ac:dyDescent="0.25">
      <c r="H4595" s="37"/>
      <c r="I4595" s="79"/>
      <c r="J4595" s="70"/>
      <c r="K4595" s="57"/>
      <c r="L4595" s="11"/>
      <c r="M4595" s="41"/>
      <c r="N4595" s="11"/>
    </row>
    <row r="4596" spans="8:14" x14ac:dyDescent="0.25">
      <c r="H4596" s="37"/>
      <c r="I4596" s="79"/>
      <c r="J4596" s="70"/>
      <c r="K4596" s="57"/>
      <c r="L4596" s="11"/>
      <c r="M4596" s="41"/>
      <c r="N4596" s="11"/>
    </row>
    <row r="4597" spans="8:14" x14ac:dyDescent="0.25">
      <c r="H4597" s="37"/>
      <c r="I4597" s="79"/>
      <c r="J4597" s="70"/>
      <c r="K4597" s="57"/>
      <c r="L4597" s="11"/>
      <c r="M4597" s="41"/>
      <c r="N4597" s="11"/>
    </row>
    <row r="4598" spans="8:14" x14ac:dyDescent="0.25">
      <c r="H4598" s="37"/>
      <c r="I4598" s="79"/>
      <c r="J4598" s="70"/>
      <c r="K4598" s="57"/>
      <c r="L4598" s="11"/>
      <c r="M4598" s="41"/>
      <c r="N4598" s="11"/>
    </row>
    <row r="4599" spans="8:14" x14ac:dyDescent="0.25">
      <c r="H4599" s="37"/>
      <c r="I4599" s="79"/>
      <c r="J4599" s="70"/>
      <c r="K4599" s="57"/>
      <c r="L4599" s="11"/>
      <c r="M4599" s="41"/>
      <c r="N4599" s="11"/>
    </row>
    <row r="4600" spans="8:14" x14ac:dyDescent="0.25">
      <c r="H4600" s="37"/>
      <c r="I4600" s="79"/>
      <c r="J4600" s="70"/>
      <c r="K4600" s="57"/>
      <c r="L4600" s="11"/>
      <c r="M4600" s="41"/>
      <c r="N4600" s="11"/>
    </row>
    <row r="4601" spans="8:14" x14ac:dyDescent="0.25">
      <c r="H4601" s="37"/>
      <c r="I4601" s="79"/>
      <c r="J4601" s="70"/>
      <c r="K4601" s="57"/>
      <c r="L4601" s="11"/>
      <c r="M4601" s="41"/>
      <c r="N4601" s="11"/>
    </row>
    <row r="4602" spans="8:14" x14ac:dyDescent="0.25">
      <c r="H4602" s="37"/>
      <c r="I4602" s="79"/>
      <c r="J4602" s="70"/>
      <c r="K4602" s="57"/>
      <c r="L4602" s="11"/>
      <c r="M4602" s="41"/>
      <c r="N4602" s="11"/>
    </row>
    <row r="4603" spans="8:14" x14ac:dyDescent="0.25">
      <c r="H4603" s="37"/>
      <c r="I4603" s="79"/>
      <c r="J4603" s="70"/>
      <c r="K4603" s="57"/>
      <c r="L4603" s="11"/>
      <c r="M4603" s="41"/>
      <c r="N4603" s="11"/>
    </row>
    <row r="4604" spans="8:14" x14ac:dyDescent="0.25">
      <c r="H4604" s="37"/>
      <c r="I4604" s="79"/>
      <c r="J4604" s="70"/>
      <c r="K4604" s="57"/>
      <c r="L4604" s="11"/>
      <c r="M4604" s="41"/>
      <c r="N4604" s="11"/>
    </row>
    <row r="4605" spans="8:14" x14ac:dyDescent="0.25">
      <c r="H4605" s="37"/>
      <c r="I4605" s="79"/>
      <c r="J4605" s="70"/>
      <c r="K4605" s="57"/>
      <c r="L4605" s="11"/>
      <c r="M4605" s="41"/>
      <c r="N4605" s="11"/>
    </row>
    <row r="4606" spans="8:14" x14ac:dyDescent="0.25">
      <c r="H4606" s="37"/>
      <c r="I4606" s="79"/>
      <c r="J4606" s="70"/>
      <c r="K4606" s="57"/>
      <c r="L4606" s="11"/>
      <c r="M4606" s="41"/>
      <c r="N4606" s="11"/>
    </row>
    <row r="4607" spans="8:14" x14ac:dyDescent="0.25">
      <c r="H4607" s="37"/>
      <c r="I4607" s="79"/>
      <c r="J4607" s="70"/>
      <c r="K4607" s="57"/>
      <c r="L4607" s="11"/>
      <c r="M4607" s="41"/>
      <c r="N4607" s="11"/>
    </row>
    <row r="4608" spans="8:14" x14ac:dyDescent="0.25">
      <c r="H4608" s="37"/>
      <c r="I4608" s="79"/>
      <c r="J4608" s="70"/>
      <c r="K4608" s="57"/>
      <c r="L4608" s="11"/>
      <c r="M4608" s="41"/>
      <c r="N4608" s="11"/>
    </row>
    <row r="4609" spans="8:14" x14ac:dyDescent="0.25">
      <c r="H4609" s="37"/>
      <c r="I4609" s="79"/>
      <c r="J4609" s="70"/>
      <c r="K4609" s="57"/>
      <c r="L4609" s="11"/>
      <c r="M4609" s="41"/>
      <c r="N4609" s="11"/>
    </row>
    <row r="4610" spans="8:14" x14ac:dyDescent="0.25">
      <c r="H4610" s="37"/>
      <c r="I4610" s="79"/>
      <c r="J4610" s="70"/>
      <c r="K4610" s="57"/>
      <c r="L4610" s="11"/>
      <c r="M4610" s="41"/>
      <c r="N4610" s="11"/>
    </row>
    <row r="4611" spans="8:14" x14ac:dyDescent="0.25">
      <c r="H4611" s="37"/>
      <c r="I4611" s="79"/>
      <c r="J4611" s="70"/>
      <c r="K4611" s="57"/>
      <c r="L4611" s="11"/>
      <c r="M4611" s="41"/>
      <c r="N4611" s="11"/>
    </row>
    <row r="4612" spans="8:14" x14ac:dyDescent="0.25">
      <c r="H4612" s="37"/>
      <c r="I4612" s="79"/>
      <c r="J4612" s="70"/>
      <c r="K4612" s="57"/>
      <c r="L4612" s="11"/>
      <c r="M4612" s="41"/>
      <c r="N4612" s="11"/>
    </row>
    <row r="4613" spans="8:14" x14ac:dyDescent="0.25">
      <c r="H4613" s="37"/>
      <c r="I4613" s="79"/>
      <c r="J4613" s="70"/>
      <c r="K4613" s="57"/>
      <c r="L4613" s="11"/>
      <c r="M4613" s="41"/>
      <c r="N4613" s="11"/>
    </row>
    <row r="4614" spans="8:14" x14ac:dyDescent="0.25">
      <c r="H4614" s="37"/>
      <c r="I4614" s="79"/>
      <c r="J4614" s="70"/>
      <c r="K4614" s="57"/>
      <c r="L4614" s="11"/>
      <c r="M4614" s="41"/>
      <c r="N4614" s="11"/>
    </row>
    <row r="4615" spans="8:14" x14ac:dyDescent="0.25">
      <c r="H4615" s="37"/>
      <c r="I4615" s="79"/>
      <c r="J4615" s="70"/>
      <c r="K4615" s="57"/>
      <c r="L4615" s="11"/>
      <c r="M4615" s="41"/>
      <c r="N4615" s="11"/>
    </row>
    <row r="4616" spans="8:14" x14ac:dyDescent="0.25">
      <c r="H4616" s="37"/>
      <c r="I4616" s="79"/>
      <c r="J4616" s="70"/>
      <c r="K4616" s="57"/>
      <c r="L4616" s="11"/>
      <c r="M4616" s="41"/>
      <c r="N4616" s="11"/>
    </row>
    <row r="4617" spans="8:14" x14ac:dyDescent="0.25">
      <c r="H4617" s="37"/>
      <c r="I4617" s="79"/>
      <c r="J4617" s="70"/>
      <c r="K4617" s="57"/>
      <c r="L4617" s="11"/>
      <c r="M4617" s="41"/>
      <c r="N4617" s="11"/>
    </row>
    <row r="4618" spans="8:14" x14ac:dyDescent="0.25">
      <c r="H4618" s="37"/>
      <c r="I4618" s="79"/>
      <c r="J4618" s="70"/>
      <c r="K4618" s="57"/>
      <c r="L4618" s="11"/>
      <c r="M4618" s="41"/>
      <c r="N4618" s="11"/>
    </row>
    <row r="4619" spans="8:14" x14ac:dyDescent="0.25">
      <c r="H4619" s="37"/>
      <c r="I4619" s="79"/>
      <c r="J4619" s="70"/>
      <c r="K4619" s="57"/>
      <c r="L4619" s="11"/>
      <c r="M4619" s="41"/>
      <c r="N4619" s="11"/>
    </row>
    <row r="4620" spans="8:14" x14ac:dyDescent="0.25">
      <c r="H4620" s="37"/>
      <c r="I4620" s="79"/>
      <c r="J4620" s="70"/>
      <c r="K4620" s="57"/>
      <c r="L4620" s="11"/>
      <c r="M4620" s="41"/>
      <c r="N4620" s="11"/>
    </row>
    <row r="4621" spans="8:14" x14ac:dyDescent="0.25">
      <c r="H4621" s="37"/>
      <c r="I4621" s="79"/>
      <c r="J4621" s="70"/>
      <c r="K4621" s="57"/>
      <c r="L4621" s="11"/>
      <c r="M4621" s="41"/>
      <c r="N4621" s="11"/>
    </row>
    <row r="4622" spans="8:14" x14ac:dyDescent="0.25">
      <c r="H4622" s="37"/>
      <c r="I4622" s="79"/>
      <c r="J4622" s="70"/>
      <c r="K4622" s="57"/>
      <c r="L4622" s="11"/>
      <c r="M4622" s="41"/>
      <c r="N4622" s="11"/>
    </row>
    <row r="4623" spans="8:14" x14ac:dyDescent="0.25">
      <c r="H4623" s="37"/>
      <c r="I4623" s="79"/>
      <c r="J4623" s="70"/>
      <c r="K4623" s="57"/>
      <c r="L4623" s="11"/>
      <c r="M4623" s="41"/>
      <c r="N4623" s="11"/>
    </row>
    <row r="4624" spans="8:14" x14ac:dyDescent="0.25">
      <c r="H4624" s="37"/>
      <c r="I4624" s="79"/>
      <c r="J4624" s="70"/>
      <c r="K4624" s="57"/>
      <c r="L4624" s="11"/>
      <c r="M4624" s="41"/>
      <c r="N4624" s="11"/>
    </row>
    <row r="4625" spans="8:14" x14ac:dyDescent="0.25">
      <c r="H4625" s="37"/>
      <c r="I4625" s="79"/>
      <c r="J4625" s="70"/>
      <c r="K4625" s="57"/>
      <c r="L4625" s="11"/>
      <c r="M4625" s="41"/>
      <c r="N4625" s="11"/>
    </row>
    <row r="4626" spans="8:14" x14ac:dyDescent="0.25">
      <c r="H4626" s="37"/>
      <c r="I4626" s="79"/>
      <c r="J4626" s="70"/>
      <c r="K4626" s="57"/>
      <c r="L4626" s="11"/>
      <c r="M4626" s="41"/>
      <c r="N4626" s="11"/>
    </row>
    <row r="4627" spans="8:14" x14ac:dyDescent="0.25">
      <c r="H4627" s="37"/>
      <c r="I4627" s="79"/>
      <c r="J4627" s="70"/>
      <c r="K4627" s="57"/>
      <c r="L4627" s="11"/>
      <c r="M4627" s="41"/>
      <c r="N4627" s="11"/>
    </row>
    <row r="4628" spans="8:14" x14ac:dyDescent="0.25">
      <c r="H4628" s="37"/>
      <c r="I4628" s="79"/>
      <c r="J4628" s="70"/>
      <c r="K4628" s="57"/>
      <c r="L4628" s="11"/>
      <c r="M4628" s="41"/>
      <c r="N4628" s="11"/>
    </row>
    <row r="4629" spans="8:14" x14ac:dyDescent="0.25">
      <c r="H4629" s="37"/>
      <c r="I4629" s="79"/>
      <c r="J4629" s="70"/>
      <c r="K4629" s="57"/>
      <c r="L4629" s="11"/>
      <c r="M4629" s="41"/>
      <c r="N4629" s="11"/>
    </row>
    <row r="4630" spans="8:14" x14ac:dyDescent="0.25">
      <c r="H4630" s="37"/>
      <c r="I4630" s="79"/>
      <c r="J4630" s="70"/>
      <c r="K4630" s="57"/>
      <c r="L4630" s="11"/>
      <c r="M4630" s="41"/>
      <c r="N4630" s="11"/>
    </row>
    <row r="4631" spans="8:14" x14ac:dyDescent="0.25">
      <c r="H4631" s="37"/>
      <c r="I4631" s="79"/>
      <c r="J4631" s="70"/>
      <c r="K4631" s="57"/>
      <c r="L4631" s="11"/>
      <c r="M4631" s="41"/>
      <c r="N4631" s="11"/>
    </row>
    <row r="4632" spans="8:14" x14ac:dyDescent="0.25">
      <c r="H4632" s="37"/>
      <c r="I4632" s="79"/>
      <c r="J4632" s="70"/>
      <c r="K4632" s="57"/>
      <c r="L4632" s="11"/>
      <c r="M4632" s="41"/>
      <c r="N4632" s="11"/>
    </row>
    <row r="4633" spans="8:14" x14ac:dyDescent="0.25">
      <c r="H4633" s="37"/>
      <c r="I4633" s="79"/>
      <c r="J4633" s="70"/>
      <c r="K4633" s="57"/>
      <c r="L4633" s="11"/>
      <c r="M4633" s="41"/>
      <c r="N4633" s="11"/>
    </row>
    <row r="4634" spans="8:14" x14ac:dyDescent="0.25">
      <c r="H4634" s="37"/>
      <c r="I4634" s="79"/>
      <c r="J4634" s="70"/>
      <c r="K4634" s="57"/>
      <c r="L4634" s="11"/>
      <c r="M4634" s="41"/>
      <c r="N4634" s="11"/>
    </row>
    <row r="4635" spans="8:14" x14ac:dyDescent="0.25">
      <c r="H4635" s="37"/>
      <c r="I4635" s="79"/>
      <c r="J4635" s="70"/>
      <c r="K4635" s="57"/>
      <c r="L4635" s="11"/>
      <c r="M4635" s="41"/>
      <c r="N4635" s="11"/>
    </row>
    <row r="4636" spans="8:14" x14ac:dyDescent="0.25">
      <c r="H4636" s="37"/>
      <c r="I4636" s="79"/>
      <c r="J4636" s="70"/>
      <c r="K4636" s="57"/>
      <c r="L4636" s="11"/>
      <c r="M4636" s="41"/>
      <c r="N4636" s="11"/>
    </row>
    <row r="4637" spans="8:14" x14ac:dyDescent="0.25">
      <c r="H4637" s="37"/>
      <c r="I4637" s="79"/>
      <c r="J4637" s="70"/>
      <c r="K4637" s="57"/>
      <c r="L4637" s="11"/>
      <c r="M4637" s="41"/>
      <c r="N4637" s="11"/>
    </row>
    <row r="4638" spans="8:14" x14ac:dyDescent="0.25">
      <c r="H4638" s="37"/>
      <c r="I4638" s="79"/>
      <c r="J4638" s="70"/>
      <c r="K4638" s="57"/>
      <c r="L4638" s="11"/>
      <c r="M4638" s="41"/>
      <c r="N4638" s="11"/>
    </row>
    <row r="4639" spans="8:14" x14ac:dyDescent="0.25">
      <c r="H4639" s="37"/>
      <c r="I4639" s="79"/>
      <c r="J4639" s="70"/>
      <c r="K4639" s="57"/>
      <c r="L4639" s="11"/>
      <c r="M4639" s="41"/>
      <c r="N4639" s="11"/>
    </row>
    <row r="4640" spans="8:14" x14ac:dyDescent="0.25">
      <c r="H4640" s="37"/>
      <c r="I4640" s="79"/>
      <c r="J4640" s="70"/>
      <c r="K4640" s="57"/>
      <c r="L4640" s="11"/>
      <c r="M4640" s="41"/>
      <c r="N4640" s="11"/>
    </row>
    <row r="4641" spans="8:14" x14ac:dyDescent="0.25">
      <c r="H4641" s="37"/>
      <c r="I4641" s="79"/>
      <c r="J4641" s="70"/>
      <c r="K4641" s="57"/>
      <c r="L4641" s="11"/>
      <c r="M4641" s="41"/>
      <c r="N4641" s="11"/>
    </row>
    <row r="4642" spans="8:14" x14ac:dyDescent="0.25">
      <c r="H4642" s="37"/>
      <c r="I4642" s="79"/>
      <c r="J4642" s="70"/>
      <c r="K4642" s="57"/>
      <c r="L4642" s="11"/>
      <c r="M4642" s="41"/>
      <c r="N4642" s="11"/>
    </row>
    <row r="4643" spans="8:14" x14ac:dyDescent="0.25">
      <c r="H4643" s="37"/>
      <c r="I4643" s="79"/>
      <c r="J4643" s="70"/>
      <c r="K4643" s="57"/>
      <c r="L4643" s="11"/>
      <c r="M4643" s="41"/>
      <c r="N4643" s="11"/>
    </row>
    <row r="4644" spans="8:14" x14ac:dyDescent="0.25">
      <c r="H4644" s="37"/>
      <c r="I4644" s="79"/>
      <c r="J4644" s="70"/>
      <c r="K4644" s="57"/>
      <c r="L4644" s="11"/>
      <c r="M4644" s="41"/>
      <c r="N4644" s="11"/>
    </row>
    <row r="4645" spans="8:14" x14ac:dyDescent="0.25">
      <c r="H4645" s="37"/>
      <c r="I4645" s="79"/>
      <c r="J4645" s="70"/>
      <c r="K4645" s="57"/>
      <c r="L4645" s="11"/>
      <c r="M4645" s="41"/>
      <c r="N4645" s="11"/>
    </row>
    <row r="4646" spans="8:14" x14ac:dyDescent="0.25">
      <c r="H4646" s="37"/>
      <c r="I4646" s="79"/>
      <c r="J4646" s="70"/>
      <c r="K4646" s="57"/>
      <c r="L4646" s="11"/>
      <c r="M4646" s="41"/>
      <c r="N4646" s="11"/>
    </row>
    <row r="4647" spans="8:14" x14ac:dyDescent="0.25">
      <c r="H4647" s="37"/>
      <c r="I4647" s="79"/>
      <c r="J4647" s="70"/>
      <c r="K4647" s="57"/>
      <c r="L4647" s="11"/>
      <c r="M4647" s="41"/>
      <c r="N4647" s="11"/>
    </row>
    <row r="4648" spans="8:14" x14ac:dyDescent="0.25">
      <c r="H4648" s="37"/>
      <c r="I4648" s="79"/>
      <c r="J4648" s="70"/>
      <c r="K4648" s="57"/>
      <c r="L4648" s="11"/>
      <c r="M4648" s="41"/>
      <c r="N4648" s="11"/>
    </row>
    <row r="4649" spans="8:14" x14ac:dyDescent="0.25">
      <c r="H4649" s="37"/>
      <c r="I4649" s="79"/>
      <c r="J4649" s="70"/>
      <c r="K4649" s="57"/>
      <c r="L4649" s="11"/>
      <c r="M4649" s="41"/>
      <c r="N4649" s="11"/>
    </row>
    <row r="4650" spans="8:14" x14ac:dyDescent="0.25">
      <c r="H4650" s="37"/>
      <c r="I4650" s="79"/>
      <c r="J4650" s="70"/>
      <c r="K4650" s="57"/>
      <c r="L4650" s="11"/>
      <c r="M4650" s="41"/>
      <c r="N4650" s="11"/>
    </row>
    <row r="4651" spans="8:14" x14ac:dyDescent="0.25">
      <c r="H4651" s="37"/>
      <c r="I4651" s="79"/>
      <c r="J4651" s="70"/>
      <c r="K4651" s="57"/>
      <c r="L4651" s="11"/>
      <c r="M4651" s="41"/>
      <c r="N4651" s="11"/>
    </row>
    <row r="4652" spans="8:14" x14ac:dyDescent="0.25">
      <c r="H4652" s="37"/>
      <c r="I4652" s="79"/>
      <c r="J4652" s="70"/>
      <c r="K4652" s="57"/>
      <c r="L4652" s="11"/>
      <c r="M4652" s="41"/>
      <c r="N4652" s="11"/>
    </row>
    <row r="4653" spans="8:14" x14ac:dyDescent="0.25">
      <c r="H4653" s="37"/>
      <c r="I4653" s="79"/>
      <c r="J4653" s="70"/>
      <c r="K4653" s="57"/>
      <c r="L4653" s="11"/>
      <c r="M4653" s="41"/>
      <c r="N4653" s="11"/>
    </row>
    <row r="4654" spans="8:14" x14ac:dyDescent="0.25">
      <c r="H4654" s="37"/>
      <c r="I4654" s="79"/>
      <c r="J4654" s="70"/>
      <c r="K4654" s="57"/>
      <c r="L4654" s="11"/>
      <c r="M4654" s="41"/>
      <c r="N4654" s="11"/>
    </row>
    <row r="4655" spans="8:14" x14ac:dyDescent="0.25">
      <c r="H4655" s="37"/>
      <c r="I4655" s="79"/>
      <c r="J4655" s="70"/>
      <c r="K4655" s="57"/>
      <c r="L4655" s="11"/>
      <c r="M4655" s="41"/>
      <c r="N4655" s="11"/>
    </row>
    <row r="4656" spans="8:14" x14ac:dyDescent="0.25">
      <c r="H4656" s="37"/>
      <c r="I4656" s="79"/>
      <c r="J4656" s="70"/>
      <c r="K4656" s="57"/>
      <c r="L4656" s="11"/>
      <c r="M4656" s="41"/>
      <c r="N4656" s="11"/>
    </row>
    <row r="4657" spans="8:14" x14ac:dyDescent="0.25">
      <c r="H4657" s="37"/>
      <c r="I4657" s="79"/>
      <c r="J4657" s="70"/>
      <c r="K4657" s="57"/>
      <c r="L4657" s="11"/>
      <c r="M4657" s="41"/>
      <c r="N4657" s="11"/>
    </row>
    <row r="4658" spans="8:14" x14ac:dyDescent="0.25">
      <c r="H4658" s="37"/>
      <c r="I4658" s="79"/>
      <c r="J4658" s="70"/>
      <c r="K4658" s="57"/>
      <c r="L4658" s="11"/>
      <c r="M4658" s="41"/>
      <c r="N4658" s="11"/>
    </row>
    <row r="4659" spans="8:14" x14ac:dyDescent="0.25">
      <c r="H4659" s="37"/>
      <c r="I4659" s="79"/>
      <c r="J4659" s="70"/>
      <c r="K4659" s="57"/>
      <c r="L4659" s="11"/>
      <c r="M4659" s="41"/>
      <c r="N4659" s="11"/>
    </row>
    <row r="4660" spans="8:14" x14ac:dyDescent="0.25">
      <c r="H4660" s="37"/>
      <c r="I4660" s="79"/>
      <c r="J4660" s="70"/>
      <c r="K4660" s="57"/>
      <c r="L4660" s="11"/>
      <c r="M4660" s="41"/>
      <c r="N4660" s="11"/>
    </row>
    <row r="4661" spans="8:14" x14ac:dyDescent="0.25">
      <c r="H4661" s="37"/>
      <c r="I4661" s="79"/>
      <c r="J4661" s="70"/>
      <c r="K4661" s="57"/>
      <c r="L4661" s="11"/>
      <c r="M4661" s="41"/>
      <c r="N4661" s="11"/>
    </row>
    <row r="4662" spans="8:14" x14ac:dyDescent="0.25">
      <c r="H4662" s="37"/>
      <c r="I4662" s="79"/>
      <c r="J4662" s="70"/>
      <c r="K4662" s="57"/>
      <c r="L4662" s="11"/>
      <c r="M4662" s="41"/>
      <c r="N4662" s="11"/>
    </row>
    <row r="4663" spans="8:14" x14ac:dyDescent="0.25">
      <c r="H4663" s="37"/>
      <c r="I4663" s="79"/>
      <c r="J4663" s="70"/>
      <c r="K4663" s="57"/>
      <c r="L4663" s="11"/>
      <c r="M4663" s="41"/>
      <c r="N4663" s="11"/>
    </row>
    <row r="4664" spans="8:14" x14ac:dyDescent="0.25">
      <c r="H4664" s="37"/>
      <c r="I4664" s="79"/>
      <c r="J4664" s="70"/>
      <c r="K4664" s="57"/>
      <c r="L4664" s="11"/>
      <c r="M4664" s="41"/>
      <c r="N4664" s="11"/>
    </row>
    <row r="4665" spans="8:14" x14ac:dyDescent="0.25">
      <c r="H4665" s="37"/>
      <c r="I4665" s="79"/>
      <c r="J4665" s="70"/>
      <c r="K4665" s="57"/>
      <c r="L4665" s="11"/>
      <c r="M4665" s="41"/>
      <c r="N4665" s="11"/>
    </row>
    <row r="4666" spans="8:14" x14ac:dyDescent="0.25">
      <c r="H4666" s="37"/>
      <c r="I4666" s="79"/>
      <c r="J4666" s="70"/>
      <c r="K4666" s="57"/>
      <c r="L4666" s="11"/>
      <c r="M4666" s="41"/>
      <c r="N4666" s="11"/>
    </row>
    <row r="4667" spans="8:14" x14ac:dyDescent="0.25">
      <c r="H4667" s="37"/>
      <c r="I4667" s="79"/>
      <c r="J4667" s="70"/>
      <c r="K4667" s="57"/>
      <c r="L4667" s="11"/>
      <c r="M4667" s="41"/>
      <c r="N4667" s="11"/>
    </row>
    <row r="4668" spans="8:14" x14ac:dyDescent="0.25">
      <c r="H4668" s="37"/>
      <c r="I4668" s="79"/>
      <c r="J4668" s="70"/>
      <c r="K4668" s="57"/>
      <c r="L4668" s="11"/>
      <c r="M4668" s="41"/>
      <c r="N4668" s="11"/>
    </row>
    <row r="4669" spans="8:14" x14ac:dyDescent="0.25">
      <c r="H4669" s="37"/>
      <c r="I4669" s="79"/>
      <c r="J4669" s="70"/>
      <c r="K4669" s="57"/>
      <c r="L4669" s="11"/>
      <c r="M4669" s="41"/>
      <c r="N4669" s="11"/>
    </row>
    <row r="4670" spans="8:14" x14ac:dyDescent="0.25">
      <c r="H4670" s="37"/>
      <c r="I4670" s="79"/>
      <c r="J4670" s="70"/>
      <c r="K4670" s="57"/>
      <c r="L4670" s="11"/>
      <c r="M4670" s="41"/>
      <c r="N4670" s="11"/>
    </row>
    <row r="4671" spans="8:14" x14ac:dyDescent="0.25">
      <c r="H4671" s="37"/>
      <c r="I4671" s="79"/>
      <c r="J4671" s="70"/>
      <c r="K4671" s="57"/>
      <c r="L4671" s="11"/>
      <c r="M4671" s="41"/>
      <c r="N4671" s="11"/>
    </row>
    <row r="4672" spans="8:14" x14ac:dyDescent="0.25">
      <c r="H4672" s="37"/>
      <c r="I4672" s="79"/>
      <c r="J4672" s="70"/>
      <c r="K4672" s="57"/>
      <c r="L4672" s="11"/>
      <c r="M4672" s="41"/>
      <c r="N4672" s="11"/>
    </row>
    <row r="4673" spans="8:14" x14ac:dyDescent="0.25">
      <c r="H4673" s="37"/>
      <c r="I4673" s="79"/>
      <c r="J4673" s="70"/>
      <c r="K4673" s="57"/>
      <c r="L4673" s="11"/>
      <c r="M4673" s="41"/>
      <c r="N4673" s="11"/>
    </row>
    <row r="4674" spans="8:14" x14ac:dyDescent="0.25">
      <c r="H4674" s="37"/>
      <c r="I4674" s="79"/>
      <c r="J4674" s="70"/>
      <c r="K4674" s="57"/>
      <c r="L4674" s="11"/>
      <c r="M4674" s="41"/>
      <c r="N4674" s="11"/>
    </row>
    <row r="4675" spans="8:14" x14ac:dyDescent="0.25">
      <c r="H4675" s="37"/>
      <c r="I4675" s="79"/>
      <c r="J4675" s="70"/>
      <c r="K4675" s="57"/>
      <c r="L4675" s="11"/>
      <c r="M4675" s="41"/>
      <c r="N4675" s="11"/>
    </row>
    <row r="4676" spans="8:14" x14ac:dyDescent="0.25">
      <c r="H4676" s="37"/>
      <c r="I4676" s="79"/>
      <c r="J4676" s="70"/>
      <c r="K4676" s="57"/>
      <c r="L4676" s="11"/>
      <c r="M4676" s="41"/>
      <c r="N4676" s="11"/>
    </row>
    <row r="4677" spans="8:14" x14ac:dyDescent="0.25">
      <c r="H4677" s="37"/>
      <c r="I4677" s="79"/>
      <c r="J4677" s="70"/>
      <c r="K4677" s="57"/>
      <c r="L4677" s="11"/>
      <c r="M4677" s="41"/>
      <c r="N4677" s="11"/>
    </row>
    <row r="4678" spans="8:14" x14ac:dyDescent="0.25">
      <c r="H4678" s="37"/>
      <c r="I4678" s="79"/>
      <c r="J4678" s="70"/>
      <c r="K4678" s="57"/>
      <c r="L4678" s="11"/>
      <c r="M4678" s="41"/>
      <c r="N4678" s="11"/>
    </row>
    <row r="4679" spans="8:14" x14ac:dyDescent="0.25">
      <c r="H4679" s="37"/>
      <c r="I4679" s="79"/>
      <c r="J4679" s="70"/>
      <c r="K4679" s="57"/>
      <c r="L4679" s="11"/>
      <c r="M4679" s="41"/>
      <c r="N4679" s="11"/>
    </row>
    <row r="4680" spans="8:14" x14ac:dyDescent="0.25">
      <c r="H4680" s="37"/>
      <c r="I4680" s="79"/>
      <c r="J4680" s="70"/>
      <c r="K4680" s="57"/>
      <c r="L4680" s="11"/>
      <c r="M4680" s="41"/>
      <c r="N4680" s="11"/>
    </row>
    <row r="4681" spans="8:14" x14ac:dyDescent="0.25">
      <c r="H4681" s="37"/>
      <c r="I4681" s="79"/>
      <c r="J4681" s="70"/>
      <c r="K4681" s="57"/>
      <c r="L4681" s="11"/>
      <c r="M4681" s="41"/>
      <c r="N4681" s="11"/>
    </row>
    <row r="4682" spans="8:14" x14ac:dyDescent="0.25">
      <c r="H4682" s="37"/>
      <c r="I4682" s="79"/>
      <c r="J4682" s="70"/>
      <c r="K4682" s="57"/>
      <c r="L4682" s="11"/>
      <c r="M4682" s="41"/>
      <c r="N4682" s="11"/>
    </row>
    <row r="4683" spans="8:14" x14ac:dyDescent="0.25">
      <c r="H4683" s="37"/>
      <c r="I4683" s="79"/>
      <c r="J4683" s="70"/>
      <c r="K4683" s="57"/>
      <c r="L4683" s="11"/>
      <c r="M4683" s="41"/>
      <c r="N4683" s="11"/>
    </row>
    <row r="4684" spans="8:14" x14ac:dyDescent="0.25">
      <c r="H4684" s="37"/>
      <c r="I4684" s="79"/>
      <c r="J4684" s="70"/>
      <c r="K4684" s="57"/>
      <c r="L4684" s="11"/>
      <c r="M4684" s="41"/>
      <c r="N4684" s="11"/>
    </row>
    <row r="4685" spans="8:14" x14ac:dyDescent="0.25">
      <c r="H4685" s="37"/>
      <c r="I4685" s="79"/>
      <c r="J4685" s="70"/>
      <c r="K4685" s="57"/>
      <c r="L4685" s="11"/>
      <c r="M4685" s="41"/>
      <c r="N4685" s="11"/>
    </row>
    <row r="4686" spans="8:14" x14ac:dyDescent="0.25">
      <c r="H4686" s="37"/>
      <c r="I4686" s="79"/>
      <c r="J4686" s="70"/>
      <c r="K4686" s="57"/>
      <c r="L4686" s="11"/>
      <c r="M4686" s="41"/>
      <c r="N4686" s="11"/>
    </row>
    <row r="4687" spans="8:14" x14ac:dyDescent="0.25">
      <c r="H4687" s="37"/>
      <c r="I4687" s="79"/>
      <c r="J4687" s="70"/>
      <c r="K4687" s="57"/>
      <c r="L4687" s="11"/>
      <c r="M4687" s="41"/>
      <c r="N4687" s="11"/>
    </row>
    <row r="4688" spans="8:14" x14ac:dyDescent="0.25">
      <c r="H4688" s="37"/>
      <c r="I4688" s="79"/>
      <c r="J4688" s="70"/>
      <c r="K4688" s="57"/>
      <c r="L4688" s="11"/>
      <c r="M4688" s="41"/>
      <c r="N4688" s="11"/>
    </row>
    <row r="4689" spans="8:14" x14ac:dyDescent="0.25">
      <c r="H4689" s="37"/>
      <c r="I4689" s="79"/>
      <c r="J4689" s="70"/>
      <c r="K4689" s="57"/>
      <c r="L4689" s="11"/>
      <c r="M4689" s="41"/>
      <c r="N4689" s="11"/>
    </row>
    <row r="4690" spans="8:14" x14ac:dyDescent="0.25">
      <c r="H4690" s="37"/>
      <c r="I4690" s="79"/>
      <c r="J4690" s="70"/>
      <c r="K4690" s="57"/>
      <c r="L4690" s="11"/>
      <c r="M4690" s="41"/>
      <c r="N4690" s="11"/>
    </row>
    <row r="4691" spans="8:14" x14ac:dyDescent="0.25">
      <c r="H4691" s="37"/>
      <c r="I4691" s="79"/>
      <c r="J4691" s="70"/>
      <c r="K4691" s="57"/>
      <c r="L4691" s="11"/>
      <c r="M4691" s="41"/>
      <c r="N4691" s="11"/>
    </row>
    <row r="4692" spans="8:14" x14ac:dyDescent="0.25">
      <c r="H4692" s="37"/>
      <c r="I4692" s="79"/>
      <c r="J4692" s="70"/>
      <c r="K4692" s="57"/>
      <c r="L4692" s="11"/>
      <c r="M4692" s="41"/>
      <c r="N4692" s="11"/>
    </row>
    <row r="4693" spans="8:14" x14ac:dyDescent="0.25">
      <c r="H4693" s="37"/>
      <c r="I4693" s="79"/>
      <c r="J4693" s="70"/>
      <c r="K4693" s="57"/>
      <c r="L4693" s="11"/>
      <c r="M4693" s="41"/>
      <c r="N4693" s="11"/>
    </row>
    <row r="4694" spans="8:14" x14ac:dyDescent="0.25">
      <c r="H4694" s="37"/>
      <c r="I4694" s="79"/>
      <c r="J4694" s="70"/>
      <c r="K4694" s="57"/>
      <c r="L4694" s="11"/>
      <c r="M4694" s="41"/>
      <c r="N4694" s="11"/>
    </row>
    <row r="4695" spans="8:14" x14ac:dyDescent="0.25">
      <c r="H4695" s="37"/>
      <c r="I4695" s="79"/>
      <c r="J4695" s="70"/>
      <c r="K4695" s="57"/>
      <c r="L4695" s="11"/>
      <c r="M4695" s="41"/>
      <c r="N4695" s="11"/>
    </row>
    <row r="4696" spans="8:14" x14ac:dyDescent="0.25">
      <c r="H4696" s="37"/>
      <c r="I4696" s="79"/>
      <c r="J4696" s="70"/>
      <c r="K4696" s="57"/>
      <c r="L4696" s="11"/>
      <c r="M4696" s="41"/>
      <c r="N4696" s="11"/>
    </row>
    <row r="4697" spans="8:14" x14ac:dyDescent="0.25">
      <c r="H4697" s="37"/>
      <c r="I4697" s="79"/>
      <c r="J4697" s="70"/>
      <c r="K4697" s="57"/>
      <c r="L4697" s="11"/>
      <c r="M4697" s="41"/>
      <c r="N4697" s="11"/>
    </row>
    <row r="4698" spans="8:14" x14ac:dyDescent="0.25">
      <c r="H4698" s="37"/>
      <c r="I4698" s="79"/>
      <c r="J4698" s="70"/>
      <c r="K4698" s="57"/>
      <c r="L4698" s="11"/>
      <c r="M4698" s="41"/>
      <c r="N4698" s="11"/>
    </row>
    <row r="4699" spans="8:14" x14ac:dyDescent="0.25">
      <c r="H4699" s="37"/>
      <c r="I4699" s="79"/>
      <c r="J4699" s="70"/>
      <c r="K4699" s="57"/>
      <c r="L4699" s="11"/>
      <c r="M4699" s="41"/>
      <c r="N4699" s="11"/>
    </row>
    <row r="4700" spans="8:14" x14ac:dyDescent="0.25">
      <c r="H4700" s="37"/>
      <c r="I4700" s="79"/>
      <c r="J4700" s="70"/>
      <c r="K4700" s="57"/>
      <c r="L4700" s="11"/>
      <c r="M4700" s="41"/>
      <c r="N4700" s="11"/>
    </row>
    <row r="4701" spans="8:14" x14ac:dyDescent="0.25">
      <c r="H4701" s="37"/>
      <c r="I4701" s="79"/>
      <c r="J4701" s="70"/>
      <c r="K4701" s="57"/>
      <c r="L4701" s="11"/>
      <c r="M4701" s="41"/>
      <c r="N4701" s="11"/>
    </row>
    <row r="4702" spans="8:14" x14ac:dyDescent="0.25">
      <c r="H4702" s="37"/>
      <c r="I4702" s="79"/>
      <c r="J4702" s="70"/>
      <c r="K4702" s="57"/>
      <c r="L4702" s="11"/>
      <c r="M4702" s="41"/>
      <c r="N4702" s="11"/>
    </row>
    <row r="4703" spans="8:14" x14ac:dyDescent="0.25">
      <c r="H4703" s="37"/>
      <c r="I4703" s="79"/>
      <c r="J4703" s="70"/>
      <c r="K4703" s="57"/>
      <c r="L4703" s="11"/>
      <c r="M4703" s="41"/>
      <c r="N4703" s="11"/>
    </row>
    <row r="4704" spans="8:14" x14ac:dyDescent="0.25">
      <c r="H4704" s="37"/>
      <c r="I4704" s="79"/>
      <c r="J4704" s="70"/>
      <c r="K4704" s="57"/>
      <c r="L4704" s="11"/>
      <c r="M4704" s="41"/>
      <c r="N4704" s="11"/>
    </row>
    <row r="4705" spans="8:14" x14ac:dyDescent="0.25">
      <c r="H4705" s="37"/>
      <c r="I4705" s="79"/>
      <c r="J4705" s="70"/>
      <c r="K4705" s="57"/>
      <c r="L4705" s="11"/>
      <c r="M4705" s="41"/>
      <c r="N4705" s="11"/>
    </row>
    <row r="4706" spans="8:14" x14ac:dyDescent="0.25">
      <c r="H4706" s="37"/>
      <c r="I4706" s="79"/>
      <c r="J4706" s="70"/>
      <c r="K4706" s="57"/>
      <c r="L4706" s="11"/>
      <c r="M4706" s="41"/>
      <c r="N4706" s="11"/>
    </row>
    <row r="4707" spans="8:14" x14ac:dyDescent="0.25">
      <c r="H4707" s="37"/>
      <c r="I4707" s="79"/>
      <c r="J4707" s="70"/>
      <c r="K4707" s="57"/>
      <c r="L4707" s="11"/>
      <c r="M4707" s="41"/>
      <c r="N4707" s="11"/>
    </row>
    <row r="4708" spans="8:14" x14ac:dyDescent="0.25">
      <c r="H4708" s="37"/>
      <c r="I4708" s="79"/>
      <c r="J4708" s="70"/>
      <c r="K4708" s="57"/>
      <c r="L4708" s="11"/>
      <c r="M4708" s="41"/>
      <c r="N4708" s="11"/>
    </row>
    <row r="4709" spans="8:14" x14ac:dyDescent="0.25">
      <c r="H4709" s="37"/>
      <c r="I4709" s="79"/>
      <c r="J4709" s="70"/>
      <c r="K4709" s="57"/>
      <c r="L4709" s="11"/>
      <c r="M4709" s="41"/>
      <c r="N4709" s="11"/>
    </row>
    <row r="4710" spans="8:14" x14ac:dyDescent="0.25">
      <c r="H4710" s="37"/>
      <c r="I4710" s="79"/>
      <c r="J4710" s="70"/>
      <c r="K4710" s="57"/>
      <c r="L4710" s="11"/>
      <c r="M4710" s="41"/>
      <c r="N4710" s="11"/>
    </row>
    <row r="4711" spans="8:14" x14ac:dyDescent="0.25">
      <c r="H4711" s="37"/>
      <c r="I4711" s="79"/>
      <c r="J4711" s="70"/>
      <c r="K4711" s="57"/>
      <c r="L4711" s="11"/>
      <c r="M4711" s="41"/>
      <c r="N4711" s="11"/>
    </row>
    <row r="4712" spans="8:14" x14ac:dyDescent="0.25">
      <c r="H4712" s="37"/>
      <c r="I4712" s="79"/>
      <c r="J4712" s="70"/>
      <c r="K4712" s="57"/>
      <c r="L4712" s="11"/>
      <c r="M4712" s="41"/>
      <c r="N4712" s="11"/>
    </row>
    <row r="4713" spans="8:14" x14ac:dyDescent="0.25">
      <c r="H4713" s="37"/>
      <c r="I4713" s="79"/>
      <c r="J4713" s="70"/>
      <c r="K4713" s="57"/>
      <c r="L4713" s="11"/>
      <c r="M4713" s="41"/>
      <c r="N4713" s="11"/>
    </row>
    <row r="4714" spans="8:14" x14ac:dyDescent="0.25">
      <c r="H4714" s="37"/>
      <c r="I4714" s="79"/>
      <c r="J4714" s="70"/>
      <c r="K4714" s="57"/>
      <c r="L4714" s="11"/>
      <c r="M4714" s="41"/>
      <c r="N4714" s="11"/>
    </row>
    <row r="4715" spans="8:14" x14ac:dyDescent="0.25">
      <c r="H4715" s="37"/>
      <c r="I4715" s="79"/>
      <c r="J4715" s="70"/>
      <c r="K4715" s="57"/>
      <c r="L4715" s="11"/>
      <c r="M4715" s="41"/>
      <c r="N4715" s="11"/>
    </row>
    <row r="4716" spans="8:14" x14ac:dyDescent="0.25">
      <c r="H4716" s="37"/>
      <c r="I4716" s="79"/>
      <c r="J4716" s="70"/>
      <c r="K4716" s="57"/>
      <c r="L4716" s="11"/>
      <c r="M4716" s="41"/>
      <c r="N4716" s="11"/>
    </row>
    <row r="4717" spans="8:14" x14ac:dyDescent="0.25">
      <c r="H4717" s="37"/>
      <c r="I4717" s="79"/>
      <c r="J4717" s="70"/>
      <c r="K4717" s="57"/>
      <c r="L4717" s="11"/>
      <c r="M4717" s="41"/>
      <c r="N4717" s="11"/>
    </row>
    <row r="4718" spans="8:14" x14ac:dyDescent="0.25">
      <c r="H4718" s="37"/>
      <c r="I4718" s="79"/>
      <c r="J4718" s="70"/>
      <c r="K4718" s="57"/>
      <c r="L4718" s="11"/>
      <c r="M4718" s="41"/>
      <c r="N4718" s="11"/>
    </row>
    <row r="4719" spans="8:14" x14ac:dyDescent="0.25">
      <c r="H4719" s="37"/>
      <c r="I4719" s="79"/>
      <c r="J4719" s="70"/>
      <c r="K4719" s="57"/>
      <c r="L4719" s="11"/>
      <c r="M4719" s="41"/>
      <c r="N4719" s="11"/>
    </row>
    <row r="4720" spans="8:14" x14ac:dyDescent="0.25">
      <c r="H4720" s="37"/>
      <c r="I4720" s="79"/>
      <c r="J4720" s="70"/>
      <c r="K4720" s="57"/>
      <c r="L4720" s="11"/>
      <c r="M4720" s="41"/>
      <c r="N4720" s="11"/>
    </row>
    <row r="4721" spans="8:14" x14ac:dyDescent="0.25">
      <c r="H4721" s="37"/>
      <c r="I4721" s="79"/>
      <c r="J4721" s="70"/>
      <c r="K4721" s="57"/>
      <c r="L4721" s="11"/>
      <c r="M4721" s="41"/>
      <c r="N4721" s="11"/>
    </row>
    <row r="4722" spans="8:14" x14ac:dyDescent="0.25">
      <c r="H4722" s="37"/>
      <c r="I4722" s="79"/>
      <c r="J4722" s="70"/>
      <c r="K4722" s="57"/>
      <c r="L4722" s="11"/>
      <c r="M4722" s="41"/>
      <c r="N4722" s="11"/>
    </row>
    <row r="4723" spans="8:14" x14ac:dyDescent="0.25">
      <c r="H4723" s="37"/>
      <c r="I4723" s="79"/>
      <c r="J4723" s="70"/>
      <c r="K4723" s="57"/>
      <c r="L4723" s="11"/>
      <c r="M4723" s="41"/>
      <c r="N4723" s="11"/>
    </row>
    <row r="4724" spans="8:14" x14ac:dyDescent="0.25">
      <c r="H4724" s="37"/>
      <c r="I4724" s="79"/>
      <c r="J4724" s="70"/>
      <c r="K4724" s="57"/>
      <c r="L4724" s="11"/>
      <c r="M4724" s="41"/>
      <c r="N4724" s="11"/>
    </row>
    <row r="4725" spans="8:14" x14ac:dyDescent="0.25">
      <c r="H4725" s="37"/>
      <c r="I4725" s="79"/>
      <c r="J4725" s="70"/>
      <c r="K4725" s="57"/>
      <c r="L4725" s="11"/>
      <c r="M4725" s="41"/>
      <c r="N4725" s="11"/>
    </row>
    <row r="4726" spans="8:14" x14ac:dyDescent="0.25">
      <c r="H4726" s="37"/>
      <c r="I4726" s="79"/>
      <c r="J4726" s="70"/>
      <c r="K4726" s="57"/>
      <c r="L4726" s="11"/>
      <c r="M4726" s="41"/>
      <c r="N4726" s="11"/>
    </row>
    <row r="4727" spans="8:14" x14ac:dyDescent="0.25">
      <c r="H4727" s="37"/>
      <c r="I4727" s="79"/>
      <c r="J4727" s="70"/>
      <c r="K4727" s="57"/>
      <c r="L4727" s="11"/>
      <c r="M4727" s="41"/>
      <c r="N4727" s="11"/>
    </row>
    <row r="4728" spans="8:14" x14ac:dyDescent="0.25">
      <c r="H4728" s="37"/>
      <c r="I4728" s="79"/>
      <c r="J4728" s="70"/>
      <c r="K4728" s="57"/>
      <c r="L4728" s="11"/>
      <c r="M4728" s="41"/>
      <c r="N4728" s="11"/>
    </row>
    <row r="4729" spans="8:14" x14ac:dyDescent="0.25">
      <c r="H4729" s="37"/>
      <c r="I4729" s="79"/>
      <c r="J4729" s="70"/>
      <c r="K4729" s="57"/>
      <c r="L4729" s="11"/>
      <c r="M4729" s="41"/>
      <c r="N4729" s="11"/>
    </row>
    <row r="4730" spans="8:14" x14ac:dyDescent="0.25">
      <c r="H4730" s="37"/>
      <c r="I4730" s="79"/>
      <c r="J4730" s="70"/>
      <c r="K4730" s="57"/>
      <c r="L4730" s="11"/>
      <c r="M4730" s="41"/>
      <c r="N4730" s="11"/>
    </row>
    <row r="4731" spans="8:14" x14ac:dyDescent="0.25">
      <c r="H4731" s="37"/>
      <c r="I4731" s="79"/>
      <c r="J4731" s="70"/>
      <c r="K4731" s="57"/>
      <c r="L4731" s="11"/>
      <c r="M4731" s="41"/>
      <c r="N4731" s="11"/>
    </row>
    <row r="4732" spans="8:14" x14ac:dyDescent="0.25">
      <c r="H4732" s="37"/>
      <c r="I4732" s="79"/>
      <c r="J4732" s="70"/>
      <c r="K4732" s="57"/>
      <c r="L4732" s="11"/>
      <c r="M4732" s="41"/>
      <c r="N4732" s="11"/>
    </row>
    <row r="4733" spans="8:14" x14ac:dyDescent="0.25">
      <c r="H4733" s="37"/>
      <c r="I4733" s="79"/>
      <c r="J4733" s="70"/>
      <c r="K4733" s="57"/>
      <c r="L4733" s="11"/>
      <c r="M4733" s="41"/>
      <c r="N4733" s="11"/>
    </row>
    <row r="4734" spans="8:14" x14ac:dyDescent="0.25">
      <c r="H4734" s="37"/>
      <c r="I4734" s="79"/>
      <c r="J4734" s="70"/>
      <c r="K4734" s="57"/>
      <c r="L4734" s="11"/>
      <c r="M4734" s="41"/>
      <c r="N4734" s="11"/>
    </row>
    <row r="4735" spans="8:14" x14ac:dyDescent="0.25">
      <c r="H4735" s="37"/>
      <c r="I4735" s="79"/>
      <c r="J4735" s="70"/>
      <c r="K4735" s="57"/>
      <c r="L4735" s="11"/>
      <c r="M4735" s="41"/>
      <c r="N4735" s="11"/>
    </row>
    <row r="4736" spans="8:14" x14ac:dyDescent="0.25">
      <c r="H4736" s="37"/>
      <c r="I4736" s="79"/>
      <c r="J4736" s="70"/>
      <c r="K4736" s="57"/>
      <c r="L4736" s="11"/>
      <c r="M4736" s="41"/>
      <c r="N4736" s="11"/>
    </row>
    <row r="4737" spans="8:14" x14ac:dyDescent="0.25">
      <c r="H4737" s="37"/>
      <c r="I4737" s="79"/>
      <c r="J4737" s="70"/>
      <c r="K4737" s="57"/>
      <c r="L4737" s="11"/>
      <c r="M4737" s="41"/>
      <c r="N4737" s="11"/>
    </row>
    <row r="4738" spans="8:14" x14ac:dyDescent="0.25">
      <c r="H4738" s="37"/>
      <c r="I4738" s="79"/>
      <c r="J4738" s="70"/>
      <c r="K4738" s="57"/>
      <c r="L4738" s="11"/>
      <c r="M4738" s="41"/>
      <c r="N4738" s="11"/>
    </row>
    <row r="4739" spans="8:14" x14ac:dyDescent="0.25">
      <c r="H4739" s="37"/>
      <c r="I4739" s="79"/>
      <c r="J4739" s="70"/>
      <c r="K4739" s="57"/>
      <c r="L4739" s="11"/>
      <c r="M4739" s="41"/>
      <c r="N4739" s="11"/>
    </row>
    <row r="4740" spans="8:14" x14ac:dyDescent="0.25">
      <c r="H4740" s="37"/>
      <c r="I4740" s="79"/>
      <c r="J4740" s="70"/>
      <c r="K4740" s="57"/>
      <c r="L4740" s="11"/>
      <c r="M4740" s="41"/>
      <c r="N4740" s="11"/>
    </row>
    <row r="4741" spans="8:14" x14ac:dyDescent="0.25">
      <c r="H4741" s="37"/>
      <c r="I4741" s="79"/>
      <c r="J4741" s="70"/>
      <c r="K4741" s="57"/>
      <c r="L4741" s="11"/>
      <c r="M4741" s="41"/>
      <c r="N4741" s="11"/>
    </row>
    <row r="4742" spans="8:14" x14ac:dyDescent="0.25">
      <c r="H4742" s="37"/>
      <c r="I4742" s="79"/>
      <c r="J4742" s="70"/>
      <c r="K4742" s="57"/>
      <c r="L4742" s="11"/>
      <c r="M4742" s="41"/>
      <c r="N4742" s="11"/>
    </row>
    <row r="4743" spans="8:14" x14ac:dyDescent="0.25">
      <c r="H4743" s="37"/>
      <c r="I4743" s="79"/>
      <c r="J4743" s="70"/>
      <c r="K4743" s="57"/>
      <c r="L4743" s="11"/>
      <c r="M4743" s="41"/>
      <c r="N4743" s="11"/>
    </row>
    <row r="4744" spans="8:14" x14ac:dyDescent="0.25">
      <c r="H4744" s="37"/>
      <c r="I4744" s="79"/>
      <c r="J4744" s="70"/>
      <c r="K4744" s="57"/>
      <c r="L4744" s="11"/>
      <c r="M4744" s="41"/>
      <c r="N4744" s="11"/>
    </row>
    <row r="4745" spans="8:14" x14ac:dyDescent="0.25">
      <c r="H4745" s="37"/>
      <c r="I4745" s="79"/>
      <c r="J4745" s="70"/>
      <c r="K4745" s="57"/>
      <c r="L4745" s="11"/>
      <c r="M4745" s="41"/>
      <c r="N4745" s="11"/>
    </row>
    <row r="4746" spans="8:14" x14ac:dyDescent="0.25">
      <c r="H4746" s="37"/>
      <c r="I4746" s="79"/>
      <c r="J4746" s="70"/>
      <c r="K4746" s="57"/>
      <c r="L4746" s="11"/>
      <c r="M4746" s="41"/>
      <c r="N4746" s="11"/>
    </row>
    <row r="4747" spans="8:14" x14ac:dyDescent="0.25">
      <c r="H4747" s="37"/>
      <c r="I4747" s="79"/>
      <c r="J4747" s="70"/>
      <c r="K4747" s="57"/>
      <c r="L4747" s="11"/>
      <c r="M4747" s="41"/>
      <c r="N4747" s="11"/>
    </row>
    <row r="4748" spans="8:14" x14ac:dyDescent="0.25">
      <c r="H4748" s="37"/>
      <c r="I4748" s="79"/>
      <c r="J4748" s="70"/>
      <c r="K4748" s="57"/>
      <c r="L4748" s="11"/>
      <c r="M4748" s="41"/>
      <c r="N4748" s="11"/>
    </row>
    <row r="4749" spans="8:14" x14ac:dyDescent="0.25">
      <c r="H4749" s="37"/>
      <c r="I4749" s="79"/>
      <c r="J4749" s="70"/>
      <c r="K4749" s="57"/>
      <c r="L4749" s="11"/>
      <c r="M4749" s="41"/>
      <c r="N4749" s="11"/>
    </row>
    <row r="4750" spans="8:14" x14ac:dyDescent="0.25">
      <c r="H4750" s="37"/>
      <c r="I4750" s="79"/>
      <c r="J4750" s="70"/>
      <c r="K4750" s="57"/>
      <c r="L4750" s="11"/>
      <c r="M4750" s="41"/>
      <c r="N4750" s="11"/>
    </row>
    <row r="4751" spans="8:14" x14ac:dyDescent="0.25">
      <c r="H4751" s="37"/>
      <c r="I4751" s="79"/>
      <c r="J4751" s="70"/>
      <c r="K4751" s="57"/>
      <c r="L4751" s="11"/>
      <c r="M4751" s="41"/>
      <c r="N4751" s="11"/>
    </row>
    <row r="4752" spans="8:14" x14ac:dyDescent="0.25">
      <c r="H4752" s="37"/>
      <c r="I4752" s="79"/>
      <c r="J4752" s="70"/>
      <c r="K4752" s="57"/>
      <c r="L4752" s="11"/>
      <c r="M4752" s="41"/>
      <c r="N4752" s="11"/>
    </row>
    <row r="4753" spans="8:14" x14ac:dyDescent="0.25">
      <c r="H4753" s="37"/>
      <c r="I4753" s="79"/>
      <c r="J4753" s="70"/>
      <c r="K4753" s="57"/>
      <c r="L4753" s="11"/>
      <c r="M4753" s="41"/>
      <c r="N4753" s="11"/>
    </row>
    <row r="4754" spans="8:14" x14ac:dyDescent="0.25">
      <c r="H4754" s="37"/>
      <c r="I4754" s="79"/>
      <c r="J4754" s="70"/>
      <c r="K4754" s="57"/>
      <c r="L4754" s="11"/>
      <c r="M4754" s="41"/>
      <c r="N4754" s="11"/>
    </row>
    <row r="4755" spans="8:14" x14ac:dyDescent="0.25">
      <c r="H4755" s="37"/>
      <c r="I4755" s="79"/>
      <c r="J4755" s="70"/>
      <c r="K4755" s="57"/>
      <c r="L4755" s="11"/>
      <c r="M4755" s="41"/>
      <c r="N4755" s="11"/>
    </row>
    <row r="4756" spans="8:14" x14ac:dyDescent="0.25">
      <c r="H4756" s="37"/>
      <c r="I4756" s="79"/>
      <c r="J4756" s="70"/>
      <c r="K4756" s="57"/>
      <c r="L4756" s="11"/>
      <c r="M4756" s="41"/>
      <c r="N4756" s="11"/>
    </row>
    <row r="4757" spans="8:14" x14ac:dyDescent="0.25">
      <c r="H4757" s="37"/>
      <c r="I4757" s="79"/>
      <c r="J4757" s="70"/>
      <c r="K4757" s="57"/>
      <c r="L4757" s="11"/>
      <c r="M4757" s="41"/>
      <c r="N4757" s="11"/>
    </row>
    <row r="4758" spans="8:14" x14ac:dyDescent="0.25">
      <c r="H4758" s="37"/>
      <c r="I4758" s="79"/>
      <c r="J4758" s="70"/>
      <c r="K4758" s="57"/>
      <c r="L4758" s="11"/>
      <c r="M4758" s="41"/>
      <c r="N4758" s="11"/>
    </row>
    <row r="4759" spans="8:14" x14ac:dyDescent="0.25">
      <c r="H4759" s="37"/>
      <c r="I4759" s="79"/>
      <c r="J4759" s="70"/>
      <c r="K4759" s="57"/>
      <c r="L4759" s="11"/>
      <c r="M4759" s="41"/>
      <c r="N4759" s="11"/>
    </row>
    <row r="4760" spans="8:14" x14ac:dyDescent="0.25">
      <c r="H4760" s="37"/>
      <c r="I4760" s="79"/>
      <c r="J4760" s="70"/>
      <c r="K4760" s="57"/>
      <c r="L4760" s="11"/>
      <c r="M4760" s="41"/>
      <c r="N4760" s="11"/>
    </row>
    <row r="4761" spans="8:14" x14ac:dyDescent="0.25">
      <c r="H4761" s="37"/>
      <c r="I4761" s="79"/>
      <c r="J4761" s="70"/>
      <c r="K4761" s="57"/>
      <c r="L4761" s="11"/>
      <c r="M4761" s="41"/>
      <c r="N4761" s="11"/>
    </row>
    <row r="4762" spans="8:14" x14ac:dyDescent="0.25">
      <c r="H4762" s="37"/>
      <c r="I4762" s="79"/>
      <c r="J4762" s="70"/>
      <c r="K4762" s="57"/>
      <c r="L4762" s="11"/>
      <c r="M4762" s="41"/>
      <c r="N4762" s="11"/>
    </row>
    <row r="4763" spans="8:14" x14ac:dyDescent="0.25">
      <c r="H4763" s="37"/>
      <c r="I4763" s="79"/>
      <c r="J4763" s="70"/>
      <c r="K4763" s="57"/>
      <c r="L4763" s="11"/>
      <c r="M4763" s="41"/>
      <c r="N4763" s="11"/>
    </row>
    <row r="4764" spans="8:14" x14ac:dyDescent="0.25">
      <c r="H4764" s="37"/>
      <c r="I4764" s="79"/>
      <c r="J4764" s="70"/>
      <c r="K4764" s="57"/>
      <c r="L4764" s="11"/>
      <c r="M4764" s="41"/>
      <c r="N4764" s="11"/>
    </row>
    <row r="4765" spans="8:14" x14ac:dyDescent="0.25">
      <c r="H4765" s="37"/>
      <c r="I4765" s="79"/>
      <c r="J4765" s="70"/>
      <c r="K4765" s="57"/>
      <c r="L4765" s="11"/>
      <c r="M4765" s="41"/>
      <c r="N4765" s="11"/>
    </row>
    <row r="4766" spans="8:14" x14ac:dyDescent="0.25">
      <c r="H4766" s="37"/>
      <c r="I4766" s="79"/>
      <c r="J4766" s="70"/>
      <c r="K4766" s="57"/>
      <c r="L4766" s="11"/>
      <c r="M4766" s="41"/>
      <c r="N4766" s="11"/>
    </row>
    <row r="4767" spans="8:14" x14ac:dyDescent="0.25">
      <c r="H4767" s="37"/>
      <c r="I4767" s="79"/>
      <c r="J4767" s="70"/>
      <c r="K4767" s="57"/>
      <c r="L4767" s="11"/>
      <c r="M4767" s="41"/>
      <c r="N4767" s="11"/>
    </row>
    <row r="4768" spans="8:14" x14ac:dyDescent="0.25">
      <c r="H4768" s="37"/>
      <c r="I4768" s="79"/>
      <c r="J4768" s="70"/>
      <c r="K4768" s="57"/>
      <c r="L4768" s="11"/>
      <c r="M4768" s="41"/>
      <c r="N4768" s="11"/>
    </row>
    <row r="4769" spans="8:14" x14ac:dyDescent="0.25">
      <c r="H4769" s="37"/>
      <c r="I4769" s="79"/>
      <c r="J4769" s="70"/>
      <c r="K4769" s="57"/>
      <c r="L4769" s="11"/>
      <c r="M4769" s="41"/>
      <c r="N4769" s="11"/>
    </row>
    <row r="4770" spans="8:14" x14ac:dyDescent="0.25">
      <c r="H4770" s="37"/>
      <c r="I4770" s="79"/>
      <c r="J4770" s="70"/>
      <c r="K4770" s="57"/>
      <c r="L4770" s="11"/>
      <c r="M4770" s="41"/>
      <c r="N4770" s="11"/>
    </row>
    <row r="4771" spans="8:14" x14ac:dyDescent="0.25">
      <c r="H4771" s="37"/>
      <c r="I4771" s="79"/>
      <c r="J4771" s="70"/>
      <c r="K4771" s="57"/>
      <c r="L4771" s="11"/>
      <c r="M4771" s="41"/>
      <c r="N4771" s="11"/>
    </row>
    <row r="4772" spans="8:14" x14ac:dyDescent="0.25">
      <c r="H4772" s="37"/>
      <c r="I4772" s="79"/>
      <c r="J4772" s="70"/>
      <c r="K4772" s="57"/>
      <c r="L4772" s="11"/>
      <c r="M4772" s="41"/>
      <c r="N4772" s="11"/>
    </row>
    <row r="4773" spans="8:14" x14ac:dyDescent="0.25">
      <c r="H4773" s="37"/>
      <c r="I4773" s="79"/>
      <c r="J4773" s="70"/>
      <c r="K4773" s="57"/>
      <c r="L4773" s="11"/>
      <c r="M4773" s="41"/>
      <c r="N4773" s="11"/>
    </row>
    <row r="4774" spans="8:14" x14ac:dyDescent="0.25">
      <c r="H4774" s="37"/>
      <c r="I4774" s="79"/>
      <c r="J4774" s="70"/>
      <c r="K4774" s="57"/>
      <c r="L4774" s="11"/>
      <c r="M4774" s="41"/>
      <c r="N4774" s="11"/>
    </row>
    <row r="4775" spans="8:14" x14ac:dyDescent="0.25">
      <c r="H4775" s="37"/>
      <c r="I4775" s="79"/>
      <c r="J4775" s="70"/>
      <c r="K4775" s="57"/>
      <c r="L4775" s="11"/>
      <c r="M4775" s="41"/>
      <c r="N4775" s="11"/>
    </row>
    <row r="4776" spans="8:14" x14ac:dyDescent="0.25">
      <c r="H4776" s="37"/>
      <c r="I4776" s="79"/>
      <c r="J4776" s="70"/>
      <c r="K4776" s="57"/>
      <c r="L4776" s="11"/>
      <c r="M4776" s="41"/>
      <c r="N4776" s="11"/>
    </row>
    <row r="4777" spans="8:14" x14ac:dyDescent="0.25">
      <c r="H4777" s="37"/>
      <c r="I4777" s="79"/>
      <c r="J4777" s="70"/>
      <c r="K4777" s="57"/>
      <c r="L4777" s="11"/>
      <c r="M4777" s="41"/>
      <c r="N4777" s="11"/>
    </row>
    <row r="4778" spans="8:14" x14ac:dyDescent="0.25">
      <c r="H4778" s="37"/>
      <c r="I4778" s="79"/>
      <c r="J4778" s="70"/>
      <c r="K4778" s="57"/>
      <c r="L4778" s="11"/>
      <c r="M4778" s="41"/>
      <c r="N4778" s="11"/>
    </row>
    <row r="4779" spans="8:14" x14ac:dyDescent="0.25">
      <c r="H4779" s="37"/>
      <c r="I4779" s="79"/>
      <c r="J4779" s="70"/>
      <c r="K4779" s="57"/>
      <c r="L4779" s="11"/>
      <c r="M4779" s="41"/>
      <c r="N4779" s="11"/>
    </row>
    <row r="4780" spans="8:14" x14ac:dyDescent="0.25">
      <c r="H4780" s="37"/>
      <c r="I4780" s="79"/>
      <c r="J4780" s="70"/>
      <c r="K4780" s="57"/>
      <c r="L4780" s="11"/>
      <c r="M4780" s="41"/>
      <c r="N4780" s="11"/>
    </row>
    <row r="4781" spans="8:14" x14ac:dyDescent="0.25">
      <c r="H4781" s="37"/>
      <c r="I4781" s="79"/>
      <c r="J4781" s="70"/>
      <c r="K4781" s="57"/>
      <c r="L4781" s="11"/>
      <c r="M4781" s="41"/>
      <c r="N4781" s="11"/>
    </row>
    <row r="4782" spans="8:14" x14ac:dyDescent="0.25">
      <c r="H4782" s="37"/>
      <c r="I4782" s="79"/>
      <c r="J4782" s="70"/>
      <c r="K4782" s="57"/>
      <c r="L4782" s="11"/>
      <c r="M4782" s="41"/>
      <c r="N4782" s="11"/>
    </row>
    <row r="4783" spans="8:14" x14ac:dyDescent="0.25">
      <c r="H4783" s="37"/>
      <c r="I4783" s="79"/>
      <c r="J4783" s="70"/>
      <c r="K4783" s="57"/>
      <c r="L4783" s="11"/>
      <c r="M4783" s="41"/>
      <c r="N4783" s="11"/>
    </row>
    <row r="4784" spans="8:14" x14ac:dyDescent="0.25">
      <c r="H4784" s="37"/>
      <c r="I4784" s="79"/>
      <c r="J4784" s="70"/>
      <c r="K4784" s="57"/>
      <c r="L4784" s="11"/>
      <c r="M4784" s="41"/>
      <c r="N4784" s="11"/>
    </row>
    <row r="4785" spans="8:14" x14ac:dyDescent="0.25">
      <c r="H4785" s="37"/>
      <c r="I4785" s="79"/>
      <c r="J4785" s="70"/>
      <c r="K4785" s="57"/>
      <c r="L4785" s="11"/>
      <c r="M4785" s="41"/>
      <c r="N4785" s="11"/>
    </row>
    <row r="4786" spans="8:14" x14ac:dyDescent="0.25">
      <c r="H4786" s="37"/>
      <c r="I4786" s="79"/>
      <c r="J4786" s="70"/>
      <c r="K4786" s="57"/>
      <c r="L4786" s="11"/>
      <c r="M4786" s="41"/>
      <c r="N4786" s="11"/>
    </row>
    <row r="4787" spans="8:14" x14ac:dyDescent="0.25">
      <c r="H4787" s="37"/>
      <c r="I4787" s="79"/>
      <c r="J4787" s="70"/>
      <c r="K4787" s="57"/>
      <c r="L4787" s="11"/>
      <c r="M4787" s="41"/>
      <c r="N4787" s="11"/>
    </row>
    <row r="4788" spans="8:14" x14ac:dyDescent="0.25">
      <c r="H4788" s="37"/>
      <c r="I4788" s="79"/>
      <c r="J4788" s="70"/>
      <c r="K4788" s="57"/>
      <c r="L4788" s="11"/>
      <c r="M4788" s="41"/>
      <c r="N4788" s="11"/>
    </row>
    <row r="4789" spans="8:14" x14ac:dyDescent="0.25">
      <c r="H4789" s="37"/>
      <c r="I4789" s="79"/>
      <c r="J4789" s="70"/>
      <c r="K4789" s="57"/>
      <c r="L4789" s="11"/>
      <c r="M4789" s="41"/>
      <c r="N4789" s="11"/>
    </row>
    <row r="4790" spans="8:14" x14ac:dyDescent="0.25">
      <c r="H4790" s="37"/>
      <c r="I4790" s="79"/>
      <c r="J4790" s="70"/>
      <c r="K4790" s="57"/>
      <c r="L4790" s="11"/>
      <c r="M4790" s="41"/>
      <c r="N4790" s="11"/>
    </row>
    <row r="4791" spans="8:14" x14ac:dyDescent="0.25">
      <c r="H4791" s="37"/>
      <c r="I4791" s="79"/>
      <c r="J4791" s="70"/>
      <c r="K4791" s="57"/>
      <c r="L4791" s="11"/>
      <c r="M4791" s="41"/>
      <c r="N4791" s="11"/>
    </row>
    <row r="4792" spans="8:14" x14ac:dyDescent="0.25">
      <c r="H4792" s="37"/>
      <c r="I4792" s="79"/>
      <c r="J4792" s="70"/>
      <c r="K4792" s="57"/>
      <c r="L4792" s="11"/>
      <c r="M4792" s="41"/>
      <c r="N4792" s="11"/>
    </row>
    <row r="4793" spans="8:14" x14ac:dyDescent="0.25">
      <c r="H4793" s="37"/>
      <c r="I4793" s="79"/>
      <c r="J4793" s="70"/>
      <c r="K4793" s="57"/>
      <c r="L4793" s="11"/>
      <c r="M4793" s="41"/>
      <c r="N4793" s="11"/>
    </row>
    <row r="4794" spans="8:14" x14ac:dyDescent="0.25">
      <c r="H4794" s="37"/>
      <c r="I4794" s="79"/>
      <c r="J4794" s="70"/>
      <c r="K4794" s="57"/>
      <c r="L4794" s="11"/>
      <c r="M4794" s="41"/>
      <c r="N4794" s="11"/>
    </row>
    <row r="4795" spans="8:14" x14ac:dyDescent="0.25">
      <c r="H4795" s="37"/>
      <c r="I4795" s="79"/>
      <c r="J4795" s="70"/>
      <c r="K4795" s="57"/>
      <c r="L4795" s="11"/>
      <c r="M4795" s="41"/>
      <c r="N4795" s="11"/>
    </row>
    <row r="4796" spans="8:14" x14ac:dyDescent="0.25">
      <c r="H4796" s="37"/>
      <c r="I4796" s="79"/>
      <c r="J4796" s="70"/>
      <c r="K4796" s="57"/>
      <c r="L4796" s="11"/>
      <c r="M4796" s="41"/>
      <c r="N4796" s="11"/>
    </row>
    <row r="4797" spans="8:14" x14ac:dyDescent="0.25">
      <c r="H4797" s="37"/>
      <c r="I4797" s="79"/>
      <c r="J4797" s="70"/>
      <c r="K4797" s="57"/>
      <c r="L4797" s="11"/>
      <c r="M4797" s="41"/>
      <c r="N4797" s="11"/>
    </row>
    <row r="4798" spans="8:14" x14ac:dyDescent="0.25">
      <c r="H4798" s="37"/>
      <c r="I4798" s="79"/>
      <c r="J4798" s="70"/>
      <c r="K4798" s="57"/>
      <c r="L4798" s="11"/>
      <c r="M4798" s="41"/>
      <c r="N4798" s="11"/>
    </row>
    <row r="4799" spans="8:14" x14ac:dyDescent="0.25">
      <c r="H4799" s="37"/>
      <c r="I4799" s="79"/>
      <c r="J4799" s="70"/>
      <c r="K4799" s="57"/>
      <c r="L4799" s="11"/>
      <c r="M4799" s="41"/>
      <c r="N4799" s="11"/>
    </row>
    <row r="4800" spans="8:14" x14ac:dyDescent="0.25">
      <c r="H4800" s="37"/>
      <c r="I4800" s="79"/>
      <c r="J4800" s="70"/>
      <c r="K4800" s="57"/>
      <c r="L4800" s="11"/>
      <c r="M4800" s="41"/>
      <c r="N4800" s="11"/>
    </row>
    <row r="4801" spans="8:14" x14ac:dyDescent="0.25">
      <c r="H4801" s="37"/>
      <c r="I4801" s="79"/>
      <c r="J4801" s="70"/>
      <c r="K4801" s="57"/>
      <c r="L4801" s="11"/>
      <c r="M4801" s="41"/>
      <c r="N4801" s="11"/>
    </row>
    <row r="4802" spans="8:14" x14ac:dyDescent="0.25">
      <c r="M4802" s="41"/>
      <c r="N4802" s="11"/>
    </row>
    <row r="4803" spans="8:14" x14ac:dyDescent="0.25">
      <c r="M4803" s="41"/>
      <c r="N4803" s="11"/>
    </row>
    <row r="4804" spans="8:14" x14ac:dyDescent="0.25">
      <c r="M4804" s="41"/>
      <c r="N4804" s="11"/>
    </row>
    <row r="4805" spans="8:14" x14ac:dyDescent="0.25">
      <c r="M4805" s="41"/>
      <c r="N4805" s="11"/>
    </row>
    <row r="4806" spans="8:14" x14ac:dyDescent="0.25">
      <c r="M4806" s="41"/>
      <c r="N4806" s="11"/>
    </row>
    <row r="4807" spans="8:14" x14ac:dyDescent="0.25">
      <c r="M4807" s="41"/>
      <c r="N4807" s="11"/>
    </row>
    <row r="4808" spans="8:14" x14ac:dyDescent="0.25">
      <c r="M4808" s="41"/>
      <c r="N4808" s="11"/>
    </row>
    <row r="4809" spans="8:14" x14ac:dyDescent="0.25">
      <c r="M4809" s="41"/>
      <c r="N4809" s="11"/>
    </row>
    <row r="4810" spans="8:14" x14ac:dyDescent="0.25">
      <c r="M4810" s="41"/>
      <c r="N4810" s="11"/>
    </row>
    <row r="4811" spans="8:14" x14ac:dyDescent="0.25">
      <c r="M4811" s="41"/>
      <c r="N4811" s="11"/>
    </row>
    <row r="4812" spans="8:14" x14ac:dyDescent="0.25">
      <c r="M4812" s="41"/>
      <c r="N4812" s="11"/>
    </row>
    <row r="4813" spans="8:14" x14ac:dyDescent="0.25">
      <c r="M4813" s="41"/>
      <c r="N4813" s="11"/>
    </row>
    <row r="4814" spans="8:14" x14ac:dyDescent="0.25">
      <c r="M4814" s="41"/>
      <c r="N4814" s="11"/>
    </row>
    <row r="4815" spans="8:14" x14ac:dyDescent="0.25">
      <c r="M4815" s="41"/>
      <c r="N4815" s="11"/>
    </row>
    <row r="4816" spans="8:14" x14ac:dyDescent="0.25">
      <c r="M4816" s="41"/>
      <c r="N4816" s="11"/>
    </row>
    <row r="4817" spans="13:14" x14ac:dyDescent="0.25">
      <c r="M4817" s="41"/>
      <c r="N4817" s="11"/>
    </row>
    <row r="4818" spans="13:14" x14ac:dyDescent="0.25">
      <c r="M4818" s="41"/>
      <c r="N4818" s="11"/>
    </row>
    <row r="4819" spans="13:14" x14ac:dyDescent="0.25">
      <c r="M4819" s="41"/>
      <c r="N4819" s="11"/>
    </row>
    <row r="4820" spans="13:14" x14ac:dyDescent="0.25">
      <c r="M4820" s="41"/>
      <c r="N4820" s="11"/>
    </row>
    <row r="4821" spans="13:14" x14ac:dyDescent="0.25">
      <c r="M4821" s="41"/>
      <c r="N4821" s="11"/>
    </row>
    <row r="4822" spans="13:14" x14ac:dyDescent="0.25">
      <c r="M4822" s="41"/>
      <c r="N4822" s="11"/>
    </row>
    <row r="4823" spans="13:14" x14ac:dyDescent="0.25">
      <c r="M4823" s="41"/>
      <c r="N4823" s="11"/>
    </row>
    <row r="4824" spans="13:14" x14ac:dyDescent="0.25">
      <c r="M4824" s="41"/>
      <c r="N4824" s="11"/>
    </row>
    <row r="4825" spans="13:14" x14ac:dyDescent="0.25">
      <c r="M4825" s="41"/>
      <c r="N4825" s="11"/>
    </row>
    <row r="4826" spans="13:14" x14ac:dyDescent="0.25">
      <c r="M4826" s="41"/>
      <c r="N4826" s="11"/>
    </row>
    <row r="4827" spans="13:14" x14ac:dyDescent="0.25">
      <c r="M4827" s="41"/>
      <c r="N4827" s="11"/>
    </row>
    <row r="4828" spans="13:14" x14ac:dyDescent="0.25">
      <c r="M4828" s="41"/>
      <c r="N4828" s="11"/>
    </row>
    <row r="4829" spans="13:14" x14ac:dyDescent="0.25">
      <c r="M4829" s="41"/>
      <c r="N4829" s="11"/>
    </row>
    <row r="4830" spans="13:14" x14ac:dyDescent="0.25">
      <c r="M4830" s="41"/>
      <c r="N4830" s="11"/>
    </row>
    <row r="4831" spans="13:14" x14ac:dyDescent="0.25">
      <c r="M4831" s="41"/>
      <c r="N4831" s="11"/>
    </row>
    <row r="4832" spans="13:14" x14ac:dyDescent="0.25">
      <c r="M4832" s="41"/>
      <c r="N4832" s="11"/>
    </row>
    <row r="4833" spans="13:14" x14ac:dyDescent="0.25">
      <c r="M4833" s="41"/>
      <c r="N4833" s="11"/>
    </row>
    <row r="4834" spans="13:14" x14ac:dyDescent="0.25">
      <c r="M4834" s="41"/>
      <c r="N4834" s="11"/>
    </row>
    <row r="4835" spans="13:14" x14ac:dyDescent="0.25">
      <c r="M4835" s="41"/>
      <c r="N4835" s="11"/>
    </row>
    <row r="4836" spans="13:14" x14ac:dyDescent="0.25">
      <c r="M4836" s="41"/>
      <c r="N4836" s="11"/>
    </row>
    <row r="4837" spans="13:14" x14ac:dyDescent="0.25">
      <c r="M4837" s="41"/>
      <c r="N4837" s="11"/>
    </row>
    <row r="4838" spans="13:14" x14ac:dyDescent="0.25">
      <c r="M4838" s="41"/>
      <c r="N4838" s="11"/>
    </row>
    <row r="4839" spans="13:14" x14ac:dyDescent="0.25">
      <c r="M4839" s="41"/>
      <c r="N4839" s="11"/>
    </row>
    <row r="4840" spans="13:14" x14ac:dyDescent="0.25">
      <c r="M4840" s="41"/>
      <c r="N4840" s="11"/>
    </row>
    <row r="4841" spans="13:14" x14ac:dyDescent="0.25">
      <c r="M4841" s="41"/>
      <c r="N4841" s="11"/>
    </row>
    <row r="4842" spans="13:14" x14ac:dyDescent="0.25">
      <c r="M4842" s="41"/>
      <c r="N4842" s="11"/>
    </row>
    <row r="4843" spans="13:14" x14ac:dyDescent="0.25">
      <c r="M4843" s="41"/>
      <c r="N4843" s="11"/>
    </row>
    <row r="4844" spans="13:14" x14ac:dyDescent="0.25">
      <c r="M4844" s="41"/>
      <c r="N4844" s="11"/>
    </row>
    <row r="4845" spans="13:14" x14ac:dyDescent="0.25">
      <c r="M4845" s="41"/>
      <c r="N4845" s="11"/>
    </row>
    <row r="4846" spans="13:14" x14ac:dyDescent="0.25">
      <c r="M4846" s="41"/>
      <c r="N4846" s="11"/>
    </row>
    <row r="4847" spans="13:14" x14ac:dyDescent="0.25">
      <c r="M4847" s="41"/>
      <c r="N4847" s="11"/>
    </row>
    <row r="4848" spans="13:14" x14ac:dyDescent="0.25">
      <c r="M4848" s="41"/>
      <c r="N4848" s="11"/>
    </row>
    <row r="4849" spans="13:14" x14ac:dyDescent="0.25">
      <c r="M4849" s="41"/>
      <c r="N4849" s="11"/>
    </row>
    <row r="4850" spans="13:14" x14ac:dyDescent="0.25">
      <c r="M4850" s="41"/>
      <c r="N4850" s="11"/>
    </row>
    <row r="4851" spans="13:14" x14ac:dyDescent="0.25">
      <c r="M4851" s="41"/>
      <c r="N4851" s="11"/>
    </row>
    <row r="4852" spans="13:14" x14ac:dyDescent="0.25">
      <c r="M4852" s="41"/>
      <c r="N4852" s="11"/>
    </row>
    <row r="4853" spans="13:14" x14ac:dyDescent="0.25">
      <c r="M4853" s="41"/>
      <c r="N4853" s="11"/>
    </row>
    <row r="4854" spans="13:14" x14ac:dyDescent="0.25">
      <c r="M4854" s="41"/>
      <c r="N4854" s="11"/>
    </row>
    <row r="4855" spans="13:14" x14ac:dyDescent="0.25">
      <c r="M4855" s="41"/>
      <c r="N4855" s="11"/>
    </row>
    <row r="4856" spans="13:14" x14ac:dyDescent="0.25">
      <c r="M4856" s="41"/>
      <c r="N4856" s="11"/>
    </row>
    <row r="4857" spans="13:14" x14ac:dyDescent="0.25">
      <c r="M4857" s="41"/>
      <c r="N4857" s="11"/>
    </row>
    <row r="4858" spans="13:14" x14ac:dyDescent="0.25">
      <c r="M4858" s="41"/>
      <c r="N4858" s="11"/>
    </row>
    <row r="4859" spans="13:14" x14ac:dyDescent="0.25">
      <c r="M4859" s="41"/>
      <c r="N4859" s="11"/>
    </row>
    <row r="4860" spans="13:14" x14ac:dyDescent="0.25">
      <c r="M4860" s="41"/>
      <c r="N4860" s="11"/>
    </row>
    <row r="4861" spans="13:14" x14ac:dyDescent="0.25">
      <c r="M4861" s="41"/>
      <c r="N4861" s="11"/>
    </row>
    <row r="4862" spans="13:14" x14ac:dyDescent="0.25">
      <c r="M4862" s="41"/>
      <c r="N4862" s="11"/>
    </row>
    <row r="4863" spans="13:14" x14ac:dyDescent="0.25">
      <c r="M4863" s="41"/>
      <c r="N4863" s="11"/>
    </row>
    <row r="4864" spans="13:14" x14ac:dyDescent="0.25">
      <c r="M4864" s="41"/>
      <c r="N4864" s="11"/>
    </row>
    <row r="4865" spans="13:14" x14ac:dyDescent="0.25">
      <c r="M4865" s="41"/>
      <c r="N4865" s="11"/>
    </row>
    <row r="4866" spans="13:14" x14ac:dyDescent="0.25">
      <c r="M4866" s="41"/>
      <c r="N4866" s="11"/>
    </row>
    <row r="4867" spans="13:14" x14ac:dyDescent="0.25">
      <c r="M4867" s="41"/>
      <c r="N4867" s="11"/>
    </row>
    <row r="4868" spans="13:14" x14ac:dyDescent="0.25">
      <c r="M4868" s="41"/>
      <c r="N4868" s="11"/>
    </row>
    <row r="4869" spans="13:14" x14ac:dyDescent="0.25">
      <c r="M4869" s="41"/>
      <c r="N4869" s="11"/>
    </row>
    <row r="4870" spans="13:14" x14ac:dyDescent="0.25">
      <c r="M4870" s="41"/>
      <c r="N4870" s="11"/>
    </row>
    <row r="4871" spans="13:14" x14ac:dyDescent="0.25">
      <c r="M4871" s="41"/>
      <c r="N4871" s="11"/>
    </row>
    <row r="4872" spans="13:14" x14ac:dyDescent="0.25">
      <c r="M4872" s="41"/>
      <c r="N4872" s="11"/>
    </row>
    <row r="4873" spans="13:14" x14ac:dyDescent="0.25">
      <c r="M4873" s="41"/>
      <c r="N4873" s="11"/>
    </row>
    <row r="4874" spans="13:14" x14ac:dyDescent="0.25">
      <c r="M4874" s="41"/>
      <c r="N4874" s="11"/>
    </row>
    <row r="4875" spans="13:14" x14ac:dyDescent="0.25">
      <c r="M4875" s="41"/>
      <c r="N4875" s="11"/>
    </row>
    <row r="4876" spans="13:14" x14ac:dyDescent="0.25">
      <c r="M4876" s="41"/>
      <c r="N4876" s="11"/>
    </row>
    <row r="4877" spans="13:14" x14ac:dyDescent="0.25">
      <c r="M4877" s="41"/>
      <c r="N4877" s="11"/>
    </row>
    <row r="4878" spans="13:14" x14ac:dyDescent="0.25">
      <c r="M4878" s="41"/>
      <c r="N4878" s="11"/>
    </row>
    <row r="4879" spans="13:14" x14ac:dyDescent="0.25">
      <c r="M4879" s="41"/>
      <c r="N4879" s="11"/>
    </row>
    <row r="4880" spans="13:14" x14ac:dyDescent="0.25">
      <c r="M4880" s="41"/>
      <c r="N4880" s="11"/>
    </row>
    <row r="4881" spans="13:14" x14ac:dyDescent="0.25">
      <c r="M4881" s="41"/>
      <c r="N4881" s="11"/>
    </row>
    <row r="4882" spans="13:14" x14ac:dyDescent="0.25">
      <c r="M4882" s="41"/>
      <c r="N4882" s="11"/>
    </row>
    <row r="4883" spans="13:14" x14ac:dyDescent="0.25">
      <c r="M4883" s="41"/>
      <c r="N4883" s="11"/>
    </row>
    <row r="4884" spans="13:14" x14ac:dyDescent="0.25">
      <c r="M4884" s="41"/>
      <c r="N4884" s="11"/>
    </row>
    <row r="4885" spans="13:14" x14ac:dyDescent="0.25">
      <c r="M4885" s="41"/>
      <c r="N4885" s="11"/>
    </row>
    <row r="4886" spans="13:14" x14ac:dyDescent="0.25">
      <c r="M4886" s="41"/>
      <c r="N4886" s="11"/>
    </row>
    <row r="4887" spans="13:14" x14ac:dyDescent="0.25">
      <c r="M4887" s="41"/>
      <c r="N4887" s="11"/>
    </row>
    <row r="4888" spans="13:14" x14ac:dyDescent="0.25">
      <c r="M4888" s="41"/>
      <c r="N4888" s="11"/>
    </row>
    <row r="4889" spans="13:14" x14ac:dyDescent="0.25">
      <c r="M4889" s="41"/>
      <c r="N4889" s="11"/>
    </row>
    <row r="4890" spans="13:14" x14ac:dyDescent="0.25">
      <c r="M4890" s="41"/>
      <c r="N4890" s="11"/>
    </row>
    <row r="4891" spans="13:14" x14ac:dyDescent="0.25">
      <c r="M4891" s="41"/>
      <c r="N4891" s="11"/>
    </row>
    <row r="4892" spans="13:14" x14ac:dyDescent="0.25">
      <c r="M4892" s="41"/>
      <c r="N4892" s="11"/>
    </row>
    <row r="4893" spans="13:14" x14ac:dyDescent="0.25">
      <c r="M4893" s="41"/>
      <c r="N4893" s="11"/>
    </row>
    <row r="4894" spans="13:14" x14ac:dyDescent="0.25">
      <c r="M4894" s="41"/>
      <c r="N4894" s="11"/>
    </row>
    <row r="4895" spans="13:14" x14ac:dyDescent="0.25">
      <c r="M4895" s="41"/>
      <c r="N4895" s="11"/>
    </row>
    <row r="4896" spans="13:14" x14ac:dyDescent="0.25">
      <c r="M4896" s="41"/>
      <c r="N4896" s="11"/>
    </row>
    <row r="4897" spans="13:14" x14ac:dyDescent="0.25">
      <c r="M4897" s="41"/>
      <c r="N4897" s="11"/>
    </row>
    <row r="4898" spans="13:14" x14ac:dyDescent="0.25">
      <c r="M4898" s="41"/>
      <c r="N4898" s="11"/>
    </row>
    <row r="4899" spans="13:14" x14ac:dyDescent="0.25">
      <c r="M4899" s="41"/>
      <c r="N4899" s="11"/>
    </row>
    <row r="4900" spans="13:14" x14ac:dyDescent="0.25">
      <c r="M4900" s="41"/>
      <c r="N4900" s="11"/>
    </row>
    <row r="4901" spans="13:14" x14ac:dyDescent="0.25">
      <c r="M4901" s="41"/>
      <c r="N4901" s="11"/>
    </row>
    <row r="4902" spans="13:14" x14ac:dyDescent="0.25">
      <c r="M4902" s="41"/>
      <c r="N4902" s="11"/>
    </row>
    <row r="4903" spans="13:14" x14ac:dyDescent="0.25">
      <c r="M4903" s="41"/>
      <c r="N4903" s="11"/>
    </row>
    <row r="4904" spans="13:14" x14ac:dyDescent="0.25">
      <c r="M4904" s="41"/>
      <c r="N4904" s="11"/>
    </row>
    <row r="4905" spans="13:14" x14ac:dyDescent="0.25">
      <c r="M4905" s="41"/>
      <c r="N4905" s="11"/>
    </row>
    <row r="4906" spans="13:14" x14ac:dyDescent="0.25">
      <c r="M4906" s="41"/>
      <c r="N4906" s="11"/>
    </row>
    <row r="4907" spans="13:14" x14ac:dyDescent="0.25">
      <c r="M4907" s="41"/>
      <c r="N4907" s="11"/>
    </row>
    <row r="4908" spans="13:14" x14ac:dyDescent="0.25">
      <c r="M4908" s="41"/>
      <c r="N4908" s="11"/>
    </row>
    <row r="4909" spans="13:14" x14ac:dyDescent="0.25">
      <c r="M4909" s="41"/>
      <c r="N4909" s="11"/>
    </row>
    <row r="4910" spans="13:14" x14ac:dyDescent="0.25">
      <c r="M4910" s="41"/>
      <c r="N4910" s="11"/>
    </row>
    <row r="4911" spans="13:14" x14ac:dyDescent="0.25">
      <c r="M4911" s="41"/>
      <c r="N4911" s="11"/>
    </row>
    <row r="4912" spans="13:14" x14ac:dyDescent="0.25">
      <c r="M4912" s="41"/>
      <c r="N4912" s="11"/>
    </row>
    <row r="4913" spans="13:14" x14ac:dyDescent="0.25">
      <c r="M4913" s="41"/>
      <c r="N4913" s="11"/>
    </row>
    <row r="4914" spans="13:14" x14ac:dyDescent="0.25">
      <c r="M4914" s="41"/>
      <c r="N4914" s="11"/>
    </row>
    <row r="4915" spans="13:14" x14ac:dyDescent="0.25">
      <c r="M4915" s="41"/>
      <c r="N4915" s="11"/>
    </row>
    <row r="4916" spans="13:14" x14ac:dyDescent="0.25">
      <c r="M4916" s="41"/>
      <c r="N4916" s="11"/>
    </row>
    <row r="4917" spans="13:14" x14ac:dyDescent="0.25">
      <c r="M4917" s="41"/>
      <c r="N4917" s="11"/>
    </row>
    <row r="4918" spans="13:14" x14ac:dyDescent="0.25">
      <c r="M4918" s="41"/>
      <c r="N4918" s="11"/>
    </row>
    <row r="4919" spans="13:14" x14ac:dyDescent="0.25">
      <c r="M4919" s="41"/>
      <c r="N4919" s="11"/>
    </row>
    <row r="4920" spans="13:14" x14ac:dyDescent="0.25">
      <c r="M4920" s="41"/>
      <c r="N4920" s="11"/>
    </row>
    <row r="4921" spans="13:14" x14ac:dyDescent="0.25">
      <c r="M4921" s="41"/>
      <c r="N4921" s="11"/>
    </row>
    <row r="4922" spans="13:14" x14ac:dyDescent="0.25">
      <c r="M4922" s="41"/>
      <c r="N4922" s="11"/>
    </row>
    <row r="4923" spans="13:14" x14ac:dyDescent="0.25">
      <c r="M4923" s="41"/>
      <c r="N4923" s="11"/>
    </row>
    <row r="4924" spans="13:14" x14ac:dyDescent="0.25">
      <c r="M4924" s="41"/>
      <c r="N4924" s="11"/>
    </row>
    <row r="4925" spans="13:14" x14ac:dyDescent="0.25">
      <c r="M4925" s="41"/>
      <c r="N4925" s="11"/>
    </row>
    <row r="4926" spans="13:14" x14ac:dyDescent="0.25">
      <c r="M4926" s="41"/>
      <c r="N4926" s="11"/>
    </row>
    <row r="4927" spans="13:14" x14ac:dyDescent="0.25">
      <c r="M4927" s="41"/>
      <c r="N4927" s="11"/>
    </row>
    <row r="4928" spans="13:14" x14ac:dyDescent="0.25">
      <c r="M4928" s="41"/>
      <c r="N4928" s="11"/>
    </row>
    <row r="4929" spans="13:14" x14ac:dyDescent="0.25">
      <c r="M4929" s="41"/>
      <c r="N4929" s="11"/>
    </row>
    <row r="4930" spans="13:14" x14ac:dyDescent="0.25">
      <c r="M4930" s="41"/>
      <c r="N4930" s="11"/>
    </row>
    <row r="4931" spans="13:14" x14ac:dyDescent="0.25">
      <c r="M4931" s="41"/>
      <c r="N4931" s="11"/>
    </row>
    <row r="4932" spans="13:14" x14ac:dyDescent="0.25">
      <c r="M4932" s="41"/>
      <c r="N4932" s="11"/>
    </row>
    <row r="4933" spans="13:14" x14ac:dyDescent="0.25">
      <c r="M4933" s="41"/>
      <c r="N4933" s="11"/>
    </row>
    <row r="4934" spans="13:14" x14ac:dyDescent="0.25">
      <c r="M4934" s="41"/>
      <c r="N4934" s="11"/>
    </row>
    <row r="4935" spans="13:14" x14ac:dyDescent="0.25">
      <c r="M4935" s="41"/>
      <c r="N4935" s="11"/>
    </row>
    <row r="4936" spans="13:14" x14ac:dyDescent="0.25">
      <c r="M4936" s="41"/>
      <c r="N4936" s="11"/>
    </row>
    <row r="4937" spans="13:14" x14ac:dyDescent="0.25">
      <c r="M4937" s="41"/>
      <c r="N4937" s="11"/>
    </row>
    <row r="4938" spans="13:14" x14ac:dyDescent="0.25">
      <c r="M4938" s="41"/>
      <c r="N4938" s="11"/>
    </row>
    <row r="4939" spans="13:14" x14ac:dyDescent="0.25">
      <c r="M4939" s="41"/>
      <c r="N4939" s="11"/>
    </row>
    <row r="4940" spans="13:14" x14ac:dyDescent="0.25">
      <c r="M4940" s="41"/>
      <c r="N4940" s="11"/>
    </row>
    <row r="4941" spans="13:14" x14ac:dyDescent="0.25">
      <c r="M4941" s="41"/>
      <c r="N4941" s="11"/>
    </row>
    <row r="4942" spans="13:14" x14ac:dyDescent="0.25">
      <c r="M4942" s="41"/>
      <c r="N4942" s="11"/>
    </row>
    <row r="4943" spans="13:14" x14ac:dyDescent="0.25">
      <c r="M4943" s="41"/>
      <c r="N4943" s="11"/>
    </row>
    <row r="4944" spans="13:14" x14ac:dyDescent="0.25">
      <c r="M4944" s="41"/>
      <c r="N4944" s="11"/>
    </row>
    <row r="4945" spans="13:14" x14ac:dyDescent="0.25">
      <c r="M4945" s="41"/>
      <c r="N4945" s="11"/>
    </row>
    <row r="4946" spans="13:14" x14ac:dyDescent="0.25">
      <c r="M4946" s="41"/>
      <c r="N4946" s="11"/>
    </row>
    <row r="4947" spans="13:14" x14ac:dyDescent="0.25">
      <c r="M4947" s="41"/>
      <c r="N4947" s="11"/>
    </row>
    <row r="4948" spans="13:14" x14ac:dyDescent="0.25">
      <c r="M4948" s="41"/>
      <c r="N4948" s="11"/>
    </row>
    <row r="4949" spans="13:14" x14ac:dyDescent="0.25">
      <c r="M4949" s="41"/>
      <c r="N4949" s="11"/>
    </row>
    <row r="4950" spans="13:14" x14ac:dyDescent="0.25">
      <c r="M4950" s="41"/>
      <c r="N4950" s="11"/>
    </row>
    <row r="4951" spans="13:14" x14ac:dyDescent="0.25">
      <c r="M4951" s="41"/>
      <c r="N4951" s="11"/>
    </row>
    <row r="4952" spans="13:14" x14ac:dyDescent="0.25">
      <c r="M4952" s="41"/>
      <c r="N4952" s="11"/>
    </row>
    <row r="4953" spans="13:14" x14ac:dyDescent="0.25">
      <c r="M4953" s="41"/>
      <c r="N4953" s="11"/>
    </row>
    <row r="4954" spans="13:14" x14ac:dyDescent="0.25">
      <c r="M4954" s="41"/>
      <c r="N4954" s="11"/>
    </row>
    <row r="4955" spans="13:14" x14ac:dyDescent="0.25">
      <c r="M4955" s="41"/>
      <c r="N4955" s="11"/>
    </row>
    <row r="4956" spans="13:14" x14ac:dyDescent="0.25">
      <c r="M4956" s="41"/>
      <c r="N4956" s="11"/>
    </row>
    <row r="4957" spans="13:14" x14ac:dyDescent="0.25">
      <c r="M4957" s="41"/>
      <c r="N4957" s="11"/>
    </row>
    <row r="4958" spans="13:14" x14ac:dyDescent="0.25">
      <c r="M4958" s="41"/>
      <c r="N4958" s="11"/>
    </row>
    <row r="4959" spans="13:14" x14ac:dyDescent="0.25">
      <c r="M4959" s="41"/>
      <c r="N4959" s="11"/>
    </row>
    <row r="4960" spans="13:14" x14ac:dyDescent="0.25">
      <c r="M4960" s="41"/>
      <c r="N4960" s="11"/>
    </row>
    <row r="4961" spans="13:14" x14ac:dyDescent="0.25">
      <c r="M4961" s="41"/>
      <c r="N4961" s="11"/>
    </row>
    <row r="4962" spans="13:14" x14ac:dyDescent="0.25">
      <c r="M4962" s="41"/>
      <c r="N4962" s="11"/>
    </row>
    <row r="4963" spans="13:14" x14ac:dyDescent="0.25">
      <c r="M4963" s="41"/>
      <c r="N4963" s="11"/>
    </row>
    <row r="4964" spans="13:14" x14ac:dyDescent="0.25">
      <c r="M4964" s="41"/>
      <c r="N4964" s="11"/>
    </row>
    <row r="4965" spans="13:14" x14ac:dyDescent="0.25">
      <c r="M4965" s="41"/>
      <c r="N4965" s="11"/>
    </row>
    <row r="4966" spans="13:14" x14ac:dyDescent="0.25">
      <c r="M4966" s="41"/>
      <c r="N4966" s="11"/>
    </row>
    <row r="4967" spans="13:14" x14ac:dyDescent="0.25">
      <c r="M4967" s="41"/>
      <c r="N4967" s="11"/>
    </row>
    <row r="4968" spans="13:14" x14ac:dyDescent="0.25">
      <c r="M4968" s="41"/>
      <c r="N4968" s="11"/>
    </row>
    <row r="4969" spans="13:14" x14ac:dyDescent="0.25">
      <c r="M4969" s="41"/>
      <c r="N4969" s="11"/>
    </row>
    <row r="4970" spans="13:14" x14ac:dyDescent="0.25">
      <c r="M4970" s="41"/>
      <c r="N4970" s="11"/>
    </row>
    <row r="4971" spans="13:14" x14ac:dyDescent="0.25">
      <c r="M4971" s="41"/>
      <c r="N4971" s="11"/>
    </row>
    <row r="4972" spans="13:14" x14ac:dyDescent="0.25">
      <c r="M4972" s="41"/>
      <c r="N4972" s="11"/>
    </row>
    <row r="4973" spans="13:14" x14ac:dyDescent="0.25">
      <c r="M4973" s="41"/>
      <c r="N4973" s="11"/>
    </row>
    <row r="4974" spans="13:14" x14ac:dyDescent="0.25">
      <c r="M4974" s="41"/>
      <c r="N4974" s="11"/>
    </row>
    <row r="4975" spans="13:14" x14ac:dyDescent="0.25">
      <c r="M4975" s="41"/>
      <c r="N4975" s="11"/>
    </row>
    <row r="4976" spans="13:14" x14ac:dyDescent="0.25">
      <c r="M4976" s="41"/>
      <c r="N4976" s="11"/>
    </row>
    <row r="4977" spans="13:14" x14ac:dyDescent="0.25">
      <c r="M4977" s="41"/>
      <c r="N4977" s="11"/>
    </row>
    <row r="4978" spans="13:14" x14ac:dyDescent="0.25">
      <c r="M4978" s="41"/>
      <c r="N4978" s="11"/>
    </row>
    <row r="4979" spans="13:14" x14ac:dyDescent="0.25">
      <c r="M4979" s="41"/>
      <c r="N4979" s="11"/>
    </row>
    <row r="4980" spans="13:14" x14ac:dyDescent="0.25">
      <c r="M4980" s="41"/>
      <c r="N4980" s="11"/>
    </row>
    <row r="4981" spans="13:14" x14ac:dyDescent="0.25">
      <c r="M4981" s="41"/>
      <c r="N4981" s="11"/>
    </row>
  </sheetData>
  <autoFilter ref="A2:O185" xr:uid="{C05F9277-E941-4F8C-B88B-7443D998D414}">
    <sortState xmlns:xlrd2="http://schemas.microsoft.com/office/spreadsheetml/2017/richdata2" ref="A3:M73">
      <sortCondition ref="G2:G33"/>
    </sortState>
  </autoFilter>
  <conditionalFormatting sqref="I21:J4801 J4802:K1048576">
    <cfRule type="containsText" dxfId="101" priority="14" operator="containsText" text="ไม่พบ">
      <formula>NOT(ISERROR(SEARCH("ไม่พบ",I21)))</formula>
    </cfRule>
  </conditionalFormatting>
  <conditionalFormatting sqref="J1">
    <cfRule type="containsText" dxfId="100" priority="4" operator="containsText" text="ไม่พบ">
      <formula>NOT(ISERROR(SEARCH("ไม่พบ",J1)))</formula>
    </cfRule>
  </conditionalFormatting>
  <conditionalFormatting sqref="J2:L2">
    <cfRule type="containsText" dxfId="99" priority="13" operator="containsText" text="ไม่พบ">
      <formula>NOT(ISERROR(SEARCH("ไม่พบ",J2)))</formula>
    </cfRule>
  </conditionalFormatting>
  <conditionalFormatting sqref="N2">
    <cfRule type="duplicateValues" dxfId="98" priority="3"/>
  </conditionalFormatting>
  <conditionalFormatting sqref="N4982:N1048576 M212:M4981 N1">
    <cfRule type="duplicateValues" dxfId="97" priority="10"/>
    <cfRule type="duplicateValues" dxfId="96" priority="11"/>
  </conditionalFormatting>
  <conditionalFormatting sqref="O2">
    <cfRule type="duplicateValues" dxfId="95" priority="1"/>
    <cfRule type="duplicateValues" dxfId="94" priority="2"/>
  </conditionalFormatting>
  <dataValidations count="2">
    <dataValidation type="list" allowBlank="1" showInputMessage="1" showErrorMessage="1" sqref="L1:L2 K2 L4802:L1048576 K21:K4801" xr:uid="{41D80FD8-A72F-46E4-A9CD-6DF396B93A62}">
      <formula1>#REF!</formula1>
    </dataValidation>
    <dataValidation type="list" allowBlank="1" showInputMessage="1" showErrorMessage="1" sqref="K1" xr:uid="{E6B4C3D6-D8A5-43A0-B6FC-1E5BBA197F95}">
      <formula1>$M$3:$M$35</formula1>
    </dataValidation>
  </dataValidations>
  <pageMargins left="0.25" right="0.25" top="0.75" bottom="0.75" header="0.3" footer="0.3"/>
  <pageSetup paperSize="9" scal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444E-A7ED-4246-B882-4E4F184AE3BC}">
  <sheetPr>
    <tabColor rgb="FF00B0F0"/>
  </sheetPr>
  <dimension ref="A1:N59"/>
  <sheetViews>
    <sheetView zoomScale="85" zoomScaleNormal="85" workbookViewId="0">
      <pane xSplit="4" ySplit="2" topLeftCell="E8" activePane="bottomRight" state="frozen"/>
      <selection activeCell="N2" sqref="N2:O57"/>
      <selection pane="topRight" activeCell="N2" sqref="N2:O57"/>
      <selection pane="bottomLeft" activeCell="N2" sqref="N2:O57"/>
      <selection pane="bottomRight" activeCell="C15" sqref="C15:C16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2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937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/>
      <c r="C3" s="1"/>
      <c r="D3" s="1"/>
      <c r="E3" s="1"/>
      <c r="F3" s="1"/>
      <c r="G3" s="1"/>
      <c r="H3" s="23"/>
      <c r="I3" s="53"/>
      <c r="J3" s="30"/>
      <c r="M3" s="30"/>
    </row>
    <row r="4" spans="1:13" s="31" customFormat="1" ht="23.4" x14ac:dyDescent="0.6">
      <c r="A4" s="9">
        <v>2</v>
      </c>
      <c r="B4" s="1"/>
      <c r="C4" s="1"/>
      <c r="D4" s="1"/>
      <c r="E4" s="1"/>
      <c r="F4" s="1"/>
      <c r="G4" s="1"/>
      <c r="H4" s="23"/>
      <c r="I4" s="53"/>
      <c r="J4" s="30"/>
      <c r="M4" s="30"/>
    </row>
    <row r="5" spans="1:13" s="31" customFormat="1" ht="23.4" x14ac:dyDescent="0.6">
      <c r="A5" s="9">
        <v>3</v>
      </c>
      <c r="B5" s="1"/>
      <c r="C5" s="1"/>
      <c r="D5" s="1"/>
      <c r="E5" s="1"/>
      <c r="F5" s="1"/>
      <c r="G5" s="1"/>
      <c r="H5" s="23"/>
      <c r="I5" s="53"/>
      <c r="J5" s="30"/>
      <c r="M5" s="30"/>
    </row>
    <row r="6" spans="1:13" s="31" customFormat="1" ht="23.4" x14ac:dyDescent="0.6">
      <c r="A6" s="9">
        <v>4</v>
      </c>
      <c r="B6" s="1"/>
      <c r="C6" s="1"/>
      <c r="D6" s="1"/>
      <c r="E6" s="1"/>
      <c r="F6" s="1"/>
      <c r="G6" s="1"/>
      <c r="H6" s="23"/>
      <c r="I6" s="53"/>
      <c r="J6" s="30"/>
      <c r="M6" s="30"/>
    </row>
    <row r="7" spans="1:13" s="31" customFormat="1" ht="23.4" x14ac:dyDescent="0.6">
      <c r="A7" s="9">
        <v>5</v>
      </c>
      <c r="B7" s="1"/>
      <c r="C7" s="1"/>
      <c r="D7" s="1"/>
      <c r="E7" s="1"/>
      <c r="F7" s="1"/>
      <c r="G7" s="1"/>
      <c r="H7" s="23"/>
      <c r="I7" s="53"/>
      <c r="J7" s="30"/>
      <c r="M7" s="30"/>
    </row>
    <row r="8" spans="1:13" s="31" customFormat="1" ht="23.4" x14ac:dyDescent="0.6">
      <c r="A8" s="9">
        <v>6</v>
      </c>
      <c r="B8" s="1"/>
      <c r="C8" s="1"/>
      <c r="D8" s="1"/>
      <c r="E8" s="1"/>
      <c r="F8" s="1"/>
      <c r="G8" s="1"/>
      <c r="H8" s="23"/>
      <c r="I8" s="53"/>
      <c r="J8" s="30"/>
      <c r="M8" s="30"/>
    </row>
    <row r="9" spans="1:13" s="31" customFormat="1" ht="23.4" x14ac:dyDescent="0.6">
      <c r="A9" s="9">
        <v>7</v>
      </c>
      <c r="B9" s="1"/>
      <c r="C9" s="1"/>
      <c r="D9" s="1"/>
      <c r="E9" s="1"/>
      <c r="F9" s="1"/>
      <c r="G9" s="1"/>
      <c r="H9" s="23"/>
      <c r="I9" s="53"/>
      <c r="J9" s="30"/>
      <c r="M9" s="30"/>
    </row>
    <row r="10" spans="1:13" s="31" customFormat="1" ht="23.4" x14ac:dyDescent="0.6">
      <c r="A10" s="9">
        <v>8</v>
      </c>
      <c r="B10" s="54"/>
      <c r="C10" s="54"/>
      <c r="D10" s="54"/>
      <c r="E10" s="54"/>
      <c r="F10" s="54"/>
      <c r="G10" s="54"/>
      <c r="H10" s="55"/>
      <c r="I10" s="53"/>
      <c r="J10" s="30"/>
      <c r="M10" s="30"/>
    </row>
    <row r="11" spans="1:13" s="31" customFormat="1" ht="23.4" x14ac:dyDescent="0.6">
      <c r="A11" s="9">
        <v>9</v>
      </c>
      <c r="B11" s="54"/>
      <c r="C11" s="54"/>
      <c r="D11" s="54"/>
      <c r="E11" s="54"/>
      <c r="F11" s="54"/>
      <c r="G11" s="54"/>
      <c r="H11" s="55"/>
      <c r="I11" s="53"/>
      <c r="J11" s="30"/>
      <c r="M11" s="30"/>
    </row>
    <row r="12" spans="1:13" s="31" customFormat="1" ht="23.4" x14ac:dyDescent="0.6">
      <c r="A12" s="9">
        <v>10</v>
      </c>
      <c r="B12" s="54"/>
      <c r="C12" s="54"/>
      <c r="D12" s="54"/>
      <c r="E12" s="54"/>
      <c r="F12" s="54"/>
      <c r="G12" s="54"/>
      <c r="H12" s="55"/>
      <c r="I12" s="53"/>
      <c r="J12" s="30"/>
      <c r="M12" s="30"/>
    </row>
    <row r="13" spans="1:13" s="31" customFormat="1" ht="23.4" x14ac:dyDescent="0.6">
      <c r="A13" s="9">
        <v>11</v>
      </c>
      <c r="B13" s="54"/>
      <c r="C13" s="54"/>
      <c r="D13" s="54"/>
      <c r="E13" s="54"/>
      <c r="F13" s="54"/>
      <c r="G13" s="54"/>
      <c r="H13" s="55"/>
      <c r="I13" s="53"/>
      <c r="J13" s="30"/>
      <c r="M13" s="30"/>
    </row>
    <row r="14" spans="1:13" s="31" customFormat="1" ht="23.4" x14ac:dyDescent="0.6">
      <c r="A14" s="9">
        <v>12</v>
      </c>
      <c r="B14" s="54"/>
      <c r="C14" s="54"/>
      <c r="D14" s="54"/>
      <c r="E14" s="54"/>
      <c r="F14" s="54"/>
      <c r="G14" s="54"/>
      <c r="H14" s="55"/>
      <c r="I14" s="53"/>
      <c r="J14" s="30"/>
      <c r="M14" s="30"/>
    </row>
    <row r="15" spans="1:13" s="31" customFormat="1" ht="23.4" x14ac:dyDescent="0.6">
      <c r="A15" s="9">
        <v>13</v>
      </c>
      <c r="B15" s="54"/>
      <c r="C15" s="54"/>
      <c r="D15" s="54"/>
      <c r="E15" s="54"/>
      <c r="F15" s="54"/>
      <c r="G15" s="54"/>
      <c r="H15" s="55"/>
      <c r="I15" s="53"/>
      <c r="J15" s="30"/>
      <c r="M15" s="30"/>
    </row>
    <row r="16" spans="1:13" s="31" customFormat="1" ht="23.4" x14ac:dyDescent="0.6">
      <c r="A16" s="9">
        <v>14</v>
      </c>
      <c r="B16" s="54"/>
      <c r="C16" s="54"/>
      <c r="D16" s="54"/>
      <c r="E16" s="54"/>
      <c r="F16" s="54"/>
      <c r="G16" s="54"/>
      <c r="H16" s="55"/>
      <c r="I16" s="53"/>
      <c r="J16" s="30"/>
      <c r="M16" s="30"/>
    </row>
    <row r="17" spans="1:14" s="31" customFormat="1" ht="23.4" x14ac:dyDescent="0.6">
      <c r="A17" s="9">
        <v>15</v>
      </c>
      <c r="B17" s="54"/>
      <c r="C17" s="54"/>
      <c r="D17" s="54"/>
      <c r="E17" s="54"/>
      <c r="F17" s="54"/>
      <c r="G17" s="54"/>
      <c r="H17" s="55"/>
      <c r="I17" s="53"/>
      <c r="J17" s="30"/>
      <c r="M17" s="30"/>
    </row>
    <row r="18" spans="1:14" s="31" customFormat="1" ht="23.4" x14ac:dyDescent="0.6">
      <c r="A18" s="9">
        <v>16</v>
      </c>
      <c r="B18" s="54"/>
      <c r="C18" s="54"/>
      <c r="D18" s="54"/>
      <c r="E18" s="54"/>
      <c r="F18" s="54"/>
      <c r="G18" s="54"/>
      <c r="H18" s="55"/>
      <c r="I18" s="53"/>
      <c r="J18" s="30"/>
      <c r="M18" s="30"/>
    </row>
    <row r="19" spans="1:14" s="31" customFormat="1" ht="23.4" x14ac:dyDescent="0.6">
      <c r="A19" s="9">
        <v>17</v>
      </c>
      <c r="B19" s="54"/>
      <c r="C19" s="54"/>
      <c r="D19" s="54"/>
      <c r="E19" s="54"/>
      <c r="F19" s="54"/>
      <c r="G19" s="54"/>
      <c r="H19" s="55"/>
      <c r="I19" s="55"/>
      <c r="J19" s="30"/>
      <c r="M19" s="30"/>
    </row>
    <row r="20" spans="1:14" s="31" customFormat="1" ht="23.4" x14ac:dyDescent="0.6">
      <c r="A20" s="9">
        <v>18</v>
      </c>
      <c r="B20" s="54"/>
      <c r="C20" s="54"/>
      <c r="D20" s="54"/>
      <c r="E20" s="54"/>
      <c r="F20" s="54"/>
      <c r="G20" s="54"/>
      <c r="H20" s="55"/>
      <c r="I20" s="53"/>
      <c r="J20" s="30"/>
      <c r="M20" s="30"/>
    </row>
    <row r="21" spans="1:14" s="31" customFormat="1" ht="23.4" x14ac:dyDescent="0.6">
      <c r="A21" s="9">
        <v>19</v>
      </c>
      <c r="B21" s="54"/>
      <c r="C21" s="54"/>
      <c r="D21" s="54"/>
      <c r="E21" s="54"/>
      <c r="F21" s="54"/>
      <c r="G21" s="54"/>
      <c r="H21" s="55"/>
      <c r="I21" s="53"/>
      <c r="J21" s="30"/>
      <c r="M21" s="30"/>
    </row>
    <row r="22" spans="1:14" s="31" customFormat="1" ht="23.4" x14ac:dyDescent="0.6">
      <c r="A22" s="9">
        <v>20</v>
      </c>
      <c r="B22" s="54"/>
      <c r="C22" s="54"/>
      <c r="D22" s="54"/>
      <c r="E22" s="54"/>
      <c r="F22" s="54"/>
      <c r="G22" s="54"/>
      <c r="H22" s="55"/>
      <c r="I22" s="53"/>
      <c r="J22" s="30"/>
      <c r="M22" s="30"/>
    </row>
    <row r="23" spans="1:14" s="31" customFormat="1" ht="23.4" x14ac:dyDescent="0.6">
      <c r="A23" s="9">
        <v>21</v>
      </c>
      <c r="B23" s="54"/>
      <c r="C23" s="54"/>
      <c r="D23" s="54"/>
      <c r="E23" s="54"/>
      <c r="F23" s="54"/>
      <c r="G23" s="54"/>
      <c r="H23" s="55"/>
      <c r="I23" s="53"/>
      <c r="J23" s="30"/>
      <c r="M23" s="30"/>
    </row>
    <row r="24" spans="1:14" s="31" customFormat="1" ht="22.95" customHeight="1" x14ac:dyDescent="0.6">
      <c r="A24" s="9">
        <v>22</v>
      </c>
      <c r="B24" s="54"/>
      <c r="C24" s="54"/>
      <c r="D24" s="54"/>
      <c r="E24" s="54"/>
      <c r="F24" s="54"/>
      <c r="G24" s="54"/>
      <c r="H24" s="55"/>
      <c r="I24" s="53"/>
      <c r="J24" s="30"/>
      <c r="M24" s="30"/>
    </row>
    <row r="25" spans="1:14" s="31" customFormat="1" ht="23.4" x14ac:dyDescent="0.6">
      <c r="A25" s="9">
        <v>23</v>
      </c>
      <c r="B25" s="54"/>
      <c r="C25" s="54"/>
      <c r="D25" s="54"/>
      <c r="E25" s="54"/>
      <c r="F25" s="54"/>
      <c r="G25" s="54"/>
      <c r="H25" s="55"/>
      <c r="I25" s="53"/>
      <c r="J25" s="30"/>
      <c r="M25" s="30"/>
    </row>
    <row r="26" spans="1:14" s="31" customFormat="1" ht="23.4" x14ac:dyDescent="0.6">
      <c r="A26" s="9">
        <v>24</v>
      </c>
      <c r="B26" s="54"/>
      <c r="C26" s="54"/>
      <c r="D26" s="54"/>
      <c r="E26" s="54"/>
      <c r="F26" s="54"/>
      <c r="G26" s="54"/>
      <c r="H26" s="53"/>
      <c r="I26" s="53"/>
      <c r="J26" s="30"/>
      <c r="L26" s="30"/>
    </row>
    <row r="27" spans="1:14" s="31" customFormat="1" ht="23.4" x14ac:dyDescent="0.6">
      <c r="A27" s="9">
        <v>25</v>
      </c>
      <c r="B27" s="54"/>
      <c r="C27" s="54"/>
      <c r="D27" s="54"/>
      <c r="E27" s="54"/>
      <c r="F27" s="54"/>
      <c r="G27" s="54"/>
      <c r="H27" s="53"/>
      <c r="I27" s="53"/>
      <c r="J27" s="30"/>
      <c r="L27" s="30"/>
    </row>
    <row r="28" spans="1:14" s="31" customFormat="1" ht="23.4" x14ac:dyDescent="0.6">
      <c r="A28" s="9">
        <v>26</v>
      </c>
      <c r="B28" s="54"/>
      <c r="C28" s="54"/>
      <c r="D28" s="54"/>
      <c r="E28" s="54"/>
      <c r="F28" s="54"/>
      <c r="G28" s="54"/>
      <c r="H28" s="53"/>
      <c r="I28" s="53"/>
      <c r="J28" s="30"/>
      <c r="L28" s="30"/>
    </row>
    <row r="29" spans="1:14" s="31" customFormat="1" ht="23.4" x14ac:dyDescent="0.6">
      <c r="A29" s="9">
        <v>27</v>
      </c>
      <c r="B29" s="54"/>
      <c r="C29" s="54"/>
      <c r="D29" s="54"/>
      <c r="E29" s="54"/>
      <c r="F29" s="54"/>
      <c r="G29" s="54"/>
      <c r="H29" s="53"/>
      <c r="I29" s="53"/>
      <c r="J29" s="30"/>
      <c r="L29" s="30"/>
    </row>
    <row r="30" spans="1:14" s="31" customFormat="1" ht="23.4" x14ac:dyDescent="0.6">
      <c r="A30" s="9">
        <v>28</v>
      </c>
      <c r="B30" s="54"/>
      <c r="C30" s="54"/>
      <c r="D30" s="54"/>
      <c r="E30" s="54"/>
      <c r="F30" s="54"/>
      <c r="G30" s="54"/>
      <c r="H30" s="53"/>
      <c r="I30" s="53"/>
      <c r="J30" s="30"/>
      <c r="L30" s="30"/>
      <c r="M30" s="31">
        <v>0</v>
      </c>
      <c r="N30" s="31" t="s">
        <v>203</v>
      </c>
    </row>
    <row r="31" spans="1:14" s="31" customFormat="1" ht="23.4" x14ac:dyDescent="0.6">
      <c r="A31" s="9">
        <v>29</v>
      </c>
      <c r="B31" s="54"/>
      <c r="C31" s="54"/>
      <c r="D31" s="54"/>
      <c r="E31" s="54"/>
      <c r="F31" s="54"/>
      <c r="G31" s="54"/>
      <c r="H31" s="53"/>
      <c r="I31" s="53"/>
      <c r="J31" s="30"/>
      <c r="L31" s="30"/>
      <c r="M31" s="31">
        <v>0</v>
      </c>
      <c r="N31" s="31" t="s">
        <v>204</v>
      </c>
    </row>
    <row r="32" spans="1:14" s="31" customFormat="1" ht="23.4" x14ac:dyDescent="0.6">
      <c r="A32" s="9">
        <v>30</v>
      </c>
      <c r="B32" s="54"/>
      <c r="C32" s="54"/>
      <c r="D32" s="54"/>
      <c r="E32" s="54"/>
      <c r="F32" s="54"/>
      <c r="G32" s="54"/>
      <c r="H32" s="53"/>
      <c r="I32" s="53"/>
      <c r="J32" s="30"/>
      <c r="L32" s="30"/>
      <c r="M32" s="31">
        <v>0</v>
      </c>
      <c r="N32" s="31" t="s">
        <v>205</v>
      </c>
    </row>
    <row r="33" spans="1:14" s="31" customFormat="1" ht="23.4" x14ac:dyDescent="0.6">
      <c r="A33" s="9">
        <v>31</v>
      </c>
      <c r="B33" s="54"/>
      <c r="C33" s="54"/>
      <c r="D33" s="54"/>
      <c r="E33" s="54"/>
      <c r="F33" s="54"/>
      <c r="G33" s="54"/>
      <c r="H33" s="53"/>
      <c r="I33" s="53"/>
      <c r="J33" s="30"/>
      <c r="L33" s="30"/>
      <c r="M33" s="31">
        <v>0</v>
      </c>
      <c r="N33" s="31" t="s">
        <v>206</v>
      </c>
    </row>
    <row r="34" spans="1:14" s="31" customFormat="1" ht="23.4" x14ac:dyDescent="0.6">
      <c r="A34" s="9">
        <v>32</v>
      </c>
      <c r="B34" s="54"/>
      <c r="C34" s="54"/>
      <c r="D34" s="54"/>
      <c r="E34" s="54"/>
      <c r="F34" s="54"/>
      <c r="G34" s="54"/>
      <c r="H34" s="53"/>
      <c r="I34" s="53"/>
      <c r="J34" s="30"/>
      <c r="L34" s="30"/>
      <c r="M34" s="31">
        <v>0</v>
      </c>
      <c r="N34" s="31" t="s">
        <v>207</v>
      </c>
    </row>
    <row r="35" spans="1:14" s="31" customFormat="1" ht="23.4" x14ac:dyDescent="0.6">
      <c r="A35" s="9">
        <v>32</v>
      </c>
      <c r="B35" s="54"/>
      <c r="C35" s="54"/>
      <c r="D35" s="54"/>
      <c r="E35" s="54"/>
      <c r="F35" s="54"/>
      <c r="G35" s="54"/>
      <c r="H35" s="53"/>
      <c r="I35" s="53"/>
      <c r="J35" s="30"/>
      <c r="L35" s="30"/>
      <c r="M35" s="31">
        <v>0</v>
      </c>
      <c r="N35" s="31" t="s">
        <v>208</v>
      </c>
    </row>
    <row r="36" spans="1:14" s="31" customFormat="1" ht="23.4" x14ac:dyDescent="0.6">
      <c r="A36" s="9">
        <v>32</v>
      </c>
      <c r="B36" s="54"/>
      <c r="C36" s="54"/>
      <c r="D36" s="54"/>
      <c r="E36" s="54"/>
      <c r="F36" s="54"/>
      <c r="G36" s="54"/>
      <c r="H36" s="53"/>
      <c r="I36" s="53"/>
      <c r="J36" s="30"/>
      <c r="L36" s="30"/>
      <c r="M36" s="31">
        <v>0</v>
      </c>
      <c r="N36" s="31" t="s">
        <v>209</v>
      </c>
    </row>
    <row r="37" spans="1:14" s="31" customFormat="1" ht="23.4" x14ac:dyDescent="0.6">
      <c r="A37" s="9">
        <v>32</v>
      </c>
      <c r="B37" s="54"/>
      <c r="C37" s="54"/>
      <c r="D37" s="54"/>
      <c r="E37" s="54"/>
      <c r="F37" s="54"/>
      <c r="G37" s="54"/>
      <c r="H37" s="53"/>
      <c r="I37" s="53"/>
      <c r="J37" s="30"/>
      <c r="L37" s="30"/>
      <c r="M37" s="31">
        <v>0</v>
      </c>
      <c r="N37" s="31" t="s">
        <v>210</v>
      </c>
    </row>
    <row r="38" spans="1:14" s="31" customFormat="1" ht="23.4" x14ac:dyDescent="0.6">
      <c r="A38" s="9">
        <v>33</v>
      </c>
      <c r="B38" s="54"/>
      <c r="C38" s="54"/>
      <c r="D38" s="54"/>
      <c r="E38" s="54"/>
      <c r="F38" s="54"/>
      <c r="G38" s="54"/>
      <c r="H38" s="53"/>
      <c r="I38" s="53"/>
      <c r="J38" s="30"/>
      <c r="L38" s="30"/>
    </row>
    <row r="39" spans="1:14" s="31" customFormat="1" ht="23.4" x14ac:dyDescent="0.6">
      <c r="A39" s="9">
        <v>34</v>
      </c>
      <c r="B39" s="54"/>
      <c r="C39" s="54"/>
      <c r="D39" s="54"/>
      <c r="E39" s="54"/>
      <c r="F39" s="54"/>
      <c r="G39" s="54"/>
      <c r="H39" s="53"/>
      <c r="I39" s="53"/>
      <c r="J39" s="30"/>
      <c r="L39" s="30"/>
    </row>
    <row r="40" spans="1:14" s="31" customFormat="1" ht="23.4" x14ac:dyDescent="0.6">
      <c r="A40" s="9">
        <v>35</v>
      </c>
      <c r="B40" s="54"/>
      <c r="C40" s="54"/>
      <c r="D40" s="54"/>
      <c r="E40" s="54"/>
      <c r="F40" s="54"/>
      <c r="G40" s="54"/>
      <c r="H40" s="53"/>
      <c r="I40" s="53"/>
      <c r="J40" s="30"/>
      <c r="L40" s="30"/>
    </row>
    <row r="41" spans="1:14" s="31" customFormat="1" ht="23.4" x14ac:dyDescent="0.6">
      <c r="A41" s="9">
        <v>36</v>
      </c>
      <c r="B41" s="54"/>
      <c r="C41" s="54"/>
      <c r="D41" s="54"/>
      <c r="E41" s="54"/>
      <c r="F41" s="54"/>
      <c r="G41" s="54"/>
      <c r="H41" s="53"/>
      <c r="I41" s="53"/>
      <c r="J41" s="30"/>
      <c r="L41" s="30"/>
    </row>
    <row r="42" spans="1:14" s="31" customFormat="1" ht="23.4" x14ac:dyDescent="0.6">
      <c r="A42" s="9">
        <v>37</v>
      </c>
      <c r="B42" s="54"/>
      <c r="C42" s="54"/>
      <c r="D42" s="54"/>
      <c r="E42" s="54"/>
      <c r="F42" s="54"/>
      <c r="G42" s="54"/>
      <c r="H42" s="53"/>
      <c r="I42" s="53"/>
      <c r="J42" s="30"/>
      <c r="L42" s="30"/>
    </row>
    <row r="43" spans="1:14" s="31" customFormat="1" ht="23.4" x14ac:dyDescent="0.6">
      <c r="A43" s="9">
        <v>38</v>
      </c>
      <c r="B43" s="54"/>
      <c r="C43" s="54"/>
      <c r="D43" s="54"/>
      <c r="E43" s="54"/>
      <c r="F43" s="54"/>
      <c r="G43" s="54"/>
      <c r="H43" s="53"/>
      <c r="I43" s="53"/>
      <c r="J43" s="30"/>
      <c r="L43" s="30"/>
    </row>
    <row r="44" spans="1:14" s="31" customFormat="1" ht="23.4" x14ac:dyDescent="0.6">
      <c r="A44" s="9">
        <v>39</v>
      </c>
      <c r="B44" s="54"/>
      <c r="C44" s="54"/>
      <c r="D44" s="54"/>
      <c r="E44" s="54"/>
      <c r="F44" s="54"/>
      <c r="G44" s="54"/>
      <c r="H44" s="53"/>
      <c r="I44" s="53"/>
      <c r="J44" s="30"/>
      <c r="L44" s="30"/>
    </row>
    <row r="45" spans="1:14" s="31" customFormat="1" ht="23.4" x14ac:dyDescent="0.6">
      <c r="A45" s="9">
        <v>40</v>
      </c>
      <c r="B45" s="54"/>
      <c r="C45" s="54"/>
      <c r="D45" s="54"/>
      <c r="E45" s="54"/>
      <c r="F45" s="54"/>
      <c r="G45" s="54"/>
      <c r="H45" s="53"/>
      <c r="I45" s="53"/>
      <c r="J45" s="30"/>
      <c r="L45" s="30"/>
    </row>
    <row r="46" spans="1:14" s="31" customFormat="1" ht="23.4" x14ac:dyDescent="0.6">
      <c r="A46" s="9">
        <v>41</v>
      </c>
      <c r="B46" s="54"/>
      <c r="C46" s="54"/>
      <c r="D46" s="54"/>
      <c r="E46" s="54"/>
      <c r="F46" s="54"/>
      <c r="G46" s="54"/>
      <c r="H46" s="53"/>
      <c r="I46" s="53"/>
      <c r="J46" s="30"/>
      <c r="L46" s="30"/>
    </row>
    <row r="47" spans="1:14" s="31" customFormat="1" ht="23.4" x14ac:dyDescent="0.6">
      <c r="A47" s="9">
        <v>42</v>
      </c>
      <c r="B47" s="54"/>
      <c r="C47" s="54"/>
      <c r="D47" s="54"/>
      <c r="E47" s="54"/>
      <c r="F47" s="54"/>
      <c r="G47" s="54"/>
      <c r="H47" s="53"/>
      <c r="I47" s="53"/>
      <c r="J47" s="30"/>
      <c r="L47" s="30"/>
    </row>
    <row r="48" spans="1:14" s="31" customFormat="1" ht="23.4" x14ac:dyDescent="0.6">
      <c r="A48" s="9"/>
      <c r="B48" s="54"/>
      <c r="C48" s="54"/>
      <c r="D48" s="54"/>
      <c r="E48" s="54"/>
      <c r="F48" s="54"/>
      <c r="G48" s="54"/>
      <c r="H48" s="53"/>
      <c r="I48" s="53"/>
      <c r="J48" s="30"/>
      <c r="L48" s="30"/>
    </row>
    <row r="49" spans="1:14" s="31" customFormat="1" ht="23.4" x14ac:dyDescent="0.6">
      <c r="A49" s="9"/>
      <c r="B49" s="54"/>
      <c r="C49" s="54"/>
      <c r="D49" s="54"/>
      <c r="E49" s="54"/>
      <c r="F49" s="54"/>
      <c r="G49" s="54"/>
      <c r="H49" s="53"/>
      <c r="I49" s="53"/>
      <c r="J49" s="30"/>
      <c r="L49" s="30"/>
    </row>
    <row r="50" spans="1:14" s="31" customFormat="1" ht="23.4" x14ac:dyDescent="0.6">
      <c r="A50" s="9"/>
      <c r="B50" s="54"/>
      <c r="C50" s="54"/>
      <c r="D50" s="54"/>
      <c r="E50" s="54"/>
      <c r="F50" s="54"/>
      <c r="G50" s="54"/>
      <c r="H50" s="53"/>
      <c r="I50" s="53"/>
      <c r="J50" s="30"/>
      <c r="L50" s="30"/>
    </row>
    <row r="51" spans="1:14" s="31" customFormat="1" ht="23.4" x14ac:dyDescent="0.6">
      <c r="A51" s="9"/>
      <c r="B51" s="54"/>
      <c r="C51" s="54"/>
      <c r="D51" s="54"/>
      <c r="E51" s="54"/>
      <c r="F51" s="54"/>
      <c r="G51" s="54"/>
      <c r="H51" s="53"/>
      <c r="I51" s="53"/>
      <c r="J51" s="30"/>
      <c r="L51" s="30"/>
    </row>
    <row r="52" spans="1:14" s="31" customFormat="1" ht="23.4" x14ac:dyDescent="0.6">
      <c r="A52" s="9"/>
      <c r="B52" s="54"/>
      <c r="C52" s="54"/>
      <c r="D52" s="54"/>
      <c r="E52" s="54"/>
      <c r="F52" s="54"/>
      <c r="G52" s="54"/>
      <c r="H52" s="53"/>
      <c r="I52" s="53"/>
      <c r="J52" s="30"/>
      <c r="L52" s="30"/>
    </row>
    <row r="53" spans="1:14" s="31" customFormat="1" ht="23.4" x14ac:dyDescent="0.6">
      <c r="A53" s="9"/>
      <c r="B53" s="54"/>
      <c r="C53" s="54"/>
      <c r="D53" s="54"/>
      <c r="E53" s="54"/>
      <c r="F53" s="54"/>
      <c r="G53" s="54"/>
      <c r="H53" s="53"/>
      <c r="I53" s="53"/>
      <c r="J53" s="30"/>
      <c r="L53" s="30"/>
    </row>
    <row r="54" spans="1:14" s="31" customFormat="1" ht="23.4" x14ac:dyDescent="0.6">
      <c r="A54" s="9"/>
      <c r="B54" s="54"/>
      <c r="C54" s="54"/>
      <c r="D54" s="54"/>
      <c r="E54" s="54"/>
      <c r="F54" s="54"/>
      <c r="G54" s="54"/>
      <c r="H54" s="53"/>
      <c r="I54" s="53"/>
      <c r="J54" s="30"/>
      <c r="L54" s="30"/>
      <c r="M54" s="31">
        <v>0</v>
      </c>
      <c r="N54" s="31" t="s">
        <v>211</v>
      </c>
    </row>
    <row r="55" spans="1:14" s="31" customFormat="1" ht="23.4" x14ac:dyDescent="0.6">
      <c r="A55" s="9"/>
      <c r="B55" s="54"/>
      <c r="C55" s="54"/>
      <c r="D55" s="54"/>
      <c r="E55" s="54"/>
      <c r="F55" s="54"/>
      <c r="G55" s="54"/>
      <c r="H55" s="53"/>
      <c r="I55" s="53"/>
      <c r="J55" s="30"/>
      <c r="L55" s="30"/>
      <c r="M55" s="31">
        <v>0</v>
      </c>
      <c r="N55" s="31" t="s">
        <v>212</v>
      </c>
    </row>
    <row r="56" spans="1:14" s="31" customFormat="1" ht="23.4" x14ac:dyDescent="0.6">
      <c r="A56" s="9"/>
      <c r="B56" s="54"/>
      <c r="C56" s="54"/>
      <c r="D56" s="54"/>
      <c r="E56" s="54"/>
      <c r="F56" s="54"/>
      <c r="G56" s="54"/>
      <c r="H56" s="53"/>
      <c r="I56" s="53"/>
      <c r="J56" s="30"/>
      <c r="L56" s="30"/>
      <c r="M56" s="31">
        <v>112</v>
      </c>
      <c r="N56" s="31" t="s">
        <v>213</v>
      </c>
    </row>
    <row r="57" spans="1:14" s="31" customFormat="1" ht="23.4" x14ac:dyDescent="0.6">
      <c r="A57" s="9"/>
      <c r="B57" s="54"/>
      <c r="C57" s="54"/>
      <c r="D57" s="54"/>
      <c r="E57" s="54"/>
      <c r="F57" s="54"/>
      <c r="G57" s="54"/>
      <c r="H57" s="53"/>
      <c r="I57" s="53"/>
      <c r="J57" s="30"/>
      <c r="L57" s="30"/>
    </row>
    <row r="58" spans="1:14" ht="27" thickBot="1" x14ac:dyDescent="0.75">
      <c r="A58" s="56"/>
      <c r="B58" s="56"/>
      <c r="C58" s="56"/>
      <c r="D58" s="56"/>
      <c r="E58" s="56"/>
      <c r="F58" s="56"/>
      <c r="G58" s="25" t="s">
        <v>28</v>
      </c>
      <c r="H58" s="26">
        <f>SUM(H3:H57)</f>
        <v>0</v>
      </c>
      <c r="I58" s="16" t="s">
        <v>47</v>
      </c>
      <c r="L58" s="30"/>
    </row>
    <row r="59" spans="1:14" ht="21" thickTop="1" x14ac:dyDescent="0.25">
      <c r="L59" s="30"/>
    </row>
  </sheetData>
  <autoFilter ref="B2:J22" xr:uid="{418B859D-9AEE-4DBC-84AA-2E90E0A86546}">
    <sortState xmlns:xlrd2="http://schemas.microsoft.com/office/spreadsheetml/2017/richdata2" ref="B3:I74">
      <sortCondition ref="G2:G22"/>
    </sortState>
  </autoFilter>
  <conditionalFormatting sqref="H58">
    <cfRule type="containsText" dxfId="93" priority="1" operator="containsText" text="ไม่พบ">
      <formula>NOT(ISERROR(SEARCH("ไม่พบ",H58)))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041C-4882-4BB5-98B6-1F4248C70270}">
  <sheetPr>
    <tabColor rgb="FFFF99FF"/>
    <pageSetUpPr fitToPage="1"/>
  </sheetPr>
  <dimension ref="A1:Z165"/>
  <sheetViews>
    <sheetView zoomScale="70" zoomScaleNormal="70" workbookViewId="0">
      <pane xSplit="6" ySplit="2" topLeftCell="G9" activePane="bottomRight" state="frozen"/>
      <selection activeCell="A2" sqref="A2"/>
      <selection pane="topRight" activeCell="A2" sqref="A2"/>
      <selection pane="bottomLeft" activeCell="A2" sqref="A2"/>
      <selection pane="bottomRight" activeCell="I16" sqref="I16:K19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0.296875" style="1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37" customWidth="1"/>
    <col min="10" max="10" width="15.296875" style="79" bestFit="1" customWidth="1"/>
    <col min="11" max="11" width="65.8984375" style="70" bestFit="1" customWidth="1"/>
    <col min="12" max="12" width="89.59765625" style="57" bestFit="1" customWidth="1"/>
    <col min="13" max="13" width="14.69921875" style="11" customWidth="1"/>
    <col min="14" max="14" width="88.8984375" style="41" bestFit="1" customWidth="1"/>
    <col min="15" max="15" width="17.19921875" style="11" bestFit="1" customWidth="1"/>
    <col min="16" max="16384" width="54.69921875" style="11"/>
  </cols>
  <sheetData>
    <row r="1" spans="1:17" ht="60" customHeight="1" thickBot="1" x14ac:dyDescent="0.75">
      <c r="A1" s="8" t="s">
        <v>936</v>
      </c>
      <c r="I1" s="87" t="s">
        <v>46</v>
      </c>
      <c r="J1" s="26">
        <f>SUBTOTAL(9,J3:J10)</f>
        <v>360</v>
      </c>
      <c r="K1" s="88" t="s">
        <v>47</v>
      </c>
    </row>
    <row r="2" spans="1:17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80" t="s">
        <v>43</v>
      </c>
      <c r="K2" s="6" t="s">
        <v>7</v>
      </c>
      <c r="L2" s="6" t="s">
        <v>7</v>
      </c>
      <c r="N2" s="7" t="s">
        <v>19</v>
      </c>
      <c r="O2" s="7" t="s">
        <v>21</v>
      </c>
    </row>
    <row r="3" spans="1:17" s="14" customFormat="1" ht="25.8" x14ac:dyDescent="0.25">
      <c r="A3" s="13">
        <v>1</v>
      </c>
      <c r="B3" s="1" t="s">
        <v>6159</v>
      </c>
      <c r="C3" s="1" t="s">
        <v>6160</v>
      </c>
      <c r="D3" s="1" t="s">
        <v>945</v>
      </c>
      <c r="E3" s="1" t="s">
        <v>8</v>
      </c>
      <c r="F3" s="1" t="s">
        <v>946</v>
      </c>
      <c r="G3" s="1" t="s">
        <v>6161</v>
      </c>
      <c r="H3" s="55">
        <v>0</v>
      </c>
      <c r="I3" s="62" t="s">
        <v>6191</v>
      </c>
      <c r="J3" s="81">
        <v>45</v>
      </c>
      <c r="K3" s="81" t="s">
        <v>82</v>
      </c>
      <c r="L3" s="62" t="s">
        <v>6164</v>
      </c>
      <c r="N3" s="42" t="s">
        <v>10</v>
      </c>
      <c r="O3" s="34">
        <v>0</v>
      </c>
    </row>
    <row r="4" spans="1:17" s="14" customFormat="1" ht="25.8" x14ac:dyDescent="0.25">
      <c r="A4" s="13">
        <v>2</v>
      </c>
      <c r="B4" s="1" t="s">
        <v>6162</v>
      </c>
      <c r="C4" s="1" t="s">
        <v>6013</v>
      </c>
      <c r="D4" s="1" t="s">
        <v>945</v>
      </c>
      <c r="E4" s="1" t="s">
        <v>8</v>
      </c>
      <c r="F4" s="1" t="s">
        <v>946</v>
      </c>
      <c r="G4" s="1" t="s">
        <v>6163</v>
      </c>
      <c r="H4" s="55">
        <v>0</v>
      </c>
      <c r="I4" s="62" t="s">
        <v>6192</v>
      </c>
      <c r="J4" s="81">
        <v>45</v>
      </c>
      <c r="K4" s="81" t="s">
        <v>59</v>
      </c>
      <c r="L4" s="62" t="s">
        <v>6165</v>
      </c>
      <c r="N4" s="42" t="s">
        <v>13</v>
      </c>
      <c r="O4" s="34">
        <v>0</v>
      </c>
    </row>
    <row r="5" spans="1:17" s="14" customFormat="1" ht="25.8" x14ac:dyDescent="0.25">
      <c r="A5" s="13">
        <v>3</v>
      </c>
      <c r="B5" s="1" t="s">
        <v>6166</v>
      </c>
      <c r="C5" s="1" t="s">
        <v>6167</v>
      </c>
      <c r="D5" s="1" t="s">
        <v>945</v>
      </c>
      <c r="E5" s="1" t="s">
        <v>8</v>
      </c>
      <c r="F5" s="1" t="s">
        <v>946</v>
      </c>
      <c r="G5" s="1" t="s">
        <v>6168</v>
      </c>
      <c r="H5" s="55">
        <v>0</v>
      </c>
      <c r="I5" s="62" t="s">
        <v>6193</v>
      </c>
      <c r="J5" s="81">
        <v>45</v>
      </c>
      <c r="K5" s="81" t="s">
        <v>61</v>
      </c>
      <c r="L5" s="62" t="s">
        <v>6169</v>
      </c>
      <c r="N5" s="42" t="s">
        <v>11</v>
      </c>
      <c r="O5" s="34">
        <v>0</v>
      </c>
    </row>
    <row r="6" spans="1:17" s="14" customFormat="1" ht="25.8" x14ac:dyDescent="0.25">
      <c r="A6" s="13">
        <v>4</v>
      </c>
      <c r="B6" s="1" t="s">
        <v>6170</v>
      </c>
      <c r="C6" s="1" t="s">
        <v>6171</v>
      </c>
      <c r="D6" s="1" t="s">
        <v>945</v>
      </c>
      <c r="E6" s="1" t="s">
        <v>8</v>
      </c>
      <c r="F6" s="1" t="s">
        <v>946</v>
      </c>
      <c r="G6" s="1" t="s">
        <v>6172</v>
      </c>
      <c r="H6" s="55">
        <v>0</v>
      </c>
      <c r="I6" s="62" t="s">
        <v>6194</v>
      </c>
      <c r="J6" s="81">
        <v>45</v>
      </c>
      <c r="K6" s="81" t="s">
        <v>59</v>
      </c>
      <c r="L6" s="62" t="s">
        <v>6173</v>
      </c>
      <c r="N6" s="42" t="s">
        <v>17</v>
      </c>
      <c r="O6" s="34">
        <v>0</v>
      </c>
    </row>
    <row r="7" spans="1:17" s="14" customFormat="1" ht="25.8" x14ac:dyDescent="0.25">
      <c r="A7" s="13">
        <v>5</v>
      </c>
      <c r="B7" s="1" t="s">
        <v>6174</v>
      </c>
      <c r="C7" s="1" t="s">
        <v>6175</v>
      </c>
      <c r="D7" s="1" t="s">
        <v>1107</v>
      </c>
      <c r="E7" s="1" t="s">
        <v>6176</v>
      </c>
      <c r="F7" s="1" t="s">
        <v>946</v>
      </c>
      <c r="G7" s="1" t="s">
        <v>6177</v>
      </c>
      <c r="H7" s="55">
        <v>0</v>
      </c>
      <c r="I7" s="62" t="s">
        <v>6195</v>
      </c>
      <c r="J7" s="81">
        <v>45</v>
      </c>
      <c r="K7" s="81" t="s">
        <v>95</v>
      </c>
      <c r="L7" s="62" t="s">
        <v>6178</v>
      </c>
      <c r="N7" s="42" t="s">
        <v>14</v>
      </c>
      <c r="O7" s="34">
        <v>3</v>
      </c>
    </row>
    <row r="8" spans="1:17" s="14" customFormat="1" ht="25.8" x14ac:dyDescent="0.25">
      <c r="A8" s="13">
        <v>6</v>
      </c>
      <c r="B8" s="1" t="s">
        <v>6179</v>
      </c>
      <c r="C8" s="1" t="s">
        <v>6180</v>
      </c>
      <c r="D8" s="1" t="s">
        <v>945</v>
      </c>
      <c r="E8" s="1" t="s">
        <v>8</v>
      </c>
      <c r="F8" s="1" t="s">
        <v>946</v>
      </c>
      <c r="G8" s="1" t="s">
        <v>6181</v>
      </c>
      <c r="H8" s="55">
        <v>0</v>
      </c>
      <c r="I8" s="62" t="s">
        <v>6196</v>
      </c>
      <c r="J8" s="81">
        <v>45</v>
      </c>
      <c r="K8" s="81" t="s">
        <v>82</v>
      </c>
      <c r="L8" s="62" t="s">
        <v>6182</v>
      </c>
      <c r="N8" s="42" t="s">
        <v>59</v>
      </c>
      <c r="O8" s="34">
        <v>0</v>
      </c>
    </row>
    <row r="9" spans="1:17" s="14" customFormat="1" ht="25.8" x14ac:dyDescent="0.25">
      <c r="A9" s="13">
        <v>7</v>
      </c>
      <c r="B9" s="1" t="s">
        <v>6183</v>
      </c>
      <c r="C9" s="1" t="s">
        <v>6184</v>
      </c>
      <c r="D9" s="1" t="s">
        <v>945</v>
      </c>
      <c r="E9" s="1" t="s">
        <v>8</v>
      </c>
      <c r="F9" s="1" t="s">
        <v>946</v>
      </c>
      <c r="G9" s="1" t="s">
        <v>6185</v>
      </c>
      <c r="H9" s="55">
        <v>0</v>
      </c>
      <c r="I9" s="62" t="s">
        <v>6197</v>
      </c>
      <c r="J9" s="81">
        <v>45</v>
      </c>
      <c r="K9" s="81" t="s">
        <v>59</v>
      </c>
      <c r="L9" s="62" t="s">
        <v>6186</v>
      </c>
      <c r="N9" s="42" t="s">
        <v>51</v>
      </c>
      <c r="O9" s="34">
        <v>0</v>
      </c>
    </row>
    <row r="10" spans="1:17" s="14" customFormat="1" ht="25.8" x14ac:dyDescent="0.25">
      <c r="A10" s="13">
        <v>8</v>
      </c>
      <c r="B10" s="1" t="s">
        <v>6187</v>
      </c>
      <c r="C10" s="1" t="s">
        <v>6188</v>
      </c>
      <c r="D10" s="1" t="s">
        <v>945</v>
      </c>
      <c r="E10" s="1" t="s">
        <v>8</v>
      </c>
      <c r="F10" s="1" t="s">
        <v>946</v>
      </c>
      <c r="G10" s="1" t="s">
        <v>6189</v>
      </c>
      <c r="H10" s="55">
        <v>0</v>
      </c>
      <c r="I10" s="62" t="s">
        <v>6198</v>
      </c>
      <c r="J10" s="81">
        <v>45</v>
      </c>
      <c r="K10" s="62" t="s">
        <v>82</v>
      </c>
      <c r="L10" s="62" t="s">
        <v>6190</v>
      </c>
      <c r="N10" s="42" t="s">
        <v>49</v>
      </c>
      <c r="O10" s="34">
        <v>0</v>
      </c>
    </row>
    <row r="11" spans="1:17" s="14" customFormat="1" ht="25.8" x14ac:dyDescent="0.25">
      <c r="A11" s="1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57"/>
      <c r="N11" s="42" t="s">
        <v>12</v>
      </c>
      <c r="O11" s="34">
        <v>0</v>
      </c>
    </row>
    <row r="12" spans="1:17" s="14" customFormat="1" ht="25.8" x14ac:dyDescent="0.25">
      <c r="A12" s="12"/>
      <c r="B12" s="11"/>
      <c r="C12" s="11"/>
      <c r="D12" s="11"/>
      <c r="E12" s="11"/>
      <c r="F12" s="11"/>
      <c r="G12" s="11"/>
      <c r="H12" s="11"/>
      <c r="I12" s="37"/>
      <c r="J12" s="79"/>
      <c r="K12" s="70"/>
      <c r="L12" s="57"/>
      <c r="N12" s="42" t="s">
        <v>15</v>
      </c>
      <c r="O12" s="34">
        <v>0</v>
      </c>
    </row>
    <row r="13" spans="1:17" s="14" customFormat="1" ht="25.8" x14ac:dyDescent="0.25">
      <c r="A13" s="12"/>
      <c r="B13" s="11"/>
      <c r="C13" s="11"/>
      <c r="D13" s="11"/>
      <c r="E13" s="11"/>
      <c r="F13" s="11"/>
      <c r="G13" s="11"/>
      <c r="H13" s="11"/>
      <c r="I13" s="37"/>
      <c r="J13" s="79"/>
      <c r="K13" s="70"/>
      <c r="L13" s="57"/>
      <c r="N13" s="42" t="s">
        <v>60</v>
      </c>
      <c r="O13" s="34">
        <v>0</v>
      </c>
    </row>
    <row r="14" spans="1:17" s="14" customFormat="1" ht="25.8" x14ac:dyDescent="0.25">
      <c r="A14" s="12"/>
      <c r="B14" s="11"/>
      <c r="C14" s="11"/>
      <c r="D14" s="11"/>
      <c r="E14" s="11"/>
      <c r="F14" s="11"/>
      <c r="G14" s="11"/>
      <c r="H14" s="11"/>
      <c r="I14" s="37"/>
      <c r="J14" s="79"/>
      <c r="K14" s="70"/>
      <c r="N14" s="42" t="s">
        <v>16</v>
      </c>
      <c r="O14" s="34">
        <v>0</v>
      </c>
    </row>
    <row r="15" spans="1:17" s="14" customFormat="1" ht="25.8" x14ac:dyDescent="0.25">
      <c r="A15" s="12"/>
      <c r="B15" s="11"/>
      <c r="C15" s="11"/>
      <c r="D15" s="11"/>
      <c r="E15" s="11"/>
      <c r="F15" s="11"/>
      <c r="G15" s="11"/>
      <c r="H15" s="11"/>
      <c r="I15" s="37"/>
      <c r="J15" s="79"/>
      <c r="K15" s="70"/>
      <c r="L15" s="57"/>
      <c r="N15" s="42" t="s">
        <v>61</v>
      </c>
      <c r="O15" s="34">
        <v>1</v>
      </c>
      <c r="Q15" s="57"/>
    </row>
    <row r="16" spans="1:17" s="14" customFormat="1" ht="25.8" x14ac:dyDescent="0.25">
      <c r="A16" s="12"/>
      <c r="B16" s="11"/>
      <c r="C16" s="11"/>
      <c r="D16" s="11"/>
      <c r="E16" s="11"/>
      <c r="F16" s="11"/>
      <c r="G16" s="11"/>
      <c r="H16" s="11"/>
      <c r="I16" s="37"/>
      <c r="J16" s="79"/>
      <c r="K16" s="70"/>
      <c r="L16" s="57"/>
      <c r="N16" s="42" t="s">
        <v>62</v>
      </c>
      <c r="O16" s="34">
        <v>0</v>
      </c>
    </row>
    <row r="17" spans="1:15" s="14" customFormat="1" ht="25.8" x14ac:dyDescent="0.25">
      <c r="A17" s="12"/>
      <c r="B17" s="11"/>
      <c r="C17" s="11"/>
      <c r="D17" s="11"/>
      <c r="E17" s="11"/>
      <c r="F17" s="11"/>
      <c r="G17" s="11"/>
      <c r="H17" s="11"/>
      <c r="I17" s="37"/>
      <c r="J17" s="79"/>
      <c r="K17" s="70"/>
      <c r="L17" s="57"/>
      <c r="N17" s="42" t="s">
        <v>53</v>
      </c>
      <c r="O17" s="34">
        <v>0</v>
      </c>
    </row>
    <row r="18" spans="1:15" s="14" customFormat="1" ht="25.8" x14ac:dyDescent="0.25">
      <c r="A18" s="12"/>
      <c r="B18" s="11"/>
      <c r="C18" s="11"/>
      <c r="D18" s="11"/>
      <c r="E18" s="11"/>
      <c r="F18" s="11"/>
      <c r="G18" s="11"/>
      <c r="H18" s="11"/>
      <c r="I18" s="37"/>
      <c r="J18" s="79"/>
      <c r="K18" s="70"/>
      <c r="L18" s="57"/>
      <c r="N18" s="42" t="s">
        <v>63</v>
      </c>
      <c r="O18" s="34">
        <v>0</v>
      </c>
    </row>
    <row r="19" spans="1:15" s="14" customFormat="1" ht="25.8" x14ac:dyDescent="0.25">
      <c r="A19" s="12"/>
      <c r="B19" s="11"/>
      <c r="C19" s="11"/>
      <c r="D19" s="11"/>
      <c r="E19" s="11"/>
      <c r="F19" s="11"/>
      <c r="G19" s="11"/>
      <c r="H19" s="11"/>
      <c r="I19" s="37"/>
      <c r="J19" s="79"/>
      <c r="K19" s="70"/>
      <c r="L19" s="57"/>
      <c r="N19" s="42" t="s">
        <v>20</v>
      </c>
      <c r="O19" s="34">
        <v>0</v>
      </c>
    </row>
    <row r="20" spans="1:15" s="14" customFormat="1" ht="25.8" x14ac:dyDescent="0.25">
      <c r="A20" s="12"/>
      <c r="B20" s="11"/>
      <c r="C20" s="11"/>
      <c r="D20" s="11"/>
      <c r="E20" s="11"/>
      <c r="F20" s="11"/>
      <c r="G20" s="11"/>
      <c r="H20" s="11"/>
      <c r="I20" s="37"/>
      <c r="J20" s="79"/>
      <c r="K20" s="70"/>
      <c r="L20" s="57"/>
      <c r="N20" s="42" t="s">
        <v>64</v>
      </c>
      <c r="O20" s="34">
        <v>0</v>
      </c>
    </row>
    <row r="21" spans="1:15" s="14" customFormat="1" ht="25.8" x14ac:dyDescent="0.25">
      <c r="A21" s="12"/>
      <c r="B21" s="11"/>
      <c r="C21" s="11"/>
      <c r="D21" s="11"/>
      <c r="E21" s="11"/>
      <c r="F21" s="11"/>
      <c r="G21" s="11"/>
      <c r="H21" s="11"/>
      <c r="I21" s="37"/>
      <c r="J21" s="79"/>
      <c r="K21" s="70"/>
      <c r="L21" s="57"/>
      <c r="N21" s="42" t="s">
        <v>22</v>
      </c>
      <c r="O21" s="34">
        <v>0</v>
      </c>
    </row>
    <row r="22" spans="1:15" s="14" customFormat="1" ht="25.8" x14ac:dyDescent="0.25">
      <c r="A22" s="12"/>
      <c r="B22" s="11"/>
      <c r="C22" s="11"/>
      <c r="D22" s="11"/>
      <c r="E22" s="11"/>
      <c r="F22" s="11"/>
      <c r="G22" s="11"/>
      <c r="H22" s="11"/>
      <c r="I22" s="37"/>
      <c r="J22" s="79"/>
      <c r="K22" s="70"/>
      <c r="L22" s="57"/>
      <c r="N22" s="42" t="s">
        <v>65</v>
      </c>
      <c r="O22" s="34">
        <v>0</v>
      </c>
    </row>
    <row r="23" spans="1:15" s="14" customFormat="1" ht="25.8" x14ac:dyDescent="0.25">
      <c r="A23" s="12"/>
      <c r="B23" s="11"/>
      <c r="C23" s="11"/>
      <c r="D23" s="11"/>
      <c r="E23" s="11"/>
      <c r="F23" s="11"/>
      <c r="G23" s="11"/>
      <c r="H23" s="11"/>
      <c r="I23" s="37"/>
      <c r="J23" s="79"/>
      <c r="K23" s="70"/>
      <c r="L23" s="57"/>
      <c r="N23" s="42" t="s">
        <v>66</v>
      </c>
      <c r="O23" s="34">
        <v>0</v>
      </c>
    </row>
    <row r="24" spans="1:15" s="14" customFormat="1" ht="25.8" x14ac:dyDescent="0.25">
      <c r="A24" s="12"/>
      <c r="B24" s="11"/>
      <c r="C24" s="11"/>
      <c r="D24" s="11"/>
      <c r="E24" s="11"/>
      <c r="F24" s="11"/>
      <c r="G24" s="11"/>
      <c r="H24" s="11"/>
      <c r="I24" s="37"/>
      <c r="J24" s="79"/>
      <c r="K24" s="70"/>
      <c r="L24" s="57"/>
      <c r="N24" s="42" t="s">
        <v>67</v>
      </c>
      <c r="O24" s="34">
        <v>0</v>
      </c>
    </row>
    <row r="25" spans="1:15" s="14" customFormat="1" ht="25.8" x14ac:dyDescent="0.25">
      <c r="A25" s="12"/>
      <c r="B25" s="11"/>
      <c r="C25" s="11"/>
      <c r="D25" s="11"/>
      <c r="E25" s="11"/>
      <c r="F25" s="11"/>
      <c r="G25" s="11"/>
      <c r="H25" s="11"/>
      <c r="I25" s="37"/>
      <c r="J25" s="79"/>
      <c r="K25" s="70"/>
      <c r="L25" s="57"/>
      <c r="N25" s="42" t="s">
        <v>68</v>
      </c>
      <c r="O25" s="34">
        <v>0</v>
      </c>
    </row>
    <row r="26" spans="1:15" s="14" customFormat="1" ht="25.8" x14ac:dyDescent="0.25">
      <c r="A26" s="12"/>
      <c r="B26" s="11"/>
      <c r="C26" s="11"/>
      <c r="D26" s="11"/>
      <c r="E26" s="11"/>
      <c r="F26" s="11"/>
      <c r="G26" s="11"/>
      <c r="H26" s="11"/>
      <c r="I26" s="37"/>
      <c r="J26" s="79"/>
      <c r="K26" s="70"/>
      <c r="L26" s="57"/>
      <c r="N26" s="42" t="s">
        <v>69</v>
      </c>
      <c r="O26" s="34">
        <v>0</v>
      </c>
    </row>
    <row r="27" spans="1:15" s="14" customFormat="1" ht="25.8" x14ac:dyDescent="0.25">
      <c r="A27" s="12"/>
      <c r="B27" s="11"/>
      <c r="C27" s="11"/>
      <c r="D27" s="11"/>
      <c r="E27" s="11"/>
      <c r="F27" s="11"/>
      <c r="G27" s="11"/>
      <c r="H27" s="11"/>
      <c r="I27" s="37"/>
      <c r="J27" s="79"/>
      <c r="K27" s="70"/>
      <c r="L27" s="57"/>
      <c r="N27" s="42" t="s">
        <v>70</v>
      </c>
      <c r="O27" s="34">
        <v>0</v>
      </c>
    </row>
    <row r="28" spans="1:15" s="14" customFormat="1" ht="25.8" x14ac:dyDescent="0.25">
      <c r="A28" s="12"/>
      <c r="B28" s="11"/>
      <c r="C28" s="11"/>
      <c r="D28" s="11"/>
      <c r="E28" s="11"/>
      <c r="F28" s="11"/>
      <c r="G28" s="11"/>
      <c r="H28" s="11"/>
      <c r="I28" s="37"/>
      <c r="J28" s="79"/>
      <c r="K28" s="70"/>
      <c r="L28" s="57"/>
      <c r="N28" s="42" t="s">
        <v>71</v>
      </c>
      <c r="O28" s="34">
        <v>0</v>
      </c>
    </row>
    <row r="29" spans="1:15" s="14" customFormat="1" ht="25.8" x14ac:dyDescent="0.25">
      <c r="A29" s="12"/>
      <c r="B29" s="11"/>
      <c r="C29" s="11"/>
      <c r="D29" s="11"/>
      <c r="E29" s="11"/>
      <c r="F29" s="11"/>
      <c r="G29" s="11"/>
      <c r="H29" s="11"/>
      <c r="I29" s="37"/>
      <c r="J29" s="79"/>
      <c r="K29" s="70"/>
      <c r="L29" s="57"/>
      <c r="N29" s="42" t="s">
        <v>72</v>
      </c>
      <c r="O29" s="34">
        <v>0</v>
      </c>
    </row>
    <row r="30" spans="1:15" s="14" customFormat="1" ht="25.8" x14ac:dyDescent="0.25">
      <c r="A30" s="12"/>
      <c r="B30" s="11"/>
      <c r="C30" s="11"/>
      <c r="D30" s="11"/>
      <c r="E30" s="11"/>
      <c r="F30" s="11"/>
      <c r="G30" s="11"/>
      <c r="H30" s="11"/>
      <c r="I30" s="37"/>
      <c r="J30" s="79"/>
      <c r="K30" s="70"/>
      <c r="L30" s="57"/>
      <c r="N30" s="42" t="s">
        <v>73</v>
      </c>
      <c r="O30" s="34">
        <v>0</v>
      </c>
    </row>
    <row r="31" spans="1:15" s="14" customFormat="1" ht="25.8" x14ac:dyDescent="0.25">
      <c r="A31" s="12"/>
      <c r="B31" s="11"/>
      <c r="C31" s="11"/>
      <c r="D31" s="11"/>
      <c r="E31" s="11"/>
      <c r="F31" s="11"/>
      <c r="G31" s="11"/>
      <c r="H31" s="11"/>
      <c r="I31" s="37"/>
      <c r="J31" s="79"/>
      <c r="K31" s="70"/>
      <c r="L31" s="57"/>
      <c r="N31" s="42" t="s">
        <v>74</v>
      </c>
      <c r="O31" s="34">
        <v>0</v>
      </c>
    </row>
    <row r="32" spans="1:15" s="14" customFormat="1" ht="25.8" x14ac:dyDescent="0.25">
      <c r="A32" s="12"/>
      <c r="B32" s="11"/>
      <c r="C32" s="11"/>
      <c r="D32" s="11"/>
      <c r="E32" s="11"/>
      <c r="F32" s="11"/>
      <c r="G32" s="11"/>
      <c r="H32" s="11"/>
      <c r="I32" s="37"/>
      <c r="J32" s="79"/>
      <c r="K32" s="70"/>
      <c r="L32" s="57"/>
      <c r="N32" s="42" t="s">
        <v>75</v>
      </c>
      <c r="O32" s="34">
        <v>0</v>
      </c>
    </row>
    <row r="33" spans="1:15" s="14" customFormat="1" ht="25.8" x14ac:dyDescent="0.25">
      <c r="A33" s="12"/>
      <c r="B33" s="11"/>
      <c r="C33" s="11"/>
      <c r="D33" s="11"/>
      <c r="E33" s="11"/>
      <c r="F33" s="11"/>
      <c r="G33" s="11"/>
      <c r="H33" s="11"/>
      <c r="I33" s="37"/>
      <c r="J33" s="79"/>
      <c r="K33" s="70"/>
      <c r="L33" s="57"/>
      <c r="N33" s="42" t="s">
        <v>76</v>
      </c>
      <c r="O33" s="34">
        <v>0</v>
      </c>
    </row>
    <row r="34" spans="1:15" s="14" customFormat="1" ht="25.8" x14ac:dyDescent="0.25">
      <c r="A34" s="12"/>
      <c r="B34" s="11"/>
      <c r="C34" s="11"/>
      <c r="D34" s="11"/>
      <c r="E34" s="11"/>
      <c r="F34" s="11"/>
      <c r="G34" s="11"/>
      <c r="H34" s="11"/>
      <c r="I34" s="37"/>
      <c r="J34" s="79"/>
      <c r="K34" s="70"/>
      <c r="L34" s="57"/>
      <c r="N34" s="42" t="s">
        <v>77</v>
      </c>
      <c r="O34" s="34">
        <v>0</v>
      </c>
    </row>
    <row r="35" spans="1:15" s="14" customFormat="1" ht="25.8" x14ac:dyDescent="0.25">
      <c r="A35" s="12"/>
      <c r="B35" s="11"/>
      <c r="C35" s="11"/>
      <c r="D35" s="11"/>
      <c r="E35" s="11"/>
      <c r="F35" s="11"/>
      <c r="G35" s="11"/>
      <c r="H35" s="11"/>
      <c r="I35" s="37"/>
      <c r="J35" s="79"/>
      <c r="K35" s="70"/>
      <c r="L35" s="57"/>
      <c r="N35" s="42" t="s">
        <v>78</v>
      </c>
      <c r="O35" s="34">
        <v>0</v>
      </c>
    </row>
    <row r="36" spans="1:15" s="14" customFormat="1" ht="25.8" x14ac:dyDescent="0.25">
      <c r="A36" s="12"/>
      <c r="B36" s="11"/>
      <c r="C36" s="11"/>
      <c r="D36" s="11"/>
      <c r="E36" s="11"/>
      <c r="F36" s="11"/>
      <c r="G36" s="11"/>
      <c r="H36" s="11"/>
      <c r="I36" s="37"/>
      <c r="J36" s="79"/>
      <c r="K36" s="70"/>
      <c r="L36" s="57"/>
      <c r="N36" s="42" t="s">
        <v>79</v>
      </c>
      <c r="O36" s="34">
        <v>0</v>
      </c>
    </row>
    <row r="37" spans="1:15" s="14" customFormat="1" ht="25.8" x14ac:dyDescent="0.25">
      <c r="A37" s="12"/>
      <c r="B37" s="11"/>
      <c r="C37" s="11"/>
      <c r="D37" s="11"/>
      <c r="E37" s="11"/>
      <c r="F37" s="11"/>
      <c r="G37" s="11"/>
      <c r="H37" s="11"/>
      <c r="I37" s="37"/>
      <c r="J37" s="79"/>
      <c r="K37" s="70"/>
      <c r="L37" s="57"/>
      <c r="N37" s="42" t="s">
        <v>80</v>
      </c>
      <c r="O37" s="34">
        <v>0</v>
      </c>
    </row>
    <row r="38" spans="1:15" s="14" customFormat="1" ht="25.8" x14ac:dyDescent="0.25">
      <c r="A38" s="12"/>
      <c r="B38" s="11"/>
      <c r="C38" s="11"/>
      <c r="D38" s="11"/>
      <c r="E38" s="11"/>
      <c r="F38" s="11"/>
      <c r="G38" s="11"/>
      <c r="H38" s="11"/>
      <c r="I38" s="37"/>
      <c r="J38" s="79"/>
      <c r="K38" s="70"/>
      <c r="L38" s="57"/>
      <c r="N38" s="42" t="s">
        <v>81</v>
      </c>
      <c r="O38" s="34">
        <v>0</v>
      </c>
    </row>
    <row r="39" spans="1:15" s="14" customFormat="1" ht="25.8" x14ac:dyDescent="0.25">
      <c r="A39" s="12"/>
      <c r="B39" s="11"/>
      <c r="C39" s="11"/>
      <c r="D39" s="11"/>
      <c r="E39" s="11"/>
      <c r="F39" s="11"/>
      <c r="G39" s="11"/>
      <c r="H39" s="11"/>
      <c r="I39" s="37"/>
      <c r="J39" s="79"/>
      <c r="K39" s="70"/>
      <c r="L39" s="57"/>
      <c r="N39" s="42" t="s">
        <v>82</v>
      </c>
      <c r="O39" s="34">
        <v>3</v>
      </c>
    </row>
    <row r="40" spans="1:15" s="14" customFormat="1" ht="25.8" x14ac:dyDescent="0.25">
      <c r="A40" s="12"/>
      <c r="B40" s="11"/>
      <c r="C40" s="11"/>
      <c r="D40" s="11"/>
      <c r="E40" s="11"/>
      <c r="F40" s="11"/>
      <c r="G40" s="11"/>
      <c r="H40" s="11"/>
      <c r="I40" s="37"/>
      <c r="J40" s="79"/>
      <c r="K40" s="70"/>
      <c r="L40" s="57"/>
      <c r="N40" s="42" t="s">
        <v>83</v>
      </c>
      <c r="O40" s="34">
        <v>0</v>
      </c>
    </row>
    <row r="41" spans="1:15" s="14" customFormat="1" ht="25.8" x14ac:dyDescent="0.25">
      <c r="A41" s="12"/>
      <c r="B41" s="11"/>
      <c r="C41" s="11"/>
      <c r="D41" s="11"/>
      <c r="E41" s="11"/>
      <c r="F41" s="11"/>
      <c r="G41" s="11"/>
      <c r="H41" s="11"/>
      <c r="I41" s="37"/>
      <c r="J41" s="79"/>
      <c r="K41" s="70"/>
      <c r="L41" s="57"/>
      <c r="N41" s="42" t="s">
        <v>84</v>
      </c>
      <c r="O41" s="34">
        <v>0</v>
      </c>
    </row>
    <row r="42" spans="1:15" s="14" customFormat="1" ht="25.8" x14ac:dyDescent="0.25">
      <c r="A42" s="12"/>
      <c r="B42" s="11"/>
      <c r="C42" s="11"/>
      <c r="D42" s="11"/>
      <c r="E42" s="11"/>
      <c r="F42" s="11"/>
      <c r="G42" s="11"/>
      <c r="H42" s="11"/>
      <c r="I42" s="37"/>
      <c r="J42" s="79"/>
      <c r="K42" s="70"/>
      <c r="L42" s="57"/>
      <c r="N42" s="42" t="s">
        <v>85</v>
      </c>
      <c r="O42" s="34">
        <v>0</v>
      </c>
    </row>
    <row r="43" spans="1:15" s="14" customFormat="1" ht="25.8" x14ac:dyDescent="0.25">
      <c r="A43" s="12"/>
      <c r="B43" s="11"/>
      <c r="C43" s="11"/>
      <c r="D43" s="11"/>
      <c r="E43" s="11"/>
      <c r="F43" s="11"/>
      <c r="G43" s="11"/>
      <c r="H43" s="11"/>
      <c r="I43" s="37"/>
      <c r="J43" s="79"/>
      <c r="K43" s="70"/>
      <c r="L43" s="57"/>
      <c r="N43" s="42" t="s">
        <v>24</v>
      </c>
      <c r="O43" s="34">
        <v>0</v>
      </c>
    </row>
    <row r="44" spans="1:15" s="14" customFormat="1" ht="25.8" x14ac:dyDescent="0.25">
      <c r="A44" s="12"/>
      <c r="B44" s="11"/>
      <c r="C44" s="11"/>
      <c r="D44" s="11"/>
      <c r="E44" s="11"/>
      <c r="F44" s="11"/>
      <c r="G44" s="11"/>
      <c r="H44" s="11"/>
      <c r="I44" s="37"/>
      <c r="J44" s="79"/>
      <c r="K44" s="70"/>
      <c r="L44" s="57"/>
      <c r="N44" s="42" t="s">
        <v>86</v>
      </c>
      <c r="O44" s="34">
        <v>0</v>
      </c>
    </row>
    <row r="45" spans="1:15" s="14" customFormat="1" ht="25.8" x14ac:dyDescent="0.25">
      <c r="A45" s="12"/>
      <c r="B45" s="11"/>
      <c r="C45" s="11"/>
      <c r="D45" s="11"/>
      <c r="E45" s="11"/>
      <c r="F45" s="11"/>
      <c r="G45" s="11"/>
      <c r="H45" s="11"/>
      <c r="I45" s="37"/>
      <c r="J45" s="79"/>
      <c r="K45" s="70"/>
      <c r="L45" s="57"/>
      <c r="N45" s="42" t="s">
        <v>87</v>
      </c>
      <c r="O45" s="34">
        <v>0</v>
      </c>
    </row>
    <row r="46" spans="1:15" s="14" customFormat="1" ht="25.8" x14ac:dyDescent="0.25">
      <c r="A46" s="12"/>
      <c r="B46" s="11"/>
      <c r="C46" s="11"/>
      <c r="D46" s="11"/>
      <c r="E46" s="11"/>
      <c r="F46" s="11"/>
      <c r="G46" s="11"/>
      <c r="H46" s="11"/>
      <c r="I46" s="37"/>
      <c r="J46" s="79"/>
      <c r="K46" s="70"/>
      <c r="L46" s="57"/>
      <c r="N46" s="42" t="s">
        <v>88</v>
      </c>
      <c r="O46" s="34">
        <v>0</v>
      </c>
    </row>
    <row r="47" spans="1:15" s="14" customFormat="1" ht="25.8" x14ac:dyDescent="0.25">
      <c r="A47" s="12"/>
      <c r="B47" s="11"/>
      <c r="C47" s="11"/>
      <c r="D47" s="11"/>
      <c r="E47" s="11"/>
      <c r="F47" s="11"/>
      <c r="G47" s="11"/>
      <c r="H47" s="11"/>
      <c r="I47" s="37"/>
      <c r="J47" s="79"/>
      <c r="K47" s="70"/>
      <c r="L47" s="57"/>
      <c r="N47" s="42" t="s">
        <v>89</v>
      </c>
      <c r="O47" s="34">
        <v>0</v>
      </c>
    </row>
    <row r="48" spans="1:15" s="14" customFormat="1" ht="25.8" x14ac:dyDescent="0.25">
      <c r="A48" s="12"/>
      <c r="B48" s="11"/>
      <c r="C48" s="11"/>
      <c r="D48" s="11"/>
      <c r="E48" s="11"/>
      <c r="F48" s="11"/>
      <c r="G48" s="11"/>
      <c r="H48" s="11"/>
      <c r="I48" s="37"/>
      <c r="J48" s="79"/>
      <c r="K48" s="70"/>
      <c r="L48" s="57"/>
      <c r="N48" s="42" t="s">
        <v>94</v>
      </c>
      <c r="O48" s="34">
        <v>0</v>
      </c>
    </row>
    <row r="49" spans="1:25" s="14" customFormat="1" ht="25.8" x14ac:dyDescent="0.25">
      <c r="A49" s="12"/>
      <c r="B49" s="11"/>
      <c r="C49" s="11"/>
      <c r="D49" s="11"/>
      <c r="E49" s="11"/>
      <c r="F49" s="11"/>
      <c r="G49" s="11"/>
      <c r="H49" s="11"/>
      <c r="I49" s="37"/>
      <c r="J49" s="79"/>
      <c r="K49" s="70"/>
      <c r="L49" s="57"/>
      <c r="N49" s="42" t="s">
        <v>90</v>
      </c>
      <c r="O49" s="34">
        <v>0</v>
      </c>
    </row>
    <row r="50" spans="1:25" s="14" customFormat="1" ht="25.8" x14ac:dyDescent="0.25">
      <c r="A50" s="12"/>
      <c r="B50" s="11"/>
      <c r="C50" s="11"/>
      <c r="D50" s="11"/>
      <c r="E50" s="11"/>
      <c r="F50" s="11"/>
      <c r="G50" s="11"/>
      <c r="H50" s="11"/>
      <c r="I50" s="37"/>
      <c r="J50" s="79"/>
      <c r="K50" s="70"/>
      <c r="L50" s="57"/>
      <c r="N50" s="42" t="s">
        <v>93</v>
      </c>
      <c r="O50" s="34">
        <v>0</v>
      </c>
    </row>
    <row r="51" spans="1:25" s="14" customFormat="1" ht="25.8" x14ac:dyDescent="0.25">
      <c r="A51" s="12"/>
      <c r="B51" s="11"/>
      <c r="C51" s="11"/>
      <c r="D51" s="11"/>
      <c r="E51" s="11"/>
      <c r="F51" s="11"/>
      <c r="G51" s="11"/>
      <c r="H51" s="11"/>
      <c r="I51" s="37"/>
      <c r="J51" s="79"/>
      <c r="K51" s="70"/>
      <c r="L51" s="57"/>
      <c r="N51" s="42" t="s">
        <v>91</v>
      </c>
      <c r="O51" s="34">
        <v>0</v>
      </c>
    </row>
    <row r="52" spans="1:25" s="14" customFormat="1" ht="25.8" x14ac:dyDescent="0.25">
      <c r="A52" s="12"/>
      <c r="B52" s="11"/>
      <c r="C52" s="11"/>
      <c r="D52" s="11"/>
      <c r="E52" s="11"/>
      <c r="F52" s="11"/>
      <c r="G52" s="11"/>
      <c r="H52" s="11"/>
      <c r="I52" s="37"/>
      <c r="J52" s="79"/>
      <c r="K52" s="70"/>
      <c r="L52" s="57"/>
      <c r="N52" s="42" t="s">
        <v>45</v>
      </c>
      <c r="O52" s="34">
        <v>0</v>
      </c>
    </row>
    <row r="53" spans="1:25" s="14" customFormat="1" ht="25.8" x14ac:dyDescent="0.25">
      <c r="A53" s="12"/>
      <c r="B53" s="11"/>
      <c r="C53" s="11"/>
      <c r="D53" s="11"/>
      <c r="E53" s="11"/>
      <c r="F53" s="11"/>
      <c r="G53" s="11"/>
      <c r="H53" s="11"/>
      <c r="I53" s="37"/>
      <c r="J53" s="79"/>
      <c r="K53" s="70"/>
      <c r="L53" s="57"/>
      <c r="N53" s="42" t="s">
        <v>92</v>
      </c>
      <c r="O53" s="34">
        <v>0</v>
      </c>
    </row>
    <row r="54" spans="1:25" s="14" customFormat="1" ht="25.8" x14ac:dyDescent="0.25">
      <c r="A54" s="12"/>
      <c r="B54" s="11"/>
      <c r="C54" s="11"/>
      <c r="D54" s="11"/>
      <c r="E54" s="11"/>
      <c r="F54" s="11"/>
      <c r="G54" s="11"/>
      <c r="H54" s="11"/>
      <c r="I54" s="37"/>
      <c r="J54" s="79"/>
      <c r="K54" s="70"/>
      <c r="L54" s="57"/>
      <c r="N54" s="42" t="s">
        <v>52</v>
      </c>
      <c r="O54" s="34">
        <v>0</v>
      </c>
    </row>
    <row r="55" spans="1:25" s="14" customFormat="1" ht="25.8" x14ac:dyDescent="0.25">
      <c r="A55" s="12"/>
      <c r="B55" s="11"/>
      <c r="C55" s="11"/>
      <c r="D55" s="11"/>
      <c r="E55" s="11"/>
      <c r="F55" s="11"/>
      <c r="G55" s="11"/>
      <c r="H55" s="11"/>
      <c r="I55" s="37"/>
      <c r="J55" s="79"/>
      <c r="K55" s="70"/>
      <c r="L55" s="57"/>
      <c r="N55" s="42" t="s">
        <v>95</v>
      </c>
      <c r="O55" s="34">
        <v>1</v>
      </c>
    </row>
    <row r="56" spans="1:25" s="14" customFormat="1" ht="25.8" x14ac:dyDescent="0.25">
      <c r="A56" s="12"/>
      <c r="B56" s="11"/>
      <c r="C56" s="11"/>
      <c r="D56" s="11"/>
      <c r="E56" s="11"/>
      <c r="F56" s="11"/>
      <c r="G56" s="11"/>
      <c r="H56" s="11"/>
      <c r="I56" s="37"/>
      <c r="J56" s="79"/>
      <c r="K56" s="70"/>
      <c r="L56" s="57"/>
      <c r="N56" s="42" t="s">
        <v>25</v>
      </c>
      <c r="O56" s="34">
        <v>0</v>
      </c>
    </row>
    <row r="57" spans="1:25" s="14" customFormat="1" ht="27" thickBot="1" x14ac:dyDescent="0.3">
      <c r="A57" s="12"/>
      <c r="B57" s="11"/>
      <c r="C57" s="11"/>
      <c r="D57" s="11"/>
      <c r="E57" s="11"/>
      <c r="F57" s="11"/>
      <c r="G57" s="11"/>
      <c r="H57" s="11"/>
      <c r="I57" s="37"/>
      <c r="J57" s="79"/>
      <c r="K57" s="70"/>
      <c r="L57" s="57"/>
      <c r="N57" s="41"/>
      <c r="O57" s="35">
        <f>SUM(O3:O56)</f>
        <v>8</v>
      </c>
    </row>
    <row r="58" spans="1:25" s="14" customFormat="1" ht="24" thickTop="1" x14ac:dyDescent="0.25">
      <c r="A58" s="12"/>
      <c r="B58" s="11"/>
      <c r="C58" s="11"/>
      <c r="D58" s="11"/>
      <c r="E58" s="11"/>
      <c r="F58" s="11"/>
      <c r="G58" s="11"/>
      <c r="H58" s="11"/>
      <c r="I58" s="37"/>
      <c r="J58" s="79"/>
      <c r="K58" s="70"/>
      <c r="L58" s="57"/>
      <c r="N58" s="41"/>
      <c r="O58" s="11"/>
    </row>
    <row r="59" spans="1:25" s="14" customFormat="1" x14ac:dyDescent="0.25">
      <c r="A59" s="12"/>
      <c r="B59" s="11"/>
      <c r="C59" s="11"/>
      <c r="D59" s="11"/>
      <c r="E59" s="11"/>
      <c r="F59" s="11"/>
      <c r="G59" s="11"/>
      <c r="H59" s="11"/>
      <c r="I59" s="37"/>
      <c r="J59" s="79"/>
      <c r="K59" s="70"/>
      <c r="L59" s="57"/>
      <c r="N59" s="41"/>
      <c r="O59" s="11"/>
    </row>
    <row r="60" spans="1:25" s="14" customFormat="1" x14ac:dyDescent="0.25">
      <c r="A60" s="12"/>
      <c r="B60" s="11"/>
      <c r="C60" s="11"/>
      <c r="D60" s="11"/>
      <c r="E60" s="11"/>
      <c r="F60" s="11"/>
      <c r="G60" s="11"/>
      <c r="H60" s="11"/>
      <c r="I60" s="37"/>
      <c r="J60" s="79"/>
      <c r="K60" s="70"/>
      <c r="L60" s="57"/>
      <c r="N60" s="41"/>
      <c r="O60" s="11"/>
    </row>
    <row r="61" spans="1:25" s="14" customFormat="1" x14ac:dyDescent="0.25">
      <c r="A61" s="12"/>
      <c r="B61" s="11"/>
      <c r="C61" s="11"/>
      <c r="D61" s="11"/>
      <c r="E61" s="11"/>
      <c r="F61" s="11"/>
      <c r="G61" s="11"/>
      <c r="H61" s="11"/>
      <c r="I61" s="37"/>
      <c r="J61" s="79"/>
      <c r="K61" s="70"/>
      <c r="L61" s="57"/>
      <c r="N61" s="41"/>
      <c r="O61" s="11"/>
    </row>
    <row r="62" spans="1:25" s="14" customFormat="1" x14ac:dyDescent="0.25">
      <c r="A62" s="12"/>
      <c r="B62" s="11"/>
      <c r="C62" s="11"/>
      <c r="D62" s="11"/>
      <c r="E62" s="11"/>
      <c r="F62" s="11"/>
      <c r="G62" s="11"/>
      <c r="H62" s="11"/>
      <c r="I62" s="37"/>
      <c r="J62" s="79"/>
      <c r="K62" s="70"/>
      <c r="L62" s="57"/>
      <c r="N62" s="41"/>
      <c r="O62" s="11"/>
    </row>
    <row r="63" spans="1:25" s="14" customFormat="1" x14ac:dyDescent="0.25">
      <c r="A63" s="12"/>
      <c r="B63" s="11"/>
      <c r="C63" s="11"/>
      <c r="D63" s="11"/>
      <c r="E63" s="11"/>
      <c r="F63" s="11"/>
      <c r="G63" s="11"/>
      <c r="H63" s="11"/>
      <c r="I63" s="37"/>
      <c r="J63" s="79"/>
      <c r="K63" s="70"/>
      <c r="L63" s="57"/>
      <c r="N63" s="41"/>
      <c r="O63" s="11"/>
    </row>
    <row r="64" spans="1:25" s="14" customFormat="1" x14ac:dyDescent="0.25">
      <c r="A64" s="12"/>
      <c r="B64" s="11"/>
      <c r="C64" s="11"/>
      <c r="D64" s="11"/>
      <c r="E64" s="11"/>
      <c r="F64" s="11"/>
      <c r="G64" s="11"/>
      <c r="H64" s="11"/>
      <c r="I64" s="37"/>
      <c r="J64" s="79"/>
      <c r="K64" s="70"/>
      <c r="L64" s="57"/>
      <c r="N64" s="41"/>
      <c r="O64" s="11"/>
      <c r="T64" s="11"/>
      <c r="U64" s="11"/>
      <c r="V64" s="11"/>
      <c r="W64" s="11"/>
      <c r="X64" s="11"/>
      <c r="Y64" s="11"/>
    </row>
    <row r="65" spans="1:26" s="14" customFormat="1" x14ac:dyDescent="0.25">
      <c r="A65" s="12"/>
      <c r="B65" s="11"/>
      <c r="C65" s="11"/>
      <c r="D65" s="11"/>
      <c r="E65" s="11"/>
      <c r="F65" s="11"/>
      <c r="G65" s="11"/>
      <c r="H65" s="11"/>
      <c r="I65" s="37"/>
      <c r="J65" s="79"/>
      <c r="K65" s="70"/>
      <c r="L65" s="57"/>
      <c r="T65" s="11"/>
      <c r="U65" s="11"/>
      <c r="V65" s="11"/>
      <c r="W65" s="11"/>
      <c r="X65" s="11"/>
      <c r="Y65" s="11"/>
      <c r="Z65" s="57" t="s">
        <v>50</v>
      </c>
    </row>
    <row r="66" spans="1:26" s="14" customFormat="1" x14ac:dyDescent="0.25">
      <c r="A66" s="12"/>
      <c r="B66" s="11"/>
      <c r="C66" s="11"/>
      <c r="D66" s="11"/>
      <c r="E66" s="11"/>
      <c r="F66" s="11"/>
      <c r="G66" s="11"/>
      <c r="H66" s="11"/>
      <c r="I66" s="37"/>
      <c r="J66" s="79"/>
      <c r="K66" s="70"/>
      <c r="L66" s="57"/>
      <c r="T66" s="11"/>
      <c r="U66" s="11"/>
      <c r="V66" s="11"/>
      <c r="W66" s="11"/>
      <c r="X66" s="11"/>
      <c r="Y66" s="11"/>
      <c r="Z66" s="57" t="s">
        <v>50</v>
      </c>
    </row>
    <row r="67" spans="1:26" s="14" customFormat="1" x14ac:dyDescent="0.25">
      <c r="A67" s="12"/>
      <c r="B67" s="11"/>
      <c r="C67" s="11"/>
      <c r="D67" s="11"/>
      <c r="E67" s="11"/>
      <c r="F67" s="11"/>
      <c r="G67" s="11"/>
      <c r="H67" s="11"/>
      <c r="I67" s="37"/>
      <c r="J67" s="79"/>
      <c r="K67" s="70"/>
      <c r="L67" s="57"/>
      <c r="T67" s="11"/>
      <c r="U67" s="11"/>
      <c r="V67" s="11"/>
      <c r="W67" s="11"/>
      <c r="X67" s="11"/>
      <c r="Y67" s="11"/>
      <c r="Z67" s="57" t="s">
        <v>50</v>
      </c>
    </row>
    <row r="68" spans="1:26" x14ac:dyDescent="0.25">
      <c r="N68" s="11"/>
      <c r="Z68" s="11" t="s">
        <v>214</v>
      </c>
    </row>
    <row r="69" spans="1:26" x14ac:dyDescent="0.25">
      <c r="N69" s="11"/>
      <c r="Z69" s="11" t="s">
        <v>50</v>
      </c>
    </row>
    <row r="70" spans="1:26" x14ac:dyDescent="0.25">
      <c r="N70" s="11"/>
      <c r="Z70" s="11" t="s">
        <v>50</v>
      </c>
    </row>
    <row r="71" spans="1:26" x14ac:dyDescent="0.25">
      <c r="N71" s="11"/>
      <c r="Z71" s="11" t="s">
        <v>50</v>
      </c>
    </row>
    <row r="72" spans="1:26" x14ac:dyDescent="0.25">
      <c r="N72" s="11"/>
      <c r="Z72" s="11" t="s">
        <v>50</v>
      </c>
    </row>
    <row r="73" spans="1:26" x14ac:dyDescent="0.25">
      <c r="N73" s="11"/>
      <c r="Z73" s="11" t="s">
        <v>50</v>
      </c>
    </row>
    <row r="74" spans="1:26" x14ac:dyDescent="0.25">
      <c r="N74" s="11"/>
      <c r="Z74" s="11" t="s">
        <v>215</v>
      </c>
    </row>
    <row r="75" spans="1:26" x14ac:dyDescent="0.25">
      <c r="N75" s="11"/>
      <c r="Z75" s="11" t="s">
        <v>50</v>
      </c>
    </row>
    <row r="76" spans="1:26" x14ac:dyDescent="0.25">
      <c r="N76" s="11"/>
      <c r="Z76" s="11" t="s">
        <v>50</v>
      </c>
    </row>
    <row r="77" spans="1:26" x14ac:dyDescent="0.25">
      <c r="N77" s="11"/>
      <c r="Z77" s="11" t="s">
        <v>50</v>
      </c>
    </row>
    <row r="78" spans="1:26" x14ac:dyDescent="0.25">
      <c r="N78" s="11"/>
      <c r="Z78" s="11" t="s">
        <v>50</v>
      </c>
    </row>
    <row r="79" spans="1:26" x14ac:dyDescent="0.25">
      <c r="N79" s="11"/>
      <c r="Z79" s="11" t="s">
        <v>50</v>
      </c>
    </row>
    <row r="80" spans="1:26" x14ac:dyDescent="0.25">
      <c r="N80" s="11"/>
      <c r="Z80" s="11" t="s">
        <v>50</v>
      </c>
    </row>
    <row r="81" spans="14:26" x14ac:dyDescent="0.25">
      <c r="N81" s="11"/>
      <c r="Z81" s="11" t="s">
        <v>216</v>
      </c>
    </row>
    <row r="82" spans="14:26" x14ac:dyDescent="0.25">
      <c r="N82" s="11"/>
      <c r="Z82" s="11" t="s">
        <v>217</v>
      </c>
    </row>
    <row r="83" spans="14:26" x14ac:dyDescent="0.25">
      <c r="N83" s="11"/>
      <c r="Z83" s="11" t="s">
        <v>218</v>
      </c>
    </row>
    <row r="84" spans="14:26" x14ac:dyDescent="0.25">
      <c r="N84" s="11"/>
      <c r="Z84" s="11" t="s">
        <v>219</v>
      </c>
    </row>
    <row r="85" spans="14:26" x14ac:dyDescent="0.25">
      <c r="N85" s="11"/>
      <c r="Z85" s="11" t="s">
        <v>220</v>
      </c>
    </row>
    <row r="86" spans="14:26" x14ac:dyDescent="0.25">
      <c r="N86" s="11"/>
      <c r="Z86" s="11" t="s">
        <v>221</v>
      </c>
    </row>
    <row r="87" spans="14:26" x14ac:dyDescent="0.25">
      <c r="N87" s="11"/>
      <c r="Z87" s="11" t="s">
        <v>222</v>
      </c>
    </row>
    <row r="88" spans="14:26" x14ac:dyDescent="0.25">
      <c r="N88" s="11"/>
      <c r="Z88" s="11" t="s">
        <v>223</v>
      </c>
    </row>
    <row r="89" spans="14:26" x14ac:dyDescent="0.25">
      <c r="N89" s="11"/>
      <c r="Z89" s="11" t="s">
        <v>224</v>
      </c>
    </row>
    <row r="90" spans="14:26" x14ac:dyDescent="0.25">
      <c r="N90" s="11"/>
      <c r="Z90" s="11" t="s">
        <v>225</v>
      </c>
    </row>
    <row r="91" spans="14:26" x14ac:dyDescent="0.25">
      <c r="N91" s="11"/>
      <c r="Z91" s="11" t="s">
        <v>50</v>
      </c>
    </row>
    <row r="92" spans="14:26" x14ac:dyDescent="0.25">
      <c r="N92" s="11"/>
      <c r="Z92" s="11" t="s">
        <v>50</v>
      </c>
    </row>
    <row r="93" spans="14:26" x14ac:dyDescent="0.25">
      <c r="N93" s="11"/>
      <c r="Z93" s="11" t="s">
        <v>50</v>
      </c>
    </row>
    <row r="94" spans="14:26" x14ac:dyDescent="0.25">
      <c r="N94" s="11"/>
      <c r="Z94" s="11" t="s">
        <v>50</v>
      </c>
    </row>
    <row r="95" spans="14:26" x14ac:dyDescent="0.25">
      <c r="N95" s="11"/>
      <c r="Z95" s="11" t="s">
        <v>50</v>
      </c>
    </row>
    <row r="96" spans="14:26" x14ac:dyDescent="0.25">
      <c r="N96" s="11"/>
    </row>
    <row r="97" spans="13:14" x14ac:dyDescent="0.25">
      <c r="N97" s="11"/>
    </row>
    <row r="98" spans="13:14" x14ac:dyDescent="0.25">
      <c r="N98" s="11"/>
    </row>
    <row r="99" spans="13:14" x14ac:dyDescent="0.25">
      <c r="N99" s="11"/>
    </row>
    <row r="100" spans="13:14" x14ac:dyDescent="0.25">
      <c r="N100" s="11"/>
    </row>
    <row r="101" spans="13:14" x14ac:dyDescent="0.25">
      <c r="N101" s="11"/>
    </row>
    <row r="102" spans="13:14" x14ac:dyDescent="0.25">
      <c r="N102" s="11"/>
    </row>
    <row r="103" spans="13:14" x14ac:dyDescent="0.25">
      <c r="N103" s="11"/>
    </row>
    <row r="104" spans="13:14" x14ac:dyDescent="0.25">
      <c r="M104" s="14"/>
      <c r="N104" s="11"/>
    </row>
    <row r="105" spans="13:14" x14ac:dyDescent="0.25">
      <c r="M105" s="14"/>
      <c r="N105" s="11"/>
    </row>
    <row r="106" spans="13:14" x14ac:dyDescent="0.25">
      <c r="M106" s="14"/>
      <c r="N106" s="11"/>
    </row>
    <row r="107" spans="13:14" x14ac:dyDescent="0.25">
      <c r="M107" s="14"/>
      <c r="N107" s="11"/>
    </row>
    <row r="108" spans="13:14" x14ac:dyDescent="0.25">
      <c r="M108" s="14"/>
      <c r="N108" s="11"/>
    </row>
    <row r="109" spans="13:14" x14ac:dyDescent="0.25">
      <c r="M109" s="14"/>
      <c r="N109" s="11"/>
    </row>
    <row r="110" spans="13:14" x14ac:dyDescent="0.25">
      <c r="M110" s="14"/>
      <c r="N110" s="11"/>
    </row>
    <row r="111" spans="13:14" x14ac:dyDescent="0.25">
      <c r="M111" s="14"/>
      <c r="N111" s="11"/>
    </row>
    <row r="112" spans="13:14" x14ac:dyDescent="0.25">
      <c r="M112" s="14"/>
      <c r="N112" s="11"/>
    </row>
    <row r="113" spans="13:14" x14ac:dyDescent="0.25">
      <c r="M113" s="14"/>
      <c r="N113" s="11"/>
    </row>
    <row r="114" spans="13:14" x14ac:dyDescent="0.25">
      <c r="M114" s="14"/>
      <c r="N114" s="11"/>
    </row>
    <row r="115" spans="13:14" x14ac:dyDescent="0.25">
      <c r="M115" s="14"/>
      <c r="N115" s="11"/>
    </row>
    <row r="116" spans="13:14" x14ac:dyDescent="0.25">
      <c r="M116" s="14"/>
      <c r="N116" s="11"/>
    </row>
    <row r="117" spans="13:14" x14ac:dyDescent="0.25">
      <c r="M117" s="14"/>
      <c r="N117" s="11"/>
    </row>
    <row r="118" spans="13:14" x14ac:dyDescent="0.25">
      <c r="M118" s="14"/>
      <c r="N118" s="11"/>
    </row>
    <row r="119" spans="13:14" x14ac:dyDescent="0.25">
      <c r="M119" s="14"/>
      <c r="N119" s="11"/>
    </row>
    <row r="120" spans="13:14" x14ac:dyDescent="0.25">
      <c r="M120" s="14"/>
      <c r="N120" s="11"/>
    </row>
    <row r="121" spans="13:14" x14ac:dyDescent="0.25">
      <c r="M121" s="14"/>
      <c r="N121" s="11"/>
    </row>
    <row r="122" spans="13:14" x14ac:dyDescent="0.25">
      <c r="M122" s="14"/>
      <c r="N122" s="11"/>
    </row>
    <row r="123" spans="13:14" ht="45.6" customHeight="1" x14ac:dyDescent="0.25">
      <c r="M123" s="14"/>
    </row>
    <row r="124" spans="13:14" ht="45" customHeight="1" x14ac:dyDescent="0.25">
      <c r="M124" s="14"/>
    </row>
    <row r="125" spans="13:14" ht="45" customHeight="1" x14ac:dyDescent="0.25">
      <c r="M125" s="14"/>
    </row>
    <row r="126" spans="13:14" ht="45" customHeight="1" x14ac:dyDescent="0.25">
      <c r="M126" s="14"/>
    </row>
    <row r="127" spans="13:14" ht="45" customHeight="1" x14ac:dyDescent="0.25">
      <c r="M127" s="14"/>
    </row>
    <row r="128" spans="13:14" ht="45" customHeight="1" x14ac:dyDescent="0.25">
      <c r="M128" s="14"/>
    </row>
    <row r="129" spans="13:13" ht="45" customHeight="1" x14ac:dyDescent="0.25">
      <c r="M129" s="14"/>
    </row>
    <row r="130" spans="13:13" ht="45" customHeight="1" x14ac:dyDescent="0.25">
      <c r="M130" s="14"/>
    </row>
    <row r="131" spans="13:13" ht="45" customHeight="1" x14ac:dyDescent="0.25">
      <c r="M131" s="14"/>
    </row>
    <row r="132" spans="13:13" x14ac:dyDescent="0.25">
      <c r="M132" s="14"/>
    </row>
    <row r="133" spans="13:13" x14ac:dyDescent="0.25">
      <c r="M133" s="14"/>
    </row>
    <row r="134" spans="13:13" x14ac:dyDescent="0.25">
      <c r="M134" s="14"/>
    </row>
    <row r="135" spans="13:13" x14ac:dyDescent="0.25">
      <c r="M135" s="14"/>
    </row>
    <row r="136" spans="13:13" x14ac:dyDescent="0.25">
      <c r="M136" s="14"/>
    </row>
    <row r="137" spans="13:13" x14ac:dyDescent="0.25">
      <c r="M137" s="14"/>
    </row>
    <row r="138" spans="13:13" x14ac:dyDescent="0.25">
      <c r="M138" s="14"/>
    </row>
    <row r="139" spans="13:13" x14ac:dyDescent="0.25">
      <c r="M139" s="14"/>
    </row>
    <row r="140" spans="13:13" x14ac:dyDescent="0.25">
      <c r="M140" s="14"/>
    </row>
    <row r="141" spans="13:13" x14ac:dyDescent="0.25">
      <c r="M141" s="14"/>
    </row>
    <row r="142" spans="13:13" x14ac:dyDescent="0.25">
      <c r="M142" s="14"/>
    </row>
    <row r="143" spans="13:13" x14ac:dyDescent="0.25">
      <c r="M143" s="14"/>
    </row>
    <row r="144" spans="13:13" x14ac:dyDescent="0.25">
      <c r="M144" s="14"/>
    </row>
    <row r="145" spans="13:13" x14ac:dyDescent="0.25">
      <c r="M145" s="14"/>
    </row>
    <row r="146" spans="13:13" x14ac:dyDescent="0.25">
      <c r="M146" s="14"/>
    </row>
    <row r="147" spans="13:13" x14ac:dyDescent="0.25">
      <c r="M147" s="14"/>
    </row>
    <row r="148" spans="13:13" x14ac:dyDescent="0.25">
      <c r="M148" s="14"/>
    </row>
    <row r="149" spans="13:13" x14ac:dyDescent="0.25">
      <c r="M149" s="14"/>
    </row>
    <row r="150" spans="13:13" x14ac:dyDescent="0.25">
      <c r="M150" s="14"/>
    </row>
    <row r="151" spans="13:13" x14ac:dyDescent="0.25">
      <c r="M151" s="14"/>
    </row>
    <row r="152" spans="13:13" x14ac:dyDescent="0.25">
      <c r="M152" s="14"/>
    </row>
    <row r="153" spans="13:13" x14ac:dyDescent="0.25">
      <c r="M153" s="14"/>
    </row>
    <row r="154" spans="13:13" x14ac:dyDescent="0.25">
      <c r="M154" s="14"/>
    </row>
    <row r="155" spans="13:13" x14ac:dyDescent="0.25">
      <c r="M155" s="14"/>
    </row>
    <row r="156" spans="13:13" x14ac:dyDescent="0.25">
      <c r="M156" s="14"/>
    </row>
    <row r="157" spans="13:13" x14ac:dyDescent="0.25">
      <c r="M157" s="14"/>
    </row>
    <row r="158" spans="13:13" x14ac:dyDescent="0.25">
      <c r="M158" s="14"/>
    </row>
    <row r="159" spans="13:13" x14ac:dyDescent="0.25">
      <c r="M159" s="14"/>
    </row>
    <row r="160" spans="13:13" x14ac:dyDescent="0.25">
      <c r="M160" s="14"/>
    </row>
    <row r="161" spans="13:13" x14ac:dyDescent="0.25">
      <c r="M161" s="14"/>
    </row>
    <row r="162" spans="13:13" x14ac:dyDescent="0.25">
      <c r="M162" s="14"/>
    </row>
    <row r="163" spans="13:13" x14ac:dyDescent="0.25">
      <c r="M163" s="14"/>
    </row>
    <row r="164" spans="13:13" x14ac:dyDescent="0.25">
      <c r="M164" s="14"/>
    </row>
    <row r="165" spans="13:13" x14ac:dyDescent="0.25">
      <c r="M165" s="14"/>
    </row>
  </sheetData>
  <autoFilter ref="A2:O122" xr:uid="{C05F9277-E941-4F8C-B88B-7443D998D414}">
    <sortState xmlns:xlrd2="http://schemas.microsoft.com/office/spreadsheetml/2017/richdata2" ref="A3:M73">
      <sortCondition ref="G2:G33"/>
    </sortState>
  </autoFilter>
  <conditionalFormatting sqref="J1">
    <cfRule type="containsText" dxfId="92" priority="4" operator="containsText" text="ไม่พบ">
      <formula>NOT(ISERROR(SEARCH("ไม่พบ",J1)))</formula>
    </cfRule>
  </conditionalFormatting>
  <conditionalFormatting sqref="J43:K1048576">
    <cfRule type="containsText" dxfId="91" priority="13" operator="containsText" text="ไม่พบ">
      <formula>NOT(ISERROR(SEARCH("ไม่พบ",J43)))</formula>
    </cfRule>
  </conditionalFormatting>
  <conditionalFormatting sqref="J2:L2">
    <cfRule type="containsText" dxfId="90" priority="12" operator="containsText" text="ไม่พบ">
      <formula>NOT(ISERROR(SEARCH("ไม่พบ",J2)))</formula>
    </cfRule>
  </conditionalFormatting>
  <conditionalFormatting sqref="N2">
    <cfRule type="duplicateValues" dxfId="89" priority="3"/>
  </conditionalFormatting>
  <conditionalFormatting sqref="N166:N1048576 N1">
    <cfRule type="duplicateValues" dxfId="88" priority="9"/>
    <cfRule type="duplicateValues" dxfId="87" priority="10"/>
  </conditionalFormatting>
  <conditionalFormatting sqref="O2">
    <cfRule type="duplicateValues" dxfId="86" priority="1"/>
    <cfRule type="duplicateValues" dxfId="85" priority="2"/>
  </conditionalFormatting>
  <dataValidations count="2">
    <dataValidation type="list" allowBlank="1" showInputMessage="1" showErrorMessage="1" sqref="L1:L2 K2 L43:L1048576" xr:uid="{6B26F13F-1F52-4334-82D7-61EA70E59052}">
      <formula1>#REF!</formula1>
    </dataValidation>
    <dataValidation type="list" allowBlank="1" showInputMessage="1" showErrorMessage="1" sqref="K1" xr:uid="{539EA57E-989A-4B78-8AC7-745947086508}">
      <formula1>$M$3:$M$35</formula1>
    </dataValidation>
  </dataValidations>
  <pageMargins left="0.25" right="0.25" top="0.75" bottom="0.75" header="0.3" footer="0.3"/>
  <pageSetup paperSize="9" scale="1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2996-8A21-494D-9197-0DC82EA9825D}">
  <sheetPr>
    <tabColor rgb="FF00B0F0"/>
  </sheetPr>
  <dimension ref="A1:N38"/>
  <sheetViews>
    <sheetView zoomScale="85" zoomScaleNormal="85" workbookViewId="0">
      <pane xSplit="4" ySplit="2" topLeftCell="E3" activePane="bottomRight" state="frozen"/>
      <selection activeCell="A2" sqref="A2"/>
      <selection pane="topRight" activeCell="A2" sqref="A2"/>
      <selection pane="bottomLeft" activeCell="A2" sqref="A2"/>
      <selection pane="bottomRight" activeCell="F8" sqref="F8:F9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8.796875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935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 t="s">
        <v>6199</v>
      </c>
      <c r="C3" s="1" t="s">
        <v>6200</v>
      </c>
      <c r="D3" s="1" t="s">
        <v>989</v>
      </c>
      <c r="E3" s="1" t="s">
        <v>8</v>
      </c>
      <c r="F3" s="1" t="s">
        <v>990</v>
      </c>
      <c r="G3" s="1" t="s">
        <v>6201</v>
      </c>
      <c r="H3" s="120" t="s">
        <v>6202</v>
      </c>
      <c r="I3" s="53" t="s">
        <v>992</v>
      </c>
      <c r="J3" s="30"/>
      <c r="M3" s="30"/>
    </row>
    <row r="4" spans="1:13" s="31" customFormat="1" ht="27" thickBot="1" x14ac:dyDescent="0.75">
      <c r="A4" s="56"/>
      <c r="B4" s="56"/>
      <c r="C4" s="56"/>
      <c r="D4" s="56"/>
      <c r="E4" s="56"/>
      <c r="F4" s="56"/>
      <c r="G4" s="25" t="s">
        <v>28</v>
      </c>
      <c r="H4" s="26">
        <v>83</v>
      </c>
      <c r="I4" s="16" t="s">
        <v>47</v>
      </c>
      <c r="J4" s="30"/>
      <c r="M4" s="30"/>
    </row>
    <row r="5" spans="1:13" s="31" customFormat="1" ht="21" thickTop="1" x14ac:dyDescent="0.35">
      <c r="A5" s="12"/>
      <c r="B5" s="12"/>
      <c r="C5" s="12"/>
      <c r="D5" s="12"/>
      <c r="E5" s="12"/>
      <c r="F5" s="12"/>
      <c r="G5" s="12"/>
      <c r="H5" s="12"/>
      <c r="I5" s="12"/>
      <c r="J5" s="30"/>
      <c r="M5" s="30"/>
    </row>
    <row r="6" spans="1:13" s="31" customFormat="1" ht="20.399999999999999" x14ac:dyDescent="0.35">
      <c r="A6" s="12"/>
      <c r="B6" s="12"/>
      <c r="C6" s="12"/>
      <c r="D6" s="12"/>
      <c r="E6" s="12"/>
      <c r="F6" s="12"/>
      <c r="G6" s="12"/>
      <c r="H6" s="12"/>
      <c r="I6" s="12"/>
      <c r="J6" s="30"/>
      <c r="M6" s="30"/>
    </row>
    <row r="7" spans="1:13" s="31" customFormat="1" ht="20.399999999999999" x14ac:dyDescent="0.35">
      <c r="A7" s="12"/>
      <c r="B7" s="12"/>
      <c r="C7" s="12"/>
      <c r="D7" s="12"/>
      <c r="E7" s="12"/>
      <c r="F7" s="12"/>
      <c r="G7" s="12"/>
      <c r="H7" s="12"/>
      <c r="I7" s="12"/>
      <c r="J7" s="30"/>
      <c r="M7" s="30"/>
    </row>
    <row r="8" spans="1:13" s="31" customFormat="1" ht="20.399999999999999" x14ac:dyDescent="0.35">
      <c r="A8" s="12"/>
      <c r="B8" s="12"/>
      <c r="C8" s="12"/>
      <c r="D8" s="12"/>
      <c r="E8" s="12"/>
      <c r="F8" s="12"/>
      <c r="G8" s="12"/>
      <c r="H8" s="12"/>
      <c r="I8" s="12"/>
      <c r="J8" s="30"/>
      <c r="M8" s="30"/>
    </row>
    <row r="9" spans="1:13" s="31" customFormat="1" ht="20.399999999999999" x14ac:dyDescent="0.35">
      <c r="A9" s="12"/>
      <c r="B9" s="12"/>
      <c r="C9" s="12"/>
      <c r="D9" s="12"/>
      <c r="E9" s="12"/>
      <c r="F9" s="12"/>
      <c r="G9" s="12"/>
      <c r="H9" s="12"/>
      <c r="I9" s="12"/>
      <c r="J9" s="30"/>
      <c r="M9" s="30"/>
    </row>
    <row r="10" spans="1:13" s="31" customFormat="1" ht="20.399999999999999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30"/>
      <c r="M10" s="30"/>
    </row>
    <row r="11" spans="1:13" s="31" customFormat="1" ht="20.399999999999999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30"/>
      <c r="M11" s="30"/>
    </row>
    <row r="12" spans="1:13" s="31" customFormat="1" ht="20.399999999999999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30"/>
      <c r="M12" s="30"/>
    </row>
    <row r="13" spans="1:13" s="31" customFormat="1" ht="20.399999999999999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30"/>
      <c r="M13" s="30"/>
    </row>
    <row r="14" spans="1:13" s="31" customFormat="1" ht="20.39999999999999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30"/>
      <c r="M14" s="30"/>
    </row>
    <row r="15" spans="1:13" s="31" customFormat="1" ht="20.39999999999999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30"/>
      <c r="M15" s="30"/>
    </row>
    <row r="16" spans="1:13" s="31" customFormat="1" ht="20.39999999999999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30"/>
      <c r="M16" s="30"/>
    </row>
    <row r="17" spans="1:14" s="31" customFormat="1" ht="20.39999999999999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30"/>
      <c r="M17" s="30"/>
    </row>
    <row r="18" spans="1:14" s="31" customFormat="1" ht="20.39999999999999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30"/>
      <c r="M18" s="30"/>
    </row>
    <row r="19" spans="1:14" s="31" customFormat="1" ht="20.39999999999999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30"/>
      <c r="M19" s="30"/>
    </row>
    <row r="20" spans="1:14" s="31" customFormat="1" ht="20.399999999999999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30"/>
      <c r="M20" s="30"/>
    </row>
    <row r="21" spans="1:14" s="31" customFormat="1" ht="20.399999999999999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30"/>
      <c r="M21" s="30"/>
    </row>
    <row r="22" spans="1:14" s="31" customFormat="1" ht="20.399999999999999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30"/>
      <c r="M22" s="30"/>
    </row>
    <row r="23" spans="1:14" s="31" customFormat="1" ht="20.39999999999999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30"/>
      <c r="M23" s="30"/>
    </row>
    <row r="24" spans="1:14" s="31" customFormat="1" ht="22.9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30"/>
      <c r="M24" s="30"/>
    </row>
    <row r="25" spans="1:14" s="31" customFormat="1" ht="20.399999999999999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30"/>
      <c r="M25" s="30"/>
    </row>
    <row r="26" spans="1:14" s="31" customFormat="1" ht="20.399999999999999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30"/>
      <c r="L26" s="30"/>
    </row>
    <row r="27" spans="1:14" s="31" customFormat="1" ht="20.399999999999999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30"/>
      <c r="L27" s="30"/>
    </row>
    <row r="28" spans="1:14" s="31" customFormat="1" ht="20.399999999999999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30"/>
      <c r="L28" s="30"/>
    </row>
    <row r="29" spans="1:14" s="31" customFormat="1" ht="20.399999999999999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30"/>
      <c r="L29" s="30"/>
    </row>
    <row r="30" spans="1:14" s="31" customFormat="1" ht="20.399999999999999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30"/>
      <c r="L30" s="30"/>
      <c r="M30" s="31">
        <v>0</v>
      </c>
      <c r="N30" s="31" t="s">
        <v>203</v>
      </c>
    </row>
    <row r="31" spans="1:14" s="31" customFormat="1" ht="20.399999999999999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30"/>
      <c r="L31" s="30"/>
      <c r="M31" s="31">
        <v>0</v>
      </c>
      <c r="N31" s="31" t="s">
        <v>204</v>
      </c>
    </row>
    <row r="32" spans="1:14" s="31" customFormat="1" ht="20.399999999999999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30"/>
      <c r="L32" s="30"/>
      <c r="M32" s="31">
        <v>0</v>
      </c>
      <c r="N32" s="31" t="s">
        <v>205</v>
      </c>
    </row>
    <row r="33" spans="1:14" s="31" customFormat="1" ht="20.399999999999999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30"/>
      <c r="L33" s="30"/>
      <c r="M33" s="31">
        <v>0</v>
      </c>
      <c r="N33" s="31" t="s">
        <v>206</v>
      </c>
    </row>
    <row r="34" spans="1:14" s="31" customFormat="1" ht="20.399999999999999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30"/>
      <c r="L34" s="30"/>
      <c r="M34" s="31">
        <v>0</v>
      </c>
      <c r="N34" s="31" t="s">
        <v>207</v>
      </c>
    </row>
    <row r="35" spans="1:14" s="31" customFormat="1" ht="20.399999999999999" x14ac:dyDescent="0.35">
      <c r="A35" s="12"/>
      <c r="B35" s="12"/>
      <c r="C35" s="12"/>
      <c r="D35" s="12"/>
      <c r="E35" s="12"/>
      <c r="F35" s="12"/>
      <c r="G35" s="12"/>
      <c r="H35" s="12"/>
      <c r="I35" s="12"/>
      <c r="K35" s="30"/>
      <c r="L35" s="31">
        <v>0</v>
      </c>
      <c r="M35" s="31" t="s">
        <v>208</v>
      </c>
    </row>
    <row r="36" spans="1:14" s="31" customFormat="1" ht="20.399999999999999" x14ac:dyDescent="0.35">
      <c r="A36" s="12"/>
      <c r="B36" s="12"/>
      <c r="C36" s="12"/>
      <c r="D36" s="12"/>
      <c r="E36" s="12"/>
      <c r="F36" s="12"/>
      <c r="G36" s="12"/>
      <c r="H36" s="12"/>
      <c r="I36" s="12"/>
      <c r="K36" s="30"/>
      <c r="L36" s="31">
        <v>0</v>
      </c>
      <c r="M36" s="31" t="s">
        <v>209</v>
      </c>
    </row>
    <row r="37" spans="1:14" ht="20.399999999999999" x14ac:dyDescent="0.25">
      <c r="L37" s="30"/>
    </row>
    <row r="38" spans="1:14" ht="20.399999999999999" x14ac:dyDescent="0.25">
      <c r="L38" s="30"/>
    </row>
  </sheetData>
  <autoFilter ref="B2:J22" xr:uid="{418B859D-9AEE-4DBC-84AA-2E90E0A86546}">
    <sortState xmlns:xlrd2="http://schemas.microsoft.com/office/spreadsheetml/2017/richdata2" ref="B3:I41">
      <sortCondition ref="G2:G3"/>
    </sortState>
  </autoFilter>
  <phoneticPr fontId="9" type="noConversion"/>
  <conditionalFormatting sqref="H4">
    <cfRule type="containsText" dxfId="84" priority="1" operator="containsText" text="ไม่พบ">
      <formula>NOT(ISERROR(SEARCH("ไม่พบ",H4)))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411C-9747-409D-B4F9-2096D22CAC7A}">
  <sheetPr>
    <tabColor rgb="FFFF99FF"/>
    <pageSetUpPr fitToPage="1"/>
  </sheetPr>
  <dimension ref="A1:O153"/>
  <sheetViews>
    <sheetView zoomScale="55" zoomScaleNormal="55" workbookViewId="0">
      <pane xSplit="6" ySplit="2" topLeftCell="G3" activePane="bottomRight" state="frozen"/>
      <selection activeCell="M56" sqref="M56"/>
      <selection pane="topRight" activeCell="M56" sqref="M56"/>
      <selection pane="bottomLeft" activeCell="M56" sqref="M56"/>
      <selection pane="bottomRight" activeCell="J11" sqref="J11"/>
    </sheetView>
  </sheetViews>
  <sheetFormatPr defaultColWidth="54.69921875" defaultRowHeight="23.4" x14ac:dyDescent="0.25"/>
  <cols>
    <col min="1" max="1" width="9.2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37" customWidth="1"/>
    <col min="10" max="10" width="15.296875" style="79" bestFit="1" customWidth="1"/>
    <col min="11" max="11" width="55.69921875" style="70" bestFit="1" customWidth="1"/>
    <col min="12" max="12" width="144.296875" style="57" bestFit="1" customWidth="1"/>
    <col min="13" max="13" width="14.69921875" style="11" customWidth="1"/>
    <col min="14" max="14" width="88.8984375" style="41" bestFit="1" customWidth="1"/>
    <col min="15" max="15" width="17.19921875" style="11" bestFit="1" customWidth="1"/>
    <col min="16" max="16384" width="54.69921875" style="11"/>
  </cols>
  <sheetData>
    <row r="1" spans="1:15" ht="60" customHeight="1" thickBot="1" x14ac:dyDescent="0.75">
      <c r="A1" s="8" t="s">
        <v>934</v>
      </c>
      <c r="I1" s="87" t="s">
        <v>46</v>
      </c>
      <c r="J1" s="26">
        <f>SUBTOTAL(9,J3:J12)</f>
        <v>450</v>
      </c>
      <c r="K1" s="88" t="s">
        <v>47</v>
      </c>
    </row>
    <row r="2" spans="1:15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80" t="s">
        <v>43</v>
      </c>
      <c r="K2" s="6" t="s">
        <v>7</v>
      </c>
      <c r="L2" s="6" t="s">
        <v>7</v>
      </c>
      <c r="N2" s="7" t="s">
        <v>19</v>
      </c>
      <c r="O2" s="7" t="s">
        <v>21</v>
      </c>
    </row>
    <row r="3" spans="1:15" s="14" customFormat="1" ht="25.8" x14ac:dyDescent="0.25">
      <c r="A3" s="13">
        <v>1</v>
      </c>
      <c r="B3" s="1" t="s">
        <v>6095</v>
      </c>
      <c r="C3" s="1" t="s">
        <v>6096</v>
      </c>
      <c r="D3" s="1" t="s">
        <v>945</v>
      </c>
      <c r="E3" s="1" t="s">
        <v>8</v>
      </c>
      <c r="F3" s="1" t="s">
        <v>946</v>
      </c>
      <c r="G3" s="1" t="s">
        <v>6097</v>
      </c>
      <c r="H3" s="55" t="s">
        <v>5973</v>
      </c>
      <c r="I3" s="81" t="s">
        <v>6125</v>
      </c>
      <c r="J3" s="81">
        <v>45</v>
      </c>
      <c r="K3" s="62" t="s">
        <v>91</v>
      </c>
      <c r="L3" s="118" t="s">
        <v>6124</v>
      </c>
      <c r="N3" s="42" t="s">
        <v>10</v>
      </c>
      <c r="O3" s="34">
        <v>0</v>
      </c>
    </row>
    <row r="4" spans="1:15" s="14" customFormat="1" ht="25.8" x14ac:dyDescent="0.25">
      <c r="A4" s="13">
        <v>2</v>
      </c>
      <c r="B4" s="1" t="s">
        <v>6098</v>
      </c>
      <c r="C4" s="1" t="s">
        <v>6099</v>
      </c>
      <c r="D4" s="1" t="s">
        <v>945</v>
      </c>
      <c r="E4" s="1" t="s">
        <v>8</v>
      </c>
      <c r="F4" s="1" t="s">
        <v>946</v>
      </c>
      <c r="G4" s="1" t="s">
        <v>6100</v>
      </c>
      <c r="H4" s="55" t="s">
        <v>5973</v>
      </c>
      <c r="I4" s="81" t="s">
        <v>6127</v>
      </c>
      <c r="J4" s="81">
        <v>45</v>
      </c>
      <c r="K4" s="62" t="s">
        <v>83</v>
      </c>
      <c r="L4" s="118" t="s">
        <v>6126</v>
      </c>
      <c r="N4" s="42" t="s">
        <v>13</v>
      </c>
      <c r="O4" s="34">
        <v>0</v>
      </c>
    </row>
    <row r="5" spans="1:15" s="14" customFormat="1" ht="25.8" x14ac:dyDescent="0.25">
      <c r="A5" s="13">
        <v>3</v>
      </c>
      <c r="B5" s="1" t="s">
        <v>6101</v>
      </c>
      <c r="C5" s="1" t="s">
        <v>3461</v>
      </c>
      <c r="D5" s="1" t="s">
        <v>945</v>
      </c>
      <c r="E5" s="1" t="s">
        <v>8</v>
      </c>
      <c r="F5" s="1" t="s">
        <v>946</v>
      </c>
      <c r="G5" s="1" t="s">
        <v>6102</v>
      </c>
      <c r="H5" s="55" t="s">
        <v>5973</v>
      </c>
      <c r="I5" s="81" t="s">
        <v>6129</v>
      </c>
      <c r="J5" s="81">
        <v>45</v>
      </c>
      <c r="K5" s="62" t="s">
        <v>61</v>
      </c>
      <c r="L5" s="118" t="s">
        <v>6128</v>
      </c>
      <c r="N5" s="42" t="s">
        <v>11</v>
      </c>
      <c r="O5" s="34">
        <v>0</v>
      </c>
    </row>
    <row r="6" spans="1:15" s="14" customFormat="1" ht="25.8" x14ac:dyDescent="0.25">
      <c r="A6" s="13">
        <v>4</v>
      </c>
      <c r="B6" s="1" t="s">
        <v>6103</v>
      </c>
      <c r="C6" s="1" t="s">
        <v>6104</v>
      </c>
      <c r="D6" s="1" t="s">
        <v>945</v>
      </c>
      <c r="E6" s="1" t="s">
        <v>8</v>
      </c>
      <c r="F6" s="1" t="s">
        <v>946</v>
      </c>
      <c r="G6" s="1" t="s">
        <v>6105</v>
      </c>
      <c r="H6" s="55" t="s">
        <v>5973</v>
      </c>
      <c r="I6" s="81" t="s">
        <v>6131</v>
      </c>
      <c r="J6" s="81">
        <v>45</v>
      </c>
      <c r="K6" s="62" t="s">
        <v>15</v>
      </c>
      <c r="L6" s="118" t="s">
        <v>6130</v>
      </c>
      <c r="N6" s="42" t="s">
        <v>17</v>
      </c>
      <c r="O6" s="34">
        <v>0</v>
      </c>
    </row>
    <row r="7" spans="1:15" s="14" customFormat="1" ht="25.8" x14ac:dyDescent="0.25">
      <c r="A7" s="13">
        <v>5</v>
      </c>
      <c r="B7" s="1" t="s">
        <v>6106</v>
      </c>
      <c r="C7" s="1" t="s">
        <v>6107</v>
      </c>
      <c r="D7" s="1" t="s">
        <v>945</v>
      </c>
      <c r="E7" s="1" t="s">
        <v>8</v>
      </c>
      <c r="F7" s="1" t="s">
        <v>946</v>
      </c>
      <c r="G7" s="1" t="s">
        <v>6108</v>
      </c>
      <c r="H7" s="55" t="s">
        <v>5973</v>
      </c>
      <c r="I7" s="81" t="s">
        <v>6133</v>
      </c>
      <c r="J7" s="81">
        <v>45</v>
      </c>
      <c r="K7" s="62" t="s">
        <v>61</v>
      </c>
      <c r="L7" s="118" t="s">
        <v>6132</v>
      </c>
      <c r="N7" s="42" t="s">
        <v>14</v>
      </c>
      <c r="O7" s="34">
        <v>0</v>
      </c>
    </row>
    <row r="8" spans="1:15" s="14" customFormat="1" ht="25.8" x14ac:dyDescent="0.25">
      <c r="A8" s="13">
        <v>6</v>
      </c>
      <c r="B8" s="1" t="s">
        <v>6109</v>
      </c>
      <c r="C8" s="1" t="s">
        <v>6110</v>
      </c>
      <c r="D8" s="1" t="s">
        <v>945</v>
      </c>
      <c r="E8" s="1" t="s">
        <v>8</v>
      </c>
      <c r="F8" s="1" t="s">
        <v>946</v>
      </c>
      <c r="G8" s="1" t="s">
        <v>6111</v>
      </c>
      <c r="H8" s="55" t="s">
        <v>5973</v>
      </c>
      <c r="I8" s="81" t="s">
        <v>6135</v>
      </c>
      <c r="J8" s="81">
        <v>45</v>
      </c>
      <c r="K8" s="62" t="s">
        <v>91</v>
      </c>
      <c r="L8" s="118" t="s">
        <v>6134</v>
      </c>
      <c r="N8" s="42" t="s">
        <v>59</v>
      </c>
      <c r="O8" s="34">
        <v>0</v>
      </c>
    </row>
    <row r="9" spans="1:15" s="14" customFormat="1" ht="25.8" x14ac:dyDescent="0.25">
      <c r="A9" s="13">
        <v>7</v>
      </c>
      <c r="B9" s="1" t="s">
        <v>6112</v>
      </c>
      <c r="C9" s="1" t="s">
        <v>6113</v>
      </c>
      <c r="D9" s="1" t="s">
        <v>945</v>
      </c>
      <c r="E9" s="1" t="s">
        <v>8</v>
      </c>
      <c r="F9" s="1" t="s">
        <v>946</v>
      </c>
      <c r="G9" s="1" t="s">
        <v>6114</v>
      </c>
      <c r="H9" s="55" t="s">
        <v>5973</v>
      </c>
      <c r="I9" s="81" t="s">
        <v>6137</v>
      </c>
      <c r="J9" s="81">
        <v>45</v>
      </c>
      <c r="K9" s="62" t="s">
        <v>61</v>
      </c>
      <c r="L9" s="118" t="s">
        <v>6136</v>
      </c>
      <c r="N9" s="42" t="s">
        <v>51</v>
      </c>
      <c r="O9" s="34">
        <v>0</v>
      </c>
    </row>
    <row r="10" spans="1:15" s="14" customFormat="1" ht="25.8" x14ac:dyDescent="0.25">
      <c r="A10" s="13">
        <v>8</v>
      </c>
      <c r="B10" s="1" t="s">
        <v>6115</v>
      </c>
      <c r="C10" s="1" t="s">
        <v>6116</v>
      </c>
      <c r="D10" s="1" t="s">
        <v>945</v>
      </c>
      <c r="E10" s="1" t="s">
        <v>8</v>
      </c>
      <c r="F10" s="1" t="s">
        <v>946</v>
      </c>
      <c r="G10" s="1" t="s">
        <v>6117</v>
      </c>
      <c r="H10" s="55" t="s">
        <v>5973</v>
      </c>
      <c r="I10" s="81" t="s">
        <v>6139</v>
      </c>
      <c r="J10" s="81">
        <v>45</v>
      </c>
      <c r="K10" s="62" t="s">
        <v>12</v>
      </c>
      <c r="L10" s="118" t="s">
        <v>6138</v>
      </c>
      <c r="N10" s="42" t="s">
        <v>49</v>
      </c>
      <c r="O10" s="34">
        <v>0</v>
      </c>
    </row>
    <row r="11" spans="1:15" s="14" customFormat="1" ht="25.8" x14ac:dyDescent="0.25">
      <c r="A11" s="13">
        <v>9</v>
      </c>
      <c r="B11" s="1" t="s">
        <v>6118</v>
      </c>
      <c r="C11" s="1" t="s">
        <v>6119</v>
      </c>
      <c r="D11" s="1" t="s">
        <v>945</v>
      </c>
      <c r="E11" s="1" t="s">
        <v>8</v>
      </c>
      <c r="F11" s="1" t="s">
        <v>946</v>
      </c>
      <c r="G11" s="1" t="s">
        <v>6120</v>
      </c>
      <c r="H11" s="55" t="s">
        <v>5973</v>
      </c>
      <c r="I11" s="81" t="s">
        <v>6141</v>
      </c>
      <c r="J11" s="81">
        <v>45</v>
      </c>
      <c r="K11" s="62" t="s">
        <v>15</v>
      </c>
      <c r="L11" s="118" t="s">
        <v>6140</v>
      </c>
      <c r="N11" s="42" t="s">
        <v>12</v>
      </c>
      <c r="O11" s="34">
        <v>1</v>
      </c>
    </row>
    <row r="12" spans="1:15" s="14" customFormat="1" ht="25.8" x14ac:dyDescent="0.25">
      <c r="A12" s="13">
        <v>10</v>
      </c>
      <c r="B12" s="1" t="s">
        <v>6121</v>
      </c>
      <c r="C12" s="1" t="s">
        <v>6122</v>
      </c>
      <c r="D12" s="1" t="s">
        <v>945</v>
      </c>
      <c r="E12" s="1" t="s">
        <v>8</v>
      </c>
      <c r="F12" s="1" t="s">
        <v>946</v>
      </c>
      <c r="G12" s="1" t="s">
        <v>6123</v>
      </c>
      <c r="H12" s="55" t="s">
        <v>5973</v>
      </c>
      <c r="I12" s="81" t="s">
        <v>6143</v>
      </c>
      <c r="J12" s="81">
        <v>45</v>
      </c>
      <c r="K12" s="62" t="s">
        <v>83</v>
      </c>
      <c r="L12" s="118" t="s">
        <v>6142</v>
      </c>
      <c r="N12" s="42" t="s">
        <v>15</v>
      </c>
      <c r="O12" s="34">
        <v>2</v>
      </c>
    </row>
    <row r="13" spans="1:15" s="14" customFormat="1" ht="25.8" x14ac:dyDescent="0.25">
      <c r="A13" s="12"/>
      <c r="B13" s="11"/>
      <c r="C13" s="11"/>
      <c r="D13" s="11"/>
      <c r="E13" s="11"/>
      <c r="F13" s="11"/>
      <c r="G13" s="11"/>
      <c r="H13" s="11"/>
      <c r="I13" s="37"/>
      <c r="J13" s="79"/>
      <c r="K13" s="70"/>
      <c r="L13" s="57"/>
      <c r="N13" s="42" t="s">
        <v>60</v>
      </c>
      <c r="O13" s="34">
        <v>0</v>
      </c>
    </row>
    <row r="14" spans="1:15" s="14" customFormat="1" ht="25.8" x14ac:dyDescent="0.25">
      <c r="A14" s="12"/>
      <c r="B14" s="11"/>
      <c r="C14" s="11"/>
      <c r="D14" s="11"/>
      <c r="E14" s="11"/>
      <c r="F14" s="11"/>
      <c r="G14" s="11"/>
      <c r="H14" s="11"/>
      <c r="I14" s="37"/>
      <c r="J14" s="79"/>
      <c r="K14" s="70"/>
      <c r="L14" s="57"/>
      <c r="N14" s="42" t="s">
        <v>16</v>
      </c>
      <c r="O14" s="34">
        <v>0</v>
      </c>
    </row>
    <row r="15" spans="1:15" s="14" customFormat="1" ht="25.8" x14ac:dyDescent="0.25">
      <c r="A15" s="12"/>
      <c r="B15" s="11"/>
      <c r="C15" s="11"/>
      <c r="D15" s="11"/>
      <c r="E15" s="11"/>
      <c r="F15" s="11"/>
      <c r="G15" s="11"/>
      <c r="H15" s="11"/>
      <c r="I15" s="37"/>
      <c r="J15" s="79"/>
      <c r="K15" s="70"/>
      <c r="L15" s="57"/>
      <c r="N15" s="42" t="s">
        <v>61</v>
      </c>
      <c r="O15" s="34">
        <v>3</v>
      </c>
    </row>
    <row r="16" spans="1:15" s="14" customFormat="1" ht="25.8" x14ac:dyDescent="0.25">
      <c r="A16" s="12"/>
      <c r="B16" s="11"/>
      <c r="C16" s="11"/>
      <c r="D16" s="11"/>
      <c r="E16" s="11"/>
      <c r="F16" s="11"/>
      <c r="G16" s="11"/>
      <c r="H16" s="11"/>
      <c r="I16" s="37"/>
      <c r="J16" s="79"/>
      <c r="K16" s="70"/>
      <c r="L16" s="57"/>
      <c r="N16" s="42" t="s">
        <v>62</v>
      </c>
      <c r="O16" s="34">
        <v>2</v>
      </c>
    </row>
    <row r="17" spans="1:15" s="14" customFormat="1" ht="25.8" x14ac:dyDescent="0.25">
      <c r="A17" s="12"/>
      <c r="B17" s="11"/>
      <c r="C17" s="11"/>
      <c r="D17" s="11"/>
      <c r="E17" s="11"/>
      <c r="F17" s="11"/>
      <c r="G17" s="11"/>
      <c r="H17" s="11"/>
      <c r="I17" s="37"/>
      <c r="J17" s="79"/>
      <c r="K17" s="70"/>
      <c r="L17" s="57"/>
      <c r="N17" s="42" t="s">
        <v>53</v>
      </c>
      <c r="O17" s="34">
        <v>0</v>
      </c>
    </row>
    <row r="18" spans="1:15" s="14" customFormat="1" ht="25.8" x14ac:dyDescent="0.25">
      <c r="A18" s="12"/>
      <c r="B18" s="11"/>
      <c r="C18" s="11"/>
      <c r="D18" s="11"/>
      <c r="E18" s="11"/>
      <c r="F18" s="11"/>
      <c r="G18" s="11"/>
      <c r="H18" s="11"/>
      <c r="I18" s="37"/>
      <c r="J18" s="79"/>
      <c r="K18" s="70"/>
      <c r="L18" s="57"/>
      <c r="N18" s="42" t="s">
        <v>63</v>
      </c>
      <c r="O18" s="34">
        <v>0</v>
      </c>
    </row>
    <row r="19" spans="1:15" s="14" customFormat="1" ht="25.8" x14ac:dyDescent="0.25">
      <c r="A19" s="12"/>
      <c r="B19" s="11"/>
      <c r="C19" s="11"/>
      <c r="D19" s="11"/>
      <c r="E19" s="11"/>
      <c r="F19" s="11"/>
      <c r="G19" s="11"/>
      <c r="H19" s="11"/>
      <c r="I19" s="37"/>
      <c r="J19" s="79"/>
      <c r="K19" s="70"/>
      <c r="L19" s="57"/>
      <c r="N19" s="42" t="s">
        <v>20</v>
      </c>
      <c r="O19" s="34">
        <v>0</v>
      </c>
    </row>
    <row r="20" spans="1:15" s="14" customFormat="1" ht="25.8" x14ac:dyDescent="0.25">
      <c r="A20" s="12"/>
      <c r="B20" s="11"/>
      <c r="C20" s="11"/>
      <c r="D20" s="11"/>
      <c r="E20" s="11"/>
      <c r="F20" s="11"/>
      <c r="G20" s="11"/>
      <c r="H20" s="11"/>
      <c r="I20" s="37"/>
      <c r="J20" s="79"/>
      <c r="K20" s="70"/>
      <c r="L20" s="57"/>
      <c r="N20" s="42" t="s">
        <v>64</v>
      </c>
      <c r="O20" s="34">
        <v>0</v>
      </c>
    </row>
    <row r="21" spans="1:15" s="14" customFormat="1" ht="25.8" x14ac:dyDescent="0.25">
      <c r="A21" s="12"/>
      <c r="B21" s="11"/>
      <c r="C21" s="11"/>
      <c r="D21" s="11"/>
      <c r="E21" s="11"/>
      <c r="F21" s="11"/>
      <c r="G21" s="11"/>
      <c r="H21" s="11"/>
      <c r="I21" s="37"/>
      <c r="J21" s="79"/>
      <c r="K21" s="70"/>
      <c r="L21" s="57"/>
      <c r="N21" s="42" t="s">
        <v>22</v>
      </c>
      <c r="O21" s="34">
        <v>0</v>
      </c>
    </row>
    <row r="22" spans="1:15" s="14" customFormat="1" ht="25.8" x14ac:dyDescent="0.25">
      <c r="A22" s="12"/>
      <c r="B22" s="11"/>
      <c r="C22" s="11"/>
      <c r="D22" s="11"/>
      <c r="E22" s="11"/>
      <c r="F22" s="11"/>
      <c r="G22" s="11"/>
      <c r="H22" s="11"/>
      <c r="I22" s="37"/>
      <c r="J22" s="79"/>
      <c r="K22" s="70"/>
      <c r="L22" s="57"/>
      <c r="N22" s="42" t="s">
        <v>65</v>
      </c>
      <c r="O22" s="34">
        <v>0</v>
      </c>
    </row>
    <row r="23" spans="1:15" s="14" customFormat="1" ht="25.8" x14ac:dyDescent="0.25">
      <c r="A23" s="12"/>
      <c r="B23" s="11"/>
      <c r="C23" s="11"/>
      <c r="D23" s="11"/>
      <c r="E23" s="11"/>
      <c r="F23" s="11"/>
      <c r="G23" s="11"/>
      <c r="H23" s="11"/>
      <c r="I23" s="37"/>
      <c r="J23" s="79"/>
      <c r="K23" s="70"/>
      <c r="L23" s="57"/>
      <c r="N23" s="42" t="s">
        <v>66</v>
      </c>
      <c r="O23" s="34">
        <v>0</v>
      </c>
    </row>
    <row r="24" spans="1:15" s="14" customFormat="1" ht="25.8" x14ac:dyDescent="0.25">
      <c r="A24" s="12"/>
      <c r="B24" s="11"/>
      <c r="C24" s="11"/>
      <c r="D24" s="11"/>
      <c r="E24" s="11"/>
      <c r="F24" s="11"/>
      <c r="G24" s="11"/>
      <c r="H24" s="11"/>
      <c r="I24" s="37"/>
      <c r="J24" s="79"/>
      <c r="K24" s="70"/>
      <c r="L24" s="57"/>
      <c r="N24" s="42" t="s">
        <v>67</v>
      </c>
      <c r="O24" s="34">
        <v>0</v>
      </c>
    </row>
    <row r="25" spans="1:15" s="14" customFormat="1" ht="25.8" x14ac:dyDescent="0.25">
      <c r="A25" s="12"/>
      <c r="B25" s="11"/>
      <c r="C25" s="11"/>
      <c r="D25" s="11"/>
      <c r="E25" s="11"/>
      <c r="F25" s="11"/>
      <c r="G25" s="11"/>
      <c r="H25" s="11"/>
      <c r="I25" s="37"/>
      <c r="J25" s="79"/>
      <c r="K25" s="70"/>
      <c r="L25" s="57"/>
      <c r="N25" s="42" t="s">
        <v>68</v>
      </c>
      <c r="O25" s="34">
        <v>0</v>
      </c>
    </row>
    <row r="26" spans="1:15" s="14" customFormat="1" ht="25.8" x14ac:dyDescent="0.25">
      <c r="A26" s="12"/>
      <c r="B26" s="11"/>
      <c r="C26" s="11"/>
      <c r="D26" s="11"/>
      <c r="E26" s="11"/>
      <c r="F26" s="11"/>
      <c r="G26" s="11"/>
      <c r="H26" s="11"/>
      <c r="I26" s="37"/>
      <c r="J26" s="79"/>
      <c r="K26" s="70"/>
      <c r="L26" s="57"/>
      <c r="N26" s="42" t="s">
        <v>69</v>
      </c>
      <c r="O26" s="34">
        <v>0</v>
      </c>
    </row>
    <row r="27" spans="1:15" s="14" customFormat="1" ht="25.8" x14ac:dyDescent="0.25">
      <c r="A27" s="12"/>
      <c r="B27" s="11"/>
      <c r="C27" s="11"/>
      <c r="D27" s="11"/>
      <c r="E27" s="11"/>
      <c r="F27" s="11"/>
      <c r="G27" s="11"/>
      <c r="H27" s="11"/>
      <c r="I27" s="37"/>
      <c r="J27" s="79"/>
      <c r="K27" s="70"/>
      <c r="L27" s="57"/>
      <c r="N27" s="42" t="s">
        <v>70</v>
      </c>
      <c r="O27" s="34">
        <v>0</v>
      </c>
    </row>
    <row r="28" spans="1:15" s="14" customFormat="1" ht="25.8" x14ac:dyDescent="0.25">
      <c r="A28" s="12"/>
      <c r="B28" s="11"/>
      <c r="C28" s="11"/>
      <c r="D28" s="11"/>
      <c r="E28" s="11"/>
      <c r="F28" s="11"/>
      <c r="G28" s="11"/>
      <c r="H28" s="11"/>
      <c r="I28" s="37"/>
      <c r="J28" s="79"/>
      <c r="K28" s="70"/>
      <c r="L28" s="57"/>
      <c r="N28" s="42" t="s">
        <v>71</v>
      </c>
      <c r="O28" s="34">
        <v>0</v>
      </c>
    </row>
    <row r="29" spans="1:15" s="14" customFormat="1" ht="25.8" x14ac:dyDescent="0.25">
      <c r="A29" s="12"/>
      <c r="B29" s="11"/>
      <c r="C29" s="11"/>
      <c r="D29" s="11"/>
      <c r="E29" s="11"/>
      <c r="F29" s="11"/>
      <c r="G29" s="11"/>
      <c r="H29" s="11"/>
      <c r="I29" s="37"/>
      <c r="J29" s="79"/>
      <c r="K29" s="70"/>
      <c r="L29" s="57"/>
      <c r="N29" s="42" t="s">
        <v>72</v>
      </c>
      <c r="O29" s="34">
        <v>0</v>
      </c>
    </row>
    <row r="30" spans="1:15" s="14" customFormat="1" ht="25.8" x14ac:dyDescent="0.25">
      <c r="A30" s="12"/>
      <c r="B30" s="11"/>
      <c r="C30" s="11"/>
      <c r="D30" s="11"/>
      <c r="E30" s="11"/>
      <c r="F30" s="11"/>
      <c r="G30" s="11"/>
      <c r="H30" s="11"/>
      <c r="I30" s="37"/>
      <c r="J30" s="79"/>
      <c r="K30" s="70"/>
      <c r="L30" s="57"/>
      <c r="N30" s="42" t="s">
        <v>73</v>
      </c>
      <c r="O30" s="34">
        <v>0</v>
      </c>
    </row>
    <row r="31" spans="1:15" s="14" customFormat="1" ht="25.8" x14ac:dyDescent="0.25">
      <c r="A31" s="12"/>
      <c r="B31" s="11"/>
      <c r="C31" s="11"/>
      <c r="D31" s="11"/>
      <c r="E31" s="11"/>
      <c r="F31" s="11"/>
      <c r="G31" s="11"/>
      <c r="H31" s="11"/>
      <c r="I31" s="37"/>
      <c r="J31" s="79"/>
      <c r="K31" s="70"/>
      <c r="L31" s="57"/>
      <c r="N31" s="42" t="s">
        <v>74</v>
      </c>
      <c r="O31" s="34">
        <v>0</v>
      </c>
    </row>
    <row r="32" spans="1:15" s="14" customFormat="1" ht="25.8" x14ac:dyDescent="0.25">
      <c r="A32" s="12"/>
      <c r="B32" s="11"/>
      <c r="C32" s="11"/>
      <c r="D32" s="11"/>
      <c r="E32" s="11"/>
      <c r="F32" s="11"/>
      <c r="G32" s="11"/>
      <c r="H32" s="11"/>
      <c r="I32" s="37"/>
      <c r="J32" s="79"/>
      <c r="K32" s="70"/>
      <c r="L32" s="57"/>
      <c r="N32" s="42" t="s">
        <v>75</v>
      </c>
      <c r="O32" s="34">
        <v>0</v>
      </c>
    </row>
    <row r="33" spans="1:15" s="14" customFormat="1" ht="25.8" x14ac:dyDescent="0.25">
      <c r="A33" s="12"/>
      <c r="B33" s="11"/>
      <c r="C33" s="11"/>
      <c r="D33" s="11"/>
      <c r="E33" s="11"/>
      <c r="F33" s="11"/>
      <c r="G33" s="11"/>
      <c r="H33" s="11"/>
      <c r="I33" s="37"/>
      <c r="J33" s="79"/>
      <c r="K33" s="70"/>
      <c r="L33" s="57"/>
      <c r="N33" s="42" t="s">
        <v>76</v>
      </c>
      <c r="O33" s="34">
        <v>0</v>
      </c>
    </row>
    <row r="34" spans="1:15" s="14" customFormat="1" ht="25.8" x14ac:dyDescent="0.25">
      <c r="A34" s="12"/>
      <c r="B34" s="11"/>
      <c r="C34" s="11"/>
      <c r="D34" s="11"/>
      <c r="E34" s="11"/>
      <c r="F34" s="11"/>
      <c r="G34" s="11"/>
      <c r="H34" s="11"/>
      <c r="I34" s="37"/>
      <c r="J34" s="79"/>
      <c r="K34" s="70"/>
      <c r="L34" s="57"/>
      <c r="N34" s="42" t="s">
        <v>77</v>
      </c>
      <c r="O34" s="34">
        <v>0</v>
      </c>
    </row>
    <row r="35" spans="1:15" s="14" customFormat="1" ht="25.8" x14ac:dyDescent="0.25">
      <c r="A35" s="12"/>
      <c r="B35" s="11"/>
      <c r="C35" s="11"/>
      <c r="D35" s="11"/>
      <c r="E35" s="11"/>
      <c r="F35" s="11"/>
      <c r="G35" s="11"/>
      <c r="H35" s="11"/>
      <c r="I35" s="37"/>
      <c r="J35" s="79"/>
      <c r="K35" s="70"/>
      <c r="L35" s="57"/>
      <c r="N35" s="42" t="s">
        <v>78</v>
      </c>
      <c r="O35" s="34">
        <v>0</v>
      </c>
    </row>
    <row r="36" spans="1:15" s="14" customFormat="1" ht="25.8" x14ac:dyDescent="0.25">
      <c r="A36" s="12"/>
      <c r="B36" s="11"/>
      <c r="C36" s="11"/>
      <c r="D36" s="11"/>
      <c r="E36" s="11"/>
      <c r="F36" s="11"/>
      <c r="G36" s="11"/>
      <c r="H36" s="11"/>
      <c r="I36" s="37"/>
      <c r="J36" s="79"/>
      <c r="K36" s="70"/>
      <c r="L36" s="57"/>
      <c r="N36" s="42" t="s">
        <v>79</v>
      </c>
      <c r="O36" s="34">
        <v>0</v>
      </c>
    </row>
    <row r="37" spans="1:15" s="14" customFormat="1" ht="25.8" x14ac:dyDescent="0.25">
      <c r="A37" s="12"/>
      <c r="B37" s="11"/>
      <c r="C37" s="11"/>
      <c r="D37" s="11"/>
      <c r="E37" s="11"/>
      <c r="F37" s="11"/>
      <c r="G37" s="11"/>
      <c r="H37" s="11"/>
      <c r="I37" s="37"/>
      <c r="J37" s="79"/>
      <c r="K37" s="70"/>
      <c r="L37" s="57"/>
      <c r="N37" s="42" t="s">
        <v>80</v>
      </c>
      <c r="O37" s="34">
        <v>0</v>
      </c>
    </row>
    <row r="38" spans="1:15" s="14" customFormat="1" ht="25.8" x14ac:dyDescent="0.25">
      <c r="A38" s="12"/>
      <c r="B38" s="11"/>
      <c r="C38" s="11"/>
      <c r="D38" s="11"/>
      <c r="E38" s="11"/>
      <c r="F38" s="11"/>
      <c r="G38" s="11"/>
      <c r="H38" s="11"/>
      <c r="I38" s="37"/>
      <c r="J38" s="79"/>
      <c r="K38" s="70"/>
      <c r="L38" s="57"/>
      <c r="N38" s="42" t="s">
        <v>81</v>
      </c>
      <c r="O38" s="34">
        <v>0</v>
      </c>
    </row>
    <row r="39" spans="1:15" s="14" customFormat="1" ht="25.8" x14ac:dyDescent="0.25">
      <c r="A39" s="12"/>
      <c r="B39" s="11"/>
      <c r="C39" s="11"/>
      <c r="D39" s="11"/>
      <c r="E39" s="11"/>
      <c r="F39" s="11"/>
      <c r="G39" s="11"/>
      <c r="H39" s="11"/>
      <c r="I39" s="37"/>
      <c r="J39" s="79"/>
      <c r="K39" s="70"/>
      <c r="L39" s="57"/>
      <c r="N39" s="42" t="s">
        <v>82</v>
      </c>
      <c r="O39" s="34">
        <v>0</v>
      </c>
    </row>
    <row r="40" spans="1:15" s="14" customFormat="1" ht="25.8" x14ac:dyDescent="0.25">
      <c r="A40" s="12"/>
      <c r="B40" s="11"/>
      <c r="C40" s="11"/>
      <c r="D40" s="11"/>
      <c r="E40" s="11"/>
      <c r="F40" s="11"/>
      <c r="G40" s="11"/>
      <c r="H40" s="11"/>
      <c r="I40" s="37"/>
      <c r="J40" s="79"/>
      <c r="K40" s="70"/>
      <c r="L40" s="57"/>
      <c r="N40" s="42" t="s">
        <v>83</v>
      </c>
      <c r="O40" s="34">
        <v>0</v>
      </c>
    </row>
    <row r="41" spans="1:15" s="14" customFormat="1" ht="25.8" x14ac:dyDescent="0.25">
      <c r="A41" s="12"/>
      <c r="B41" s="11"/>
      <c r="C41" s="11"/>
      <c r="D41" s="11"/>
      <c r="E41" s="11"/>
      <c r="F41" s="11"/>
      <c r="G41" s="11"/>
      <c r="H41" s="11"/>
      <c r="I41" s="37"/>
      <c r="J41" s="79"/>
      <c r="K41" s="70"/>
      <c r="L41" s="57"/>
      <c r="N41" s="42" t="s">
        <v>84</v>
      </c>
      <c r="O41" s="34">
        <v>0</v>
      </c>
    </row>
    <row r="42" spans="1:15" s="14" customFormat="1" ht="25.8" x14ac:dyDescent="0.25">
      <c r="A42" s="12"/>
      <c r="B42" s="11"/>
      <c r="C42" s="11"/>
      <c r="D42" s="11"/>
      <c r="E42" s="11"/>
      <c r="F42" s="11"/>
      <c r="G42" s="11"/>
      <c r="H42" s="11"/>
      <c r="I42" s="37"/>
      <c r="J42" s="79"/>
      <c r="K42" s="70"/>
      <c r="L42" s="57"/>
      <c r="N42" s="42" t="s">
        <v>85</v>
      </c>
      <c r="O42" s="34">
        <v>0</v>
      </c>
    </row>
    <row r="43" spans="1:15" s="14" customFormat="1" ht="25.8" x14ac:dyDescent="0.25">
      <c r="A43" s="12"/>
      <c r="B43" s="11"/>
      <c r="C43" s="11"/>
      <c r="D43" s="11"/>
      <c r="E43" s="11"/>
      <c r="F43" s="11"/>
      <c r="G43" s="11"/>
      <c r="H43" s="11"/>
      <c r="I43" s="37"/>
      <c r="J43" s="79"/>
      <c r="K43" s="70"/>
      <c r="L43" s="57"/>
      <c r="N43" s="42" t="s">
        <v>24</v>
      </c>
      <c r="O43" s="34">
        <v>0</v>
      </c>
    </row>
    <row r="44" spans="1:15" s="14" customFormat="1" ht="25.8" x14ac:dyDescent="0.25">
      <c r="A44" s="12"/>
      <c r="B44" s="11"/>
      <c r="C44" s="11"/>
      <c r="D44" s="11"/>
      <c r="E44" s="11"/>
      <c r="F44" s="11"/>
      <c r="G44" s="11"/>
      <c r="H44" s="11"/>
      <c r="I44" s="37"/>
      <c r="J44" s="79"/>
      <c r="K44" s="70"/>
      <c r="L44" s="57"/>
      <c r="N44" s="42" t="s">
        <v>86</v>
      </c>
      <c r="O44" s="34">
        <v>0</v>
      </c>
    </row>
    <row r="45" spans="1:15" s="14" customFormat="1" ht="25.8" x14ac:dyDescent="0.25">
      <c r="A45" s="12"/>
      <c r="B45" s="11"/>
      <c r="C45" s="11"/>
      <c r="D45" s="11"/>
      <c r="E45" s="11"/>
      <c r="F45" s="11"/>
      <c r="G45" s="11"/>
      <c r="H45" s="11"/>
      <c r="I45" s="37"/>
      <c r="J45" s="79"/>
      <c r="K45" s="70"/>
      <c r="L45" s="57"/>
      <c r="N45" s="42" t="s">
        <v>87</v>
      </c>
      <c r="O45" s="34">
        <v>0</v>
      </c>
    </row>
    <row r="46" spans="1:15" s="14" customFormat="1" ht="25.8" x14ac:dyDescent="0.25">
      <c r="A46" s="12"/>
      <c r="B46" s="11"/>
      <c r="C46" s="11"/>
      <c r="D46" s="11"/>
      <c r="E46" s="11"/>
      <c r="F46" s="11"/>
      <c r="G46" s="11"/>
      <c r="H46" s="11"/>
      <c r="I46" s="37"/>
      <c r="J46" s="79"/>
      <c r="K46" s="70"/>
      <c r="L46" s="57"/>
      <c r="N46" s="42" t="s">
        <v>88</v>
      </c>
      <c r="O46" s="34">
        <v>0</v>
      </c>
    </row>
    <row r="47" spans="1:15" s="14" customFormat="1" ht="25.8" x14ac:dyDescent="0.25">
      <c r="A47" s="12"/>
      <c r="B47" s="11"/>
      <c r="C47" s="11"/>
      <c r="D47" s="11"/>
      <c r="E47" s="11"/>
      <c r="F47" s="11"/>
      <c r="G47" s="11"/>
      <c r="H47" s="11"/>
      <c r="I47" s="37"/>
      <c r="J47" s="79"/>
      <c r="K47" s="70"/>
      <c r="L47" s="57"/>
      <c r="N47" s="42" t="s">
        <v>89</v>
      </c>
      <c r="O47" s="34">
        <v>0</v>
      </c>
    </row>
    <row r="48" spans="1:15" s="14" customFormat="1" ht="25.8" x14ac:dyDescent="0.25">
      <c r="A48" s="12"/>
      <c r="B48" s="11"/>
      <c r="C48" s="11"/>
      <c r="D48" s="11"/>
      <c r="E48" s="11"/>
      <c r="F48" s="11"/>
      <c r="G48" s="11"/>
      <c r="H48" s="11"/>
      <c r="I48" s="37"/>
      <c r="J48" s="79"/>
      <c r="K48" s="70"/>
      <c r="L48" s="57"/>
      <c r="N48" s="42" t="s">
        <v>94</v>
      </c>
      <c r="O48" s="34">
        <v>0</v>
      </c>
    </row>
    <row r="49" spans="1:15" s="14" customFormat="1" ht="25.8" x14ac:dyDescent="0.25">
      <c r="A49" s="12"/>
      <c r="B49" s="11"/>
      <c r="C49" s="11"/>
      <c r="D49" s="11"/>
      <c r="E49" s="11"/>
      <c r="F49" s="11"/>
      <c r="G49" s="11"/>
      <c r="H49" s="11"/>
      <c r="I49" s="37"/>
      <c r="J49" s="79"/>
      <c r="K49" s="70"/>
      <c r="L49" s="57"/>
      <c r="N49" s="42" t="s">
        <v>90</v>
      </c>
      <c r="O49" s="34">
        <v>0</v>
      </c>
    </row>
    <row r="50" spans="1:15" s="14" customFormat="1" ht="25.8" x14ac:dyDescent="0.25">
      <c r="A50" s="12"/>
      <c r="B50" s="11"/>
      <c r="C50" s="11"/>
      <c r="D50" s="11"/>
      <c r="E50" s="11"/>
      <c r="F50" s="11"/>
      <c r="G50" s="11"/>
      <c r="H50" s="11"/>
      <c r="I50" s="37"/>
      <c r="J50" s="79"/>
      <c r="K50" s="70"/>
      <c r="L50" s="57"/>
      <c r="N50" s="42" t="s">
        <v>93</v>
      </c>
      <c r="O50" s="34">
        <v>0</v>
      </c>
    </row>
    <row r="51" spans="1:15" s="14" customFormat="1" ht="25.8" x14ac:dyDescent="0.25">
      <c r="A51" s="12"/>
      <c r="B51" s="11"/>
      <c r="C51" s="11"/>
      <c r="D51" s="11"/>
      <c r="E51" s="11"/>
      <c r="F51" s="11"/>
      <c r="G51" s="11"/>
      <c r="H51" s="11"/>
      <c r="I51" s="37"/>
      <c r="J51" s="79"/>
      <c r="K51" s="70"/>
      <c r="L51" s="57"/>
      <c r="N51" s="42" t="s">
        <v>91</v>
      </c>
      <c r="O51" s="34">
        <v>2</v>
      </c>
    </row>
    <row r="52" spans="1:15" s="14" customFormat="1" ht="25.8" x14ac:dyDescent="0.25">
      <c r="A52" s="12"/>
      <c r="B52" s="11"/>
      <c r="C52" s="11"/>
      <c r="D52" s="11"/>
      <c r="E52" s="11"/>
      <c r="F52" s="11"/>
      <c r="G52" s="11"/>
      <c r="H52" s="11"/>
      <c r="I52" s="37"/>
      <c r="J52" s="79"/>
      <c r="K52" s="70"/>
      <c r="L52" s="57"/>
      <c r="N52" s="42" t="s">
        <v>45</v>
      </c>
      <c r="O52" s="34">
        <v>0</v>
      </c>
    </row>
    <row r="53" spans="1:15" s="14" customFormat="1" ht="25.8" x14ac:dyDescent="0.25">
      <c r="A53" s="12"/>
      <c r="B53" s="11"/>
      <c r="C53" s="11"/>
      <c r="D53" s="11"/>
      <c r="E53" s="11"/>
      <c r="F53" s="11"/>
      <c r="G53" s="11"/>
      <c r="H53" s="11"/>
      <c r="I53" s="37"/>
      <c r="J53" s="79"/>
      <c r="K53" s="70"/>
      <c r="L53" s="57"/>
      <c r="N53" s="42" t="s">
        <v>92</v>
      </c>
      <c r="O53" s="34">
        <v>0</v>
      </c>
    </row>
    <row r="54" spans="1:15" s="14" customFormat="1" ht="25.8" x14ac:dyDescent="0.25">
      <c r="A54" s="12"/>
      <c r="B54" s="11"/>
      <c r="C54" s="11"/>
      <c r="D54" s="11"/>
      <c r="E54" s="11"/>
      <c r="F54" s="11"/>
      <c r="G54" s="11"/>
      <c r="H54" s="11"/>
      <c r="I54" s="37"/>
      <c r="J54" s="79"/>
      <c r="K54" s="70"/>
      <c r="L54" s="57"/>
      <c r="N54" s="42" t="s">
        <v>52</v>
      </c>
      <c r="O54" s="34">
        <v>0</v>
      </c>
    </row>
    <row r="55" spans="1:15" s="14" customFormat="1" ht="25.8" x14ac:dyDescent="0.25">
      <c r="A55" s="12"/>
      <c r="B55" s="11"/>
      <c r="C55" s="11"/>
      <c r="D55" s="11"/>
      <c r="E55" s="11"/>
      <c r="F55" s="11"/>
      <c r="G55" s="11"/>
      <c r="H55" s="11"/>
      <c r="I55" s="37"/>
      <c r="J55" s="79"/>
      <c r="K55" s="70"/>
      <c r="L55" s="57"/>
      <c r="N55" s="42" t="s">
        <v>95</v>
      </c>
      <c r="O55" s="34">
        <v>0</v>
      </c>
    </row>
    <row r="56" spans="1:15" s="14" customFormat="1" ht="25.8" x14ac:dyDescent="0.25">
      <c r="A56" s="12"/>
      <c r="B56" s="11"/>
      <c r="C56" s="11"/>
      <c r="D56" s="11"/>
      <c r="E56" s="11"/>
      <c r="F56" s="11"/>
      <c r="G56" s="11"/>
      <c r="H56" s="11"/>
      <c r="I56" s="37"/>
      <c r="J56" s="79"/>
      <c r="K56" s="70"/>
      <c r="L56" s="57"/>
      <c r="N56" s="42" t="s">
        <v>25</v>
      </c>
      <c r="O56" s="34">
        <v>0</v>
      </c>
    </row>
    <row r="57" spans="1:15" s="14" customFormat="1" ht="27" thickBot="1" x14ac:dyDescent="0.3">
      <c r="A57" s="12"/>
      <c r="B57" s="11"/>
      <c r="C57" s="11"/>
      <c r="D57" s="11"/>
      <c r="E57" s="11"/>
      <c r="F57" s="11"/>
      <c r="G57" s="11"/>
      <c r="H57" s="11"/>
      <c r="I57" s="37"/>
      <c r="J57" s="79"/>
      <c r="K57" s="70"/>
      <c r="L57" s="57"/>
      <c r="N57" s="41"/>
      <c r="O57" s="35">
        <f>SUM(O3:O56)</f>
        <v>10</v>
      </c>
    </row>
    <row r="58" spans="1:15" s="14" customFormat="1" ht="24" thickTop="1" x14ac:dyDescent="0.25">
      <c r="A58" s="12"/>
      <c r="B58" s="11"/>
      <c r="C58" s="11"/>
      <c r="D58" s="11"/>
      <c r="E58" s="11"/>
      <c r="F58" s="11"/>
      <c r="G58" s="11"/>
      <c r="H58" s="11"/>
      <c r="I58" s="37"/>
      <c r="J58" s="79"/>
      <c r="K58" s="70"/>
      <c r="L58" s="57"/>
      <c r="N58" s="41"/>
      <c r="O58" s="11"/>
    </row>
    <row r="59" spans="1:15" s="14" customFormat="1" x14ac:dyDescent="0.25">
      <c r="A59" s="12"/>
      <c r="B59" s="11"/>
      <c r="C59" s="11"/>
      <c r="D59" s="11"/>
      <c r="E59" s="11"/>
      <c r="F59" s="11"/>
      <c r="G59" s="11"/>
      <c r="H59" s="11"/>
      <c r="I59" s="37"/>
      <c r="J59" s="79"/>
      <c r="K59" s="70"/>
      <c r="L59" s="57"/>
      <c r="N59" s="41"/>
      <c r="O59" s="11"/>
    </row>
    <row r="60" spans="1:15" s="14" customFormat="1" x14ac:dyDescent="0.25">
      <c r="A60" s="12"/>
      <c r="B60" s="11"/>
      <c r="C60" s="11"/>
      <c r="D60" s="11"/>
      <c r="E60" s="11"/>
      <c r="F60" s="11"/>
      <c r="G60" s="11"/>
      <c r="H60" s="11"/>
      <c r="I60" s="37"/>
      <c r="J60" s="79"/>
      <c r="K60" s="70"/>
      <c r="L60" s="57"/>
      <c r="N60" s="41"/>
      <c r="O60" s="11"/>
    </row>
    <row r="61" spans="1:15" s="14" customFormat="1" x14ac:dyDescent="0.25">
      <c r="A61" s="12"/>
      <c r="B61" s="11"/>
      <c r="C61" s="11"/>
      <c r="D61" s="11"/>
      <c r="E61" s="11"/>
      <c r="F61" s="11"/>
      <c r="G61" s="11"/>
      <c r="H61" s="11"/>
      <c r="I61" s="37"/>
      <c r="J61" s="79"/>
      <c r="K61" s="70"/>
      <c r="L61" s="57"/>
      <c r="N61" s="41"/>
      <c r="O61" s="11"/>
    </row>
    <row r="62" spans="1:15" s="14" customFormat="1" x14ac:dyDescent="0.25">
      <c r="A62" s="12"/>
      <c r="B62" s="11"/>
      <c r="C62" s="11"/>
      <c r="D62" s="11"/>
      <c r="E62" s="11"/>
      <c r="F62" s="11"/>
      <c r="G62" s="11"/>
      <c r="H62" s="11"/>
      <c r="I62" s="37"/>
      <c r="J62" s="79"/>
      <c r="K62" s="70"/>
      <c r="L62" s="57"/>
      <c r="N62" s="41"/>
      <c r="O62" s="11"/>
    </row>
    <row r="63" spans="1:15" s="14" customFormat="1" x14ac:dyDescent="0.25">
      <c r="A63" s="12"/>
      <c r="B63" s="11"/>
      <c r="C63" s="11"/>
      <c r="D63" s="11"/>
      <c r="E63" s="11"/>
      <c r="F63" s="11"/>
      <c r="G63" s="11"/>
      <c r="H63" s="11"/>
      <c r="I63" s="37"/>
      <c r="J63" s="79"/>
      <c r="K63" s="70"/>
      <c r="L63" s="57"/>
      <c r="N63" s="41"/>
      <c r="O63" s="11"/>
    </row>
    <row r="64" spans="1:15" s="14" customFormat="1" x14ac:dyDescent="0.25">
      <c r="A64" s="12"/>
      <c r="B64" s="11"/>
      <c r="C64" s="11"/>
      <c r="D64" s="11"/>
      <c r="E64" s="11"/>
      <c r="F64" s="11"/>
      <c r="G64" s="11"/>
      <c r="H64" s="11"/>
      <c r="I64" s="37"/>
      <c r="J64" s="79"/>
      <c r="K64" s="70"/>
      <c r="L64" s="57"/>
      <c r="N64" s="41"/>
      <c r="O64" s="11"/>
    </row>
    <row r="65" spans="1:15" s="14" customFormat="1" x14ac:dyDescent="0.25">
      <c r="A65" s="12"/>
      <c r="B65" s="11"/>
      <c r="C65" s="11"/>
      <c r="D65" s="11"/>
      <c r="E65" s="11"/>
      <c r="F65" s="11"/>
      <c r="G65" s="11"/>
      <c r="H65" s="11"/>
      <c r="I65" s="37"/>
      <c r="J65" s="79"/>
      <c r="K65" s="70"/>
      <c r="L65" s="57"/>
      <c r="N65" s="41"/>
      <c r="O65" s="11"/>
    </row>
    <row r="66" spans="1:15" s="14" customFormat="1" x14ac:dyDescent="0.25">
      <c r="A66" s="12"/>
      <c r="B66" s="11"/>
      <c r="C66" s="11"/>
      <c r="D66" s="11"/>
      <c r="E66" s="11"/>
      <c r="F66" s="11"/>
      <c r="G66" s="11"/>
      <c r="H66" s="11"/>
      <c r="I66" s="37"/>
      <c r="J66" s="79"/>
      <c r="K66" s="70"/>
      <c r="L66" s="57"/>
      <c r="N66" s="41"/>
      <c r="O66" s="11"/>
    </row>
    <row r="67" spans="1:15" s="14" customFormat="1" x14ac:dyDescent="0.25">
      <c r="A67" s="12"/>
      <c r="B67" s="11"/>
      <c r="C67" s="11"/>
      <c r="D67" s="11"/>
      <c r="E67" s="11"/>
      <c r="F67" s="11"/>
      <c r="G67" s="11"/>
      <c r="H67" s="11"/>
      <c r="I67" s="37"/>
      <c r="J67" s="79"/>
      <c r="K67" s="70"/>
      <c r="L67" s="57"/>
      <c r="N67" s="41"/>
      <c r="O67" s="11"/>
    </row>
    <row r="68" spans="1:15" s="14" customFormat="1" x14ac:dyDescent="0.25">
      <c r="A68" s="12"/>
      <c r="B68" s="11"/>
      <c r="C68" s="11"/>
      <c r="D68" s="11"/>
      <c r="E68" s="11"/>
      <c r="F68" s="11"/>
      <c r="G68" s="11"/>
      <c r="H68" s="11"/>
      <c r="I68" s="37"/>
      <c r="J68" s="79"/>
      <c r="K68" s="70"/>
      <c r="L68" s="57"/>
      <c r="N68" s="41"/>
      <c r="O68" s="11"/>
    </row>
    <row r="69" spans="1:15" s="14" customFormat="1" x14ac:dyDescent="0.25">
      <c r="A69" s="12"/>
      <c r="B69" s="11"/>
      <c r="C69" s="11"/>
      <c r="D69" s="11"/>
      <c r="E69" s="11"/>
      <c r="F69" s="11"/>
      <c r="G69" s="11"/>
      <c r="H69" s="11"/>
      <c r="I69" s="37"/>
      <c r="J69" s="79"/>
      <c r="K69" s="70"/>
      <c r="L69" s="57"/>
      <c r="N69" s="41"/>
      <c r="O69" s="11"/>
    </row>
    <row r="70" spans="1:15" s="14" customFormat="1" x14ac:dyDescent="0.25">
      <c r="A70" s="12"/>
      <c r="B70" s="11"/>
      <c r="C70" s="11"/>
      <c r="D70" s="11"/>
      <c r="E70" s="11"/>
      <c r="F70" s="11"/>
      <c r="G70" s="11"/>
      <c r="H70" s="11"/>
      <c r="I70" s="37"/>
      <c r="J70" s="79"/>
      <c r="K70" s="70"/>
      <c r="L70" s="57"/>
      <c r="N70" s="41"/>
      <c r="O70" s="11"/>
    </row>
    <row r="71" spans="1:15" s="14" customFormat="1" x14ac:dyDescent="0.25">
      <c r="A71" s="12"/>
      <c r="B71" s="11"/>
      <c r="C71" s="11"/>
      <c r="D71" s="11"/>
      <c r="E71" s="11"/>
      <c r="F71" s="11"/>
      <c r="G71" s="11"/>
      <c r="H71" s="11"/>
      <c r="I71" s="37"/>
      <c r="J71" s="79"/>
      <c r="K71" s="70"/>
      <c r="L71" s="57"/>
      <c r="N71" s="41"/>
      <c r="O71" s="11"/>
    </row>
    <row r="72" spans="1:15" s="14" customFormat="1" x14ac:dyDescent="0.25">
      <c r="A72" s="12"/>
      <c r="B72" s="11"/>
      <c r="C72" s="11"/>
      <c r="D72" s="11"/>
      <c r="E72" s="11"/>
      <c r="F72" s="11"/>
      <c r="G72" s="11"/>
      <c r="H72" s="11"/>
      <c r="I72" s="37"/>
      <c r="J72" s="79"/>
      <c r="K72" s="70"/>
      <c r="L72" s="57"/>
      <c r="N72" s="41"/>
      <c r="O72" s="11"/>
    </row>
    <row r="73" spans="1:15" s="14" customFormat="1" x14ac:dyDescent="0.25">
      <c r="A73" s="12"/>
      <c r="B73" s="11"/>
      <c r="C73" s="11"/>
      <c r="D73" s="11"/>
      <c r="E73" s="11"/>
      <c r="F73" s="11"/>
      <c r="G73" s="11"/>
      <c r="H73" s="11"/>
      <c r="I73" s="37"/>
      <c r="J73" s="79"/>
      <c r="K73" s="70"/>
      <c r="L73" s="57"/>
      <c r="N73" s="41"/>
      <c r="O73" s="11"/>
    </row>
    <row r="74" spans="1:15" s="14" customFormat="1" x14ac:dyDescent="0.25">
      <c r="A74" s="12"/>
      <c r="B74" s="11"/>
      <c r="C74" s="11"/>
      <c r="D74" s="11"/>
      <c r="E74" s="11"/>
      <c r="F74" s="11"/>
      <c r="G74" s="11"/>
      <c r="H74" s="11"/>
      <c r="I74" s="37"/>
      <c r="J74" s="79"/>
      <c r="K74" s="70"/>
      <c r="L74" s="57"/>
      <c r="N74" s="41"/>
      <c r="O74" s="11"/>
    </row>
    <row r="75" spans="1:15" s="14" customFormat="1" x14ac:dyDescent="0.25">
      <c r="A75" s="12"/>
      <c r="B75" s="11"/>
      <c r="C75" s="11"/>
      <c r="D75" s="11"/>
      <c r="E75" s="11"/>
      <c r="F75" s="11"/>
      <c r="G75" s="11"/>
      <c r="H75" s="11"/>
      <c r="I75" s="37"/>
      <c r="J75" s="79"/>
      <c r="K75" s="70"/>
      <c r="L75" s="57"/>
      <c r="N75" s="41"/>
      <c r="O75" s="11"/>
    </row>
    <row r="76" spans="1:15" s="14" customFormat="1" x14ac:dyDescent="0.25">
      <c r="A76" s="12"/>
      <c r="B76" s="11"/>
      <c r="C76" s="11"/>
      <c r="D76" s="11"/>
      <c r="E76" s="11"/>
      <c r="F76" s="11"/>
      <c r="G76" s="11"/>
      <c r="H76" s="11"/>
      <c r="I76" s="37"/>
      <c r="J76" s="79"/>
      <c r="K76" s="70"/>
      <c r="L76" s="57"/>
      <c r="N76" s="41"/>
      <c r="O76" s="11"/>
    </row>
    <row r="77" spans="1:15" s="14" customFormat="1" x14ac:dyDescent="0.25">
      <c r="A77" s="12"/>
      <c r="B77" s="11"/>
      <c r="C77" s="11"/>
      <c r="D77" s="11"/>
      <c r="E77" s="11"/>
      <c r="F77" s="11"/>
      <c r="G77" s="11"/>
      <c r="H77" s="11"/>
      <c r="I77" s="37"/>
      <c r="J77" s="79"/>
      <c r="K77" s="70"/>
      <c r="L77" s="57"/>
      <c r="N77" s="41"/>
      <c r="O77" s="11"/>
    </row>
    <row r="78" spans="1:15" s="14" customFormat="1" x14ac:dyDescent="0.25">
      <c r="A78" s="12"/>
      <c r="B78" s="11"/>
      <c r="C78" s="11"/>
      <c r="D78" s="11"/>
      <c r="E78" s="11"/>
      <c r="F78" s="11"/>
      <c r="G78" s="11"/>
      <c r="H78" s="11"/>
      <c r="I78" s="37"/>
      <c r="J78" s="79"/>
      <c r="K78" s="70"/>
      <c r="L78" s="57"/>
      <c r="N78" s="41"/>
      <c r="O78" s="11"/>
    </row>
    <row r="79" spans="1:15" s="14" customFormat="1" x14ac:dyDescent="0.25">
      <c r="A79" s="12"/>
      <c r="B79" s="11"/>
      <c r="C79" s="11"/>
      <c r="D79" s="11"/>
      <c r="E79" s="11"/>
      <c r="F79" s="11"/>
      <c r="G79" s="11"/>
      <c r="H79" s="11"/>
      <c r="I79" s="37"/>
      <c r="J79" s="79"/>
      <c r="K79" s="70"/>
      <c r="L79" s="57"/>
      <c r="M79" s="41"/>
      <c r="N79" s="11"/>
    </row>
    <row r="80" spans="1:15" s="14" customFormat="1" x14ac:dyDescent="0.25">
      <c r="A80" s="12"/>
      <c r="B80" s="11"/>
      <c r="C80" s="11"/>
      <c r="D80" s="11"/>
      <c r="E80" s="11"/>
      <c r="F80" s="11"/>
      <c r="G80" s="11"/>
      <c r="H80" s="11"/>
      <c r="I80" s="37"/>
      <c r="J80" s="79"/>
      <c r="K80" s="70"/>
      <c r="L80" s="57"/>
      <c r="M80" s="41"/>
      <c r="N80" s="11"/>
    </row>
    <row r="81" spans="1:14" s="14" customFormat="1" x14ac:dyDescent="0.25">
      <c r="A81" s="12"/>
      <c r="B81" s="11"/>
      <c r="C81" s="11"/>
      <c r="D81" s="11"/>
      <c r="E81" s="11"/>
      <c r="F81" s="11"/>
      <c r="G81" s="11"/>
      <c r="H81" s="11"/>
      <c r="I81" s="37"/>
      <c r="J81" s="79"/>
      <c r="K81" s="70"/>
      <c r="L81" s="57"/>
      <c r="M81" s="41"/>
      <c r="N81" s="11"/>
    </row>
    <row r="82" spans="1:14" s="14" customFormat="1" x14ac:dyDescent="0.25">
      <c r="A82" s="12"/>
      <c r="B82" s="11"/>
      <c r="C82" s="11"/>
      <c r="D82" s="11"/>
      <c r="E82" s="11"/>
      <c r="F82" s="11"/>
      <c r="G82" s="11"/>
      <c r="H82" s="11"/>
      <c r="I82" s="37"/>
      <c r="J82" s="79"/>
      <c r="K82" s="70"/>
      <c r="L82" s="57"/>
      <c r="M82" s="41"/>
      <c r="N82" s="11"/>
    </row>
    <row r="83" spans="1:14" s="14" customFormat="1" x14ac:dyDescent="0.25">
      <c r="A83" s="12"/>
      <c r="B83" s="11"/>
      <c r="C83" s="11"/>
      <c r="D83" s="11"/>
      <c r="E83" s="11"/>
      <c r="F83" s="11"/>
      <c r="G83" s="11"/>
      <c r="H83" s="11"/>
      <c r="I83" s="37"/>
      <c r="J83" s="79"/>
      <c r="K83" s="70"/>
      <c r="L83" s="57"/>
      <c r="M83" s="41"/>
      <c r="N83" s="11"/>
    </row>
    <row r="84" spans="1:14" x14ac:dyDescent="0.25">
      <c r="M84" s="41"/>
      <c r="N84" s="11"/>
    </row>
    <row r="85" spans="1:14" x14ac:dyDescent="0.25">
      <c r="M85" s="41"/>
      <c r="N85" s="11"/>
    </row>
    <row r="86" spans="1:14" x14ac:dyDescent="0.25">
      <c r="M86" s="41"/>
      <c r="N86" s="11"/>
    </row>
    <row r="87" spans="1:14" x14ac:dyDescent="0.25">
      <c r="M87" s="41"/>
      <c r="N87" s="11"/>
    </row>
    <row r="88" spans="1:14" x14ac:dyDescent="0.25">
      <c r="M88" s="41"/>
      <c r="N88" s="11"/>
    </row>
    <row r="89" spans="1:14" x14ac:dyDescent="0.25">
      <c r="M89" s="41"/>
      <c r="N89" s="11"/>
    </row>
    <row r="90" spans="1:14" x14ac:dyDescent="0.25">
      <c r="M90" s="41"/>
      <c r="N90" s="11"/>
    </row>
    <row r="91" spans="1:14" x14ac:dyDescent="0.25">
      <c r="N91" s="11"/>
    </row>
    <row r="92" spans="1:14" x14ac:dyDescent="0.25">
      <c r="N92" s="11"/>
    </row>
    <row r="93" spans="1:14" x14ac:dyDescent="0.25">
      <c r="N93" s="11"/>
    </row>
    <row r="94" spans="1:14" x14ac:dyDescent="0.25">
      <c r="N94" s="11"/>
    </row>
    <row r="95" spans="1:14" x14ac:dyDescent="0.25">
      <c r="N95" s="11"/>
    </row>
    <row r="96" spans="1:14" x14ac:dyDescent="0.25">
      <c r="N96" s="11"/>
    </row>
    <row r="97" spans="13:14" x14ac:dyDescent="0.25">
      <c r="N97" s="11"/>
    </row>
    <row r="98" spans="13:14" x14ac:dyDescent="0.25">
      <c r="N98" s="11"/>
    </row>
    <row r="99" spans="13:14" x14ac:dyDescent="0.25">
      <c r="N99" s="11"/>
    </row>
    <row r="100" spans="13:14" x14ac:dyDescent="0.25">
      <c r="N100" s="11"/>
    </row>
    <row r="101" spans="13:14" x14ac:dyDescent="0.25">
      <c r="N101" s="11"/>
    </row>
    <row r="102" spans="13:14" x14ac:dyDescent="0.25">
      <c r="N102" s="11"/>
    </row>
    <row r="103" spans="13:14" x14ac:dyDescent="0.25">
      <c r="N103" s="11"/>
    </row>
    <row r="104" spans="13:14" x14ac:dyDescent="0.25">
      <c r="M104" s="14"/>
      <c r="N104" s="11"/>
    </row>
    <row r="105" spans="13:14" x14ac:dyDescent="0.25">
      <c r="M105" s="14"/>
      <c r="N105" s="11"/>
    </row>
    <row r="106" spans="13:14" x14ac:dyDescent="0.25">
      <c r="M106" s="14"/>
      <c r="N106" s="11"/>
    </row>
    <row r="107" spans="13:14" x14ac:dyDescent="0.25">
      <c r="M107" s="14"/>
      <c r="N107" s="11"/>
    </row>
    <row r="108" spans="13:14" x14ac:dyDescent="0.25">
      <c r="M108" s="14"/>
      <c r="N108" s="11"/>
    </row>
    <row r="109" spans="13:14" x14ac:dyDescent="0.25">
      <c r="M109" s="14"/>
      <c r="N109" s="11"/>
    </row>
    <row r="110" spans="13:14" x14ac:dyDescent="0.25">
      <c r="M110" s="14"/>
      <c r="N110" s="11"/>
    </row>
    <row r="111" spans="13:14" x14ac:dyDescent="0.25">
      <c r="M111" s="14"/>
      <c r="N111" s="11"/>
    </row>
    <row r="112" spans="13:14" x14ac:dyDescent="0.25">
      <c r="M112" s="14"/>
      <c r="N112" s="11"/>
    </row>
    <row r="113" spans="13:14" x14ac:dyDescent="0.25">
      <c r="M113" s="14"/>
      <c r="N113" s="11"/>
    </row>
    <row r="114" spans="13:14" x14ac:dyDescent="0.25">
      <c r="M114" s="14"/>
      <c r="N114" s="11"/>
    </row>
    <row r="115" spans="13:14" x14ac:dyDescent="0.25">
      <c r="M115" s="14"/>
      <c r="N115" s="11"/>
    </row>
    <row r="116" spans="13:14" x14ac:dyDescent="0.25">
      <c r="M116" s="14"/>
      <c r="N116" s="11"/>
    </row>
    <row r="117" spans="13:14" x14ac:dyDescent="0.25">
      <c r="M117" s="14"/>
      <c r="N117" s="11"/>
    </row>
    <row r="118" spans="13:14" x14ac:dyDescent="0.25">
      <c r="M118" s="14"/>
      <c r="N118" s="11"/>
    </row>
    <row r="119" spans="13:14" x14ac:dyDescent="0.25">
      <c r="M119" s="14"/>
      <c r="N119" s="11"/>
    </row>
    <row r="120" spans="13:14" x14ac:dyDescent="0.25">
      <c r="M120" s="14"/>
      <c r="N120" s="11"/>
    </row>
    <row r="121" spans="13:14" x14ac:dyDescent="0.25">
      <c r="M121" s="14"/>
      <c r="N121" s="11"/>
    </row>
    <row r="122" spans="13:14" x14ac:dyDescent="0.25">
      <c r="M122" s="14"/>
      <c r="N122" s="11"/>
    </row>
    <row r="123" spans="13:14" x14ac:dyDescent="0.25">
      <c r="M123" s="14"/>
      <c r="N123" s="11"/>
    </row>
    <row r="124" spans="13:14" x14ac:dyDescent="0.25">
      <c r="M124" s="14"/>
      <c r="N124" s="11"/>
    </row>
    <row r="125" spans="13:14" x14ac:dyDescent="0.25">
      <c r="M125" s="14"/>
      <c r="N125" s="11"/>
    </row>
    <row r="126" spans="13:14" ht="28.2" customHeight="1" x14ac:dyDescent="0.25">
      <c r="M126" s="14"/>
    </row>
    <row r="127" spans="13:14" ht="45" customHeight="1" x14ac:dyDescent="0.25">
      <c r="M127" s="14"/>
    </row>
    <row r="128" spans="13:14" ht="45" customHeight="1" x14ac:dyDescent="0.25">
      <c r="M128" s="14"/>
    </row>
    <row r="129" spans="13:13" ht="45" customHeight="1" x14ac:dyDescent="0.25">
      <c r="M129" s="14"/>
    </row>
    <row r="130" spans="13:13" ht="45" customHeight="1" x14ac:dyDescent="0.25">
      <c r="M130" s="14"/>
    </row>
    <row r="131" spans="13:13" ht="45" customHeight="1" x14ac:dyDescent="0.25">
      <c r="M131" s="14"/>
    </row>
    <row r="132" spans="13:13" ht="45" customHeight="1" x14ac:dyDescent="0.25">
      <c r="M132" s="14"/>
    </row>
    <row r="133" spans="13:13" ht="45" customHeight="1" x14ac:dyDescent="0.25">
      <c r="M133" s="14"/>
    </row>
    <row r="134" spans="13:13" ht="45" customHeight="1" x14ac:dyDescent="0.25">
      <c r="M134" s="14"/>
    </row>
    <row r="135" spans="13:13" x14ac:dyDescent="0.25">
      <c r="M135" s="12"/>
    </row>
    <row r="136" spans="13:13" x14ac:dyDescent="0.25">
      <c r="M136" s="12"/>
    </row>
    <row r="137" spans="13:13" x14ac:dyDescent="0.25">
      <c r="M137" s="12"/>
    </row>
    <row r="138" spans="13:13" x14ac:dyDescent="0.25">
      <c r="M138" s="12"/>
    </row>
    <row r="139" spans="13:13" x14ac:dyDescent="0.25">
      <c r="M139" s="12"/>
    </row>
    <row r="140" spans="13:13" x14ac:dyDescent="0.25">
      <c r="M140" s="12"/>
    </row>
    <row r="141" spans="13:13" x14ac:dyDescent="0.25">
      <c r="M141" s="12"/>
    </row>
    <row r="142" spans="13:13" x14ac:dyDescent="0.25">
      <c r="M142" s="12"/>
    </row>
    <row r="143" spans="13:13" x14ac:dyDescent="0.25">
      <c r="M143" s="12"/>
    </row>
    <row r="144" spans="13:13" x14ac:dyDescent="0.25">
      <c r="M144" s="12"/>
    </row>
    <row r="145" spans="13:13" x14ac:dyDescent="0.25">
      <c r="M145" s="12"/>
    </row>
    <row r="146" spans="13:13" x14ac:dyDescent="0.25">
      <c r="M146" s="12"/>
    </row>
    <row r="147" spans="13:13" x14ac:dyDescent="0.25">
      <c r="M147" s="12"/>
    </row>
    <row r="148" spans="13:13" x14ac:dyDescent="0.25">
      <c r="M148" s="12"/>
    </row>
    <row r="149" spans="13:13" x14ac:dyDescent="0.25">
      <c r="M149" s="12"/>
    </row>
    <row r="150" spans="13:13" x14ac:dyDescent="0.25">
      <c r="M150" s="12"/>
    </row>
    <row r="151" spans="13:13" x14ac:dyDescent="0.25">
      <c r="M151" s="12"/>
    </row>
    <row r="152" spans="13:13" x14ac:dyDescent="0.25">
      <c r="M152" s="12"/>
    </row>
    <row r="153" spans="13:13" x14ac:dyDescent="0.25">
      <c r="M153" s="12"/>
    </row>
  </sheetData>
  <autoFilter ref="A2:O125" xr:uid="{C05F9277-E941-4F8C-B88B-7443D998D414}">
    <sortState xmlns:xlrd2="http://schemas.microsoft.com/office/spreadsheetml/2017/richdata2" ref="A3:M73">
      <sortCondition ref="G2:G33"/>
    </sortState>
  </autoFilter>
  <conditionalFormatting sqref="J1 J40:K1048576">
    <cfRule type="containsText" dxfId="83" priority="4" operator="containsText" text="ไม่พบ">
      <formula>NOT(ISERROR(SEARCH("ไม่พบ",J1)))</formula>
    </cfRule>
  </conditionalFormatting>
  <conditionalFormatting sqref="J2:L2">
    <cfRule type="containsText" dxfId="82" priority="6" operator="containsText" text="ไม่พบ">
      <formula>NOT(ISERROR(SEARCH("ไม่พบ",J2)))</formula>
    </cfRule>
  </conditionalFormatting>
  <conditionalFormatting sqref="N2">
    <cfRule type="duplicateValues" dxfId="81" priority="3"/>
  </conditionalFormatting>
  <conditionalFormatting sqref="N154:N1048576 N1 M135:M153">
    <cfRule type="duplicateValues" dxfId="80" priority="12"/>
    <cfRule type="duplicateValues" dxfId="79" priority="13"/>
  </conditionalFormatting>
  <conditionalFormatting sqref="O2">
    <cfRule type="duplicateValues" dxfId="78" priority="1"/>
    <cfRule type="duplicateValues" dxfId="77" priority="2"/>
  </conditionalFormatting>
  <dataValidations count="2">
    <dataValidation type="list" allowBlank="1" showInputMessage="1" showErrorMessage="1" sqref="L1:L2 K2 L40:L1048576" xr:uid="{1D04164A-9F5D-4E3A-964B-3168010F9C77}">
      <formula1>#REF!</formula1>
    </dataValidation>
    <dataValidation type="list" allowBlank="1" showInputMessage="1" showErrorMessage="1" sqref="K1" xr:uid="{7F8E28D3-4F30-4355-8930-89001B8FD4A9}">
      <formula1>$M$3:$M$35</formula1>
    </dataValidation>
  </dataValidations>
  <pageMargins left="0.25" right="0.25" top="0.75" bottom="0.75" header="0.3" footer="0.3"/>
  <pageSetup paperSize="9" scale="1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2B04-1F4B-4EFF-9BC6-3454C49876EF}">
  <sheetPr>
    <tabColor rgb="FF00B0F0"/>
  </sheetPr>
  <dimension ref="A1:N41"/>
  <sheetViews>
    <sheetView zoomScale="70" zoomScaleNormal="70" workbookViewId="0">
      <pane xSplit="4" ySplit="2" topLeftCell="E3" activePane="bottomRight" state="frozen"/>
      <selection activeCell="N2" sqref="N2:O57"/>
      <selection pane="topRight" activeCell="N2" sqref="N2:O57"/>
      <selection pane="bottomLeft" activeCell="N2" sqref="N2:O57"/>
      <selection pane="bottomRight" activeCell="I7" sqref="I7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8.796875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933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 t="s">
        <v>6144</v>
      </c>
      <c r="C3" s="1" t="s">
        <v>6145</v>
      </c>
      <c r="D3" s="1" t="s">
        <v>989</v>
      </c>
      <c r="E3" s="1" t="s">
        <v>8</v>
      </c>
      <c r="F3" s="1" t="s">
        <v>990</v>
      </c>
      <c r="G3" s="1" t="s">
        <v>6146</v>
      </c>
      <c r="H3" s="53">
        <v>261.8</v>
      </c>
      <c r="I3" s="53" t="s">
        <v>992</v>
      </c>
      <c r="J3" s="30"/>
      <c r="M3" s="30"/>
    </row>
    <row r="4" spans="1:13" s="31" customFormat="1" ht="23.4" x14ac:dyDescent="0.6">
      <c r="A4" s="9">
        <v>2</v>
      </c>
      <c r="B4" s="1" t="s">
        <v>6147</v>
      </c>
      <c r="C4" s="1" t="s">
        <v>8</v>
      </c>
      <c r="D4" s="1" t="s">
        <v>1004</v>
      </c>
      <c r="E4" s="1" t="s">
        <v>6148</v>
      </c>
      <c r="F4" s="1" t="s">
        <v>6149</v>
      </c>
      <c r="G4" s="1" t="s">
        <v>6150</v>
      </c>
      <c r="H4" s="53">
        <v>100</v>
      </c>
      <c r="I4" s="53" t="s">
        <v>992</v>
      </c>
      <c r="J4" s="30"/>
      <c r="M4" s="30"/>
    </row>
    <row r="5" spans="1:13" s="31" customFormat="1" ht="23.4" x14ac:dyDescent="0.6">
      <c r="A5" s="9">
        <v>3</v>
      </c>
      <c r="B5" s="1" t="s">
        <v>6151</v>
      </c>
      <c r="C5" s="1" t="s">
        <v>1081</v>
      </c>
      <c r="D5" s="1" t="s">
        <v>989</v>
      </c>
      <c r="E5" s="1" t="s">
        <v>8</v>
      </c>
      <c r="F5" s="1" t="s">
        <v>990</v>
      </c>
      <c r="G5" s="1" t="s">
        <v>6152</v>
      </c>
      <c r="H5" s="53">
        <v>68.599999999999994</v>
      </c>
      <c r="I5" s="53" t="s">
        <v>992</v>
      </c>
      <c r="J5" s="30"/>
      <c r="M5" s="30"/>
    </row>
    <row r="6" spans="1:13" s="31" customFormat="1" ht="23.4" x14ac:dyDescent="0.6">
      <c r="A6" s="9">
        <v>4</v>
      </c>
      <c r="B6" s="1" t="s">
        <v>6153</v>
      </c>
      <c r="C6" s="1" t="s">
        <v>8</v>
      </c>
      <c r="D6" s="1" t="s">
        <v>1004</v>
      </c>
      <c r="E6" s="1" t="s">
        <v>6154</v>
      </c>
      <c r="F6" s="1" t="s">
        <v>6149</v>
      </c>
      <c r="G6" s="1" t="s">
        <v>6155</v>
      </c>
      <c r="H6" s="53">
        <v>100</v>
      </c>
      <c r="I6" s="53" t="s">
        <v>992</v>
      </c>
      <c r="J6" s="30"/>
      <c r="M6" s="30"/>
    </row>
    <row r="7" spans="1:13" s="31" customFormat="1" ht="23.4" x14ac:dyDescent="0.6">
      <c r="A7" s="9">
        <v>5</v>
      </c>
      <c r="B7" s="1" t="s">
        <v>6156</v>
      </c>
      <c r="C7" s="1" t="s">
        <v>8</v>
      </c>
      <c r="D7" s="1" t="s">
        <v>1004</v>
      </c>
      <c r="E7" s="1" t="s">
        <v>6157</v>
      </c>
      <c r="F7" s="1" t="s">
        <v>6149</v>
      </c>
      <c r="G7" s="1" t="s">
        <v>6158</v>
      </c>
      <c r="H7" s="53">
        <v>100</v>
      </c>
      <c r="I7" s="53" t="s">
        <v>992</v>
      </c>
      <c r="J7" s="30"/>
      <c r="M7" s="30"/>
    </row>
    <row r="8" spans="1:13" s="31" customFormat="1" ht="27" thickBot="1" x14ac:dyDescent="0.75">
      <c r="A8" s="56"/>
      <c r="B8" s="56"/>
      <c r="C8" s="56"/>
      <c r="D8" s="56"/>
      <c r="E8" s="56"/>
      <c r="F8" s="56"/>
      <c r="G8" s="25" t="s">
        <v>28</v>
      </c>
      <c r="H8" s="26">
        <f>SUM(H3:H7)</f>
        <v>630.4</v>
      </c>
      <c r="I8" s="16" t="s">
        <v>47</v>
      </c>
      <c r="J8" s="30"/>
      <c r="M8" s="30"/>
    </row>
    <row r="9" spans="1:13" s="31" customFormat="1" ht="21" thickTop="1" x14ac:dyDescent="0.35">
      <c r="A9" s="12"/>
      <c r="B9" s="12"/>
      <c r="C9" s="12"/>
      <c r="D9" s="12"/>
      <c r="E9" s="12"/>
      <c r="F9" s="12"/>
      <c r="G9" s="12"/>
      <c r="H9" s="12"/>
      <c r="I9" s="12"/>
      <c r="J9" s="30"/>
      <c r="M9" s="30"/>
    </row>
    <row r="10" spans="1:13" s="31" customFormat="1" ht="20.399999999999999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30"/>
      <c r="M10" s="30"/>
    </row>
    <row r="11" spans="1:13" s="31" customFormat="1" ht="20.399999999999999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30"/>
      <c r="M11" s="30"/>
    </row>
    <row r="12" spans="1:13" s="31" customFormat="1" ht="20.399999999999999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30"/>
      <c r="M12" s="30"/>
    </row>
    <row r="13" spans="1:13" s="31" customFormat="1" ht="20.399999999999999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30"/>
      <c r="M13" s="30"/>
    </row>
    <row r="14" spans="1:13" s="31" customFormat="1" ht="20.39999999999999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30"/>
      <c r="M14" s="30"/>
    </row>
    <row r="15" spans="1:13" s="31" customFormat="1" ht="20.39999999999999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30"/>
      <c r="M15" s="30"/>
    </row>
    <row r="16" spans="1:13" s="31" customFormat="1" ht="20.39999999999999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30"/>
      <c r="M16" s="30"/>
    </row>
    <row r="17" spans="1:14" s="31" customFormat="1" ht="20.39999999999999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30"/>
      <c r="M17" s="30"/>
    </row>
    <row r="18" spans="1:14" s="31" customFormat="1" ht="20.39999999999999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30"/>
      <c r="M18" s="30"/>
    </row>
    <row r="19" spans="1:14" s="31" customFormat="1" ht="20.39999999999999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30"/>
      <c r="M19" s="30"/>
    </row>
    <row r="20" spans="1:14" s="31" customFormat="1" ht="20.399999999999999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30"/>
      <c r="M20" s="30"/>
    </row>
    <row r="21" spans="1:14" s="31" customFormat="1" ht="20.399999999999999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30"/>
      <c r="M21" s="30"/>
    </row>
    <row r="22" spans="1:14" s="31" customFormat="1" ht="20.399999999999999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30"/>
      <c r="M22" s="30"/>
    </row>
    <row r="23" spans="1:14" s="31" customFormat="1" ht="20.39999999999999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30"/>
      <c r="M23" s="30"/>
    </row>
    <row r="24" spans="1:14" s="31" customFormat="1" ht="22.9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30"/>
      <c r="M24" s="30"/>
    </row>
    <row r="25" spans="1:14" s="31" customFormat="1" ht="20.399999999999999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30"/>
      <c r="M25" s="30"/>
    </row>
    <row r="26" spans="1:14" s="31" customFormat="1" ht="20.399999999999999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30"/>
      <c r="L26" s="30"/>
    </row>
    <row r="27" spans="1:14" s="31" customFormat="1" ht="20.399999999999999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30"/>
      <c r="L27" s="30"/>
    </row>
    <row r="28" spans="1:14" s="31" customFormat="1" ht="20.399999999999999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30"/>
      <c r="L28" s="30"/>
    </row>
    <row r="29" spans="1:14" s="31" customFormat="1" ht="20.399999999999999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30"/>
      <c r="L29" s="30"/>
    </row>
    <row r="30" spans="1:14" s="31" customFormat="1" ht="20.399999999999999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30"/>
      <c r="L30" s="31">
        <v>4</v>
      </c>
      <c r="M30" s="31">
        <v>0</v>
      </c>
      <c r="N30" s="31" t="s">
        <v>203</v>
      </c>
    </row>
    <row r="31" spans="1:14" s="31" customFormat="1" ht="20.399999999999999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30"/>
      <c r="L31" s="31">
        <v>14</v>
      </c>
      <c r="M31" s="31">
        <v>0</v>
      </c>
      <c r="N31" s="31" t="s">
        <v>204</v>
      </c>
    </row>
    <row r="32" spans="1:14" s="31" customFormat="1" ht="20.399999999999999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30"/>
      <c r="L32" s="31">
        <v>0</v>
      </c>
      <c r="M32" s="31">
        <v>0</v>
      </c>
      <c r="N32" s="31" t="s">
        <v>205</v>
      </c>
    </row>
    <row r="33" spans="1:14" s="31" customFormat="1" ht="20.399999999999999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30"/>
      <c r="L33" s="31">
        <v>45</v>
      </c>
      <c r="M33" s="31">
        <v>0</v>
      </c>
      <c r="N33" s="31" t="s">
        <v>206</v>
      </c>
    </row>
    <row r="34" spans="1:14" s="31" customFormat="1" ht="20.399999999999999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30"/>
      <c r="L34" s="31">
        <v>0</v>
      </c>
      <c r="M34" s="31">
        <v>0</v>
      </c>
      <c r="N34" s="31" t="s">
        <v>207</v>
      </c>
    </row>
    <row r="35" spans="1:14" s="31" customFormat="1" ht="20.399999999999999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30"/>
      <c r="L35" s="31">
        <v>29</v>
      </c>
      <c r="M35" s="31">
        <v>0</v>
      </c>
      <c r="N35" s="31" t="s">
        <v>208</v>
      </c>
    </row>
    <row r="36" spans="1:14" s="31" customFormat="1" ht="20.399999999999999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30"/>
      <c r="L36" s="31">
        <v>0</v>
      </c>
      <c r="M36" s="31">
        <v>0</v>
      </c>
      <c r="N36" s="31" t="s">
        <v>209</v>
      </c>
    </row>
    <row r="37" spans="1:14" s="31" customFormat="1" ht="20.399999999999999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30"/>
      <c r="L37" s="31">
        <v>5</v>
      </c>
      <c r="M37" s="31">
        <v>0</v>
      </c>
      <c r="N37" s="31" t="s">
        <v>210</v>
      </c>
    </row>
    <row r="38" spans="1:14" s="31" customFormat="1" ht="20.399999999999999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30"/>
      <c r="L38" s="31">
        <v>5</v>
      </c>
      <c r="M38" s="31">
        <v>0</v>
      </c>
      <c r="N38" s="31" t="s">
        <v>211</v>
      </c>
    </row>
    <row r="39" spans="1:14" s="31" customFormat="1" ht="20.399999999999999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30"/>
      <c r="L39" s="31">
        <v>0</v>
      </c>
      <c r="M39" s="31">
        <v>0</v>
      </c>
      <c r="N39" s="31" t="s">
        <v>212</v>
      </c>
    </row>
    <row r="40" spans="1:14" s="31" customFormat="1" ht="20.399999999999999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30"/>
      <c r="L40" s="31">
        <v>104</v>
      </c>
      <c r="M40" s="31">
        <v>112</v>
      </c>
      <c r="N40" s="31" t="s">
        <v>213</v>
      </c>
    </row>
    <row r="41" spans="1:14" s="31" customFormat="1" ht="20.399999999999999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30"/>
      <c r="L41" s="30"/>
    </row>
  </sheetData>
  <autoFilter ref="B2:J22" xr:uid="{418B859D-9AEE-4DBC-84AA-2E90E0A86546}">
    <sortState xmlns:xlrd2="http://schemas.microsoft.com/office/spreadsheetml/2017/richdata2" ref="B3:I40">
      <sortCondition ref="G2:G7"/>
    </sortState>
  </autoFilter>
  <conditionalFormatting sqref="H8">
    <cfRule type="containsText" dxfId="76" priority="1" operator="containsText" text="ไม่พบ">
      <formula>NOT(ISERROR(SEARCH("ไม่พบ",H8)))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7375-551A-4B56-85ED-209C209BEF8A}">
  <sheetPr>
    <tabColor rgb="FFFF99FF"/>
    <pageSetUpPr fitToPage="1"/>
  </sheetPr>
  <dimension ref="A1:U153"/>
  <sheetViews>
    <sheetView zoomScale="70" zoomScaleNormal="70" workbookViewId="0">
      <pane xSplit="6" ySplit="2" topLeftCell="G3" activePane="bottomRight" state="frozen"/>
      <selection activeCell="I74" sqref="B3:I74"/>
      <selection pane="topRight" activeCell="I74" sqref="B3:I74"/>
      <selection pane="bottomLeft" activeCell="I74" sqref="B3:I74"/>
      <selection pane="bottomRight" activeCell="J2" sqref="J2"/>
    </sheetView>
  </sheetViews>
  <sheetFormatPr defaultColWidth="54.69921875" defaultRowHeight="23.4" x14ac:dyDescent="0.25"/>
  <cols>
    <col min="1" max="1" width="11.7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1.8984375" style="37" bestFit="1" customWidth="1"/>
    <col min="10" max="10" width="15.296875" style="70" bestFit="1" customWidth="1"/>
    <col min="11" max="11" width="75.69921875" style="70" bestFit="1" customWidth="1"/>
    <col min="12" max="12" width="86.796875" style="57" bestFit="1" customWidth="1"/>
    <col min="13" max="13" width="14.69921875" style="11" customWidth="1"/>
    <col min="14" max="14" width="88.8984375" style="41" bestFit="1" customWidth="1"/>
    <col min="15" max="15" width="17.19921875" style="11" bestFit="1" customWidth="1"/>
    <col min="16" max="16384" width="54.69921875" style="11"/>
  </cols>
  <sheetData>
    <row r="1" spans="1:15" ht="60" customHeight="1" thickBot="1" x14ac:dyDescent="0.75">
      <c r="A1" s="8" t="s">
        <v>931</v>
      </c>
      <c r="I1" s="87" t="s">
        <v>46</v>
      </c>
      <c r="J1" s="26">
        <f>SUBTOTAL(9,J3:J22)</f>
        <v>900</v>
      </c>
      <c r="K1" s="88" t="s">
        <v>47</v>
      </c>
    </row>
    <row r="2" spans="1:15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71" t="s">
        <v>43</v>
      </c>
      <c r="K2" s="6" t="s">
        <v>7</v>
      </c>
      <c r="L2" s="6" t="s">
        <v>7</v>
      </c>
      <c r="N2" s="7" t="s">
        <v>19</v>
      </c>
      <c r="O2" s="7" t="s">
        <v>21</v>
      </c>
    </row>
    <row r="3" spans="1:15" s="14" customFormat="1" ht="25.8" x14ac:dyDescent="0.25">
      <c r="A3" s="13">
        <v>1</v>
      </c>
      <c r="B3" s="1" t="s">
        <v>5998</v>
      </c>
      <c r="C3" s="1" t="s">
        <v>5999</v>
      </c>
      <c r="D3" s="1" t="s">
        <v>945</v>
      </c>
      <c r="E3" s="1" t="s">
        <v>6000</v>
      </c>
      <c r="F3" s="1" t="s">
        <v>946</v>
      </c>
      <c r="G3" s="1" t="s">
        <v>6001</v>
      </c>
      <c r="H3" s="55" t="s">
        <v>5973</v>
      </c>
      <c r="I3" s="54" t="s">
        <v>6016</v>
      </c>
      <c r="J3" s="72">
        <v>45</v>
      </c>
      <c r="K3" s="72" t="s">
        <v>6015</v>
      </c>
      <c r="L3" s="72"/>
      <c r="N3" s="42" t="s">
        <v>10</v>
      </c>
      <c r="O3" s="34">
        <v>0</v>
      </c>
    </row>
    <row r="4" spans="1:15" s="14" customFormat="1" ht="25.8" x14ac:dyDescent="0.25">
      <c r="A4" s="13">
        <v>2</v>
      </c>
      <c r="B4" s="1" t="s">
        <v>6002</v>
      </c>
      <c r="C4" s="1" t="s">
        <v>6003</v>
      </c>
      <c r="D4" s="1" t="s">
        <v>945</v>
      </c>
      <c r="E4" s="1" t="s">
        <v>8</v>
      </c>
      <c r="F4" s="1" t="s">
        <v>946</v>
      </c>
      <c r="G4" s="1" t="s">
        <v>6004</v>
      </c>
      <c r="H4" s="55" t="s">
        <v>5973</v>
      </c>
      <c r="I4" s="54" t="s">
        <v>6017</v>
      </c>
      <c r="J4" s="72">
        <v>45</v>
      </c>
      <c r="K4" s="62" t="s">
        <v>78</v>
      </c>
      <c r="L4" s="72"/>
      <c r="N4" s="42" t="s">
        <v>13</v>
      </c>
      <c r="O4" s="34">
        <v>0</v>
      </c>
    </row>
    <row r="5" spans="1:15" s="14" customFormat="1" ht="25.8" x14ac:dyDescent="0.25">
      <c r="A5" s="13">
        <v>3</v>
      </c>
      <c r="B5" s="1" t="s">
        <v>6005</v>
      </c>
      <c r="C5" s="1" t="s">
        <v>6006</v>
      </c>
      <c r="D5" s="1" t="s">
        <v>945</v>
      </c>
      <c r="E5" s="1" t="s">
        <v>8</v>
      </c>
      <c r="F5" s="1" t="s">
        <v>946</v>
      </c>
      <c r="G5" s="1" t="s">
        <v>6007</v>
      </c>
      <c r="H5" s="55" t="s">
        <v>5973</v>
      </c>
      <c r="I5" s="54" t="s">
        <v>6018</v>
      </c>
      <c r="J5" s="72">
        <v>45</v>
      </c>
      <c r="K5" s="62" t="s">
        <v>82</v>
      </c>
      <c r="L5" s="72"/>
      <c r="N5" s="42" t="s">
        <v>11</v>
      </c>
      <c r="O5" s="34">
        <v>0</v>
      </c>
    </row>
    <row r="6" spans="1:15" s="14" customFormat="1" ht="25.8" x14ac:dyDescent="0.25">
      <c r="A6" s="13">
        <v>4</v>
      </c>
      <c r="B6" s="1" t="s">
        <v>6008</v>
      </c>
      <c r="C6" s="1" t="s">
        <v>6009</v>
      </c>
      <c r="D6" s="1" t="s">
        <v>1107</v>
      </c>
      <c r="E6" s="1" t="s">
        <v>6010</v>
      </c>
      <c r="F6" s="1" t="s">
        <v>946</v>
      </c>
      <c r="G6" s="1" t="s">
        <v>6011</v>
      </c>
      <c r="H6" s="55" t="s">
        <v>5973</v>
      </c>
      <c r="I6" s="54" t="s">
        <v>6019</v>
      </c>
      <c r="J6" s="72">
        <v>45</v>
      </c>
      <c r="K6" s="62" t="s">
        <v>91</v>
      </c>
      <c r="L6" s="72"/>
      <c r="N6" s="42" t="s">
        <v>17</v>
      </c>
      <c r="O6" s="34">
        <v>0</v>
      </c>
    </row>
    <row r="7" spans="1:15" s="14" customFormat="1" ht="25.8" x14ac:dyDescent="0.25">
      <c r="A7" s="13">
        <v>5</v>
      </c>
      <c r="B7" s="1" t="s">
        <v>6012</v>
      </c>
      <c r="C7" s="1" t="s">
        <v>6013</v>
      </c>
      <c r="D7" s="1" t="s">
        <v>945</v>
      </c>
      <c r="E7" s="1" t="s">
        <v>8</v>
      </c>
      <c r="F7" s="1" t="s">
        <v>946</v>
      </c>
      <c r="G7" s="1" t="s">
        <v>6014</v>
      </c>
      <c r="H7" s="55" t="s">
        <v>5973</v>
      </c>
      <c r="I7" s="54" t="s">
        <v>6020</v>
      </c>
      <c r="J7" s="72">
        <v>45</v>
      </c>
      <c r="K7" s="62" t="s">
        <v>82</v>
      </c>
      <c r="L7" s="72"/>
      <c r="N7" s="42" t="s">
        <v>14</v>
      </c>
      <c r="O7" s="34">
        <v>2</v>
      </c>
    </row>
    <row r="8" spans="1:15" s="14" customFormat="1" ht="25.8" x14ac:dyDescent="0.25">
      <c r="A8" s="13">
        <v>6</v>
      </c>
      <c r="B8" s="1" t="s">
        <v>6032</v>
      </c>
      <c r="C8" s="1" t="s">
        <v>6033</v>
      </c>
      <c r="D8" s="1" t="s">
        <v>1107</v>
      </c>
      <c r="E8" s="1" t="s">
        <v>6034</v>
      </c>
      <c r="F8" s="1" t="s">
        <v>946</v>
      </c>
      <c r="G8" s="1" t="s">
        <v>6035</v>
      </c>
      <c r="H8" s="55">
        <v>0</v>
      </c>
      <c r="I8" s="62" t="s">
        <v>6036</v>
      </c>
      <c r="J8" s="72">
        <v>45</v>
      </c>
      <c r="K8" s="62" t="s">
        <v>78</v>
      </c>
      <c r="L8" s="2"/>
      <c r="N8" s="42" t="s">
        <v>59</v>
      </c>
      <c r="O8" s="34">
        <v>0</v>
      </c>
    </row>
    <row r="9" spans="1:15" s="14" customFormat="1" ht="25.8" x14ac:dyDescent="0.25">
      <c r="A9" s="13">
        <v>7</v>
      </c>
      <c r="B9" s="1" t="s">
        <v>6037</v>
      </c>
      <c r="C9" s="1" t="s">
        <v>6038</v>
      </c>
      <c r="D9" s="1" t="s">
        <v>945</v>
      </c>
      <c r="E9" s="1" t="s">
        <v>8</v>
      </c>
      <c r="F9" s="1" t="s">
        <v>946</v>
      </c>
      <c r="G9" s="1" t="s">
        <v>6039</v>
      </c>
      <c r="H9" s="55">
        <v>0</v>
      </c>
      <c r="I9" s="62" t="s">
        <v>6040</v>
      </c>
      <c r="J9" s="72">
        <v>45</v>
      </c>
      <c r="K9" s="62" t="s">
        <v>82</v>
      </c>
      <c r="L9" s="2"/>
      <c r="N9" s="42" t="s">
        <v>51</v>
      </c>
      <c r="O9" s="34">
        <v>0</v>
      </c>
    </row>
    <row r="10" spans="1:15" s="14" customFormat="1" ht="25.8" x14ac:dyDescent="0.25">
      <c r="A10" s="13">
        <v>8</v>
      </c>
      <c r="B10" s="1" t="s">
        <v>6041</v>
      </c>
      <c r="C10" s="1" t="s">
        <v>6042</v>
      </c>
      <c r="D10" s="1" t="s">
        <v>945</v>
      </c>
      <c r="E10" s="1" t="s">
        <v>8</v>
      </c>
      <c r="F10" s="1" t="s">
        <v>946</v>
      </c>
      <c r="G10" s="1" t="s">
        <v>6043</v>
      </c>
      <c r="H10" s="55">
        <v>0</v>
      </c>
      <c r="I10" s="62" t="s">
        <v>6044</v>
      </c>
      <c r="J10" s="72">
        <v>45</v>
      </c>
      <c r="K10" s="62" t="s">
        <v>78</v>
      </c>
      <c r="L10" s="2"/>
      <c r="N10" s="42" t="s">
        <v>49</v>
      </c>
      <c r="O10" s="34">
        <v>0</v>
      </c>
    </row>
    <row r="11" spans="1:15" s="14" customFormat="1" ht="25.8" x14ac:dyDescent="0.25">
      <c r="A11" s="13">
        <v>9</v>
      </c>
      <c r="B11" s="1" t="s">
        <v>6045</v>
      </c>
      <c r="C11" s="1" t="s">
        <v>6046</v>
      </c>
      <c r="D11" s="1" t="s">
        <v>945</v>
      </c>
      <c r="E11" s="1" t="s">
        <v>8</v>
      </c>
      <c r="F11" s="1" t="s">
        <v>946</v>
      </c>
      <c r="G11" s="1" t="s">
        <v>6047</v>
      </c>
      <c r="H11" s="55">
        <v>0</v>
      </c>
      <c r="I11" s="62" t="s">
        <v>6048</v>
      </c>
      <c r="J11" s="72">
        <v>45</v>
      </c>
      <c r="K11" s="62" t="s">
        <v>78</v>
      </c>
      <c r="L11" s="2"/>
      <c r="N11" s="42" t="s">
        <v>12</v>
      </c>
      <c r="O11" s="34">
        <v>0</v>
      </c>
    </row>
    <row r="12" spans="1:15" s="14" customFormat="1" ht="25.8" x14ac:dyDescent="0.25">
      <c r="A12" s="13">
        <v>10</v>
      </c>
      <c r="B12" s="1" t="s">
        <v>6049</v>
      </c>
      <c r="C12" s="1" t="s">
        <v>6050</v>
      </c>
      <c r="D12" s="1" t="s">
        <v>945</v>
      </c>
      <c r="E12" s="1" t="s">
        <v>8</v>
      </c>
      <c r="F12" s="1" t="s">
        <v>946</v>
      </c>
      <c r="G12" s="1" t="s">
        <v>6051</v>
      </c>
      <c r="H12" s="55">
        <v>0</v>
      </c>
      <c r="I12" s="62" t="s">
        <v>6052</v>
      </c>
      <c r="J12" s="72">
        <v>45</v>
      </c>
      <c r="K12" s="62" t="s">
        <v>78</v>
      </c>
      <c r="L12" s="2"/>
      <c r="N12" s="42" t="s">
        <v>15</v>
      </c>
      <c r="O12" s="34">
        <v>0</v>
      </c>
    </row>
    <row r="13" spans="1:15" s="14" customFormat="1" ht="25.8" x14ac:dyDescent="0.25">
      <c r="A13" s="13">
        <v>11</v>
      </c>
      <c r="B13" s="1" t="s">
        <v>6053</v>
      </c>
      <c r="C13" s="1" t="s">
        <v>6054</v>
      </c>
      <c r="D13" s="1" t="s">
        <v>945</v>
      </c>
      <c r="E13" s="1" t="s">
        <v>8</v>
      </c>
      <c r="F13" s="1" t="s">
        <v>946</v>
      </c>
      <c r="G13" s="1" t="s">
        <v>6055</v>
      </c>
      <c r="H13" s="55">
        <v>0</v>
      </c>
      <c r="I13" s="62" t="s">
        <v>6056</v>
      </c>
      <c r="J13" s="72">
        <v>45</v>
      </c>
      <c r="K13" s="62" t="s">
        <v>14</v>
      </c>
      <c r="L13" s="2"/>
      <c r="N13" s="42" t="s">
        <v>60</v>
      </c>
      <c r="O13" s="34">
        <v>0</v>
      </c>
    </row>
    <row r="14" spans="1:15" s="14" customFormat="1" ht="25.8" x14ac:dyDescent="0.25">
      <c r="A14" s="13">
        <v>12</v>
      </c>
      <c r="B14" s="1" t="s">
        <v>6057</v>
      </c>
      <c r="C14" s="1" t="s">
        <v>6058</v>
      </c>
      <c r="D14" s="1" t="s">
        <v>945</v>
      </c>
      <c r="E14" s="1" t="s">
        <v>8</v>
      </c>
      <c r="F14" s="1" t="s">
        <v>946</v>
      </c>
      <c r="G14" s="1" t="s">
        <v>6059</v>
      </c>
      <c r="H14" s="55">
        <v>0</v>
      </c>
      <c r="I14" s="62" t="s">
        <v>6060</v>
      </c>
      <c r="J14" s="72">
        <v>45</v>
      </c>
      <c r="K14" s="62" t="s">
        <v>78</v>
      </c>
      <c r="L14" s="2"/>
      <c r="N14" s="42" t="s">
        <v>16</v>
      </c>
      <c r="O14" s="34">
        <v>0</v>
      </c>
    </row>
    <row r="15" spans="1:15" s="14" customFormat="1" ht="25.8" x14ac:dyDescent="0.25">
      <c r="A15" s="13">
        <v>13</v>
      </c>
      <c r="B15" s="1" t="s">
        <v>6061</v>
      </c>
      <c r="C15" s="1" t="s">
        <v>6062</v>
      </c>
      <c r="D15" s="1" t="s">
        <v>945</v>
      </c>
      <c r="E15" s="1" t="s">
        <v>8</v>
      </c>
      <c r="F15" s="1" t="s">
        <v>946</v>
      </c>
      <c r="G15" s="1" t="s">
        <v>6063</v>
      </c>
      <c r="H15" s="55">
        <v>0</v>
      </c>
      <c r="I15" s="62" t="s">
        <v>6064</v>
      </c>
      <c r="J15" s="72">
        <v>45</v>
      </c>
      <c r="K15" s="62" t="s">
        <v>78</v>
      </c>
      <c r="L15" s="2"/>
      <c r="N15" s="42" t="s">
        <v>61</v>
      </c>
      <c r="O15" s="34">
        <v>0</v>
      </c>
    </row>
    <row r="16" spans="1:15" s="14" customFormat="1" ht="25.8" x14ac:dyDescent="0.25">
      <c r="A16" s="13">
        <v>14</v>
      </c>
      <c r="B16" s="1" t="s">
        <v>6065</v>
      </c>
      <c r="C16" s="1" t="s">
        <v>6066</v>
      </c>
      <c r="D16" s="1" t="s">
        <v>945</v>
      </c>
      <c r="E16" s="1" t="s">
        <v>8</v>
      </c>
      <c r="F16" s="1" t="s">
        <v>946</v>
      </c>
      <c r="G16" s="1" t="s">
        <v>6067</v>
      </c>
      <c r="H16" s="55">
        <v>0</v>
      </c>
      <c r="I16" s="62" t="s">
        <v>6071</v>
      </c>
      <c r="J16" s="72">
        <v>45</v>
      </c>
      <c r="K16" s="62" t="s">
        <v>78</v>
      </c>
      <c r="L16" s="2"/>
      <c r="N16" s="42" t="s">
        <v>62</v>
      </c>
      <c r="O16" s="34">
        <v>0</v>
      </c>
    </row>
    <row r="17" spans="1:15" s="14" customFormat="1" ht="25.8" x14ac:dyDescent="0.25">
      <c r="A17" s="13">
        <v>15</v>
      </c>
      <c r="B17" s="1" t="s">
        <v>6068</v>
      </c>
      <c r="C17" s="1" t="s">
        <v>6069</v>
      </c>
      <c r="D17" s="1" t="s">
        <v>945</v>
      </c>
      <c r="E17" s="1" t="s">
        <v>8</v>
      </c>
      <c r="F17" s="1" t="s">
        <v>946</v>
      </c>
      <c r="G17" s="1" t="s">
        <v>6070</v>
      </c>
      <c r="H17" s="55">
        <v>0</v>
      </c>
      <c r="I17" s="62" t="s">
        <v>6072</v>
      </c>
      <c r="J17" s="72">
        <v>45</v>
      </c>
      <c r="K17" s="62" t="s">
        <v>78</v>
      </c>
      <c r="L17" s="2"/>
      <c r="N17" s="42" t="s">
        <v>53</v>
      </c>
      <c r="O17" s="34">
        <v>0</v>
      </c>
    </row>
    <row r="18" spans="1:15" s="14" customFormat="1" ht="25.8" x14ac:dyDescent="0.25">
      <c r="A18" s="13">
        <v>16</v>
      </c>
      <c r="B18" s="1" t="s">
        <v>6073</v>
      </c>
      <c r="C18" s="1" t="s">
        <v>6074</v>
      </c>
      <c r="D18" s="1" t="s">
        <v>945</v>
      </c>
      <c r="E18" s="1" t="s">
        <v>8</v>
      </c>
      <c r="F18" s="1" t="s">
        <v>946</v>
      </c>
      <c r="G18" s="1" t="s">
        <v>6075</v>
      </c>
      <c r="H18" s="55">
        <v>0</v>
      </c>
      <c r="I18" s="62" t="s">
        <v>6076</v>
      </c>
      <c r="J18" s="72">
        <v>45</v>
      </c>
      <c r="K18" s="62" t="s">
        <v>78</v>
      </c>
      <c r="L18" s="2"/>
      <c r="N18" s="42" t="s">
        <v>63</v>
      </c>
      <c r="O18" s="34">
        <v>0</v>
      </c>
    </row>
    <row r="19" spans="1:15" s="14" customFormat="1" ht="25.8" x14ac:dyDescent="0.25">
      <c r="A19" s="13">
        <v>17</v>
      </c>
      <c r="B19" s="1" t="s">
        <v>6077</v>
      </c>
      <c r="C19" s="1" t="s">
        <v>6078</v>
      </c>
      <c r="D19" s="1" t="s">
        <v>945</v>
      </c>
      <c r="E19" s="1" t="s">
        <v>8</v>
      </c>
      <c r="F19" s="1" t="s">
        <v>946</v>
      </c>
      <c r="G19" s="1" t="s">
        <v>6079</v>
      </c>
      <c r="H19" s="55">
        <v>0</v>
      </c>
      <c r="I19" s="62" t="s">
        <v>6080</v>
      </c>
      <c r="J19" s="72">
        <v>45</v>
      </c>
      <c r="K19" s="62" t="s">
        <v>78</v>
      </c>
      <c r="L19" s="2"/>
      <c r="N19" s="42" t="s">
        <v>20</v>
      </c>
      <c r="O19" s="34">
        <v>0</v>
      </c>
    </row>
    <row r="20" spans="1:15" s="14" customFormat="1" ht="25.8" x14ac:dyDescent="0.25">
      <c r="A20" s="13">
        <v>18</v>
      </c>
      <c r="B20" s="1" t="s">
        <v>6081</v>
      </c>
      <c r="C20" s="1" t="s">
        <v>6082</v>
      </c>
      <c r="D20" s="1" t="s">
        <v>1107</v>
      </c>
      <c r="E20" s="1" t="s">
        <v>4661</v>
      </c>
      <c r="F20" s="1" t="s">
        <v>946</v>
      </c>
      <c r="G20" s="1" t="s">
        <v>6083</v>
      </c>
      <c r="H20" s="55">
        <v>0</v>
      </c>
      <c r="I20" s="62" t="s">
        <v>6084</v>
      </c>
      <c r="J20" s="72">
        <v>45</v>
      </c>
      <c r="K20" s="62" t="s">
        <v>92</v>
      </c>
      <c r="L20" s="2"/>
      <c r="N20" s="42" t="s">
        <v>64</v>
      </c>
      <c r="O20" s="34">
        <v>0</v>
      </c>
    </row>
    <row r="21" spans="1:15" s="14" customFormat="1" ht="25.8" x14ac:dyDescent="0.25">
      <c r="A21" s="13">
        <v>19</v>
      </c>
      <c r="B21" s="1" t="s">
        <v>6085</v>
      </c>
      <c r="C21" s="1" t="s">
        <v>6086</v>
      </c>
      <c r="D21" s="1" t="s">
        <v>945</v>
      </c>
      <c r="E21" s="1" t="s">
        <v>8</v>
      </c>
      <c r="F21" s="1" t="s">
        <v>946</v>
      </c>
      <c r="G21" s="1" t="s">
        <v>6087</v>
      </c>
      <c r="H21" s="55">
        <v>0</v>
      </c>
      <c r="I21" s="62" t="s">
        <v>6090</v>
      </c>
      <c r="J21" s="72">
        <v>45</v>
      </c>
      <c r="K21" s="62" t="s">
        <v>78</v>
      </c>
      <c r="L21" s="2"/>
      <c r="N21" s="42" t="s">
        <v>22</v>
      </c>
      <c r="O21" s="34">
        <v>0</v>
      </c>
    </row>
    <row r="22" spans="1:15" s="14" customFormat="1" ht="25.8" x14ac:dyDescent="0.25">
      <c r="A22" s="13">
        <v>20</v>
      </c>
      <c r="B22" s="1" t="s">
        <v>6088</v>
      </c>
      <c r="C22" s="1" t="s">
        <v>6013</v>
      </c>
      <c r="D22" s="1" t="s">
        <v>945</v>
      </c>
      <c r="E22" s="1" t="s">
        <v>8</v>
      </c>
      <c r="F22" s="1" t="s">
        <v>946</v>
      </c>
      <c r="G22" s="1" t="s">
        <v>6089</v>
      </c>
      <c r="H22" s="55">
        <v>0</v>
      </c>
      <c r="I22" s="62" t="s">
        <v>6091</v>
      </c>
      <c r="J22" s="72">
        <v>45</v>
      </c>
      <c r="K22" s="62" t="s">
        <v>14</v>
      </c>
      <c r="L22" s="2"/>
      <c r="N22" s="42" t="s">
        <v>65</v>
      </c>
      <c r="O22" s="34">
        <v>0</v>
      </c>
    </row>
    <row r="23" spans="1:15" s="14" customFormat="1" ht="25.8" x14ac:dyDescent="0.25">
      <c r="A23" s="12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N23" s="42" t="s">
        <v>66</v>
      </c>
      <c r="O23" s="34">
        <v>0</v>
      </c>
    </row>
    <row r="24" spans="1:15" s="14" customFormat="1" ht="25.8" x14ac:dyDescent="0.25">
      <c r="A24" s="12"/>
      <c r="B24" s="11"/>
      <c r="C24" s="11"/>
      <c r="D24" s="11"/>
      <c r="E24" s="11"/>
      <c r="F24" s="11"/>
      <c r="G24" s="11"/>
      <c r="H24" s="11"/>
      <c r="I24" s="37"/>
      <c r="J24" s="70"/>
      <c r="K24" s="70"/>
      <c r="L24" s="57"/>
      <c r="N24" s="42" t="s">
        <v>67</v>
      </c>
      <c r="O24" s="34">
        <v>0</v>
      </c>
    </row>
    <row r="25" spans="1:15" s="14" customFormat="1" ht="25.8" x14ac:dyDescent="0.25">
      <c r="A25" s="12"/>
      <c r="B25" s="11"/>
      <c r="C25" s="11"/>
      <c r="D25" s="11"/>
      <c r="E25" s="11"/>
      <c r="F25" s="11"/>
      <c r="G25" s="11"/>
      <c r="H25" s="11"/>
      <c r="I25" s="37"/>
      <c r="J25" s="70"/>
      <c r="K25" s="70"/>
      <c r="L25" s="57"/>
      <c r="N25" s="42" t="s">
        <v>68</v>
      </c>
      <c r="O25" s="34">
        <v>0</v>
      </c>
    </row>
    <row r="26" spans="1:15" s="14" customFormat="1" ht="25.8" x14ac:dyDescent="0.25">
      <c r="A26" s="12"/>
      <c r="B26" s="11"/>
      <c r="C26" s="11"/>
      <c r="D26" s="11"/>
      <c r="E26" s="11"/>
      <c r="F26" s="11"/>
      <c r="G26" s="11"/>
      <c r="H26" s="11"/>
      <c r="I26" s="37"/>
      <c r="J26" s="70"/>
      <c r="K26" s="70"/>
      <c r="L26" s="57"/>
      <c r="N26" s="42" t="s">
        <v>69</v>
      </c>
      <c r="O26" s="34">
        <v>0</v>
      </c>
    </row>
    <row r="27" spans="1:15" s="14" customFormat="1" ht="25.8" x14ac:dyDescent="0.25">
      <c r="A27" s="12"/>
      <c r="B27" s="11"/>
      <c r="C27" s="11"/>
      <c r="D27" s="11"/>
      <c r="E27" s="11"/>
      <c r="F27" s="11"/>
      <c r="G27" s="11"/>
      <c r="H27" s="11"/>
      <c r="I27" s="37"/>
      <c r="J27" s="70"/>
      <c r="K27" s="70"/>
      <c r="L27" s="57"/>
      <c r="N27" s="42" t="s">
        <v>70</v>
      </c>
      <c r="O27" s="34">
        <v>0</v>
      </c>
    </row>
    <row r="28" spans="1:15" s="14" customFormat="1" ht="25.8" x14ac:dyDescent="0.25">
      <c r="A28" s="12"/>
      <c r="B28" s="11"/>
      <c r="C28" s="11"/>
      <c r="D28" s="11"/>
      <c r="E28" s="11"/>
      <c r="F28" s="11"/>
      <c r="G28" s="11"/>
      <c r="H28" s="11"/>
      <c r="I28" s="37"/>
      <c r="J28" s="70"/>
      <c r="K28" s="70"/>
      <c r="L28" s="57"/>
      <c r="N28" s="42" t="s">
        <v>71</v>
      </c>
      <c r="O28" s="34">
        <v>0</v>
      </c>
    </row>
    <row r="29" spans="1:15" s="14" customFormat="1" ht="25.8" x14ac:dyDescent="0.25">
      <c r="A29" s="12"/>
      <c r="B29" s="11"/>
      <c r="C29" s="11"/>
      <c r="D29" s="11"/>
      <c r="E29" s="11"/>
      <c r="F29" s="11"/>
      <c r="G29" s="11"/>
      <c r="H29" s="11"/>
      <c r="I29" s="37"/>
      <c r="J29" s="70"/>
      <c r="K29" s="70"/>
      <c r="L29" s="57"/>
      <c r="N29" s="42" t="s">
        <v>72</v>
      </c>
      <c r="O29" s="34">
        <v>0</v>
      </c>
    </row>
    <row r="30" spans="1:15" s="14" customFormat="1" ht="25.8" x14ac:dyDescent="0.25">
      <c r="A30" s="12"/>
      <c r="B30" s="11"/>
      <c r="C30" s="11"/>
      <c r="D30" s="11"/>
      <c r="E30" s="11"/>
      <c r="F30" s="11"/>
      <c r="G30" s="11"/>
      <c r="H30" s="11"/>
      <c r="I30" s="37"/>
      <c r="J30" s="70"/>
      <c r="K30" s="70"/>
      <c r="L30" s="57"/>
      <c r="N30" s="42" t="s">
        <v>73</v>
      </c>
      <c r="O30" s="34">
        <v>0</v>
      </c>
    </row>
    <row r="31" spans="1:15" s="14" customFormat="1" ht="25.8" x14ac:dyDescent="0.25">
      <c r="A31" s="12"/>
      <c r="B31" s="11"/>
      <c r="C31" s="11"/>
      <c r="D31" s="11"/>
      <c r="E31" s="11"/>
      <c r="F31" s="11"/>
      <c r="G31" s="11"/>
      <c r="H31" s="11"/>
      <c r="I31" s="37"/>
      <c r="J31" s="70"/>
      <c r="K31" s="70"/>
      <c r="L31" s="57"/>
      <c r="N31" s="42" t="s">
        <v>74</v>
      </c>
      <c r="O31" s="34">
        <v>0</v>
      </c>
    </row>
    <row r="32" spans="1:15" s="14" customFormat="1" ht="25.8" x14ac:dyDescent="0.25">
      <c r="A32" s="12"/>
      <c r="B32" s="11"/>
      <c r="C32" s="11"/>
      <c r="D32" s="11"/>
      <c r="E32" s="11"/>
      <c r="F32" s="11"/>
      <c r="G32" s="11"/>
      <c r="H32" s="11"/>
      <c r="I32" s="37"/>
      <c r="J32" s="70"/>
      <c r="K32" s="70"/>
      <c r="L32" s="57"/>
      <c r="N32" s="42" t="s">
        <v>75</v>
      </c>
      <c r="O32" s="34">
        <v>0</v>
      </c>
    </row>
    <row r="33" spans="1:15" s="14" customFormat="1" ht="25.8" x14ac:dyDescent="0.25">
      <c r="A33" s="12"/>
      <c r="B33" s="11"/>
      <c r="C33" s="11"/>
      <c r="D33" s="11"/>
      <c r="E33" s="11"/>
      <c r="F33" s="11"/>
      <c r="G33" s="11"/>
      <c r="H33" s="11"/>
      <c r="I33" s="37"/>
      <c r="J33" s="70"/>
      <c r="K33" s="70"/>
      <c r="L33" s="57"/>
      <c r="N33" s="42" t="s">
        <v>76</v>
      </c>
      <c r="O33" s="34">
        <v>0</v>
      </c>
    </row>
    <row r="34" spans="1:15" s="14" customFormat="1" ht="25.8" x14ac:dyDescent="0.25">
      <c r="A34" s="12"/>
      <c r="B34" s="11"/>
      <c r="C34" s="11"/>
      <c r="D34" s="11"/>
      <c r="E34" s="11"/>
      <c r="F34" s="11"/>
      <c r="G34" s="11"/>
      <c r="H34" s="11"/>
      <c r="I34" s="37"/>
      <c r="J34" s="70"/>
      <c r="K34" s="70"/>
      <c r="L34" s="57"/>
      <c r="N34" s="42" t="s">
        <v>77</v>
      </c>
      <c r="O34" s="34">
        <v>0</v>
      </c>
    </row>
    <row r="35" spans="1:15" s="14" customFormat="1" ht="25.8" x14ac:dyDescent="0.25">
      <c r="A35" s="12"/>
      <c r="B35" s="11"/>
      <c r="C35" s="11"/>
      <c r="D35" s="11"/>
      <c r="E35" s="11"/>
      <c r="F35" s="11"/>
      <c r="G35" s="11"/>
      <c r="H35" s="11"/>
      <c r="I35" s="37"/>
      <c r="J35" s="70"/>
      <c r="K35" s="70"/>
      <c r="L35" s="57"/>
      <c r="N35" s="42" t="s">
        <v>78</v>
      </c>
      <c r="O35" s="34">
        <v>12</v>
      </c>
    </row>
    <row r="36" spans="1:15" s="14" customFormat="1" ht="25.8" x14ac:dyDescent="0.25">
      <c r="A36" s="12"/>
      <c r="B36" s="11"/>
      <c r="C36" s="11"/>
      <c r="D36" s="11"/>
      <c r="E36" s="11"/>
      <c r="F36" s="11"/>
      <c r="G36" s="11"/>
      <c r="H36" s="11"/>
      <c r="I36" s="37"/>
      <c r="J36" s="70"/>
      <c r="K36" s="70"/>
      <c r="L36" s="57"/>
      <c r="N36" s="42" t="s">
        <v>79</v>
      </c>
      <c r="O36" s="34">
        <v>0</v>
      </c>
    </row>
    <row r="37" spans="1:15" s="14" customFormat="1" ht="25.8" x14ac:dyDescent="0.25">
      <c r="A37" s="12"/>
      <c r="B37" s="11"/>
      <c r="C37" s="11"/>
      <c r="D37" s="11"/>
      <c r="E37" s="11"/>
      <c r="F37" s="11"/>
      <c r="G37" s="11"/>
      <c r="H37" s="11"/>
      <c r="I37" s="37"/>
      <c r="J37" s="70"/>
      <c r="K37" s="70"/>
      <c r="L37" s="57"/>
      <c r="N37" s="42" t="s">
        <v>80</v>
      </c>
      <c r="O37" s="34">
        <v>0</v>
      </c>
    </row>
    <row r="38" spans="1:15" s="14" customFormat="1" ht="25.8" x14ac:dyDescent="0.25">
      <c r="A38" s="12"/>
      <c r="B38" s="11"/>
      <c r="C38" s="11"/>
      <c r="D38" s="11"/>
      <c r="E38" s="11"/>
      <c r="F38" s="11"/>
      <c r="G38" s="11"/>
      <c r="H38" s="11"/>
      <c r="I38" s="37"/>
      <c r="J38" s="70"/>
      <c r="K38" s="70"/>
      <c r="L38" s="57"/>
      <c r="N38" s="42" t="s">
        <v>81</v>
      </c>
      <c r="O38" s="34">
        <v>0</v>
      </c>
    </row>
    <row r="39" spans="1:15" s="14" customFormat="1" ht="25.8" x14ac:dyDescent="0.25">
      <c r="A39" s="12"/>
      <c r="B39" s="11"/>
      <c r="C39" s="11"/>
      <c r="D39" s="11"/>
      <c r="E39" s="11"/>
      <c r="F39" s="11"/>
      <c r="G39" s="11"/>
      <c r="H39" s="11"/>
      <c r="I39" s="37"/>
      <c r="J39" s="70"/>
      <c r="K39" s="70"/>
      <c r="L39" s="57"/>
      <c r="N39" s="42" t="s">
        <v>82</v>
      </c>
      <c r="O39" s="34">
        <v>3</v>
      </c>
    </row>
    <row r="40" spans="1:15" s="14" customFormat="1" ht="25.8" x14ac:dyDescent="0.25">
      <c r="A40" s="12"/>
      <c r="B40" s="11"/>
      <c r="C40" s="11"/>
      <c r="D40" s="11"/>
      <c r="E40" s="11"/>
      <c r="F40" s="11"/>
      <c r="G40" s="11"/>
      <c r="H40" s="11"/>
      <c r="I40" s="37"/>
      <c r="J40" s="70"/>
      <c r="K40" s="70"/>
      <c r="L40" s="57"/>
      <c r="N40" s="42" t="s">
        <v>83</v>
      </c>
      <c r="O40" s="34">
        <v>0</v>
      </c>
    </row>
    <row r="41" spans="1:15" s="14" customFormat="1" ht="25.8" x14ac:dyDescent="0.25">
      <c r="A41" s="12"/>
      <c r="B41" s="11"/>
      <c r="C41" s="11"/>
      <c r="D41" s="11"/>
      <c r="E41" s="11"/>
      <c r="F41" s="11"/>
      <c r="G41" s="11"/>
      <c r="H41" s="11"/>
      <c r="I41" s="37"/>
      <c r="J41" s="70"/>
      <c r="K41" s="70"/>
      <c r="L41" s="57"/>
      <c r="N41" s="42" t="s">
        <v>84</v>
      </c>
      <c r="O41" s="34">
        <v>0</v>
      </c>
    </row>
    <row r="42" spans="1:15" s="14" customFormat="1" ht="25.8" x14ac:dyDescent="0.25">
      <c r="A42" s="12"/>
      <c r="B42" s="11"/>
      <c r="C42" s="11"/>
      <c r="D42" s="11"/>
      <c r="E42" s="11"/>
      <c r="F42" s="11"/>
      <c r="G42" s="11"/>
      <c r="H42" s="11"/>
      <c r="I42" s="37"/>
      <c r="J42" s="70"/>
      <c r="K42" s="70"/>
      <c r="L42" s="57"/>
      <c r="N42" s="42" t="s">
        <v>85</v>
      </c>
      <c r="O42" s="34">
        <v>0</v>
      </c>
    </row>
    <row r="43" spans="1:15" s="14" customFormat="1" ht="25.8" x14ac:dyDescent="0.25">
      <c r="A43" s="12"/>
      <c r="B43" s="11"/>
      <c r="C43" s="11"/>
      <c r="D43" s="11"/>
      <c r="E43" s="11"/>
      <c r="F43" s="11"/>
      <c r="G43" s="11"/>
      <c r="H43" s="11"/>
      <c r="I43" s="37"/>
      <c r="J43" s="70"/>
      <c r="K43" s="70"/>
      <c r="L43" s="57"/>
      <c r="N43" s="42" t="s">
        <v>24</v>
      </c>
      <c r="O43" s="34">
        <v>0</v>
      </c>
    </row>
    <row r="44" spans="1:15" s="14" customFormat="1" ht="25.8" x14ac:dyDescent="0.25">
      <c r="A44" s="12"/>
      <c r="B44" s="11"/>
      <c r="C44" s="11"/>
      <c r="D44" s="11"/>
      <c r="E44" s="11"/>
      <c r="F44" s="11"/>
      <c r="G44" s="11"/>
      <c r="H44" s="11"/>
      <c r="I44" s="37"/>
      <c r="J44" s="70"/>
      <c r="K44" s="70"/>
      <c r="L44" s="57"/>
      <c r="N44" s="42" t="s">
        <v>86</v>
      </c>
      <c r="O44" s="34">
        <v>0</v>
      </c>
    </row>
    <row r="45" spans="1:15" s="14" customFormat="1" ht="25.8" x14ac:dyDescent="0.25">
      <c r="A45" s="12"/>
      <c r="B45" s="11"/>
      <c r="C45" s="11"/>
      <c r="D45" s="11"/>
      <c r="E45" s="11"/>
      <c r="F45" s="11"/>
      <c r="G45" s="11"/>
      <c r="H45" s="11"/>
      <c r="I45" s="37"/>
      <c r="J45" s="70"/>
      <c r="K45" s="70"/>
      <c r="L45" s="57"/>
      <c r="N45" s="42" t="s">
        <v>87</v>
      </c>
      <c r="O45" s="34">
        <v>0</v>
      </c>
    </row>
    <row r="46" spans="1:15" s="14" customFormat="1" ht="25.8" x14ac:dyDescent="0.25">
      <c r="A46" s="12"/>
      <c r="B46" s="11"/>
      <c r="C46" s="11"/>
      <c r="D46" s="11"/>
      <c r="E46" s="11"/>
      <c r="F46" s="11"/>
      <c r="G46" s="11"/>
      <c r="H46" s="11"/>
      <c r="I46" s="37"/>
      <c r="J46" s="70"/>
      <c r="K46" s="70"/>
      <c r="L46" s="57"/>
      <c r="N46" s="42" t="s">
        <v>88</v>
      </c>
      <c r="O46" s="34">
        <v>0</v>
      </c>
    </row>
    <row r="47" spans="1:15" s="14" customFormat="1" ht="25.8" x14ac:dyDescent="0.25">
      <c r="A47" s="12"/>
      <c r="B47" s="11"/>
      <c r="C47" s="11"/>
      <c r="D47" s="11"/>
      <c r="E47" s="11"/>
      <c r="F47" s="11"/>
      <c r="G47" s="11"/>
      <c r="H47" s="11"/>
      <c r="I47" s="37"/>
      <c r="J47" s="70"/>
      <c r="K47" s="70"/>
      <c r="L47" s="57"/>
      <c r="N47" s="42" t="s">
        <v>89</v>
      </c>
      <c r="O47" s="34">
        <v>0</v>
      </c>
    </row>
    <row r="48" spans="1:15" s="14" customFormat="1" ht="25.8" x14ac:dyDescent="0.25">
      <c r="A48" s="12"/>
      <c r="B48" s="11"/>
      <c r="C48" s="11"/>
      <c r="D48" s="11"/>
      <c r="E48" s="11"/>
      <c r="F48" s="11"/>
      <c r="G48" s="11"/>
      <c r="H48" s="11"/>
      <c r="I48" s="37"/>
      <c r="J48" s="70"/>
      <c r="K48" s="70"/>
      <c r="L48" s="57"/>
      <c r="N48" s="42" t="s">
        <v>94</v>
      </c>
      <c r="O48" s="34">
        <v>0</v>
      </c>
    </row>
    <row r="49" spans="1:21" s="14" customFormat="1" ht="25.8" x14ac:dyDescent="0.25">
      <c r="A49" s="12"/>
      <c r="B49" s="11"/>
      <c r="C49" s="11"/>
      <c r="D49" s="11"/>
      <c r="E49" s="11"/>
      <c r="F49" s="11"/>
      <c r="G49" s="11"/>
      <c r="H49" s="11"/>
      <c r="I49" s="37"/>
      <c r="J49" s="70"/>
      <c r="K49" s="70"/>
      <c r="L49" s="57"/>
      <c r="N49" s="42" t="s">
        <v>90</v>
      </c>
      <c r="O49" s="34">
        <v>0</v>
      </c>
    </row>
    <row r="50" spans="1:21" s="14" customFormat="1" ht="25.8" x14ac:dyDescent="0.25">
      <c r="A50" s="12"/>
      <c r="B50" s="11"/>
      <c r="C50" s="11"/>
      <c r="D50" s="11"/>
      <c r="E50" s="11"/>
      <c r="F50" s="11"/>
      <c r="G50" s="11"/>
      <c r="H50" s="11"/>
      <c r="I50" s="37"/>
      <c r="J50" s="70"/>
      <c r="K50" s="70"/>
      <c r="L50" s="57"/>
      <c r="N50" s="42" t="s">
        <v>93</v>
      </c>
      <c r="O50" s="34">
        <v>0</v>
      </c>
    </row>
    <row r="51" spans="1:21" s="14" customFormat="1" ht="25.8" x14ac:dyDescent="0.25">
      <c r="A51" s="12"/>
      <c r="B51" s="11"/>
      <c r="C51" s="11"/>
      <c r="D51" s="11"/>
      <c r="E51" s="11"/>
      <c r="F51" s="11"/>
      <c r="G51" s="11"/>
      <c r="H51" s="11"/>
      <c r="I51" s="37"/>
      <c r="J51" s="70"/>
      <c r="K51" s="70"/>
      <c r="L51" s="57"/>
      <c r="N51" s="42" t="s">
        <v>91</v>
      </c>
      <c r="O51" s="34">
        <v>1</v>
      </c>
      <c r="U51" s="14" t="s">
        <v>57</v>
      </c>
    </row>
    <row r="52" spans="1:21" s="14" customFormat="1" ht="25.8" x14ac:dyDescent="0.25">
      <c r="A52" s="12"/>
      <c r="B52" s="11"/>
      <c r="C52" s="11"/>
      <c r="D52" s="11"/>
      <c r="E52" s="11"/>
      <c r="F52" s="11"/>
      <c r="G52" s="11"/>
      <c r="H52" s="11"/>
      <c r="I52" s="37"/>
      <c r="J52" s="70"/>
      <c r="K52" s="70"/>
      <c r="L52" s="57"/>
      <c r="N52" s="42" t="s">
        <v>45</v>
      </c>
      <c r="O52" s="34">
        <v>0</v>
      </c>
    </row>
    <row r="53" spans="1:21" s="14" customFormat="1" ht="25.8" x14ac:dyDescent="0.25">
      <c r="A53" s="12"/>
      <c r="B53" s="11"/>
      <c r="C53" s="11"/>
      <c r="D53" s="11"/>
      <c r="E53" s="11"/>
      <c r="F53" s="11"/>
      <c r="G53" s="11"/>
      <c r="H53" s="11"/>
      <c r="I53" s="37"/>
      <c r="J53" s="70"/>
      <c r="K53" s="70"/>
      <c r="L53" s="57"/>
      <c r="N53" s="42" t="s">
        <v>92</v>
      </c>
      <c r="O53" s="34">
        <v>1</v>
      </c>
      <c r="T53" s="14" t="s">
        <v>58</v>
      </c>
    </row>
    <row r="54" spans="1:21" s="14" customFormat="1" ht="25.8" x14ac:dyDescent="0.25">
      <c r="A54" s="12"/>
      <c r="B54" s="11"/>
      <c r="C54" s="11"/>
      <c r="D54" s="11"/>
      <c r="E54" s="11"/>
      <c r="F54" s="11"/>
      <c r="G54" s="11"/>
      <c r="H54" s="11"/>
      <c r="I54" s="37"/>
      <c r="J54" s="70"/>
      <c r="K54" s="70"/>
      <c r="L54" s="57"/>
      <c r="N54" s="42" t="s">
        <v>52</v>
      </c>
      <c r="O54" s="34">
        <v>0</v>
      </c>
    </row>
    <row r="55" spans="1:21" s="14" customFormat="1" ht="25.8" x14ac:dyDescent="0.25">
      <c r="A55" s="12"/>
      <c r="B55" s="11"/>
      <c r="C55" s="11"/>
      <c r="D55" s="11"/>
      <c r="E55" s="11"/>
      <c r="F55" s="11"/>
      <c r="G55" s="11"/>
      <c r="H55" s="11"/>
      <c r="I55" s="37"/>
      <c r="J55" s="70"/>
      <c r="K55" s="70"/>
      <c r="L55" s="57"/>
      <c r="N55" s="42" t="s">
        <v>95</v>
      </c>
      <c r="O55" s="34">
        <v>0</v>
      </c>
    </row>
    <row r="56" spans="1:21" s="14" customFormat="1" ht="25.8" x14ac:dyDescent="0.25">
      <c r="A56" s="12"/>
      <c r="B56" s="11"/>
      <c r="C56" s="11"/>
      <c r="D56" s="11"/>
      <c r="E56" s="11"/>
      <c r="F56" s="11"/>
      <c r="G56" s="11"/>
      <c r="H56" s="11"/>
      <c r="I56" s="37"/>
      <c r="J56" s="70"/>
      <c r="K56" s="70"/>
      <c r="L56" s="57"/>
      <c r="N56" s="42" t="s">
        <v>25</v>
      </c>
      <c r="O56" s="34">
        <v>0</v>
      </c>
    </row>
    <row r="57" spans="1:21" s="14" customFormat="1" ht="27" thickBot="1" x14ac:dyDescent="0.3">
      <c r="A57" s="12"/>
      <c r="B57" s="11"/>
      <c r="C57" s="11"/>
      <c r="D57" s="11"/>
      <c r="E57" s="11"/>
      <c r="F57" s="11"/>
      <c r="G57" s="11"/>
      <c r="H57" s="11"/>
      <c r="I57" s="37"/>
      <c r="J57" s="70"/>
      <c r="K57" s="70"/>
      <c r="L57" s="57"/>
      <c r="N57" s="41"/>
      <c r="O57" s="35">
        <f>SUM(O3:O56)</f>
        <v>19</v>
      </c>
    </row>
    <row r="58" spans="1:21" s="14" customFormat="1" ht="24" thickTop="1" x14ac:dyDescent="0.25">
      <c r="A58" s="12"/>
      <c r="B58" s="11"/>
      <c r="C58" s="11"/>
      <c r="D58" s="11"/>
      <c r="E58" s="11"/>
      <c r="F58" s="11"/>
      <c r="G58" s="11"/>
      <c r="H58" s="11"/>
      <c r="I58" s="37"/>
      <c r="J58" s="70"/>
      <c r="K58" s="70"/>
      <c r="L58" s="57"/>
      <c r="N58" s="41"/>
      <c r="O58" s="11"/>
    </row>
    <row r="59" spans="1:21" s="14" customFormat="1" x14ac:dyDescent="0.25">
      <c r="A59" s="12"/>
      <c r="B59" s="11"/>
      <c r="C59" s="11"/>
      <c r="D59" s="11"/>
      <c r="E59" s="11"/>
      <c r="F59" s="11"/>
      <c r="G59" s="11"/>
      <c r="H59" s="11"/>
      <c r="I59" s="37"/>
      <c r="J59" s="70"/>
      <c r="K59" s="70"/>
      <c r="L59" s="57"/>
      <c r="N59" s="41"/>
      <c r="O59" s="11"/>
    </row>
    <row r="60" spans="1:21" s="14" customFormat="1" x14ac:dyDescent="0.25">
      <c r="A60" s="12"/>
      <c r="B60" s="11"/>
      <c r="C60" s="11"/>
      <c r="D60" s="11"/>
      <c r="E60" s="11"/>
      <c r="F60" s="11"/>
      <c r="G60" s="11"/>
      <c r="H60" s="11"/>
      <c r="I60" s="37"/>
      <c r="J60" s="70"/>
      <c r="K60" s="70"/>
      <c r="L60" s="57"/>
      <c r="N60" s="41"/>
      <c r="O60" s="11"/>
    </row>
    <row r="61" spans="1:21" s="14" customFormat="1" x14ac:dyDescent="0.25">
      <c r="A61" s="12"/>
      <c r="B61" s="11"/>
      <c r="C61" s="11"/>
      <c r="D61" s="11"/>
      <c r="E61" s="11"/>
      <c r="F61" s="11"/>
      <c r="G61" s="11"/>
      <c r="H61" s="11"/>
      <c r="I61" s="37"/>
      <c r="J61" s="70"/>
      <c r="K61" s="70"/>
      <c r="L61" s="57"/>
      <c r="N61" s="41"/>
      <c r="O61" s="11"/>
    </row>
    <row r="62" spans="1:21" s="14" customFormat="1" x14ac:dyDescent="0.25">
      <c r="A62" s="12"/>
      <c r="B62" s="11"/>
      <c r="C62" s="11"/>
      <c r="D62" s="11"/>
      <c r="E62" s="11"/>
      <c r="F62" s="11"/>
      <c r="G62" s="11"/>
      <c r="H62" s="11"/>
      <c r="I62" s="37"/>
      <c r="J62" s="70"/>
      <c r="K62" s="70"/>
      <c r="L62" s="57"/>
      <c r="N62" s="41"/>
      <c r="O62" s="11"/>
    </row>
    <row r="63" spans="1:21" s="14" customFormat="1" x14ac:dyDescent="0.25">
      <c r="A63" s="12"/>
      <c r="B63" s="11"/>
      <c r="C63" s="11"/>
      <c r="D63" s="11"/>
      <c r="E63" s="11"/>
      <c r="F63" s="11"/>
      <c r="G63" s="11"/>
      <c r="H63" s="11"/>
      <c r="I63" s="37"/>
      <c r="J63" s="70"/>
      <c r="K63" s="70"/>
      <c r="L63" s="57"/>
      <c r="N63" s="41"/>
      <c r="O63" s="11"/>
    </row>
    <row r="64" spans="1:21" s="14" customFormat="1" x14ac:dyDescent="0.25">
      <c r="A64" s="12"/>
      <c r="B64" s="11"/>
      <c r="C64" s="11"/>
      <c r="D64" s="11"/>
      <c r="E64" s="11"/>
      <c r="F64" s="11"/>
      <c r="G64" s="11"/>
      <c r="H64" s="11"/>
      <c r="I64" s="37"/>
      <c r="J64" s="70"/>
      <c r="K64" s="70"/>
      <c r="L64" s="57"/>
      <c r="N64" s="41"/>
      <c r="O64" s="11"/>
    </row>
    <row r="65" spans="1:15" s="14" customFormat="1" x14ac:dyDescent="0.25">
      <c r="A65" s="12"/>
      <c r="B65" s="11"/>
      <c r="C65" s="11"/>
      <c r="D65" s="11"/>
      <c r="E65" s="11"/>
      <c r="F65" s="11"/>
      <c r="G65" s="11"/>
      <c r="H65" s="11"/>
      <c r="I65" s="37"/>
      <c r="J65" s="70"/>
      <c r="K65" s="70"/>
      <c r="L65" s="57"/>
      <c r="N65" s="41"/>
      <c r="O65" s="11"/>
    </row>
    <row r="66" spans="1:15" s="14" customFormat="1" x14ac:dyDescent="0.25">
      <c r="A66" s="12"/>
      <c r="B66" s="11"/>
      <c r="C66" s="11"/>
      <c r="D66" s="11"/>
      <c r="E66" s="11"/>
      <c r="F66" s="11"/>
      <c r="G66" s="11"/>
      <c r="H66" s="11"/>
      <c r="I66" s="37"/>
      <c r="J66" s="70"/>
      <c r="K66" s="70"/>
      <c r="L66" s="57"/>
      <c r="N66" s="41"/>
      <c r="O66" s="11"/>
    </row>
    <row r="67" spans="1:15" s="14" customFormat="1" x14ac:dyDescent="0.25">
      <c r="A67" s="12"/>
      <c r="B67" s="11"/>
      <c r="C67" s="11"/>
      <c r="D67" s="11"/>
      <c r="E67" s="11"/>
      <c r="F67" s="11"/>
      <c r="G67" s="11"/>
      <c r="H67" s="11"/>
      <c r="I67" s="37"/>
      <c r="J67" s="70"/>
      <c r="K67" s="70"/>
      <c r="L67" s="57"/>
      <c r="N67" s="41"/>
      <c r="O67" s="11"/>
    </row>
    <row r="68" spans="1:15" s="14" customFormat="1" x14ac:dyDescent="0.25">
      <c r="A68" s="12"/>
      <c r="B68" s="11"/>
      <c r="C68" s="11"/>
      <c r="D68" s="11"/>
      <c r="E68" s="11"/>
      <c r="F68" s="11"/>
      <c r="G68" s="11"/>
      <c r="H68" s="11"/>
      <c r="I68" s="37"/>
      <c r="J68" s="70"/>
      <c r="K68" s="70"/>
      <c r="L68" s="57"/>
      <c r="N68" s="41"/>
      <c r="O68" s="11"/>
    </row>
    <row r="69" spans="1:15" s="14" customFormat="1" x14ac:dyDescent="0.25">
      <c r="A69" s="12"/>
      <c r="B69" s="11"/>
      <c r="C69" s="11"/>
      <c r="D69" s="11"/>
      <c r="E69" s="11"/>
      <c r="F69" s="11"/>
      <c r="G69" s="11"/>
      <c r="H69" s="11"/>
      <c r="I69" s="37"/>
      <c r="J69" s="70"/>
      <c r="K69" s="70"/>
      <c r="L69" s="57"/>
      <c r="N69" s="41"/>
      <c r="O69" s="11"/>
    </row>
    <row r="70" spans="1:15" s="14" customFormat="1" x14ac:dyDescent="0.25">
      <c r="A70" s="12"/>
      <c r="B70" s="11"/>
      <c r="C70" s="11"/>
      <c r="D70" s="11"/>
      <c r="E70" s="11"/>
      <c r="F70" s="11"/>
      <c r="G70" s="11"/>
      <c r="H70" s="11"/>
      <c r="I70" s="37"/>
      <c r="J70" s="70"/>
      <c r="K70" s="70"/>
      <c r="L70" s="57"/>
      <c r="N70" s="41"/>
      <c r="O70" s="11"/>
    </row>
    <row r="71" spans="1:15" s="14" customFormat="1" x14ac:dyDescent="0.25">
      <c r="A71" s="12"/>
      <c r="B71" s="11"/>
      <c r="C71" s="11"/>
      <c r="D71" s="11"/>
      <c r="E71" s="11"/>
      <c r="F71" s="11"/>
      <c r="G71" s="11"/>
      <c r="H71" s="11"/>
      <c r="I71" s="37"/>
      <c r="J71" s="70"/>
      <c r="K71" s="70"/>
      <c r="L71" s="57"/>
      <c r="N71" s="41"/>
      <c r="O71" s="11"/>
    </row>
    <row r="72" spans="1:15" s="14" customFormat="1" x14ac:dyDescent="0.25">
      <c r="A72" s="12"/>
      <c r="B72" s="11"/>
      <c r="C72" s="11"/>
      <c r="D72" s="11"/>
      <c r="E72" s="11"/>
      <c r="F72" s="11"/>
      <c r="G72" s="11"/>
      <c r="H72" s="11"/>
      <c r="I72" s="37"/>
      <c r="J72" s="70"/>
      <c r="K72" s="70"/>
      <c r="L72" s="57"/>
      <c r="N72" s="41"/>
      <c r="O72" s="11"/>
    </row>
    <row r="73" spans="1:15" s="14" customFormat="1" x14ac:dyDescent="0.25">
      <c r="A73" s="12"/>
      <c r="B73" s="11"/>
      <c r="C73" s="11"/>
      <c r="D73" s="11"/>
      <c r="E73" s="11"/>
      <c r="F73" s="11"/>
      <c r="G73" s="11"/>
      <c r="H73" s="11"/>
      <c r="I73" s="37"/>
      <c r="J73" s="70"/>
      <c r="K73" s="70"/>
      <c r="L73" s="57"/>
      <c r="N73" s="41"/>
      <c r="O73" s="11"/>
    </row>
    <row r="74" spans="1:15" s="14" customFormat="1" x14ac:dyDescent="0.25">
      <c r="A74" s="12"/>
      <c r="B74" s="11"/>
      <c r="C74" s="11"/>
      <c r="D74" s="11"/>
      <c r="E74" s="11"/>
      <c r="F74" s="11"/>
      <c r="G74" s="11"/>
      <c r="H74" s="11"/>
      <c r="I74" s="37"/>
      <c r="J74" s="70"/>
      <c r="K74" s="70"/>
      <c r="L74" s="57"/>
      <c r="N74" s="41"/>
      <c r="O74" s="11"/>
    </row>
    <row r="75" spans="1:15" s="14" customFormat="1" x14ac:dyDescent="0.25">
      <c r="A75" s="12"/>
      <c r="B75" s="11"/>
      <c r="C75" s="11"/>
      <c r="D75" s="11"/>
      <c r="E75" s="11"/>
      <c r="F75" s="11"/>
      <c r="G75" s="11"/>
      <c r="H75" s="11"/>
      <c r="I75" s="37"/>
      <c r="J75" s="70"/>
      <c r="K75" s="70"/>
      <c r="L75" s="57"/>
      <c r="N75" s="41"/>
      <c r="O75" s="11"/>
    </row>
    <row r="76" spans="1:15" s="14" customFormat="1" x14ac:dyDescent="0.25">
      <c r="A76" s="12"/>
      <c r="B76" s="11"/>
      <c r="C76" s="11"/>
      <c r="D76" s="11"/>
      <c r="E76" s="11"/>
      <c r="F76" s="11"/>
      <c r="G76" s="11"/>
      <c r="H76" s="11"/>
      <c r="I76" s="37"/>
      <c r="J76" s="70"/>
      <c r="K76" s="70"/>
      <c r="L76" s="57"/>
      <c r="N76" s="41"/>
      <c r="O76" s="11"/>
    </row>
    <row r="77" spans="1:15" s="14" customFormat="1" x14ac:dyDescent="0.25">
      <c r="A77" s="12"/>
      <c r="B77" s="11"/>
      <c r="C77" s="11"/>
      <c r="D77" s="11"/>
      <c r="E77" s="11"/>
      <c r="F77" s="11"/>
      <c r="G77" s="11"/>
      <c r="H77" s="11"/>
      <c r="I77" s="37"/>
      <c r="J77" s="70"/>
      <c r="K77" s="70"/>
      <c r="L77" s="57"/>
      <c r="N77" s="41"/>
      <c r="O77" s="11"/>
    </row>
    <row r="78" spans="1:15" s="14" customFormat="1" x14ac:dyDescent="0.25">
      <c r="A78" s="12"/>
      <c r="B78" s="11"/>
      <c r="C78" s="11"/>
      <c r="D78" s="11"/>
      <c r="E78" s="11"/>
      <c r="F78" s="11"/>
      <c r="G78" s="11"/>
      <c r="H78" s="11"/>
      <c r="I78" s="37"/>
      <c r="J78" s="70"/>
      <c r="K78" s="70"/>
      <c r="L78" s="57"/>
      <c r="N78" s="41"/>
      <c r="O78" s="11"/>
    </row>
    <row r="79" spans="1:15" s="14" customFormat="1" x14ac:dyDescent="0.25">
      <c r="A79" s="12"/>
      <c r="B79" s="11"/>
      <c r="C79" s="11"/>
      <c r="D79" s="11"/>
      <c r="E79" s="11"/>
      <c r="F79" s="11"/>
      <c r="G79" s="11"/>
      <c r="H79" s="11"/>
      <c r="I79" s="37"/>
      <c r="J79" s="70"/>
      <c r="K79" s="70"/>
      <c r="L79" s="57"/>
      <c r="N79" s="41"/>
      <c r="O79" s="11"/>
    </row>
    <row r="80" spans="1:15" s="14" customFormat="1" x14ac:dyDescent="0.25">
      <c r="A80" s="12"/>
      <c r="B80" s="11"/>
      <c r="C80" s="11"/>
      <c r="D80" s="11"/>
      <c r="E80" s="11"/>
      <c r="F80" s="11"/>
      <c r="G80" s="11"/>
      <c r="H80" s="11"/>
      <c r="I80" s="37"/>
      <c r="J80" s="70"/>
      <c r="K80" s="70"/>
      <c r="L80" s="57"/>
      <c r="N80" s="41"/>
      <c r="O80" s="11"/>
    </row>
    <row r="81" spans="1:15" s="14" customFormat="1" x14ac:dyDescent="0.25">
      <c r="A81" s="12"/>
      <c r="B81" s="11"/>
      <c r="C81" s="11"/>
      <c r="D81" s="11"/>
      <c r="E81" s="11"/>
      <c r="F81" s="11"/>
      <c r="G81" s="11"/>
      <c r="H81" s="11"/>
      <c r="I81" s="37"/>
      <c r="J81" s="70"/>
      <c r="K81" s="70"/>
      <c r="L81" s="57"/>
      <c r="N81" s="41"/>
      <c r="O81" s="11"/>
    </row>
    <row r="82" spans="1:15" s="14" customFormat="1" x14ac:dyDescent="0.25">
      <c r="A82" s="12"/>
      <c r="B82" s="11"/>
      <c r="C82" s="11"/>
      <c r="D82" s="11"/>
      <c r="E82" s="11"/>
      <c r="F82" s="11"/>
      <c r="G82" s="11"/>
      <c r="H82" s="11"/>
      <c r="I82" s="37"/>
      <c r="J82" s="70"/>
      <c r="K82" s="70"/>
      <c r="L82" s="57"/>
      <c r="N82" s="41"/>
      <c r="O82" s="11"/>
    </row>
    <row r="83" spans="1:15" s="14" customFormat="1" x14ac:dyDescent="0.25">
      <c r="A83" s="12"/>
      <c r="B83" s="11"/>
      <c r="C83" s="11"/>
      <c r="D83" s="11"/>
      <c r="E83" s="11"/>
      <c r="F83" s="11"/>
      <c r="G83" s="11"/>
      <c r="H83" s="11"/>
      <c r="I83" s="37"/>
      <c r="J83" s="70"/>
      <c r="K83" s="70"/>
      <c r="L83" s="57"/>
      <c r="N83" s="41"/>
      <c r="O83" s="11"/>
    </row>
    <row r="84" spans="1:15" x14ac:dyDescent="0.25">
      <c r="M84" s="14"/>
      <c r="N84" s="11"/>
    </row>
    <row r="85" spans="1:15" x14ac:dyDescent="0.25">
      <c r="M85" s="14"/>
      <c r="N85" s="11"/>
    </row>
    <row r="86" spans="1:15" x14ac:dyDescent="0.25">
      <c r="M86" s="14"/>
      <c r="N86" s="11"/>
    </row>
    <row r="87" spans="1:15" x14ac:dyDescent="0.25">
      <c r="M87" s="14"/>
      <c r="N87" s="11"/>
    </row>
    <row r="88" spans="1:15" x14ac:dyDescent="0.25">
      <c r="M88" s="14"/>
      <c r="N88" s="11"/>
    </row>
    <row r="89" spans="1:15" x14ac:dyDescent="0.25">
      <c r="M89" s="14"/>
      <c r="N89" s="11"/>
    </row>
    <row r="90" spans="1:15" x14ac:dyDescent="0.25">
      <c r="M90" s="14"/>
      <c r="N90" s="11"/>
    </row>
    <row r="91" spans="1:15" x14ac:dyDescent="0.25">
      <c r="M91" s="14"/>
      <c r="N91" s="11"/>
    </row>
    <row r="92" spans="1:15" x14ac:dyDescent="0.25">
      <c r="M92" s="14"/>
      <c r="N92" s="11"/>
    </row>
    <row r="93" spans="1:15" x14ac:dyDescent="0.25">
      <c r="M93" s="14"/>
      <c r="N93" s="11"/>
    </row>
    <row r="94" spans="1:15" x14ac:dyDescent="0.25">
      <c r="M94" s="14"/>
      <c r="N94" s="11"/>
    </row>
    <row r="95" spans="1:15" x14ac:dyDescent="0.25">
      <c r="M95" s="14"/>
      <c r="N95" s="11"/>
    </row>
    <row r="96" spans="1:15" x14ac:dyDescent="0.25">
      <c r="M96" s="14"/>
      <c r="N96" s="11"/>
    </row>
    <row r="97" spans="13:14" x14ac:dyDescent="0.25">
      <c r="M97" s="14"/>
      <c r="N97" s="11"/>
    </row>
    <row r="98" spans="13:14" x14ac:dyDescent="0.25">
      <c r="M98" s="14"/>
      <c r="N98" s="11"/>
    </row>
    <row r="99" spans="13:14" x14ac:dyDescent="0.25">
      <c r="M99" s="14"/>
      <c r="N99" s="11"/>
    </row>
    <row r="100" spans="13:14" x14ac:dyDescent="0.25">
      <c r="M100" s="14"/>
      <c r="N100" s="11"/>
    </row>
    <row r="101" spans="13:14" x14ac:dyDescent="0.25">
      <c r="M101" s="14"/>
      <c r="N101" s="11"/>
    </row>
    <row r="102" spans="13:14" x14ac:dyDescent="0.25">
      <c r="M102" s="14"/>
      <c r="N102" s="11"/>
    </row>
    <row r="103" spans="13:14" x14ac:dyDescent="0.25">
      <c r="M103" s="14"/>
      <c r="N103" s="11"/>
    </row>
    <row r="104" spans="13:14" x14ac:dyDescent="0.25">
      <c r="M104" s="14"/>
      <c r="N104" s="11"/>
    </row>
    <row r="105" spans="13:14" x14ac:dyDescent="0.25">
      <c r="M105" s="14"/>
      <c r="N105" s="11"/>
    </row>
    <row r="106" spans="13:14" x14ac:dyDescent="0.25">
      <c r="M106" s="14"/>
      <c r="N106" s="11"/>
    </row>
    <row r="107" spans="13:14" x14ac:dyDescent="0.25">
      <c r="M107" s="14"/>
      <c r="N107" s="11"/>
    </row>
    <row r="108" spans="13:14" x14ac:dyDescent="0.25">
      <c r="M108" s="14"/>
      <c r="N108" s="11"/>
    </row>
    <row r="109" spans="13:14" x14ac:dyDescent="0.25">
      <c r="M109" s="14"/>
      <c r="N109" s="11"/>
    </row>
    <row r="110" spans="13:14" x14ac:dyDescent="0.25">
      <c r="M110" s="14"/>
      <c r="N110" s="11"/>
    </row>
    <row r="111" spans="13:14" x14ac:dyDescent="0.25">
      <c r="M111" s="14"/>
      <c r="N111" s="11"/>
    </row>
    <row r="112" spans="13:14" x14ac:dyDescent="0.25">
      <c r="M112" s="14"/>
      <c r="N112" s="11"/>
    </row>
    <row r="113" spans="13:14" x14ac:dyDescent="0.25">
      <c r="M113" s="14"/>
      <c r="N113" s="11"/>
    </row>
    <row r="114" spans="13:14" x14ac:dyDescent="0.25">
      <c r="M114" s="14"/>
      <c r="N114" s="11"/>
    </row>
    <row r="115" spans="13:14" x14ac:dyDescent="0.25">
      <c r="M115" s="14"/>
      <c r="N115" s="11"/>
    </row>
    <row r="116" spans="13:14" x14ac:dyDescent="0.25">
      <c r="M116" s="14"/>
      <c r="N116" s="11"/>
    </row>
    <row r="117" spans="13:14" x14ac:dyDescent="0.25">
      <c r="M117" s="14"/>
      <c r="N117" s="11"/>
    </row>
    <row r="118" spans="13:14" x14ac:dyDescent="0.25">
      <c r="M118" s="14"/>
      <c r="N118" s="11"/>
    </row>
    <row r="119" spans="13:14" x14ac:dyDescent="0.25">
      <c r="M119" s="14"/>
      <c r="N119" s="11"/>
    </row>
    <row r="120" spans="13:14" x14ac:dyDescent="0.25">
      <c r="M120" s="14"/>
      <c r="N120" s="11"/>
    </row>
    <row r="121" spans="13:14" x14ac:dyDescent="0.25">
      <c r="M121" s="14"/>
      <c r="N121" s="11"/>
    </row>
    <row r="122" spans="13:14" x14ac:dyDescent="0.25">
      <c r="M122" s="14"/>
      <c r="N122" s="11"/>
    </row>
    <row r="123" spans="13:14" x14ac:dyDescent="0.25">
      <c r="M123" s="14"/>
      <c r="N123" s="11"/>
    </row>
    <row r="124" spans="13:14" x14ac:dyDescent="0.25">
      <c r="M124" s="14"/>
    </row>
    <row r="125" spans="13:14" x14ac:dyDescent="0.25">
      <c r="M125" s="14"/>
    </row>
    <row r="126" spans="13:14" ht="45" customHeight="1" x14ac:dyDescent="0.25">
      <c r="M126" s="14"/>
    </row>
    <row r="127" spans="13:14" ht="45" customHeight="1" x14ac:dyDescent="0.25">
      <c r="M127" s="14"/>
    </row>
    <row r="128" spans="13:14" ht="45" customHeight="1" x14ac:dyDescent="0.25">
      <c r="M128" s="14"/>
    </row>
    <row r="129" spans="13:13" ht="45" customHeight="1" x14ac:dyDescent="0.25">
      <c r="M129" s="14"/>
    </row>
    <row r="130" spans="13:13" ht="45" customHeight="1" x14ac:dyDescent="0.25">
      <c r="M130" s="14"/>
    </row>
    <row r="131" spans="13:13" ht="45" customHeight="1" x14ac:dyDescent="0.25">
      <c r="M131" s="14"/>
    </row>
    <row r="132" spans="13:13" ht="45" customHeight="1" x14ac:dyDescent="0.25">
      <c r="M132" s="14"/>
    </row>
    <row r="133" spans="13:13" ht="45" customHeight="1" x14ac:dyDescent="0.25">
      <c r="M133" s="14"/>
    </row>
    <row r="134" spans="13:13" ht="45" customHeight="1" x14ac:dyDescent="0.25">
      <c r="M134" s="14"/>
    </row>
    <row r="135" spans="13:13" x14ac:dyDescent="0.25">
      <c r="M135" s="12"/>
    </row>
    <row r="136" spans="13:13" x14ac:dyDescent="0.25">
      <c r="M136" s="12"/>
    </row>
    <row r="137" spans="13:13" x14ac:dyDescent="0.25">
      <c r="M137" s="12"/>
    </row>
    <row r="138" spans="13:13" x14ac:dyDescent="0.25">
      <c r="M138" s="12"/>
    </row>
    <row r="139" spans="13:13" x14ac:dyDescent="0.25">
      <c r="M139" s="12"/>
    </row>
    <row r="140" spans="13:13" x14ac:dyDescent="0.25">
      <c r="M140" s="12"/>
    </row>
    <row r="141" spans="13:13" x14ac:dyDescent="0.25">
      <c r="M141" s="12"/>
    </row>
    <row r="142" spans="13:13" x14ac:dyDescent="0.25">
      <c r="M142" s="12"/>
    </row>
    <row r="143" spans="13:13" x14ac:dyDescent="0.25">
      <c r="M143" s="12"/>
    </row>
    <row r="144" spans="13:13" x14ac:dyDescent="0.25">
      <c r="M144" s="12"/>
    </row>
    <row r="145" spans="13:13" x14ac:dyDescent="0.25">
      <c r="M145" s="12"/>
    </row>
    <row r="146" spans="13:13" x14ac:dyDescent="0.25">
      <c r="M146" s="12"/>
    </row>
    <row r="147" spans="13:13" x14ac:dyDescent="0.25">
      <c r="M147" s="12"/>
    </row>
    <row r="148" spans="13:13" x14ac:dyDescent="0.25">
      <c r="M148" s="12"/>
    </row>
    <row r="149" spans="13:13" x14ac:dyDescent="0.25">
      <c r="M149" s="12"/>
    </row>
    <row r="150" spans="13:13" x14ac:dyDescent="0.25">
      <c r="M150" s="12"/>
    </row>
    <row r="151" spans="13:13" x14ac:dyDescent="0.25">
      <c r="M151" s="12"/>
    </row>
    <row r="152" spans="13:13" x14ac:dyDescent="0.25">
      <c r="M152" s="12"/>
    </row>
    <row r="153" spans="13:13" x14ac:dyDescent="0.25">
      <c r="M153" s="12"/>
    </row>
  </sheetData>
  <autoFilter ref="A2:O123" xr:uid="{C05F9277-E941-4F8C-B88B-7443D998D414}">
    <sortState xmlns:xlrd2="http://schemas.microsoft.com/office/spreadsheetml/2017/richdata2" ref="A3:N73">
      <sortCondition ref="G2:G33"/>
    </sortState>
  </autoFilter>
  <conditionalFormatting sqref="J1">
    <cfRule type="containsText" dxfId="75" priority="1" operator="containsText" text="ไม่พบ">
      <formula>NOT(ISERROR(SEARCH("ไม่พบ",J1)))</formula>
    </cfRule>
  </conditionalFormatting>
  <conditionalFormatting sqref="J53:K1048576">
    <cfRule type="containsText" dxfId="74" priority="7" operator="containsText" text="ไม่พบ">
      <formula>NOT(ISERROR(SEARCH("ไม่พบ",J53)))</formula>
    </cfRule>
  </conditionalFormatting>
  <conditionalFormatting sqref="J2:L2">
    <cfRule type="containsText" dxfId="73" priority="5" operator="containsText" text="ไม่พบ">
      <formula>NOT(ISERROR(SEARCH("ไม่พบ",J2)))</formula>
    </cfRule>
  </conditionalFormatting>
  <conditionalFormatting sqref="N2">
    <cfRule type="duplicateValues" dxfId="72" priority="4"/>
  </conditionalFormatting>
  <conditionalFormatting sqref="N154:N1048576 N1 M135:M153">
    <cfRule type="duplicateValues" dxfId="71" priority="185"/>
    <cfRule type="duplicateValues" dxfId="70" priority="186"/>
  </conditionalFormatting>
  <conditionalFormatting sqref="O2">
    <cfRule type="duplicateValues" dxfId="69" priority="2"/>
    <cfRule type="duplicateValues" dxfId="68" priority="3"/>
  </conditionalFormatting>
  <dataValidations count="2">
    <dataValidation type="list" allowBlank="1" showInputMessage="1" showErrorMessage="1" sqref="K2 L53:L1048576 L1:L2" xr:uid="{8E72E518-7901-4C66-B521-644992268459}">
      <formula1>#REF!</formula1>
    </dataValidation>
    <dataValidation type="list" allowBlank="1" showInputMessage="1" showErrorMessage="1" sqref="K1" xr:uid="{1730B6BA-EB92-4885-BDA7-9844CDF7C105}">
      <formula1>$M$3:$M$35</formula1>
    </dataValidation>
  </dataValidations>
  <pageMargins left="0.25" right="0.25" top="0.75" bottom="0.75" header="0.3" footer="0.3"/>
  <pageSetup paperSize="9" scale="1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3C1B-C158-4D8F-821F-FE69701FAB47}">
  <sheetPr>
    <tabColor rgb="FF00B0F0"/>
  </sheetPr>
  <dimension ref="A1:M63"/>
  <sheetViews>
    <sheetView zoomScale="70" zoomScaleNormal="70" workbookViewId="0">
      <pane xSplit="4" ySplit="2" topLeftCell="E3" activePane="bottomRight" state="frozen"/>
      <selection activeCell="I74" sqref="B3:I74"/>
      <selection pane="topRight" activeCell="I74" sqref="B3:I74"/>
      <selection pane="bottomLeft" activeCell="I74" sqref="B3:I74"/>
      <selection pane="bottomRight" activeCell="I3" sqref="I3:I7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4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932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54" t="s">
        <v>6021</v>
      </c>
      <c r="C3" s="54" t="s">
        <v>1081</v>
      </c>
      <c r="D3" s="54" t="s">
        <v>989</v>
      </c>
      <c r="E3" s="54" t="s">
        <v>8</v>
      </c>
      <c r="F3" s="54" t="s">
        <v>990</v>
      </c>
      <c r="G3" s="54" t="s">
        <v>6022</v>
      </c>
      <c r="H3" s="55">
        <v>51.26</v>
      </c>
      <c r="I3" s="53" t="s">
        <v>992</v>
      </c>
      <c r="J3" s="12"/>
      <c r="M3" s="30"/>
    </row>
    <row r="4" spans="1:13" s="31" customFormat="1" ht="23.4" x14ac:dyDescent="0.6">
      <c r="A4" s="9">
        <v>2</v>
      </c>
      <c r="B4" s="54" t="s">
        <v>6023</v>
      </c>
      <c r="C4" s="54" t="s">
        <v>1081</v>
      </c>
      <c r="D4" s="54" t="s">
        <v>989</v>
      </c>
      <c r="E4" s="54" t="s">
        <v>8</v>
      </c>
      <c r="F4" s="54" t="s">
        <v>990</v>
      </c>
      <c r="G4" s="54" t="s">
        <v>6024</v>
      </c>
      <c r="H4" s="55">
        <v>51.26</v>
      </c>
      <c r="I4" s="53" t="s">
        <v>992</v>
      </c>
      <c r="J4" s="12"/>
      <c r="M4" s="30"/>
    </row>
    <row r="5" spans="1:13" s="31" customFormat="1" ht="23.4" x14ac:dyDescent="0.6">
      <c r="A5" s="9">
        <v>3</v>
      </c>
      <c r="B5" s="54" t="s">
        <v>6025</v>
      </c>
      <c r="C5" s="54" t="s">
        <v>6026</v>
      </c>
      <c r="D5" s="54" t="s">
        <v>989</v>
      </c>
      <c r="E5" s="54" t="s">
        <v>8</v>
      </c>
      <c r="F5" s="54" t="s">
        <v>990</v>
      </c>
      <c r="G5" s="54" t="s">
        <v>6027</v>
      </c>
      <c r="H5" s="55">
        <v>137.33000000000001</v>
      </c>
      <c r="I5" s="53" t="s">
        <v>992</v>
      </c>
      <c r="J5" s="12"/>
      <c r="M5" s="30"/>
    </row>
    <row r="6" spans="1:13" s="31" customFormat="1" ht="23.4" x14ac:dyDescent="0.6">
      <c r="A6" s="9">
        <v>4</v>
      </c>
      <c r="B6" s="54" t="s">
        <v>6028</v>
      </c>
      <c r="C6" s="54" t="s">
        <v>6029</v>
      </c>
      <c r="D6" s="54" t="s">
        <v>999</v>
      </c>
      <c r="E6" s="54" t="s">
        <v>6030</v>
      </c>
      <c r="F6" s="54" t="s">
        <v>8</v>
      </c>
      <c r="G6" s="54" t="s">
        <v>6031</v>
      </c>
      <c r="H6" s="55">
        <v>100</v>
      </c>
      <c r="I6" s="53" t="s">
        <v>992</v>
      </c>
      <c r="J6" s="12"/>
      <c r="M6" s="30"/>
    </row>
    <row r="7" spans="1:13" s="31" customFormat="1" ht="23.4" x14ac:dyDescent="0.6">
      <c r="A7" s="9">
        <v>5</v>
      </c>
      <c r="B7" s="1" t="s">
        <v>6092</v>
      </c>
      <c r="C7" s="1" t="s">
        <v>6093</v>
      </c>
      <c r="D7" s="1" t="s">
        <v>989</v>
      </c>
      <c r="E7" s="1" t="s">
        <v>8</v>
      </c>
      <c r="F7" s="1" t="s">
        <v>990</v>
      </c>
      <c r="G7" s="1" t="s">
        <v>6094</v>
      </c>
      <c r="H7" s="23">
        <v>239.75</v>
      </c>
      <c r="I7" s="53" t="s">
        <v>992</v>
      </c>
      <c r="J7" s="12"/>
      <c r="M7" s="30"/>
    </row>
    <row r="8" spans="1:13" s="31" customFormat="1" ht="27" thickBot="1" x14ac:dyDescent="0.75">
      <c r="A8" s="56"/>
      <c r="B8" s="56"/>
      <c r="C8" s="56"/>
      <c r="D8" s="56"/>
      <c r="E8" s="56"/>
      <c r="F8" s="56"/>
      <c r="G8" s="25" t="s">
        <v>28</v>
      </c>
      <c r="H8" s="26">
        <f>SUM(H3:H7)</f>
        <v>579.6</v>
      </c>
      <c r="I8" s="16" t="s">
        <v>47</v>
      </c>
      <c r="J8" s="30"/>
      <c r="M8" s="30"/>
    </row>
    <row r="9" spans="1:13" s="31" customFormat="1" ht="21" thickTop="1" x14ac:dyDescent="0.35">
      <c r="A9" s="12"/>
      <c r="B9" s="12"/>
      <c r="C9" s="12"/>
      <c r="D9" s="12"/>
      <c r="E9" s="12"/>
      <c r="F9" s="12"/>
      <c r="G9" s="12"/>
      <c r="H9" s="12"/>
      <c r="I9" s="12"/>
      <c r="J9" s="30"/>
      <c r="M9" s="30"/>
    </row>
    <row r="10" spans="1:13" s="31" customFormat="1" ht="20.399999999999999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30"/>
      <c r="M10" s="30"/>
    </row>
    <row r="11" spans="1:13" s="31" customFormat="1" ht="20.399999999999999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30"/>
      <c r="M11" s="30"/>
    </row>
    <row r="12" spans="1:13" s="31" customFormat="1" ht="20.399999999999999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30"/>
      <c r="M12" s="30"/>
    </row>
    <row r="13" spans="1:13" s="31" customFormat="1" ht="20.399999999999999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30"/>
      <c r="M13" s="30"/>
    </row>
    <row r="14" spans="1:13" s="31" customFormat="1" ht="20.39999999999999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30"/>
      <c r="M14" s="30"/>
    </row>
    <row r="15" spans="1:13" s="31" customFormat="1" ht="20.39999999999999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30"/>
      <c r="M15" s="30"/>
    </row>
    <row r="16" spans="1:13" s="31" customFormat="1" ht="20.39999999999999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30"/>
      <c r="M16" s="30"/>
    </row>
    <row r="17" spans="1:13" s="31" customFormat="1" ht="20.39999999999999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30"/>
      <c r="M17" s="30"/>
    </row>
    <row r="18" spans="1:13" s="31" customFormat="1" ht="20.39999999999999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30"/>
      <c r="M18" s="30"/>
    </row>
    <row r="19" spans="1:13" s="31" customFormat="1" ht="20.39999999999999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30"/>
      <c r="M19" s="30"/>
    </row>
    <row r="20" spans="1:13" s="31" customFormat="1" ht="20.399999999999999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M20" s="30"/>
    </row>
    <row r="21" spans="1:13" s="31" customFormat="1" ht="20.399999999999999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30"/>
      <c r="M21" s="30"/>
    </row>
    <row r="22" spans="1:13" s="31" customFormat="1" ht="20.399999999999999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30"/>
      <c r="M22" s="30"/>
    </row>
    <row r="23" spans="1:13" s="31" customFormat="1" ht="20.39999999999999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30"/>
      <c r="M23" s="30"/>
    </row>
    <row r="24" spans="1:13" s="31" customFormat="1" ht="20.399999999999999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30"/>
      <c r="M24" s="30"/>
    </row>
    <row r="25" spans="1:13" s="31" customFormat="1" ht="20.399999999999999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30"/>
      <c r="M25" s="30"/>
    </row>
    <row r="26" spans="1:13" s="31" customFormat="1" ht="20.399999999999999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30"/>
      <c r="L26" s="30"/>
    </row>
    <row r="27" spans="1:13" s="31" customFormat="1" ht="20.399999999999999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30"/>
      <c r="L27" s="30"/>
    </row>
    <row r="28" spans="1:13" s="31" customFormat="1" ht="20.399999999999999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30"/>
      <c r="L28" s="30"/>
    </row>
    <row r="29" spans="1:13" s="31" customFormat="1" ht="20.399999999999999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30"/>
      <c r="L29" s="30"/>
    </row>
    <row r="30" spans="1:13" s="31" customFormat="1" ht="20.399999999999999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30"/>
      <c r="L30" s="30"/>
    </row>
    <row r="31" spans="1:13" s="31" customFormat="1" ht="20.399999999999999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30"/>
      <c r="L31" s="30"/>
    </row>
    <row r="32" spans="1:13" s="31" customFormat="1" ht="20.399999999999999" x14ac:dyDescent="0.35">
      <c r="A32" s="12"/>
      <c r="B32" s="12"/>
      <c r="C32" s="12"/>
      <c r="D32" s="12"/>
      <c r="E32" s="12"/>
      <c r="F32" s="12"/>
      <c r="G32" s="12"/>
      <c r="H32" s="12"/>
      <c r="I32" s="12"/>
      <c r="L32" s="30"/>
    </row>
    <row r="33" spans="1:12" s="31" customFormat="1" ht="20.399999999999999" x14ac:dyDescent="0.35">
      <c r="A33" s="12"/>
      <c r="B33" s="12"/>
      <c r="C33" s="12"/>
      <c r="D33" s="12"/>
      <c r="E33" s="12"/>
      <c r="F33" s="12"/>
      <c r="G33" s="12"/>
      <c r="H33" s="12"/>
      <c r="I33" s="12"/>
      <c r="L33" s="30"/>
    </row>
    <row r="34" spans="1:12" s="31" customFormat="1" ht="20.399999999999999" x14ac:dyDescent="0.35">
      <c r="A34" s="12"/>
      <c r="B34" s="12"/>
      <c r="C34" s="12"/>
      <c r="D34" s="12"/>
      <c r="E34" s="12"/>
      <c r="F34" s="12"/>
      <c r="G34" s="12"/>
      <c r="H34" s="12"/>
      <c r="I34" s="12"/>
      <c r="L34" s="30"/>
    </row>
    <row r="35" spans="1:12" s="31" customFormat="1" ht="20.399999999999999" x14ac:dyDescent="0.35">
      <c r="A35" s="12"/>
      <c r="B35" s="12"/>
      <c r="C35" s="12"/>
      <c r="D35" s="12"/>
      <c r="E35" s="12"/>
      <c r="F35" s="12"/>
      <c r="G35" s="12"/>
      <c r="H35" s="12"/>
      <c r="I35" s="12"/>
      <c r="L35" s="30"/>
    </row>
    <row r="36" spans="1:12" s="31" customFormat="1" ht="20.399999999999999" x14ac:dyDescent="0.35">
      <c r="A36" s="12"/>
      <c r="B36" s="12"/>
      <c r="C36" s="12"/>
      <c r="D36" s="12"/>
      <c r="E36" s="12"/>
      <c r="F36" s="12"/>
      <c r="G36" s="12"/>
      <c r="H36" s="12"/>
      <c r="I36" s="12"/>
      <c r="L36" s="30"/>
    </row>
    <row r="37" spans="1:12" s="31" customFormat="1" ht="20.399999999999999" x14ac:dyDescent="0.35">
      <c r="A37" s="12"/>
      <c r="B37" s="12"/>
      <c r="C37" s="12"/>
      <c r="D37" s="12"/>
      <c r="E37" s="12"/>
      <c r="F37" s="12"/>
      <c r="G37" s="12"/>
      <c r="H37" s="12"/>
      <c r="I37" s="12"/>
      <c r="L37" s="30"/>
    </row>
    <row r="38" spans="1:12" s="31" customFormat="1" ht="20.399999999999999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30"/>
      <c r="L38" s="30"/>
    </row>
    <row r="39" spans="1:12" s="31" customFormat="1" ht="20.399999999999999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30"/>
      <c r="L39" s="30"/>
    </row>
    <row r="40" spans="1:12" s="31" customFormat="1" ht="20.399999999999999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30"/>
      <c r="L40" s="30"/>
    </row>
    <row r="41" spans="1:12" s="31" customFormat="1" ht="20.399999999999999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30"/>
      <c r="L41" s="30"/>
    </row>
    <row r="42" spans="1:12" s="31" customFormat="1" ht="20.399999999999999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30"/>
      <c r="L42" s="30"/>
    </row>
    <row r="43" spans="1:12" s="31" customFormat="1" ht="20.399999999999999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30"/>
      <c r="L43" s="30"/>
    </row>
    <row r="44" spans="1:12" s="31" customFormat="1" ht="20.399999999999999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30"/>
      <c r="L44" s="30"/>
    </row>
    <row r="45" spans="1:12" s="31" customFormat="1" ht="20.399999999999999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30"/>
      <c r="L45" s="30"/>
    </row>
    <row r="46" spans="1:12" s="31" customFormat="1" ht="20.399999999999999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30"/>
      <c r="L46" s="30"/>
    </row>
    <row r="47" spans="1:12" s="31" customFormat="1" ht="20.399999999999999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30"/>
      <c r="L47" s="30"/>
    </row>
    <row r="48" spans="1:12" s="31" customFormat="1" ht="20.399999999999999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30"/>
      <c r="L48" s="30"/>
    </row>
    <row r="49" spans="1:12" s="31" customFormat="1" ht="20.399999999999999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30"/>
      <c r="L49" s="30"/>
    </row>
    <row r="50" spans="1:12" s="31" customFormat="1" ht="20.399999999999999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30"/>
      <c r="L50" s="30"/>
    </row>
    <row r="51" spans="1:12" s="31" customFormat="1" ht="20.399999999999999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30"/>
      <c r="L51" s="30"/>
    </row>
    <row r="52" spans="1:12" s="31" customFormat="1" ht="20.399999999999999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30"/>
      <c r="L52" s="30"/>
    </row>
    <row r="53" spans="1:12" s="31" customFormat="1" ht="20.399999999999999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30"/>
      <c r="L53" s="30"/>
    </row>
    <row r="54" spans="1:12" s="31" customFormat="1" ht="20.399999999999999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30"/>
      <c r="L54" s="30"/>
    </row>
    <row r="55" spans="1:12" s="31" customFormat="1" ht="20.399999999999999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30"/>
      <c r="L55" s="30"/>
    </row>
    <row r="56" spans="1:12" s="31" customFormat="1" ht="20.399999999999999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30"/>
      <c r="L56" s="30"/>
    </row>
    <row r="57" spans="1:12" s="31" customFormat="1" ht="20.399999999999999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30"/>
      <c r="L57" s="30"/>
    </row>
    <row r="58" spans="1:12" s="31" customFormat="1" ht="20.399999999999999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30"/>
      <c r="L58" s="30"/>
    </row>
    <row r="59" spans="1:12" s="31" customFormat="1" ht="20.399999999999999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30"/>
      <c r="L59" s="30"/>
    </row>
    <row r="60" spans="1:12" s="31" customFormat="1" ht="20.399999999999999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30"/>
      <c r="L60" s="30"/>
    </row>
    <row r="61" spans="1:12" s="31" customFormat="1" ht="20.399999999999999" x14ac:dyDescent="0.35">
      <c r="A61" s="12"/>
      <c r="B61" s="12"/>
      <c r="C61" s="12"/>
      <c r="D61" s="12"/>
      <c r="E61" s="12"/>
      <c r="F61" s="12"/>
      <c r="G61" s="12"/>
      <c r="H61" s="12"/>
      <c r="I61" s="12"/>
      <c r="K61" s="30"/>
    </row>
    <row r="62" spans="1:12" s="31" customFormat="1" ht="20.399999999999999" x14ac:dyDescent="0.35">
      <c r="A62" s="12"/>
      <c r="B62" s="12"/>
      <c r="C62" s="12"/>
      <c r="D62" s="12"/>
      <c r="E62" s="12"/>
      <c r="F62" s="12"/>
      <c r="G62" s="12"/>
      <c r="H62" s="12"/>
      <c r="I62" s="12"/>
      <c r="K62" s="30"/>
    </row>
    <row r="63" spans="1:12" s="31" customFormat="1" ht="20.399999999999999" x14ac:dyDescent="0.35">
      <c r="A63" s="12"/>
      <c r="B63" s="12"/>
      <c r="C63" s="12"/>
      <c r="D63" s="12"/>
      <c r="E63" s="12"/>
      <c r="F63" s="12"/>
      <c r="G63" s="12"/>
      <c r="H63" s="12"/>
      <c r="I63" s="12"/>
      <c r="K63" s="30"/>
    </row>
  </sheetData>
  <autoFilter ref="B2:J22" xr:uid="{418B859D-9AEE-4DBC-84AA-2E90E0A86546}">
    <sortState xmlns:xlrd2="http://schemas.microsoft.com/office/spreadsheetml/2017/richdata2" ref="B3:J74">
      <sortCondition ref="G2:G22"/>
    </sortState>
  </autoFilter>
  <conditionalFormatting sqref="H8">
    <cfRule type="containsText" dxfId="67" priority="1" operator="containsText" text="ไม่พบ">
      <formula>NOT(ISERROR(SEARCH("ไม่พบ",H8)))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66E0-CB23-442B-8470-B7B713C7CCE6}">
  <sheetPr>
    <tabColor rgb="FFFF99FF"/>
    <pageSetUpPr fitToPage="1"/>
  </sheetPr>
  <dimension ref="A1:T250"/>
  <sheetViews>
    <sheetView zoomScale="70" zoomScaleNormal="70" workbookViewId="0">
      <pane xSplit="6" ySplit="2" topLeftCell="H3" activePane="bottomRight" state="frozen"/>
      <selection activeCell="C224" sqref="C224"/>
      <selection pane="topRight" activeCell="C224" sqref="C224"/>
      <selection pane="bottomLeft" activeCell="C224" sqref="C224"/>
      <selection pane="bottomRight" activeCell="K14" sqref="K13:K14"/>
    </sheetView>
  </sheetViews>
  <sheetFormatPr defaultColWidth="54.69921875" defaultRowHeight="23.4" x14ac:dyDescent="0.25"/>
  <cols>
    <col min="1" max="1" width="11.796875" style="12" customWidth="1"/>
    <col min="2" max="2" width="15.69921875" style="11" bestFit="1" customWidth="1"/>
    <col min="3" max="3" width="30.296875" style="11" hidden="1" customWidth="1"/>
    <col min="4" max="4" width="16.19921875" style="11" hidden="1" customWidth="1"/>
    <col min="5" max="5" width="32.8984375" style="11" hidden="1" customWidth="1"/>
    <col min="6" max="6" width="21.296875" style="11" hidden="1" customWidth="1"/>
    <col min="7" max="7" width="17.296875" style="11" customWidth="1"/>
    <col min="8" max="8" width="10.09765625" style="11" bestFit="1" customWidth="1"/>
    <col min="9" max="9" width="31.8984375" style="37" bestFit="1" customWidth="1"/>
    <col min="10" max="10" width="14.09765625" style="11" customWidth="1"/>
    <col min="11" max="11" width="86.796875" style="57" bestFit="1" customWidth="1"/>
    <col min="12" max="12" width="13.09765625" style="11" customWidth="1"/>
    <col min="13" max="13" width="88.8984375" style="41" bestFit="1" customWidth="1"/>
    <col min="14" max="14" width="17.19921875" style="11" bestFit="1" customWidth="1"/>
    <col min="15" max="16384" width="54.69921875" style="11"/>
  </cols>
  <sheetData>
    <row r="1" spans="1:14" ht="60" customHeight="1" thickBot="1" x14ac:dyDescent="0.75">
      <c r="A1" s="8" t="s">
        <v>930</v>
      </c>
      <c r="I1" s="87" t="s">
        <v>46</v>
      </c>
      <c r="J1" s="26">
        <f>SUBTOTAL(9,J3:J21)</f>
        <v>495</v>
      </c>
      <c r="K1" s="88" t="s">
        <v>47</v>
      </c>
    </row>
    <row r="2" spans="1:14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6" t="s">
        <v>43</v>
      </c>
      <c r="K2" s="6" t="s">
        <v>7</v>
      </c>
      <c r="M2" s="7" t="s">
        <v>19</v>
      </c>
      <c r="N2" s="7" t="s">
        <v>21</v>
      </c>
    </row>
    <row r="3" spans="1:14" s="14" customFormat="1" ht="25.8" x14ac:dyDescent="0.25">
      <c r="A3" s="13">
        <v>1</v>
      </c>
      <c r="B3" s="1" t="s">
        <v>5897</v>
      </c>
      <c r="C3" s="1" t="s">
        <v>3461</v>
      </c>
      <c r="D3" s="1" t="s">
        <v>945</v>
      </c>
      <c r="E3" s="1" t="s">
        <v>8</v>
      </c>
      <c r="F3" s="1" t="s">
        <v>946</v>
      </c>
      <c r="G3" s="1" t="s">
        <v>5898</v>
      </c>
      <c r="H3" s="55">
        <v>0</v>
      </c>
      <c r="I3" s="2" t="s">
        <v>5901</v>
      </c>
      <c r="J3" s="2">
        <v>45</v>
      </c>
      <c r="K3" s="2" t="s">
        <v>62</v>
      </c>
      <c r="M3" s="42" t="s">
        <v>10</v>
      </c>
      <c r="N3" s="34">
        <v>0</v>
      </c>
    </row>
    <row r="4" spans="1:14" s="14" customFormat="1" ht="25.8" x14ac:dyDescent="0.25">
      <c r="A4" s="13">
        <v>2</v>
      </c>
      <c r="B4" s="1" t="s">
        <v>5899</v>
      </c>
      <c r="C4" s="1" t="s">
        <v>5900</v>
      </c>
      <c r="D4" s="1" t="s">
        <v>945</v>
      </c>
      <c r="E4" s="1" t="s">
        <v>8</v>
      </c>
      <c r="F4" s="1" t="s">
        <v>946</v>
      </c>
      <c r="G4" s="1" t="s">
        <v>5898</v>
      </c>
      <c r="H4" s="55">
        <v>0</v>
      </c>
      <c r="I4" s="2" t="s">
        <v>5902</v>
      </c>
      <c r="J4" s="2">
        <v>45</v>
      </c>
      <c r="K4" s="2" t="s">
        <v>73</v>
      </c>
      <c r="M4" s="42" t="s">
        <v>13</v>
      </c>
      <c r="N4" s="34">
        <v>0</v>
      </c>
    </row>
    <row r="5" spans="1:14" s="14" customFormat="1" ht="25.8" x14ac:dyDescent="0.25">
      <c r="A5" s="13">
        <v>3</v>
      </c>
      <c r="B5" s="1" t="s">
        <v>5903</v>
      </c>
      <c r="C5" s="1" t="s">
        <v>5904</v>
      </c>
      <c r="D5" s="1" t="s">
        <v>945</v>
      </c>
      <c r="E5" s="1" t="s">
        <v>8</v>
      </c>
      <c r="F5" s="1" t="s">
        <v>946</v>
      </c>
      <c r="G5" s="1" t="s">
        <v>5905</v>
      </c>
      <c r="H5" s="55">
        <v>0</v>
      </c>
      <c r="I5" s="2" t="s">
        <v>5908</v>
      </c>
      <c r="J5" s="2">
        <v>45</v>
      </c>
      <c r="K5" s="2" t="s">
        <v>83</v>
      </c>
      <c r="M5" s="42" t="s">
        <v>11</v>
      </c>
      <c r="N5" s="34">
        <v>0</v>
      </c>
    </row>
    <row r="6" spans="1:14" s="14" customFormat="1" ht="25.8" x14ac:dyDescent="0.25">
      <c r="A6" s="13">
        <v>4</v>
      </c>
      <c r="B6" s="1" t="s">
        <v>5906</v>
      </c>
      <c r="C6" s="1" t="s">
        <v>5907</v>
      </c>
      <c r="D6" s="1" t="s">
        <v>945</v>
      </c>
      <c r="E6" s="1" t="s">
        <v>8</v>
      </c>
      <c r="F6" s="1" t="s">
        <v>946</v>
      </c>
      <c r="G6" s="1" t="s">
        <v>5905</v>
      </c>
      <c r="H6" s="55">
        <v>0</v>
      </c>
      <c r="I6" s="2" t="s">
        <v>5909</v>
      </c>
      <c r="J6" s="2">
        <v>45</v>
      </c>
      <c r="K6" s="2" t="s">
        <v>83</v>
      </c>
      <c r="M6" s="42" t="s">
        <v>17</v>
      </c>
      <c r="N6" s="34">
        <v>0</v>
      </c>
    </row>
    <row r="7" spans="1:14" s="14" customFormat="1" ht="25.8" x14ac:dyDescent="0.25">
      <c r="A7" s="13">
        <v>5</v>
      </c>
      <c r="B7" s="1" t="s">
        <v>5910</v>
      </c>
      <c r="C7" s="1" t="s">
        <v>5911</v>
      </c>
      <c r="D7" s="1" t="s">
        <v>945</v>
      </c>
      <c r="E7" s="1" t="s">
        <v>8</v>
      </c>
      <c r="F7" s="1" t="s">
        <v>946</v>
      </c>
      <c r="G7" s="1" t="s">
        <v>5912</v>
      </c>
      <c r="H7" s="55">
        <v>0</v>
      </c>
      <c r="I7" s="2" t="s">
        <v>5913</v>
      </c>
      <c r="J7" s="2">
        <v>45</v>
      </c>
      <c r="K7" s="2" t="s">
        <v>78</v>
      </c>
      <c r="M7" s="42" t="s">
        <v>14</v>
      </c>
      <c r="N7" s="34">
        <v>0</v>
      </c>
    </row>
    <row r="8" spans="1:14" s="14" customFormat="1" ht="25.8" x14ac:dyDescent="0.25">
      <c r="A8" s="13">
        <v>6</v>
      </c>
      <c r="B8" s="1" t="s">
        <v>5914</v>
      </c>
      <c r="C8" s="1" t="s">
        <v>5915</v>
      </c>
      <c r="D8" s="1" t="s">
        <v>945</v>
      </c>
      <c r="E8" s="1" t="s">
        <v>8</v>
      </c>
      <c r="F8" s="1" t="s">
        <v>946</v>
      </c>
      <c r="G8" s="1" t="s">
        <v>5916</v>
      </c>
      <c r="H8" s="55">
        <v>0</v>
      </c>
      <c r="I8" s="2" t="s">
        <v>5917</v>
      </c>
      <c r="J8" s="2">
        <v>45</v>
      </c>
      <c r="K8" s="2" t="s">
        <v>79</v>
      </c>
      <c r="M8" s="42" t="s">
        <v>59</v>
      </c>
      <c r="N8" s="34">
        <v>1</v>
      </c>
    </row>
    <row r="9" spans="1:14" s="14" customFormat="1" ht="25.8" x14ac:dyDescent="0.25">
      <c r="A9" s="13">
        <v>7</v>
      </c>
      <c r="B9" s="1" t="s">
        <v>5918</v>
      </c>
      <c r="C9" s="1" t="s">
        <v>4660</v>
      </c>
      <c r="D9" s="1" t="s">
        <v>1107</v>
      </c>
      <c r="E9" s="1" t="s">
        <v>4661</v>
      </c>
      <c r="F9" s="1" t="s">
        <v>946</v>
      </c>
      <c r="G9" s="1" t="s">
        <v>5919</v>
      </c>
      <c r="H9" s="55">
        <v>0</v>
      </c>
      <c r="I9" s="2" t="s">
        <v>5920</v>
      </c>
      <c r="J9" s="2">
        <v>45</v>
      </c>
      <c r="K9" s="2" t="s">
        <v>20</v>
      </c>
      <c r="M9" s="42" t="s">
        <v>51</v>
      </c>
      <c r="N9" s="34">
        <v>0</v>
      </c>
    </row>
    <row r="10" spans="1:14" s="14" customFormat="1" ht="25.8" x14ac:dyDescent="0.25">
      <c r="A10" s="13">
        <v>8</v>
      </c>
      <c r="B10" s="1" t="s">
        <v>5921</v>
      </c>
      <c r="C10" s="1" t="s">
        <v>5922</v>
      </c>
      <c r="D10" s="1" t="s">
        <v>945</v>
      </c>
      <c r="E10" s="1" t="s">
        <v>8</v>
      </c>
      <c r="F10" s="1" t="s">
        <v>946</v>
      </c>
      <c r="G10" s="1" t="s">
        <v>5923</v>
      </c>
      <c r="H10" s="55">
        <v>0</v>
      </c>
      <c r="I10" s="2" t="s">
        <v>5924</v>
      </c>
      <c r="J10" s="2">
        <v>45</v>
      </c>
      <c r="K10" s="2" t="s">
        <v>62</v>
      </c>
      <c r="M10" s="42" t="s">
        <v>49</v>
      </c>
      <c r="N10" s="34">
        <v>0</v>
      </c>
    </row>
    <row r="11" spans="1:14" s="14" customFormat="1" ht="25.8" x14ac:dyDescent="0.25">
      <c r="A11" s="13">
        <v>9</v>
      </c>
      <c r="B11" s="1" t="s">
        <v>5938</v>
      </c>
      <c r="C11" s="1" t="s">
        <v>5939</v>
      </c>
      <c r="D11" s="1" t="s">
        <v>945</v>
      </c>
      <c r="E11" s="1" t="s">
        <v>8</v>
      </c>
      <c r="F11" s="1" t="s">
        <v>946</v>
      </c>
      <c r="G11" s="1" t="s">
        <v>5940</v>
      </c>
      <c r="H11" s="55">
        <v>0</v>
      </c>
      <c r="I11" s="2" t="s">
        <v>5947</v>
      </c>
      <c r="J11" s="2">
        <v>45</v>
      </c>
      <c r="K11" s="2" t="s">
        <v>78</v>
      </c>
      <c r="M11" s="42" t="s">
        <v>12</v>
      </c>
      <c r="N11" s="34">
        <v>0</v>
      </c>
    </row>
    <row r="12" spans="1:14" s="14" customFormat="1" ht="25.8" x14ac:dyDescent="0.25">
      <c r="A12" s="13">
        <v>10</v>
      </c>
      <c r="B12" s="1" t="s">
        <v>5941</v>
      </c>
      <c r="C12" s="1" t="s">
        <v>5942</v>
      </c>
      <c r="D12" s="1" t="s">
        <v>945</v>
      </c>
      <c r="E12" s="1" t="s">
        <v>8</v>
      </c>
      <c r="F12" s="1" t="s">
        <v>946</v>
      </c>
      <c r="G12" s="1" t="s">
        <v>5943</v>
      </c>
      <c r="H12" s="55">
        <v>0</v>
      </c>
      <c r="I12" s="2" t="s">
        <v>5948</v>
      </c>
      <c r="J12" s="2">
        <v>45</v>
      </c>
      <c r="K12" s="2" t="s">
        <v>67</v>
      </c>
      <c r="M12" s="42" t="s">
        <v>15</v>
      </c>
      <c r="N12" s="34">
        <v>0</v>
      </c>
    </row>
    <row r="13" spans="1:14" s="14" customFormat="1" ht="25.8" x14ac:dyDescent="0.25">
      <c r="A13" s="13">
        <v>11</v>
      </c>
      <c r="B13" s="1" t="s">
        <v>5944</v>
      </c>
      <c r="C13" s="1" t="s">
        <v>5945</v>
      </c>
      <c r="D13" s="1" t="s">
        <v>945</v>
      </c>
      <c r="E13" s="1" t="s">
        <v>8</v>
      </c>
      <c r="F13" s="1" t="s">
        <v>946</v>
      </c>
      <c r="G13" s="1" t="s">
        <v>5946</v>
      </c>
      <c r="H13" s="55">
        <v>0</v>
      </c>
      <c r="I13" s="2" t="s">
        <v>5949</v>
      </c>
      <c r="J13" s="2">
        <v>45</v>
      </c>
      <c r="K13" s="2" t="s">
        <v>16</v>
      </c>
      <c r="M13" s="42" t="s">
        <v>60</v>
      </c>
      <c r="N13" s="34">
        <v>0</v>
      </c>
    </row>
    <row r="14" spans="1:14" s="14" customFormat="1" ht="25.8" x14ac:dyDescent="0.25">
      <c r="A14" s="13">
        <v>12</v>
      </c>
      <c r="B14" s="1" t="s">
        <v>5950</v>
      </c>
      <c r="C14" s="1" t="s">
        <v>5951</v>
      </c>
      <c r="D14" s="1" t="s">
        <v>945</v>
      </c>
      <c r="E14" s="1" t="s">
        <v>8</v>
      </c>
      <c r="F14" s="1" t="s">
        <v>946</v>
      </c>
      <c r="G14" s="1" t="s">
        <v>5952</v>
      </c>
      <c r="H14" s="55" t="s">
        <v>5973</v>
      </c>
      <c r="I14" s="2" t="s">
        <v>5953</v>
      </c>
      <c r="J14" s="2" t="s">
        <v>5851</v>
      </c>
      <c r="K14" s="2" t="s">
        <v>62</v>
      </c>
      <c r="M14" s="42" t="s">
        <v>16</v>
      </c>
      <c r="N14" s="34">
        <v>1</v>
      </c>
    </row>
    <row r="15" spans="1:14" s="14" customFormat="1" ht="25.8" x14ac:dyDescent="0.25">
      <c r="A15" s="13">
        <v>13</v>
      </c>
      <c r="B15" s="1" t="s">
        <v>5954</v>
      </c>
      <c r="C15" s="1" t="s">
        <v>5955</v>
      </c>
      <c r="D15" s="1" t="s">
        <v>945</v>
      </c>
      <c r="E15" s="1" t="s">
        <v>8</v>
      </c>
      <c r="F15" s="1" t="s">
        <v>946</v>
      </c>
      <c r="G15" s="1" t="s">
        <v>5956</v>
      </c>
      <c r="H15" s="55">
        <v>0</v>
      </c>
      <c r="I15" s="2" t="s">
        <v>5957</v>
      </c>
      <c r="J15" s="2" t="s">
        <v>5851</v>
      </c>
      <c r="K15" s="62" t="s">
        <v>81</v>
      </c>
      <c r="M15" s="42" t="s">
        <v>61</v>
      </c>
      <c r="N15" s="34">
        <v>0</v>
      </c>
    </row>
    <row r="16" spans="1:14" s="14" customFormat="1" ht="25.8" x14ac:dyDescent="0.25">
      <c r="A16" s="13">
        <v>14</v>
      </c>
      <c r="B16" s="1" t="s">
        <v>5958</v>
      </c>
      <c r="C16" s="1" t="s">
        <v>5959</v>
      </c>
      <c r="D16" s="1" t="s">
        <v>945</v>
      </c>
      <c r="E16" s="1" t="s">
        <v>8</v>
      </c>
      <c r="F16" s="1" t="s">
        <v>946</v>
      </c>
      <c r="G16" s="1" t="s">
        <v>5960</v>
      </c>
      <c r="H16" s="55">
        <v>0</v>
      </c>
      <c r="I16" s="2" t="s">
        <v>5961</v>
      </c>
      <c r="J16" s="2" t="s">
        <v>5851</v>
      </c>
      <c r="K16" s="62" t="s">
        <v>83</v>
      </c>
      <c r="M16" s="42" t="s">
        <v>62</v>
      </c>
      <c r="N16" s="34">
        <v>5</v>
      </c>
    </row>
    <row r="17" spans="1:14" s="14" customFormat="1" ht="25.8" x14ac:dyDescent="0.25">
      <c r="A17" s="13">
        <v>15</v>
      </c>
      <c r="B17" s="1" t="s">
        <v>5962</v>
      </c>
      <c r="C17" s="1" t="s">
        <v>5963</v>
      </c>
      <c r="D17" s="1" t="s">
        <v>945</v>
      </c>
      <c r="E17" s="1" t="s">
        <v>8</v>
      </c>
      <c r="F17" s="1" t="s">
        <v>946</v>
      </c>
      <c r="G17" s="1" t="s">
        <v>5964</v>
      </c>
      <c r="H17" s="55">
        <v>0</v>
      </c>
      <c r="I17" s="2" t="s">
        <v>5965</v>
      </c>
      <c r="J17" s="2" t="s">
        <v>5851</v>
      </c>
      <c r="K17" s="62" t="s">
        <v>59</v>
      </c>
      <c r="M17" s="42" t="s">
        <v>53</v>
      </c>
      <c r="N17" s="34">
        <v>0</v>
      </c>
    </row>
    <row r="18" spans="1:14" s="14" customFormat="1" ht="25.8" x14ac:dyDescent="0.25">
      <c r="A18" s="13">
        <v>16</v>
      </c>
      <c r="B18" s="1" t="s">
        <v>5966</v>
      </c>
      <c r="C18" s="1" t="s">
        <v>5967</v>
      </c>
      <c r="D18" s="1" t="s">
        <v>945</v>
      </c>
      <c r="E18" s="1" t="s">
        <v>8</v>
      </c>
      <c r="F18" s="1" t="s">
        <v>946</v>
      </c>
      <c r="G18" s="1" t="s">
        <v>5968</v>
      </c>
      <c r="H18" s="55">
        <v>0</v>
      </c>
      <c r="I18" s="2" t="s">
        <v>5969</v>
      </c>
      <c r="J18" s="2" t="s">
        <v>5851</v>
      </c>
      <c r="K18" s="62" t="s">
        <v>83</v>
      </c>
      <c r="M18" s="42" t="s">
        <v>63</v>
      </c>
      <c r="N18" s="34">
        <v>0</v>
      </c>
    </row>
    <row r="19" spans="1:14" s="14" customFormat="1" ht="25.8" x14ac:dyDescent="0.25">
      <c r="A19" s="13">
        <v>17</v>
      </c>
      <c r="B19" s="1" t="s">
        <v>5970</v>
      </c>
      <c r="C19" s="1" t="s">
        <v>3461</v>
      </c>
      <c r="D19" s="1" t="s">
        <v>945</v>
      </c>
      <c r="E19" s="1" t="s">
        <v>8</v>
      </c>
      <c r="F19" s="1" t="s">
        <v>946</v>
      </c>
      <c r="G19" s="1" t="s">
        <v>5971</v>
      </c>
      <c r="H19" s="55">
        <v>0</v>
      </c>
      <c r="I19" s="2" t="s">
        <v>5972</v>
      </c>
      <c r="J19" s="2" t="s">
        <v>5851</v>
      </c>
      <c r="K19" s="62" t="s">
        <v>62</v>
      </c>
      <c r="M19" s="42" t="s">
        <v>20</v>
      </c>
      <c r="N19" s="34">
        <v>1</v>
      </c>
    </row>
    <row r="20" spans="1:14" s="14" customFormat="1" ht="25.8" x14ac:dyDescent="0.25">
      <c r="A20" s="13">
        <v>18</v>
      </c>
      <c r="B20" s="1" t="s">
        <v>5976</v>
      </c>
      <c r="C20" s="1" t="s">
        <v>5977</v>
      </c>
      <c r="D20" s="1" t="s">
        <v>945</v>
      </c>
      <c r="E20" s="1" t="s">
        <v>8</v>
      </c>
      <c r="F20" s="1" t="s">
        <v>946</v>
      </c>
      <c r="G20" s="1" t="s">
        <v>5978</v>
      </c>
      <c r="H20" s="55" t="s">
        <v>5981</v>
      </c>
      <c r="I20" s="2" t="s">
        <v>5982</v>
      </c>
      <c r="J20" s="2" t="s">
        <v>5851</v>
      </c>
      <c r="K20" s="2" t="s">
        <v>62</v>
      </c>
      <c r="M20" s="42" t="s">
        <v>64</v>
      </c>
      <c r="N20" s="34">
        <v>0</v>
      </c>
    </row>
    <row r="21" spans="1:14" s="14" customFormat="1" ht="25.8" x14ac:dyDescent="0.25">
      <c r="A21" s="13">
        <v>19</v>
      </c>
      <c r="B21" s="1" t="s">
        <v>5979</v>
      </c>
      <c r="C21" s="1" t="s">
        <v>5818</v>
      </c>
      <c r="D21" s="1" t="s">
        <v>945</v>
      </c>
      <c r="E21" s="1" t="s">
        <v>8</v>
      </c>
      <c r="F21" s="1" t="s">
        <v>946</v>
      </c>
      <c r="G21" s="1" t="s">
        <v>5980</v>
      </c>
      <c r="H21" s="55" t="s">
        <v>5981</v>
      </c>
      <c r="I21" s="2" t="s">
        <v>5983</v>
      </c>
      <c r="J21" s="2" t="s">
        <v>5851</v>
      </c>
      <c r="K21" s="2" t="s">
        <v>83</v>
      </c>
      <c r="M21" s="42" t="s">
        <v>22</v>
      </c>
      <c r="N21" s="34">
        <v>0</v>
      </c>
    </row>
    <row r="22" spans="1:14" s="14" customFormat="1" ht="25.8" x14ac:dyDescent="0.25">
      <c r="A22" s="12"/>
      <c r="B22" s="11"/>
      <c r="C22" s="11"/>
      <c r="D22" s="11"/>
      <c r="E22" s="11"/>
      <c r="F22" s="11"/>
      <c r="G22" s="11"/>
      <c r="H22" s="11"/>
      <c r="I22" s="11"/>
      <c r="J22" s="11"/>
      <c r="K22" s="11"/>
      <c r="M22" s="42" t="s">
        <v>65</v>
      </c>
      <c r="N22" s="34">
        <v>0</v>
      </c>
    </row>
    <row r="23" spans="1:14" s="14" customFormat="1" ht="25.8" x14ac:dyDescent="0.25">
      <c r="A23" s="12"/>
      <c r="B23" s="11"/>
      <c r="C23" s="11"/>
      <c r="D23" s="11"/>
      <c r="E23" s="11"/>
      <c r="F23" s="11"/>
      <c r="G23" s="11"/>
      <c r="H23" s="11"/>
      <c r="I23" s="37"/>
      <c r="J23" s="11"/>
      <c r="K23" s="57"/>
      <c r="M23" s="42" t="s">
        <v>66</v>
      </c>
      <c r="N23" s="34">
        <v>0</v>
      </c>
    </row>
    <row r="24" spans="1:14" s="14" customFormat="1" ht="25.8" x14ac:dyDescent="0.25">
      <c r="A24" s="12"/>
      <c r="B24" s="11"/>
      <c r="C24" s="11"/>
      <c r="D24" s="11"/>
      <c r="E24" s="11"/>
      <c r="F24" s="11"/>
      <c r="G24" s="11"/>
      <c r="H24" s="11"/>
      <c r="I24" s="37"/>
      <c r="J24" s="11"/>
      <c r="K24" s="57"/>
      <c r="M24" s="42" t="s">
        <v>67</v>
      </c>
      <c r="N24" s="34">
        <v>1</v>
      </c>
    </row>
    <row r="25" spans="1:14" s="14" customFormat="1" ht="25.8" x14ac:dyDescent="0.25">
      <c r="A25" s="12"/>
      <c r="B25" s="11"/>
      <c r="C25" s="11"/>
      <c r="D25" s="11"/>
      <c r="E25" s="11"/>
      <c r="F25" s="11"/>
      <c r="G25" s="11"/>
      <c r="H25" s="11"/>
      <c r="I25" s="37"/>
      <c r="J25" s="11"/>
      <c r="K25" s="57"/>
      <c r="M25" s="42" t="s">
        <v>68</v>
      </c>
      <c r="N25" s="34">
        <v>0</v>
      </c>
    </row>
    <row r="26" spans="1:14" s="14" customFormat="1" ht="25.8" x14ac:dyDescent="0.25">
      <c r="A26" s="12"/>
      <c r="B26" s="11"/>
      <c r="C26" s="11"/>
      <c r="D26" s="11"/>
      <c r="E26" s="11"/>
      <c r="F26" s="11"/>
      <c r="G26" s="11"/>
      <c r="H26" s="11"/>
      <c r="I26" s="37"/>
      <c r="J26" s="11"/>
      <c r="K26" s="57"/>
      <c r="M26" s="42" t="s">
        <v>69</v>
      </c>
      <c r="N26" s="34">
        <v>0</v>
      </c>
    </row>
    <row r="27" spans="1:14" s="14" customFormat="1" ht="25.8" x14ac:dyDescent="0.25">
      <c r="A27" s="12"/>
      <c r="B27" s="11"/>
      <c r="C27" s="11"/>
      <c r="D27" s="11"/>
      <c r="E27" s="11"/>
      <c r="F27" s="11"/>
      <c r="G27" s="11"/>
      <c r="H27" s="11"/>
      <c r="I27" s="37"/>
      <c r="J27" s="11"/>
      <c r="K27" s="57"/>
      <c r="M27" s="42" t="s">
        <v>70</v>
      </c>
      <c r="N27" s="34">
        <v>0</v>
      </c>
    </row>
    <row r="28" spans="1:14" s="14" customFormat="1" ht="25.8" x14ac:dyDescent="0.25">
      <c r="A28" s="12"/>
      <c r="B28" s="11"/>
      <c r="C28" s="11"/>
      <c r="D28" s="11"/>
      <c r="E28" s="11"/>
      <c r="F28" s="11"/>
      <c r="G28" s="11"/>
      <c r="H28" s="11"/>
      <c r="I28" s="37"/>
      <c r="J28" s="11"/>
      <c r="K28" s="57"/>
      <c r="M28" s="42" t="s">
        <v>71</v>
      </c>
      <c r="N28" s="34">
        <v>0</v>
      </c>
    </row>
    <row r="29" spans="1:14" s="14" customFormat="1" ht="25.8" x14ac:dyDescent="0.25">
      <c r="A29" s="12"/>
      <c r="B29" s="11"/>
      <c r="C29" s="11"/>
      <c r="D29" s="11"/>
      <c r="E29" s="11"/>
      <c r="F29" s="11"/>
      <c r="G29" s="11"/>
      <c r="H29" s="11"/>
      <c r="I29" s="37"/>
      <c r="J29" s="11"/>
      <c r="K29" s="57"/>
      <c r="M29" s="42" t="s">
        <v>72</v>
      </c>
      <c r="N29" s="34">
        <v>0</v>
      </c>
    </row>
    <row r="30" spans="1:14" s="14" customFormat="1" ht="25.8" x14ac:dyDescent="0.25">
      <c r="A30" s="12"/>
      <c r="B30" s="11"/>
      <c r="C30" s="11"/>
      <c r="D30" s="11"/>
      <c r="E30" s="11"/>
      <c r="F30" s="11"/>
      <c r="G30" s="11"/>
      <c r="H30" s="11"/>
      <c r="I30" s="37"/>
      <c r="J30" s="11"/>
      <c r="K30" s="57"/>
      <c r="M30" s="42" t="s">
        <v>73</v>
      </c>
      <c r="N30" s="34">
        <v>1</v>
      </c>
    </row>
    <row r="31" spans="1:14" s="14" customFormat="1" ht="25.8" x14ac:dyDescent="0.25">
      <c r="A31" s="12"/>
      <c r="B31" s="11"/>
      <c r="C31" s="11"/>
      <c r="D31" s="11"/>
      <c r="E31" s="11"/>
      <c r="F31" s="11"/>
      <c r="G31" s="11"/>
      <c r="H31" s="11"/>
      <c r="I31" s="37"/>
      <c r="J31" s="11"/>
      <c r="K31" s="57"/>
      <c r="M31" s="42" t="s">
        <v>74</v>
      </c>
      <c r="N31" s="34">
        <v>0</v>
      </c>
    </row>
    <row r="32" spans="1:14" s="14" customFormat="1" ht="25.8" x14ac:dyDescent="0.25">
      <c r="A32" s="12"/>
      <c r="B32" s="11"/>
      <c r="C32" s="11"/>
      <c r="D32" s="11"/>
      <c r="E32" s="11"/>
      <c r="F32" s="11"/>
      <c r="G32" s="11"/>
      <c r="H32" s="11"/>
      <c r="I32" s="37"/>
      <c r="J32" s="11"/>
      <c r="K32" s="57"/>
      <c r="M32" s="42" t="s">
        <v>75</v>
      </c>
      <c r="N32" s="34">
        <v>0</v>
      </c>
    </row>
    <row r="33" spans="1:14" s="14" customFormat="1" ht="25.8" x14ac:dyDescent="0.25">
      <c r="A33" s="12"/>
      <c r="B33" s="11"/>
      <c r="C33" s="11"/>
      <c r="D33" s="11"/>
      <c r="E33" s="11"/>
      <c r="F33" s="11"/>
      <c r="G33" s="11"/>
      <c r="H33" s="11"/>
      <c r="I33" s="37"/>
      <c r="J33" s="11"/>
      <c r="K33" s="57"/>
      <c r="M33" s="42" t="s">
        <v>76</v>
      </c>
      <c r="N33" s="34">
        <v>0</v>
      </c>
    </row>
    <row r="34" spans="1:14" s="14" customFormat="1" ht="25.8" x14ac:dyDescent="0.25">
      <c r="A34" s="12"/>
      <c r="B34" s="11"/>
      <c r="C34" s="11"/>
      <c r="D34" s="11"/>
      <c r="E34" s="11"/>
      <c r="F34" s="11"/>
      <c r="G34" s="11"/>
      <c r="H34" s="11"/>
      <c r="I34" s="37"/>
      <c r="J34" s="11"/>
      <c r="K34" s="57"/>
      <c r="M34" s="42" t="s">
        <v>77</v>
      </c>
      <c r="N34" s="34">
        <v>0</v>
      </c>
    </row>
    <row r="35" spans="1:14" s="14" customFormat="1" ht="25.8" x14ac:dyDescent="0.25">
      <c r="A35" s="12"/>
      <c r="B35" s="11"/>
      <c r="C35" s="11"/>
      <c r="D35" s="11"/>
      <c r="E35" s="11"/>
      <c r="F35" s="11"/>
      <c r="G35" s="11"/>
      <c r="H35" s="11"/>
      <c r="I35" s="37"/>
      <c r="J35" s="11"/>
      <c r="K35" s="57"/>
      <c r="M35" s="42" t="s">
        <v>78</v>
      </c>
      <c r="N35" s="34">
        <v>2</v>
      </c>
    </row>
    <row r="36" spans="1:14" s="14" customFormat="1" ht="25.8" x14ac:dyDescent="0.25">
      <c r="A36" s="12"/>
      <c r="B36" s="11"/>
      <c r="C36" s="11"/>
      <c r="D36" s="11"/>
      <c r="E36" s="11"/>
      <c r="F36" s="11"/>
      <c r="G36" s="11"/>
      <c r="H36" s="11"/>
      <c r="I36" s="37"/>
      <c r="J36" s="11"/>
      <c r="K36" s="57"/>
      <c r="M36" s="42" t="s">
        <v>79</v>
      </c>
      <c r="N36" s="34">
        <v>1</v>
      </c>
    </row>
    <row r="37" spans="1:14" s="14" customFormat="1" ht="25.8" x14ac:dyDescent="0.25">
      <c r="A37" s="12"/>
      <c r="B37" s="11"/>
      <c r="C37" s="11"/>
      <c r="D37" s="11"/>
      <c r="E37" s="11"/>
      <c r="F37" s="11"/>
      <c r="G37" s="11"/>
      <c r="H37" s="11"/>
      <c r="I37" s="37"/>
      <c r="J37" s="11"/>
      <c r="K37" s="57"/>
      <c r="M37" s="42" t="s">
        <v>80</v>
      </c>
      <c r="N37" s="34">
        <v>0</v>
      </c>
    </row>
    <row r="38" spans="1:14" s="14" customFormat="1" ht="25.8" x14ac:dyDescent="0.25">
      <c r="A38" s="12"/>
      <c r="B38" s="11"/>
      <c r="C38" s="11"/>
      <c r="D38" s="11"/>
      <c r="E38" s="11"/>
      <c r="F38" s="11"/>
      <c r="G38" s="11"/>
      <c r="H38" s="11"/>
      <c r="I38" s="37"/>
      <c r="J38" s="11"/>
      <c r="K38" s="57"/>
      <c r="M38" s="42" t="s">
        <v>81</v>
      </c>
      <c r="N38" s="34">
        <v>1</v>
      </c>
    </row>
    <row r="39" spans="1:14" s="14" customFormat="1" ht="25.8" x14ac:dyDescent="0.25">
      <c r="A39" s="12"/>
      <c r="B39" s="11"/>
      <c r="C39" s="11"/>
      <c r="D39" s="11"/>
      <c r="E39" s="11"/>
      <c r="F39" s="11"/>
      <c r="G39" s="11"/>
      <c r="H39" s="11"/>
      <c r="I39" s="37"/>
      <c r="J39" s="11"/>
      <c r="K39" s="57"/>
      <c r="M39" s="42" t="s">
        <v>82</v>
      </c>
      <c r="N39" s="34">
        <v>0</v>
      </c>
    </row>
    <row r="40" spans="1:14" s="14" customFormat="1" ht="25.8" x14ac:dyDescent="0.25">
      <c r="A40" s="12"/>
      <c r="B40" s="11"/>
      <c r="C40" s="11"/>
      <c r="D40" s="11"/>
      <c r="E40" s="11"/>
      <c r="F40" s="11"/>
      <c r="G40" s="11"/>
      <c r="H40" s="11"/>
      <c r="I40" s="37"/>
      <c r="J40" s="11"/>
      <c r="K40" s="57"/>
      <c r="M40" s="42" t="s">
        <v>83</v>
      </c>
      <c r="N40" s="34">
        <v>5</v>
      </c>
    </row>
    <row r="41" spans="1:14" s="14" customFormat="1" ht="25.8" x14ac:dyDescent="0.25">
      <c r="A41" s="12"/>
      <c r="B41" s="11"/>
      <c r="C41" s="11"/>
      <c r="D41" s="11"/>
      <c r="E41" s="11"/>
      <c r="F41" s="11"/>
      <c r="G41" s="11"/>
      <c r="H41" s="11"/>
      <c r="I41" s="37"/>
      <c r="J41" s="11"/>
      <c r="K41" s="57"/>
      <c r="M41" s="42" t="s">
        <v>84</v>
      </c>
      <c r="N41" s="34">
        <v>0</v>
      </c>
    </row>
    <row r="42" spans="1:14" s="14" customFormat="1" ht="25.8" x14ac:dyDescent="0.25">
      <c r="A42" s="12"/>
      <c r="B42" s="11"/>
      <c r="C42" s="11"/>
      <c r="D42" s="11"/>
      <c r="E42" s="11"/>
      <c r="F42" s="11"/>
      <c r="G42" s="11"/>
      <c r="H42" s="11"/>
      <c r="I42" s="37"/>
      <c r="J42" s="11"/>
      <c r="K42" s="57"/>
      <c r="M42" s="42" t="s">
        <v>85</v>
      </c>
      <c r="N42" s="34">
        <v>0</v>
      </c>
    </row>
    <row r="43" spans="1:14" s="14" customFormat="1" ht="25.8" x14ac:dyDescent="0.25">
      <c r="A43" s="12"/>
      <c r="B43" s="11"/>
      <c r="C43" s="11"/>
      <c r="D43" s="11"/>
      <c r="E43" s="11"/>
      <c r="F43" s="11"/>
      <c r="G43" s="11"/>
      <c r="H43" s="11"/>
      <c r="I43" s="37"/>
      <c r="J43" s="11"/>
      <c r="K43" s="57"/>
      <c r="M43" s="42" t="s">
        <v>24</v>
      </c>
      <c r="N43" s="34">
        <v>0</v>
      </c>
    </row>
    <row r="44" spans="1:14" s="14" customFormat="1" ht="25.8" x14ac:dyDescent="0.25">
      <c r="A44" s="12"/>
      <c r="B44" s="11"/>
      <c r="C44" s="11"/>
      <c r="D44" s="11"/>
      <c r="E44" s="11"/>
      <c r="F44" s="11"/>
      <c r="G44" s="11"/>
      <c r="H44" s="11"/>
      <c r="I44" s="37"/>
      <c r="J44" s="11"/>
      <c r="K44" s="57"/>
      <c r="M44" s="42" t="s">
        <v>86</v>
      </c>
      <c r="N44" s="34">
        <v>0</v>
      </c>
    </row>
    <row r="45" spans="1:14" s="14" customFormat="1" ht="25.8" x14ac:dyDescent="0.25">
      <c r="A45" s="12"/>
      <c r="B45" s="11"/>
      <c r="C45" s="11"/>
      <c r="D45" s="11"/>
      <c r="E45" s="11"/>
      <c r="F45" s="11"/>
      <c r="G45" s="11"/>
      <c r="H45" s="11"/>
      <c r="I45" s="37"/>
      <c r="J45" s="11"/>
      <c r="K45" s="57"/>
      <c r="M45" s="42" t="s">
        <v>87</v>
      </c>
      <c r="N45" s="34">
        <v>0</v>
      </c>
    </row>
    <row r="46" spans="1:14" s="14" customFormat="1" ht="25.8" x14ac:dyDescent="0.25">
      <c r="A46" s="12"/>
      <c r="B46" s="11"/>
      <c r="C46" s="11"/>
      <c r="D46" s="11"/>
      <c r="E46" s="11"/>
      <c r="F46" s="11"/>
      <c r="G46" s="11"/>
      <c r="H46" s="11"/>
      <c r="I46" s="37"/>
      <c r="J46" s="11"/>
      <c r="K46" s="57"/>
      <c r="M46" s="42" t="s">
        <v>88</v>
      </c>
      <c r="N46" s="34">
        <v>0</v>
      </c>
    </row>
    <row r="47" spans="1:14" s="14" customFormat="1" ht="25.8" x14ac:dyDescent="0.25">
      <c r="A47" s="12"/>
      <c r="B47" s="11"/>
      <c r="C47" s="11"/>
      <c r="D47" s="11"/>
      <c r="E47" s="11"/>
      <c r="F47" s="11"/>
      <c r="G47" s="11"/>
      <c r="H47" s="11"/>
      <c r="I47" s="37"/>
      <c r="J47" s="11"/>
      <c r="K47" s="57"/>
      <c r="M47" s="42" t="s">
        <v>89</v>
      </c>
      <c r="N47" s="34">
        <v>0</v>
      </c>
    </row>
    <row r="48" spans="1:14" s="14" customFormat="1" ht="25.8" x14ac:dyDescent="0.25">
      <c r="A48" s="12"/>
      <c r="B48" s="11"/>
      <c r="C48" s="11"/>
      <c r="D48" s="11"/>
      <c r="E48" s="11"/>
      <c r="F48" s="11"/>
      <c r="G48" s="11"/>
      <c r="H48" s="11"/>
      <c r="I48" s="37"/>
      <c r="J48" s="11"/>
      <c r="K48" s="57"/>
      <c r="M48" s="42" t="s">
        <v>94</v>
      </c>
      <c r="N48" s="34">
        <v>0</v>
      </c>
    </row>
    <row r="49" spans="1:20" s="14" customFormat="1" ht="25.8" x14ac:dyDescent="0.25">
      <c r="A49" s="12"/>
      <c r="B49" s="11"/>
      <c r="C49" s="11"/>
      <c r="D49" s="11"/>
      <c r="E49" s="11"/>
      <c r="F49" s="11"/>
      <c r="G49" s="11"/>
      <c r="H49" s="11"/>
      <c r="I49" s="37"/>
      <c r="J49" s="11"/>
      <c r="K49" s="57"/>
      <c r="M49" s="42" t="s">
        <v>90</v>
      </c>
      <c r="N49" s="34">
        <v>0</v>
      </c>
    </row>
    <row r="50" spans="1:20" s="14" customFormat="1" ht="25.8" x14ac:dyDescent="0.25">
      <c r="A50" s="12"/>
      <c r="B50" s="11"/>
      <c r="C50" s="11"/>
      <c r="D50" s="11"/>
      <c r="E50" s="11"/>
      <c r="F50" s="11"/>
      <c r="G50" s="11"/>
      <c r="H50" s="11"/>
      <c r="I50" s="37"/>
      <c r="J50" s="11"/>
      <c r="K50" s="57"/>
      <c r="M50" s="42" t="s">
        <v>93</v>
      </c>
      <c r="N50" s="34">
        <v>0</v>
      </c>
    </row>
    <row r="51" spans="1:20" s="14" customFormat="1" ht="25.8" x14ac:dyDescent="0.25">
      <c r="A51" s="12"/>
      <c r="B51" s="11"/>
      <c r="C51" s="11"/>
      <c r="D51" s="11"/>
      <c r="E51" s="11"/>
      <c r="F51" s="11"/>
      <c r="G51" s="11"/>
      <c r="H51" s="11"/>
      <c r="I51" s="37"/>
      <c r="J51" s="11"/>
      <c r="K51" s="57"/>
      <c r="M51" s="42" t="s">
        <v>91</v>
      </c>
      <c r="N51" s="34">
        <v>0</v>
      </c>
      <c r="T51" s="14" t="s">
        <v>57</v>
      </c>
    </row>
    <row r="52" spans="1:20" s="14" customFormat="1" ht="25.8" x14ac:dyDescent="0.25">
      <c r="A52" s="12"/>
      <c r="B52" s="11"/>
      <c r="C52" s="11"/>
      <c r="D52" s="11"/>
      <c r="E52" s="11"/>
      <c r="F52" s="11"/>
      <c r="G52" s="11"/>
      <c r="H52" s="11"/>
      <c r="I52" s="37"/>
      <c r="J52" s="11"/>
      <c r="K52" s="57"/>
      <c r="M52" s="42" t="s">
        <v>45</v>
      </c>
      <c r="N52" s="34">
        <v>0</v>
      </c>
    </row>
    <row r="53" spans="1:20" s="14" customFormat="1" ht="25.8" x14ac:dyDescent="0.25">
      <c r="A53" s="12"/>
      <c r="B53" s="11"/>
      <c r="C53" s="11"/>
      <c r="D53" s="11"/>
      <c r="E53" s="11"/>
      <c r="F53" s="11"/>
      <c r="G53" s="11"/>
      <c r="H53" s="11"/>
      <c r="I53" s="37"/>
      <c r="J53" s="11"/>
      <c r="K53" s="57"/>
      <c r="M53" s="42" t="s">
        <v>92</v>
      </c>
      <c r="N53" s="34">
        <v>0</v>
      </c>
      <c r="S53" s="14" t="s">
        <v>58</v>
      </c>
    </row>
    <row r="54" spans="1:20" s="14" customFormat="1" ht="25.8" x14ac:dyDescent="0.25">
      <c r="A54" s="12"/>
      <c r="B54" s="11"/>
      <c r="C54" s="11"/>
      <c r="D54" s="11"/>
      <c r="E54" s="11"/>
      <c r="F54" s="11"/>
      <c r="G54" s="11"/>
      <c r="H54" s="11"/>
      <c r="I54" s="37"/>
      <c r="J54" s="11"/>
      <c r="K54" s="57"/>
      <c r="M54" s="42" t="s">
        <v>52</v>
      </c>
      <c r="N54" s="34">
        <v>0</v>
      </c>
    </row>
    <row r="55" spans="1:20" s="14" customFormat="1" ht="25.8" x14ac:dyDescent="0.25">
      <c r="A55" s="12"/>
      <c r="B55" s="11"/>
      <c r="C55" s="11"/>
      <c r="D55" s="11"/>
      <c r="E55" s="11"/>
      <c r="F55" s="11"/>
      <c r="G55" s="11"/>
      <c r="H55" s="11"/>
      <c r="I55" s="37"/>
      <c r="J55" s="11"/>
      <c r="K55" s="57"/>
      <c r="M55" s="42" t="s">
        <v>95</v>
      </c>
      <c r="N55" s="34">
        <v>0</v>
      </c>
    </row>
    <row r="56" spans="1:20" s="14" customFormat="1" ht="25.8" x14ac:dyDescent="0.25">
      <c r="A56" s="12"/>
      <c r="B56" s="11"/>
      <c r="C56" s="11"/>
      <c r="D56" s="11"/>
      <c r="E56" s="11"/>
      <c r="F56" s="11"/>
      <c r="G56" s="11"/>
      <c r="H56" s="11"/>
      <c r="I56" s="37"/>
      <c r="J56" s="11"/>
      <c r="K56" s="57"/>
      <c r="M56" s="42" t="s">
        <v>25</v>
      </c>
      <c r="N56" s="34">
        <v>0</v>
      </c>
    </row>
    <row r="57" spans="1:20" s="14" customFormat="1" ht="27" thickBot="1" x14ac:dyDescent="0.3">
      <c r="A57" s="12"/>
      <c r="B57" s="11"/>
      <c r="C57" s="11"/>
      <c r="D57" s="11"/>
      <c r="E57" s="11"/>
      <c r="F57" s="11"/>
      <c r="G57" s="11"/>
      <c r="H57" s="11"/>
      <c r="I57" s="37"/>
      <c r="J57" s="11"/>
      <c r="K57" s="57"/>
      <c r="M57" s="41"/>
      <c r="N57" s="35">
        <f>SUM(N3:N56)</f>
        <v>19</v>
      </c>
    </row>
    <row r="58" spans="1:20" s="14" customFormat="1" ht="24" thickTop="1" x14ac:dyDescent="0.25">
      <c r="A58" s="12"/>
      <c r="B58" s="11"/>
      <c r="C58" s="11"/>
      <c r="D58" s="11"/>
      <c r="E58" s="11"/>
      <c r="F58" s="11"/>
      <c r="G58" s="11"/>
      <c r="H58" s="11"/>
      <c r="I58" s="37"/>
      <c r="J58" s="11"/>
      <c r="K58" s="57"/>
      <c r="M58" s="41"/>
      <c r="N58" s="11"/>
    </row>
    <row r="59" spans="1:20" s="14" customFormat="1" x14ac:dyDescent="0.25">
      <c r="A59" s="12"/>
      <c r="B59" s="11"/>
      <c r="C59" s="11"/>
      <c r="D59" s="11"/>
      <c r="E59" s="11"/>
      <c r="F59" s="11"/>
      <c r="G59" s="11"/>
      <c r="H59" s="11"/>
      <c r="I59" s="37"/>
      <c r="J59" s="11"/>
      <c r="K59" s="57"/>
      <c r="M59" s="41"/>
      <c r="N59" s="11"/>
    </row>
    <row r="60" spans="1:20" s="14" customFormat="1" x14ac:dyDescent="0.25">
      <c r="A60" s="12"/>
      <c r="B60" s="11"/>
      <c r="C60" s="11"/>
      <c r="D60" s="11"/>
      <c r="E60" s="11"/>
      <c r="F60" s="11"/>
      <c r="G60" s="11"/>
      <c r="H60" s="11"/>
      <c r="I60" s="37"/>
      <c r="J60" s="11"/>
      <c r="K60" s="57"/>
      <c r="M60" s="41"/>
      <c r="N60" s="11"/>
    </row>
    <row r="61" spans="1:20" s="14" customFormat="1" x14ac:dyDescent="0.25">
      <c r="A61" s="12"/>
      <c r="B61" s="11"/>
      <c r="C61" s="11"/>
      <c r="D61" s="11"/>
      <c r="E61" s="11"/>
      <c r="F61" s="11"/>
      <c r="G61" s="11"/>
      <c r="H61" s="11"/>
      <c r="I61" s="37"/>
      <c r="J61" s="11"/>
      <c r="K61" s="57"/>
      <c r="M61" s="41"/>
      <c r="N61" s="11"/>
    </row>
    <row r="62" spans="1:20" s="14" customFormat="1" x14ac:dyDescent="0.25">
      <c r="A62" s="12"/>
      <c r="B62" s="11"/>
      <c r="C62" s="11"/>
      <c r="D62" s="11"/>
      <c r="E62" s="11"/>
      <c r="F62" s="11"/>
      <c r="G62" s="11"/>
      <c r="H62" s="11"/>
      <c r="I62" s="37"/>
      <c r="J62" s="11"/>
      <c r="K62" s="57"/>
      <c r="M62" s="41"/>
      <c r="N62" s="11"/>
    </row>
    <row r="63" spans="1:20" s="14" customFormat="1" x14ac:dyDescent="0.25">
      <c r="A63" s="12"/>
      <c r="B63" s="11"/>
      <c r="C63" s="11"/>
      <c r="D63" s="11"/>
      <c r="E63" s="11"/>
      <c r="F63" s="11"/>
      <c r="G63" s="11"/>
      <c r="H63" s="11"/>
      <c r="I63" s="37"/>
      <c r="J63" s="11"/>
      <c r="K63" s="57"/>
      <c r="M63" s="41"/>
      <c r="N63" s="11"/>
    </row>
    <row r="64" spans="1:20" s="14" customFormat="1" x14ac:dyDescent="0.25">
      <c r="A64" s="12"/>
      <c r="B64" s="11"/>
      <c r="C64" s="11"/>
      <c r="D64" s="11"/>
      <c r="E64" s="11"/>
      <c r="F64" s="11"/>
      <c r="G64" s="11"/>
      <c r="H64" s="11"/>
      <c r="I64" s="37"/>
      <c r="J64" s="11"/>
      <c r="K64" s="57"/>
      <c r="M64" s="41"/>
      <c r="N64" s="11"/>
    </row>
    <row r="65" spans="1:14" s="14" customFormat="1" x14ac:dyDescent="0.25">
      <c r="A65" s="12"/>
      <c r="B65" s="11"/>
      <c r="C65" s="11"/>
      <c r="D65" s="11"/>
      <c r="E65" s="11"/>
      <c r="F65" s="11"/>
      <c r="G65" s="11"/>
      <c r="H65" s="11"/>
      <c r="I65" s="37"/>
      <c r="J65" s="11"/>
      <c r="K65" s="57"/>
      <c r="M65" s="41"/>
      <c r="N65" s="11"/>
    </row>
    <row r="66" spans="1:14" s="14" customFormat="1" x14ac:dyDescent="0.25">
      <c r="A66" s="12"/>
      <c r="B66" s="11"/>
      <c r="C66" s="11"/>
      <c r="D66" s="11"/>
      <c r="E66" s="11"/>
      <c r="F66" s="11"/>
      <c r="G66" s="11"/>
      <c r="H66" s="11"/>
      <c r="I66" s="37"/>
      <c r="J66" s="11"/>
      <c r="K66" s="57"/>
      <c r="M66" s="41"/>
      <c r="N66" s="11"/>
    </row>
    <row r="67" spans="1:14" s="14" customFormat="1" x14ac:dyDescent="0.25">
      <c r="A67" s="12"/>
      <c r="B67" s="11"/>
      <c r="C67" s="11"/>
      <c r="D67" s="11"/>
      <c r="E67" s="11"/>
      <c r="F67" s="11"/>
      <c r="G67" s="11"/>
      <c r="H67" s="11"/>
      <c r="I67" s="37"/>
      <c r="J67" s="11"/>
      <c r="K67" s="57"/>
      <c r="M67" s="41"/>
      <c r="N67" s="11"/>
    </row>
    <row r="68" spans="1:14" s="14" customFormat="1" x14ac:dyDescent="0.25">
      <c r="A68" s="12"/>
      <c r="B68" s="11"/>
      <c r="C68" s="11"/>
      <c r="D68" s="11"/>
      <c r="E68" s="11"/>
      <c r="F68" s="11"/>
      <c r="G68" s="11"/>
      <c r="H68" s="11"/>
      <c r="I68" s="37"/>
      <c r="J68" s="11"/>
      <c r="K68" s="57"/>
      <c r="M68" s="41"/>
      <c r="N68" s="11"/>
    </row>
    <row r="69" spans="1:14" s="14" customFormat="1" x14ac:dyDescent="0.25">
      <c r="A69" s="12"/>
      <c r="B69" s="11"/>
      <c r="C69" s="11"/>
      <c r="D69" s="11"/>
      <c r="E69" s="11"/>
      <c r="F69" s="11"/>
      <c r="G69" s="11"/>
      <c r="H69" s="11"/>
      <c r="I69" s="37"/>
      <c r="J69" s="11"/>
      <c r="K69" s="57"/>
      <c r="M69" s="41"/>
      <c r="N69" s="11"/>
    </row>
    <row r="70" spans="1:14" s="14" customFormat="1" x14ac:dyDescent="0.25">
      <c r="A70" s="12"/>
      <c r="B70" s="11"/>
      <c r="C70" s="11"/>
      <c r="D70" s="11"/>
      <c r="E70" s="11"/>
      <c r="F70" s="11"/>
      <c r="G70" s="11"/>
      <c r="H70" s="11"/>
      <c r="I70" s="37"/>
      <c r="J70" s="11"/>
      <c r="K70" s="57"/>
      <c r="M70" s="41"/>
      <c r="N70" s="11"/>
    </row>
    <row r="71" spans="1:14" s="14" customFormat="1" x14ac:dyDescent="0.25">
      <c r="A71" s="12"/>
      <c r="B71" s="11"/>
      <c r="C71" s="11"/>
      <c r="D71" s="11"/>
      <c r="E71" s="11"/>
      <c r="F71" s="11"/>
      <c r="G71" s="11"/>
      <c r="H71" s="11"/>
      <c r="I71" s="37"/>
      <c r="J71" s="11"/>
      <c r="K71" s="57"/>
      <c r="M71" s="41"/>
      <c r="N71" s="11"/>
    </row>
    <row r="72" spans="1:14" s="14" customFormat="1" x14ac:dyDescent="0.25">
      <c r="A72" s="12"/>
      <c r="B72" s="11"/>
      <c r="C72" s="11"/>
      <c r="D72" s="11"/>
      <c r="E72" s="11"/>
      <c r="F72" s="11"/>
      <c r="G72" s="11"/>
      <c r="H72" s="11"/>
      <c r="I72" s="37"/>
      <c r="J72" s="11"/>
      <c r="K72" s="57"/>
      <c r="M72" s="41"/>
      <c r="N72" s="11"/>
    </row>
    <row r="73" spans="1:14" s="14" customFormat="1" x14ac:dyDescent="0.25">
      <c r="A73" s="12"/>
      <c r="B73" s="11"/>
      <c r="C73" s="11"/>
      <c r="D73" s="11"/>
      <c r="E73" s="11"/>
      <c r="F73" s="11"/>
      <c r="G73" s="11"/>
      <c r="H73" s="11"/>
      <c r="I73" s="37"/>
      <c r="J73" s="11"/>
      <c r="K73" s="57"/>
      <c r="M73" s="41"/>
      <c r="N73" s="11"/>
    </row>
    <row r="74" spans="1:14" s="14" customFormat="1" x14ac:dyDescent="0.25">
      <c r="A74" s="12"/>
      <c r="B74" s="11"/>
      <c r="C74" s="11"/>
      <c r="D74" s="11"/>
      <c r="E74" s="11"/>
      <c r="F74" s="11"/>
      <c r="G74" s="11"/>
      <c r="H74" s="11"/>
      <c r="I74" s="37"/>
      <c r="J74" s="11"/>
      <c r="K74" s="57"/>
      <c r="M74" s="41"/>
      <c r="N74" s="11"/>
    </row>
    <row r="75" spans="1:14" s="14" customFormat="1" x14ac:dyDescent="0.25">
      <c r="A75" s="12"/>
      <c r="B75" s="11"/>
      <c r="C75" s="11"/>
      <c r="D75" s="11"/>
      <c r="E75" s="11"/>
      <c r="F75" s="11"/>
      <c r="G75" s="11"/>
      <c r="H75" s="11"/>
      <c r="I75" s="37"/>
      <c r="J75" s="11"/>
      <c r="K75" s="57"/>
      <c r="M75" s="41"/>
      <c r="N75" s="11"/>
    </row>
    <row r="76" spans="1:14" s="14" customFormat="1" x14ac:dyDescent="0.25">
      <c r="A76" s="12"/>
      <c r="B76" s="11"/>
      <c r="C76" s="11"/>
      <c r="D76" s="11"/>
      <c r="E76" s="11"/>
      <c r="F76" s="11"/>
      <c r="G76" s="11"/>
      <c r="H76" s="11"/>
      <c r="I76" s="37"/>
      <c r="J76" s="11"/>
      <c r="K76" s="57"/>
      <c r="M76" s="41"/>
      <c r="N76" s="11"/>
    </row>
    <row r="77" spans="1:14" s="14" customFormat="1" x14ac:dyDescent="0.25">
      <c r="A77" s="12"/>
      <c r="B77" s="11"/>
      <c r="C77" s="11"/>
      <c r="D77" s="11"/>
      <c r="E77" s="11"/>
      <c r="F77" s="11"/>
      <c r="G77" s="11"/>
      <c r="H77" s="11"/>
      <c r="I77" s="37"/>
      <c r="J77" s="11"/>
      <c r="K77" s="57"/>
      <c r="M77" s="41"/>
      <c r="N77" s="11"/>
    </row>
    <row r="78" spans="1:14" x14ac:dyDescent="0.25">
      <c r="L78" s="14"/>
    </row>
    <row r="79" spans="1:14" x14ac:dyDescent="0.25">
      <c r="L79" s="14"/>
    </row>
    <row r="80" spans="1:14" x14ac:dyDescent="0.25">
      <c r="L80" s="14"/>
    </row>
    <row r="81" spans="12:12" x14ac:dyDescent="0.25">
      <c r="L81" s="14"/>
    </row>
    <row r="82" spans="12:12" x14ac:dyDescent="0.25">
      <c r="L82" s="14"/>
    </row>
    <row r="83" spans="12:12" x14ac:dyDescent="0.25">
      <c r="L83" s="14"/>
    </row>
    <row r="84" spans="12:12" x14ac:dyDescent="0.25">
      <c r="L84" s="14"/>
    </row>
    <row r="85" spans="12:12" x14ac:dyDescent="0.25">
      <c r="L85" s="14"/>
    </row>
    <row r="86" spans="12:12" x14ac:dyDescent="0.25">
      <c r="L86" s="14"/>
    </row>
    <row r="87" spans="12:12" x14ac:dyDescent="0.25">
      <c r="L87" s="14"/>
    </row>
    <row r="88" spans="12:12" x14ac:dyDescent="0.25">
      <c r="L88" s="14"/>
    </row>
    <row r="89" spans="12:12" x14ac:dyDescent="0.25">
      <c r="L89" s="14"/>
    </row>
    <row r="90" spans="12:12" x14ac:dyDescent="0.25">
      <c r="L90" s="14"/>
    </row>
    <row r="91" spans="12:12" x14ac:dyDescent="0.25">
      <c r="L91" s="14"/>
    </row>
    <row r="92" spans="12:12" x14ac:dyDescent="0.25">
      <c r="L92" s="14"/>
    </row>
    <row r="93" spans="12:12" x14ac:dyDescent="0.25">
      <c r="L93" s="14"/>
    </row>
    <row r="94" spans="12:12" x14ac:dyDescent="0.25">
      <c r="L94" s="14"/>
    </row>
    <row r="95" spans="12:12" x14ac:dyDescent="0.25">
      <c r="L95" s="14"/>
    </row>
    <row r="96" spans="12:12" x14ac:dyDescent="0.25">
      <c r="L96" s="14"/>
    </row>
    <row r="97" spans="12:12" x14ac:dyDescent="0.25">
      <c r="L97" s="14"/>
    </row>
    <row r="98" spans="12:12" x14ac:dyDescent="0.25">
      <c r="L98" s="14"/>
    </row>
    <row r="99" spans="12:12" x14ac:dyDescent="0.25">
      <c r="L99" s="14"/>
    </row>
    <row r="100" spans="12:12" x14ac:dyDescent="0.25">
      <c r="L100" s="14"/>
    </row>
    <row r="101" spans="12:12" x14ac:dyDescent="0.25">
      <c r="L101" s="14"/>
    </row>
    <row r="102" spans="12:12" x14ac:dyDescent="0.25">
      <c r="L102" s="14"/>
    </row>
    <row r="103" spans="12:12" x14ac:dyDescent="0.25">
      <c r="L103" s="14"/>
    </row>
    <row r="104" spans="12:12" x14ac:dyDescent="0.25">
      <c r="L104" s="14"/>
    </row>
    <row r="105" spans="12:12" x14ac:dyDescent="0.25">
      <c r="L105" s="14"/>
    </row>
    <row r="106" spans="12:12" x14ac:dyDescent="0.25">
      <c r="L106" s="14"/>
    </row>
    <row r="107" spans="12:12" x14ac:dyDescent="0.25">
      <c r="L107" s="14"/>
    </row>
    <row r="108" spans="12:12" x14ac:dyDescent="0.25">
      <c r="L108" s="14"/>
    </row>
    <row r="109" spans="12:12" x14ac:dyDescent="0.25">
      <c r="L109" s="14"/>
    </row>
    <row r="110" spans="12:12" x14ac:dyDescent="0.25">
      <c r="L110" s="14"/>
    </row>
    <row r="111" spans="12:12" x14ac:dyDescent="0.25">
      <c r="L111" s="14"/>
    </row>
    <row r="112" spans="12:12" x14ac:dyDescent="0.25">
      <c r="L112" s="14"/>
    </row>
    <row r="113" spans="12:12" x14ac:dyDescent="0.25">
      <c r="L113" s="14"/>
    </row>
    <row r="114" spans="12:12" x14ac:dyDescent="0.25">
      <c r="L114" s="14"/>
    </row>
    <row r="115" spans="12:12" x14ac:dyDescent="0.25">
      <c r="L115" s="14"/>
    </row>
    <row r="116" spans="12:12" x14ac:dyDescent="0.25">
      <c r="L116" s="14"/>
    </row>
    <row r="117" spans="12:12" x14ac:dyDescent="0.25">
      <c r="L117" s="14"/>
    </row>
    <row r="118" spans="12:12" x14ac:dyDescent="0.25">
      <c r="L118" s="14"/>
    </row>
    <row r="119" spans="12:12" x14ac:dyDescent="0.25">
      <c r="L119" s="14"/>
    </row>
    <row r="120" spans="12:12" x14ac:dyDescent="0.25">
      <c r="L120" s="14"/>
    </row>
    <row r="121" spans="12:12" x14ac:dyDescent="0.25">
      <c r="L121" s="14"/>
    </row>
    <row r="122" spans="12:12" x14ac:dyDescent="0.25">
      <c r="L122" s="14"/>
    </row>
    <row r="123" spans="12:12" x14ac:dyDescent="0.25">
      <c r="L123" s="14"/>
    </row>
    <row r="124" spans="12:12" x14ac:dyDescent="0.25">
      <c r="L124" s="14"/>
    </row>
    <row r="125" spans="12:12" x14ac:dyDescent="0.25">
      <c r="L125" s="14"/>
    </row>
    <row r="126" spans="12:12" x14ac:dyDescent="0.25">
      <c r="L126" s="14"/>
    </row>
    <row r="127" spans="12:12" x14ac:dyDescent="0.25">
      <c r="L127" s="14"/>
    </row>
    <row r="128" spans="12:12" x14ac:dyDescent="0.25">
      <c r="L128" s="14"/>
    </row>
    <row r="129" spans="12:12" x14ac:dyDescent="0.25">
      <c r="L129" s="14"/>
    </row>
    <row r="130" spans="12:12" x14ac:dyDescent="0.25">
      <c r="L130" s="14"/>
    </row>
    <row r="131" spans="12:12" x14ac:dyDescent="0.25">
      <c r="L131" s="14"/>
    </row>
    <row r="132" spans="12:12" x14ac:dyDescent="0.25">
      <c r="L132" s="14"/>
    </row>
    <row r="133" spans="12:12" x14ac:dyDescent="0.25">
      <c r="L133" s="14"/>
    </row>
    <row r="134" spans="12:12" x14ac:dyDescent="0.25">
      <c r="L134" s="14"/>
    </row>
    <row r="135" spans="12:12" x14ac:dyDescent="0.25">
      <c r="L135" s="14"/>
    </row>
    <row r="136" spans="12:12" x14ac:dyDescent="0.25">
      <c r="L136" s="14"/>
    </row>
    <row r="137" spans="12:12" x14ac:dyDescent="0.25">
      <c r="L137" s="14"/>
    </row>
    <row r="138" spans="12:12" x14ac:dyDescent="0.25">
      <c r="L138" s="14"/>
    </row>
    <row r="139" spans="12:12" x14ac:dyDescent="0.25">
      <c r="L139" s="14"/>
    </row>
    <row r="140" spans="12:12" x14ac:dyDescent="0.25">
      <c r="L140" s="14"/>
    </row>
    <row r="141" spans="12:12" x14ac:dyDescent="0.25">
      <c r="L141" s="14"/>
    </row>
    <row r="142" spans="12:12" x14ac:dyDescent="0.25">
      <c r="L142" s="14"/>
    </row>
    <row r="143" spans="12:12" x14ac:dyDescent="0.25">
      <c r="L143" s="14"/>
    </row>
    <row r="144" spans="12:12" x14ac:dyDescent="0.25">
      <c r="L144" s="14"/>
    </row>
    <row r="145" spans="12:12" x14ac:dyDescent="0.25">
      <c r="L145" s="14"/>
    </row>
    <row r="146" spans="12:12" x14ac:dyDescent="0.25">
      <c r="L146" s="14"/>
    </row>
    <row r="147" spans="12:12" x14ac:dyDescent="0.25">
      <c r="L147" s="14"/>
    </row>
    <row r="148" spans="12:12" x14ac:dyDescent="0.25">
      <c r="L148" s="14"/>
    </row>
    <row r="149" spans="12:12" x14ac:dyDescent="0.25">
      <c r="L149" s="14"/>
    </row>
    <row r="150" spans="12:12" x14ac:dyDescent="0.25">
      <c r="L150" s="14"/>
    </row>
    <row r="151" spans="12:12" x14ac:dyDescent="0.25">
      <c r="L151" s="14"/>
    </row>
    <row r="152" spans="12:12" x14ac:dyDescent="0.25">
      <c r="L152" s="14"/>
    </row>
    <row r="153" spans="12:12" x14ac:dyDescent="0.25">
      <c r="L153" s="14"/>
    </row>
    <row r="154" spans="12:12" x14ac:dyDescent="0.25">
      <c r="L154" s="14"/>
    </row>
    <row r="165" spans="1:13" x14ac:dyDescent="0.25">
      <c r="M165" s="11"/>
    </row>
    <row r="166" spans="1:13" x14ac:dyDescent="0.25">
      <c r="M166" s="11"/>
    </row>
    <row r="167" spans="1:13" x14ac:dyDescent="0.25">
      <c r="M167" s="11"/>
    </row>
    <row r="168" spans="1:13" x14ac:dyDescent="0.25">
      <c r="M168" s="11"/>
    </row>
    <row r="169" spans="1:13" x14ac:dyDescent="0.25">
      <c r="M169" s="11"/>
    </row>
    <row r="170" spans="1:13" x14ac:dyDescent="0.25">
      <c r="M170" s="11"/>
    </row>
    <row r="171" spans="1:13" x14ac:dyDescent="0.25">
      <c r="M171" s="11"/>
    </row>
    <row r="172" spans="1:13" x14ac:dyDescent="0.25">
      <c r="M172" s="11"/>
    </row>
    <row r="173" spans="1:13" x14ac:dyDescent="0.25">
      <c r="M173" s="11"/>
    </row>
    <row r="174" spans="1:13" x14ac:dyDescent="0.25">
      <c r="M174" s="11"/>
    </row>
    <row r="175" spans="1:13" s="57" customFormat="1" x14ac:dyDescent="0.25">
      <c r="A175" s="12"/>
      <c r="B175" s="11"/>
      <c r="C175" s="11"/>
      <c r="D175" s="11"/>
      <c r="E175" s="11"/>
      <c r="F175" s="11"/>
      <c r="G175" s="11"/>
      <c r="H175" s="11"/>
      <c r="I175" s="37"/>
      <c r="J175" s="11"/>
    </row>
    <row r="176" spans="1:13" s="57" customFormat="1" x14ac:dyDescent="0.25">
      <c r="A176" s="12"/>
      <c r="B176" s="11"/>
      <c r="C176" s="11"/>
      <c r="D176" s="11"/>
      <c r="E176" s="11"/>
      <c r="F176" s="11"/>
      <c r="G176" s="11"/>
      <c r="H176" s="11"/>
      <c r="I176" s="37"/>
      <c r="J176" s="11"/>
    </row>
    <row r="177" spans="1:10" s="57" customFormat="1" x14ac:dyDescent="0.25">
      <c r="A177" s="12"/>
      <c r="B177" s="11"/>
      <c r="C177" s="11"/>
      <c r="D177" s="11"/>
      <c r="E177" s="11"/>
      <c r="F177" s="11"/>
      <c r="G177" s="11"/>
      <c r="H177" s="11"/>
      <c r="I177" s="37"/>
      <c r="J177" s="11"/>
    </row>
    <row r="178" spans="1:10" s="57" customFormat="1" x14ac:dyDescent="0.25">
      <c r="A178" s="12"/>
      <c r="B178" s="11"/>
      <c r="C178" s="11"/>
      <c r="D178" s="11"/>
      <c r="E178" s="11"/>
      <c r="F178" s="11"/>
      <c r="G178" s="11"/>
      <c r="H178" s="11"/>
      <c r="I178" s="37"/>
      <c r="J178" s="11"/>
    </row>
    <row r="179" spans="1:10" s="57" customFormat="1" x14ac:dyDescent="0.25">
      <c r="A179" s="12"/>
      <c r="B179" s="11"/>
      <c r="C179" s="11"/>
      <c r="D179" s="11"/>
      <c r="E179" s="11"/>
      <c r="F179" s="11"/>
      <c r="G179" s="11"/>
      <c r="H179" s="11"/>
      <c r="I179" s="37"/>
      <c r="J179" s="11"/>
    </row>
    <row r="180" spans="1:10" s="57" customFormat="1" x14ac:dyDescent="0.25">
      <c r="A180" s="12"/>
      <c r="B180" s="11"/>
      <c r="C180" s="11"/>
      <c r="D180" s="11"/>
      <c r="E180" s="11"/>
      <c r="F180" s="11"/>
      <c r="G180" s="11"/>
      <c r="H180" s="11"/>
      <c r="I180" s="37"/>
      <c r="J180" s="11"/>
    </row>
    <row r="181" spans="1:10" s="57" customFormat="1" x14ac:dyDescent="0.25">
      <c r="A181" s="12"/>
      <c r="B181" s="11"/>
      <c r="C181" s="11"/>
      <c r="D181" s="11"/>
      <c r="E181" s="11"/>
      <c r="F181" s="11"/>
      <c r="G181" s="11"/>
      <c r="H181" s="11"/>
      <c r="I181" s="37"/>
      <c r="J181" s="11"/>
    </row>
    <row r="182" spans="1:10" s="57" customFormat="1" x14ac:dyDescent="0.25">
      <c r="A182" s="12"/>
      <c r="B182" s="11"/>
      <c r="C182" s="11"/>
      <c r="D182" s="11"/>
      <c r="E182" s="11"/>
      <c r="F182" s="11"/>
      <c r="G182" s="11"/>
      <c r="H182" s="11"/>
      <c r="I182" s="37"/>
      <c r="J182" s="11"/>
    </row>
    <row r="183" spans="1:10" s="57" customFormat="1" x14ac:dyDescent="0.25">
      <c r="A183" s="12"/>
      <c r="B183" s="11"/>
      <c r="C183" s="11"/>
      <c r="D183" s="11"/>
      <c r="E183" s="11"/>
      <c r="F183" s="11"/>
      <c r="G183" s="11"/>
      <c r="H183" s="11"/>
      <c r="I183" s="37"/>
      <c r="J183" s="11"/>
    </row>
    <row r="184" spans="1:10" s="57" customFormat="1" x14ac:dyDescent="0.25">
      <c r="A184" s="12"/>
      <c r="B184" s="11"/>
      <c r="C184" s="11"/>
      <c r="D184" s="11"/>
      <c r="E184" s="11"/>
      <c r="F184" s="11"/>
      <c r="G184" s="11"/>
      <c r="H184" s="11"/>
      <c r="I184" s="37"/>
      <c r="J184" s="11"/>
    </row>
    <row r="185" spans="1:10" s="57" customFormat="1" x14ac:dyDescent="0.25">
      <c r="A185" s="12"/>
      <c r="B185" s="11"/>
      <c r="C185" s="11"/>
      <c r="D185" s="11"/>
      <c r="E185" s="11"/>
      <c r="F185" s="11"/>
      <c r="G185" s="11"/>
      <c r="H185" s="11"/>
      <c r="I185" s="37"/>
      <c r="J185" s="11"/>
    </row>
    <row r="186" spans="1:10" s="57" customFormat="1" x14ac:dyDescent="0.25">
      <c r="A186" s="12"/>
      <c r="B186" s="11"/>
      <c r="C186" s="11"/>
      <c r="D186" s="11"/>
      <c r="E186" s="11"/>
      <c r="F186" s="11"/>
      <c r="G186" s="11"/>
      <c r="H186" s="11"/>
      <c r="I186" s="37"/>
      <c r="J186" s="11"/>
    </row>
    <row r="187" spans="1:10" s="57" customFormat="1" x14ac:dyDescent="0.25">
      <c r="A187" s="12"/>
      <c r="B187" s="11"/>
      <c r="C187" s="11"/>
      <c r="D187" s="11"/>
      <c r="E187" s="11"/>
      <c r="F187" s="11"/>
      <c r="G187" s="11"/>
      <c r="H187" s="11"/>
      <c r="I187" s="37"/>
      <c r="J187" s="11"/>
    </row>
    <row r="188" spans="1:10" s="57" customFormat="1" x14ac:dyDescent="0.25">
      <c r="A188" s="12"/>
      <c r="B188" s="11"/>
      <c r="C188" s="11"/>
      <c r="D188" s="11"/>
      <c r="E188" s="11"/>
      <c r="F188" s="11"/>
      <c r="G188" s="11"/>
      <c r="H188" s="11"/>
      <c r="I188" s="37"/>
      <c r="J188" s="11"/>
    </row>
    <row r="189" spans="1:10" s="57" customFormat="1" x14ac:dyDescent="0.25">
      <c r="A189" s="12"/>
      <c r="B189" s="11"/>
      <c r="C189" s="11"/>
      <c r="D189" s="11"/>
      <c r="E189" s="11"/>
      <c r="F189" s="11"/>
      <c r="G189" s="11"/>
      <c r="H189" s="11"/>
      <c r="I189" s="37"/>
      <c r="J189" s="11"/>
    </row>
    <row r="190" spans="1:10" s="57" customFormat="1" x14ac:dyDescent="0.25">
      <c r="A190" s="12"/>
      <c r="B190" s="11"/>
      <c r="C190" s="11"/>
      <c r="D190" s="11"/>
      <c r="E190" s="11"/>
      <c r="F190" s="11"/>
      <c r="G190" s="11"/>
      <c r="H190" s="11"/>
      <c r="I190" s="37"/>
      <c r="J190" s="11"/>
    </row>
    <row r="191" spans="1:10" s="57" customFormat="1" x14ac:dyDescent="0.25">
      <c r="A191" s="12"/>
      <c r="B191" s="11"/>
      <c r="C191" s="11"/>
      <c r="D191" s="11"/>
      <c r="E191" s="11"/>
      <c r="F191" s="11"/>
      <c r="G191" s="11"/>
      <c r="H191" s="11"/>
      <c r="I191" s="37"/>
      <c r="J191" s="11"/>
    </row>
    <row r="192" spans="1:10" s="57" customFormat="1" x14ac:dyDescent="0.25">
      <c r="A192" s="12"/>
      <c r="B192" s="11"/>
      <c r="C192" s="11"/>
      <c r="D192" s="11"/>
      <c r="E192" s="11"/>
      <c r="F192" s="11"/>
      <c r="G192" s="11"/>
      <c r="H192" s="11"/>
      <c r="I192" s="37"/>
      <c r="J192" s="11"/>
    </row>
    <row r="193" spans="12:13" x14ac:dyDescent="0.25">
      <c r="L193" s="14"/>
    </row>
    <row r="194" spans="12:13" x14ac:dyDescent="0.25">
      <c r="L194" s="14"/>
    </row>
    <row r="195" spans="12:13" x14ac:dyDescent="0.25">
      <c r="L195" s="14"/>
    </row>
    <row r="196" spans="12:13" x14ac:dyDescent="0.25">
      <c r="L196" s="14"/>
    </row>
    <row r="197" spans="12:13" x14ac:dyDescent="0.25">
      <c r="L197" s="14"/>
    </row>
    <row r="198" spans="12:13" x14ac:dyDescent="0.25">
      <c r="L198" s="14"/>
    </row>
    <row r="199" spans="12:13" x14ac:dyDescent="0.25">
      <c r="L199" s="14"/>
    </row>
    <row r="200" spans="12:13" x14ac:dyDescent="0.25">
      <c r="L200" s="14"/>
    </row>
    <row r="201" spans="12:13" x14ac:dyDescent="0.25">
      <c r="L201" s="14"/>
    </row>
    <row r="202" spans="12:13" x14ac:dyDescent="0.25">
      <c r="L202" s="14"/>
    </row>
    <row r="203" spans="12:13" x14ac:dyDescent="0.25">
      <c r="L203" s="14"/>
    </row>
    <row r="204" spans="12:13" x14ac:dyDescent="0.25">
      <c r="L204" s="14"/>
    </row>
    <row r="205" spans="12:13" x14ac:dyDescent="0.25">
      <c r="L205" s="14"/>
    </row>
    <row r="206" spans="12:13" x14ac:dyDescent="0.25">
      <c r="L206" s="14"/>
    </row>
    <row r="207" spans="12:13" x14ac:dyDescent="0.25">
      <c r="L207" s="14"/>
    </row>
    <row r="208" spans="12:13" x14ac:dyDescent="0.25">
      <c r="L208" s="41"/>
      <c r="M208" s="11"/>
    </row>
    <row r="209" spans="12:13" x14ac:dyDescent="0.25">
      <c r="L209" s="41"/>
      <c r="M209" s="11"/>
    </row>
    <row r="210" spans="12:13" x14ac:dyDescent="0.25">
      <c r="L210" s="41"/>
      <c r="M210" s="11"/>
    </row>
    <row r="211" spans="12:13" x14ac:dyDescent="0.25">
      <c r="L211" s="41"/>
      <c r="M211" s="11"/>
    </row>
    <row r="212" spans="12:13" x14ac:dyDescent="0.25">
      <c r="L212" s="41"/>
      <c r="M212" s="11"/>
    </row>
    <row r="213" spans="12:13" x14ac:dyDescent="0.25">
      <c r="L213" s="41"/>
      <c r="M213" s="11"/>
    </row>
    <row r="214" spans="12:13" x14ac:dyDescent="0.25">
      <c r="L214" s="41"/>
      <c r="M214" s="11"/>
    </row>
    <row r="215" spans="12:13" x14ac:dyDescent="0.25">
      <c r="L215" s="41"/>
      <c r="M215" s="11"/>
    </row>
    <row r="216" spans="12:13" x14ac:dyDescent="0.25">
      <c r="L216" s="41"/>
      <c r="M216" s="11"/>
    </row>
    <row r="217" spans="12:13" x14ac:dyDescent="0.25">
      <c r="L217" s="41"/>
      <c r="M217" s="11"/>
    </row>
    <row r="218" spans="12:13" x14ac:dyDescent="0.25">
      <c r="L218" s="41"/>
      <c r="M218" s="11"/>
    </row>
    <row r="219" spans="12:13" x14ac:dyDescent="0.25">
      <c r="L219" s="41"/>
      <c r="M219" s="11"/>
    </row>
    <row r="220" spans="12:13" x14ac:dyDescent="0.25">
      <c r="L220" s="41"/>
      <c r="M220" s="11"/>
    </row>
    <row r="221" spans="12:13" x14ac:dyDescent="0.25">
      <c r="L221" s="14"/>
    </row>
    <row r="222" spans="12:13" x14ac:dyDescent="0.25">
      <c r="L222" s="14"/>
    </row>
    <row r="223" spans="12:13" ht="45" customHeight="1" x14ac:dyDescent="0.25">
      <c r="L223" s="14"/>
    </row>
    <row r="224" spans="12:13" ht="45" customHeight="1" x14ac:dyDescent="0.25">
      <c r="L224" s="14"/>
    </row>
    <row r="225" spans="12:12" ht="45" customHeight="1" x14ac:dyDescent="0.25">
      <c r="L225" s="14"/>
    </row>
    <row r="226" spans="12:12" ht="45" customHeight="1" x14ac:dyDescent="0.25">
      <c r="L226" s="14"/>
    </row>
    <row r="227" spans="12:12" ht="45" customHeight="1" x14ac:dyDescent="0.25">
      <c r="L227" s="14"/>
    </row>
    <row r="228" spans="12:12" ht="45" customHeight="1" x14ac:dyDescent="0.25">
      <c r="L228" s="14"/>
    </row>
    <row r="229" spans="12:12" ht="45" customHeight="1" x14ac:dyDescent="0.25">
      <c r="L229" s="14"/>
    </row>
    <row r="230" spans="12:12" ht="45" customHeight="1" x14ac:dyDescent="0.25">
      <c r="L230" s="14"/>
    </row>
    <row r="231" spans="12:12" ht="45" customHeight="1" x14ac:dyDescent="0.25">
      <c r="L231" s="14"/>
    </row>
    <row r="232" spans="12:12" x14ac:dyDescent="0.25">
      <c r="L232" s="12"/>
    </row>
    <row r="233" spans="12:12" x14ac:dyDescent="0.25">
      <c r="L233" s="12"/>
    </row>
    <row r="234" spans="12:12" x14ac:dyDescent="0.25">
      <c r="L234" s="12"/>
    </row>
    <row r="235" spans="12:12" x14ac:dyDescent="0.25">
      <c r="L235" s="12"/>
    </row>
    <row r="236" spans="12:12" x14ac:dyDescent="0.25">
      <c r="L236" s="12"/>
    </row>
    <row r="237" spans="12:12" x14ac:dyDescent="0.25">
      <c r="L237" s="12"/>
    </row>
    <row r="238" spans="12:12" x14ac:dyDescent="0.25">
      <c r="L238" s="12"/>
    </row>
    <row r="239" spans="12:12" x14ac:dyDescent="0.25">
      <c r="L239" s="12"/>
    </row>
    <row r="240" spans="12:12" x14ac:dyDescent="0.25">
      <c r="L240" s="12"/>
    </row>
    <row r="241" spans="12:12" x14ac:dyDescent="0.25">
      <c r="L241" s="12"/>
    </row>
    <row r="242" spans="12:12" x14ac:dyDescent="0.25">
      <c r="L242" s="12"/>
    </row>
    <row r="243" spans="12:12" x14ac:dyDescent="0.25">
      <c r="L243" s="12"/>
    </row>
    <row r="244" spans="12:12" x14ac:dyDescent="0.25">
      <c r="L244" s="12"/>
    </row>
    <row r="245" spans="12:12" x14ac:dyDescent="0.25">
      <c r="L245" s="12"/>
    </row>
    <row r="246" spans="12:12" x14ac:dyDescent="0.25">
      <c r="L246" s="12"/>
    </row>
    <row r="247" spans="12:12" x14ac:dyDescent="0.25">
      <c r="L247" s="12"/>
    </row>
    <row r="248" spans="12:12" x14ac:dyDescent="0.25">
      <c r="L248" s="12"/>
    </row>
    <row r="249" spans="12:12" x14ac:dyDescent="0.25">
      <c r="L249" s="12"/>
    </row>
    <row r="250" spans="12:12" x14ac:dyDescent="0.25">
      <c r="L250" s="12"/>
    </row>
  </sheetData>
  <autoFilter ref="A2:N220" xr:uid="{C05F9277-E941-4F8C-B88B-7443D998D414}">
    <sortState xmlns:xlrd2="http://schemas.microsoft.com/office/spreadsheetml/2017/richdata2" ref="A3:N220">
      <sortCondition ref="G2:G220"/>
    </sortState>
  </autoFilter>
  <phoneticPr fontId="9" type="noConversion"/>
  <conditionalFormatting sqref="I5:I10">
    <cfRule type="containsText" dxfId="66" priority="3" operator="containsText" text="ไม่พบ">
      <formula>NOT(ISERROR(SEARCH("ไม่พบ",I5)))</formula>
    </cfRule>
  </conditionalFormatting>
  <conditionalFormatting sqref="I14">
    <cfRule type="containsText" dxfId="65" priority="2" operator="containsText" text="ไม่พบ">
      <formula>NOT(ISERROR(SEARCH("ไม่พบ",I14)))</formula>
    </cfRule>
  </conditionalFormatting>
  <conditionalFormatting sqref="I20:I21">
    <cfRule type="containsText" dxfId="64" priority="1" operator="containsText" text="ไม่พบ">
      <formula>NOT(ISERROR(SEARCH("ไม่พบ",I20)))</formula>
    </cfRule>
  </conditionalFormatting>
  <conditionalFormatting sqref="J1:J21">
    <cfRule type="containsText" dxfId="63" priority="7" operator="containsText" text="ไม่พบ">
      <formula>NOT(ISERROR(SEARCH("ไม่พบ",J1)))</formula>
    </cfRule>
  </conditionalFormatting>
  <conditionalFormatting sqref="J52:J1048576">
    <cfRule type="containsText" dxfId="62" priority="17" operator="containsText" text="ไม่พบ">
      <formula>NOT(ISERROR(SEARCH("ไม่พบ",J52)))</formula>
    </cfRule>
  </conditionalFormatting>
  <conditionalFormatting sqref="K2">
    <cfRule type="containsText" dxfId="61" priority="8" operator="containsText" text="ไม่พบ">
      <formula>NOT(ISERROR(SEARCH("ไม่พบ",K2)))</formula>
    </cfRule>
  </conditionalFormatting>
  <conditionalFormatting sqref="M2">
    <cfRule type="duplicateValues" dxfId="60" priority="6"/>
  </conditionalFormatting>
  <conditionalFormatting sqref="M251:M1048576 M1 L232:L250">
    <cfRule type="duplicateValues" dxfId="59" priority="183"/>
    <cfRule type="duplicateValues" dxfId="58" priority="184"/>
  </conditionalFormatting>
  <conditionalFormatting sqref="N2">
    <cfRule type="duplicateValues" dxfId="57" priority="4"/>
    <cfRule type="duplicateValues" dxfId="56" priority="5"/>
  </conditionalFormatting>
  <dataValidations count="2">
    <dataValidation type="list" allowBlank="1" showInputMessage="1" showErrorMessage="1" sqref="K52:K1048576 K2" xr:uid="{7D3E9DA2-F7E9-4F21-B91C-387358CB0418}">
      <formula1>#REF!</formula1>
    </dataValidation>
    <dataValidation type="list" allowBlank="1" showInputMessage="1" showErrorMessage="1" sqref="K1" xr:uid="{5CF48F26-2324-4117-A4A3-DF4770D536D8}">
      <formula1>$M$3:$M$35</formula1>
    </dataValidation>
  </dataValidations>
  <pageMargins left="1.1100000000000001" right="0.25" top="0.25" bottom="0.31" header="0.3" footer="0.3"/>
  <pageSetup paperSize="9" scale="1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EE1F-F5C4-4A3C-BD8E-C8479413AFD0}">
  <sheetPr>
    <tabColor rgb="FF00B0F0"/>
  </sheetPr>
  <dimension ref="A1:M63"/>
  <sheetViews>
    <sheetView zoomScale="70" zoomScaleNormal="70" workbookViewId="0">
      <pane xSplit="4" ySplit="2" topLeftCell="E8" activePane="bottomRight" state="frozen"/>
      <selection activeCell="C224" sqref="C224"/>
      <selection pane="topRight" activeCell="C224" sqref="C224"/>
      <selection pane="bottomLeft" activeCell="C224" sqref="C224"/>
      <selection pane="bottomRight" activeCell="I16" sqref="I16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4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929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 t="s">
        <v>5925</v>
      </c>
      <c r="C3" s="1" t="s">
        <v>5926</v>
      </c>
      <c r="D3" s="1" t="s">
        <v>989</v>
      </c>
      <c r="E3" s="1" t="s">
        <v>8</v>
      </c>
      <c r="F3" s="1" t="s">
        <v>990</v>
      </c>
      <c r="G3" s="1" t="s">
        <v>5927</v>
      </c>
      <c r="H3" s="23">
        <v>220</v>
      </c>
      <c r="I3" s="53" t="s">
        <v>992</v>
      </c>
      <c r="J3" s="30"/>
      <c r="M3" s="30"/>
    </row>
    <row r="4" spans="1:13" s="31" customFormat="1" ht="23.4" x14ac:dyDescent="0.6">
      <c r="A4" s="9">
        <v>2</v>
      </c>
      <c r="B4" s="1" t="s">
        <v>5928</v>
      </c>
      <c r="C4" s="1" t="s">
        <v>5929</v>
      </c>
      <c r="D4" s="1" t="s">
        <v>989</v>
      </c>
      <c r="E4" s="1" t="s">
        <v>8</v>
      </c>
      <c r="F4" s="1" t="s">
        <v>990</v>
      </c>
      <c r="G4" s="1" t="s">
        <v>5930</v>
      </c>
      <c r="H4" s="23">
        <v>177.43</v>
      </c>
      <c r="I4" s="53" t="s">
        <v>992</v>
      </c>
      <c r="J4" s="30"/>
      <c r="M4" s="30"/>
    </row>
    <row r="5" spans="1:13" s="31" customFormat="1" ht="23.4" x14ac:dyDescent="0.6">
      <c r="A5" s="9">
        <v>3</v>
      </c>
      <c r="B5" s="1" t="s">
        <v>5931</v>
      </c>
      <c r="C5" s="1" t="s">
        <v>5932</v>
      </c>
      <c r="D5" s="1" t="s">
        <v>989</v>
      </c>
      <c r="E5" s="1" t="s">
        <v>8</v>
      </c>
      <c r="F5" s="1" t="s">
        <v>990</v>
      </c>
      <c r="G5" s="1" t="s">
        <v>5933</v>
      </c>
      <c r="H5" s="23">
        <v>138</v>
      </c>
      <c r="I5" s="53" t="s">
        <v>992</v>
      </c>
      <c r="J5" s="30"/>
      <c r="M5" s="30"/>
    </row>
    <row r="6" spans="1:13" s="31" customFormat="1" ht="23.4" x14ac:dyDescent="0.6">
      <c r="A6" s="9">
        <v>4</v>
      </c>
      <c r="B6" s="1" t="s">
        <v>5934</v>
      </c>
      <c r="C6" s="1" t="s">
        <v>5935</v>
      </c>
      <c r="D6" s="1" t="s">
        <v>1004</v>
      </c>
      <c r="E6" s="1" t="s">
        <v>5936</v>
      </c>
      <c r="F6" s="1" t="s">
        <v>1006</v>
      </c>
      <c r="G6" s="1" t="s">
        <v>5937</v>
      </c>
      <c r="H6" s="23">
        <v>180</v>
      </c>
      <c r="I6" s="53" t="s">
        <v>992</v>
      </c>
      <c r="J6" s="30"/>
      <c r="M6" s="30"/>
    </row>
    <row r="7" spans="1:13" s="31" customFormat="1" ht="23.4" x14ac:dyDescent="0.6">
      <c r="A7" s="9">
        <v>5</v>
      </c>
      <c r="B7" s="1" t="s">
        <v>5925</v>
      </c>
      <c r="C7" s="1" t="s">
        <v>5926</v>
      </c>
      <c r="D7" s="1" t="s">
        <v>989</v>
      </c>
      <c r="E7" s="1" t="s">
        <v>8</v>
      </c>
      <c r="F7" s="1" t="s">
        <v>990</v>
      </c>
      <c r="G7" s="1" t="s">
        <v>5927</v>
      </c>
      <c r="H7" s="23">
        <v>220</v>
      </c>
      <c r="I7" s="53" t="s">
        <v>992</v>
      </c>
      <c r="J7" s="30"/>
      <c r="M7" s="30"/>
    </row>
    <row r="8" spans="1:13" s="31" customFormat="1" ht="23.4" x14ac:dyDescent="0.6">
      <c r="A8" s="9">
        <v>6</v>
      </c>
      <c r="B8" s="1" t="s">
        <v>5928</v>
      </c>
      <c r="C8" s="1" t="s">
        <v>5929</v>
      </c>
      <c r="D8" s="1" t="s">
        <v>989</v>
      </c>
      <c r="E8" s="1" t="s">
        <v>8</v>
      </c>
      <c r="F8" s="1" t="s">
        <v>990</v>
      </c>
      <c r="G8" s="1" t="s">
        <v>5930</v>
      </c>
      <c r="H8" s="23">
        <v>177.43</v>
      </c>
      <c r="I8" s="53" t="s">
        <v>992</v>
      </c>
      <c r="J8" s="30"/>
      <c r="M8" s="30"/>
    </row>
    <row r="9" spans="1:13" s="31" customFormat="1" ht="23.4" x14ac:dyDescent="0.6">
      <c r="A9" s="9">
        <v>7</v>
      </c>
      <c r="B9" s="1" t="s">
        <v>5931</v>
      </c>
      <c r="C9" s="1" t="s">
        <v>5932</v>
      </c>
      <c r="D9" s="1" t="s">
        <v>989</v>
      </c>
      <c r="E9" s="1" t="s">
        <v>8</v>
      </c>
      <c r="F9" s="1" t="s">
        <v>990</v>
      </c>
      <c r="G9" s="1" t="s">
        <v>5933</v>
      </c>
      <c r="H9" s="23">
        <v>138</v>
      </c>
      <c r="I9" s="53" t="s">
        <v>992</v>
      </c>
      <c r="J9" s="30"/>
      <c r="M9" s="30"/>
    </row>
    <row r="10" spans="1:13" s="31" customFormat="1" ht="23.4" x14ac:dyDescent="0.6">
      <c r="A10" s="9">
        <v>8</v>
      </c>
      <c r="B10" s="54" t="s">
        <v>5934</v>
      </c>
      <c r="C10" s="54" t="s">
        <v>5935</v>
      </c>
      <c r="D10" s="54" t="s">
        <v>1004</v>
      </c>
      <c r="E10" s="54" t="s">
        <v>5936</v>
      </c>
      <c r="F10" s="54" t="s">
        <v>1006</v>
      </c>
      <c r="G10" s="54" t="s">
        <v>5937</v>
      </c>
      <c r="H10" s="55">
        <v>180</v>
      </c>
      <c r="I10" s="53" t="s">
        <v>992</v>
      </c>
      <c r="J10" s="30"/>
      <c r="M10" s="30"/>
    </row>
    <row r="11" spans="1:13" s="31" customFormat="1" ht="23.4" x14ac:dyDescent="0.6">
      <c r="A11" s="9">
        <v>9</v>
      </c>
      <c r="B11" s="54" t="s">
        <v>5974</v>
      </c>
      <c r="C11" s="54" t="s">
        <v>1081</v>
      </c>
      <c r="D11" s="54" t="s">
        <v>989</v>
      </c>
      <c r="E11" s="54" t="s">
        <v>8</v>
      </c>
      <c r="F11" s="54" t="s">
        <v>990</v>
      </c>
      <c r="G11" s="54" t="s">
        <v>5975</v>
      </c>
      <c r="H11" s="55">
        <v>484.11</v>
      </c>
      <c r="I11" s="53" t="s">
        <v>992</v>
      </c>
      <c r="J11" s="30"/>
      <c r="M11" s="30"/>
    </row>
    <row r="12" spans="1:13" s="31" customFormat="1" ht="23.4" x14ac:dyDescent="0.6">
      <c r="A12" s="9">
        <v>10</v>
      </c>
      <c r="B12" s="54" t="s">
        <v>5984</v>
      </c>
      <c r="C12" s="54" t="s">
        <v>5985</v>
      </c>
      <c r="D12" s="54" t="s">
        <v>1004</v>
      </c>
      <c r="E12" s="54" t="s">
        <v>5986</v>
      </c>
      <c r="F12" s="54" t="s">
        <v>1006</v>
      </c>
      <c r="G12" s="54" t="s">
        <v>5987</v>
      </c>
      <c r="H12" s="55">
        <v>100</v>
      </c>
      <c r="I12" s="53" t="s">
        <v>992</v>
      </c>
      <c r="J12" s="30"/>
      <c r="M12" s="30"/>
    </row>
    <row r="13" spans="1:13" s="31" customFormat="1" ht="23.4" x14ac:dyDescent="0.6">
      <c r="A13" s="9">
        <v>11</v>
      </c>
      <c r="B13" s="54" t="s">
        <v>5988</v>
      </c>
      <c r="C13" s="54" t="s">
        <v>5989</v>
      </c>
      <c r="D13" s="54" t="s">
        <v>999</v>
      </c>
      <c r="E13" s="54" t="s">
        <v>5990</v>
      </c>
      <c r="F13" s="54" t="s">
        <v>8</v>
      </c>
      <c r="G13" s="54" t="s">
        <v>5991</v>
      </c>
      <c r="H13" s="55">
        <v>95</v>
      </c>
      <c r="I13" s="53" t="s">
        <v>992</v>
      </c>
      <c r="J13" s="30"/>
      <c r="M13" s="30"/>
    </row>
    <row r="14" spans="1:13" s="31" customFormat="1" ht="23.4" x14ac:dyDescent="0.6">
      <c r="A14" s="9">
        <v>12</v>
      </c>
      <c r="B14" s="54" t="s">
        <v>5992</v>
      </c>
      <c r="C14" s="54" t="s">
        <v>5714</v>
      </c>
      <c r="D14" s="54" t="s">
        <v>989</v>
      </c>
      <c r="E14" s="54" t="s">
        <v>8</v>
      </c>
      <c r="F14" s="54" t="s">
        <v>990</v>
      </c>
      <c r="G14" s="54" t="s">
        <v>5993</v>
      </c>
      <c r="H14" s="55">
        <v>16.09</v>
      </c>
      <c r="I14" s="53" t="s">
        <v>992</v>
      </c>
      <c r="J14" s="30"/>
      <c r="M14" s="30"/>
    </row>
    <row r="15" spans="1:13" s="31" customFormat="1" ht="23.4" x14ac:dyDescent="0.6">
      <c r="A15" s="9">
        <v>13</v>
      </c>
      <c r="B15" s="54" t="s">
        <v>5994</v>
      </c>
      <c r="C15" s="54" t="s">
        <v>5995</v>
      </c>
      <c r="D15" s="54" t="s">
        <v>1004</v>
      </c>
      <c r="E15" s="54" t="s">
        <v>5996</v>
      </c>
      <c r="F15" s="54" t="s">
        <v>1006</v>
      </c>
      <c r="G15" s="54" t="s">
        <v>5997</v>
      </c>
      <c r="H15" s="55">
        <v>100</v>
      </c>
      <c r="I15" s="53" t="s">
        <v>992</v>
      </c>
      <c r="J15" s="30"/>
      <c r="M15" s="30"/>
    </row>
    <row r="16" spans="1:13" s="31" customFormat="1" ht="23.4" x14ac:dyDescent="0.6">
      <c r="A16" s="9">
        <v>14</v>
      </c>
      <c r="B16" s="54" t="s">
        <v>5984</v>
      </c>
      <c r="C16" s="54" t="s">
        <v>5985</v>
      </c>
      <c r="D16" s="54" t="s">
        <v>1004</v>
      </c>
      <c r="E16" s="54" t="s">
        <v>5986</v>
      </c>
      <c r="F16" s="54" t="s">
        <v>1006</v>
      </c>
      <c r="G16" s="54" t="s">
        <v>5987</v>
      </c>
      <c r="H16" s="55">
        <v>100</v>
      </c>
      <c r="I16" s="53" t="s">
        <v>992</v>
      </c>
      <c r="J16" s="30"/>
      <c r="M16" s="30"/>
    </row>
    <row r="17" spans="1:13" s="31" customFormat="1" ht="23.4" x14ac:dyDescent="0.6">
      <c r="A17" s="9">
        <v>15</v>
      </c>
      <c r="B17" s="54" t="s">
        <v>5988</v>
      </c>
      <c r="C17" s="54" t="s">
        <v>5989</v>
      </c>
      <c r="D17" s="54" t="s">
        <v>999</v>
      </c>
      <c r="E17" s="54" t="s">
        <v>5990</v>
      </c>
      <c r="F17" s="54" t="s">
        <v>8</v>
      </c>
      <c r="G17" s="54" t="s">
        <v>5991</v>
      </c>
      <c r="H17" s="55">
        <v>95</v>
      </c>
      <c r="I17" s="53" t="s">
        <v>992</v>
      </c>
      <c r="J17" s="30"/>
      <c r="M17" s="30"/>
    </row>
    <row r="18" spans="1:13" s="31" customFormat="1" ht="23.4" x14ac:dyDescent="0.6">
      <c r="A18" s="9">
        <v>16</v>
      </c>
      <c r="B18" s="54" t="s">
        <v>5992</v>
      </c>
      <c r="C18" s="54" t="s">
        <v>5714</v>
      </c>
      <c r="D18" s="54" t="s">
        <v>989</v>
      </c>
      <c r="E18" s="54" t="s">
        <v>8</v>
      </c>
      <c r="F18" s="54" t="s">
        <v>990</v>
      </c>
      <c r="G18" s="54" t="s">
        <v>5993</v>
      </c>
      <c r="H18" s="55">
        <v>16.09</v>
      </c>
      <c r="I18" s="53" t="s">
        <v>992</v>
      </c>
      <c r="J18" s="30"/>
      <c r="M18" s="30"/>
    </row>
    <row r="19" spans="1:13" s="31" customFormat="1" ht="23.4" x14ac:dyDescent="0.6">
      <c r="A19" s="9">
        <v>17</v>
      </c>
      <c r="B19" s="54" t="s">
        <v>5994</v>
      </c>
      <c r="C19" s="54" t="s">
        <v>5995</v>
      </c>
      <c r="D19" s="54" t="s">
        <v>1004</v>
      </c>
      <c r="E19" s="54" t="s">
        <v>5996</v>
      </c>
      <c r="F19" s="54" t="s">
        <v>1006</v>
      </c>
      <c r="G19" s="54" t="s">
        <v>5997</v>
      </c>
      <c r="H19" s="55">
        <v>100</v>
      </c>
      <c r="I19" s="53" t="s">
        <v>992</v>
      </c>
      <c r="J19" s="30"/>
      <c r="M19" s="30"/>
    </row>
    <row r="20" spans="1:13" s="31" customFormat="1" ht="27" thickBot="1" x14ac:dyDescent="0.75">
      <c r="A20" s="56"/>
      <c r="B20" s="56"/>
      <c r="C20" s="56"/>
      <c r="D20" s="56"/>
      <c r="E20" s="56"/>
      <c r="F20" s="56"/>
      <c r="G20" s="25" t="s">
        <v>28</v>
      </c>
      <c r="H20" s="26">
        <f>SUM(H3:H19)</f>
        <v>2537.1500000000005</v>
      </c>
      <c r="I20" s="16" t="s">
        <v>47</v>
      </c>
      <c r="J20" s="30"/>
      <c r="M20" s="30"/>
    </row>
    <row r="21" spans="1:13" s="31" customFormat="1" ht="21" thickTop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30"/>
      <c r="M21" s="30"/>
    </row>
    <row r="22" spans="1:13" s="31" customFormat="1" ht="20.399999999999999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30"/>
      <c r="M22" s="30"/>
    </row>
    <row r="23" spans="1:13" s="31" customFormat="1" ht="20.39999999999999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30"/>
      <c r="M23" s="30"/>
    </row>
    <row r="24" spans="1:13" s="31" customFormat="1" ht="20.399999999999999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M24" s="30"/>
    </row>
    <row r="25" spans="1:13" s="31" customFormat="1" ht="20.399999999999999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30"/>
      <c r="M25" s="30"/>
    </row>
    <row r="26" spans="1:13" s="31" customFormat="1" ht="20.399999999999999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30"/>
      <c r="M26" s="30"/>
    </row>
    <row r="27" spans="1:13" s="31" customFormat="1" ht="20.399999999999999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30"/>
      <c r="M27" s="30"/>
    </row>
    <row r="28" spans="1:13" s="31" customFormat="1" ht="20.399999999999999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30"/>
      <c r="M28" s="30"/>
    </row>
    <row r="29" spans="1:13" s="31" customFormat="1" ht="20.399999999999999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30"/>
      <c r="M29" s="30"/>
    </row>
    <row r="30" spans="1:13" s="31" customFormat="1" ht="20.399999999999999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30"/>
      <c r="L30" s="30"/>
    </row>
    <row r="31" spans="1:13" s="31" customFormat="1" ht="20.399999999999999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30"/>
      <c r="L31" s="30"/>
    </row>
    <row r="32" spans="1:13" s="31" customFormat="1" ht="20.399999999999999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30"/>
      <c r="L32" s="30"/>
    </row>
    <row r="33" spans="1:12" s="31" customFormat="1" ht="20.399999999999999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30"/>
      <c r="L33" s="30"/>
    </row>
    <row r="34" spans="1:12" s="31" customFormat="1" ht="20.399999999999999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30"/>
      <c r="L34" s="30"/>
    </row>
    <row r="35" spans="1:12" s="31" customFormat="1" ht="20.399999999999999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30"/>
      <c r="L35" s="30"/>
    </row>
    <row r="36" spans="1:12" s="31" customFormat="1" ht="20.399999999999999" x14ac:dyDescent="0.35">
      <c r="A36" s="12"/>
      <c r="B36" s="12"/>
      <c r="C36" s="12"/>
      <c r="D36" s="12"/>
      <c r="E36" s="12"/>
      <c r="F36" s="12"/>
      <c r="G36" s="12"/>
      <c r="H36" s="12"/>
      <c r="I36" s="12"/>
      <c r="L36" s="30"/>
    </row>
    <row r="37" spans="1:12" s="31" customFormat="1" ht="20.399999999999999" x14ac:dyDescent="0.35">
      <c r="A37" s="12"/>
      <c r="B37" s="12"/>
      <c r="C37" s="12"/>
      <c r="D37" s="12"/>
      <c r="E37" s="12"/>
      <c r="F37" s="12"/>
      <c r="G37" s="12"/>
      <c r="H37" s="12"/>
      <c r="I37" s="12"/>
      <c r="L37" s="30"/>
    </row>
    <row r="38" spans="1:12" s="31" customFormat="1" ht="20.399999999999999" x14ac:dyDescent="0.35">
      <c r="A38" s="12"/>
      <c r="B38" s="12"/>
      <c r="C38" s="12"/>
      <c r="D38" s="12"/>
      <c r="E38" s="12"/>
      <c r="F38" s="12"/>
      <c r="G38" s="12"/>
      <c r="H38" s="12"/>
      <c r="I38" s="12"/>
      <c r="L38" s="30"/>
    </row>
    <row r="39" spans="1:12" s="31" customFormat="1" ht="20.399999999999999" x14ac:dyDescent="0.35">
      <c r="A39" s="12"/>
      <c r="B39" s="12"/>
      <c r="C39" s="12"/>
      <c r="D39" s="12"/>
      <c r="E39" s="12"/>
      <c r="F39" s="12"/>
      <c r="G39" s="12"/>
      <c r="H39" s="12"/>
      <c r="I39" s="12"/>
      <c r="L39" s="30"/>
    </row>
    <row r="40" spans="1:12" s="31" customFormat="1" ht="20.399999999999999" x14ac:dyDescent="0.35">
      <c r="A40" s="12"/>
      <c r="B40" s="12"/>
      <c r="C40" s="12"/>
      <c r="D40" s="12"/>
      <c r="E40" s="12"/>
      <c r="F40" s="12"/>
      <c r="G40" s="12"/>
      <c r="H40" s="12"/>
      <c r="I40" s="12"/>
      <c r="L40" s="30"/>
    </row>
    <row r="41" spans="1:12" s="31" customFormat="1" ht="20.399999999999999" x14ac:dyDescent="0.35">
      <c r="A41" s="12"/>
      <c r="B41" s="12"/>
      <c r="C41" s="12"/>
      <c r="D41" s="12"/>
      <c r="E41" s="12"/>
      <c r="F41" s="12"/>
      <c r="G41" s="12"/>
      <c r="H41" s="12"/>
      <c r="I41" s="12"/>
      <c r="L41" s="30"/>
    </row>
    <row r="42" spans="1:12" s="31" customFormat="1" ht="20.399999999999999" x14ac:dyDescent="0.35">
      <c r="A42" s="12"/>
      <c r="B42" s="12"/>
      <c r="C42" s="12"/>
      <c r="D42" s="12"/>
      <c r="E42" s="12"/>
      <c r="F42" s="12"/>
      <c r="G42" s="12"/>
      <c r="H42" s="12"/>
      <c r="I42" s="12"/>
      <c r="L42" s="30"/>
    </row>
    <row r="43" spans="1:12" s="31" customFormat="1" ht="20.399999999999999" x14ac:dyDescent="0.35">
      <c r="A43" s="12"/>
      <c r="B43" s="12"/>
      <c r="C43" s="12"/>
      <c r="D43" s="12"/>
      <c r="E43" s="12"/>
      <c r="F43" s="12"/>
      <c r="G43" s="12"/>
      <c r="H43" s="12"/>
      <c r="I43" s="12"/>
      <c r="L43" s="30"/>
    </row>
    <row r="44" spans="1:12" s="31" customFormat="1" ht="20.399999999999999" x14ac:dyDescent="0.35">
      <c r="A44" s="12"/>
      <c r="B44" s="12"/>
      <c r="C44" s="12"/>
      <c r="D44" s="12"/>
      <c r="E44" s="12"/>
      <c r="F44" s="12"/>
      <c r="G44" s="12"/>
      <c r="H44" s="12"/>
      <c r="I44" s="12"/>
      <c r="L44" s="30"/>
    </row>
    <row r="45" spans="1:12" s="31" customFormat="1" ht="20.399999999999999" x14ac:dyDescent="0.35">
      <c r="A45" s="12"/>
      <c r="B45" s="12"/>
      <c r="C45" s="12"/>
      <c r="D45" s="12"/>
      <c r="E45" s="12"/>
      <c r="F45" s="12"/>
      <c r="G45" s="12"/>
      <c r="H45" s="12"/>
      <c r="I45" s="12"/>
      <c r="L45" s="30"/>
    </row>
    <row r="46" spans="1:12" s="31" customFormat="1" ht="20.399999999999999" x14ac:dyDescent="0.35">
      <c r="A46" s="12"/>
      <c r="B46" s="12"/>
      <c r="C46" s="12"/>
      <c r="D46" s="12"/>
      <c r="E46" s="12"/>
      <c r="F46" s="12"/>
      <c r="G46" s="12"/>
      <c r="H46" s="12"/>
      <c r="I46" s="12"/>
      <c r="L46" s="30"/>
    </row>
    <row r="47" spans="1:12" s="31" customFormat="1" ht="20.399999999999999" x14ac:dyDescent="0.35">
      <c r="A47" s="12"/>
      <c r="B47" s="12"/>
      <c r="C47" s="12"/>
      <c r="D47" s="12"/>
      <c r="E47" s="12"/>
      <c r="F47" s="12"/>
      <c r="G47" s="12"/>
      <c r="H47" s="12"/>
      <c r="I47" s="12"/>
      <c r="L47" s="30"/>
    </row>
    <row r="48" spans="1:12" s="31" customFormat="1" ht="20.399999999999999" x14ac:dyDescent="0.35">
      <c r="A48" s="12"/>
      <c r="B48" s="12"/>
      <c r="C48" s="12"/>
      <c r="D48" s="12"/>
      <c r="E48" s="12"/>
      <c r="F48" s="12"/>
      <c r="G48" s="12"/>
      <c r="H48" s="12"/>
      <c r="I48" s="12"/>
      <c r="L48" s="30"/>
    </row>
    <row r="49" spans="1:13" s="31" customFormat="1" ht="20.399999999999999" x14ac:dyDescent="0.35">
      <c r="A49" s="12"/>
      <c r="B49" s="12"/>
      <c r="C49" s="12"/>
      <c r="D49" s="12"/>
      <c r="E49" s="12"/>
      <c r="F49" s="12"/>
      <c r="G49" s="12"/>
      <c r="H49" s="12"/>
      <c r="I49" s="12"/>
      <c r="L49" s="30"/>
    </row>
    <row r="50" spans="1:13" s="31" customFormat="1" ht="20.399999999999999" x14ac:dyDescent="0.35">
      <c r="A50" s="12"/>
      <c r="B50" s="12"/>
      <c r="C50" s="12"/>
      <c r="D50" s="12"/>
      <c r="E50" s="12"/>
      <c r="F50" s="12"/>
      <c r="G50" s="12"/>
      <c r="H50" s="12"/>
      <c r="I50" s="12"/>
      <c r="L50" s="30"/>
    </row>
    <row r="51" spans="1:13" s="31" customFormat="1" ht="20.399999999999999" x14ac:dyDescent="0.35">
      <c r="A51" s="12"/>
      <c r="B51" s="12"/>
      <c r="C51" s="12"/>
      <c r="D51" s="12"/>
      <c r="E51" s="12"/>
      <c r="F51" s="12"/>
      <c r="G51" s="12"/>
      <c r="H51" s="12"/>
      <c r="I51" s="12"/>
      <c r="L51" s="30"/>
    </row>
    <row r="52" spans="1:13" s="31" customFormat="1" ht="20.399999999999999" x14ac:dyDescent="0.35">
      <c r="A52" s="12"/>
      <c r="B52" s="12"/>
      <c r="C52" s="12"/>
      <c r="D52" s="12"/>
      <c r="E52" s="12"/>
      <c r="F52" s="12"/>
      <c r="G52" s="12"/>
      <c r="H52" s="12"/>
      <c r="I52" s="12"/>
      <c r="L52" s="30"/>
    </row>
    <row r="53" spans="1:13" s="31" customFormat="1" ht="20.399999999999999" x14ac:dyDescent="0.35">
      <c r="A53" s="12"/>
      <c r="B53" s="12"/>
      <c r="C53" s="12"/>
      <c r="D53" s="12"/>
      <c r="E53" s="12"/>
      <c r="F53" s="12"/>
      <c r="G53" s="12"/>
      <c r="H53" s="12"/>
      <c r="I53" s="12"/>
      <c r="L53" s="30"/>
    </row>
    <row r="54" spans="1:13" s="31" customFormat="1" ht="20.399999999999999" x14ac:dyDescent="0.35">
      <c r="A54" s="12"/>
      <c r="B54" s="12"/>
      <c r="C54" s="12"/>
      <c r="D54" s="12"/>
      <c r="E54" s="12"/>
      <c r="F54" s="12"/>
      <c r="G54" s="12"/>
      <c r="H54" s="12"/>
      <c r="I54" s="12"/>
      <c r="L54" s="30"/>
    </row>
    <row r="55" spans="1:13" s="31" customFormat="1" ht="20.399999999999999" x14ac:dyDescent="0.35">
      <c r="A55" s="12"/>
      <c r="B55" s="12"/>
      <c r="C55" s="12"/>
      <c r="D55" s="12"/>
      <c r="E55" s="12"/>
      <c r="F55" s="12"/>
      <c r="G55" s="12"/>
      <c r="H55" s="12"/>
      <c r="I55" s="12"/>
      <c r="L55" s="30"/>
    </row>
    <row r="56" spans="1:13" s="31" customFormat="1" ht="20.399999999999999" x14ac:dyDescent="0.35">
      <c r="A56" s="12"/>
      <c r="B56" s="12"/>
      <c r="C56" s="12"/>
      <c r="D56" s="12"/>
      <c r="E56" s="12"/>
      <c r="F56" s="12"/>
      <c r="G56" s="12"/>
      <c r="H56" s="12"/>
      <c r="I56" s="12"/>
      <c r="L56" s="30"/>
    </row>
    <row r="57" spans="1:13" s="31" customFormat="1" ht="20.399999999999999" x14ac:dyDescent="0.35">
      <c r="A57" s="12"/>
      <c r="B57" s="12"/>
      <c r="C57" s="12"/>
      <c r="D57" s="12"/>
      <c r="E57" s="12"/>
      <c r="F57" s="12"/>
      <c r="G57" s="12"/>
      <c r="H57" s="12"/>
      <c r="I57" s="12"/>
      <c r="L57" s="30"/>
    </row>
    <row r="58" spans="1:13" s="31" customFormat="1" ht="20.399999999999999" x14ac:dyDescent="0.35">
      <c r="A58" s="12"/>
      <c r="B58" s="12"/>
      <c r="C58" s="12"/>
      <c r="D58" s="12"/>
      <c r="E58" s="12"/>
      <c r="F58" s="12"/>
      <c r="G58" s="12"/>
      <c r="H58" s="12"/>
      <c r="I58" s="12"/>
      <c r="L58" s="30"/>
    </row>
    <row r="59" spans="1:13" s="31" customFormat="1" ht="20.399999999999999" x14ac:dyDescent="0.35">
      <c r="A59" s="12"/>
      <c r="B59" s="12"/>
      <c r="C59" s="12"/>
      <c r="D59" s="12"/>
      <c r="E59" s="12"/>
      <c r="F59" s="12"/>
      <c r="G59" s="12"/>
      <c r="H59" s="12"/>
      <c r="I59" s="12"/>
      <c r="L59" s="30"/>
    </row>
    <row r="60" spans="1:13" s="31" customFormat="1" ht="20.399999999999999" x14ac:dyDescent="0.35">
      <c r="A60" s="12"/>
      <c r="B60" s="12"/>
      <c r="C60" s="12"/>
      <c r="D60" s="12"/>
      <c r="E60" s="12"/>
      <c r="F60" s="12"/>
      <c r="G60" s="12"/>
      <c r="H60" s="12"/>
      <c r="I60" s="12"/>
      <c r="M60" s="30"/>
    </row>
    <row r="61" spans="1:13" s="31" customFormat="1" ht="20.399999999999999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30"/>
      <c r="M61" s="30"/>
    </row>
    <row r="62" spans="1:13" s="31" customFormat="1" ht="20.399999999999999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30"/>
      <c r="M62" s="30"/>
    </row>
    <row r="63" spans="1:13" ht="20.399999999999999" x14ac:dyDescent="0.25">
      <c r="J63" s="30"/>
    </row>
  </sheetData>
  <autoFilter ref="B2:J26" xr:uid="{418B859D-9AEE-4DBC-84AA-2E90E0A86546}">
    <sortState xmlns:xlrd2="http://schemas.microsoft.com/office/spreadsheetml/2017/richdata2" ref="B3:J112">
      <sortCondition ref="G2:G26"/>
    </sortState>
  </autoFilter>
  <conditionalFormatting sqref="H20">
    <cfRule type="containsText" dxfId="55" priority="1" operator="containsText" text="ไม่พบ">
      <formula>NOT(ISERROR(SEARCH("ไม่พบ",H20)))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6002-2862-49BA-B24C-785286CD190F}">
  <sheetPr>
    <tabColor rgb="FFFF99FF"/>
    <pageSetUpPr fitToPage="1"/>
  </sheetPr>
  <dimension ref="A1:T292"/>
  <sheetViews>
    <sheetView zoomScale="55" zoomScaleNormal="55" workbookViewId="0">
      <pane xSplit="6" ySplit="2" topLeftCell="G3" activePane="bottomRight" state="frozen"/>
      <selection activeCell="M56" sqref="M56"/>
      <selection pane="topRight" activeCell="M56" sqref="M56"/>
      <selection pane="bottomLeft" activeCell="M56" sqref="M56"/>
      <selection pane="bottomRight" activeCell="K16" sqref="K16"/>
    </sheetView>
  </sheetViews>
  <sheetFormatPr defaultColWidth="54.69921875" defaultRowHeight="13.8" x14ac:dyDescent="0.25"/>
  <cols>
    <col min="1" max="1" width="11.7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32.8984375" style="11" customWidth="1"/>
    <col min="6" max="6" width="21.296875" style="11" customWidth="1"/>
    <col min="7" max="7" width="17.296875" style="11" customWidth="1"/>
    <col min="8" max="8" width="10.09765625" style="11" customWidth="1"/>
    <col min="9" max="9" width="34" style="37" bestFit="1" customWidth="1"/>
    <col min="10" max="10" width="14.09765625" style="11" customWidth="1"/>
    <col min="11" max="11" width="86.796875" style="12" customWidth="1"/>
    <col min="12" max="12" width="14.69921875" style="11" customWidth="1"/>
    <col min="13" max="13" width="88.8984375" style="41" bestFit="1" customWidth="1"/>
    <col min="14" max="14" width="17.19921875" style="11" bestFit="1" customWidth="1"/>
    <col min="15" max="16384" width="54.69921875" style="11"/>
  </cols>
  <sheetData>
    <row r="1" spans="1:14" ht="60" customHeight="1" thickBot="1" x14ac:dyDescent="0.75">
      <c r="A1" s="8" t="s">
        <v>928</v>
      </c>
      <c r="I1" s="87" t="s">
        <v>46</v>
      </c>
      <c r="J1" s="26">
        <f>SUBTOTAL(9,J3:J7)</f>
        <v>225</v>
      </c>
      <c r="K1" s="88" t="s">
        <v>47</v>
      </c>
    </row>
    <row r="2" spans="1:14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6" t="s">
        <v>43</v>
      </c>
      <c r="K2" s="7" t="s">
        <v>7</v>
      </c>
      <c r="M2" s="7" t="s">
        <v>19</v>
      </c>
      <c r="N2" s="7" t="s">
        <v>21</v>
      </c>
    </row>
    <row r="3" spans="1:14" s="14" customFormat="1" ht="25.8" x14ac:dyDescent="0.25">
      <c r="A3" s="13">
        <v>1</v>
      </c>
      <c r="B3" s="1" t="s">
        <v>5858</v>
      </c>
      <c r="C3" s="1" t="s">
        <v>5859</v>
      </c>
      <c r="D3" s="1" t="s">
        <v>945</v>
      </c>
      <c r="E3" s="1" t="s">
        <v>8</v>
      </c>
      <c r="F3" s="1" t="s">
        <v>946</v>
      </c>
      <c r="G3" s="1" t="s">
        <v>5860</v>
      </c>
      <c r="H3" s="1">
        <v>0</v>
      </c>
      <c r="I3" s="2" t="s">
        <v>5875</v>
      </c>
      <c r="J3" s="2">
        <v>45</v>
      </c>
      <c r="K3" s="2" t="s">
        <v>78</v>
      </c>
      <c r="M3" s="42" t="s">
        <v>10</v>
      </c>
      <c r="N3" s="34">
        <v>0</v>
      </c>
    </row>
    <row r="4" spans="1:14" s="14" customFormat="1" ht="25.8" x14ac:dyDescent="0.25">
      <c r="A4" s="13">
        <v>2</v>
      </c>
      <c r="B4" s="1" t="s">
        <v>5861</v>
      </c>
      <c r="C4" s="1" t="s">
        <v>5862</v>
      </c>
      <c r="D4" s="1" t="s">
        <v>945</v>
      </c>
      <c r="E4" s="1" t="s">
        <v>8</v>
      </c>
      <c r="F4" s="1" t="s">
        <v>946</v>
      </c>
      <c r="G4" s="1" t="s">
        <v>5863</v>
      </c>
      <c r="H4" s="1">
        <v>0</v>
      </c>
      <c r="I4" s="2" t="s">
        <v>5876</v>
      </c>
      <c r="J4" s="2">
        <v>45</v>
      </c>
      <c r="K4" s="2" t="s">
        <v>62</v>
      </c>
      <c r="M4" s="42" t="s">
        <v>13</v>
      </c>
      <c r="N4" s="34">
        <v>0</v>
      </c>
    </row>
    <row r="5" spans="1:14" s="14" customFormat="1" ht="25.8" x14ac:dyDescent="0.25">
      <c r="A5" s="13">
        <v>3</v>
      </c>
      <c r="B5" s="1" t="s">
        <v>5864</v>
      </c>
      <c r="C5" s="1" t="s">
        <v>5865</v>
      </c>
      <c r="D5" s="1" t="s">
        <v>945</v>
      </c>
      <c r="E5" s="1" t="s">
        <v>8</v>
      </c>
      <c r="F5" s="1" t="s">
        <v>946</v>
      </c>
      <c r="G5" s="1" t="s">
        <v>5866</v>
      </c>
      <c r="H5" s="1">
        <v>0</v>
      </c>
      <c r="I5" s="2" t="s">
        <v>5877</v>
      </c>
      <c r="J5" s="2">
        <v>45</v>
      </c>
      <c r="K5" s="2" t="s">
        <v>81</v>
      </c>
      <c r="M5" s="42" t="s">
        <v>11</v>
      </c>
      <c r="N5" s="34">
        <v>0</v>
      </c>
    </row>
    <row r="6" spans="1:14" s="14" customFormat="1" ht="25.8" x14ac:dyDescent="0.25">
      <c r="A6" s="13">
        <v>4</v>
      </c>
      <c r="B6" s="1" t="s">
        <v>5867</v>
      </c>
      <c r="C6" s="1" t="s">
        <v>5868</v>
      </c>
      <c r="D6" s="1" t="s">
        <v>5869</v>
      </c>
      <c r="E6" s="1" t="s">
        <v>5870</v>
      </c>
      <c r="F6" s="1" t="s">
        <v>946</v>
      </c>
      <c r="G6" s="1" t="s">
        <v>5871</v>
      </c>
      <c r="H6" s="1">
        <v>0</v>
      </c>
      <c r="I6" s="2" t="s">
        <v>5878</v>
      </c>
      <c r="J6" s="2">
        <v>45</v>
      </c>
      <c r="K6" s="2" t="s">
        <v>81</v>
      </c>
      <c r="M6" s="42" t="s">
        <v>17</v>
      </c>
      <c r="N6" s="34">
        <v>0</v>
      </c>
    </row>
    <row r="7" spans="1:14" s="14" customFormat="1" ht="25.8" x14ac:dyDescent="0.25">
      <c r="A7" s="13">
        <v>5</v>
      </c>
      <c r="B7" s="1" t="s">
        <v>5872</v>
      </c>
      <c r="C7" s="1" t="s">
        <v>5873</v>
      </c>
      <c r="D7" s="1" t="s">
        <v>945</v>
      </c>
      <c r="E7" s="1" t="s">
        <v>8</v>
      </c>
      <c r="F7" s="1" t="s">
        <v>946</v>
      </c>
      <c r="G7" s="1" t="s">
        <v>5874</v>
      </c>
      <c r="H7" s="1">
        <v>0</v>
      </c>
      <c r="I7" s="2" t="s">
        <v>5879</v>
      </c>
      <c r="J7" s="2">
        <v>45</v>
      </c>
      <c r="K7" s="42" t="s">
        <v>74</v>
      </c>
      <c r="M7" s="42" t="s">
        <v>14</v>
      </c>
      <c r="N7" s="34">
        <v>0</v>
      </c>
    </row>
    <row r="8" spans="1:14" s="14" customFormat="1" ht="25.8" x14ac:dyDescent="0.25">
      <c r="A8" s="12"/>
      <c r="B8" s="11"/>
      <c r="C8" s="11"/>
      <c r="D8" s="11"/>
      <c r="E8" s="11"/>
      <c r="F8" s="11"/>
      <c r="G8" s="11"/>
      <c r="H8" s="11"/>
      <c r="I8" s="11"/>
      <c r="J8" s="11"/>
      <c r="K8" s="11"/>
      <c r="M8" s="42" t="s">
        <v>59</v>
      </c>
      <c r="N8" s="34">
        <v>0</v>
      </c>
    </row>
    <row r="9" spans="1:14" s="14" customFormat="1" ht="25.8" x14ac:dyDescent="0.25">
      <c r="A9" s="12"/>
      <c r="B9" s="11"/>
      <c r="C9" s="11"/>
      <c r="D9" s="11"/>
      <c r="E9" s="11"/>
      <c r="F9" s="11"/>
      <c r="G9" s="11"/>
      <c r="H9" s="11"/>
      <c r="I9" s="37"/>
      <c r="J9" s="11"/>
      <c r="K9" s="12"/>
      <c r="M9" s="42" t="s">
        <v>51</v>
      </c>
      <c r="N9" s="34">
        <v>0</v>
      </c>
    </row>
    <row r="10" spans="1:14" s="14" customFormat="1" ht="25.8" x14ac:dyDescent="0.25">
      <c r="A10" s="12"/>
      <c r="B10" s="11"/>
      <c r="C10" s="11"/>
      <c r="D10" s="11"/>
      <c r="E10" s="11"/>
      <c r="F10" s="11"/>
      <c r="G10" s="11"/>
      <c r="H10" s="11"/>
      <c r="I10" s="37"/>
      <c r="J10" s="11"/>
      <c r="K10" s="12"/>
      <c r="M10" s="42" t="s">
        <v>49</v>
      </c>
      <c r="N10" s="34">
        <v>0</v>
      </c>
    </row>
    <row r="11" spans="1:14" s="14" customFormat="1" ht="25.8" x14ac:dyDescent="0.25">
      <c r="A11" s="12"/>
      <c r="B11" s="11"/>
      <c r="C11" s="11"/>
      <c r="D11" s="11"/>
      <c r="E11" s="11"/>
      <c r="F11" s="11"/>
      <c r="G11" s="11"/>
      <c r="H11" s="11"/>
      <c r="I11" s="37"/>
      <c r="J11" s="11"/>
      <c r="K11" s="12"/>
      <c r="M11" s="42" t="s">
        <v>12</v>
      </c>
      <c r="N11" s="34">
        <v>0</v>
      </c>
    </row>
    <row r="12" spans="1:14" s="14" customFormat="1" ht="25.8" x14ac:dyDescent="0.25">
      <c r="A12" s="12"/>
      <c r="B12" s="11"/>
      <c r="C12" s="11"/>
      <c r="D12" s="11"/>
      <c r="E12" s="11"/>
      <c r="F12" s="11"/>
      <c r="G12" s="11"/>
      <c r="H12" s="11"/>
      <c r="I12" s="37"/>
      <c r="J12" s="11"/>
      <c r="K12" s="12"/>
      <c r="M12" s="42" t="s">
        <v>15</v>
      </c>
      <c r="N12" s="34">
        <v>0</v>
      </c>
    </row>
    <row r="13" spans="1:14" s="14" customFormat="1" ht="25.8" x14ac:dyDescent="0.25">
      <c r="A13" s="12"/>
      <c r="B13" s="11"/>
      <c r="C13" s="11"/>
      <c r="D13" s="11"/>
      <c r="E13" s="11"/>
      <c r="F13" s="11"/>
      <c r="G13" s="11"/>
      <c r="H13" s="11"/>
      <c r="I13" s="37"/>
      <c r="J13" s="11"/>
      <c r="K13" s="12"/>
      <c r="M13" s="42" t="s">
        <v>60</v>
      </c>
      <c r="N13" s="34">
        <v>0</v>
      </c>
    </row>
    <row r="14" spans="1:14" s="14" customFormat="1" ht="25.8" x14ac:dyDescent="0.25">
      <c r="A14" s="12"/>
      <c r="B14" s="11"/>
      <c r="C14" s="11"/>
      <c r="D14" s="11"/>
      <c r="E14" s="11"/>
      <c r="F14" s="11"/>
      <c r="G14" s="11"/>
      <c r="H14" s="11"/>
      <c r="I14" s="37"/>
      <c r="J14" s="11"/>
      <c r="K14" s="12"/>
      <c r="M14" s="42" t="s">
        <v>16</v>
      </c>
      <c r="N14" s="34">
        <v>0</v>
      </c>
    </row>
    <row r="15" spans="1:14" s="14" customFormat="1" ht="25.8" x14ac:dyDescent="0.25">
      <c r="A15" s="12"/>
      <c r="B15" s="11"/>
      <c r="C15" s="11"/>
      <c r="D15" s="11"/>
      <c r="E15" s="11"/>
      <c r="F15" s="11"/>
      <c r="G15" s="11"/>
      <c r="H15" s="11"/>
      <c r="I15" s="37"/>
      <c r="J15" s="11"/>
      <c r="K15" s="12"/>
      <c r="M15" s="42" t="s">
        <v>61</v>
      </c>
      <c r="N15" s="34">
        <v>0</v>
      </c>
    </row>
    <row r="16" spans="1:14" s="14" customFormat="1" ht="25.8" x14ac:dyDescent="0.25">
      <c r="A16" s="12"/>
      <c r="B16" s="11"/>
      <c r="C16" s="11"/>
      <c r="D16" s="11"/>
      <c r="E16" s="11"/>
      <c r="F16" s="11"/>
      <c r="G16" s="11"/>
      <c r="H16" s="11"/>
      <c r="I16" s="37"/>
      <c r="J16" s="11"/>
      <c r="K16" s="12"/>
      <c r="M16" s="42" t="s">
        <v>62</v>
      </c>
      <c r="N16" s="34">
        <v>1</v>
      </c>
    </row>
    <row r="17" spans="1:14" s="14" customFormat="1" ht="25.8" x14ac:dyDescent="0.25">
      <c r="A17" s="12"/>
      <c r="B17" s="11"/>
      <c r="C17" s="11"/>
      <c r="D17" s="11"/>
      <c r="E17" s="11"/>
      <c r="F17" s="11"/>
      <c r="G17" s="11"/>
      <c r="H17" s="11"/>
      <c r="I17" s="37"/>
      <c r="J17" s="11"/>
      <c r="K17" s="12"/>
      <c r="M17" s="42" t="s">
        <v>53</v>
      </c>
      <c r="N17" s="34">
        <v>0</v>
      </c>
    </row>
    <row r="18" spans="1:14" s="14" customFormat="1" ht="25.8" x14ac:dyDescent="0.25">
      <c r="A18" s="12"/>
      <c r="B18" s="11"/>
      <c r="C18" s="11"/>
      <c r="D18" s="11"/>
      <c r="E18" s="11"/>
      <c r="F18" s="11"/>
      <c r="G18" s="11"/>
      <c r="H18" s="11"/>
      <c r="I18" s="37"/>
      <c r="J18" s="11"/>
      <c r="K18" s="12"/>
      <c r="M18" s="42" t="s">
        <v>63</v>
      </c>
      <c r="N18" s="34">
        <v>0</v>
      </c>
    </row>
    <row r="19" spans="1:14" s="14" customFormat="1" ht="25.8" x14ac:dyDescent="0.25">
      <c r="A19" s="12"/>
      <c r="B19" s="11"/>
      <c r="C19" s="11"/>
      <c r="D19" s="11"/>
      <c r="E19" s="11"/>
      <c r="F19" s="11"/>
      <c r="G19" s="11"/>
      <c r="H19" s="11"/>
      <c r="I19" s="37"/>
      <c r="J19" s="11"/>
      <c r="K19" s="12"/>
      <c r="M19" s="42" t="s">
        <v>20</v>
      </c>
      <c r="N19" s="34">
        <v>0</v>
      </c>
    </row>
    <row r="20" spans="1:14" s="14" customFormat="1" ht="25.8" x14ac:dyDescent="0.25">
      <c r="A20" s="12"/>
      <c r="B20" s="11"/>
      <c r="C20" s="11"/>
      <c r="D20" s="11"/>
      <c r="E20" s="11"/>
      <c r="F20" s="11"/>
      <c r="G20" s="11"/>
      <c r="H20" s="11"/>
      <c r="I20" s="37"/>
      <c r="J20" s="11"/>
      <c r="K20" s="12"/>
      <c r="M20" s="42" t="s">
        <v>64</v>
      </c>
      <c r="N20" s="34">
        <v>0</v>
      </c>
    </row>
    <row r="21" spans="1:14" s="14" customFormat="1" ht="25.8" x14ac:dyDescent="0.25">
      <c r="A21" s="12"/>
      <c r="B21" s="11"/>
      <c r="C21" s="11"/>
      <c r="D21" s="11"/>
      <c r="E21" s="11"/>
      <c r="F21" s="11"/>
      <c r="G21" s="11"/>
      <c r="H21" s="11"/>
      <c r="I21" s="37"/>
      <c r="J21" s="11"/>
      <c r="K21" s="12"/>
      <c r="M21" s="42" t="s">
        <v>22</v>
      </c>
      <c r="N21" s="34">
        <v>0</v>
      </c>
    </row>
    <row r="22" spans="1:14" s="14" customFormat="1" ht="25.8" x14ac:dyDescent="0.25">
      <c r="A22" s="12"/>
      <c r="B22" s="11"/>
      <c r="C22" s="11"/>
      <c r="D22" s="11"/>
      <c r="E22" s="11"/>
      <c r="F22" s="11"/>
      <c r="G22" s="11"/>
      <c r="H22" s="11"/>
      <c r="I22" s="37"/>
      <c r="J22" s="11"/>
      <c r="K22" s="12"/>
      <c r="M22" s="42" t="s">
        <v>65</v>
      </c>
      <c r="N22" s="34">
        <v>0</v>
      </c>
    </row>
    <row r="23" spans="1:14" s="14" customFormat="1" ht="25.8" x14ac:dyDescent="0.25">
      <c r="A23" s="12"/>
      <c r="B23" s="11"/>
      <c r="C23" s="11"/>
      <c r="D23" s="11"/>
      <c r="E23" s="11"/>
      <c r="F23" s="11"/>
      <c r="G23" s="11"/>
      <c r="H23" s="11"/>
      <c r="I23" s="37"/>
      <c r="J23" s="11"/>
      <c r="K23" s="12"/>
      <c r="M23" s="42" t="s">
        <v>66</v>
      </c>
      <c r="N23" s="34">
        <v>0</v>
      </c>
    </row>
    <row r="24" spans="1:14" s="14" customFormat="1" ht="25.8" x14ac:dyDescent="0.25">
      <c r="A24" s="12"/>
      <c r="B24" s="11"/>
      <c r="C24" s="11"/>
      <c r="D24" s="11"/>
      <c r="E24" s="11"/>
      <c r="F24" s="11"/>
      <c r="G24" s="11"/>
      <c r="H24" s="11"/>
      <c r="I24" s="37"/>
      <c r="J24" s="11"/>
      <c r="K24" s="12"/>
      <c r="M24" s="42" t="s">
        <v>67</v>
      </c>
      <c r="N24" s="34">
        <v>0</v>
      </c>
    </row>
    <row r="25" spans="1:14" s="14" customFormat="1" ht="25.8" x14ac:dyDescent="0.25">
      <c r="A25" s="12"/>
      <c r="B25" s="11"/>
      <c r="C25" s="11"/>
      <c r="D25" s="11"/>
      <c r="E25" s="11"/>
      <c r="F25" s="11"/>
      <c r="G25" s="11"/>
      <c r="H25" s="11"/>
      <c r="I25" s="37"/>
      <c r="J25" s="11"/>
      <c r="K25" s="12"/>
      <c r="M25" s="42" t="s">
        <v>68</v>
      </c>
      <c r="N25" s="34">
        <v>0</v>
      </c>
    </row>
    <row r="26" spans="1:14" s="14" customFormat="1" ht="25.8" x14ac:dyDescent="0.25">
      <c r="A26" s="12"/>
      <c r="B26" s="11"/>
      <c r="C26" s="11"/>
      <c r="D26" s="11"/>
      <c r="E26" s="11"/>
      <c r="F26" s="11"/>
      <c r="G26" s="11"/>
      <c r="H26" s="11"/>
      <c r="I26" s="37"/>
      <c r="J26" s="11"/>
      <c r="K26" s="12"/>
      <c r="M26" s="42" t="s">
        <v>69</v>
      </c>
      <c r="N26" s="34">
        <v>0</v>
      </c>
    </row>
    <row r="27" spans="1:14" s="14" customFormat="1" ht="25.8" x14ac:dyDescent="0.25">
      <c r="A27" s="12"/>
      <c r="B27" s="11"/>
      <c r="C27" s="11"/>
      <c r="D27" s="11"/>
      <c r="E27" s="11"/>
      <c r="F27" s="11"/>
      <c r="G27" s="11"/>
      <c r="H27" s="11"/>
      <c r="I27" s="37"/>
      <c r="J27" s="11"/>
      <c r="K27" s="12"/>
      <c r="M27" s="42" t="s">
        <v>70</v>
      </c>
      <c r="N27" s="34">
        <v>0</v>
      </c>
    </row>
    <row r="28" spans="1:14" s="14" customFormat="1" ht="25.8" x14ac:dyDescent="0.25">
      <c r="A28" s="12"/>
      <c r="B28" s="11"/>
      <c r="C28" s="11"/>
      <c r="D28" s="11"/>
      <c r="E28" s="11"/>
      <c r="F28" s="11"/>
      <c r="G28" s="11"/>
      <c r="H28" s="11"/>
      <c r="I28" s="37"/>
      <c r="J28" s="11"/>
      <c r="K28" s="12"/>
      <c r="M28" s="42" t="s">
        <v>71</v>
      </c>
      <c r="N28" s="34">
        <v>0</v>
      </c>
    </row>
    <row r="29" spans="1:14" s="14" customFormat="1" ht="25.8" x14ac:dyDescent="0.25">
      <c r="A29" s="12"/>
      <c r="B29" s="11"/>
      <c r="C29" s="11"/>
      <c r="D29" s="11"/>
      <c r="E29" s="11"/>
      <c r="F29" s="11"/>
      <c r="G29" s="11"/>
      <c r="H29" s="11"/>
      <c r="I29" s="37"/>
      <c r="J29" s="11"/>
      <c r="K29" s="12"/>
      <c r="M29" s="42" t="s">
        <v>72</v>
      </c>
      <c r="N29" s="34">
        <v>0</v>
      </c>
    </row>
    <row r="30" spans="1:14" s="14" customFormat="1" ht="25.8" x14ac:dyDescent="0.25">
      <c r="A30" s="12"/>
      <c r="B30" s="11"/>
      <c r="C30" s="11"/>
      <c r="D30" s="11"/>
      <c r="E30" s="11"/>
      <c r="F30" s="11"/>
      <c r="G30" s="11"/>
      <c r="H30" s="11"/>
      <c r="I30" s="37"/>
      <c r="J30" s="11"/>
      <c r="K30" s="12"/>
      <c r="M30" s="42" t="s">
        <v>73</v>
      </c>
      <c r="N30" s="34">
        <v>0</v>
      </c>
    </row>
    <row r="31" spans="1:14" s="14" customFormat="1" ht="25.8" x14ac:dyDescent="0.25">
      <c r="A31" s="12"/>
      <c r="B31" s="11"/>
      <c r="C31" s="11"/>
      <c r="D31" s="11"/>
      <c r="E31" s="11"/>
      <c r="F31" s="11"/>
      <c r="G31" s="11"/>
      <c r="H31" s="11"/>
      <c r="I31" s="37"/>
      <c r="J31" s="11"/>
      <c r="K31" s="12"/>
      <c r="M31" s="42" t="s">
        <v>74</v>
      </c>
      <c r="N31" s="34">
        <v>1</v>
      </c>
    </row>
    <row r="32" spans="1:14" s="14" customFormat="1" ht="25.8" x14ac:dyDescent="0.25">
      <c r="A32" s="12"/>
      <c r="B32" s="11"/>
      <c r="C32" s="11"/>
      <c r="D32" s="11"/>
      <c r="E32" s="11"/>
      <c r="F32" s="11"/>
      <c r="G32" s="11"/>
      <c r="H32" s="11"/>
      <c r="I32" s="37"/>
      <c r="J32" s="11"/>
      <c r="K32" s="12"/>
      <c r="M32" s="42" t="s">
        <v>75</v>
      </c>
      <c r="N32" s="34">
        <v>0</v>
      </c>
    </row>
    <row r="33" spans="1:14" s="14" customFormat="1" ht="25.8" x14ac:dyDescent="0.25">
      <c r="A33" s="12"/>
      <c r="B33" s="11"/>
      <c r="C33" s="11"/>
      <c r="D33" s="11"/>
      <c r="E33" s="11"/>
      <c r="F33" s="11"/>
      <c r="G33" s="11"/>
      <c r="H33" s="11"/>
      <c r="I33" s="37"/>
      <c r="J33" s="11"/>
      <c r="K33" s="12"/>
      <c r="M33" s="42" t="s">
        <v>76</v>
      </c>
      <c r="N33" s="34">
        <v>0</v>
      </c>
    </row>
    <row r="34" spans="1:14" s="14" customFormat="1" ht="25.8" x14ac:dyDescent="0.25">
      <c r="A34" s="12"/>
      <c r="B34" s="11"/>
      <c r="C34" s="11"/>
      <c r="D34" s="11"/>
      <c r="E34" s="11"/>
      <c r="F34" s="11"/>
      <c r="G34" s="11"/>
      <c r="H34" s="11"/>
      <c r="I34" s="37"/>
      <c r="J34" s="11"/>
      <c r="K34" s="12"/>
      <c r="M34" s="42" t="s">
        <v>77</v>
      </c>
      <c r="N34" s="34">
        <v>0</v>
      </c>
    </row>
    <row r="35" spans="1:14" s="14" customFormat="1" ht="25.8" x14ac:dyDescent="0.25">
      <c r="A35" s="12"/>
      <c r="B35" s="11"/>
      <c r="C35" s="11"/>
      <c r="D35" s="11"/>
      <c r="E35" s="11"/>
      <c r="F35" s="11"/>
      <c r="G35" s="11"/>
      <c r="H35" s="11"/>
      <c r="I35" s="37"/>
      <c r="J35" s="11"/>
      <c r="K35" s="12"/>
      <c r="M35" s="42" t="s">
        <v>78</v>
      </c>
      <c r="N35" s="34">
        <v>1</v>
      </c>
    </row>
    <row r="36" spans="1:14" s="14" customFormat="1" ht="25.8" x14ac:dyDescent="0.25">
      <c r="A36" s="12"/>
      <c r="B36" s="11"/>
      <c r="C36" s="11"/>
      <c r="D36" s="11"/>
      <c r="E36" s="11"/>
      <c r="F36" s="11"/>
      <c r="G36" s="11"/>
      <c r="H36" s="11"/>
      <c r="I36" s="37"/>
      <c r="J36" s="11"/>
      <c r="K36" s="12"/>
      <c r="M36" s="42" t="s">
        <v>79</v>
      </c>
      <c r="N36" s="34">
        <v>0</v>
      </c>
    </row>
    <row r="37" spans="1:14" s="14" customFormat="1" ht="25.8" x14ac:dyDescent="0.25">
      <c r="A37" s="12"/>
      <c r="B37" s="11"/>
      <c r="C37" s="11"/>
      <c r="D37" s="11"/>
      <c r="E37" s="11"/>
      <c r="F37" s="11"/>
      <c r="G37" s="11"/>
      <c r="H37" s="11"/>
      <c r="I37" s="37"/>
      <c r="J37" s="11"/>
      <c r="K37" s="12"/>
      <c r="M37" s="42" t="s">
        <v>80</v>
      </c>
      <c r="N37" s="34">
        <v>0</v>
      </c>
    </row>
    <row r="38" spans="1:14" s="14" customFormat="1" ht="25.8" x14ac:dyDescent="0.25">
      <c r="A38" s="12"/>
      <c r="B38" s="11"/>
      <c r="C38" s="11"/>
      <c r="D38" s="11"/>
      <c r="E38" s="11"/>
      <c r="F38" s="11"/>
      <c r="G38" s="11"/>
      <c r="H38" s="11"/>
      <c r="I38" s="37"/>
      <c r="J38" s="11"/>
      <c r="K38" s="12"/>
      <c r="M38" s="42" t="s">
        <v>81</v>
      </c>
      <c r="N38" s="34">
        <v>1</v>
      </c>
    </row>
    <row r="39" spans="1:14" s="14" customFormat="1" ht="25.8" x14ac:dyDescent="0.25">
      <c r="A39" s="12"/>
      <c r="B39" s="11"/>
      <c r="C39" s="11"/>
      <c r="D39" s="11"/>
      <c r="E39" s="11"/>
      <c r="F39" s="11"/>
      <c r="G39" s="11"/>
      <c r="H39" s="11"/>
      <c r="I39" s="37"/>
      <c r="J39" s="11"/>
      <c r="K39" s="12"/>
      <c r="M39" s="42" t="s">
        <v>82</v>
      </c>
      <c r="N39" s="34">
        <v>1</v>
      </c>
    </row>
    <row r="40" spans="1:14" s="14" customFormat="1" ht="25.8" x14ac:dyDescent="0.25">
      <c r="A40" s="12"/>
      <c r="B40" s="11"/>
      <c r="C40" s="11"/>
      <c r="D40" s="11"/>
      <c r="E40" s="11"/>
      <c r="F40" s="11"/>
      <c r="G40" s="11"/>
      <c r="H40" s="11"/>
      <c r="I40" s="37"/>
      <c r="J40" s="11"/>
      <c r="K40" s="12"/>
      <c r="M40" s="42" t="s">
        <v>83</v>
      </c>
      <c r="N40" s="34">
        <v>0</v>
      </c>
    </row>
    <row r="41" spans="1:14" s="14" customFormat="1" ht="25.8" x14ac:dyDescent="0.25">
      <c r="A41" s="12"/>
      <c r="B41" s="11"/>
      <c r="C41" s="11"/>
      <c r="D41" s="11"/>
      <c r="E41" s="11"/>
      <c r="F41" s="11"/>
      <c r="G41" s="11"/>
      <c r="H41" s="11"/>
      <c r="I41" s="37"/>
      <c r="J41" s="11"/>
      <c r="K41" s="12"/>
      <c r="M41" s="42" t="s">
        <v>84</v>
      </c>
      <c r="N41" s="34">
        <v>0</v>
      </c>
    </row>
    <row r="42" spans="1:14" s="14" customFormat="1" ht="25.8" x14ac:dyDescent="0.25">
      <c r="A42" s="12"/>
      <c r="B42" s="11"/>
      <c r="C42" s="11"/>
      <c r="D42" s="11"/>
      <c r="E42" s="11"/>
      <c r="F42" s="11"/>
      <c r="G42" s="11"/>
      <c r="H42" s="11"/>
      <c r="I42" s="37"/>
      <c r="J42" s="11"/>
      <c r="K42" s="12"/>
      <c r="M42" s="42" t="s">
        <v>85</v>
      </c>
      <c r="N42" s="34">
        <v>0</v>
      </c>
    </row>
    <row r="43" spans="1:14" s="14" customFormat="1" ht="25.8" x14ac:dyDescent="0.25">
      <c r="A43" s="12"/>
      <c r="B43" s="11"/>
      <c r="C43" s="11"/>
      <c r="D43" s="11"/>
      <c r="E43" s="11"/>
      <c r="F43" s="11"/>
      <c r="G43" s="11"/>
      <c r="H43" s="11"/>
      <c r="I43" s="37"/>
      <c r="J43" s="11"/>
      <c r="K43" s="12"/>
      <c r="M43" s="42" t="s">
        <v>24</v>
      </c>
      <c r="N43" s="34">
        <v>0</v>
      </c>
    </row>
    <row r="44" spans="1:14" s="14" customFormat="1" ht="25.8" x14ac:dyDescent="0.25">
      <c r="A44" s="12"/>
      <c r="B44" s="11"/>
      <c r="C44" s="11"/>
      <c r="D44" s="11"/>
      <c r="E44" s="11"/>
      <c r="F44" s="11"/>
      <c r="G44" s="11"/>
      <c r="H44" s="11"/>
      <c r="I44" s="37"/>
      <c r="J44" s="11"/>
      <c r="K44" s="12"/>
      <c r="M44" s="42" t="s">
        <v>86</v>
      </c>
      <c r="N44" s="34">
        <v>0</v>
      </c>
    </row>
    <row r="45" spans="1:14" s="14" customFormat="1" ht="25.8" x14ac:dyDescent="0.25">
      <c r="A45" s="12"/>
      <c r="B45" s="11"/>
      <c r="C45" s="11"/>
      <c r="D45" s="11"/>
      <c r="E45" s="11"/>
      <c r="F45" s="11"/>
      <c r="G45" s="11"/>
      <c r="H45" s="11"/>
      <c r="I45" s="37"/>
      <c r="J45" s="11"/>
      <c r="K45" s="12"/>
      <c r="M45" s="42" t="s">
        <v>87</v>
      </c>
      <c r="N45" s="34">
        <v>0</v>
      </c>
    </row>
    <row r="46" spans="1:14" s="14" customFormat="1" ht="25.8" x14ac:dyDescent="0.25">
      <c r="A46" s="12"/>
      <c r="B46" s="11"/>
      <c r="C46" s="11"/>
      <c r="D46" s="11"/>
      <c r="E46" s="11"/>
      <c r="F46" s="11"/>
      <c r="G46" s="11"/>
      <c r="H46" s="11"/>
      <c r="I46" s="37"/>
      <c r="J46" s="11"/>
      <c r="K46" s="12"/>
      <c r="M46" s="42" t="s">
        <v>88</v>
      </c>
      <c r="N46" s="34">
        <v>0</v>
      </c>
    </row>
    <row r="47" spans="1:14" s="14" customFormat="1" ht="25.8" x14ac:dyDescent="0.25">
      <c r="A47" s="12"/>
      <c r="B47" s="11"/>
      <c r="C47" s="11"/>
      <c r="D47" s="11"/>
      <c r="E47" s="11"/>
      <c r="F47" s="11"/>
      <c r="G47" s="11"/>
      <c r="H47" s="11"/>
      <c r="I47" s="37"/>
      <c r="J47" s="11"/>
      <c r="K47" s="12"/>
      <c r="M47" s="42" t="s">
        <v>89</v>
      </c>
      <c r="N47" s="34">
        <v>0</v>
      </c>
    </row>
    <row r="48" spans="1:14" s="14" customFormat="1" ht="25.8" x14ac:dyDescent="0.25">
      <c r="A48" s="12"/>
      <c r="B48" s="11"/>
      <c r="C48" s="11"/>
      <c r="D48" s="11"/>
      <c r="E48" s="11"/>
      <c r="F48" s="11"/>
      <c r="G48" s="11"/>
      <c r="H48" s="11"/>
      <c r="I48" s="37"/>
      <c r="J48" s="11"/>
      <c r="K48" s="12"/>
      <c r="M48" s="42" t="s">
        <v>94</v>
      </c>
      <c r="N48" s="34">
        <v>0</v>
      </c>
    </row>
    <row r="49" spans="1:20" s="14" customFormat="1" ht="25.8" x14ac:dyDescent="0.25">
      <c r="A49" s="12"/>
      <c r="B49" s="11"/>
      <c r="C49" s="11"/>
      <c r="D49" s="11"/>
      <c r="E49" s="11"/>
      <c r="F49" s="11"/>
      <c r="G49" s="11"/>
      <c r="H49" s="11"/>
      <c r="I49" s="37"/>
      <c r="J49" s="11"/>
      <c r="K49" s="12"/>
      <c r="M49" s="42" t="s">
        <v>90</v>
      </c>
      <c r="N49" s="34">
        <v>0</v>
      </c>
    </row>
    <row r="50" spans="1:20" s="14" customFormat="1" ht="25.8" x14ac:dyDescent="0.25">
      <c r="A50" s="12"/>
      <c r="B50" s="11"/>
      <c r="C50" s="11"/>
      <c r="D50" s="11"/>
      <c r="E50" s="11"/>
      <c r="F50" s="11"/>
      <c r="G50" s="11"/>
      <c r="H50" s="11"/>
      <c r="I50" s="37"/>
      <c r="J50" s="11"/>
      <c r="K50" s="12"/>
      <c r="M50" s="42" t="s">
        <v>93</v>
      </c>
      <c r="N50" s="34">
        <v>0</v>
      </c>
    </row>
    <row r="51" spans="1:20" s="14" customFormat="1" ht="25.8" x14ac:dyDescent="0.25">
      <c r="A51" s="12"/>
      <c r="B51" s="11"/>
      <c r="C51" s="11"/>
      <c r="D51" s="11"/>
      <c r="E51" s="11"/>
      <c r="F51" s="11"/>
      <c r="G51" s="11"/>
      <c r="H51" s="11"/>
      <c r="I51" s="37"/>
      <c r="J51" s="11"/>
      <c r="K51" s="12"/>
      <c r="M51" s="42" t="s">
        <v>91</v>
      </c>
      <c r="N51" s="34">
        <v>0</v>
      </c>
      <c r="T51" s="14" t="s">
        <v>57</v>
      </c>
    </row>
    <row r="52" spans="1:20" s="14" customFormat="1" ht="25.8" x14ac:dyDescent="0.25">
      <c r="A52" s="12"/>
      <c r="B52" s="11"/>
      <c r="C52" s="11"/>
      <c r="D52" s="11"/>
      <c r="E52" s="11"/>
      <c r="F52" s="11"/>
      <c r="G52" s="11"/>
      <c r="H52" s="11"/>
      <c r="I52" s="37"/>
      <c r="J52" s="11"/>
      <c r="K52" s="12"/>
      <c r="M52" s="42" t="s">
        <v>45</v>
      </c>
      <c r="N52" s="34">
        <v>0</v>
      </c>
    </row>
    <row r="53" spans="1:20" s="14" customFormat="1" ht="25.8" x14ac:dyDescent="0.25">
      <c r="A53" s="12"/>
      <c r="B53" s="11"/>
      <c r="C53" s="11"/>
      <c r="D53" s="11"/>
      <c r="E53" s="11"/>
      <c r="F53" s="11"/>
      <c r="G53" s="11"/>
      <c r="H53" s="11"/>
      <c r="I53" s="37"/>
      <c r="J53" s="11"/>
      <c r="K53" s="12"/>
      <c r="M53" s="42" t="s">
        <v>92</v>
      </c>
      <c r="N53" s="34">
        <v>0</v>
      </c>
      <c r="S53" s="14" t="s">
        <v>58</v>
      </c>
    </row>
    <row r="54" spans="1:20" s="14" customFormat="1" ht="25.8" x14ac:dyDescent="0.25">
      <c r="A54" s="12"/>
      <c r="B54" s="11"/>
      <c r="C54" s="11"/>
      <c r="D54" s="11"/>
      <c r="E54" s="11"/>
      <c r="F54" s="11"/>
      <c r="G54" s="11"/>
      <c r="H54" s="11"/>
      <c r="I54" s="37"/>
      <c r="J54" s="11"/>
      <c r="K54" s="12"/>
      <c r="M54" s="42" t="s">
        <v>52</v>
      </c>
      <c r="N54" s="34">
        <v>0</v>
      </c>
    </row>
    <row r="55" spans="1:20" s="14" customFormat="1" ht="25.8" x14ac:dyDescent="0.25">
      <c r="A55" s="12"/>
      <c r="B55" s="11"/>
      <c r="C55" s="11"/>
      <c r="D55" s="11"/>
      <c r="E55" s="11"/>
      <c r="F55" s="11"/>
      <c r="G55" s="11"/>
      <c r="H55" s="11"/>
      <c r="I55" s="37"/>
      <c r="J55" s="11"/>
      <c r="K55" s="12"/>
      <c r="M55" s="42" t="s">
        <v>95</v>
      </c>
      <c r="N55" s="34">
        <v>0</v>
      </c>
    </row>
    <row r="56" spans="1:20" s="14" customFormat="1" ht="25.8" x14ac:dyDescent="0.25">
      <c r="A56" s="12"/>
      <c r="B56" s="11"/>
      <c r="C56" s="11"/>
      <c r="D56" s="11"/>
      <c r="E56" s="11"/>
      <c r="F56" s="11"/>
      <c r="G56" s="11"/>
      <c r="H56" s="11"/>
      <c r="I56" s="37"/>
      <c r="J56" s="11"/>
      <c r="K56" s="12"/>
      <c r="M56" s="42" t="s">
        <v>25</v>
      </c>
      <c r="N56" s="34">
        <v>0</v>
      </c>
    </row>
    <row r="57" spans="1:20" s="14" customFormat="1" ht="27" thickBot="1" x14ac:dyDescent="0.3">
      <c r="A57" s="12"/>
      <c r="B57" s="11"/>
      <c r="C57" s="11"/>
      <c r="D57" s="11"/>
      <c r="E57" s="11"/>
      <c r="F57" s="11"/>
      <c r="G57" s="11"/>
      <c r="H57" s="11"/>
      <c r="I57" s="37"/>
      <c r="J57" s="11"/>
      <c r="K57" s="12"/>
      <c r="M57" s="41"/>
      <c r="N57" s="35">
        <f>SUM(N3:N56)</f>
        <v>5</v>
      </c>
    </row>
    <row r="58" spans="1:20" s="14" customFormat="1" ht="21" thickTop="1" x14ac:dyDescent="0.25">
      <c r="A58" s="12"/>
      <c r="B58" s="11"/>
      <c r="C58" s="11"/>
      <c r="D58" s="11"/>
      <c r="E58" s="11"/>
      <c r="F58" s="11"/>
      <c r="G58" s="11"/>
      <c r="H58" s="11"/>
      <c r="I58" s="37"/>
      <c r="J58" s="11"/>
      <c r="K58" s="12"/>
      <c r="M58" s="41"/>
      <c r="N58" s="11"/>
    </row>
    <row r="59" spans="1:20" s="14" customFormat="1" ht="20.399999999999999" x14ac:dyDescent="0.25">
      <c r="A59" s="12"/>
      <c r="B59" s="11"/>
      <c r="C59" s="11"/>
      <c r="D59" s="11"/>
      <c r="E59" s="11"/>
      <c r="F59" s="11"/>
      <c r="G59" s="11"/>
      <c r="H59" s="11"/>
      <c r="I59" s="37"/>
      <c r="J59" s="11"/>
      <c r="K59" s="12"/>
      <c r="M59" s="41"/>
      <c r="N59" s="11"/>
    </row>
    <row r="60" spans="1:20" s="14" customFormat="1" ht="20.399999999999999" x14ac:dyDescent="0.25">
      <c r="A60" s="12"/>
      <c r="B60" s="11"/>
      <c r="C60" s="11"/>
      <c r="D60" s="11"/>
      <c r="E60" s="11"/>
      <c r="F60" s="11"/>
      <c r="G60" s="11"/>
      <c r="H60" s="11"/>
      <c r="I60" s="37"/>
      <c r="J60" s="11"/>
      <c r="K60" s="12"/>
      <c r="M60" s="41"/>
      <c r="N60" s="11"/>
    </row>
    <row r="61" spans="1:20" s="14" customFormat="1" ht="20.399999999999999" x14ac:dyDescent="0.25">
      <c r="A61" s="12"/>
      <c r="B61" s="11"/>
      <c r="C61" s="11"/>
      <c r="D61" s="11"/>
      <c r="E61" s="11"/>
      <c r="F61" s="11"/>
      <c r="G61" s="11"/>
      <c r="H61" s="11"/>
      <c r="I61" s="37"/>
      <c r="J61" s="11"/>
      <c r="K61" s="12"/>
      <c r="M61" s="41"/>
      <c r="N61" s="11"/>
    </row>
    <row r="62" spans="1:20" s="14" customFormat="1" ht="20.399999999999999" x14ac:dyDescent="0.25">
      <c r="A62" s="12"/>
      <c r="B62" s="11"/>
      <c r="C62" s="11"/>
      <c r="D62" s="11"/>
      <c r="E62" s="11"/>
      <c r="F62" s="11"/>
      <c r="G62" s="11"/>
      <c r="H62" s="11"/>
      <c r="I62" s="37"/>
      <c r="J62" s="11"/>
      <c r="K62" s="12"/>
      <c r="M62" s="41"/>
      <c r="N62" s="11"/>
    </row>
    <row r="63" spans="1:20" s="14" customFormat="1" ht="20.399999999999999" x14ac:dyDescent="0.25">
      <c r="A63" s="12"/>
      <c r="B63" s="11"/>
      <c r="C63" s="11"/>
      <c r="D63" s="11"/>
      <c r="E63" s="11"/>
      <c r="F63" s="11"/>
      <c r="G63" s="11"/>
      <c r="H63" s="11"/>
      <c r="I63" s="37"/>
      <c r="J63" s="11"/>
      <c r="K63" s="12"/>
      <c r="M63" s="41"/>
      <c r="N63" s="11"/>
    </row>
    <row r="64" spans="1:20" s="14" customFormat="1" ht="20.399999999999999" x14ac:dyDescent="0.25">
      <c r="A64" s="12"/>
      <c r="B64" s="11"/>
      <c r="C64" s="11"/>
      <c r="D64" s="11"/>
      <c r="E64" s="11"/>
      <c r="F64" s="11"/>
      <c r="G64" s="11"/>
      <c r="H64" s="11"/>
      <c r="I64" s="37"/>
      <c r="J64" s="11"/>
      <c r="K64" s="12"/>
      <c r="M64" s="41"/>
      <c r="N64" s="11"/>
    </row>
    <row r="65" spans="1:14" s="14" customFormat="1" ht="20.399999999999999" x14ac:dyDescent="0.25">
      <c r="A65" s="12"/>
      <c r="B65" s="11"/>
      <c r="C65" s="11"/>
      <c r="D65" s="11"/>
      <c r="E65" s="11"/>
      <c r="F65" s="11"/>
      <c r="G65" s="11"/>
      <c r="H65" s="11"/>
      <c r="I65" s="37"/>
      <c r="J65" s="11"/>
      <c r="K65" s="12"/>
      <c r="M65" s="41"/>
      <c r="N65" s="11"/>
    </row>
    <row r="66" spans="1:14" s="14" customFormat="1" ht="20.399999999999999" x14ac:dyDescent="0.25">
      <c r="A66" s="12"/>
      <c r="B66" s="11"/>
      <c r="C66" s="11"/>
      <c r="D66" s="11"/>
      <c r="E66" s="11"/>
      <c r="F66" s="11"/>
      <c r="G66" s="11"/>
      <c r="H66" s="11"/>
      <c r="I66" s="37"/>
      <c r="J66" s="11"/>
      <c r="K66" s="12"/>
      <c r="M66" s="41"/>
      <c r="N66" s="11"/>
    </row>
    <row r="67" spans="1:14" s="14" customFormat="1" ht="20.399999999999999" x14ac:dyDescent="0.25">
      <c r="A67" s="12"/>
      <c r="B67" s="11"/>
      <c r="C67" s="11"/>
      <c r="D67" s="11"/>
      <c r="E67" s="11"/>
      <c r="F67" s="11"/>
      <c r="G67" s="11"/>
      <c r="H67" s="11"/>
      <c r="I67" s="37"/>
      <c r="J67" s="11"/>
      <c r="K67" s="12"/>
      <c r="M67" s="41"/>
      <c r="N67" s="11"/>
    </row>
    <row r="68" spans="1:14" s="14" customFormat="1" ht="20.399999999999999" x14ac:dyDescent="0.25">
      <c r="A68" s="12"/>
      <c r="B68" s="11"/>
      <c r="C68" s="11"/>
      <c r="D68" s="11"/>
      <c r="E68" s="11"/>
      <c r="F68" s="11"/>
      <c r="G68" s="11"/>
      <c r="H68" s="11"/>
      <c r="I68" s="37"/>
      <c r="J68" s="11"/>
      <c r="K68" s="12"/>
      <c r="M68" s="41"/>
      <c r="N68" s="11"/>
    </row>
    <row r="69" spans="1:14" s="14" customFormat="1" ht="20.399999999999999" x14ac:dyDescent="0.25">
      <c r="A69" s="12"/>
      <c r="B69" s="11"/>
      <c r="C69" s="11"/>
      <c r="D69" s="11"/>
      <c r="E69" s="11"/>
      <c r="F69" s="11"/>
      <c r="G69" s="11"/>
      <c r="H69" s="11"/>
      <c r="I69" s="37"/>
      <c r="J69" s="11"/>
      <c r="K69" s="12"/>
      <c r="M69" s="41"/>
      <c r="N69" s="11"/>
    </row>
    <row r="70" spans="1:14" s="14" customFormat="1" ht="20.399999999999999" x14ac:dyDescent="0.25">
      <c r="A70" s="12"/>
      <c r="B70" s="11"/>
      <c r="C70" s="11"/>
      <c r="D70" s="11"/>
      <c r="E70" s="11"/>
      <c r="F70" s="11"/>
      <c r="G70" s="11"/>
      <c r="H70" s="11"/>
      <c r="I70" s="37"/>
      <c r="J70" s="11"/>
      <c r="K70" s="12"/>
      <c r="M70" s="41"/>
      <c r="N70" s="11"/>
    </row>
    <row r="71" spans="1:14" s="14" customFormat="1" ht="20.399999999999999" x14ac:dyDescent="0.25">
      <c r="A71" s="12"/>
      <c r="B71" s="11"/>
      <c r="C71" s="11"/>
      <c r="D71" s="11"/>
      <c r="E71" s="11"/>
      <c r="F71" s="11"/>
      <c r="G71" s="11"/>
      <c r="H71" s="11"/>
      <c r="I71" s="37"/>
      <c r="J71" s="11"/>
      <c r="K71" s="12"/>
      <c r="M71" s="41"/>
      <c r="N71" s="11"/>
    </row>
    <row r="72" spans="1:14" s="14" customFormat="1" ht="20.399999999999999" x14ac:dyDescent="0.25">
      <c r="A72" s="12"/>
      <c r="B72" s="11"/>
      <c r="C72" s="11"/>
      <c r="D72" s="11"/>
      <c r="E72" s="11"/>
      <c r="F72" s="11"/>
      <c r="G72" s="11"/>
      <c r="H72" s="11"/>
      <c r="I72" s="37"/>
      <c r="J72" s="11"/>
      <c r="K72" s="12"/>
      <c r="M72" s="41"/>
      <c r="N72" s="11"/>
    </row>
    <row r="73" spans="1:14" s="14" customFormat="1" ht="20.399999999999999" x14ac:dyDescent="0.25">
      <c r="A73" s="12"/>
      <c r="B73" s="11"/>
      <c r="C73" s="11"/>
      <c r="D73" s="11"/>
      <c r="E73" s="11"/>
      <c r="F73" s="11"/>
      <c r="G73" s="11"/>
      <c r="H73" s="11"/>
      <c r="I73" s="37"/>
      <c r="J73" s="11"/>
      <c r="K73" s="12"/>
      <c r="M73" s="41"/>
      <c r="N73" s="11"/>
    </row>
    <row r="74" spans="1:14" s="14" customFormat="1" ht="20.399999999999999" x14ac:dyDescent="0.25">
      <c r="A74" s="12"/>
      <c r="B74" s="11"/>
      <c r="C74" s="11"/>
      <c r="D74" s="11"/>
      <c r="E74" s="11"/>
      <c r="F74" s="11"/>
      <c r="G74" s="11"/>
      <c r="H74" s="11"/>
      <c r="I74" s="37"/>
      <c r="J74" s="11"/>
      <c r="K74" s="12"/>
      <c r="M74" s="41"/>
      <c r="N74" s="11"/>
    </row>
    <row r="75" spans="1:14" s="14" customFormat="1" ht="20.399999999999999" x14ac:dyDescent="0.25">
      <c r="A75" s="12"/>
      <c r="B75" s="11"/>
      <c r="C75" s="11"/>
      <c r="D75" s="11"/>
      <c r="E75" s="11"/>
      <c r="F75" s="11"/>
      <c r="G75" s="11"/>
      <c r="H75" s="11"/>
      <c r="I75" s="37"/>
      <c r="J75" s="11"/>
      <c r="K75" s="12"/>
      <c r="M75" s="41"/>
      <c r="N75" s="11"/>
    </row>
    <row r="76" spans="1:14" s="14" customFormat="1" ht="20.399999999999999" x14ac:dyDescent="0.25">
      <c r="A76" s="12"/>
      <c r="B76" s="11"/>
      <c r="C76" s="11"/>
      <c r="D76" s="11"/>
      <c r="E76" s="11"/>
      <c r="F76" s="11"/>
      <c r="G76" s="11"/>
      <c r="H76" s="11"/>
      <c r="I76" s="37"/>
      <c r="J76" s="11"/>
      <c r="K76" s="12"/>
      <c r="M76" s="41"/>
      <c r="N76" s="11"/>
    </row>
    <row r="77" spans="1:14" s="14" customFormat="1" ht="20.399999999999999" x14ac:dyDescent="0.25">
      <c r="A77" s="12"/>
      <c r="B77" s="11"/>
      <c r="C77" s="11"/>
      <c r="D77" s="11"/>
      <c r="E77" s="11"/>
      <c r="F77" s="11"/>
      <c r="G77" s="11"/>
      <c r="H77" s="11"/>
      <c r="I77" s="37"/>
      <c r="J77" s="11"/>
      <c r="K77" s="12"/>
      <c r="M77" s="41"/>
      <c r="N77" s="11"/>
    </row>
    <row r="78" spans="1:14" ht="20.399999999999999" x14ac:dyDescent="0.25">
      <c r="L78" s="14"/>
    </row>
    <row r="79" spans="1:14" ht="20.399999999999999" x14ac:dyDescent="0.25">
      <c r="L79" s="14"/>
    </row>
    <row r="80" spans="1:14" ht="20.399999999999999" x14ac:dyDescent="0.25">
      <c r="L80" s="14"/>
    </row>
    <row r="81" spans="12:12" ht="20.399999999999999" x14ac:dyDescent="0.25">
      <c r="L81" s="14"/>
    </row>
    <row r="82" spans="12:12" ht="20.399999999999999" x14ac:dyDescent="0.25">
      <c r="L82" s="14"/>
    </row>
    <row r="83" spans="12:12" ht="20.399999999999999" x14ac:dyDescent="0.25">
      <c r="L83" s="14"/>
    </row>
    <row r="84" spans="12:12" ht="20.399999999999999" x14ac:dyDescent="0.25">
      <c r="L84" s="14"/>
    </row>
    <row r="85" spans="12:12" ht="20.399999999999999" x14ac:dyDescent="0.25">
      <c r="L85" s="14"/>
    </row>
    <row r="86" spans="12:12" ht="20.399999999999999" x14ac:dyDescent="0.25">
      <c r="L86" s="14"/>
    </row>
    <row r="87" spans="12:12" ht="20.399999999999999" x14ac:dyDescent="0.25">
      <c r="L87" s="14"/>
    </row>
    <row r="88" spans="12:12" ht="20.399999999999999" x14ac:dyDescent="0.25">
      <c r="L88" s="14"/>
    </row>
    <row r="89" spans="12:12" ht="20.399999999999999" x14ac:dyDescent="0.25">
      <c r="L89" s="14"/>
    </row>
    <row r="90" spans="12:12" ht="20.399999999999999" x14ac:dyDescent="0.25">
      <c r="L90" s="14"/>
    </row>
    <row r="91" spans="12:12" ht="20.399999999999999" x14ac:dyDescent="0.25">
      <c r="L91" s="14"/>
    </row>
    <row r="92" spans="12:12" ht="20.399999999999999" x14ac:dyDescent="0.25">
      <c r="L92" s="14"/>
    </row>
    <row r="93" spans="12:12" ht="20.399999999999999" x14ac:dyDescent="0.25">
      <c r="L93" s="14"/>
    </row>
    <row r="94" spans="12:12" ht="20.399999999999999" x14ac:dyDescent="0.25">
      <c r="L94" s="14"/>
    </row>
    <row r="95" spans="12:12" ht="20.399999999999999" x14ac:dyDescent="0.25">
      <c r="L95" s="14"/>
    </row>
    <row r="96" spans="12:12" ht="20.399999999999999" x14ac:dyDescent="0.25">
      <c r="L96" s="14"/>
    </row>
    <row r="97" spans="12:12" ht="20.399999999999999" x14ac:dyDescent="0.25">
      <c r="L97" s="14"/>
    </row>
    <row r="98" spans="12:12" ht="20.399999999999999" x14ac:dyDescent="0.25">
      <c r="L98" s="14"/>
    </row>
    <row r="99" spans="12:12" ht="20.399999999999999" x14ac:dyDescent="0.25">
      <c r="L99" s="14"/>
    </row>
    <row r="100" spans="12:12" ht="20.399999999999999" x14ac:dyDescent="0.25">
      <c r="L100" s="14"/>
    </row>
    <row r="101" spans="12:12" ht="20.399999999999999" x14ac:dyDescent="0.25">
      <c r="L101" s="14"/>
    </row>
    <row r="102" spans="12:12" ht="20.399999999999999" x14ac:dyDescent="0.25">
      <c r="L102" s="14"/>
    </row>
    <row r="103" spans="12:12" ht="20.399999999999999" x14ac:dyDescent="0.25">
      <c r="L103" s="14"/>
    </row>
    <row r="104" spans="12:12" ht="20.399999999999999" x14ac:dyDescent="0.25">
      <c r="L104" s="14"/>
    </row>
    <row r="105" spans="12:12" ht="20.399999999999999" x14ac:dyDescent="0.25">
      <c r="L105" s="14"/>
    </row>
    <row r="106" spans="12:12" ht="20.399999999999999" x14ac:dyDescent="0.25">
      <c r="L106" s="14"/>
    </row>
    <row r="107" spans="12:12" ht="20.399999999999999" x14ac:dyDescent="0.25">
      <c r="L107" s="14"/>
    </row>
    <row r="108" spans="12:12" ht="20.399999999999999" x14ac:dyDescent="0.25">
      <c r="L108" s="14"/>
    </row>
    <row r="109" spans="12:12" ht="20.399999999999999" x14ac:dyDescent="0.25">
      <c r="L109" s="14"/>
    </row>
    <row r="110" spans="12:12" ht="20.399999999999999" x14ac:dyDescent="0.25">
      <c r="L110" s="14"/>
    </row>
    <row r="111" spans="12:12" ht="20.399999999999999" x14ac:dyDescent="0.25">
      <c r="L111" s="14"/>
    </row>
    <row r="112" spans="12:12" ht="20.399999999999999" x14ac:dyDescent="0.25">
      <c r="L112" s="14"/>
    </row>
    <row r="113" spans="12:12" ht="20.399999999999999" x14ac:dyDescent="0.25">
      <c r="L113" s="14"/>
    </row>
    <row r="114" spans="12:12" ht="20.399999999999999" x14ac:dyDescent="0.25">
      <c r="L114" s="14"/>
    </row>
    <row r="115" spans="12:12" ht="20.399999999999999" x14ac:dyDescent="0.25">
      <c r="L115" s="14"/>
    </row>
    <row r="116" spans="12:12" ht="20.399999999999999" x14ac:dyDescent="0.25">
      <c r="L116" s="14"/>
    </row>
    <row r="117" spans="12:12" ht="20.399999999999999" x14ac:dyDescent="0.25">
      <c r="L117" s="14"/>
    </row>
    <row r="118" spans="12:12" ht="20.399999999999999" x14ac:dyDescent="0.25">
      <c r="L118" s="14"/>
    </row>
    <row r="119" spans="12:12" ht="20.399999999999999" x14ac:dyDescent="0.25">
      <c r="L119" s="14"/>
    </row>
    <row r="120" spans="12:12" ht="20.399999999999999" x14ac:dyDescent="0.25">
      <c r="L120" s="14"/>
    </row>
    <row r="121" spans="12:12" ht="20.399999999999999" x14ac:dyDescent="0.25">
      <c r="L121" s="14"/>
    </row>
    <row r="122" spans="12:12" ht="20.399999999999999" x14ac:dyDescent="0.25">
      <c r="L122" s="14"/>
    </row>
    <row r="123" spans="12:12" ht="20.399999999999999" x14ac:dyDescent="0.25">
      <c r="L123" s="14"/>
    </row>
    <row r="124" spans="12:12" ht="20.399999999999999" x14ac:dyDescent="0.25">
      <c r="L124" s="14"/>
    </row>
    <row r="125" spans="12:12" ht="20.399999999999999" x14ac:dyDescent="0.25">
      <c r="L125" s="14"/>
    </row>
    <row r="126" spans="12:12" ht="20.399999999999999" x14ac:dyDescent="0.25">
      <c r="L126" s="14"/>
    </row>
    <row r="127" spans="12:12" ht="20.399999999999999" x14ac:dyDescent="0.25">
      <c r="L127" s="14"/>
    </row>
    <row r="128" spans="12:12" ht="20.399999999999999" x14ac:dyDescent="0.25">
      <c r="L128" s="14"/>
    </row>
    <row r="129" spans="12:12" ht="20.399999999999999" x14ac:dyDescent="0.25">
      <c r="L129" s="14"/>
    </row>
    <row r="130" spans="12:12" ht="20.399999999999999" x14ac:dyDescent="0.25">
      <c r="L130" s="14"/>
    </row>
    <row r="131" spans="12:12" ht="20.399999999999999" x14ac:dyDescent="0.25">
      <c r="L131" s="14"/>
    </row>
    <row r="132" spans="12:12" ht="20.399999999999999" x14ac:dyDescent="0.25">
      <c r="L132" s="14"/>
    </row>
    <row r="133" spans="12:12" ht="20.399999999999999" x14ac:dyDescent="0.25">
      <c r="L133" s="14"/>
    </row>
    <row r="134" spans="12:12" ht="20.399999999999999" x14ac:dyDescent="0.25">
      <c r="L134" s="14"/>
    </row>
    <row r="135" spans="12:12" ht="20.399999999999999" x14ac:dyDescent="0.25">
      <c r="L135" s="14"/>
    </row>
    <row r="136" spans="12:12" ht="20.399999999999999" x14ac:dyDescent="0.25">
      <c r="L136" s="14"/>
    </row>
    <row r="137" spans="12:12" ht="20.399999999999999" x14ac:dyDescent="0.25">
      <c r="L137" s="14"/>
    </row>
    <row r="138" spans="12:12" ht="20.399999999999999" x14ac:dyDescent="0.25">
      <c r="L138" s="14"/>
    </row>
    <row r="139" spans="12:12" ht="20.399999999999999" x14ac:dyDescent="0.25">
      <c r="L139" s="14"/>
    </row>
    <row r="140" spans="12:12" ht="20.399999999999999" x14ac:dyDescent="0.25">
      <c r="L140" s="14"/>
    </row>
    <row r="141" spans="12:12" ht="20.399999999999999" x14ac:dyDescent="0.25">
      <c r="L141" s="14"/>
    </row>
    <row r="142" spans="12:12" ht="20.399999999999999" x14ac:dyDescent="0.25">
      <c r="L142" s="14"/>
    </row>
    <row r="143" spans="12:12" ht="20.399999999999999" x14ac:dyDescent="0.25">
      <c r="L143" s="14"/>
    </row>
    <row r="144" spans="12:12" ht="20.399999999999999" x14ac:dyDescent="0.25">
      <c r="L144" s="14"/>
    </row>
    <row r="145" spans="12:12" ht="20.399999999999999" x14ac:dyDescent="0.25">
      <c r="L145" s="14"/>
    </row>
    <row r="146" spans="12:12" ht="20.399999999999999" x14ac:dyDescent="0.25">
      <c r="L146" s="14"/>
    </row>
    <row r="147" spans="12:12" ht="20.399999999999999" x14ac:dyDescent="0.25">
      <c r="L147" s="14"/>
    </row>
    <row r="148" spans="12:12" ht="20.399999999999999" x14ac:dyDescent="0.25">
      <c r="L148" s="14"/>
    </row>
    <row r="149" spans="12:12" ht="20.399999999999999" x14ac:dyDescent="0.25">
      <c r="L149" s="14"/>
    </row>
    <row r="150" spans="12:12" ht="20.399999999999999" x14ac:dyDescent="0.25">
      <c r="L150" s="14"/>
    </row>
    <row r="151" spans="12:12" ht="20.399999999999999" x14ac:dyDescent="0.25">
      <c r="L151" s="14"/>
    </row>
    <row r="152" spans="12:12" ht="20.399999999999999" x14ac:dyDescent="0.25">
      <c r="L152" s="14"/>
    </row>
    <row r="153" spans="12:12" ht="20.399999999999999" x14ac:dyDescent="0.25">
      <c r="L153" s="14"/>
    </row>
    <row r="154" spans="12:12" ht="20.399999999999999" x14ac:dyDescent="0.25">
      <c r="L154" s="14"/>
    </row>
    <row r="155" spans="12:12" ht="20.399999999999999" x14ac:dyDescent="0.25">
      <c r="L155" s="14"/>
    </row>
    <row r="156" spans="12:12" ht="20.399999999999999" x14ac:dyDescent="0.25">
      <c r="L156" s="14"/>
    </row>
    <row r="157" spans="12:12" ht="20.399999999999999" x14ac:dyDescent="0.25">
      <c r="L157" s="14"/>
    </row>
    <row r="158" spans="12:12" ht="20.399999999999999" x14ac:dyDescent="0.25">
      <c r="L158" s="14"/>
    </row>
    <row r="159" spans="12:12" ht="20.399999999999999" x14ac:dyDescent="0.25">
      <c r="L159" s="14"/>
    </row>
    <row r="160" spans="12:12" ht="20.399999999999999" x14ac:dyDescent="0.25">
      <c r="L160" s="14"/>
    </row>
    <row r="161" spans="12:12" ht="20.399999999999999" x14ac:dyDescent="0.25">
      <c r="L161" s="14"/>
    </row>
    <row r="162" spans="12:12" ht="20.399999999999999" x14ac:dyDescent="0.25">
      <c r="L162" s="14"/>
    </row>
    <row r="163" spans="12:12" ht="20.399999999999999" x14ac:dyDescent="0.25">
      <c r="L163" s="14"/>
    </row>
    <row r="164" spans="12:12" ht="20.399999999999999" x14ac:dyDescent="0.25">
      <c r="L164" s="14"/>
    </row>
    <row r="165" spans="12:12" ht="20.399999999999999" x14ac:dyDescent="0.25">
      <c r="L165" s="14"/>
    </row>
    <row r="166" spans="12:12" ht="20.399999999999999" x14ac:dyDescent="0.25">
      <c r="L166" s="14"/>
    </row>
    <row r="167" spans="12:12" ht="20.399999999999999" x14ac:dyDescent="0.25">
      <c r="L167" s="14"/>
    </row>
    <row r="168" spans="12:12" ht="20.399999999999999" x14ac:dyDescent="0.25">
      <c r="L168" s="14"/>
    </row>
    <row r="169" spans="12:12" ht="20.399999999999999" x14ac:dyDescent="0.25">
      <c r="L169" s="14"/>
    </row>
    <row r="170" spans="12:12" ht="20.399999999999999" x14ac:dyDescent="0.25">
      <c r="L170" s="14"/>
    </row>
    <row r="171" spans="12:12" ht="20.399999999999999" x14ac:dyDescent="0.25">
      <c r="L171" s="14"/>
    </row>
    <row r="172" spans="12:12" ht="20.399999999999999" x14ac:dyDescent="0.25">
      <c r="L172" s="14"/>
    </row>
    <row r="173" spans="12:12" ht="20.399999999999999" x14ac:dyDescent="0.25">
      <c r="L173" s="14"/>
    </row>
    <row r="174" spans="12:12" ht="20.399999999999999" x14ac:dyDescent="0.25">
      <c r="L174" s="14"/>
    </row>
    <row r="175" spans="12:12" ht="20.399999999999999" x14ac:dyDescent="0.25">
      <c r="L175" s="14"/>
    </row>
    <row r="176" spans="12:12" ht="20.399999999999999" x14ac:dyDescent="0.25">
      <c r="L176" s="14"/>
    </row>
    <row r="177" spans="12:12" ht="20.399999999999999" x14ac:dyDescent="0.25">
      <c r="L177" s="14"/>
    </row>
    <row r="178" spans="12:12" ht="20.399999999999999" x14ac:dyDescent="0.25">
      <c r="L178" s="14"/>
    </row>
    <row r="179" spans="12:12" ht="20.399999999999999" x14ac:dyDescent="0.25">
      <c r="L179" s="14"/>
    </row>
    <row r="180" spans="12:12" ht="20.399999999999999" x14ac:dyDescent="0.25">
      <c r="L180" s="14"/>
    </row>
    <row r="181" spans="12:12" ht="20.399999999999999" x14ac:dyDescent="0.25">
      <c r="L181" s="14"/>
    </row>
    <row r="182" spans="12:12" ht="20.399999999999999" x14ac:dyDescent="0.25">
      <c r="L182" s="14"/>
    </row>
    <row r="183" spans="12:12" ht="20.399999999999999" x14ac:dyDescent="0.25">
      <c r="L183" s="14"/>
    </row>
    <row r="184" spans="12:12" ht="20.399999999999999" x14ac:dyDescent="0.25">
      <c r="L184" s="14"/>
    </row>
    <row r="185" spans="12:12" ht="20.399999999999999" x14ac:dyDescent="0.25">
      <c r="L185" s="14"/>
    </row>
    <row r="186" spans="12:12" ht="20.399999999999999" x14ac:dyDescent="0.25">
      <c r="L186" s="14"/>
    </row>
    <row r="187" spans="12:12" ht="20.399999999999999" x14ac:dyDescent="0.25">
      <c r="L187" s="14"/>
    </row>
    <row r="188" spans="12:12" ht="20.399999999999999" x14ac:dyDescent="0.25">
      <c r="L188" s="14"/>
    </row>
    <row r="189" spans="12:12" ht="20.399999999999999" x14ac:dyDescent="0.25">
      <c r="L189" s="14"/>
    </row>
    <row r="190" spans="12:12" ht="20.399999999999999" x14ac:dyDescent="0.25">
      <c r="L190" s="14"/>
    </row>
    <row r="191" spans="12:12" ht="20.399999999999999" x14ac:dyDescent="0.25">
      <c r="L191" s="14"/>
    </row>
    <row r="192" spans="12:12" ht="20.399999999999999" x14ac:dyDescent="0.25">
      <c r="L192" s="14"/>
    </row>
    <row r="193" spans="12:12" ht="20.399999999999999" x14ac:dyDescent="0.25">
      <c r="L193" s="14"/>
    </row>
    <row r="194" spans="12:12" ht="20.399999999999999" x14ac:dyDescent="0.25">
      <c r="L194" s="14"/>
    </row>
    <row r="195" spans="12:12" ht="20.399999999999999" x14ac:dyDescent="0.25">
      <c r="L195" s="14"/>
    </row>
    <row r="196" spans="12:12" ht="20.399999999999999" x14ac:dyDescent="0.25">
      <c r="L196" s="14"/>
    </row>
    <row r="197" spans="12:12" ht="20.399999999999999" x14ac:dyDescent="0.25">
      <c r="L197" s="14"/>
    </row>
    <row r="198" spans="12:12" ht="20.399999999999999" x14ac:dyDescent="0.25">
      <c r="L198" s="14"/>
    </row>
    <row r="199" spans="12:12" ht="20.399999999999999" x14ac:dyDescent="0.25">
      <c r="L199" s="14"/>
    </row>
    <row r="200" spans="12:12" ht="20.399999999999999" x14ac:dyDescent="0.25">
      <c r="L200" s="14"/>
    </row>
    <row r="201" spans="12:12" ht="20.399999999999999" x14ac:dyDescent="0.25">
      <c r="L201" s="14"/>
    </row>
    <row r="202" spans="12:12" ht="20.399999999999999" x14ac:dyDescent="0.25">
      <c r="L202" s="14"/>
    </row>
    <row r="203" spans="12:12" ht="20.399999999999999" x14ac:dyDescent="0.25">
      <c r="L203" s="14"/>
    </row>
    <row r="204" spans="12:12" ht="20.399999999999999" x14ac:dyDescent="0.25">
      <c r="L204" s="14"/>
    </row>
    <row r="205" spans="12:12" ht="20.399999999999999" x14ac:dyDescent="0.25">
      <c r="L205" s="14"/>
    </row>
    <row r="206" spans="12:12" ht="20.399999999999999" x14ac:dyDescent="0.25">
      <c r="L206" s="14"/>
    </row>
    <row r="207" spans="12:12" ht="20.399999999999999" x14ac:dyDescent="0.25">
      <c r="L207" s="14"/>
    </row>
    <row r="208" spans="12:12" ht="20.399999999999999" x14ac:dyDescent="0.25">
      <c r="L208" s="14"/>
    </row>
    <row r="209" spans="12:12" ht="20.399999999999999" x14ac:dyDescent="0.25">
      <c r="L209" s="14"/>
    </row>
    <row r="210" spans="12:12" ht="20.399999999999999" x14ac:dyDescent="0.25">
      <c r="L210" s="14"/>
    </row>
    <row r="211" spans="12:12" ht="20.399999999999999" x14ac:dyDescent="0.25">
      <c r="L211" s="14"/>
    </row>
    <row r="212" spans="12:12" ht="20.399999999999999" x14ac:dyDescent="0.25">
      <c r="L212" s="14"/>
    </row>
    <row r="213" spans="12:12" ht="20.399999999999999" x14ac:dyDescent="0.25">
      <c r="L213" s="14"/>
    </row>
    <row r="214" spans="12:12" ht="20.399999999999999" x14ac:dyDescent="0.25">
      <c r="L214" s="14"/>
    </row>
    <row r="215" spans="12:12" ht="20.399999999999999" x14ac:dyDescent="0.25">
      <c r="L215" s="14"/>
    </row>
    <row r="216" spans="12:12" ht="20.399999999999999" x14ac:dyDescent="0.25">
      <c r="L216" s="14"/>
    </row>
    <row r="217" spans="12:12" ht="20.399999999999999" x14ac:dyDescent="0.25">
      <c r="L217" s="14"/>
    </row>
    <row r="218" spans="12:12" ht="20.399999999999999" x14ac:dyDescent="0.25">
      <c r="L218" s="14"/>
    </row>
    <row r="219" spans="12:12" ht="20.399999999999999" x14ac:dyDescent="0.25">
      <c r="L219" s="14"/>
    </row>
    <row r="220" spans="12:12" ht="20.399999999999999" x14ac:dyDescent="0.25">
      <c r="L220" s="14"/>
    </row>
    <row r="221" spans="12:12" ht="20.399999999999999" x14ac:dyDescent="0.25">
      <c r="L221" s="14"/>
    </row>
    <row r="222" spans="12:12" ht="20.399999999999999" x14ac:dyDescent="0.25">
      <c r="L222" s="14"/>
    </row>
    <row r="223" spans="12:12" ht="20.399999999999999" x14ac:dyDescent="0.25">
      <c r="L223" s="14"/>
    </row>
    <row r="224" spans="12:12" ht="20.399999999999999" x14ac:dyDescent="0.25">
      <c r="L224" s="14"/>
    </row>
    <row r="225" spans="12:12" ht="20.399999999999999" x14ac:dyDescent="0.25">
      <c r="L225" s="14"/>
    </row>
    <row r="226" spans="12:12" ht="20.399999999999999" x14ac:dyDescent="0.25">
      <c r="L226" s="14"/>
    </row>
    <row r="227" spans="12:12" ht="20.399999999999999" x14ac:dyDescent="0.25">
      <c r="L227" s="14"/>
    </row>
    <row r="228" spans="12:12" ht="20.399999999999999" x14ac:dyDescent="0.25">
      <c r="L228" s="14" t="s">
        <v>8</v>
      </c>
    </row>
    <row r="229" spans="12:12" ht="20.399999999999999" x14ac:dyDescent="0.25">
      <c r="L229" s="14"/>
    </row>
    <row r="230" spans="12:12" ht="20.399999999999999" x14ac:dyDescent="0.25">
      <c r="L230" s="14"/>
    </row>
    <row r="231" spans="12:12" ht="20.399999999999999" x14ac:dyDescent="0.25">
      <c r="L231" s="14"/>
    </row>
    <row r="232" spans="12:12" ht="20.399999999999999" x14ac:dyDescent="0.25">
      <c r="L232" s="14"/>
    </row>
    <row r="233" spans="12:12" ht="20.399999999999999" x14ac:dyDescent="0.25">
      <c r="L233" s="14"/>
    </row>
    <row r="234" spans="12:12" ht="20.399999999999999" x14ac:dyDescent="0.25">
      <c r="L234" s="14"/>
    </row>
    <row r="235" spans="12:12" ht="20.399999999999999" x14ac:dyDescent="0.25">
      <c r="L235" s="14" t="s">
        <v>8</v>
      </c>
    </row>
    <row r="236" spans="12:12" ht="20.399999999999999" x14ac:dyDescent="0.25">
      <c r="L236" s="14"/>
    </row>
    <row r="237" spans="12:12" ht="20.399999999999999" x14ac:dyDescent="0.25">
      <c r="L237" s="14"/>
    </row>
    <row r="238" spans="12:12" ht="20.399999999999999" x14ac:dyDescent="0.25">
      <c r="L238" s="14"/>
    </row>
    <row r="239" spans="12:12" ht="20.399999999999999" x14ac:dyDescent="0.25">
      <c r="L239" s="14"/>
    </row>
    <row r="240" spans="12:12" ht="20.399999999999999" x14ac:dyDescent="0.25">
      <c r="L240" s="14"/>
    </row>
    <row r="241" spans="12:12" ht="20.399999999999999" x14ac:dyDescent="0.25">
      <c r="L241" s="14"/>
    </row>
    <row r="242" spans="12:12" ht="20.399999999999999" x14ac:dyDescent="0.25">
      <c r="L242" s="14"/>
    </row>
    <row r="243" spans="12:12" ht="20.399999999999999" x14ac:dyDescent="0.25">
      <c r="L243" s="14"/>
    </row>
    <row r="244" spans="12:12" ht="20.399999999999999" x14ac:dyDescent="0.25">
      <c r="L244" s="14"/>
    </row>
    <row r="245" spans="12:12" ht="20.399999999999999" x14ac:dyDescent="0.25">
      <c r="L245" s="14"/>
    </row>
    <row r="246" spans="12:12" ht="20.399999999999999" x14ac:dyDescent="0.25">
      <c r="L246" s="14"/>
    </row>
    <row r="247" spans="12:12" ht="20.399999999999999" x14ac:dyDescent="0.25">
      <c r="L247" s="14"/>
    </row>
    <row r="248" spans="12:12" ht="20.399999999999999" x14ac:dyDescent="0.25">
      <c r="L248" s="14"/>
    </row>
    <row r="249" spans="12:12" ht="20.399999999999999" x14ac:dyDescent="0.25">
      <c r="L249" s="14"/>
    </row>
    <row r="250" spans="12:12" ht="20.399999999999999" x14ac:dyDescent="0.25">
      <c r="L250" s="14"/>
    </row>
    <row r="251" spans="12:12" ht="20.399999999999999" x14ac:dyDescent="0.25">
      <c r="L251" s="14"/>
    </row>
    <row r="252" spans="12:12" ht="20.399999999999999" x14ac:dyDescent="0.25">
      <c r="L252" s="14"/>
    </row>
    <row r="253" spans="12:12" ht="20.399999999999999" x14ac:dyDescent="0.25">
      <c r="L253" s="14"/>
    </row>
    <row r="254" spans="12:12" ht="20.399999999999999" x14ac:dyDescent="0.25">
      <c r="L254" s="14"/>
    </row>
    <row r="255" spans="12:12" ht="20.399999999999999" x14ac:dyDescent="0.25">
      <c r="L255" s="14"/>
    </row>
    <row r="256" spans="12:12" ht="20.399999999999999" x14ac:dyDescent="0.25">
      <c r="L256" s="14"/>
    </row>
    <row r="257" spans="12:13" ht="20.399999999999999" x14ac:dyDescent="0.25">
      <c r="L257" s="14"/>
    </row>
    <row r="258" spans="12:13" ht="20.399999999999999" x14ac:dyDescent="0.25">
      <c r="L258" s="14"/>
    </row>
    <row r="259" spans="12:13" ht="20.399999999999999" x14ac:dyDescent="0.25">
      <c r="L259" s="14"/>
    </row>
    <row r="260" spans="12:13" ht="20.399999999999999" x14ac:dyDescent="0.25">
      <c r="L260" s="14"/>
    </row>
    <row r="261" spans="12:13" ht="20.399999999999999" x14ac:dyDescent="0.25">
      <c r="L261" s="14"/>
    </row>
    <row r="262" spans="12:13" ht="20.399999999999999" x14ac:dyDescent="0.25">
      <c r="L262" s="14"/>
    </row>
    <row r="263" spans="12:13" ht="20.399999999999999" x14ac:dyDescent="0.25">
      <c r="L263" s="14"/>
    </row>
    <row r="264" spans="12:13" ht="20.399999999999999" x14ac:dyDescent="0.25">
      <c r="L264" s="14"/>
    </row>
    <row r="265" spans="12:13" ht="20.399999999999999" x14ac:dyDescent="0.25">
      <c r="L265" s="14"/>
    </row>
    <row r="266" spans="12:13" ht="20.399999999999999" x14ac:dyDescent="0.25">
      <c r="L266" s="14"/>
    </row>
    <row r="267" spans="12:13" ht="20.399999999999999" x14ac:dyDescent="0.25">
      <c r="L267" s="14"/>
    </row>
    <row r="268" spans="12:13" ht="20.399999999999999" x14ac:dyDescent="0.25">
      <c r="L268" s="14"/>
    </row>
    <row r="269" spans="12:13" x14ac:dyDescent="0.25">
      <c r="M269" s="11"/>
    </row>
    <row r="270" spans="12:13" x14ac:dyDescent="0.25">
      <c r="L270" s="12"/>
    </row>
    <row r="271" spans="12:13" x14ac:dyDescent="0.25">
      <c r="L271" s="12"/>
    </row>
    <row r="272" spans="12:13" x14ac:dyDescent="0.25">
      <c r="L272" s="12"/>
    </row>
    <row r="273" spans="12:12" x14ac:dyDescent="0.25">
      <c r="L273" s="12"/>
    </row>
    <row r="274" spans="12:12" x14ac:dyDescent="0.25">
      <c r="L274" s="12"/>
    </row>
    <row r="275" spans="12:12" x14ac:dyDescent="0.25">
      <c r="L275" s="12"/>
    </row>
    <row r="276" spans="12:12" x14ac:dyDescent="0.25">
      <c r="L276" s="12"/>
    </row>
    <row r="277" spans="12:12" x14ac:dyDescent="0.25">
      <c r="L277" s="12"/>
    </row>
    <row r="278" spans="12:12" x14ac:dyDescent="0.25">
      <c r="L278" s="12"/>
    </row>
    <row r="279" spans="12:12" x14ac:dyDescent="0.25">
      <c r="L279" s="12"/>
    </row>
    <row r="280" spans="12:12" x14ac:dyDescent="0.25">
      <c r="L280" s="12"/>
    </row>
    <row r="281" spans="12:12" x14ac:dyDescent="0.25">
      <c r="L281" s="12"/>
    </row>
    <row r="282" spans="12:12" x14ac:dyDescent="0.25">
      <c r="L282" s="12"/>
    </row>
    <row r="283" spans="12:12" x14ac:dyDescent="0.25">
      <c r="L283" s="12"/>
    </row>
    <row r="284" spans="12:12" x14ac:dyDescent="0.25">
      <c r="L284" s="12"/>
    </row>
    <row r="285" spans="12:12" x14ac:dyDescent="0.25">
      <c r="L285" s="12"/>
    </row>
    <row r="286" spans="12:12" x14ac:dyDescent="0.25">
      <c r="L286" s="12"/>
    </row>
    <row r="287" spans="12:12" x14ac:dyDescent="0.25">
      <c r="L287" s="12"/>
    </row>
    <row r="288" spans="12:12" x14ac:dyDescent="0.25">
      <c r="L288" s="12"/>
    </row>
    <row r="289" spans="12:12" x14ac:dyDescent="0.25">
      <c r="L289" s="12"/>
    </row>
    <row r="290" spans="12:12" x14ac:dyDescent="0.25">
      <c r="L290" s="12"/>
    </row>
    <row r="291" spans="12:12" x14ac:dyDescent="0.25">
      <c r="L291" s="12"/>
    </row>
    <row r="292" spans="12:12" x14ac:dyDescent="0.25">
      <c r="L292" s="12"/>
    </row>
  </sheetData>
  <autoFilter ref="A2:N269" xr:uid="{C05F9277-E941-4F8C-B88B-7443D998D414}">
    <sortState xmlns:xlrd2="http://schemas.microsoft.com/office/spreadsheetml/2017/richdata2" ref="A3:N73">
      <sortCondition ref="G2:G33"/>
    </sortState>
  </autoFilter>
  <conditionalFormatting sqref="J1:J7">
    <cfRule type="containsText" dxfId="54" priority="1" operator="containsText" text="ไม่พบ">
      <formula>NOT(ISERROR(SEARCH("ไม่พบ",J1)))</formula>
    </cfRule>
  </conditionalFormatting>
  <conditionalFormatting sqref="J32:J1048576">
    <cfRule type="containsText" dxfId="53" priority="92" operator="containsText" text="ไม่พบ">
      <formula>NOT(ISERROR(SEARCH("ไม่พบ",J32)))</formula>
    </cfRule>
  </conditionalFormatting>
  <conditionalFormatting sqref="M2">
    <cfRule type="duplicateValues" dxfId="52" priority="5"/>
  </conditionalFormatting>
  <conditionalFormatting sqref="M277:M1048576 M1 L270:L292">
    <cfRule type="duplicateValues" dxfId="51" priority="167"/>
    <cfRule type="duplicateValues" dxfId="50" priority="168"/>
  </conditionalFormatting>
  <conditionalFormatting sqref="N2">
    <cfRule type="duplicateValues" dxfId="49" priority="3"/>
    <cfRule type="duplicateValues" dxfId="48" priority="4"/>
  </conditionalFormatting>
  <dataValidations count="2">
    <dataValidation type="list" allowBlank="1" showInputMessage="1" showErrorMessage="1" sqref="K32:K1048576 K2" xr:uid="{44FF0327-C265-40A0-BCF3-8AAE1D1FA79D}">
      <formula1>#REF!</formula1>
    </dataValidation>
    <dataValidation type="list" allowBlank="1" showInputMessage="1" showErrorMessage="1" sqref="K1" xr:uid="{D4158459-1B38-48EB-954F-43A22384C1C0}">
      <formula1>$M$3:$M$35</formula1>
    </dataValidation>
  </dataValidations>
  <pageMargins left="1.1100000000000001" right="0.25" top="0.25" bottom="0.31" header="0.3" footer="0.3"/>
  <pageSetup paperSize="9" scale="1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646E-19E9-478A-AA43-5E7C91FC03D1}">
  <sheetPr>
    <tabColor rgb="FF00B0F0"/>
  </sheetPr>
  <dimension ref="A1:M58"/>
  <sheetViews>
    <sheetView zoomScale="70" zoomScaleNormal="70" workbookViewId="0">
      <pane xSplit="4" ySplit="2" topLeftCell="E3" activePane="bottomRight" state="frozen"/>
      <selection activeCell="M2" sqref="M2:N57"/>
      <selection pane="topRight" activeCell="M2" sqref="M2:N57"/>
      <selection pane="bottomLeft" activeCell="M2" sqref="M2:N57"/>
      <selection pane="bottomRight" activeCell="H9" sqref="H9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35.19921875" style="12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927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 t="s">
        <v>5880</v>
      </c>
      <c r="C3" s="1" t="s">
        <v>5714</v>
      </c>
      <c r="D3" s="1" t="s">
        <v>989</v>
      </c>
      <c r="E3" s="1" t="s">
        <v>8</v>
      </c>
      <c r="F3" s="1" t="s">
        <v>990</v>
      </c>
      <c r="G3" s="1" t="s">
        <v>5881</v>
      </c>
      <c r="H3" s="1">
        <v>176.4</v>
      </c>
      <c r="I3" s="23" t="s">
        <v>992</v>
      </c>
      <c r="J3" s="30"/>
      <c r="M3" s="30"/>
    </row>
    <row r="4" spans="1:13" s="31" customFormat="1" ht="23.4" x14ac:dyDescent="0.6">
      <c r="A4" s="9">
        <v>2</v>
      </c>
      <c r="B4" s="1" t="s">
        <v>5882</v>
      </c>
      <c r="C4" s="1" t="s">
        <v>5883</v>
      </c>
      <c r="D4" s="1" t="s">
        <v>999</v>
      </c>
      <c r="E4" s="1" t="s">
        <v>5884</v>
      </c>
      <c r="F4" s="1" t="s">
        <v>8</v>
      </c>
      <c r="G4" s="1" t="s">
        <v>5885</v>
      </c>
      <c r="H4" s="1">
        <v>250</v>
      </c>
      <c r="I4" s="23" t="s">
        <v>992</v>
      </c>
      <c r="J4" s="30"/>
      <c r="M4" s="30"/>
    </row>
    <row r="5" spans="1:13" s="31" customFormat="1" ht="23.4" x14ac:dyDescent="0.6">
      <c r="A5" s="9">
        <v>3</v>
      </c>
      <c r="B5" s="1" t="s">
        <v>5886</v>
      </c>
      <c r="C5" s="1" t="s">
        <v>5887</v>
      </c>
      <c r="D5" s="1" t="s">
        <v>989</v>
      </c>
      <c r="E5" s="1" t="s">
        <v>8</v>
      </c>
      <c r="F5" s="1" t="s">
        <v>990</v>
      </c>
      <c r="G5" s="1" t="s">
        <v>5888</v>
      </c>
      <c r="H5" s="1">
        <v>136.08000000000001</v>
      </c>
      <c r="I5" s="23" t="s">
        <v>992</v>
      </c>
      <c r="J5" s="30"/>
      <c r="M5" s="30"/>
    </row>
    <row r="6" spans="1:13" s="31" customFormat="1" ht="23.4" x14ac:dyDescent="0.6">
      <c r="A6" s="9">
        <v>4</v>
      </c>
      <c r="B6" s="1" t="s">
        <v>5889</v>
      </c>
      <c r="C6" s="1" t="s">
        <v>5890</v>
      </c>
      <c r="D6" s="1" t="s">
        <v>1004</v>
      </c>
      <c r="E6" s="1" t="s">
        <v>5891</v>
      </c>
      <c r="F6" s="1" t="s">
        <v>1006</v>
      </c>
      <c r="G6" s="1" t="s">
        <v>5892</v>
      </c>
      <c r="H6" s="1">
        <v>145</v>
      </c>
      <c r="I6" s="23" t="s">
        <v>992</v>
      </c>
      <c r="J6" s="30"/>
      <c r="M6" s="30"/>
    </row>
    <row r="7" spans="1:13" s="31" customFormat="1" ht="23.4" x14ac:dyDescent="0.6">
      <c r="A7" s="9">
        <v>5</v>
      </c>
      <c r="B7" s="1" t="s">
        <v>5893</v>
      </c>
      <c r="C7" s="1" t="s">
        <v>5894</v>
      </c>
      <c r="D7" s="1" t="s">
        <v>1004</v>
      </c>
      <c r="E7" s="1" t="s">
        <v>5895</v>
      </c>
      <c r="F7" s="1" t="s">
        <v>1006</v>
      </c>
      <c r="G7" s="1" t="s">
        <v>5896</v>
      </c>
      <c r="H7" s="1">
        <v>300</v>
      </c>
      <c r="I7" s="23" t="s">
        <v>992</v>
      </c>
      <c r="J7" s="30"/>
      <c r="M7" s="30"/>
    </row>
    <row r="8" spans="1:13" s="31" customFormat="1" ht="27" thickBot="1" x14ac:dyDescent="0.75">
      <c r="A8" s="12"/>
      <c r="B8" s="12"/>
      <c r="C8" s="12"/>
      <c r="D8" s="12"/>
      <c r="E8" s="12"/>
      <c r="F8" s="12"/>
      <c r="G8" s="25" t="s">
        <v>28</v>
      </c>
      <c r="H8" s="26">
        <f>SUM(H3:H7)</f>
        <v>1007.48</v>
      </c>
      <c r="I8" s="16" t="s">
        <v>47</v>
      </c>
      <c r="J8" s="30"/>
      <c r="M8" s="30"/>
    </row>
    <row r="9" spans="1:13" s="31" customFormat="1" ht="21" thickTop="1" x14ac:dyDescent="0.35">
      <c r="A9" s="12"/>
      <c r="B9" s="12"/>
      <c r="C9" s="12"/>
      <c r="D9" s="12"/>
      <c r="E9" s="12"/>
      <c r="F9" s="12"/>
      <c r="G9" s="12"/>
      <c r="H9" s="12"/>
      <c r="I9" s="12"/>
      <c r="J9" s="30"/>
      <c r="M9" s="30"/>
    </row>
    <row r="10" spans="1:13" s="31" customFormat="1" ht="20.399999999999999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30"/>
      <c r="M10" s="30"/>
    </row>
    <row r="11" spans="1:13" s="31" customFormat="1" ht="20.399999999999999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30"/>
      <c r="M11" s="30"/>
    </row>
    <row r="12" spans="1:13" s="31" customFormat="1" ht="20.399999999999999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30"/>
      <c r="M12" s="30"/>
    </row>
    <row r="13" spans="1:13" s="31" customFormat="1" ht="20.399999999999999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30"/>
      <c r="M13" s="30"/>
    </row>
    <row r="14" spans="1:13" s="31" customFormat="1" ht="20.39999999999999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30"/>
      <c r="M14" s="30"/>
    </row>
    <row r="15" spans="1:13" s="31" customFormat="1" ht="20.39999999999999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30"/>
      <c r="M15" s="30"/>
    </row>
    <row r="16" spans="1:13" s="31" customFormat="1" ht="20.39999999999999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30"/>
      <c r="M16" s="30"/>
    </row>
    <row r="17" spans="1:13" s="31" customFormat="1" ht="20.39999999999999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30"/>
      <c r="M17" s="30"/>
    </row>
    <row r="18" spans="1:13" s="31" customFormat="1" ht="20.39999999999999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30"/>
      <c r="M18" s="30"/>
    </row>
    <row r="19" spans="1:13" s="31" customFormat="1" ht="20.39999999999999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30"/>
      <c r="M19" s="30"/>
    </row>
    <row r="20" spans="1:13" s="31" customFormat="1" ht="20.399999999999999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30"/>
      <c r="M20" s="30"/>
    </row>
    <row r="21" spans="1:13" s="31" customFormat="1" ht="20.399999999999999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30"/>
      <c r="M21" s="30"/>
    </row>
    <row r="22" spans="1:13" s="31" customFormat="1" ht="20.399999999999999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30"/>
      <c r="M22" s="30"/>
    </row>
    <row r="23" spans="1:13" s="31" customFormat="1" ht="20.39999999999999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30"/>
      <c r="M23" s="30"/>
    </row>
    <row r="24" spans="1:13" s="31" customFormat="1" ht="20.399999999999999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30"/>
      <c r="M24" s="30"/>
    </row>
    <row r="25" spans="1:13" s="31" customFormat="1" ht="20.399999999999999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30"/>
      <c r="M25" s="30"/>
    </row>
    <row r="26" spans="1:13" s="31" customFormat="1" ht="20.399999999999999" x14ac:dyDescent="0.35">
      <c r="A26" s="12"/>
      <c r="B26" s="12"/>
      <c r="C26" s="12"/>
      <c r="D26" s="12"/>
      <c r="E26" s="12"/>
      <c r="F26" s="12"/>
      <c r="G26" s="12"/>
      <c r="H26" s="12"/>
      <c r="I26" s="12"/>
      <c r="L26" s="30"/>
    </row>
    <row r="27" spans="1:13" s="31" customFormat="1" ht="20.399999999999999" x14ac:dyDescent="0.35">
      <c r="A27" s="12"/>
      <c r="B27" s="12"/>
      <c r="C27" s="12"/>
      <c r="D27" s="12"/>
      <c r="E27" s="12"/>
      <c r="F27" s="12"/>
      <c r="G27" s="12"/>
      <c r="H27" s="12"/>
      <c r="I27" s="12"/>
      <c r="L27" s="30"/>
    </row>
    <row r="28" spans="1:13" s="31" customFormat="1" ht="20.399999999999999" x14ac:dyDescent="0.35">
      <c r="A28" s="12"/>
      <c r="B28" s="12"/>
      <c r="C28" s="12"/>
      <c r="D28" s="12"/>
      <c r="E28" s="12"/>
      <c r="F28" s="12"/>
      <c r="G28" s="12"/>
      <c r="H28" s="12"/>
      <c r="I28" s="12"/>
      <c r="L28" s="30"/>
    </row>
    <row r="29" spans="1:13" s="31" customFormat="1" ht="20.399999999999999" x14ac:dyDescent="0.35">
      <c r="A29" s="12"/>
      <c r="B29" s="12"/>
      <c r="C29" s="12"/>
      <c r="D29" s="12"/>
      <c r="E29" s="12"/>
      <c r="F29" s="12"/>
      <c r="G29" s="12"/>
      <c r="H29" s="12"/>
      <c r="I29" s="12"/>
      <c r="L29" s="30"/>
    </row>
    <row r="30" spans="1:13" s="31" customFormat="1" ht="20.399999999999999" x14ac:dyDescent="0.35">
      <c r="A30" s="12"/>
      <c r="B30" s="12"/>
      <c r="C30" s="12"/>
      <c r="D30" s="12"/>
      <c r="E30" s="12"/>
      <c r="F30" s="12"/>
      <c r="G30" s="12"/>
      <c r="H30" s="12"/>
      <c r="I30" s="12"/>
      <c r="L30" s="30"/>
    </row>
    <row r="31" spans="1:13" s="31" customFormat="1" ht="20.399999999999999" x14ac:dyDescent="0.35">
      <c r="A31" s="12"/>
      <c r="B31" s="12"/>
      <c r="C31" s="12"/>
      <c r="D31" s="12"/>
      <c r="E31" s="12"/>
      <c r="F31" s="12"/>
      <c r="G31" s="12"/>
      <c r="H31" s="12"/>
      <c r="I31" s="12"/>
      <c r="L31" s="30"/>
    </row>
    <row r="32" spans="1:13" s="31" customFormat="1" ht="20.399999999999999" x14ac:dyDescent="0.35">
      <c r="A32" s="12"/>
      <c r="B32" s="12"/>
      <c r="C32" s="12"/>
      <c r="D32" s="12"/>
      <c r="E32" s="12"/>
      <c r="F32" s="12"/>
      <c r="G32" s="12"/>
      <c r="H32" s="12"/>
      <c r="I32" s="12"/>
      <c r="L32" s="30"/>
    </row>
    <row r="33" spans="1:12" s="31" customFormat="1" ht="20.399999999999999" x14ac:dyDescent="0.35">
      <c r="A33" s="12"/>
      <c r="B33" s="12"/>
      <c r="C33" s="12"/>
      <c r="D33" s="12"/>
      <c r="E33" s="12"/>
      <c r="F33" s="12"/>
      <c r="G33" s="12"/>
      <c r="H33" s="12"/>
      <c r="I33" s="12"/>
      <c r="L33" s="30"/>
    </row>
    <row r="34" spans="1:12" s="31" customFormat="1" ht="20.399999999999999" x14ac:dyDescent="0.35">
      <c r="A34" s="12"/>
      <c r="B34" s="12"/>
      <c r="C34" s="12"/>
      <c r="D34" s="12"/>
      <c r="E34" s="12"/>
      <c r="F34" s="12"/>
      <c r="G34" s="12"/>
      <c r="H34" s="12"/>
      <c r="I34" s="12"/>
      <c r="L34" s="30"/>
    </row>
    <row r="35" spans="1:12" s="31" customFormat="1" ht="20.399999999999999" x14ac:dyDescent="0.35">
      <c r="A35" s="12"/>
      <c r="B35" s="12"/>
      <c r="C35" s="12"/>
      <c r="D35" s="12"/>
      <c r="E35" s="12"/>
      <c r="F35" s="12"/>
      <c r="G35" s="12"/>
      <c r="H35" s="12"/>
      <c r="I35" s="12"/>
      <c r="L35" s="30"/>
    </row>
    <row r="36" spans="1:12" s="31" customFormat="1" ht="20.399999999999999" x14ac:dyDescent="0.35">
      <c r="A36" s="12"/>
      <c r="B36" s="12"/>
      <c r="C36" s="12"/>
      <c r="D36" s="12"/>
      <c r="E36" s="12"/>
      <c r="F36" s="12"/>
      <c r="G36" s="12"/>
      <c r="H36" s="12"/>
      <c r="I36" s="12"/>
      <c r="L36" s="30"/>
    </row>
    <row r="37" spans="1:12" s="31" customFormat="1" ht="20.399999999999999" x14ac:dyDescent="0.35">
      <c r="A37" s="12"/>
      <c r="B37" s="12"/>
      <c r="C37" s="12"/>
      <c r="D37" s="12"/>
      <c r="E37" s="12"/>
      <c r="F37" s="12"/>
      <c r="G37" s="12"/>
      <c r="H37" s="12"/>
      <c r="I37" s="12"/>
      <c r="L37" s="30"/>
    </row>
    <row r="38" spans="1:12" s="31" customFormat="1" ht="20.399999999999999" x14ac:dyDescent="0.35">
      <c r="A38" s="12"/>
      <c r="B38" s="12"/>
      <c r="C38" s="12"/>
      <c r="D38" s="12"/>
      <c r="E38" s="12"/>
      <c r="F38" s="12"/>
      <c r="G38" s="12"/>
      <c r="H38" s="12"/>
      <c r="I38" s="12"/>
      <c r="L38" s="30"/>
    </row>
    <row r="39" spans="1:12" s="31" customFormat="1" ht="20.399999999999999" x14ac:dyDescent="0.35">
      <c r="A39" s="12"/>
      <c r="B39" s="12"/>
      <c r="C39" s="12"/>
      <c r="D39" s="12"/>
      <c r="E39" s="12"/>
      <c r="F39" s="12"/>
      <c r="G39" s="12"/>
      <c r="H39" s="12"/>
      <c r="I39" s="12"/>
      <c r="L39" s="30"/>
    </row>
    <row r="40" spans="1:12" s="31" customFormat="1" ht="20.399999999999999" x14ac:dyDescent="0.35">
      <c r="A40" s="12"/>
      <c r="B40" s="12"/>
      <c r="C40" s="12"/>
      <c r="D40" s="12"/>
      <c r="E40" s="12"/>
      <c r="F40" s="12"/>
      <c r="G40" s="12"/>
      <c r="H40" s="12"/>
      <c r="I40" s="12"/>
      <c r="L40" s="30"/>
    </row>
    <row r="41" spans="1:12" s="31" customFormat="1" ht="20.399999999999999" x14ac:dyDescent="0.35">
      <c r="A41" s="12"/>
      <c r="B41" s="12"/>
      <c r="C41" s="12"/>
      <c r="D41" s="12"/>
      <c r="E41" s="12"/>
      <c r="F41" s="12"/>
      <c r="G41" s="12"/>
      <c r="H41" s="12"/>
      <c r="I41" s="12"/>
      <c r="L41" s="30"/>
    </row>
    <row r="42" spans="1:12" s="31" customFormat="1" ht="20.399999999999999" x14ac:dyDescent="0.35">
      <c r="A42" s="12"/>
      <c r="B42" s="12"/>
      <c r="C42" s="12"/>
      <c r="D42" s="12"/>
      <c r="E42" s="12"/>
      <c r="F42" s="12"/>
      <c r="G42" s="12"/>
      <c r="H42" s="12"/>
      <c r="I42" s="12"/>
      <c r="L42" s="30"/>
    </row>
    <row r="43" spans="1:12" s="31" customFormat="1" ht="20.399999999999999" x14ac:dyDescent="0.35">
      <c r="A43" s="12"/>
      <c r="B43" s="12"/>
      <c r="C43" s="12"/>
      <c r="D43" s="12"/>
      <c r="E43" s="12"/>
      <c r="F43" s="12"/>
      <c r="G43" s="12"/>
      <c r="H43" s="12"/>
      <c r="I43" s="12"/>
      <c r="L43" s="30"/>
    </row>
    <row r="44" spans="1:12" s="31" customFormat="1" ht="20.399999999999999" x14ac:dyDescent="0.35">
      <c r="A44" s="12"/>
      <c r="B44" s="12"/>
      <c r="C44" s="12"/>
      <c r="D44" s="12"/>
      <c r="E44" s="12"/>
      <c r="F44" s="12"/>
      <c r="G44" s="12"/>
      <c r="H44" s="12"/>
      <c r="I44" s="12"/>
      <c r="L44" s="30"/>
    </row>
    <row r="45" spans="1:12" s="31" customFormat="1" ht="20.399999999999999" x14ac:dyDescent="0.35">
      <c r="A45" s="12"/>
      <c r="B45" s="12"/>
      <c r="C45" s="12"/>
      <c r="D45" s="12"/>
      <c r="E45" s="12"/>
      <c r="F45" s="12"/>
      <c r="G45" s="12"/>
      <c r="H45" s="12"/>
      <c r="I45" s="12"/>
      <c r="L45" s="30"/>
    </row>
    <row r="46" spans="1:12" s="31" customFormat="1" ht="20.399999999999999" x14ac:dyDescent="0.35">
      <c r="A46" s="12"/>
      <c r="B46" s="12"/>
      <c r="C46" s="12"/>
      <c r="D46" s="12"/>
      <c r="E46" s="12"/>
      <c r="F46" s="12"/>
      <c r="G46" s="12"/>
      <c r="H46" s="12"/>
      <c r="I46" s="12"/>
      <c r="L46" s="30"/>
    </row>
    <row r="47" spans="1:12" s="31" customFormat="1" ht="20.399999999999999" x14ac:dyDescent="0.35">
      <c r="A47" s="12"/>
      <c r="B47" s="12"/>
      <c r="C47" s="12"/>
      <c r="D47" s="12"/>
      <c r="E47" s="12"/>
      <c r="F47" s="12"/>
      <c r="G47" s="12"/>
      <c r="H47" s="12"/>
      <c r="I47" s="12"/>
      <c r="L47" s="30"/>
    </row>
    <row r="48" spans="1:12" s="31" customFormat="1" ht="20.399999999999999" x14ac:dyDescent="0.35">
      <c r="A48" s="12"/>
      <c r="B48" s="12"/>
      <c r="C48" s="12"/>
      <c r="D48" s="12"/>
      <c r="E48" s="12"/>
      <c r="F48" s="12"/>
      <c r="G48" s="12"/>
      <c r="H48" s="12"/>
      <c r="I48" s="12"/>
      <c r="L48" s="30"/>
    </row>
    <row r="49" spans="1:13" s="31" customFormat="1" ht="20.399999999999999" x14ac:dyDescent="0.35">
      <c r="A49" s="12"/>
      <c r="B49" s="12"/>
      <c r="C49" s="12"/>
      <c r="D49" s="12"/>
      <c r="E49" s="12"/>
      <c r="F49" s="12"/>
      <c r="G49" s="12"/>
      <c r="H49" s="12"/>
      <c r="I49" s="12"/>
      <c r="L49" s="30"/>
    </row>
    <row r="50" spans="1:13" s="31" customFormat="1" ht="20.399999999999999" x14ac:dyDescent="0.35">
      <c r="A50" s="12"/>
      <c r="B50" s="12"/>
      <c r="C50" s="12"/>
      <c r="D50" s="12"/>
      <c r="E50" s="12"/>
      <c r="F50" s="12"/>
      <c r="G50" s="12"/>
      <c r="H50" s="12"/>
      <c r="I50" s="12"/>
      <c r="L50" s="30"/>
    </row>
    <row r="51" spans="1:13" s="31" customFormat="1" ht="20.399999999999999" x14ac:dyDescent="0.35">
      <c r="A51" s="12"/>
      <c r="B51" s="12"/>
      <c r="C51" s="12"/>
      <c r="D51" s="12"/>
      <c r="E51" s="12"/>
      <c r="F51" s="12"/>
      <c r="G51" s="12"/>
      <c r="H51" s="12"/>
      <c r="I51" s="12"/>
      <c r="L51" s="30"/>
    </row>
    <row r="52" spans="1:13" s="31" customFormat="1" ht="20.399999999999999" x14ac:dyDescent="0.35">
      <c r="A52" s="12"/>
      <c r="B52" s="12"/>
      <c r="C52" s="12"/>
      <c r="D52" s="12"/>
      <c r="E52" s="12"/>
      <c r="F52" s="12"/>
      <c r="G52" s="12"/>
      <c r="H52" s="12"/>
      <c r="I52" s="12"/>
      <c r="L52" s="30"/>
    </row>
    <row r="53" spans="1:13" s="31" customFormat="1" ht="20.399999999999999" x14ac:dyDescent="0.35">
      <c r="A53" s="12"/>
      <c r="B53" s="12"/>
      <c r="C53" s="12"/>
      <c r="D53" s="12"/>
      <c r="E53" s="12"/>
      <c r="F53" s="12"/>
      <c r="G53" s="12"/>
      <c r="H53" s="12"/>
      <c r="I53" s="12"/>
      <c r="L53" s="30"/>
    </row>
    <row r="54" spans="1:13" s="31" customFormat="1" ht="20.399999999999999" x14ac:dyDescent="0.35">
      <c r="A54" s="12"/>
      <c r="B54" s="12"/>
      <c r="C54" s="12"/>
      <c r="D54" s="12"/>
      <c r="E54" s="12"/>
      <c r="F54" s="12"/>
      <c r="G54" s="12"/>
      <c r="H54" s="12"/>
      <c r="I54" s="12"/>
      <c r="L54" s="30"/>
    </row>
    <row r="55" spans="1:13" s="31" customFormat="1" ht="20.399999999999999" x14ac:dyDescent="0.35">
      <c r="A55" s="12"/>
      <c r="B55" s="12"/>
      <c r="C55" s="12"/>
      <c r="D55" s="12"/>
      <c r="E55" s="12"/>
      <c r="F55" s="12"/>
      <c r="G55" s="12"/>
      <c r="H55" s="12"/>
      <c r="I55" s="12"/>
      <c r="L55" s="30"/>
    </row>
    <row r="56" spans="1:13" s="31" customFormat="1" ht="20.399999999999999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30"/>
      <c r="M56" s="30"/>
    </row>
    <row r="57" spans="1:13" s="31" customFormat="1" ht="20.399999999999999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30"/>
      <c r="M57" s="30"/>
    </row>
    <row r="58" spans="1:13" s="31" customFormat="1" ht="20.399999999999999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30"/>
      <c r="M58" s="30"/>
    </row>
  </sheetData>
  <autoFilter ref="B2:J22" xr:uid="{418B859D-9AEE-4DBC-84AA-2E90E0A86546}"/>
  <conditionalFormatting sqref="H8">
    <cfRule type="containsText" dxfId="47" priority="1" operator="containsText" text="ไม่พบ">
      <formula>NOT(ISERROR(SEARCH("ไม่พบ",H8)))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05A8-28E1-48B6-B4F0-64885B62EC5E}">
  <sheetPr>
    <tabColor rgb="FFFF99FF"/>
    <pageSetUpPr fitToPage="1"/>
  </sheetPr>
  <dimension ref="A1:N124"/>
  <sheetViews>
    <sheetView zoomScale="55" zoomScaleNormal="55" workbookViewId="0">
      <pane xSplit="6" ySplit="2" topLeftCell="J3" activePane="bottomRight" state="frozen"/>
      <selection activeCell="N57" sqref="M1:N57"/>
      <selection pane="topRight" activeCell="N57" sqref="M1:N57"/>
      <selection pane="bottomLeft" activeCell="N57" sqref="M1:N57"/>
      <selection pane="bottomRight" activeCell="B28" sqref="B28"/>
    </sheetView>
  </sheetViews>
  <sheetFormatPr defaultColWidth="54.69921875" defaultRowHeight="13.8" x14ac:dyDescent="0.25"/>
  <cols>
    <col min="1" max="1" width="11.796875" style="12" customWidth="1"/>
    <col min="2" max="2" width="15.69921875" style="11" bestFit="1" customWidth="1"/>
    <col min="3" max="3" width="30.296875" style="11" bestFit="1" customWidth="1"/>
    <col min="4" max="4" width="16.19921875" style="11" customWidth="1"/>
    <col min="5" max="5" width="29.296875" style="11" customWidth="1"/>
    <col min="6" max="6" width="21.296875" style="11" customWidth="1"/>
    <col min="7" max="7" width="17.296875" style="11" customWidth="1"/>
    <col min="8" max="8" width="10.09765625" style="11" bestFit="1" customWidth="1"/>
    <col min="9" max="9" width="31.8984375" style="37" bestFit="1" customWidth="1"/>
    <col min="10" max="10" width="11" style="11" customWidth="1"/>
    <col min="11" max="11" width="74.796875" style="12" customWidth="1"/>
    <col min="12" max="12" width="14.69921875" style="11" customWidth="1"/>
    <col min="13" max="13" width="74.796875" style="12" customWidth="1"/>
    <col min="14" max="14" width="17.19921875" style="11" bestFit="1" customWidth="1"/>
    <col min="15" max="16384" width="54.69921875" style="11"/>
  </cols>
  <sheetData>
    <row r="1" spans="1:14" ht="60" customHeight="1" thickBot="1" x14ac:dyDescent="0.75">
      <c r="A1" s="8" t="s">
        <v>925</v>
      </c>
      <c r="I1" s="87" t="s">
        <v>46</v>
      </c>
      <c r="J1" s="26">
        <f>SUBTOTAL(9,J3:J11)</f>
        <v>315</v>
      </c>
      <c r="K1" s="88" t="s">
        <v>47</v>
      </c>
    </row>
    <row r="2" spans="1:14" ht="29.4" thickTop="1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42</v>
      </c>
      <c r="J2" s="6" t="s">
        <v>43</v>
      </c>
      <c r="K2" s="7" t="s">
        <v>7</v>
      </c>
      <c r="M2" s="7" t="s">
        <v>19</v>
      </c>
      <c r="N2" s="7" t="s">
        <v>21</v>
      </c>
    </row>
    <row r="3" spans="1:14" s="14" customFormat="1" ht="25.8" x14ac:dyDescent="0.25">
      <c r="A3" s="13">
        <v>1</v>
      </c>
      <c r="B3" s="1" t="s">
        <v>5771</v>
      </c>
      <c r="C3" s="1" t="s">
        <v>5772</v>
      </c>
      <c r="D3" s="1" t="s">
        <v>945</v>
      </c>
      <c r="E3" s="1" t="s">
        <v>8</v>
      </c>
      <c r="F3" s="1" t="s">
        <v>946</v>
      </c>
      <c r="G3" s="1" t="s">
        <v>5773</v>
      </c>
      <c r="H3" s="1">
        <v>0</v>
      </c>
      <c r="I3" s="2" t="s">
        <v>5774</v>
      </c>
      <c r="J3" s="2">
        <v>45</v>
      </c>
      <c r="K3" s="2" t="s">
        <v>10</v>
      </c>
      <c r="M3" s="42" t="s">
        <v>10</v>
      </c>
      <c r="N3" s="34">
        <v>1</v>
      </c>
    </row>
    <row r="4" spans="1:14" s="14" customFormat="1" ht="25.8" x14ac:dyDescent="0.25">
      <c r="A4" s="13">
        <v>2</v>
      </c>
      <c r="B4" s="1" t="s">
        <v>5805</v>
      </c>
      <c r="C4" s="1" t="s">
        <v>5749</v>
      </c>
      <c r="D4" s="1" t="s">
        <v>945</v>
      </c>
      <c r="E4" s="1" t="s">
        <v>8</v>
      </c>
      <c r="F4" s="1" t="s">
        <v>946</v>
      </c>
      <c r="G4" s="1" t="s">
        <v>5806</v>
      </c>
      <c r="H4" s="1">
        <v>0</v>
      </c>
      <c r="I4" s="2" t="s">
        <v>5807</v>
      </c>
      <c r="J4" s="2">
        <v>45</v>
      </c>
      <c r="K4" s="2" t="s">
        <v>14</v>
      </c>
      <c r="M4" s="42" t="s">
        <v>13</v>
      </c>
      <c r="N4" s="34">
        <v>0</v>
      </c>
    </row>
    <row r="5" spans="1:14" s="14" customFormat="1" ht="25.8" x14ac:dyDescent="0.25">
      <c r="A5" s="13">
        <v>3</v>
      </c>
      <c r="B5" s="1" t="s">
        <v>5808</v>
      </c>
      <c r="C5" s="1" t="s">
        <v>5809</v>
      </c>
      <c r="D5" s="1" t="s">
        <v>1107</v>
      </c>
      <c r="E5" s="1" t="s">
        <v>5810</v>
      </c>
      <c r="F5" s="1" t="s">
        <v>946</v>
      </c>
      <c r="G5" s="1" t="s">
        <v>5811</v>
      </c>
      <c r="H5" s="1">
        <v>0</v>
      </c>
      <c r="I5" s="2" t="s">
        <v>5812</v>
      </c>
      <c r="J5" s="2">
        <v>45</v>
      </c>
      <c r="K5" s="2" t="s">
        <v>69</v>
      </c>
      <c r="M5" s="42" t="s">
        <v>11</v>
      </c>
      <c r="N5" s="34">
        <v>0</v>
      </c>
    </row>
    <row r="6" spans="1:14" s="14" customFormat="1" ht="25.8" x14ac:dyDescent="0.25">
      <c r="A6" s="13">
        <v>4</v>
      </c>
      <c r="B6" s="1" t="s">
        <v>5813</v>
      </c>
      <c r="C6" s="1" t="s">
        <v>5814</v>
      </c>
      <c r="D6" s="1" t="s">
        <v>945</v>
      </c>
      <c r="E6" s="1" t="s">
        <v>5814</v>
      </c>
      <c r="F6" s="1" t="s">
        <v>946</v>
      </c>
      <c r="G6" s="1" t="s">
        <v>5815</v>
      </c>
      <c r="H6" s="1">
        <v>0</v>
      </c>
      <c r="I6" s="2" t="s">
        <v>5816</v>
      </c>
      <c r="J6" s="2">
        <v>45</v>
      </c>
      <c r="K6" s="2" t="s">
        <v>78</v>
      </c>
      <c r="M6" s="42" t="s">
        <v>17</v>
      </c>
      <c r="N6" s="34">
        <v>0</v>
      </c>
    </row>
    <row r="7" spans="1:14" s="14" customFormat="1" ht="25.8" x14ac:dyDescent="0.25">
      <c r="A7" s="13">
        <v>5</v>
      </c>
      <c r="B7" s="1" t="s">
        <v>5817</v>
      </c>
      <c r="C7" s="1" t="s">
        <v>5818</v>
      </c>
      <c r="D7" s="1" t="s">
        <v>945</v>
      </c>
      <c r="E7" s="1" t="s">
        <v>8</v>
      </c>
      <c r="F7" s="1" t="s">
        <v>946</v>
      </c>
      <c r="G7" s="1" t="s">
        <v>5819</v>
      </c>
      <c r="H7" s="1">
        <v>0</v>
      </c>
      <c r="I7" s="2" t="s">
        <v>5820</v>
      </c>
      <c r="J7" s="2">
        <v>45</v>
      </c>
      <c r="K7" s="2" t="s">
        <v>83</v>
      </c>
      <c r="M7" s="42" t="s">
        <v>14</v>
      </c>
      <c r="N7" s="34">
        <v>1</v>
      </c>
    </row>
    <row r="8" spans="1:14" s="14" customFormat="1" ht="25.8" x14ac:dyDescent="0.25">
      <c r="A8" s="13">
        <v>6</v>
      </c>
      <c r="B8" s="1" t="s">
        <v>5821</v>
      </c>
      <c r="C8" s="1" t="s">
        <v>5822</v>
      </c>
      <c r="D8" s="1" t="s">
        <v>945</v>
      </c>
      <c r="E8" s="1" t="s">
        <v>8</v>
      </c>
      <c r="F8" s="1" t="s">
        <v>946</v>
      </c>
      <c r="G8" s="1" t="s">
        <v>5823</v>
      </c>
      <c r="H8" s="1">
        <v>0</v>
      </c>
      <c r="I8" s="2" t="s">
        <v>5824</v>
      </c>
      <c r="J8" s="2">
        <v>45</v>
      </c>
      <c r="K8" s="2" t="s">
        <v>83</v>
      </c>
      <c r="M8" s="42" t="s">
        <v>59</v>
      </c>
      <c r="N8" s="34">
        <v>0</v>
      </c>
    </row>
    <row r="9" spans="1:14" s="14" customFormat="1" ht="25.8" x14ac:dyDescent="0.25">
      <c r="A9" s="13">
        <v>7</v>
      </c>
      <c r="B9" s="1" t="s">
        <v>5829</v>
      </c>
      <c r="C9" s="1" t="s">
        <v>5830</v>
      </c>
      <c r="D9" s="1" t="s">
        <v>945</v>
      </c>
      <c r="E9" s="1" t="s">
        <v>8</v>
      </c>
      <c r="F9" s="1" t="s">
        <v>946</v>
      </c>
      <c r="G9" s="1" t="s">
        <v>5831</v>
      </c>
      <c r="H9" s="1">
        <v>0</v>
      </c>
      <c r="I9" s="2" t="s">
        <v>5832</v>
      </c>
      <c r="J9" s="2">
        <v>45</v>
      </c>
      <c r="K9" s="2" t="s">
        <v>62</v>
      </c>
      <c r="M9" s="42" t="s">
        <v>51</v>
      </c>
      <c r="N9" s="34">
        <v>0</v>
      </c>
    </row>
    <row r="10" spans="1:14" s="14" customFormat="1" ht="25.8" x14ac:dyDescent="0.25">
      <c r="A10" s="13">
        <v>8</v>
      </c>
      <c r="B10" s="1" t="s">
        <v>5844</v>
      </c>
      <c r="C10" s="1" t="s">
        <v>5845</v>
      </c>
      <c r="D10" s="1" t="s">
        <v>945</v>
      </c>
      <c r="E10" s="1" t="s">
        <v>8</v>
      </c>
      <c r="F10" s="1" t="s">
        <v>946</v>
      </c>
      <c r="G10" s="1" t="s">
        <v>5846</v>
      </c>
      <c r="H10" s="1">
        <v>0</v>
      </c>
      <c r="I10" s="2" t="s">
        <v>5847</v>
      </c>
      <c r="J10" s="2" t="s">
        <v>5851</v>
      </c>
      <c r="K10" s="2" t="s">
        <v>62</v>
      </c>
      <c r="M10" s="42" t="s">
        <v>49</v>
      </c>
      <c r="N10" s="34">
        <v>0</v>
      </c>
    </row>
    <row r="11" spans="1:14" s="14" customFormat="1" ht="25.8" x14ac:dyDescent="0.25">
      <c r="A11" s="13">
        <v>9</v>
      </c>
      <c r="B11" s="1" t="s">
        <v>5848</v>
      </c>
      <c r="C11" s="1" t="s">
        <v>5830</v>
      </c>
      <c r="D11" s="1" t="s">
        <v>945</v>
      </c>
      <c r="E11" s="1" t="s">
        <v>8</v>
      </c>
      <c r="F11" s="1" t="s">
        <v>946</v>
      </c>
      <c r="G11" s="1" t="s">
        <v>5849</v>
      </c>
      <c r="H11" s="1">
        <v>0</v>
      </c>
      <c r="I11" s="2" t="s">
        <v>5850</v>
      </c>
      <c r="J11" s="2" t="s">
        <v>5851</v>
      </c>
      <c r="K11" s="2" t="s">
        <v>62</v>
      </c>
      <c r="M11" s="42" t="s">
        <v>12</v>
      </c>
      <c r="N11" s="34">
        <v>0</v>
      </c>
    </row>
    <row r="12" spans="1:14" s="14" customFormat="1" ht="26.4" x14ac:dyDescent="0.25">
      <c r="A12" s="12"/>
      <c r="B12" s="11"/>
      <c r="C12" s="11"/>
      <c r="D12" s="11"/>
      <c r="E12" s="11"/>
      <c r="F12" s="11"/>
      <c r="G12" s="11"/>
      <c r="H12" s="11"/>
      <c r="I12" s="38"/>
      <c r="J12" s="38"/>
      <c r="K12" s="36"/>
      <c r="M12" s="42" t="s">
        <v>15</v>
      </c>
      <c r="N12" s="34">
        <v>0</v>
      </c>
    </row>
    <row r="13" spans="1:14" s="14" customFormat="1" ht="25.8" x14ac:dyDescent="0.25">
      <c r="A13" s="12"/>
      <c r="B13" s="11"/>
      <c r="C13" s="11"/>
      <c r="D13" s="11"/>
      <c r="E13" s="11"/>
      <c r="F13" s="11"/>
      <c r="G13" s="11"/>
      <c r="H13" s="11"/>
      <c r="I13" s="39"/>
      <c r="J13" s="12"/>
      <c r="K13" s="11"/>
      <c r="M13" s="42" t="s">
        <v>60</v>
      </c>
      <c r="N13" s="34">
        <v>0</v>
      </c>
    </row>
    <row r="14" spans="1:14" s="14" customFormat="1" ht="25.8" x14ac:dyDescent="0.25">
      <c r="A14" s="12"/>
      <c r="B14" s="11"/>
      <c r="C14" s="11"/>
      <c r="D14" s="11"/>
      <c r="E14" s="11"/>
      <c r="F14" s="11"/>
      <c r="G14" s="11"/>
      <c r="H14" s="11"/>
      <c r="I14" s="37"/>
      <c r="J14" s="11"/>
      <c r="K14" s="12"/>
      <c r="M14" s="42" t="s">
        <v>16</v>
      </c>
      <c r="N14" s="34">
        <v>0</v>
      </c>
    </row>
    <row r="15" spans="1:14" s="14" customFormat="1" ht="25.8" x14ac:dyDescent="0.25">
      <c r="A15" s="12"/>
      <c r="B15" s="11"/>
      <c r="C15" s="11"/>
      <c r="D15" s="11"/>
      <c r="E15" s="11"/>
      <c r="F15" s="11"/>
      <c r="G15" s="11"/>
      <c r="H15" s="11"/>
      <c r="I15" s="37"/>
      <c r="J15" s="11"/>
      <c r="K15" s="12"/>
      <c r="M15" s="42" t="s">
        <v>61</v>
      </c>
      <c r="N15" s="34">
        <v>0</v>
      </c>
    </row>
    <row r="16" spans="1:14" s="14" customFormat="1" ht="25.8" x14ac:dyDescent="0.25">
      <c r="A16" s="12"/>
      <c r="B16" s="11"/>
      <c r="C16" s="11"/>
      <c r="D16" s="11"/>
      <c r="E16" s="11"/>
      <c r="F16" s="11"/>
      <c r="G16" s="11"/>
      <c r="H16" s="11"/>
      <c r="I16" s="37"/>
      <c r="J16" s="11"/>
      <c r="K16" s="12"/>
      <c r="M16" s="42" t="s">
        <v>62</v>
      </c>
      <c r="N16" s="34">
        <v>3</v>
      </c>
    </row>
    <row r="17" spans="1:14" s="14" customFormat="1" ht="25.8" x14ac:dyDescent="0.25">
      <c r="A17" s="12"/>
      <c r="B17" s="11"/>
      <c r="C17" s="11"/>
      <c r="D17" s="11"/>
      <c r="E17" s="11"/>
      <c r="F17" s="11"/>
      <c r="G17" s="11"/>
      <c r="H17" s="11"/>
      <c r="I17" s="37"/>
      <c r="J17" s="11"/>
      <c r="K17" s="12"/>
      <c r="M17" s="42" t="s">
        <v>53</v>
      </c>
      <c r="N17" s="34">
        <v>0</v>
      </c>
    </row>
    <row r="18" spans="1:14" s="14" customFormat="1" ht="25.8" x14ac:dyDescent="0.25">
      <c r="A18" s="12"/>
      <c r="B18" s="11"/>
      <c r="C18" s="11"/>
      <c r="D18" s="11"/>
      <c r="E18" s="11"/>
      <c r="F18" s="11"/>
      <c r="G18" s="11"/>
      <c r="H18" s="11"/>
      <c r="I18" s="37"/>
      <c r="J18" s="11"/>
      <c r="K18" s="12"/>
      <c r="M18" s="42" t="s">
        <v>63</v>
      </c>
      <c r="N18" s="34">
        <v>0</v>
      </c>
    </row>
    <row r="19" spans="1:14" s="14" customFormat="1" ht="25.8" x14ac:dyDescent="0.25">
      <c r="A19" s="12"/>
      <c r="B19" s="11"/>
      <c r="C19" s="11"/>
      <c r="D19" s="11"/>
      <c r="E19" s="11"/>
      <c r="F19" s="11"/>
      <c r="G19" s="11"/>
      <c r="H19" s="11"/>
      <c r="I19" s="37"/>
      <c r="J19" s="11"/>
      <c r="K19" s="12"/>
      <c r="M19" s="42" t="s">
        <v>20</v>
      </c>
      <c r="N19" s="34">
        <v>0</v>
      </c>
    </row>
    <row r="20" spans="1:14" s="14" customFormat="1" ht="25.8" x14ac:dyDescent="0.25">
      <c r="A20" s="12"/>
      <c r="B20" s="11"/>
      <c r="C20" s="11"/>
      <c r="D20" s="11"/>
      <c r="E20" s="11"/>
      <c r="F20" s="11"/>
      <c r="G20" s="11"/>
      <c r="H20" s="11"/>
      <c r="I20" s="37"/>
      <c r="J20" s="11"/>
      <c r="K20" s="12"/>
      <c r="M20" s="42" t="s">
        <v>64</v>
      </c>
      <c r="N20" s="34">
        <v>0</v>
      </c>
    </row>
    <row r="21" spans="1:14" s="14" customFormat="1" ht="25.8" x14ac:dyDescent="0.25">
      <c r="A21" s="12"/>
      <c r="B21" s="11"/>
      <c r="C21" s="11"/>
      <c r="D21" s="11"/>
      <c r="E21" s="11"/>
      <c r="F21" s="11"/>
      <c r="G21" s="11"/>
      <c r="H21" s="11"/>
      <c r="I21" s="37"/>
      <c r="J21" s="11"/>
      <c r="K21" s="12"/>
      <c r="M21" s="42" t="s">
        <v>22</v>
      </c>
      <c r="N21" s="34">
        <v>0</v>
      </c>
    </row>
    <row r="22" spans="1:14" s="14" customFormat="1" ht="25.8" x14ac:dyDescent="0.25">
      <c r="A22" s="12"/>
      <c r="B22" s="11"/>
      <c r="C22" s="11"/>
      <c r="D22" s="11"/>
      <c r="E22" s="11"/>
      <c r="F22" s="11"/>
      <c r="G22" s="11"/>
      <c r="H22" s="11"/>
      <c r="I22" s="37"/>
      <c r="J22" s="11"/>
      <c r="K22" s="12"/>
      <c r="M22" s="42" t="s">
        <v>65</v>
      </c>
      <c r="N22" s="34">
        <v>0</v>
      </c>
    </row>
    <row r="23" spans="1:14" s="14" customFormat="1" ht="25.8" x14ac:dyDescent="0.25">
      <c r="A23" s="12"/>
      <c r="B23" s="11"/>
      <c r="C23" s="11"/>
      <c r="D23" s="11"/>
      <c r="E23" s="11"/>
      <c r="F23" s="11"/>
      <c r="G23" s="11"/>
      <c r="H23" s="11"/>
      <c r="I23" s="37"/>
      <c r="J23" s="11"/>
      <c r="K23" s="12"/>
      <c r="M23" s="42" t="s">
        <v>66</v>
      </c>
      <c r="N23" s="34">
        <v>0</v>
      </c>
    </row>
    <row r="24" spans="1:14" s="14" customFormat="1" ht="25.8" x14ac:dyDescent="0.25">
      <c r="A24" s="12"/>
      <c r="B24" s="11"/>
      <c r="C24" s="11"/>
      <c r="D24" s="11"/>
      <c r="E24" s="11"/>
      <c r="F24" s="11"/>
      <c r="G24" s="11"/>
      <c r="H24" s="11"/>
      <c r="I24" s="37"/>
      <c r="J24" s="11"/>
      <c r="K24" s="12"/>
      <c r="M24" s="42" t="s">
        <v>67</v>
      </c>
      <c r="N24" s="34">
        <v>0</v>
      </c>
    </row>
    <row r="25" spans="1:14" s="14" customFormat="1" ht="25.8" x14ac:dyDescent="0.25">
      <c r="A25" s="12"/>
      <c r="B25" s="11"/>
      <c r="C25" s="11"/>
      <c r="D25" s="11"/>
      <c r="E25" s="11"/>
      <c r="F25" s="11"/>
      <c r="G25" s="11"/>
      <c r="H25" s="11"/>
      <c r="I25" s="37"/>
      <c r="J25" s="11"/>
      <c r="K25" s="12"/>
      <c r="M25" s="42" t="s">
        <v>68</v>
      </c>
      <c r="N25" s="34">
        <v>0</v>
      </c>
    </row>
    <row r="26" spans="1:14" s="14" customFormat="1" ht="25.8" x14ac:dyDescent="0.25">
      <c r="A26" s="12"/>
      <c r="B26" s="11"/>
      <c r="C26" s="11"/>
      <c r="D26" s="11"/>
      <c r="E26" s="11"/>
      <c r="F26" s="11"/>
      <c r="G26" s="11"/>
      <c r="H26" s="11"/>
      <c r="I26" s="37"/>
      <c r="J26" s="11"/>
      <c r="K26" s="12"/>
      <c r="M26" s="42" t="s">
        <v>69</v>
      </c>
      <c r="N26" s="34">
        <v>1</v>
      </c>
    </row>
    <row r="27" spans="1:14" s="14" customFormat="1" ht="25.8" x14ac:dyDescent="0.25">
      <c r="A27" s="12"/>
      <c r="B27" s="11"/>
      <c r="C27" s="11"/>
      <c r="D27" s="11"/>
      <c r="E27" s="11"/>
      <c r="F27" s="11"/>
      <c r="G27" s="11"/>
      <c r="H27" s="11"/>
      <c r="I27" s="37"/>
      <c r="J27" s="11"/>
      <c r="K27" s="12"/>
      <c r="M27" s="42" t="s">
        <v>70</v>
      </c>
      <c r="N27" s="34">
        <v>0</v>
      </c>
    </row>
    <row r="28" spans="1:14" s="14" customFormat="1" ht="25.8" x14ac:dyDescent="0.25">
      <c r="A28" s="12"/>
      <c r="B28" s="11"/>
      <c r="C28" s="11"/>
      <c r="D28" s="11"/>
      <c r="E28" s="11"/>
      <c r="F28" s="11"/>
      <c r="G28" s="11"/>
      <c r="H28" s="11"/>
      <c r="I28" s="37"/>
      <c r="J28" s="11"/>
      <c r="K28" s="12"/>
      <c r="M28" s="42" t="s">
        <v>71</v>
      </c>
      <c r="N28" s="34">
        <v>0</v>
      </c>
    </row>
    <row r="29" spans="1:14" s="14" customFormat="1" ht="25.8" x14ac:dyDescent="0.25">
      <c r="A29" s="12"/>
      <c r="B29" s="11"/>
      <c r="C29" s="11"/>
      <c r="D29" s="11"/>
      <c r="E29" s="11"/>
      <c r="F29" s="11"/>
      <c r="G29" s="11"/>
      <c r="H29" s="11"/>
      <c r="I29" s="37"/>
      <c r="J29" s="11"/>
      <c r="K29" s="12"/>
      <c r="M29" s="42" t="s">
        <v>72</v>
      </c>
      <c r="N29" s="34">
        <v>0</v>
      </c>
    </row>
    <row r="30" spans="1:14" s="14" customFormat="1" ht="25.8" x14ac:dyDescent="0.25">
      <c r="A30" s="12"/>
      <c r="B30" s="11"/>
      <c r="C30" s="11"/>
      <c r="D30" s="11"/>
      <c r="E30" s="11"/>
      <c r="F30" s="11"/>
      <c r="G30" s="11"/>
      <c r="H30" s="11"/>
      <c r="I30" s="37"/>
      <c r="J30" s="11"/>
      <c r="K30" s="12"/>
      <c r="M30" s="42" t="s">
        <v>73</v>
      </c>
      <c r="N30" s="34">
        <v>0</v>
      </c>
    </row>
    <row r="31" spans="1:14" s="14" customFormat="1" ht="25.8" x14ac:dyDescent="0.25">
      <c r="A31" s="12"/>
      <c r="B31" s="11"/>
      <c r="C31" s="11"/>
      <c r="D31" s="11"/>
      <c r="E31" s="11"/>
      <c r="F31" s="11"/>
      <c r="G31" s="11"/>
      <c r="H31" s="11"/>
      <c r="I31" s="37"/>
      <c r="J31" s="11"/>
      <c r="K31" s="12"/>
      <c r="M31" s="42" t="s">
        <v>74</v>
      </c>
      <c r="N31" s="34">
        <v>0</v>
      </c>
    </row>
    <row r="32" spans="1:14" s="14" customFormat="1" ht="25.8" x14ac:dyDescent="0.25">
      <c r="A32" s="12"/>
      <c r="B32" s="11"/>
      <c r="C32" s="11"/>
      <c r="D32" s="11"/>
      <c r="E32" s="11"/>
      <c r="F32" s="11"/>
      <c r="G32" s="11"/>
      <c r="H32" s="11"/>
      <c r="I32" s="37"/>
      <c r="J32" s="11"/>
      <c r="K32" s="12"/>
      <c r="M32" s="42" t="s">
        <v>75</v>
      </c>
      <c r="N32" s="34">
        <v>0</v>
      </c>
    </row>
    <row r="33" spans="1:14" s="14" customFormat="1" ht="25.8" x14ac:dyDescent="0.25">
      <c r="A33" s="12"/>
      <c r="B33" s="11"/>
      <c r="C33" s="11"/>
      <c r="D33" s="11"/>
      <c r="E33" s="11"/>
      <c r="F33" s="11"/>
      <c r="G33" s="11"/>
      <c r="H33" s="11"/>
      <c r="I33" s="37"/>
      <c r="J33" s="11"/>
      <c r="K33" s="12"/>
      <c r="M33" s="42" t="s">
        <v>76</v>
      </c>
      <c r="N33" s="34">
        <v>0</v>
      </c>
    </row>
    <row r="34" spans="1:14" s="14" customFormat="1" ht="25.8" x14ac:dyDescent="0.25">
      <c r="A34" s="12"/>
      <c r="B34" s="11"/>
      <c r="C34" s="11"/>
      <c r="D34" s="11"/>
      <c r="E34" s="11"/>
      <c r="F34" s="11"/>
      <c r="G34" s="11"/>
      <c r="H34" s="11"/>
      <c r="I34" s="37"/>
      <c r="J34" s="11"/>
      <c r="K34" s="12"/>
      <c r="M34" s="42" t="s">
        <v>77</v>
      </c>
      <c r="N34" s="34">
        <v>0</v>
      </c>
    </row>
    <row r="35" spans="1:14" s="14" customFormat="1" ht="25.8" x14ac:dyDescent="0.25">
      <c r="A35" s="12"/>
      <c r="B35" s="11"/>
      <c r="C35" s="11"/>
      <c r="D35" s="11"/>
      <c r="E35" s="11"/>
      <c r="F35" s="11"/>
      <c r="G35" s="11"/>
      <c r="H35" s="11"/>
      <c r="I35" s="37"/>
      <c r="J35" s="11"/>
      <c r="K35" s="12"/>
      <c r="M35" s="42" t="s">
        <v>78</v>
      </c>
      <c r="N35" s="34">
        <v>1</v>
      </c>
    </row>
    <row r="36" spans="1:14" s="14" customFormat="1" ht="25.8" x14ac:dyDescent="0.25">
      <c r="A36" s="12"/>
      <c r="B36" s="11"/>
      <c r="C36" s="11"/>
      <c r="D36" s="11"/>
      <c r="E36" s="11"/>
      <c r="F36" s="11"/>
      <c r="G36" s="11"/>
      <c r="H36" s="11"/>
      <c r="I36" s="37"/>
      <c r="J36" s="11"/>
      <c r="K36" s="12"/>
      <c r="M36" s="42" t="s">
        <v>79</v>
      </c>
      <c r="N36" s="34">
        <v>0</v>
      </c>
    </row>
    <row r="37" spans="1:14" s="14" customFormat="1" ht="25.8" x14ac:dyDescent="0.25">
      <c r="A37" s="12"/>
      <c r="B37" s="11"/>
      <c r="C37" s="11"/>
      <c r="D37" s="11"/>
      <c r="E37" s="11"/>
      <c r="F37" s="11"/>
      <c r="G37" s="11"/>
      <c r="H37" s="11"/>
      <c r="I37" s="37"/>
      <c r="J37" s="11"/>
      <c r="K37" s="12"/>
      <c r="M37" s="42" t="s">
        <v>80</v>
      </c>
      <c r="N37" s="34">
        <v>0</v>
      </c>
    </row>
    <row r="38" spans="1:14" s="14" customFormat="1" ht="25.8" x14ac:dyDescent="0.25">
      <c r="A38" s="12"/>
      <c r="B38" s="11"/>
      <c r="C38" s="11"/>
      <c r="D38" s="11"/>
      <c r="E38" s="11"/>
      <c r="F38" s="11"/>
      <c r="G38" s="11"/>
      <c r="H38" s="11"/>
      <c r="I38" s="37"/>
      <c r="J38" s="11"/>
      <c r="K38" s="12"/>
      <c r="M38" s="42" t="s">
        <v>81</v>
      </c>
      <c r="N38" s="34">
        <v>0</v>
      </c>
    </row>
    <row r="39" spans="1:14" s="14" customFormat="1" ht="25.8" x14ac:dyDescent="0.25">
      <c r="A39" s="12"/>
      <c r="B39" s="11"/>
      <c r="C39" s="11"/>
      <c r="D39" s="11"/>
      <c r="E39" s="11"/>
      <c r="F39" s="11"/>
      <c r="G39" s="11"/>
      <c r="H39" s="11"/>
      <c r="I39" s="37"/>
      <c r="J39" s="11"/>
      <c r="K39" s="12"/>
      <c r="M39" s="42" t="s">
        <v>82</v>
      </c>
      <c r="N39" s="34">
        <v>0</v>
      </c>
    </row>
    <row r="40" spans="1:14" s="14" customFormat="1" ht="25.8" x14ac:dyDescent="0.25">
      <c r="A40" s="12"/>
      <c r="B40" s="11"/>
      <c r="C40" s="11"/>
      <c r="D40" s="11"/>
      <c r="E40" s="11"/>
      <c r="F40" s="11"/>
      <c r="G40" s="11"/>
      <c r="H40" s="11"/>
      <c r="I40" s="37"/>
      <c r="J40" s="11"/>
      <c r="K40" s="12"/>
      <c r="M40" s="42" t="s">
        <v>83</v>
      </c>
      <c r="N40" s="34">
        <v>2</v>
      </c>
    </row>
    <row r="41" spans="1:14" s="14" customFormat="1" ht="25.8" x14ac:dyDescent="0.25">
      <c r="A41" s="12"/>
      <c r="B41" s="11"/>
      <c r="C41" s="11"/>
      <c r="D41" s="11"/>
      <c r="E41" s="11"/>
      <c r="F41" s="11"/>
      <c r="G41" s="11"/>
      <c r="H41" s="11"/>
      <c r="I41" s="37"/>
      <c r="J41" s="11"/>
      <c r="K41" s="12"/>
      <c r="M41" s="42" t="s">
        <v>84</v>
      </c>
      <c r="N41" s="34">
        <v>0</v>
      </c>
    </row>
    <row r="42" spans="1:14" s="14" customFormat="1" ht="25.8" x14ac:dyDescent="0.25">
      <c r="A42" s="12"/>
      <c r="B42" s="11"/>
      <c r="C42" s="11"/>
      <c r="D42" s="11"/>
      <c r="E42" s="11"/>
      <c r="F42" s="11"/>
      <c r="G42" s="11"/>
      <c r="H42" s="11"/>
      <c r="I42" s="37"/>
      <c r="J42" s="11"/>
      <c r="K42" s="12"/>
      <c r="M42" s="42" t="s">
        <v>85</v>
      </c>
      <c r="N42" s="34">
        <v>0</v>
      </c>
    </row>
    <row r="43" spans="1:14" s="14" customFormat="1" ht="25.8" x14ac:dyDescent="0.25">
      <c r="A43" s="12"/>
      <c r="B43" s="11"/>
      <c r="C43" s="11"/>
      <c r="D43" s="11"/>
      <c r="E43" s="11"/>
      <c r="F43" s="11"/>
      <c r="G43" s="11"/>
      <c r="H43" s="11"/>
      <c r="I43" s="37"/>
      <c r="J43" s="11"/>
      <c r="K43" s="12"/>
      <c r="M43" s="42" t="s">
        <v>24</v>
      </c>
      <c r="N43" s="34">
        <v>0</v>
      </c>
    </row>
    <row r="44" spans="1:14" s="14" customFormat="1" ht="25.8" x14ac:dyDescent="0.25">
      <c r="A44" s="12"/>
      <c r="B44" s="11"/>
      <c r="C44" s="11"/>
      <c r="D44" s="11"/>
      <c r="E44" s="11"/>
      <c r="F44" s="11"/>
      <c r="G44" s="11"/>
      <c r="H44" s="11"/>
      <c r="I44" s="37"/>
      <c r="J44" s="11"/>
      <c r="K44" s="12"/>
      <c r="M44" s="42" t="s">
        <v>86</v>
      </c>
      <c r="N44" s="34">
        <v>0</v>
      </c>
    </row>
    <row r="45" spans="1:14" s="14" customFormat="1" ht="25.8" x14ac:dyDescent="0.25">
      <c r="A45" s="12"/>
      <c r="B45" s="11"/>
      <c r="C45" s="11"/>
      <c r="D45" s="11"/>
      <c r="E45" s="11"/>
      <c r="F45" s="11"/>
      <c r="G45" s="11"/>
      <c r="H45" s="11"/>
      <c r="I45" s="37"/>
      <c r="J45" s="11"/>
      <c r="K45" s="12"/>
      <c r="M45" s="42" t="s">
        <v>87</v>
      </c>
      <c r="N45" s="34">
        <v>0</v>
      </c>
    </row>
    <row r="46" spans="1:14" s="14" customFormat="1" ht="25.8" x14ac:dyDescent="0.25">
      <c r="A46" s="12"/>
      <c r="B46" s="11"/>
      <c r="C46" s="11"/>
      <c r="D46" s="11"/>
      <c r="E46" s="11"/>
      <c r="F46" s="11"/>
      <c r="G46" s="11"/>
      <c r="H46" s="11"/>
      <c r="I46" s="37"/>
      <c r="J46" s="11"/>
      <c r="K46" s="12"/>
      <c r="M46" s="42" t="s">
        <v>88</v>
      </c>
      <c r="N46" s="34">
        <v>0</v>
      </c>
    </row>
    <row r="47" spans="1:14" s="14" customFormat="1" ht="25.8" x14ac:dyDescent="0.25">
      <c r="A47" s="12"/>
      <c r="B47" s="11"/>
      <c r="C47" s="11"/>
      <c r="D47" s="11"/>
      <c r="E47" s="11"/>
      <c r="F47" s="11"/>
      <c r="G47" s="11"/>
      <c r="H47" s="11"/>
      <c r="I47" s="37"/>
      <c r="J47" s="11"/>
      <c r="K47" s="12"/>
      <c r="M47" s="42" t="s">
        <v>89</v>
      </c>
      <c r="N47" s="34">
        <v>0</v>
      </c>
    </row>
    <row r="48" spans="1:14" s="14" customFormat="1" ht="25.8" x14ac:dyDescent="0.25">
      <c r="A48" s="12"/>
      <c r="B48" s="11"/>
      <c r="C48" s="11"/>
      <c r="D48" s="11"/>
      <c r="E48" s="11"/>
      <c r="F48" s="11"/>
      <c r="G48" s="11"/>
      <c r="H48" s="11"/>
      <c r="I48" s="37"/>
      <c r="J48" s="11"/>
      <c r="K48" s="12"/>
      <c r="M48" s="42" t="s">
        <v>94</v>
      </c>
      <c r="N48" s="34">
        <v>0</v>
      </c>
    </row>
    <row r="49" spans="1:14" s="14" customFormat="1" ht="25.8" x14ac:dyDescent="0.25">
      <c r="A49" s="12"/>
      <c r="B49" s="11"/>
      <c r="C49" s="11"/>
      <c r="D49" s="11"/>
      <c r="E49" s="11"/>
      <c r="F49" s="11"/>
      <c r="G49" s="11"/>
      <c r="H49" s="11"/>
      <c r="I49" s="37"/>
      <c r="J49" s="11"/>
      <c r="K49" s="12"/>
      <c r="M49" s="42" t="s">
        <v>90</v>
      </c>
      <c r="N49" s="34">
        <v>0</v>
      </c>
    </row>
    <row r="50" spans="1:14" s="14" customFormat="1" ht="25.8" x14ac:dyDescent="0.25">
      <c r="A50" s="12"/>
      <c r="B50" s="11"/>
      <c r="C50" s="11"/>
      <c r="D50" s="11"/>
      <c r="E50" s="11"/>
      <c r="F50" s="11"/>
      <c r="G50" s="11"/>
      <c r="H50" s="11"/>
      <c r="I50" s="37"/>
      <c r="J50" s="11"/>
      <c r="K50" s="12"/>
      <c r="M50" s="42" t="s">
        <v>93</v>
      </c>
      <c r="N50" s="34">
        <v>0</v>
      </c>
    </row>
    <row r="51" spans="1:14" s="14" customFormat="1" ht="25.8" x14ac:dyDescent="0.25">
      <c r="A51" s="12"/>
      <c r="B51" s="11"/>
      <c r="C51" s="11"/>
      <c r="D51" s="11"/>
      <c r="E51" s="11"/>
      <c r="F51" s="11"/>
      <c r="G51" s="11"/>
      <c r="H51" s="11"/>
      <c r="I51" s="37"/>
      <c r="J51" s="11"/>
      <c r="K51" s="12"/>
      <c r="M51" s="42" t="s">
        <v>91</v>
      </c>
      <c r="N51" s="34">
        <v>0</v>
      </c>
    </row>
    <row r="52" spans="1:14" s="14" customFormat="1" ht="25.8" x14ac:dyDescent="0.25">
      <c r="A52" s="12"/>
      <c r="B52" s="11"/>
      <c r="C52" s="11"/>
      <c r="D52" s="11"/>
      <c r="E52" s="11"/>
      <c r="F52" s="11"/>
      <c r="G52" s="11"/>
      <c r="H52" s="11"/>
      <c r="I52" s="37"/>
      <c r="J52" s="11"/>
      <c r="K52" s="12"/>
      <c r="M52" s="42" t="s">
        <v>45</v>
      </c>
      <c r="N52" s="34">
        <v>0</v>
      </c>
    </row>
    <row r="53" spans="1:14" s="14" customFormat="1" ht="25.8" x14ac:dyDescent="0.25">
      <c r="A53" s="12"/>
      <c r="B53" s="11"/>
      <c r="C53" s="11"/>
      <c r="D53" s="11"/>
      <c r="E53" s="11"/>
      <c r="F53" s="11"/>
      <c r="G53" s="11"/>
      <c r="H53" s="11"/>
      <c r="I53" s="37"/>
      <c r="J53" s="11"/>
      <c r="K53" s="12"/>
      <c r="M53" s="42" t="s">
        <v>92</v>
      </c>
      <c r="N53" s="34">
        <v>0</v>
      </c>
    </row>
    <row r="54" spans="1:14" s="14" customFormat="1" ht="25.8" x14ac:dyDescent="0.25">
      <c r="A54" s="12"/>
      <c r="B54" s="11"/>
      <c r="C54" s="11"/>
      <c r="D54" s="11"/>
      <c r="E54" s="11"/>
      <c r="F54" s="11"/>
      <c r="G54" s="11"/>
      <c r="H54" s="11"/>
      <c r="I54" s="37"/>
      <c r="J54" s="11"/>
      <c r="K54" s="12"/>
      <c r="M54" s="42" t="s">
        <v>52</v>
      </c>
      <c r="N54" s="34">
        <v>0</v>
      </c>
    </row>
    <row r="55" spans="1:14" s="14" customFormat="1" ht="25.8" x14ac:dyDescent="0.25">
      <c r="A55" s="12"/>
      <c r="B55" s="11"/>
      <c r="C55" s="11"/>
      <c r="D55" s="11"/>
      <c r="E55" s="11"/>
      <c r="F55" s="11"/>
      <c r="G55" s="11"/>
      <c r="H55" s="11"/>
      <c r="I55" s="37"/>
      <c r="J55" s="11"/>
      <c r="K55" s="12"/>
      <c r="M55" s="42" t="s">
        <v>95</v>
      </c>
      <c r="N55" s="34">
        <v>0</v>
      </c>
    </row>
    <row r="56" spans="1:14" s="14" customFormat="1" ht="25.8" x14ac:dyDescent="0.25">
      <c r="A56" s="12"/>
      <c r="B56" s="11"/>
      <c r="C56" s="11"/>
      <c r="D56" s="11"/>
      <c r="E56" s="11"/>
      <c r="F56" s="11"/>
      <c r="G56" s="11"/>
      <c r="H56" s="11"/>
      <c r="I56" s="37"/>
      <c r="J56" s="11"/>
      <c r="K56" s="12"/>
      <c r="M56" s="42" t="s">
        <v>25</v>
      </c>
      <c r="N56" s="34">
        <v>0</v>
      </c>
    </row>
    <row r="57" spans="1:14" s="14" customFormat="1" ht="27" thickBot="1" x14ac:dyDescent="0.3">
      <c r="A57" s="12"/>
      <c r="B57" s="11"/>
      <c r="C57" s="11"/>
      <c r="D57" s="11"/>
      <c r="E57" s="11"/>
      <c r="F57" s="11"/>
      <c r="G57" s="11"/>
      <c r="H57" s="11"/>
      <c r="I57" s="37"/>
      <c r="J57" s="11"/>
      <c r="K57" s="12"/>
      <c r="M57" s="41"/>
      <c r="N57" s="35">
        <f>SUM(N3:N56)</f>
        <v>9</v>
      </c>
    </row>
    <row r="58" spans="1:14" s="14" customFormat="1" ht="21" thickTop="1" x14ac:dyDescent="0.25">
      <c r="A58" s="12"/>
      <c r="B58" s="11"/>
      <c r="C58" s="11"/>
      <c r="D58" s="11"/>
      <c r="E58" s="11"/>
      <c r="F58" s="11"/>
      <c r="G58" s="11"/>
      <c r="H58" s="11"/>
      <c r="I58" s="37"/>
      <c r="J58" s="11"/>
      <c r="K58" s="12"/>
      <c r="M58" s="11"/>
      <c r="N58" s="11"/>
    </row>
    <row r="59" spans="1:14" s="14" customFormat="1" ht="20.399999999999999" x14ac:dyDescent="0.25">
      <c r="A59" s="12"/>
      <c r="B59" s="11"/>
      <c r="C59" s="11"/>
      <c r="D59" s="11"/>
      <c r="E59" s="11"/>
      <c r="F59" s="11"/>
      <c r="G59" s="11"/>
      <c r="H59" s="11"/>
      <c r="I59" s="37"/>
      <c r="J59" s="11"/>
      <c r="K59" s="12"/>
      <c r="M59" s="11"/>
      <c r="N59" s="11"/>
    </row>
    <row r="60" spans="1:14" s="14" customFormat="1" ht="20.399999999999999" x14ac:dyDescent="0.25">
      <c r="A60" s="12"/>
      <c r="B60" s="11"/>
      <c r="C60" s="11"/>
      <c r="D60" s="11"/>
      <c r="E60" s="11"/>
      <c r="F60" s="11"/>
      <c r="G60" s="11"/>
      <c r="H60" s="11"/>
      <c r="I60" s="37"/>
      <c r="J60" s="11"/>
      <c r="K60" s="12"/>
      <c r="M60" s="11"/>
      <c r="N60" s="11"/>
    </row>
    <row r="61" spans="1:14" s="14" customFormat="1" ht="20.399999999999999" x14ac:dyDescent="0.25">
      <c r="A61" s="12"/>
      <c r="B61" s="11"/>
      <c r="C61" s="11"/>
      <c r="D61" s="11"/>
      <c r="E61" s="11"/>
      <c r="F61" s="11"/>
      <c r="G61" s="11"/>
      <c r="H61" s="11"/>
      <c r="I61" s="37"/>
      <c r="J61" s="11"/>
      <c r="K61" s="12"/>
      <c r="M61" s="11"/>
      <c r="N61" s="11"/>
    </row>
    <row r="62" spans="1:14" s="14" customFormat="1" ht="20.399999999999999" x14ac:dyDescent="0.25">
      <c r="A62" s="12"/>
      <c r="B62" s="11"/>
      <c r="C62" s="11"/>
      <c r="D62" s="11"/>
      <c r="E62" s="11"/>
      <c r="F62" s="11"/>
      <c r="G62" s="11"/>
      <c r="H62" s="11"/>
      <c r="I62" s="37"/>
      <c r="J62" s="11"/>
      <c r="K62" s="12"/>
      <c r="M62" s="11"/>
      <c r="N62" s="11"/>
    </row>
    <row r="63" spans="1:14" s="14" customFormat="1" ht="20.399999999999999" x14ac:dyDescent="0.25">
      <c r="A63" s="12"/>
      <c r="B63" s="11"/>
      <c r="C63" s="11"/>
      <c r="D63" s="11"/>
      <c r="E63" s="11"/>
      <c r="F63" s="11"/>
      <c r="G63" s="11"/>
      <c r="H63" s="11"/>
      <c r="I63" s="37"/>
      <c r="J63" s="11"/>
      <c r="K63" s="12"/>
      <c r="M63" s="11"/>
      <c r="N63" s="11"/>
    </row>
    <row r="64" spans="1:14" s="14" customFormat="1" ht="20.399999999999999" x14ac:dyDescent="0.25">
      <c r="A64" s="12"/>
      <c r="B64" s="11"/>
      <c r="C64" s="11"/>
      <c r="D64" s="11"/>
      <c r="E64" s="11"/>
      <c r="F64" s="11"/>
      <c r="G64" s="11"/>
      <c r="H64" s="11"/>
      <c r="I64" s="37"/>
      <c r="J64" s="11"/>
      <c r="K64" s="12"/>
      <c r="M64" s="11"/>
      <c r="N64" s="11"/>
    </row>
    <row r="65" spans="1:14" s="14" customFormat="1" ht="20.399999999999999" x14ac:dyDescent="0.25">
      <c r="A65" s="12"/>
      <c r="B65" s="11"/>
      <c r="C65" s="11"/>
      <c r="D65" s="11"/>
      <c r="E65" s="11"/>
      <c r="F65" s="11"/>
      <c r="G65" s="11"/>
      <c r="H65" s="11"/>
      <c r="I65" s="37"/>
      <c r="J65" s="11"/>
      <c r="K65" s="12"/>
      <c r="M65" s="11"/>
      <c r="N65" s="11"/>
    </row>
    <row r="66" spans="1:14" s="14" customFormat="1" ht="20.399999999999999" x14ac:dyDescent="0.25">
      <c r="A66" s="12"/>
      <c r="B66" s="11"/>
      <c r="C66" s="11"/>
      <c r="D66" s="11"/>
      <c r="E66" s="11"/>
      <c r="F66" s="11"/>
      <c r="G66" s="11"/>
      <c r="H66" s="11"/>
      <c r="I66" s="37"/>
      <c r="J66" s="11"/>
      <c r="K66" s="12"/>
      <c r="M66" s="11"/>
      <c r="N66" s="11"/>
    </row>
    <row r="67" spans="1:14" s="14" customFormat="1" ht="20.399999999999999" x14ac:dyDescent="0.25">
      <c r="A67" s="12"/>
      <c r="B67" s="11"/>
      <c r="C67" s="11"/>
      <c r="D67" s="11"/>
      <c r="E67" s="11"/>
      <c r="F67" s="11"/>
      <c r="G67" s="11"/>
      <c r="H67" s="11"/>
      <c r="I67" s="37"/>
      <c r="J67" s="11"/>
      <c r="K67" s="12"/>
      <c r="M67" s="11"/>
      <c r="N67" s="11"/>
    </row>
    <row r="68" spans="1:14" s="14" customFormat="1" ht="20.399999999999999" x14ac:dyDescent="0.25">
      <c r="A68" s="12"/>
      <c r="B68" s="11"/>
      <c r="C68" s="11"/>
      <c r="D68" s="11"/>
      <c r="E68" s="11"/>
      <c r="F68" s="11"/>
      <c r="G68" s="11"/>
      <c r="H68" s="11"/>
      <c r="I68" s="37"/>
      <c r="J68" s="11"/>
      <c r="K68" s="12"/>
      <c r="M68" s="11"/>
      <c r="N68" s="11"/>
    </row>
    <row r="69" spans="1:14" s="14" customFormat="1" ht="20.399999999999999" x14ac:dyDescent="0.25">
      <c r="A69" s="12"/>
      <c r="B69" s="11"/>
      <c r="C69" s="11"/>
      <c r="D69" s="11"/>
      <c r="E69" s="11"/>
      <c r="F69" s="11"/>
      <c r="G69" s="11"/>
      <c r="H69" s="11"/>
      <c r="I69" s="37"/>
      <c r="J69" s="11"/>
      <c r="K69" s="12"/>
      <c r="M69" s="11"/>
      <c r="N69" s="11"/>
    </row>
    <row r="70" spans="1:14" s="14" customFormat="1" ht="20.399999999999999" x14ac:dyDescent="0.25">
      <c r="A70" s="12"/>
      <c r="B70" s="11"/>
      <c r="C70" s="11"/>
      <c r="D70" s="11"/>
      <c r="E70" s="11"/>
      <c r="F70" s="11"/>
      <c r="G70" s="11"/>
      <c r="H70" s="11"/>
      <c r="I70" s="37"/>
      <c r="J70" s="11"/>
      <c r="K70" s="12"/>
      <c r="M70" s="11"/>
      <c r="N70" s="11"/>
    </row>
    <row r="71" spans="1:14" s="14" customFormat="1" ht="20.399999999999999" x14ac:dyDescent="0.25">
      <c r="A71" s="12"/>
      <c r="B71" s="11"/>
      <c r="C71" s="11"/>
      <c r="D71" s="11"/>
      <c r="E71" s="11"/>
      <c r="F71" s="11"/>
      <c r="G71" s="11"/>
      <c r="H71" s="11"/>
      <c r="I71" s="37"/>
      <c r="J71" s="11"/>
      <c r="K71" s="12"/>
      <c r="M71" s="11"/>
      <c r="N71" s="11"/>
    </row>
    <row r="72" spans="1:14" s="14" customFormat="1" ht="20.399999999999999" x14ac:dyDescent="0.25">
      <c r="A72" s="12"/>
      <c r="B72" s="11"/>
      <c r="C72" s="11"/>
      <c r="D72" s="11"/>
      <c r="E72" s="11"/>
      <c r="F72" s="11"/>
      <c r="G72" s="11"/>
      <c r="H72" s="11"/>
      <c r="I72" s="37"/>
      <c r="J72" s="11"/>
      <c r="K72" s="12"/>
      <c r="M72" s="11"/>
      <c r="N72" s="11"/>
    </row>
    <row r="73" spans="1:14" s="14" customFormat="1" ht="20.399999999999999" x14ac:dyDescent="0.25">
      <c r="A73" s="12"/>
      <c r="B73" s="11"/>
      <c r="C73" s="11"/>
      <c r="D73" s="11"/>
      <c r="E73" s="11"/>
      <c r="F73" s="11"/>
      <c r="G73" s="11"/>
      <c r="H73" s="11"/>
      <c r="I73" s="37"/>
      <c r="J73" s="11"/>
      <c r="K73" s="12"/>
      <c r="M73" s="11"/>
      <c r="N73" s="11"/>
    </row>
    <row r="74" spans="1:14" s="14" customFormat="1" ht="20.399999999999999" x14ac:dyDescent="0.25">
      <c r="A74" s="12"/>
      <c r="B74" s="11"/>
      <c r="C74" s="11"/>
      <c r="D74" s="11"/>
      <c r="E74" s="11"/>
      <c r="F74" s="11"/>
      <c r="G74" s="11"/>
      <c r="H74" s="11"/>
      <c r="I74" s="37"/>
      <c r="J74" s="11"/>
      <c r="K74" s="12"/>
      <c r="M74" s="11"/>
      <c r="N74" s="11"/>
    </row>
    <row r="75" spans="1:14" s="14" customFormat="1" ht="20.399999999999999" x14ac:dyDescent="0.25">
      <c r="A75" s="12"/>
      <c r="B75" s="11"/>
      <c r="C75" s="11"/>
      <c r="D75" s="11"/>
      <c r="E75" s="11"/>
      <c r="F75" s="11"/>
      <c r="G75" s="11"/>
      <c r="H75" s="11"/>
      <c r="I75" s="37"/>
      <c r="J75" s="11"/>
      <c r="K75" s="12"/>
      <c r="M75" s="11"/>
      <c r="N75" s="11"/>
    </row>
    <row r="76" spans="1:14" s="14" customFormat="1" ht="20.399999999999999" x14ac:dyDescent="0.25">
      <c r="A76" s="12"/>
      <c r="B76" s="11"/>
      <c r="C76" s="11"/>
      <c r="D76" s="11"/>
      <c r="E76" s="11"/>
      <c r="F76" s="11"/>
      <c r="G76" s="11"/>
      <c r="H76" s="11"/>
      <c r="I76" s="37"/>
      <c r="J76" s="11"/>
      <c r="K76" s="12"/>
      <c r="M76" s="11"/>
      <c r="N76" s="11"/>
    </row>
    <row r="77" spans="1:14" s="14" customFormat="1" ht="20.399999999999999" x14ac:dyDescent="0.25">
      <c r="A77" s="12"/>
      <c r="B77" s="11"/>
      <c r="C77" s="11"/>
      <c r="D77" s="11"/>
      <c r="E77" s="11"/>
      <c r="F77" s="11"/>
      <c r="G77" s="11"/>
      <c r="H77" s="11"/>
      <c r="I77" s="37"/>
      <c r="J77" s="11"/>
      <c r="K77" s="12"/>
      <c r="M77" s="11"/>
      <c r="N77" s="11"/>
    </row>
    <row r="78" spans="1:14" ht="20.399999999999999" x14ac:dyDescent="0.25">
      <c r="L78" s="14"/>
      <c r="M78" s="11"/>
    </row>
    <row r="79" spans="1:14" ht="20.399999999999999" x14ac:dyDescent="0.25">
      <c r="L79" s="14"/>
      <c r="M79" s="11"/>
    </row>
    <row r="80" spans="1:14" ht="20.399999999999999" x14ac:dyDescent="0.25">
      <c r="L80" s="14"/>
      <c r="M80" s="11"/>
    </row>
    <row r="81" spans="1:12" s="11" customFormat="1" ht="20.399999999999999" x14ac:dyDescent="0.25">
      <c r="A81" s="12"/>
      <c r="I81" s="37"/>
      <c r="K81" s="12"/>
      <c r="L81" s="14"/>
    </row>
    <row r="82" spans="1:12" s="11" customFormat="1" ht="20.399999999999999" x14ac:dyDescent="0.25">
      <c r="A82" s="12"/>
      <c r="I82" s="37"/>
      <c r="K82" s="12"/>
      <c r="L82" s="14"/>
    </row>
    <row r="83" spans="1:12" s="11" customFormat="1" ht="20.399999999999999" x14ac:dyDescent="0.25">
      <c r="A83" s="12"/>
      <c r="I83" s="37"/>
      <c r="K83" s="12"/>
      <c r="L83" s="14"/>
    </row>
    <row r="84" spans="1:12" s="11" customFormat="1" ht="20.399999999999999" x14ac:dyDescent="0.25">
      <c r="A84" s="12"/>
      <c r="I84" s="37"/>
      <c r="K84" s="12"/>
      <c r="L84" s="14"/>
    </row>
    <row r="85" spans="1:12" s="11" customFormat="1" ht="20.399999999999999" x14ac:dyDescent="0.25">
      <c r="A85" s="12"/>
      <c r="I85" s="37"/>
      <c r="K85" s="12"/>
      <c r="L85" s="14"/>
    </row>
    <row r="86" spans="1:12" s="11" customFormat="1" ht="20.399999999999999" x14ac:dyDescent="0.25">
      <c r="A86" s="12"/>
      <c r="I86" s="37"/>
      <c r="K86" s="12"/>
      <c r="L86" s="14"/>
    </row>
    <row r="87" spans="1:12" s="11" customFormat="1" ht="20.399999999999999" x14ac:dyDescent="0.25">
      <c r="A87" s="12"/>
      <c r="I87" s="37"/>
      <c r="K87" s="12"/>
      <c r="L87" s="14"/>
    </row>
    <row r="88" spans="1:12" s="11" customFormat="1" ht="20.399999999999999" x14ac:dyDescent="0.25">
      <c r="A88" s="12"/>
      <c r="I88" s="37"/>
      <c r="K88" s="12"/>
      <c r="L88" s="14"/>
    </row>
    <row r="89" spans="1:12" s="11" customFormat="1" ht="20.399999999999999" x14ac:dyDescent="0.25">
      <c r="A89" s="12"/>
      <c r="I89" s="37"/>
      <c r="K89" s="12"/>
      <c r="L89" s="14"/>
    </row>
    <row r="90" spans="1:12" s="11" customFormat="1" ht="20.399999999999999" x14ac:dyDescent="0.25">
      <c r="A90" s="12"/>
      <c r="I90" s="37"/>
      <c r="K90" s="12"/>
      <c r="L90" s="14"/>
    </row>
    <row r="91" spans="1:12" s="11" customFormat="1" ht="20.399999999999999" x14ac:dyDescent="0.25">
      <c r="A91" s="12"/>
      <c r="I91" s="37"/>
      <c r="K91" s="12"/>
      <c r="L91" s="14"/>
    </row>
    <row r="92" spans="1:12" s="11" customFormat="1" ht="20.399999999999999" x14ac:dyDescent="0.25">
      <c r="A92" s="12"/>
      <c r="I92" s="37"/>
      <c r="K92" s="12"/>
      <c r="L92" s="14"/>
    </row>
    <row r="93" spans="1:12" s="11" customFormat="1" ht="20.399999999999999" x14ac:dyDescent="0.25">
      <c r="A93" s="12"/>
      <c r="I93" s="37"/>
      <c r="K93" s="12"/>
      <c r="L93" s="14"/>
    </row>
    <row r="94" spans="1:12" s="11" customFormat="1" ht="20.399999999999999" x14ac:dyDescent="0.25">
      <c r="A94" s="12"/>
      <c r="I94" s="37"/>
      <c r="K94" s="12"/>
      <c r="L94" s="14"/>
    </row>
    <row r="95" spans="1:12" s="11" customFormat="1" ht="20.399999999999999" x14ac:dyDescent="0.25">
      <c r="A95" s="12"/>
      <c r="I95" s="37"/>
      <c r="K95" s="12"/>
      <c r="L95" s="14"/>
    </row>
    <row r="96" spans="1:12" s="11" customFormat="1" ht="20.399999999999999" x14ac:dyDescent="0.25">
      <c r="A96" s="12"/>
      <c r="I96" s="37"/>
      <c r="K96" s="12"/>
      <c r="L96" s="14"/>
    </row>
    <row r="97" spans="12:13" ht="20.399999999999999" x14ac:dyDescent="0.25">
      <c r="L97" s="14"/>
      <c r="M97" s="11"/>
    </row>
    <row r="98" spans="12:13" ht="20.399999999999999" x14ac:dyDescent="0.25">
      <c r="L98" s="14"/>
      <c r="M98" s="11"/>
    </row>
    <row r="99" spans="12:13" ht="20.399999999999999" x14ac:dyDescent="0.25">
      <c r="L99" s="14"/>
      <c r="M99" s="11"/>
    </row>
    <row r="100" spans="12:13" ht="20.399999999999999" x14ac:dyDescent="0.25">
      <c r="L100" s="14"/>
      <c r="M100" s="11"/>
    </row>
    <row r="101" spans="12:13" ht="20.399999999999999" x14ac:dyDescent="0.25">
      <c r="L101" s="14"/>
      <c r="M101" s="11"/>
    </row>
    <row r="102" spans="12:13" ht="20.399999999999999" x14ac:dyDescent="0.25">
      <c r="L102" s="14"/>
      <c r="M102" s="11"/>
    </row>
    <row r="103" spans="12:13" ht="20.399999999999999" x14ac:dyDescent="0.25">
      <c r="L103" s="14"/>
      <c r="M103" s="11"/>
    </row>
    <row r="104" spans="12:13" ht="20.399999999999999" x14ac:dyDescent="0.25">
      <c r="L104" s="14"/>
      <c r="M104" s="11"/>
    </row>
    <row r="105" spans="12:13" ht="20.399999999999999" x14ac:dyDescent="0.25">
      <c r="L105" s="14"/>
      <c r="M105" s="11"/>
    </row>
    <row r="106" spans="12:13" ht="20.399999999999999" x14ac:dyDescent="0.25">
      <c r="L106" s="14"/>
      <c r="M106" s="11"/>
    </row>
    <row r="107" spans="12:13" ht="20.399999999999999" x14ac:dyDescent="0.25">
      <c r="L107" s="14"/>
      <c r="M107" s="11"/>
    </row>
    <row r="108" spans="12:13" ht="20.399999999999999" x14ac:dyDescent="0.25">
      <c r="L108" s="14"/>
      <c r="M108" s="11"/>
    </row>
    <row r="109" spans="12:13" ht="20.399999999999999" x14ac:dyDescent="0.25">
      <c r="L109" s="14"/>
      <c r="M109" s="11"/>
    </row>
    <row r="110" spans="12:13" ht="20.399999999999999" x14ac:dyDescent="0.25">
      <c r="L110" s="14"/>
      <c r="M110" s="11"/>
    </row>
    <row r="111" spans="12:13" ht="20.399999999999999" x14ac:dyDescent="0.25">
      <c r="L111" s="14"/>
      <c r="M111" s="11"/>
    </row>
    <row r="112" spans="12:13" ht="20.399999999999999" x14ac:dyDescent="0.25">
      <c r="L112" s="14"/>
      <c r="M112" s="11"/>
    </row>
    <row r="113" spans="12:13" ht="20.399999999999999" x14ac:dyDescent="0.25">
      <c r="L113" s="14"/>
      <c r="M113" s="11"/>
    </row>
    <row r="114" spans="12:13" ht="20.399999999999999" x14ac:dyDescent="0.25">
      <c r="L114" s="14"/>
      <c r="M114" s="11"/>
    </row>
    <row r="115" spans="12:13" ht="20.399999999999999" x14ac:dyDescent="0.25">
      <c r="L115" s="14"/>
      <c r="M115" s="11"/>
    </row>
    <row r="116" spans="12:13" ht="20.399999999999999" x14ac:dyDescent="0.25">
      <c r="L116" s="14"/>
      <c r="M116" s="11"/>
    </row>
    <row r="117" spans="12:13" ht="20.399999999999999" x14ac:dyDescent="0.25">
      <c r="L117" s="14"/>
      <c r="M117" s="11"/>
    </row>
    <row r="118" spans="12:13" ht="20.399999999999999" x14ac:dyDescent="0.25">
      <c r="L118" s="14"/>
      <c r="M118" s="11"/>
    </row>
    <row r="119" spans="12:13" ht="20.399999999999999" x14ac:dyDescent="0.25">
      <c r="L119" s="14"/>
      <c r="M119" s="11"/>
    </row>
    <row r="120" spans="12:13" ht="20.399999999999999" x14ac:dyDescent="0.25">
      <c r="L120" s="14"/>
      <c r="M120" s="11"/>
    </row>
    <row r="121" spans="12:13" ht="20.399999999999999" x14ac:dyDescent="0.25">
      <c r="L121" s="14"/>
      <c r="M121" s="11"/>
    </row>
    <row r="122" spans="12:13" x14ac:dyDescent="0.25">
      <c r="L122" s="12"/>
      <c r="M122" s="11"/>
    </row>
    <row r="123" spans="12:13" x14ac:dyDescent="0.25">
      <c r="L123" s="12"/>
      <c r="M123" s="11"/>
    </row>
    <row r="124" spans="12:13" x14ac:dyDescent="0.25">
      <c r="M124" s="11"/>
    </row>
  </sheetData>
  <autoFilter ref="A2:N121" xr:uid="{C05F9277-E941-4F8C-B88B-7443D998D414}">
    <sortState xmlns:xlrd2="http://schemas.microsoft.com/office/spreadsheetml/2017/richdata2" ref="A3:N73">
      <sortCondition ref="G2:G33"/>
    </sortState>
  </autoFilter>
  <conditionalFormatting sqref="I5:I8">
    <cfRule type="containsText" dxfId="46" priority="3" operator="containsText" text="ไม่พบ">
      <formula>NOT(ISERROR(SEARCH("ไม่พบ",I5)))</formula>
    </cfRule>
  </conditionalFormatting>
  <conditionalFormatting sqref="J1:J11">
    <cfRule type="containsText" dxfId="45" priority="8" operator="containsText" text="ไม่พบ">
      <formula>NOT(ISERROR(SEARCH("ไม่พบ",J1)))</formula>
    </cfRule>
  </conditionalFormatting>
  <conditionalFormatting sqref="J13:J1048576">
    <cfRule type="containsText" dxfId="44" priority="12" operator="containsText" text="ไม่พบ">
      <formula>NOT(ISERROR(SEARCH("ไม่พบ",J13)))</formula>
    </cfRule>
  </conditionalFormatting>
  <conditionalFormatting sqref="K4">
    <cfRule type="containsText" dxfId="43" priority="4" operator="containsText" text="ไม่พบ">
      <formula>NOT(ISERROR(SEARCH("ไม่พบ",K4)))</formula>
    </cfRule>
  </conditionalFormatting>
  <conditionalFormatting sqref="K9:K11">
    <cfRule type="containsText" dxfId="42" priority="1" operator="containsText" text="ไม่พบ">
      <formula>NOT(ISERROR(SEARCH("ไม่พบ",K9)))</formula>
    </cfRule>
  </conditionalFormatting>
  <conditionalFormatting sqref="L122:L123">
    <cfRule type="duplicateValues" dxfId="41" priority="98"/>
    <cfRule type="duplicateValues" dxfId="40" priority="99"/>
  </conditionalFormatting>
  <conditionalFormatting sqref="M2">
    <cfRule type="duplicateValues" dxfId="39" priority="7"/>
  </conditionalFormatting>
  <conditionalFormatting sqref="M125:M1048576 M1">
    <cfRule type="duplicateValues" dxfId="38" priority="96"/>
    <cfRule type="duplicateValues" dxfId="37" priority="97"/>
  </conditionalFormatting>
  <conditionalFormatting sqref="N2">
    <cfRule type="duplicateValues" dxfId="36" priority="5"/>
    <cfRule type="duplicateValues" dxfId="35" priority="6"/>
  </conditionalFormatting>
  <dataValidations count="3">
    <dataValidation type="list" allowBlank="1" showInputMessage="1" showErrorMessage="1" sqref="I13 K13:K1048576 K2" xr:uid="{9BD61750-BB2B-405D-AF47-1AE1ED9C1A26}">
      <formula1>$M$3:$M$40</formula1>
    </dataValidation>
    <dataValidation type="list" allowBlank="1" showInputMessage="1" showErrorMessage="1" sqref="I12:K12" xr:uid="{88D3FA5A-6937-45A3-BC7E-BCC257151D51}">
      <formula1>$M$3:$M$37</formula1>
    </dataValidation>
    <dataValidation type="list" allowBlank="1" showInputMessage="1" showErrorMessage="1" sqref="K1" xr:uid="{C5436145-8369-442F-B014-92472E2CE028}">
      <formula1>$M$3:$M$35</formula1>
    </dataValidation>
  </dataValidations>
  <pageMargins left="0.25" right="0.25" top="0.25" bottom="0.18" header="0.16" footer="0.17"/>
  <pageSetup paperSize="9" scale="2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298D-6A89-4A07-BA30-881225F10D41}">
  <sheetPr>
    <tabColor rgb="FF00B0F0"/>
  </sheetPr>
  <dimension ref="A1:M58"/>
  <sheetViews>
    <sheetView zoomScale="70" zoomScaleNormal="70" workbookViewId="0">
      <pane xSplit="4" ySplit="2" topLeftCell="E7" activePane="bottomRight" state="frozen"/>
      <selection activeCell="N57" sqref="M1:N57"/>
      <selection pane="topRight" activeCell="N57" sqref="M1:N57"/>
      <selection pane="bottomLeft" activeCell="N57" sqref="M1:N57"/>
      <selection pane="bottomRight" activeCell="I17" sqref="I17"/>
    </sheetView>
  </sheetViews>
  <sheetFormatPr defaultColWidth="54.69921875" defaultRowHeight="13.8" x14ac:dyDescent="0.25"/>
  <cols>
    <col min="1" max="1" width="12.796875" style="12" customWidth="1"/>
    <col min="2" max="2" width="20.09765625" style="12" bestFit="1" customWidth="1"/>
    <col min="3" max="3" width="24" style="12" bestFit="1" customWidth="1"/>
    <col min="4" max="4" width="20.8984375" style="12" bestFit="1" customWidth="1"/>
    <col min="5" max="5" width="31.09765625" style="12" bestFit="1" customWidth="1"/>
    <col min="6" max="6" width="19.09765625" style="12" bestFit="1" customWidth="1"/>
    <col min="7" max="7" width="18.69921875" style="12" bestFit="1" customWidth="1"/>
    <col min="8" max="8" width="16.796875" style="12" bestFit="1" customWidth="1"/>
    <col min="9" max="9" width="56.19921875" style="12" bestFit="1" customWidth="1"/>
    <col min="10" max="10" width="17.296875" style="12" customWidth="1"/>
    <col min="11" max="11" width="74.8984375" style="12" customWidth="1"/>
    <col min="12" max="16384" width="54.69921875" style="12"/>
  </cols>
  <sheetData>
    <row r="1" spans="1:13" ht="51.6" x14ac:dyDescent="0.25">
      <c r="A1" s="8" t="s">
        <v>926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1" customFormat="1" ht="23.4" x14ac:dyDescent="0.6">
      <c r="A3" s="9">
        <v>1</v>
      </c>
      <c r="B3" s="1" t="s">
        <v>5775</v>
      </c>
      <c r="C3" s="1" t="s">
        <v>5776</v>
      </c>
      <c r="D3" s="1" t="s">
        <v>1004</v>
      </c>
      <c r="E3" s="1" t="s">
        <v>5777</v>
      </c>
      <c r="F3" s="1" t="s">
        <v>1006</v>
      </c>
      <c r="G3" s="1" t="s">
        <v>5778</v>
      </c>
      <c r="H3" s="1">
        <v>239</v>
      </c>
      <c r="I3" s="23" t="s">
        <v>992</v>
      </c>
      <c r="J3" s="30"/>
      <c r="M3" s="30"/>
    </row>
    <row r="4" spans="1:13" s="31" customFormat="1" ht="23.4" x14ac:dyDescent="0.6">
      <c r="A4" s="9">
        <v>2</v>
      </c>
      <c r="B4" s="1" t="s">
        <v>5779</v>
      </c>
      <c r="C4" s="1" t="s">
        <v>5776</v>
      </c>
      <c r="D4" s="1" t="s">
        <v>1004</v>
      </c>
      <c r="E4" s="1" t="s">
        <v>5777</v>
      </c>
      <c r="F4" s="1" t="s">
        <v>1006</v>
      </c>
      <c r="G4" s="1" t="s">
        <v>5780</v>
      </c>
      <c r="H4" s="1">
        <v>200</v>
      </c>
      <c r="I4" s="23" t="s">
        <v>992</v>
      </c>
      <c r="J4" s="30"/>
      <c r="M4" s="30"/>
    </row>
    <row r="5" spans="1:13" s="31" customFormat="1" ht="23.4" x14ac:dyDescent="0.6">
      <c r="A5" s="9">
        <v>3</v>
      </c>
      <c r="B5" s="1" t="s">
        <v>5781</v>
      </c>
      <c r="C5" s="1" t="s">
        <v>5782</v>
      </c>
      <c r="D5" s="1" t="s">
        <v>1004</v>
      </c>
      <c r="E5" s="1" t="s">
        <v>5783</v>
      </c>
      <c r="F5" s="1" t="s">
        <v>1006</v>
      </c>
      <c r="G5" s="1" t="s">
        <v>5784</v>
      </c>
      <c r="H5" s="1">
        <v>300</v>
      </c>
      <c r="I5" s="23" t="s">
        <v>992</v>
      </c>
      <c r="J5" s="30"/>
      <c r="M5" s="30"/>
    </row>
    <row r="6" spans="1:13" s="31" customFormat="1" ht="23.4" x14ac:dyDescent="0.6">
      <c r="A6" s="9">
        <v>4</v>
      </c>
      <c r="B6" s="1" t="s">
        <v>5785</v>
      </c>
      <c r="C6" s="1" t="s">
        <v>5786</v>
      </c>
      <c r="D6" s="1" t="s">
        <v>1004</v>
      </c>
      <c r="E6" s="1" t="s">
        <v>5787</v>
      </c>
      <c r="F6" s="1" t="s">
        <v>1006</v>
      </c>
      <c r="G6" s="1" t="s">
        <v>5788</v>
      </c>
      <c r="H6" s="1">
        <v>145</v>
      </c>
      <c r="I6" s="23" t="s">
        <v>992</v>
      </c>
      <c r="J6" s="30"/>
      <c r="M6" s="30"/>
    </row>
    <row r="7" spans="1:13" s="31" customFormat="1" ht="23.4" x14ac:dyDescent="0.6">
      <c r="A7" s="9">
        <v>5</v>
      </c>
      <c r="B7" s="1" t="s">
        <v>5789</v>
      </c>
      <c r="C7" s="1" t="s">
        <v>5790</v>
      </c>
      <c r="D7" s="1" t="s">
        <v>1004</v>
      </c>
      <c r="E7" s="1" t="s">
        <v>5791</v>
      </c>
      <c r="F7" s="1" t="s">
        <v>1006</v>
      </c>
      <c r="G7" s="1" t="s">
        <v>5792</v>
      </c>
      <c r="H7" s="1">
        <v>200</v>
      </c>
      <c r="I7" s="23" t="s">
        <v>992</v>
      </c>
      <c r="J7" s="30"/>
      <c r="M7" s="30"/>
    </row>
    <row r="8" spans="1:13" s="31" customFormat="1" ht="23.4" x14ac:dyDescent="0.6">
      <c r="A8" s="9">
        <v>6</v>
      </c>
      <c r="B8" s="1" t="s">
        <v>5793</v>
      </c>
      <c r="C8" s="1" t="s">
        <v>5794</v>
      </c>
      <c r="D8" s="1" t="s">
        <v>999</v>
      </c>
      <c r="E8" s="1" t="s">
        <v>5795</v>
      </c>
      <c r="F8" s="1" t="s">
        <v>8</v>
      </c>
      <c r="G8" s="1" t="s">
        <v>5796</v>
      </c>
      <c r="H8" s="1">
        <v>81</v>
      </c>
      <c r="I8" s="23" t="s">
        <v>992</v>
      </c>
      <c r="J8" s="30"/>
      <c r="M8" s="30"/>
    </row>
    <row r="9" spans="1:13" s="31" customFormat="1" ht="23.4" x14ac:dyDescent="0.6">
      <c r="A9" s="9">
        <v>7</v>
      </c>
      <c r="B9" s="1" t="s">
        <v>5797</v>
      </c>
      <c r="C9" s="1" t="s">
        <v>5798</v>
      </c>
      <c r="D9" s="1" t="s">
        <v>1004</v>
      </c>
      <c r="E9" s="1" t="s">
        <v>5799</v>
      </c>
      <c r="F9" s="1" t="s">
        <v>1006</v>
      </c>
      <c r="G9" s="1" t="s">
        <v>5800</v>
      </c>
      <c r="H9" s="1">
        <v>106</v>
      </c>
      <c r="I9" s="23" t="s">
        <v>992</v>
      </c>
      <c r="J9" s="30"/>
      <c r="M9" s="30"/>
    </row>
    <row r="10" spans="1:13" s="31" customFormat="1" ht="23.4" x14ac:dyDescent="0.6">
      <c r="A10" s="9">
        <v>8</v>
      </c>
      <c r="B10" s="1" t="s">
        <v>5801</v>
      </c>
      <c r="C10" s="1" t="s">
        <v>5802</v>
      </c>
      <c r="D10" s="1" t="s">
        <v>1004</v>
      </c>
      <c r="E10" s="1" t="s">
        <v>5803</v>
      </c>
      <c r="F10" s="1" t="s">
        <v>1006</v>
      </c>
      <c r="G10" s="1" t="s">
        <v>5804</v>
      </c>
      <c r="H10" s="1">
        <v>552</v>
      </c>
      <c r="I10" s="23" t="s">
        <v>992</v>
      </c>
      <c r="J10" s="30"/>
      <c r="M10" s="30"/>
    </row>
    <row r="11" spans="1:13" s="31" customFormat="1" ht="23.4" x14ac:dyDescent="0.6">
      <c r="A11" s="9">
        <v>9</v>
      </c>
      <c r="B11" s="1" t="s">
        <v>5825</v>
      </c>
      <c r="C11" s="1" t="s">
        <v>5826</v>
      </c>
      <c r="D11" s="1" t="s">
        <v>1004</v>
      </c>
      <c r="E11" s="1" t="s">
        <v>5827</v>
      </c>
      <c r="F11" s="1" t="s">
        <v>1006</v>
      </c>
      <c r="G11" s="1" t="s">
        <v>5828</v>
      </c>
      <c r="H11" s="2">
        <v>106</v>
      </c>
      <c r="I11" s="23" t="s">
        <v>992</v>
      </c>
      <c r="J11" s="30"/>
      <c r="M11" s="30"/>
    </row>
    <row r="12" spans="1:13" s="31" customFormat="1" ht="23.4" x14ac:dyDescent="0.6">
      <c r="A12" s="9">
        <v>10</v>
      </c>
      <c r="B12" s="1" t="s">
        <v>5833</v>
      </c>
      <c r="C12" s="1" t="s">
        <v>5834</v>
      </c>
      <c r="D12" s="1" t="s">
        <v>989</v>
      </c>
      <c r="E12" s="1" t="s">
        <v>8</v>
      </c>
      <c r="F12" s="1" t="s">
        <v>990</v>
      </c>
      <c r="G12" s="1" t="s">
        <v>5835</v>
      </c>
      <c r="H12" s="2">
        <v>182.04</v>
      </c>
      <c r="I12" s="23" t="s">
        <v>992</v>
      </c>
      <c r="J12" s="30"/>
      <c r="M12" s="30"/>
    </row>
    <row r="13" spans="1:13" s="31" customFormat="1" ht="23.4" x14ac:dyDescent="0.6">
      <c r="A13" s="9">
        <v>11</v>
      </c>
      <c r="B13" s="1" t="s">
        <v>5836</v>
      </c>
      <c r="C13" s="1" t="s">
        <v>1081</v>
      </c>
      <c r="D13" s="1" t="s">
        <v>989</v>
      </c>
      <c r="E13" s="1" t="s">
        <v>8</v>
      </c>
      <c r="F13" s="1" t="s">
        <v>990</v>
      </c>
      <c r="G13" s="1" t="s">
        <v>5837</v>
      </c>
      <c r="H13" s="2">
        <v>68.349999999999994</v>
      </c>
      <c r="I13" s="23" t="s">
        <v>992</v>
      </c>
      <c r="J13" s="30"/>
      <c r="M13" s="30"/>
    </row>
    <row r="14" spans="1:13" s="31" customFormat="1" ht="23.4" x14ac:dyDescent="0.6">
      <c r="A14" s="9">
        <v>12</v>
      </c>
      <c r="B14" s="1" t="s">
        <v>5838</v>
      </c>
      <c r="C14" s="1" t="s">
        <v>5714</v>
      </c>
      <c r="D14" s="1" t="s">
        <v>989</v>
      </c>
      <c r="E14" s="1" t="s">
        <v>8</v>
      </c>
      <c r="F14" s="1" t="s">
        <v>990</v>
      </c>
      <c r="G14" s="1" t="s">
        <v>5839</v>
      </c>
      <c r="H14" s="2">
        <v>64.349999999999994</v>
      </c>
      <c r="I14" s="23" t="s">
        <v>992</v>
      </c>
      <c r="J14" s="30"/>
      <c r="M14" s="30"/>
    </row>
    <row r="15" spans="1:13" s="31" customFormat="1" ht="23.4" x14ac:dyDescent="0.6">
      <c r="A15" s="9">
        <v>13</v>
      </c>
      <c r="B15" s="1" t="s">
        <v>5840</v>
      </c>
      <c r="C15" s="1" t="s">
        <v>5841</v>
      </c>
      <c r="D15" s="1" t="s">
        <v>1004</v>
      </c>
      <c r="E15" s="1" t="s">
        <v>5842</v>
      </c>
      <c r="F15" s="1" t="s">
        <v>1006</v>
      </c>
      <c r="G15" s="1" t="s">
        <v>5843</v>
      </c>
      <c r="H15" s="2">
        <v>106</v>
      </c>
      <c r="I15" s="23" t="s">
        <v>992</v>
      </c>
      <c r="J15" s="30"/>
      <c r="M15" s="30"/>
    </row>
    <row r="16" spans="1:13" s="31" customFormat="1" ht="23.4" x14ac:dyDescent="0.6">
      <c r="A16" s="9">
        <v>14</v>
      </c>
      <c r="B16" s="1" t="s">
        <v>5852</v>
      </c>
      <c r="C16" s="1" t="s">
        <v>5853</v>
      </c>
      <c r="D16" s="1" t="s">
        <v>1004</v>
      </c>
      <c r="E16" s="1" t="s">
        <v>5854</v>
      </c>
      <c r="F16" s="1" t="s">
        <v>1006</v>
      </c>
      <c r="G16" s="1" t="s">
        <v>5855</v>
      </c>
      <c r="H16" s="2">
        <v>200</v>
      </c>
      <c r="I16" s="23" t="s">
        <v>992</v>
      </c>
      <c r="J16" s="30"/>
      <c r="M16" s="30"/>
    </row>
    <row r="17" spans="1:13" s="31" customFormat="1" ht="23.4" x14ac:dyDescent="0.6">
      <c r="A17" s="9">
        <v>15</v>
      </c>
      <c r="B17" s="1" t="s">
        <v>5856</v>
      </c>
      <c r="C17" s="1" t="s">
        <v>5714</v>
      </c>
      <c r="D17" s="1" t="s">
        <v>989</v>
      </c>
      <c r="E17" s="1" t="s">
        <v>8</v>
      </c>
      <c r="F17" s="1" t="s">
        <v>990</v>
      </c>
      <c r="G17" s="1" t="s">
        <v>5857</v>
      </c>
      <c r="H17" s="2">
        <v>64.349999999999994</v>
      </c>
      <c r="I17" s="23" t="s">
        <v>992</v>
      </c>
      <c r="J17" s="30"/>
      <c r="M17" s="30"/>
    </row>
    <row r="18" spans="1:13" s="31" customFormat="1" ht="27" thickBot="1" x14ac:dyDescent="0.75">
      <c r="A18" s="12"/>
      <c r="B18" s="12"/>
      <c r="C18" s="12"/>
      <c r="D18" s="12"/>
      <c r="E18" s="12"/>
      <c r="F18" s="12"/>
      <c r="G18" s="25" t="s">
        <v>28</v>
      </c>
      <c r="H18" s="26">
        <f>SUM(H3:H17)</f>
        <v>2614.0899999999997</v>
      </c>
      <c r="I18" s="16" t="s">
        <v>47</v>
      </c>
      <c r="J18" s="30"/>
      <c r="M18" s="30"/>
    </row>
    <row r="19" spans="1:13" s="31" customFormat="1" ht="21" thickTop="1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30"/>
      <c r="M19" s="30"/>
    </row>
    <row r="20" spans="1:13" s="31" customFormat="1" ht="20.399999999999999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30"/>
      <c r="M20" s="30"/>
    </row>
    <row r="21" spans="1:13" s="31" customFormat="1" ht="20.399999999999999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30"/>
      <c r="M21" s="30"/>
    </row>
    <row r="22" spans="1:13" s="31" customFormat="1" ht="20.399999999999999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30"/>
      <c r="M22" s="30"/>
    </row>
    <row r="23" spans="1:13" s="31" customFormat="1" ht="20.39999999999999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30"/>
      <c r="M23" s="30"/>
    </row>
    <row r="24" spans="1:13" s="31" customFormat="1" ht="20.399999999999999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30"/>
      <c r="M24" s="30"/>
    </row>
    <row r="25" spans="1:13" s="31" customFormat="1" ht="20.399999999999999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30"/>
      <c r="M25" s="30"/>
    </row>
    <row r="26" spans="1:13" s="31" customFormat="1" ht="20.399999999999999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30"/>
      <c r="M26" s="30"/>
    </row>
    <row r="27" spans="1:13" s="31" customFormat="1" ht="20.399999999999999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30"/>
      <c r="M27" s="30"/>
    </row>
    <row r="28" spans="1:13" s="31" customFormat="1" ht="20.399999999999999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30"/>
      <c r="M28" s="30"/>
    </row>
    <row r="29" spans="1:13" s="31" customFormat="1" ht="20.399999999999999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30"/>
      <c r="M29" s="30"/>
    </row>
    <row r="30" spans="1:13" s="31" customFormat="1" ht="20.399999999999999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30"/>
      <c r="M30" s="30"/>
    </row>
    <row r="31" spans="1:13" s="31" customFormat="1" ht="20.399999999999999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30"/>
      <c r="M31" s="30"/>
    </row>
    <row r="32" spans="1:13" s="31" customFormat="1" ht="20.399999999999999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30"/>
      <c r="M32" s="30"/>
    </row>
    <row r="33" spans="1:13" s="31" customFormat="1" ht="20.399999999999999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30"/>
      <c r="M33" s="30"/>
    </row>
    <row r="34" spans="1:13" s="31" customFormat="1" ht="20.399999999999999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30"/>
      <c r="M34" s="30"/>
    </row>
    <row r="35" spans="1:13" s="31" customFormat="1" ht="20.399999999999999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30"/>
      <c r="M35" s="30"/>
    </row>
    <row r="36" spans="1:13" s="31" customFormat="1" ht="20.399999999999999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30"/>
      <c r="M36" s="30"/>
    </row>
    <row r="37" spans="1:13" s="31" customFormat="1" ht="20.399999999999999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30"/>
      <c r="M37" s="30"/>
    </row>
    <row r="38" spans="1:13" s="31" customFormat="1" ht="20.399999999999999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30"/>
      <c r="M38" s="30"/>
    </row>
    <row r="39" spans="1:13" s="31" customFormat="1" ht="20.399999999999999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30"/>
      <c r="M39" s="30"/>
    </row>
    <row r="40" spans="1:13" s="31" customFormat="1" ht="20.399999999999999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30"/>
      <c r="M40" s="30"/>
    </row>
    <row r="41" spans="1:13" s="31" customFormat="1" ht="20.399999999999999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30"/>
      <c r="M41" s="30"/>
    </row>
    <row r="42" spans="1:13" s="31" customFormat="1" ht="20.399999999999999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30"/>
      <c r="M42" s="30"/>
    </row>
    <row r="43" spans="1:13" s="31" customFormat="1" ht="20.399999999999999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30"/>
      <c r="M43" s="30"/>
    </row>
    <row r="44" spans="1:13" s="31" customFormat="1" ht="20.399999999999999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30"/>
      <c r="M44" s="30"/>
    </row>
    <row r="45" spans="1:13" s="31" customFormat="1" ht="20.399999999999999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30"/>
      <c r="M45" s="30"/>
    </row>
    <row r="46" spans="1:13" s="31" customFormat="1" ht="20.399999999999999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30"/>
      <c r="M46" s="30"/>
    </row>
    <row r="47" spans="1:13" s="31" customFormat="1" ht="20.399999999999999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30"/>
      <c r="M47" s="30"/>
    </row>
    <row r="48" spans="1:13" s="31" customFormat="1" ht="20.399999999999999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30"/>
      <c r="M48" s="30"/>
    </row>
    <row r="49" spans="1:13" s="31" customFormat="1" ht="20.399999999999999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30"/>
      <c r="M49" s="30"/>
    </row>
    <row r="50" spans="1:13" s="31" customFormat="1" ht="20.399999999999999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30"/>
      <c r="M50" s="30"/>
    </row>
    <row r="51" spans="1:13" s="31" customFormat="1" ht="20.399999999999999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30"/>
      <c r="M51" s="30"/>
    </row>
    <row r="52" spans="1:13" s="31" customFormat="1" ht="20.399999999999999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30"/>
      <c r="M52" s="30"/>
    </row>
    <row r="53" spans="1:13" s="31" customFormat="1" ht="20.399999999999999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30"/>
      <c r="M53" s="30"/>
    </row>
    <row r="54" spans="1:13" s="31" customFormat="1" ht="20.399999999999999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30"/>
      <c r="M54" s="30"/>
    </row>
    <row r="55" spans="1:13" s="31" customFormat="1" ht="20.399999999999999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30"/>
      <c r="M55" s="30"/>
    </row>
    <row r="56" spans="1:13" s="31" customFormat="1" ht="20.399999999999999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30"/>
      <c r="M56" s="30"/>
    </row>
    <row r="57" spans="1:13" s="31" customFormat="1" ht="20.399999999999999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30"/>
      <c r="M57" s="30"/>
    </row>
    <row r="58" spans="1:13" s="31" customFormat="1" ht="20.399999999999999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30"/>
      <c r="M58" s="30"/>
    </row>
  </sheetData>
  <autoFilter ref="B2:J22" xr:uid="{418B859D-9AEE-4DBC-84AA-2E90E0A86546}"/>
  <conditionalFormatting sqref="H18">
    <cfRule type="containsText" dxfId="34" priority="1" operator="containsText" text="ไม่พบ">
      <formula>NOT(ISERROR(SEARCH("ไม่พบ",H18)))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4D79-66D2-42B7-9DF2-4BC08B811918}">
  <sheetPr>
    <tabColor rgb="FFFF99FF"/>
    <pageSetUpPr fitToPage="1"/>
  </sheetPr>
  <dimension ref="A1:N100"/>
  <sheetViews>
    <sheetView zoomScale="85" zoomScaleNormal="85" workbookViewId="0">
      <pane xSplit="6" ySplit="2" topLeftCell="G3" activePane="bottomRight" state="frozen"/>
      <selection activeCell="M2" sqref="M2:N57"/>
      <selection pane="topRight" activeCell="M2" sqref="M2:N57"/>
      <selection pane="bottomLeft" activeCell="M2" sqref="M2:N57"/>
      <selection pane="bottomRight" activeCell="B12" sqref="B12"/>
    </sheetView>
  </sheetViews>
  <sheetFormatPr defaultColWidth="54.69921875" defaultRowHeight="13.8" x14ac:dyDescent="0.25"/>
  <cols>
    <col min="1" max="1" width="11.796875" style="5" customWidth="1"/>
    <col min="2" max="2" width="15.69921875" bestFit="1" customWidth="1"/>
    <col min="3" max="3" width="30.296875" bestFit="1" customWidth="1"/>
    <col min="4" max="4" width="16.19921875" customWidth="1"/>
    <col min="5" max="5" width="29.296875" customWidth="1"/>
    <col min="6" max="6" width="21.296875" customWidth="1"/>
    <col min="7" max="7" width="17.296875" customWidth="1"/>
    <col min="8" max="8" width="10.09765625" bestFit="1" customWidth="1"/>
    <col min="9" max="9" width="31.8984375" bestFit="1" customWidth="1"/>
    <col min="10" max="10" width="11" customWidth="1"/>
    <col min="11" max="11" width="74.796875" style="5" customWidth="1"/>
    <col min="12" max="12" width="14.69921875" customWidth="1"/>
    <col min="13" max="13" width="74.796875" style="5" customWidth="1"/>
    <col min="14" max="14" width="17.19921875" bestFit="1" customWidth="1"/>
  </cols>
  <sheetData>
    <row r="1" spans="1:14" ht="60" customHeight="1" thickBot="1" x14ac:dyDescent="0.75">
      <c r="A1" s="8" t="s">
        <v>41</v>
      </c>
      <c r="I1" s="87" t="s">
        <v>46</v>
      </c>
      <c r="J1" s="26">
        <f>SUBTOTAL(9,J3:J31)</f>
        <v>270</v>
      </c>
      <c r="K1" s="88" t="s">
        <v>47</v>
      </c>
    </row>
    <row r="2" spans="1:14" ht="29.4" thickTop="1" x14ac:dyDescent="0.75">
      <c r="A2" s="10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42</v>
      </c>
      <c r="J2" s="6" t="s">
        <v>43</v>
      </c>
      <c r="K2" s="7" t="s">
        <v>7</v>
      </c>
      <c r="M2" s="7" t="s">
        <v>19</v>
      </c>
      <c r="N2" s="7" t="s">
        <v>21</v>
      </c>
    </row>
    <row r="3" spans="1:14" s="3" customFormat="1" ht="25.8" x14ac:dyDescent="0.6">
      <c r="A3" s="9">
        <v>1</v>
      </c>
      <c r="B3" s="1" t="s">
        <v>5723</v>
      </c>
      <c r="C3" s="1" t="s">
        <v>5724</v>
      </c>
      <c r="D3" s="1" t="s">
        <v>945</v>
      </c>
      <c r="E3" s="1" t="s">
        <v>8</v>
      </c>
      <c r="F3" s="1" t="s">
        <v>946</v>
      </c>
      <c r="G3" s="1" t="s">
        <v>5725</v>
      </c>
      <c r="H3" s="1">
        <v>0</v>
      </c>
      <c r="I3" s="1" t="s">
        <v>5726</v>
      </c>
      <c r="J3" s="1">
        <v>45</v>
      </c>
      <c r="K3" s="1" t="s">
        <v>59</v>
      </c>
      <c r="M3" s="42" t="s">
        <v>10</v>
      </c>
      <c r="N3" s="34">
        <v>0</v>
      </c>
    </row>
    <row r="4" spans="1:14" s="3" customFormat="1" ht="25.8" x14ac:dyDescent="0.6">
      <c r="A4" s="9">
        <v>2</v>
      </c>
      <c r="B4" s="1" t="s">
        <v>5731</v>
      </c>
      <c r="C4" s="1" t="s">
        <v>5732</v>
      </c>
      <c r="D4" s="1" t="s">
        <v>1107</v>
      </c>
      <c r="E4" s="1" t="s">
        <v>5733</v>
      </c>
      <c r="F4" s="1" t="s">
        <v>946</v>
      </c>
      <c r="G4" s="1" t="s">
        <v>5734</v>
      </c>
      <c r="H4" s="1">
        <v>0</v>
      </c>
      <c r="I4" s="2" t="s">
        <v>5735</v>
      </c>
      <c r="J4" s="2">
        <v>45</v>
      </c>
      <c r="K4" s="2" t="s">
        <v>78</v>
      </c>
      <c r="M4" s="42" t="s">
        <v>13</v>
      </c>
      <c r="N4" s="34">
        <v>0</v>
      </c>
    </row>
    <row r="5" spans="1:14" s="3" customFormat="1" ht="25.8" x14ac:dyDescent="0.6">
      <c r="A5" s="9">
        <v>3</v>
      </c>
      <c r="B5" s="1" t="s">
        <v>5736</v>
      </c>
      <c r="C5" s="1" t="s">
        <v>5737</v>
      </c>
      <c r="D5" s="1" t="s">
        <v>1107</v>
      </c>
      <c r="E5" s="1" t="s">
        <v>3958</v>
      </c>
      <c r="F5" s="1" t="s">
        <v>946</v>
      </c>
      <c r="G5" s="1" t="s">
        <v>5738</v>
      </c>
      <c r="H5" s="1">
        <v>0</v>
      </c>
      <c r="I5" s="2" t="s">
        <v>5739</v>
      </c>
      <c r="J5" s="1">
        <v>45</v>
      </c>
      <c r="K5" s="1" t="s">
        <v>78</v>
      </c>
      <c r="M5" s="42" t="s">
        <v>11</v>
      </c>
      <c r="N5" s="34">
        <v>0</v>
      </c>
    </row>
    <row r="6" spans="1:14" s="3" customFormat="1" ht="25.8" x14ac:dyDescent="0.6">
      <c r="A6" s="9">
        <v>4</v>
      </c>
      <c r="B6" s="1" t="s">
        <v>5740</v>
      </c>
      <c r="C6" s="1" t="s">
        <v>5741</v>
      </c>
      <c r="D6" s="1" t="s">
        <v>945</v>
      </c>
      <c r="E6" s="1" t="s">
        <v>8</v>
      </c>
      <c r="F6" s="1" t="s">
        <v>946</v>
      </c>
      <c r="G6" s="1" t="s">
        <v>5742</v>
      </c>
      <c r="H6" s="1">
        <v>0</v>
      </c>
      <c r="I6" s="2" t="s">
        <v>5743</v>
      </c>
      <c r="J6" s="2">
        <v>45</v>
      </c>
      <c r="K6" s="2" t="s">
        <v>81</v>
      </c>
      <c r="M6" s="42" t="s">
        <v>17</v>
      </c>
      <c r="N6" s="34">
        <v>0</v>
      </c>
    </row>
    <row r="7" spans="1:14" s="3" customFormat="1" ht="25.8" x14ac:dyDescent="0.6">
      <c r="A7" s="9">
        <v>5</v>
      </c>
      <c r="B7" s="1" t="s">
        <v>5744</v>
      </c>
      <c r="C7" s="1" t="s">
        <v>5745</v>
      </c>
      <c r="D7" s="1" t="s">
        <v>945</v>
      </c>
      <c r="E7" s="1" t="s">
        <v>8</v>
      </c>
      <c r="F7" s="1" t="s">
        <v>946</v>
      </c>
      <c r="G7" s="1" t="s">
        <v>5746</v>
      </c>
      <c r="H7" s="1">
        <v>0</v>
      </c>
      <c r="I7" s="2" t="s">
        <v>5747</v>
      </c>
      <c r="J7" s="2">
        <v>45</v>
      </c>
      <c r="K7" s="2" t="s">
        <v>81</v>
      </c>
      <c r="M7" s="42" t="s">
        <v>14</v>
      </c>
      <c r="N7" s="34">
        <v>0</v>
      </c>
    </row>
    <row r="8" spans="1:14" s="3" customFormat="1" ht="25.8" x14ac:dyDescent="0.6">
      <c r="A8" s="9">
        <v>6</v>
      </c>
      <c r="B8" s="1" t="s">
        <v>5748</v>
      </c>
      <c r="C8" s="1" t="s">
        <v>5749</v>
      </c>
      <c r="D8" s="1" t="s">
        <v>945</v>
      </c>
      <c r="E8" s="1" t="s">
        <v>8</v>
      </c>
      <c r="F8" s="1" t="s">
        <v>946</v>
      </c>
      <c r="G8" s="1" t="s">
        <v>5750</v>
      </c>
      <c r="H8" s="1">
        <v>0</v>
      </c>
      <c r="I8" s="2" t="s">
        <v>5751</v>
      </c>
      <c r="J8" s="2">
        <v>45</v>
      </c>
      <c r="K8" s="2" t="s">
        <v>83</v>
      </c>
      <c r="M8" s="42" t="s">
        <v>59</v>
      </c>
      <c r="N8" s="34">
        <v>1</v>
      </c>
    </row>
    <row r="9" spans="1:14" s="3" customFormat="1" ht="25.8" x14ac:dyDescent="0.35">
      <c r="A9" s="5"/>
      <c r="B9"/>
      <c r="C9"/>
      <c r="D9"/>
      <c r="E9"/>
      <c r="F9"/>
      <c r="G9"/>
      <c r="H9"/>
      <c r="I9"/>
      <c r="J9"/>
      <c r="K9"/>
      <c r="M9" s="42" t="s">
        <v>51</v>
      </c>
      <c r="N9" s="34">
        <v>0</v>
      </c>
    </row>
    <row r="10" spans="1:14" s="3" customFormat="1" ht="25.8" x14ac:dyDescent="0.35">
      <c r="A10" s="5"/>
      <c r="B10"/>
      <c r="C10"/>
      <c r="D10"/>
      <c r="E10"/>
      <c r="F10"/>
      <c r="G10"/>
      <c r="H10"/>
      <c r="I10" s="5"/>
      <c r="J10" s="5"/>
      <c r="K10"/>
      <c r="M10" s="42" t="s">
        <v>49</v>
      </c>
      <c r="N10" s="34">
        <v>0</v>
      </c>
    </row>
    <row r="11" spans="1:14" s="3" customFormat="1" ht="25.8" x14ac:dyDescent="0.35">
      <c r="A11" s="5"/>
      <c r="B11"/>
      <c r="C11"/>
      <c r="D11"/>
      <c r="E11"/>
      <c r="F11"/>
      <c r="G11"/>
      <c r="H11"/>
      <c r="I11" s="5"/>
      <c r="J11" s="5"/>
      <c r="K11"/>
      <c r="M11" s="42" t="s">
        <v>12</v>
      </c>
      <c r="N11" s="34">
        <v>0</v>
      </c>
    </row>
    <row r="12" spans="1:14" s="3" customFormat="1" ht="25.8" x14ac:dyDescent="0.35">
      <c r="A12" s="5"/>
      <c r="B12"/>
      <c r="C12"/>
      <c r="D12"/>
      <c r="E12"/>
      <c r="F12"/>
      <c r="G12"/>
      <c r="H12"/>
      <c r="I12" s="5"/>
      <c r="J12" s="5"/>
      <c r="K12"/>
      <c r="M12" s="42" t="s">
        <v>15</v>
      </c>
      <c r="N12" s="34">
        <v>0</v>
      </c>
    </row>
    <row r="13" spans="1:14" s="3" customFormat="1" ht="25.8" x14ac:dyDescent="0.35">
      <c r="A13" s="5"/>
      <c r="B13"/>
      <c r="C13"/>
      <c r="D13"/>
      <c r="E13"/>
      <c r="F13"/>
      <c r="G13"/>
      <c r="H13"/>
      <c r="I13" s="5"/>
      <c r="J13" s="5"/>
      <c r="K13"/>
      <c r="M13" s="42" t="s">
        <v>60</v>
      </c>
      <c r="N13" s="34">
        <v>0</v>
      </c>
    </row>
    <row r="14" spans="1:14" s="3" customFormat="1" ht="25.8" x14ac:dyDescent="0.35">
      <c r="A14" s="5"/>
      <c r="B14"/>
      <c r="C14"/>
      <c r="D14"/>
      <c r="E14"/>
      <c r="F14"/>
      <c r="G14"/>
      <c r="H14"/>
      <c r="I14" s="5"/>
      <c r="J14" s="5"/>
      <c r="K14"/>
      <c r="M14" s="42" t="s">
        <v>16</v>
      </c>
      <c r="N14" s="34">
        <v>0</v>
      </c>
    </row>
    <row r="15" spans="1:14" s="3" customFormat="1" ht="25.8" x14ac:dyDescent="0.35">
      <c r="A15" s="5"/>
      <c r="B15"/>
      <c r="C15"/>
      <c r="D15"/>
      <c r="E15"/>
      <c r="F15"/>
      <c r="G15"/>
      <c r="H15"/>
      <c r="I15" s="5"/>
      <c r="J15" s="5"/>
      <c r="K15"/>
      <c r="M15" s="42" t="s">
        <v>61</v>
      </c>
      <c r="N15" s="34">
        <v>0</v>
      </c>
    </row>
    <row r="16" spans="1:14" s="3" customFormat="1" ht="25.8" x14ac:dyDescent="0.35">
      <c r="A16" s="5"/>
      <c r="B16"/>
      <c r="C16"/>
      <c r="D16"/>
      <c r="E16"/>
      <c r="F16"/>
      <c r="G16"/>
      <c r="H16"/>
      <c r="I16" s="5"/>
      <c r="J16" s="5"/>
      <c r="K16"/>
      <c r="M16" s="42" t="s">
        <v>62</v>
      </c>
      <c r="N16" s="34">
        <v>0</v>
      </c>
    </row>
    <row r="17" spans="1:14" s="3" customFormat="1" ht="25.8" x14ac:dyDescent="0.35">
      <c r="A17" s="5"/>
      <c r="B17"/>
      <c r="C17"/>
      <c r="D17"/>
      <c r="E17"/>
      <c r="F17"/>
      <c r="G17"/>
      <c r="H17"/>
      <c r="I17" s="5"/>
      <c r="J17" s="5"/>
      <c r="K17"/>
      <c r="M17" s="42" t="s">
        <v>53</v>
      </c>
      <c r="N17" s="34">
        <v>0</v>
      </c>
    </row>
    <row r="18" spans="1:14" s="3" customFormat="1" ht="25.8" x14ac:dyDescent="0.35">
      <c r="A18" s="5"/>
      <c r="B18"/>
      <c r="C18"/>
      <c r="D18"/>
      <c r="E18"/>
      <c r="F18"/>
      <c r="G18"/>
      <c r="H18"/>
      <c r="I18" s="5"/>
      <c r="J18" s="5"/>
      <c r="K18"/>
      <c r="M18" s="42" t="s">
        <v>63</v>
      </c>
      <c r="N18" s="34">
        <v>0</v>
      </c>
    </row>
    <row r="19" spans="1:14" s="3" customFormat="1" ht="25.8" x14ac:dyDescent="0.35">
      <c r="A19" s="5"/>
      <c r="B19"/>
      <c r="C19"/>
      <c r="D19"/>
      <c r="E19"/>
      <c r="F19"/>
      <c r="G19"/>
      <c r="H19"/>
      <c r="I19" s="5"/>
      <c r="J19" s="5"/>
      <c r="K19"/>
      <c r="M19" s="42" t="s">
        <v>20</v>
      </c>
      <c r="N19" s="34">
        <v>0</v>
      </c>
    </row>
    <row r="20" spans="1:14" s="3" customFormat="1" ht="25.8" x14ac:dyDescent="0.35">
      <c r="A20" s="5"/>
      <c r="B20"/>
      <c r="C20"/>
      <c r="D20"/>
      <c r="E20"/>
      <c r="F20"/>
      <c r="G20"/>
      <c r="H20"/>
      <c r="I20" s="5"/>
      <c r="J20" s="5"/>
      <c r="K20"/>
      <c r="M20" s="42" t="s">
        <v>64</v>
      </c>
      <c r="N20" s="34">
        <v>0</v>
      </c>
    </row>
    <row r="21" spans="1:14" s="3" customFormat="1" ht="25.8" x14ac:dyDescent="0.35">
      <c r="A21" s="5"/>
      <c r="B21"/>
      <c r="C21"/>
      <c r="D21"/>
      <c r="E21"/>
      <c r="F21"/>
      <c r="G21"/>
      <c r="H21"/>
      <c r="I21" s="5"/>
      <c r="J21" s="5"/>
      <c r="K21"/>
      <c r="M21" s="42" t="s">
        <v>22</v>
      </c>
      <c r="N21" s="34">
        <v>0</v>
      </c>
    </row>
    <row r="22" spans="1:14" s="3" customFormat="1" ht="25.8" x14ac:dyDescent="0.35">
      <c r="A22" s="5"/>
      <c r="B22"/>
      <c r="C22"/>
      <c r="D22"/>
      <c r="E22"/>
      <c r="F22"/>
      <c r="G22"/>
      <c r="H22"/>
      <c r="I22" s="5"/>
      <c r="J22" s="5"/>
      <c r="K22"/>
      <c r="M22" s="42" t="s">
        <v>65</v>
      </c>
      <c r="N22" s="34">
        <v>0</v>
      </c>
    </row>
    <row r="23" spans="1:14" s="3" customFormat="1" ht="25.8" x14ac:dyDescent="0.35">
      <c r="A23" s="5"/>
      <c r="B23"/>
      <c r="C23"/>
      <c r="D23"/>
      <c r="E23"/>
      <c r="F23"/>
      <c r="G23"/>
      <c r="H23"/>
      <c r="I23" s="5"/>
      <c r="J23" s="5"/>
      <c r="K23"/>
      <c r="M23" s="42" t="s">
        <v>66</v>
      </c>
      <c r="N23" s="34">
        <v>0</v>
      </c>
    </row>
    <row r="24" spans="1:14" s="3" customFormat="1" ht="25.8" x14ac:dyDescent="0.35">
      <c r="A24" s="5"/>
      <c r="B24"/>
      <c r="C24"/>
      <c r="D24"/>
      <c r="E24"/>
      <c r="F24"/>
      <c r="G24"/>
      <c r="H24"/>
      <c r="I24" s="5"/>
      <c r="J24" s="5"/>
      <c r="K24"/>
      <c r="M24" s="42" t="s">
        <v>67</v>
      </c>
      <c r="N24" s="34">
        <v>0</v>
      </c>
    </row>
    <row r="25" spans="1:14" s="3" customFormat="1" ht="25.8" x14ac:dyDescent="0.35">
      <c r="A25" s="5"/>
      <c r="B25"/>
      <c r="C25"/>
      <c r="D25"/>
      <c r="E25"/>
      <c r="F25"/>
      <c r="G25"/>
      <c r="H25"/>
      <c r="I25" s="5"/>
      <c r="J25" s="5"/>
      <c r="K25"/>
      <c r="M25" s="42" t="s">
        <v>68</v>
      </c>
      <c r="N25" s="34">
        <v>0</v>
      </c>
    </row>
    <row r="26" spans="1:14" s="3" customFormat="1" ht="25.8" x14ac:dyDescent="0.35">
      <c r="A26" s="5"/>
      <c r="B26"/>
      <c r="C26"/>
      <c r="D26"/>
      <c r="E26"/>
      <c r="F26"/>
      <c r="G26"/>
      <c r="H26"/>
      <c r="I26" s="5"/>
      <c r="J26" s="5"/>
      <c r="K26"/>
      <c r="M26" s="42" t="s">
        <v>69</v>
      </c>
      <c r="N26" s="34">
        <v>0</v>
      </c>
    </row>
    <row r="27" spans="1:14" s="3" customFormat="1" ht="25.8" x14ac:dyDescent="0.35">
      <c r="A27" s="5"/>
      <c r="B27"/>
      <c r="C27"/>
      <c r="D27"/>
      <c r="E27"/>
      <c r="F27"/>
      <c r="G27"/>
      <c r="H27"/>
      <c r="I27" s="5"/>
      <c r="J27" s="5"/>
      <c r="K27"/>
      <c r="M27" s="42" t="s">
        <v>70</v>
      </c>
      <c r="N27" s="34">
        <v>0</v>
      </c>
    </row>
    <row r="28" spans="1:14" s="3" customFormat="1" ht="25.8" x14ac:dyDescent="0.35">
      <c r="A28" s="5"/>
      <c r="B28"/>
      <c r="C28"/>
      <c r="D28"/>
      <c r="E28"/>
      <c r="F28"/>
      <c r="G28"/>
      <c r="H28"/>
      <c r="I28" s="5"/>
      <c r="J28" s="5"/>
      <c r="K28"/>
      <c r="M28" s="42" t="s">
        <v>71</v>
      </c>
      <c r="N28" s="34">
        <v>0</v>
      </c>
    </row>
    <row r="29" spans="1:14" s="3" customFormat="1" ht="25.8" x14ac:dyDescent="0.35">
      <c r="A29" s="5"/>
      <c r="B29"/>
      <c r="C29"/>
      <c r="D29"/>
      <c r="E29"/>
      <c r="F29"/>
      <c r="G29"/>
      <c r="H29"/>
      <c r="I29" s="5"/>
      <c r="J29" s="5"/>
      <c r="K29"/>
      <c r="M29" s="42" t="s">
        <v>72</v>
      </c>
      <c r="N29" s="34">
        <v>0</v>
      </c>
    </row>
    <row r="30" spans="1:14" s="3" customFormat="1" ht="25.8" x14ac:dyDescent="0.35">
      <c r="A30" s="5"/>
      <c r="B30"/>
      <c r="C30"/>
      <c r="D30"/>
      <c r="E30"/>
      <c r="F30"/>
      <c r="G30"/>
      <c r="H30"/>
      <c r="I30" s="5"/>
      <c r="J30" s="5"/>
      <c r="K30"/>
      <c r="M30" s="42" t="s">
        <v>73</v>
      </c>
      <c r="N30" s="34">
        <v>0</v>
      </c>
    </row>
    <row r="31" spans="1:14" s="3" customFormat="1" ht="25.8" x14ac:dyDescent="0.35">
      <c r="A31" s="5"/>
      <c r="B31"/>
      <c r="C31"/>
      <c r="D31"/>
      <c r="E31"/>
      <c r="F31"/>
      <c r="G31"/>
      <c r="H31"/>
      <c r="I31"/>
      <c r="J31"/>
      <c r="K31" s="5"/>
      <c r="M31" s="42" t="s">
        <v>74</v>
      </c>
      <c r="N31" s="34">
        <v>0</v>
      </c>
    </row>
    <row r="32" spans="1:14" s="3" customFormat="1" ht="25.8" x14ac:dyDescent="0.35">
      <c r="A32" s="5"/>
      <c r="B32"/>
      <c r="C32"/>
      <c r="D32"/>
      <c r="E32"/>
      <c r="F32"/>
      <c r="G32"/>
      <c r="H32"/>
      <c r="I32"/>
      <c r="J32"/>
      <c r="K32" s="5"/>
      <c r="M32" s="42" t="s">
        <v>75</v>
      </c>
      <c r="N32" s="34">
        <v>0</v>
      </c>
    </row>
    <row r="33" spans="1:14" s="3" customFormat="1" ht="25.8" x14ac:dyDescent="0.35">
      <c r="A33" s="5"/>
      <c r="B33"/>
      <c r="C33"/>
      <c r="D33"/>
      <c r="E33"/>
      <c r="F33"/>
      <c r="G33"/>
      <c r="H33"/>
      <c r="I33"/>
      <c r="J33"/>
      <c r="K33" s="5"/>
      <c r="M33" s="42" t="s">
        <v>76</v>
      </c>
      <c r="N33" s="34">
        <v>0</v>
      </c>
    </row>
    <row r="34" spans="1:14" s="3" customFormat="1" ht="25.8" x14ac:dyDescent="0.35">
      <c r="A34" s="5"/>
      <c r="B34"/>
      <c r="C34"/>
      <c r="D34"/>
      <c r="E34"/>
      <c r="F34"/>
      <c r="G34"/>
      <c r="H34"/>
      <c r="I34"/>
      <c r="J34"/>
      <c r="K34" s="5"/>
      <c r="M34" s="42" t="s">
        <v>77</v>
      </c>
      <c r="N34" s="34">
        <v>0</v>
      </c>
    </row>
    <row r="35" spans="1:14" s="3" customFormat="1" ht="25.8" x14ac:dyDescent="0.35">
      <c r="A35" s="5"/>
      <c r="B35"/>
      <c r="C35"/>
      <c r="D35"/>
      <c r="E35"/>
      <c r="F35"/>
      <c r="G35"/>
      <c r="H35"/>
      <c r="I35"/>
      <c r="J35"/>
      <c r="K35" s="5"/>
      <c r="M35" s="42" t="s">
        <v>78</v>
      </c>
      <c r="N35" s="34">
        <v>2</v>
      </c>
    </row>
    <row r="36" spans="1:14" s="3" customFormat="1" ht="25.8" x14ac:dyDescent="0.35">
      <c r="A36" s="5"/>
      <c r="B36"/>
      <c r="C36"/>
      <c r="D36"/>
      <c r="E36"/>
      <c r="F36"/>
      <c r="G36"/>
      <c r="H36"/>
      <c r="I36"/>
      <c r="J36"/>
      <c r="K36" s="5"/>
      <c r="M36" s="42" t="s">
        <v>79</v>
      </c>
      <c r="N36" s="34">
        <v>0</v>
      </c>
    </row>
    <row r="37" spans="1:14" s="3" customFormat="1" ht="25.8" x14ac:dyDescent="0.35">
      <c r="A37" s="5"/>
      <c r="B37"/>
      <c r="C37"/>
      <c r="D37"/>
      <c r="E37"/>
      <c r="F37"/>
      <c r="G37"/>
      <c r="H37"/>
      <c r="I37"/>
      <c r="J37"/>
      <c r="K37" s="5"/>
      <c r="M37" s="42" t="s">
        <v>80</v>
      </c>
      <c r="N37" s="34">
        <v>0</v>
      </c>
    </row>
    <row r="38" spans="1:14" s="3" customFormat="1" ht="25.8" x14ac:dyDescent="0.35">
      <c r="A38" s="5"/>
      <c r="B38"/>
      <c r="C38"/>
      <c r="D38"/>
      <c r="E38"/>
      <c r="F38"/>
      <c r="G38"/>
      <c r="H38"/>
      <c r="I38"/>
      <c r="J38"/>
      <c r="K38" s="5"/>
      <c r="M38" s="42" t="s">
        <v>81</v>
      </c>
      <c r="N38" s="34">
        <v>2</v>
      </c>
    </row>
    <row r="39" spans="1:14" s="3" customFormat="1" ht="25.8" x14ac:dyDescent="0.35">
      <c r="A39" s="5"/>
      <c r="B39"/>
      <c r="C39"/>
      <c r="D39"/>
      <c r="E39"/>
      <c r="F39"/>
      <c r="G39"/>
      <c r="H39"/>
      <c r="I39"/>
      <c r="J39"/>
      <c r="K39" s="5"/>
      <c r="M39" s="42" t="s">
        <v>82</v>
      </c>
      <c r="N39" s="34">
        <v>0</v>
      </c>
    </row>
    <row r="40" spans="1:14" s="3" customFormat="1" ht="25.8" x14ac:dyDescent="0.35">
      <c r="A40" s="5"/>
      <c r="B40"/>
      <c r="C40"/>
      <c r="D40"/>
      <c r="E40"/>
      <c r="F40"/>
      <c r="G40"/>
      <c r="H40"/>
      <c r="I40"/>
      <c r="J40"/>
      <c r="K40" s="5"/>
      <c r="M40" s="42" t="s">
        <v>83</v>
      </c>
      <c r="N40" s="34">
        <v>1</v>
      </c>
    </row>
    <row r="41" spans="1:14" s="3" customFormat="1" ht="25.8" x14ac:dyDescent="0.35">
      <c r="A41" s="5"/>
      <c r="B41"/>
      <c r="C41"/>
      <c r="D41"/>
      <c r="E41"/>
      <c r="F41"/>
      <c r="G41"/>
      <c r="H41"/>
      <c r="I41"/>
      <c r="J41"/>
      <c r="K41" s="5"/>
      <c r="M41" s="42" t="s">
        <v>84</v>
      </c>
      <c r="N41" s="34">
        <v>0</v>
      </c>
    </row>
    <row r="42" spans="1:14" s="3" customFormat="1" ht="25.8" x14ac:dyDescent="0.35">
      <c r="A42" s="5"/>
      <c r="B42"/>
      <c r="C42"/>
      <c r="D42"/>
      <c r="E42"/>
      <c r="F42"/>
      <c r="G42"/>
      <c r="H42"/>
      <c r="I42"/>
      <c r="J42"/>
      <c r="K42" s="5"/>
      <c r="M42" s="42" t="s">
        <v>85</v>
      </c>
      <c r="N42" s="34">
        <v>0</v>
      </c>
    </row>
    <row r="43" spans="1:14" s="3" customFormat="1" ht="25.8" x14ac:dyDescent="0.35">
      <c r="A43" s="5"/>
      <c r="B43"/>
      <c r="C43"/>
      <c r="D43"/>
      <c r="E43"/>
      <c r="F43"/>
      <c r="G43"/>
      <c r="H43"/>
      <c r="I43"/>
      <c r="J43"/>
      <c r="K43" s="5"/>
      <c r="M43" s="42" t="s">
        <v>24</v>
      </c>
      <c r="N43" s="34">
        <v>0</v>
      </c>
    </row>
    <row r="44" spans="1:14" s="3" customFormat="1" ht="25.8" x14ac:dyDescent="0.35">
      <c r="A44" s="5"/>
      <c r="B44"/>
      <c r="C44"/>
      <c r="D44"/>
      <c r="E44"/>
      <c r="F44"/>
      <c r="G44"/>
      <c r="H44"/>
      <c r="I44"/>
      <c r="J44"/>
      <c r="K44" s="5"/>
      <c r="M44" s="42" t="s">
        <v>86</v>
      </c>
      <c r="N44" s="34">
        <v>0</v>
      </c>
    </row>
    <row r="45" spans="1:14" s="3" customFormat="1" ht="25.8" x14ac:dyDescent="0.35">
      <c r="A45" s="5"/>
      <c r="B45"/>
      <c r="C45"/>
      <c r="D45"/>
      <c r="E45"/>
      <c r="F45"/>
      <c r="G45"/>
      <c r="H45"/>
      <c r="I45"/>
      <c r="J45"/>
      <c r="K45" s="5"/>
      <c r="M45" s="42" t="s">
        <v>87</v>
      </c>
      <c r="N45" s="34">
        <v>0</v>
      </c>
    </row>
    <row r="46" spans="1:14" s="3" customFormat="1" ht="25.8" x14ac:dyDescent="0.35">
      <c r="A46" s="5"/>
      <c r="B46"/>
      <c r="C46"/>
      <c r="D46"/>
      <c r="E46"/>
      <c r="F46"/>
      <c r="G46"/>
      <c r="H46"/>
      <c r="I46"/>
      <c r="J46"/>
      <c r="K46" s="5"/>
      <c r="M46" s="42" t="s">
        <v>88</v>
      </c>
      <c r="N46" s="34">
        <v>0</v>
      </c>
    </row>
    <row r="47" spans="1:14" s="3" customFormat="1" ht="25.8" x14ac:dyDescent="0.35">
      <c r="A47" s="5"/>
      <c r="B47"/>
      <c r="C47"/>
      <c r="D47"/>
      <c r="E47"/>
      <c r="F47"/>
      <c r="G47"/>
      <c r="H47"/>
      <c r="I47"/>
      <c r="J47"/>
      <c r="K47" s="5"/>
      <c r="M47" s="42" t="s">
        <v>89</v>
      </c>
      <c r="N47" s="34">
        <v>0</v>
      </c>
    </row>
    <row r="48" spans="1:14" s="3" customFormat="1" ht="25.8" x14ac:dyDescent="0.35">
      <c r="A48" s="5"/>
      <c r="B48"/>
      <c r="C48"/>
      <c r="D48"/>
      <c r="E48"/>
      <c r="F48"/>
      <c r="G48"/>
      <c r="H48"/>
      <c r="I48"/>
      <c r="J48"/>
      <c r="K48" s="5"/>
      <c r="M48" s="42" t="s">
        <v>94</v>
      </c>
      <c r="N48" s="34">
        <v>0</v>
      </c>
    </row>
    <row r="49" spans="1:14" s="3" customFormat="1" ht="25.8" x14ac:dyDescent="0.35">
      <c r="A49" s="5"/>
      <c r="B49"/>
      <c r="C49"/>
      <c r="D49"/>
      <c r="E49"/>
      <c r="F49"/>
      <c r="G49"/>
      <c r="H49"/>
      <c r="I49"/>
      <c r="J49"/>
      <c r="K49" s="5"/>
      <c r="M49" s="42" t="s">
        <v>90</v>
      </c>
      <c r="N49" s="34">
        <v>0</v>
      </c>
    </row>
    <row r="50" spans="1:14" s="3" customFormat="1" ht="25.8" x14ac:dyDescent="0.35">
      <c r="A50" s="5"/>
      <c r="B50"/>
      <c r="C50"/>
      <c r="D50"/>
      <c r="E50"/>
      <c r="F50"/>
      <c r="G50"/>
      <c r="H50"/>
      <c r="I50"/>
      <c r="J50"/>
      <c r="K50" s="5"/>
      <c r="M50" s="42" t="s">
        <v>93</v>
      </c>
      <c r="N50" s="34">
        <v>0</v>
      </c>
    </row>
    <row r="51" spans="1:14" s="3" customFormat="1" ht="25.8" x14ac:dyDescent="0.35">
      <c r="A51" s="5"/>
      <c r="B51"/>
      <c r="C51"/>
      <c r="D51"/>
      <c r="E51"/>
      <c r="F51"/>
      <c r="G51"/>
      <c r="H51"/>
      <c r="I51"/>
      <c r="J51"/>
      <c r="K51" s="5"/>
      <c r="M51" s="42" t="s">
        <v>91</v>
      </c>
      <c r="N51" s="34">
        <v>0</v>
      </c>
    </row>
    <row r="52" spans="1:14" s="3" customFormat="1" ht="25.8" x14ac:dyDescent="0.35">
      <c r="A52" s="5"/>
      <c r="B52"/>
      <c r="C52"/>
      <c r="D52"/>
      <c r="E52"/>
      <c r="F52"/>
      <c r="G52"/>
      <c r="H52"/>
      <c r="I52"/>
      <c r="J52"/>
      <c r="K52" s="5"/>
      <c r="M52" s="42" t="s">
        <v>45</v>
      </c>
      <c r="N52" s="34">
        <v>0</v>
      </c>
    </row>
    <row r="53" spans="1:14" s="3" customFormat="1" ht="25.8" x14ac:dyDescent="0.35">
      <c r="A53" s="5"/>
      <c r="B53"/>
      <c r="C53"/>
      <c r="D53"/>
      <c r="E53"/>
      <c r="F53"/>
      <c r="G53"/>
      <c r="H53"/>
      <c r="I53"/>
      <c r="J53"/>
      <c r="K53" s="5"/>
      <c r="M53" s="42" t="s">
        <v>92</v>
      </c>
      <c r="N53" s="34">
        <v>0</v>
      </c>
    </row>
    <row r="54" spans="1:14" s="3" customFormat="1" ht="25.8" x14ac:dyDescent="0.35">
      <c r="A54" s="5"/>
      <c r="B54"/>
      <c r="C54"/>
      <c r="D54"/>
      <c r="E54"/>
      <c r="F54"/>
      <c r="G54"/>
      <c r="H54"/>
      <c r="I54"/>
      <c r="J54"/>
      <c r="K54" s="5"/>
      <c r="M54" s="42" t="s">
        <v>52</v>
      </c>
      <c r="N54" s="34">
        <v>0</v>
      </c>
    </row>
    <row r="55" spans="1:14" s="3" customFormat="1" ht="25.8" x14ac:dyDescent="0.35">
      <c r="A55" s="5"/>
      <c r="B55"/>
      <c r="C55"/>
      <c r="D55"/>
      <c r="E55"/>
      <c r="F55"/>
      <c r="G55"/>
      <c r="H55"/>
      <c r="I55"/>
      <c r="J55"/>
      <c r="K55" s="5"/>
      <c r="M55" s="42" t="s">
        <v>95</v>
      </c>
      <c r="N55" s="34">
        <v>0</v>
      </c>
    </row>
    <row r="56" spans="1:14" s="3" customFormat="1" ht="25.8" x14ac:dyDescent="0.35">
      <c r="A56" s="5"/>
      <c r="B56"/>
      <c r="C56"/>
      <c r="D56"/>
      <c r="E56"/>
      <c r="F56"/>
      <c r="G56"/>
      <c r="H56"/>
      <c r="I56"/>
      <c r="J56"/>
      <c r="K56" s="5"/>
      <c r="M56" s="42" t="s">
        <v>25</v>
      </c>
      <c r="N56" s="34">
        <v>0</v>
      </c>
    </row>
    <row r="57" spans="1:14" s="3" customFormat="1" ht="27" thickBot="1" x14ac:dyDescent="0.4">
      <c r="A57" s="5"/>
      <c r="B57"/>
      <c r="C57"/>
      <c r="D57"/>
      <c r="E57"/>
      <c r="F57"/>
      <c r="G57"/>
      <c r="H57"/>
      <c r="I57"/>
      <c r="J57"/>
      <c r="K57" s="5"/>
      <c r="M57" s="41"/>
      <c r="N57" s="35">
        <f>SUM(N3:N56)</f>
        <v>6</v>
      </c>
    </row>
    <row r="58" spans="1:14" s="3" customFormat="1" ht="21" thickTop="1" x14ac:dyDescent="0.35">
      <c r="A58" s="5"/>
      <c r="B58"/>
      <c r="C58"/>
      <c r="D58"/>
      <c r="E58"/>
      <c r="F58"/>
      <c r="G58"/>
      <c r="H58"/>
      <c r="I58"/>
      <c r="J58"/>
      <c r="K58" s="5"/>
      <c r="M58"/>
      <c r="N58"/>
    </row>
    <row r="59" spans="1:14" s="3" customFormat="1" ht="20.399999999999999" x14ac:dyDescent="0.35">
      <c r="A59" s="5"/>
      <c r="B59"/>
      <c r="C59"/>
      <c r="D59"/>
      <c r="E59"/>
      <c r="F59"/>
      <c r="G59"/>
      <c r="H59"/>
      <c r="I59"/>
      <c r="J59"/>
      <c r="K59" s="5"/>
      <c r="M59"/>
      <c r="N59"/>
    </row>
    <row r="60" spans="1:14" s="3" customFormat="1" ht="20.399999999999999" x14ac:dyDescent="0.35">
      <c r="A60" s="5"/>
      <c r="B60"/>
      <c r="C60"/>
      <c r="D60"/>
      <c r="E60"/>
      <c r="F60"/>
      <c r="G60"/>
      <c r="H60"/>
      <c r="I60"/>
      <c r="J60"/>
      <c r="K60" s="5"/>
      <c r="M60"/>
      <c r="N60"/>
    </row>
    <row r="61" spans="1:14" s="3" customFormat="1" ht="20.399999999999999" x14ac:dyDescent="0.35">
      <c r="A61" s="5"/>
      <c r="B61"/>
      <c r="C61"/>
      <c r="D61"/>
      <c r="E61"/>
      <c r="F61"/>
      <c r="G61"/>
      <c r="H61"/>
      <c r="I61"/>
      <c r="J61"/>
      <c r="K61" s="5"/>
      <c r="M61"/>
      <c r="N61"/>
    </row>
    <row r="62" spans="1:14" s="3" customFormat="1" ht="20.399999999999999" x14ac:dyDescent="0.35">
      <c r="A62" s="5"/>
      <c r="B62"/>
      <c r="C62"/>
      <c r="D62"/>
      <c r="E62"/>
      <c r="F62"/>
      <c r="G62"/>
      <c r="H62"/>
      <c r="I62"/>
      <c r="J62"/>
      <c r="K62" s="5"/>
      <c r="M62"/>
      <c r="N62"/>
    </row>
    <row r="63" spans="1:14" s="3" customFormat="1" ht="20.399999999999999" x14ac:dyDescent="0.35">
      <c r="A63" s="5"/>
      <c r="B63"/>
      <c r="C63"/>
      <c r="D63"/>
      <c r="E63"/>
      <c r="F63"/>
      <c r="G63"/>
      <c r="H63"/>
      <c r="I63"/>
      <c r="J63"/>
      <c r="K63" s="5"/>
      <c r="M63"/>
      <c r="N63"/>
    </row>
    <row r="64" spans="1:14" s="3" customFormat="1" ht="20.399999999999999" x14ac:dyDescent="0.35">
      <c r="A64" s="5"/>
      <c r="B64"/>
      <c r="C64"/>
      <c r="D64"/>
      <c r="E64"/>
      <c r="F64"/>
      <c r="G64"/>
      <c r="H64"/>
      <c r="I64"/>
      <c r="J64"/>
      <c r="K64" s="5"/>
      <c r="M64"/>
      <c r="N64"/>
    </row>
    <row r="65" spans="1:14" s="3" customFormat="1" ht="20.399999999999999" x14ac:dyDescent="0.35">
      <c r="A65" s="5"/>
      <c r="B65"/>
      <c r="C65"/>
      <c r="D65"/>
      <c r="E65"/>
      <c r="F65"/>
      <c r="G65"/>
      <c r="H65"/>
      <c r="I65"/>
      <c r="J65"/>
      <c r="K65" s="5"/>
      <c r="M65"/>
      <c r="N65"/>
    </row>
    <row r="66" spans="1:14" s="3" customFormat="1" ht="20.399999999999999" x14ac:dyDescent="0.35">
      <c r="A66" s="5"/>
      <c r="B66"/>
      <c r="C66"/>
      <c r="D66"/>
      <c r="E66"/>
      <c r="F66"/>
      <c r="G66"/>
      <c r="H66"/>
      <c r="I66"/>
      <c r="J66"/>
      <c r="K66" s="5"/>
      <c r="M66"/>
      <c r="N66"/>
    </row>
    <row r="67" spans="1:14" s="3" customFormat="1" ht="20.399999999999999" x14ac:dyDescent="0.35">
      <c r="A67" s="5"/>
      <c r="B67"/>
      <c r="C67"/>
      <c r="D67"/>
      <c r="E67"/>
      <c r="F67"/>
      <c r="G67"/>
      <c r="H67"/>
      <c r="I67"/>
      <c r="J67"/>
      <c r="K67" s="5"/>
      <c r="M67"/>
      <c r="N67"/>
    </row>
    <row r="68" spans="1:14" s="3" customFormat="1" ht="20.399999999999999" x14ac:dyDescent="0.35">
      <c r="A68" s="5"/>
      <c r="B68"/>
      <c r="C68"/>
      <c r="D68"/>
      <c r="E68"/>
      <c r="F68"/>
      <c r="G68"/>
      <c r="H68"/>
      <c r="I68"/>
      <c r="J68"/>
      <c r="K68" s="5"/>
      <c r="M68"/>
      <c r="N68"/>
    </row>
    <row r="69" spans="1:14" s="3" customFormat="1" ht="20.399999999999999" x14ac:dyDescent="0.35">
      <c r="A69" s="5"/>
      <c r="B69"/>
      <c r="C69"/>
      <c r="D69"/>
      <c r="E69"/>
      <c r="F69"/>
      <c r="G69"/>
      <c r="H69"/>
      <c r="I69"/>
      <c r="J69"/>
      <c r="K69" s="5"/>
      <c r="M69"/>
      <c r="N69"/>
    </row>
    <row r="70" spans="1:14" s="3" customFormat="1" ht="20.399999999999999" x14ac:dyDescent="0.35">
      <c r="A70" s="5"/>
      <c r="B70"/>
      <c r="C70"/>
      <c r="D70"/>
      <c r="E70"/>
      <c r="F70"/>
      <c r="G70"/>
      <c r="H70"/>
      <c r="I70"/>
      <c r="J70"/>
      <c r="K70" s="5"/>
      <c r="M70"/>
      <c r="N70"/>
    </row>
    <row r="71" spans="1:14" s="3" customFormat="1" ht="20.399999999999999" x14ac:dyDescent="0.35">
      <c r="A71" s="5"/>
      <c r="B71"/>
      <c r="C71"/>
      <c r="D71"/>
      <c r="E71"/>
      <c r="F71"/>
      <c r="G71"/>
      <c r="H71"/>
      <c r="I71"/>
      <c r="J71"/>
      <c r="K71" s="5"/>
      <c r="M71"/>
      <c r="N71"/>
    </row>
    <row r="72" spans="1:14" s="3" customFormat="1" ht="20.399999999999999" x14ac:dyDescent="0.35">
      <c r="A72" s="5"/>
      <c r="B72"/>
      <c r="C72"/>
      <c r="D72"/>
      <c r="E72"/>
      <c r="F72"/>
      <c r="G72"/>
      <c r="H72"/>
      <c r="I72"/>
      <c r="J72"/>
      <c r="K72" s="5"/>
      <c r="M72"/>
      <c r="N72"/>
    </row>
    <row r="73" spans="1:14" s="3" customFormat="1" ht="20.399999999999999" x14ac:dyDescent="0.35">
      <c r="A73" s="5"/>
      <c r="B73"/>
      <c r="C73"/>
      <c r="D73"/>
      <c r="E73"/>
      <c r="F73"/>
      <c r="G73"/>
      <c r="H73"/>
      <c r="I73"/>
      <c r="J73"/>
      <c r="K73" s="5"/>
      <c r="M73"/>
      <c r="N73"/>
    </row>
    <row r="74" spans="1:14" s="3" customFormat="1" ht="20.399999999999999" x14ac:dyDescent="0.35">
      <c r="A74" s="5"/>
      <c r="B74"/>
      <c r="C74"/>
      <c r="D74"/>
      <c r="E74"/>
      <c r="F74"/>
      <c r="G74"/>
      <c r="H74"/>
      <c r="I74"/>
      <c r="J74"/>
      <c r="K74" s="5"/>
      <c r="M74"/>
      <c r="N74"/>
    </row>
    <row r="75" spans="1:14" s="3" customFormat="1" ht="20.399999999999999" x14ac:dyDescent="0.35">
      <c r="A75" s="5"/>
      <c r="B75"/>
      <c r="C75"/>
      <c r="D75"/>
      <c r="E75"/>
      <c r="F75"/>
      <c r="G75"/>
      <c r="H75"/>
      <c r="I75"/>
      <c r="J75"/>
      <c r="K75" s="5"/>
      <c r="M75"/>
      <c r="N75"/>
    </row>
    <row r="76" spans="1:14" s="3" customFormat="1" ht="20.399999999999999" x14ac:dyDescent="0.35">
      <c r="A76" s="5"/>
      <c r="B76"/>
      <c r="C76"/>
      <c r="D76"/>
      <c r="E76"/>
      <c r="F76"/>
      <c r="G76"/>
      <c r="H76"/>
      <c r="I76"/>
      <c r="J76"/>
      <c r="K76" s="5"/>
      <c r="M76"/>
      <c r="N76"/>
    </row>
    <row r="77" spans="1:14" s="3" customFormat="1" ht="20.399999999999999" x14ac:dyDescent="0.35">
      <c r="A77" s="5"/>
      <c r="B77"/>
      <c r="C77"/>
      <c r="D77"/>
      <c r="E77"/>
      <c r="F77"/>
      <c r="G77"/>
      <c r="H77"/>
      <c r="I77"/>
      <c r="J77"/>
      <c r="K77" s="5"/>
      <c r="M77"/>
      <c r="N77"/>
    </row>
    <row r="78" spans="1:14" x14ac:dyDescent="0.25">
      <c r="L78" s="5"/>
      <c r="M78"/>
    </row>
    <row r="79" spans="1:14" x14ac:dyDescent="0.25">
      <c r="L79" s="5"/>
      <c r="M79"/>
    </row>
    <row r="80" spans="1:14" x14ac:dyDescent="0.25">
      <c r="L80" s="5"/>
      <c r="M80"/>
    </row>
    <row r="81" spans="12:13" x14ac:dyDescent="0.25">
      <c r="L81" s="5"/>
      <c r="M81"/>
    </row>
    <row r="82" spans="12:13" x14ac:dyDescent="0.25">
      <c r="L82" s="5"/>
      <c r="M82"/>
    </row>
    <row r="83" spans="12:13" x14ac:dyDescent="0.25">
      <c r="L83" s="5"/>
      <c r="M83"/>
    </row>
    <row r="84" spans="12:13" x14ac:dyDescent="0.25">
      <c r="L84" s="5"/>
      <c r="M84"/>
    </row>
    <row r="85" spans="12:13" x14ac:dyDescent="0.25">
      <c r="L85" s="5"/>
      <c r="M85"/>
    </row>
    <row r="86" spans="12:13" x14ac:dyDescent="0.25">
      <c r="L86" s="5"/>
      <c r="M86"/>
    </row>
    <row r="87" spans="12:13" x14ac:dyDescent="0.25">
      <c r="L87" s="5"/>
      <c r="M87"/>
    </row>
    <row r="88" spans="12:13" x14ac:dyDescent="0.25">
      <c r="L88" s="5"/>
      <c r="M88"/>
    </row>
    <row r="89" spans="12:13" x14ac:dyDescent="0.25">
      <c r="L89" s="5"/>
      <c r="M89"/>
    </row>
    <row r="90" spans="12:13" x14ac:dyDescent="0.25">
      <c r="L90" s="5"/>
      <c r="M90"/>
    </row>
    <row r="91" spans="12:13" x14ac:dyDescent="0.25">
      <c r="L91" s="5"/>
      <c r="M91"/>
    </row>
    <row r="92" spans="12:13" x14ac:dyDescent="0.25">
      <c r="L92" s="5"/>
      <c r="M92"/>
    </row>
    <row r="93" spans="12:13" x14ac:dyDescent="0.25">
      <c r="L93" s="5"/>
      <c r="M93"/>
    </row>
    <row r="94" spans="12:13" x14ac:dyDescent="0.25">
      <c r="L94" s="5"/>
      <c r="M94"/>
    </row>
    <row r="95" spans="12:13" x14ac:dyDescent="0.25">
      <c r="L95" s="5"/>
      <c r="M95"/>
    </row>
    <row r="96" spans="12:13" x14ac:dyDescent="0.25">
      <c r="L96" s="5"/>
      <c r="M96"/>
    </row>
    <row r="97" spans="12:13" x14ac:dyDescent="0.25">
      <c r="L97" s="5"/>
      <c r="M97"/>
    </row>
    <row r="98" spans="12:13" x14ac:dyDescent="0.25">
      <c r="L98" s="5"/>
      <c r="M98"/>
    </row>
    <row r="99" spans="12:13" x14ac:dyDescent="0.25">
      <c r="L99" s="5"/>
      <c r="M99"/>
    </row>
    <row r="100" spans="12:13" x14ac:dyDescent="0.25">
      <c r="M100"/>
    </row>
  </sheetData>
  <autoFilter ref="A2:N77" xr:uid="{C05F9277-E941-4F8C-B88B-7443D998D414}">
    <sortState xmlns:xlrd2="http://schemas.microsoft.com/office/spreadsheetml/2017/richdata2" ref="A3:N73">
      <sortCondition ref="G2:G33"/>
    </sortState>
  </autoFilter>
  <conditionalFormatting sqref="J1:J8">
    <cfRule type="containsText" dxfId="33" priority="5" operator="containsText" text="ไม่พบ">
      <formula>NOT(ISERROR(SEARCH("ไม่พบ",J1)))</formula>
    </cfRule>
  </conditionalFormatting>
  <conditionalFormatting sqref="J10:J1048576">
    <cfRule type="containsText" dxfId="32" priority="9" operator="containsText" text="ไม่พบ">
      <formula>NOT(ISERROR(SEARCH("ไม่พบ",J10)))</formula>
    </cfRule>
  </conditionalFormatting>
  <conditionalFormatting sqref="K4:K8">
    <cfRule type="containsText" dxfId="31" priority="1" operator="containsText" text="ไม่พบ">
      <formula>NOT(ISERROR(SEARCH("ไม่พบ",K4)))</formula>
    </cfRule>
  </conditionalFormatting>
  <conditionalFormatting sqref="L78:L99">
    <cfRule type="duplicateValues" dxfId="30" priority="83"/>
    <cfRule type="duplicateValues" dxfId="29" priority="84"/>
  </conditionalFormatting>
  <conditionalFormatting sqref="M2">
    <cfRule type="duplicateValues" dxfId="28" priority="4"/>
  </conditionalFormatting>
  <conditionalFormatting sqref="M101:M1048576 M1">
    <cfRule type="duplicateValues" dxfId="27" priority="20"/>
    <cfRule type="duplicateValues" dxfId="26" priority="21"/>
  </conditionalFormatting>
  <conditionalFormatting sqref="N2">
    <cfRule type="duplicateValues" dxfId="25" priority="2"/>
    <cfRule type="duplicateValues" dxfId="24" priority="3"/>
  </conditionalFormatting>
  <dataValidations count="1">
    <dataValidation type="list" allowBlank="1" showInputMessage="1" showErrorMessage="1" sqref="I10:I30 K10:K1048576 K1:K2 I4:I8" xr:uid="{F3EEEDF8-414D-40E9-A91A-EBA1FBDB8A2C}">
      <formula1>$M$3:$M$35</formula1>
    </dataValidation>
  </dataValidations>
  <pageMargins left="0.7" right="0.7" top="0.75" bottom="0.75" header="0.3" footer="0.3"/>
  <pageSetup paperSize="9" scale="28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23B8-94E3-452A-8270-F8FA5E3645F7}">
  <sheetPr>
    <tabColor rgb="FF00B0F0"/>
  </sheetPr>
  <dimension ref="A1:M109"/>
  <sheetViews>
    <sheetView zoomScale="70" zoomScaleNormal="70" workbookViewId="0">
      <pane xSplit="4" ySplit="2" topLeftCell="E15" activePane="bottomRight" state="frozen"/>
      <selection activeCell="M2" sqref="M2:N57"/>
      <selection pane="topRight" activeCell="M2" sqref="M2:N57"/>
      <selection pane="bottomLeft" activeCell="M2" sqref="M2:N57"/>
      <selection pane="bottomRight" activeCell="H31" sqref="H31"/>
    </sheetView>
  </sheetViews>
  <sheetFormatPr defaultColWidth="54.69921875" defaultRowHeight="13.8" x14ac:dyDescent="0.25"/>
  <cols>
    <col min="1" max="1" width="11" style="12" customWidth="1"/>
    <col min="2" max="2" width="15.69921875" style="11" bestFit="1" customWidth="1"/>
    <col min="3" max="3" width="38.296875" style="11" customWidth="1"/>
    <col min="4" max="4" width="16.19921875" style="11" bestFit="1" customWidth="1"/>
    <col min="5" max="5" width="29.296875" style="11" bestFit="1" customWidth="1"/>
    <col min="6" max="6" width="18.296875" style="11" bestFit="1" customWidth="1"/>
    <col min="7" max="7" width="17.296875" style="11" bestFit="1" customWidth="1"/>
    <col min="8" max="8" width="16.796875" style="11" bestFit="1" customWidth="1"/>
    <col min="9" max="9" width="56.19921875" style="12" bestFit="1" customWidth="1"/>
    <col min="10" max="10" width="17.296875" style="11" customWidth="1"/>
    <col min="11" max="11" width="74.8984375" style="11" customWidth="1"/>
    <col min="12" max="16384" width="54.69921875" style="11"/>
  </cols>
  <sheetData>
    <row r="1" spans="1:13" ht="51.6" x14ac:dyDescent="0.25">
      <c r="A1" s="8" t="s">
        <v>922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13" s="3" customFormat="1" ht="23.4" x14ac:dyDescent="0.6">
      <c r="A3" s="9">
        <v>1</v>
      </c>
      <c r="B3" s="1" t="s">
        <v>5667</v>
      </c>
      <c r="C3" s="1" t="s">
        <v>5668</v>
      </c>
      <c r="D3" s="1" t="s">
        <v>989</v>
      </c>
      <c r="E3" s="1" t="s">
        <v>8</v>
      </c>
      <c r="F3" s="1" t="s">
        <v>990</v>
      </c>
      <c r="G3" s="1" t="s">
        <v>5669</v>
      </c>
      <c r="H3" s="1">
        <v>227.01</v>
      </c>
      <c r="I3" s="23" t="s">
        <v>992</v>
      </c>
      <c r="J3" s="14"/>
      <c r="M3" s="14"/>
    </row>
    <row r="4" spans="1:13" s="3" customFormat="1" ht="23.4" x14ac:dyDescent="0.6">
      <c r="A4" s="9">
        <v>2</v>
      </c>
      <c r="B4" s="1" t="s">
        <v>5670</v>
      </c>
      <c r="C4" s="1" t="s">
        <v>5671</v>
      </c>
      <c r="D4" s="1" t="s">
        <v>989</v>
      </c>
      <c r="E4" s="1" t="s">
        <v>8</v>
      </c>
      <c r="F4" s="1" t="s">
        <v>990</v>
      </c>
      <c r="G4" s="1" t="s">
        <v>5672</v>
      </c>
      <c r="H4" s="1">
        <v>164.7</v>
      </c>
      <c r="I4" s="23" t="s">
        <v>992</v>
      </c>
      <c r="J4" s="14"/>
      <c r="M4" s="14"/>
    </row>
    <row r="5" spans="1:13" s="3" customFormat="1" ht="23.4" x14ac:dyDescent="0.6">
      <c r="A5" s="9">
        <v>3</v>
      </c>
      <c r="B5" s="1" t="s">
        <v>5673</v>
      </c>
      <c r="C5" s="1" t="s">
        <v>5674</v>
      </c>
      <c r="D5" s="1" t="s">
        <v>1004</v>
      </c>
      <c r="E5" s="1" t="s">
        <v>5675</v>
      </c>
      <c r="F5" s="1" t="s">
        <v>1006</v>
      </c>
      <c r="G5" s="1" t="s">
        <v>5676</v>
      </c>
      <c r="H5" s="1">
        <v>280</v>
      </c>
      <c r="I5" s="23" t="s">
        <v>992</v>
      </c>
      <c r="J5" s="14"/>
      <c r="M5" s="14"/>
    </row>
    <row r="6" spans="1:13" s="3" customFormat="1" ht="23.4" x14ac:dyDescent="0.6">
      <c r="A6" s="9">
        <v>4</v>
      </c>
      <c r="B6" s="1" t="s">
        <v>5677</v>
      </c>
      <c r="C6" s="1" t="s">
        <v>1114</v>
      </c>
      <c r="D6" s="1" t="s">
        <v>999</v>
      </c>
      <c r="E6" s="1" t="s">
        <v>5678</v>
      </c>
      <c r="F6" s="1" t="s">
        <v>8</v>
      </c>
      <c r="G6" s="1" t="s">
        <v>5679</v>
      </c>
      <c r="H6" s="1">
        <v>81</v>
      </c>
      <c r="I6" s="23" t="s">
        <v>992</v>
      </c>
      <c r="J6" s="14"/>
      <c r="M6" s="14"/>
    </row>
    <row r="7" spans="1:13" s="3" customFormat="1" ht="23.4" x14ac:dyDescent="0.6">
      <c r="A7" s="9">
        <v>5</v>
      </c>
      <c r="B7" s="1" t="s">
        <v>5680</v>
      </c>
      <c r="C7" s="1" t="s">
        <v>5681</v>
      </c>
      <c r="D7" s="1" t="s">
        <v>1004</v>
      </c>
      <c r="E7" s="1" t="s">
        <v>5682</v>
      </c>
      <c r="F7" s="1" t="s">
        <v>1006</v>
      </c>
      <c r="G7" s="1" t="s">
        <v>5683</v>
      </c>
      <c r="H7" s="1">
        <v>380</v>
      </c>
      <c r="I7" s="23" t="s">
        <v>992</v>
      </c>
      <c r="J7" s="14"/>
      <c r="M7" s="14"/>
    </row>
    <row r="8" spans="1:13" s="3" customFormat="1" ht="23.4" x14ac:dyDescent="0.6">
      <c r="A8" s="9">
        <v>6</v>
      </c>
      <c r="B8" s="1" t="s">
        <v>5684</v>
      </c>
      <c r="C8" s="1" t="s">
        <v>5685</v>
      </c>
      <c r="D8" s="1" t="s">
        <v>999</v>
      </c>
      <c r="E8" s="1" t="s">
        <v>5686</v>
      </c>
      <c r="F8" s="1" t="s">
        <v>8</v>
      </c>
      <c r="G8" s="1" t="s">
        <v>5687</v>
      </c>
      <c r="H8" s="1">
        <v>72</v>
      </c>
      <c r="I8" s="23" t="s">
        <v>992</v>
      </c>
      <c r="J8" s="14"/>
      <c r="M8" s="14"/>
    </row>
    <row r="9" spans="1:13" s="3" customFormat="1" ht="23.4" x14ac:dyDescent="0.6">
      <c r="A9" s="9">
        <v>7</v>
      </c>
      <c r="B9" s="1" t="s">
        <v>5688</v>
      </c>
      <c r="C9" s="1" t="s">
        <v>5689</v>
      </c>
      <c r="D9" s="1" t="s">
        <v>999</v>
      </c>
      <c r="E9" s="1" t="s">
        <v>5690</v>
      </c>
      <c r="F9" s="1" t="s">
        <v>8</v>
      </c>
      <c r="G9" s="1" t="s">
        <v>5691</v>
      </c>
      <c r="H9" s="1">
        <v>270</v>
      </c>
      <c r="I9" s="23" t="s">
        <v>992</v>
      </c>
      <c r="J9" s="14"/>
      <c r="M9" s="14"/>
    </row>
    <row r="10" spans="1:13" s="3" customFormat="1" ht="25.8" x14ac:dyDescent="0.65">
      <c r="A10" s="9">
        <v>8</v>
      </c>
      <c r="B10" s="117" t="s">
        <v>5692</v>
      </c>
      <c r="C10" s="117" t="s">
        <v>5693</v>
      </c>
      <c r="D10" s="117" t="s">
        <v>1004</v>
      </c>
      <c r="E10" s="117" t="s">
        <v>5694</v>
      </c>
      <c r="F10" s="117" t="s">
        <v>1006</v>
      </c>
      <c r="G10" s="117" t="s">
        <v>5695</v>
      </c>
      <c r="H10" s="117">
        <v>210</v>
      </c>
      <c r="I10" s="54" t="s">
        <v>992</v>
      </c>
      <c r="J10" s="14"/>
      <c r="M10" s="14"/>
    </row>
    <row r="11" spans="1:13" s="3" customFormat="1" ht="25.8" x14ac:dyDescent="0.65">
      <c r="A11" s="9">
        <v>9</v>
      </c>
      <c r="B11" s="117" t="s">
        <v>5696</v>
      </c>
      <c r="C11" s="117" t="s">
        <v>5693</v>
      </c>
      <c r="D11" s="117" t="s">
        <v>1004</v>
      </c>
      <c r="E11" s="117" t="s">
        <v>5694</v>
      </c>
      <c r="F11" s="117" t="s">
        <v>1006</v>
      </c>
      <c r="G11" s="117" t="s">
        <v>5697</v>
      </c>
      <c r="H11" s="117">
        <v>210</v>
      </c>
      <c r="I11" s="54" t="s">
        <v>992</v>
      </c>
      <c r="J11" s="14"/>
      <c r="M11" s="14"/>
    </row>
    <row r="12" spans="1:13" s="3" customFormat="1" ht="25.8" x14ac:dyDescent="0.65">
      <c r="A12" s="9">
        <v>10</v>
      </c>
      <c r="B12" s="117" t="s">
        <v>5698</v>
      </c>
      <c r="C12" s="117" t="s">
        <v>5699</v>
      </c>
      <c r="D12" s="117" t="s">
        <v>1004</v>
      </c>
      <c r="E12" s="117" t="s">
        <v>5700</v>
      </c>
      <c r="F12" s="117" t="s">
        <v>1006</v>
      </c>
      <c r="G12" s="117" t="s">
        <v>5701</v>
      </c>
      <c r="H12" s="117">
        <v>90</v>
      </c>
      <c r="I12" s="54" t="s">
        <v>992</v>
      </c>
      <c r="J12" s="14"/>
      <c r="M12" s="14"/>
    </row>
    <row r="13" spans="1:13" s="3" customFormat="1" ht="23.4" x14ac:dyDescent="0.6">
      <c r="A13" s="9">
        <v>11</v>
      </c>
      <c r="B13" s="1" t="s">
        <v>5703</v>
      </c>
      <c r="C13" s="1" t="s">
        <v>5704</v>
      </c>
      <c r="D13" s="1" t="s">
        <v>989</v>
      </c>
      <c r="E13" s="1" t="s">
        <v>8</v>
      </c>
      <c r="F13" s="1" t="s">
        <v>990</v>
      </c>
      <c r="G13" s="1" t="s">
        <v>5705</v>
      </c>
      <c r="H13" s="2">
        <v>67.5</v>
      </c>
      <c r="I13" s="23" t="s">
        <v>992</v>
      </c>
      <c r="J13" s="14"/>
      <c r="M13" s="14"/>
    </row>
    <row r="14" spans="1:13" s="3" customFormat="1" ht="23.4" x14ac:dyDescent="0.6">
      <c r="A14" s="9">
        <v>12</v>
      </c>
      <c r="B14" s="1" t="s">
        <v>5706</v>
      </c>
      <c r="C14" s="1" t="s">
        <v>5707</v>
      </c>
      <c r="D14" s="1" t="s">
        <v>1004</v>
      </c>
      <c r="E14" s="1" t="s">
        <v>5708</v>
      </c>
      <c r="F14" s="1" t="s">
        <v>1006</v>
      </c>
      <c r="G14" s="1" t="s">
        <v>5709</v>
      </c>
      <c r="H14" s="2">
        <v>100</v>
      </c>
      <c r="I14" s="23" t="s">
        <v>992</v>
      </c>
      <c r="J14" s="14"/>
      <c r="M14" s="14"/>
    </row>
    <row r="15" spans="1:13" s="3" customFormat="1" ht="23.4" x14ac:dyDescent="0.6">
      <c r="A15" s="9">
        <v>13</v>
      </c>
      <c r="B15" s="1" t="s">
        <v>5710</v>
      </c>
      <c r="C15" s="1" t="s">
        <v>5711</v>
      </c>
      <c r="D15" s="1" t="s">
        <v>989</v>
      </c>
      <c r="E15" s="1" t="s">
        <v>8</v>
      </c>
      <c r="F15" s="1" t="s">
        <v>990</v>
      </c>
      <c r="G15" s="1" t="s">
        <v>5712</v>
      </c>
      <c r="H15" s="2">
        <v>66.75</v>
      </c>
      <c r="I15" s="23" t="s">
        <v>992</v>
      </c>
      <c r="J15" s="14"/>
      <c r="M15" s="14"/>
    </row>
    <row r="16" spans="1:13" s="3" customFormat="1" ht="23.4" x14ac:dyDescent="0.6">
      <c r="A16" s="9">
        <v>14</v>
      </c>
      <c r="B16" s="1" t="s">
        <v>5713</v>
      </c>
      <c r="C16" s="1" t="s">
        <v>5714</v>
      </c>
      <c r="D16" s="1" t="s">
        <v>989</v>
      </c>
      <c r="E16" s="1" t="s">
        <v>8</v>
      </c>
      <c r="F16" s="1" t="s">
        <v>990</v>
      </c>
      <c r="G16" s="1" t="s">
        <v>5715</v>
      </c>
      <c r="H16" s="2">
        <v>119.35</v>
      </c>
      <c r="I16" s="23" t="s">
        <v>992</v>
      </c>
      <c r="J16" s="14"/>
      <c r="M16" s="14"/>
    </row>
    <row r="17" spans="1:13" s="3" customFormat="1" ht="23.4" x14ac:dyDescent="0.6">
      <c r="A17" s="9">
        <v>15</v>
      </c>
      <c r="B17" s="1" t="s">
        <v>5716</v>
      </c>
      <c r="C17" s="1" t="s">
        <v>5714</v>
      </c>
      <c r="D17" s="1" t="s">
        <v>989</v>
      </c>
      <c r="E17" s="1" t="s">
        <v>8</v>
      </c>
      <c r="F17" s="1" t="s">
        <v>990</v>
      </c>
      <c r="G17" s="1" t="s">
        <v>5717</v>
      </c>
      <c r="H17" s="2">
        <v>119.35</v>
      </c>
      <c r="I17" s="23" t="s">
        <v>992</v>
      </c>
      <c r="J17" s="14"/>
      <c r="M17" s="14"/>
    </row>
    <row r="18" spans="1:13" s="3" customFormat="1" ht="23.4" x14ac:dyDescent="0.6">
      <c r="A18" s="9">
        <v>16</v>
      </c>
      <c r="B18" s="1" t="s">
        <v>5718</v>
      </c>
      <c r="C18" s="1" t="s">
        <v>5714</v>
      </c>
      <c r="D18" s="1" t="s">
        <v>989</v>
      </c>
      <c r="E18" s="1" t="s">
        <v>8</v>
      </c>
      <c r="F18" s="1" t="s">
        <v>990</v>
      </c>
      <c r="G18" s="1" t="s">
        <v>5717</v>
      </c>
      <c r="H18" s="2">
        <v>119.35</v>
      </c>
      <c r="I18" s="23" t="s">
        <v>992</v>
      </c>
      <c r="J18" s="14"/>
      <c r="M18" s="14"/>
    </row>
    <row r="19" spans="1:13" s="3" customFormat="1" ht="23.4" x14ac:dyDescent="0.6">
      <c r="A19" s="9">
        <v>17</v>
      </c>
      <c r="B19" s="1" t="s">
        <v>5719</v>
      </c>
      <c r="C19" s="1" t="s">
        <v>5720</v>
      </c>
      <c r="D19" s="1" t="s">
        <v>1004</v>
      </c>
      <c r="E19" s="1" t="s">
        <v>5721</v>
      </c>
      <c r="F19" s="1" t="s">
        <v>1006</v>
      </c>
      <c r="G19" s="1" t="s">
        <v>5722</v>
      </c>
      <c r="H19" s="2">
        <v>300</v>
      </c>
      <c r="I19" s="23" t="s">
        <v>992</v>
      </c>
      <c r="J19" s="14"/>
      <c r="M19" s="14"/>
    </row>
    <row r="20" spans="1:13" s="3" customFormat="1" ht="23.4" x14ac:dyDescent="0.6">
      <c r="A20" s="9">
        <v>18</v>
      </c>
      <c r="B20" s="1" t="s">
        <v>5727</v>
      </c>
      <c r="C20" s="1" t="s">
        <v>5728</v>
      </c>
      <c r="D20" s="1" t="s">
        <v>1004</v>
      </c>
      <c r="E20" s="1" t="s">
        <v>5729</v>
      </c>
      <c r="F20" s="1" t="s">
        <v>1006</v>
      </c>
      <c r="G20" s="1" t="s">
        <v>5730</v>
      </c>
      <c r="H20" s="2">
        <v>245</v>
      </c>
      <c r="I20" s="23" t="s">
        <v>992</v>
      </c>
      <c r="J20" s="14"/>
      <c r="M20" s="14"/>
    </row>
    <row r="21" spans="1:13" s="3" customFormat="1" ht="23.4" x14ac:dyDescent="0.6">
      <c r="A21" s="9">
        <v>19</v>
      </c>
      <c r="B21" s="1" t="s">
        <v>5752</v>
      </c>
      <c r="C21" s="1" t="s">
        <v>5753</v>
      </c>
      <c r="D21" s="1" t="s">
        <v>989</v>
      </c>
      <c r="E21" s="1" t="s">
        <v>8</v>
      </c>
      <c r="F21" s="1" t="s">
        <v>990</v>
      </c>
      <c r="G21" s="1" t="s">
        <v>5754</v>
      </c>
      <c r="H21" s="2">
        <v>89.7</v>
      </c>
      <c r="I21" s="23" t="s">
        <v>992</v>
      </c>
      <c r="J21" s="14"/>
      <c r="M21" s="14"/>
    </row>
    <row r="22" spans="1:13" s="3" customFormat="1" ht="23.4" x14ac:dyDescent="0.6">
      <c r="A22" s="9">
        <v>20</v>
      </c>
      <c r="B22" s="1" t="s">
        <v>5755</v>
      </c>
      <c r="C22" s="1" t="s">
        <v>5756</v>
      </c>
      <c r="D22" s="1" t="s">
        <v>1004</v>
      </c>
      <c r="E22" s="1" t="s">
        <v>5757</v>
      </c>
      <c r="F22" s="1" t="s">
        <v>1006</v>
      </c>
      <c r="G22" s="1" t="s">
        <v>5758</v>
      </c>
      <c r="H22" s="2">
        <v>150</v>
      </c>
      <c r="I22" s="23" t="s">
        <v>992</v>
      </c>
      <c r="J22" s="14"/>
      <c r="M22" s="14"/>
    </row>
    <row r="23" spans="1:13" ht="23.4" x14ac:dyDescent="0.6">
      <c r="A23" s="9">
        <v>21</v>
      </c>
      <c r="B23" s="1" t="s">
        <v>5759</v>
      </c>
      <c r="C23" s="1" t="s">
        <v>5760</v>
      </c>
      <c r="D23" s="1" t="s">
        <v>1004</v>
      </c>
      <c r="E23" s="1" t="s">
        <v>5761</v>
      </c>
      <c r="F23" s="1" t="s">
        <v>1006</v>
      </c>
      <c r="G23" s="1" t="s">
        <v>5762</v>
      </c>
      <c r="H23" s="2">
        <v>200</v>
      </c>
      <c r="I23" s="23" t="s">
        <v>992</v>
      </c>
      <c r="J23" s="14"/>
      <c r="K23" s="14"/>
      <c r="L23" s="14"/>
    </row>
    <row r="24" spans="1:13" ht="23.4" x14ac:dyDescent="0.6">
      <c r="A24" s="9">
        <v>22</v>
      </c>
      <c r="B24" s="1" t="s">
        <v>5763</v>
      </c>
      <c r="C24" s="1" t="s">
        <v>5764</v>
      </c>
      <c r="D24" s="1" t="s">
        <v>1004</v>
      </c>
      <c r="E24" s="1" t="s">
        <v>5765</v>
      </c>
      <c r="F24" s="1" t="s">
        <v>1006</v>
      </c>
      <c r="G24" s="1" t="s">
        <v>5766</v>
      </c>
      <c r="H24" s="2">
        <v>106</v>
      </c>
      <c r="I24" s="23" t="s">
        <v>992</v>
      </c>
      <c r="J24" s="14"/>
      <c r="K24" s="14"/>
      <c r="L24" s="14"/>
    </row>
    <row r="25" spans="1:13" ht="23.4" x14ac:dyDescent="0.6">
      <c r="A25" s="9">
        <v>23</v>
      </c>
      <c r="B25" s="1" t="s">
        <v>5767</v>
      </c>
      <c r="C25" s="1" t="s">
        <v>5768</v>
      </c>
      <c r="D25" s="1" t="s">
        <v>999</v>
      </c>
      <c r="E25" s="1" t="s">
        <v>5769</v>
      </c>
      <c r="F25" s="1" t="s">
        <v>8</v>
      </c>
      <c r="G25" s="1" t="s">
        <v>5770</v>
      </c>
      <c r="H25" s="2">
        <v>111</v>
      </c>
      <c r="I25" s="23" t="s">
        <v>992</v>
      </c>
    </row>
    <row r="26" spans="1:13" x14ac:dyDescent="0.25">
      <c r="A26" s="11"/>
      <c r="I26" s="11"/>
    </row>
    <row r="27" spans="1:13" x14ac:dyDescent="0.25">
      <c r="A27" s="11"/>
      <c r="I27" s="11"/>
    </row>
    <row r="28" spans="1:13" x14ac:dyDescent="0.25">
      <c r="A28" s="11"/>
      <c r="I28" s="11"/>
    </row>
    <row r="29" spans="1:13" x14ac:dyDescent="0.25">
      <c r="A29" s="11"/>
      <c r="I29" s="11"/>
    </row>
    <row r="30" spans="1:13" x14ac:dyDescent="0.25">
      <c r="A30" s="11"/>
      <c r="I30" s="11"/>
    </row>
    <row r="31" spans="1:13" x14ac:dyDescent="0.25">
      <c r="A31" s="11"/>
      <c r="I31" s="11"/>
    </row>
    <row r="32" spans="1:13" x14ac:dyDescent="0.25">
      <c r="A32" s="11"/>
      <c r="I32" s="11"/>
    </row>
    <row r="33" s="11" customFormat="1" x14ac:dyDescent="0.25"/>
    <row r="34" s="11" customFormat="1" x14ac:dyDescent="0.25"/>
    <row r="35" s="11" customFormat="1" x14ac:dyDescent="0.25"/>
    <row r="36" s="11" customFormat="1" x14ac:dyDescent="0.25"/>
    <row r="37" s="11" customFormat="1" x14ac:dyDescent="0.25"/>
    <row r="38" s="11" customFormat="1" x14ac:dyDescent="0.25"/>
    <row r="39" s="11" customFormat="1" x14ac:dyDescent="0.25"/>
    <row r="40" s="11" customFormat="1" x14ac:dyDescent="0.25"/>
    <row r="41" s="11" customFormat="1" x14ac:dyDescent="0.25"/>
    <row r="42" s="11" customFormat="1" x14ac:dyDescent="0.25"/>
    <row r="43" s="11" customFormat="1" x14ac:dyDescent="0.25"/>
    <row r="44" s="11" customFormat="1" x14ac:dyDescent="0.25"/>
    <row r="45" s="11" customFormat="1" x14ac:dyDescent="0.25"/>
    <row r="46" s="11" customFormat="1" x14ac:dyDescent="0.25"/>
    <row r="47" s="11" customFormat="1" x14ac:dyDescent="0.25"/>
    <row r="48" s="11" customFormat="1" x14ac:dyDescent="0.25"/>
    <row r="49" s="11" customFormat="1" x14ac:dyDescent="0.25"/>
    <row r="50" s="11" customFormat="1" x14ac:dyDescent="0.25"/>
    <row r="51" s="11" customFormat="1" x14ac:dyDescent="0.25"/>
    <row r="52" s="11" customFormat="1" x14ac:dyDescent="0.25"/>
    <row r="53" s="11" customFormat="1" x14ac:dyDescent="0.25"/>
    <row r="54" s="11" customFormat="1" x14ac:dyDescent="0.25"/>
    <row r="55" s="11" customFormat="1" x14ac:dyDescent="0.25"/>
    <row r="56" s="11" customFormat="1" x14ac:dyDescent="0.25"/>
    <row r="57" s="11" customFormat="1" x14ac:dyDescent="0.25"/>
    <row r="58" s="11" customFormat="1" x14ac:dyDescent="0.25"/>
    <row r="59" s="11" customFormat="1" x14ac:dyDescent="0.25"/>
    <row r="60" s="11" customFormat="1" x14ac:dyDescent="0.25"/>
    <row r="61" s="11" customFormat="1" x14ac:dyDescent="0.25"/>
    <row r="62" s="11" customFormat="1" x14ac:dyDescent="0.25"/>
    <row r="63" s="11" customFormat="1" x14ac:dyDescent="0.25"/>
    <row r="64" s="11" customFormat="1" x14ac:dyDescent="0.25"/>
    <row r="65" s="11" customFormat="1" x14ac:dyDescent="0.25"/>
    <row r="66" s="11" customFormat="1" x14ac:dyDescent="0.25"/>
    <row r="67" s="11" customFormat="1" x14ac:dyDescent="0.25"/>
    <row r="68" s="11" customFormat="1" x14ac:dyDescent="0.25"/>
    <row r="69" s="11" customFormat="1" x14ac:dyDescent="0.25"/>
    <row r="70" s="11" customFormat="1" x14ac:dyDescent="0.25"/>
    <row r="71" s="11" customFormat="1" x14ac:dyDescent="0.25"/>
    <row r="72" s="11" customFormat="1" x14ac:dyDescent="0.25"/>
    <row r="73" s="11" customFormat="1" x14ac:dyDescent="0.25"/>
    <row r="74" s="11" customFormat="1" x14ac:dyDescent="0.25"/>
    <row r="75" s="11" customFormat="1" x14ac:dyDescent="0.25"/>
    <row r="76" s="11" customFormat="1" x14ac:dyDescent="0.25"/>
    <row r="77" s="11" customFormat="1" x14ac:dyDescent="0.25"/>
    <row r="78" s="11" customFormat="1" x14ac:dyDescent="0.25"/>
    <row r="79" s="11" customFormat="1" x14ac:dyDescent="0.25"/>
    <row r="80" s="11" customFormat="1" x14ac:dyDescent="0.25"/>
    <row r="81" s="11" customFormat="1" x14ac:dyDescent="0.25"/>
    <row r="82" s="11" customFormat="1" x14ac:dyDescent="0.25"/>
    <row r="83" s="11" customFormat="1" x14ac:dyDescent="0.25"/>
    <row r="84" s="11" customFormat="1" x14ac:dyDescent="0.25"/>
    <row r="85" s="11" customFormat="1" x14ac:dyDescent="0.25"/>
    <row r="86" s="11" customFormat="1" x14ac:dyDescent="0.25"/>
    <row r="87" s="11" customFormat="1" x14ac:dyDescent="0.25"/>
    <row r="88" s="11" customFormat="1" x14ac:dyDescent="0.25"/>
    <row r="89" s="11" customFormat="1" x14ac:dyDescent="0.25"/>
    <row r="90" s="11" customFormat="1" x14ac:dyDescent="0.25"/>
    <row r="91" s="11" customFormat="1" x14ac:dyDescent="0.25"/>
    <row r="92" s="11" customFormat="1" x14ac:dyDescent="0.25"/>
    <row r="93" s="11" customFormat="1" x14ac:dyDescent="0.25"/>
    <row r="94" s="11" customFormat="1" x14ac:dyDescent="0.25"/>
    <row r="95" s="11" customFormat="1" x14ac:dyDescent="0.25"/>
    <row r="96" s="11" customFormat="1" x14ac:dyDescent="0.25"/>
    <row r="97" spans="1:9" x14ac:dyDescent="0.25">
      <c r="A97" s="11"/>
      <c r="I97" s="11"/>
    </row>
    <row r="98" spans="1:9" x14ac:dyDescent="0.25">
      <c r="A98" s="11"/>
      <c r="I98" s="11"/>
    </row>
    <row r="99" spans="1:9" x14ac:dyDescent="0.25">
      <c r="A99" s="11"/>
      <c r="I99" s="11"/>
    </row>
    <row r="100" spans="1:9" x14ac:dyDescent="0.25">
      <c r="A100" s="11"/>
      <c r="I100" s="11"/>
    </row>
    <row r="101" spans="1:9" x14ac:dyDescent="0.25">
      <c r="A101" s="11"/>
      <c r="I101" s="11"/>
    </row>
    <row r="102" spans="1:9" x14ac:dyDescent="0.25">
      <c r="A102" s="11"/>
      <c r="I102" s="11"/>
    </row>
    <row r="103" spans="1:9" x14ac:dyDescent="0.25">
      <c r="A103" s="11"/>
      <c r="I103" s="11"/>
    </row>
    <row r="104" spans="1:9" x14ac:dyDescent="0.25">
      <c r="A104" s="11"/>
      <c r="I104" s="11"/>
    </row>
    <row r="105" spans="1:9" x14ac:dyDescent="0.25">
      <c r="A105" s="11"/>
      <c r="I105" s="11"/>
    </row>
    <row r="106" spans="1:9" x14ac:dyDescent="0.25">
      <c r="A106" s="11"/>
      <c r="I106" s="11"/>
    </row>
    <row r="107" spans="1:9" x14ac:dyDescent="0.25">
      <c r="A107" s="11"/>
      <c r="I107" s="11"/>
    </row>
    <row r="108" spans="1:9" ht="27" thickBot="1" x14ac:dyDescent="0.75">
      <c r="G108" s="25" t="s">
        <v>28</v>
      </c>
      <c r="H108" s="26">
        <f>SUM(H3:H25)</f>
        <v>3778.7099999999996</v>
      </c>
      <c r="I108" s="16" t="s">
        <v>47</v>
      </c>
    </row>
    <row r="109" spans="1:9" ht="14.4" thickTop="1" x14ac:dyDescent="0.25"/>
  </sheetData>
  <autoFilter ref="B2:J22" xr:uid="{418B859D-9AEE-4DBC-84AA-2E90E0A86546}"/>
  <conditionalFormatting sqref="H108">
    <cfRule type="containsText" dxfId="23" priority="1" operator="containsText" text="ไม่พบ">
      <formula>NOT(ISERROR(SEARCH("ไม่พบ",H108)))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6707-8E97-4B85-A0B6-8880A5B7666D}">
  <sheetPr>
    <tabColor rgb="FFFF99FF"/>
    <pageSetUpPr fitToPage="1"/>
  </sheetPr>
  <dimension ref="A1:N58"/>
  <sheetViews>
    <sheetView zoomScale="70" zoomScaleNormal="70" workbookViewId="0">
      <pane xSplit="6" ySplit="2" topLeftCell="G3" activePane="bottomRight" state="frozen"/>
      <selection activeCell="M56" sqref="M56"/>
      <selection pane="topRight" activeCell="M56" sqref="M56"/>
      <selection pane="bottomLeft" activeCell="M56" sqref="M56"/>
      <selection pane="bottomRight" activeCell="I17" sqref="I17"/>
    </sheetView>
  </sheetViews>
  <sheetFormatPr defaultColWidth="54.69921875" defaultRowHeight="13.8" x14ac:dyDescent="0.25"/>
  <cols>
    <col min="1" max="1" width="11.796875" style="5" customWidth="1"/>
    <col min="2" max="2" width="15.69921875" bestFit="1" customWidth="1"/>
    <col min="3" max="3" width="30.296875" bestFit="1" customWidth="1"/>
    <col min="4" max="4" width="16.19921875" bestFit="1" customWidth="1"/>
    <col min="5" max="5" width="29.296875" customWidth="1"/>
    <col min="6" max="6" width="13.09765625" bestFit="1" customWidth="1"/>
    <col min="7" max="7" width="17.296875" bestFit="1" customWidth="1"/>
    <col min="8" max="8" width="10.09765625" bestFit="1" customWidth="1"/>
    <col min="9" max="9" width="31.8984375" bestFit="1" customWidth="1"/>
    <col min="10" max="10" width="11" customWidth="1"/>
    <col min="11" max="11" width="98.59765625" style="5" bestFit="1" customWidth="1"/>
    <col min="12" max="12" width="14.69921875" customWidth="1"/>
    <col min="13" max="13" width="79.296875" customWidth="1"/>
    <col min="14" max="14" width="14.3984375" bestFit="1" customWidth="1"/>
  </cols>
  <sheetData>
    <row r="1" spans="1:14" ht="52.2" thickBot="1" x14ac:dyDescent="0.75">
      <c r="A1" s="8" t="s">
        <v>23</v>
      </c>
      <c r="I1" s="87" t="s">
        <v>46</v>
      </c>
      <c r="J1" s="26">
        <f>SUBTOTAL(9,J3:J81)</f>
        <v>271</v>
      </c>
      <c r="K1" s="88" t="s">
        <v>47</v>
      </c>
    </row>
    <row r="2" spans="1:14" ht="58.2" thickTop="1" x14ac:dyDescent="0.75">
      <c r="A2" s="10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42</v>
      </c>
      <c r="J2" s="6" t="s">
        <v>43</v>
      </c>
      <c r="K2" s="7" t="s">
        <v>7</v>
      </c>
      <c r="M2" s="7" t="s">
        <v>19</v>
      </c>
      <c r="N2" s="7" t="s">
        <v>21</v>
      </c>
    </row>
    <row r="3" spans="1:14" s="3" customFormat="1" ht="25.8" x14ac:dyDescent="0.6">
      <c r="A3" s="9">
        <v>1</v>
      </c>
      <c r="B3" s="1" t="s">
        <v>3439</v>
      </c>
      <c r="C3" s="1" t="s">
        <v>3440</v>
      </c>
      <c r="D3" s="1" t="s">
        <v>1107</v>
      </c>
      <c r="E3" s="1" t="s">
        <v>3441</v>
      </c>
      <c r="F3" s="1" t="s">
        <v>946</v>
      </c>
      <c r="G3" s="1" t="s">
        <v>3442</v>
      </c>
      <c r="H3" s="1">
        <v>0</v>
      </c>
      <c r="I3" s="1" t="s">
        <v>3443</v>
      </c>
      <c r="J3" s="22">
        <f>IFERROR(VLOOKUP(I3,'รายการส่งของ ก.พ.'!I:T,12,0),"0")</f>
        <v>22</v>
      </c>
      <c r="K3" s="1" t="s">
        <v>10</v>
      </c>
      <c r="M3" s="42" t="s">
        <v>10</v>
      </c>
      <c r="N3" s="34">
        <v>4</v>
      </c>
    </row>
    <row r="4" spans="1:14" s="3" customFormat="1" ht="25.8" x14ac:dyDescent="0.6">
      <c r="A4" s="9">
        <v>2</v>
      </c>
      <c r="B4" s="1" t="s">
        <v>3444</v>
      </c>
      <c r="C4" s="1" t="s">
        <v>2284</v>
      </c>
      <c r="D4" s="1" t="s">
        <v>945</v>
      </c>
      <c r="E4" s="1" t="s">
        <v>8</v>
      </c>
      <c r="F4" s="1" t="s">
        <v>946</v>
      </c>
      <c r="G4" s="1" t="s">
        <v>3445</v>
      </c>
      <c r="H4" s="1">
        <v>0</v>
      </c>
      <c r="I4" s="1" t="s">
        <v>3446</v>
      </c>
      <c r="J4" s="22">
        <f>IFERROR(VLOOKUP(I4,'รายการส่งของ ก.พ.'!I:T,12,0),"0")</f>
        <v>17</v>
      </c>
      <c r="K4" s="1" t="s">
        <v>14</v>
      </c>
      <c r="M4" s="42" t="s">
        <v>13</v>
      </c>
      <c r="N4" s="34">
        <v>0</v>
      </c>
    </row>
    <row r="5" spans="1:14" s="3" customFormat="1" ht="25.8" x14ac:dyDescent="0.6">
      <c r="A5" s="9">
        <v>3</v>
      </c>
      <c r="B5" s="1" t="s">
        <v>3447</v>
      </c>
      <c r="C5" s="1" t="s">
        <v>3448</v>
      </c>
      <c r="D5" s="1" t="s">
        <v>945</v>
      </c>
      <c r="E5" s="1" t="s">
        <v>8</v>
      </c>
      <c r="F5" s="1" t="s">
        <v>946</v>
      </c>
      <c r="G5" s="1" t="s">
        <v>3449</v>
      </c>
      <c r="H5" s="1">
        <v>0</v>
      </c>
      <c r="I5" s="1" t="s">
        <v>3450</v>
      </c>
      <c r="J5" s="22">
        <f>IFERROR(VLOOKUP(I5,'รายการส่งของ ก.พ.'!I:T,12,0),"0")</f>
        <v>17</v>
      </c>
      <c r="K5" s="1" t="s">
        <v>84</v>
      </c>
      <c r="M5" s="42" t="s">
        <v>11</v>
      </c>
      <c r="N5" s="34">
        <v>0</v>
      </c>
    </row>
    <row r="6" spans="1:14" s="3" customFormat="1" ht="25.8" x14ac:dyDescent="0.6">
      <c r="A6" s="9">
        <v>4</v>
      </c>
      <c r="B6" s="1" t="s">
        <v>3451</v>
      </c>
      <c r="C6" s="1" t="s">
        <v>3452</v>
      </c>
      <c r="D6" s="1" t="s">
        <v>945</v>
      </c>
      <c r="E6" s="1" t="s">
        <v>8</v>
      </c>
      <c r="F6" s="1" t="s">
        <v>946</v>
      </c>
      <c r="G6" s="1" t="s">
        <v>3453</v>
      </c>
      <c r="H6" s="1">
        <v>0</v>
      </c>
      <c r="I6" s="2" t="s">
        <v>3454</v>
      </c>
      <c r="J6" s="22">
        <f>IFERROR(VLOOKUP(I6,'รายการส่งของ ก.พ.'!I:T,12,0),"0")</f>
        <v>17</v>
      </c>
      <c r="K6" s="1" t="s">
        <v>10</v>
      </c>
      <c r="M6" s="42" t="s">
        <v>17</v>
      </c>
      <c r="N6" s="34">
        <v>0</v>
      </c>
    </row>
    <row r="7" spans="1:14" s="14" customFormat="1" ht="25.8" x14ac:dyDescent="0.25">
      <c r="A7" s="13">
        <v>5</v>
      </c>
      <c r="B7" s="1" t="s">
        <v>3455</v>
      </c>
      <c r="C7" s="1" t="s">
        <v>3456</v>
      </c>
      <c r="D7" s="1" t="s">
        <v>945</v>
      </c>
      <c r="E7" s="1" t="s">
        <v>3457</v>
      </c>
      <c r="F7" s="1" t="s">
        <v>946</v>
      </c>
      <c r="G7" s="1" t="s">
        <v>3458</v>
      </c>
      <c r="H7" s="1">
        <v>0</v>
      </c>
      <c r="I7" s="2" t="s">
        <v>3459</v>
      </c>
      <c r="J7" s="22">
        <f>IFERROR(VLOOKUP(I7,'รายการส่งของ ก.พ.'!I:T,12,0),"0")</f>
        <v>43</v>
      </c>
      <c r="K7" s="1" t="s">
        <v>10</v>
      </c>
      <c r="M7" s="42" t="s">
        <v>14</v>
      </c>
      <c r="N7" s="34">
        <v>3</v>
      </c>
    </row>
    <row r="8" spans="1:14" s="14" customFormat="1" ht="25.8" x14ac:dyDescent="0.25">
      <c r="A8" s="13">
        <v>6</v>
      </c>
      <c r="B8" s="1" t="s">
        <v>3460</v>
      </c>
      <c r="C8" s="1" t="s">
        <v>3461</v>
      </c>
      <c r="D8" s="1" t="s">
        <v>945</v>
      </c>
      <c r="E8" s="1" t="s">
        <v>8</v>
      </c>
      <c r="F8" s="1" t="s">
        <v>946</v>
      </c>
      <c r="G8" s="1" t="s">
        <v>3462</v>
      </c>
      <c r="H8" s="1">
        <v>0</v>
      </c>
      <c r="I8" s="2" t="s">
        <v>3463</v>
      </c>
      <c r="J8" s="22">
        <f>IFERROR(VLOOKUP(I8,'รายการส่งของ ก.พ.'!I:T,12,0),"0")</f>
        <v>33</v>
      </c>
      <c r="K8" s="1" t="s">
        <v>14</v>
      </c>
      <c r="M8" s="42" t="s">
        <v>59</v>
      </c>
      <c r="N8" s="34">
        <v>0</v>
      </c>
    </row>
    <row r="9" spans="1:14" s="14" customFormat="1" ht="25.8" x14ac:dyDescent="0.25">
      <c r="A9" s="13">
        <v>7</v>
      </c>
      <c r="B9" s="1" t="s">
        <v>3704</v>
      </c>
      <c r="C9" s="1" t="s">
        <v>3705</v>
      </c>
      <c r="D9" s="1" t="s">
        <v>945</v>
      </c>
      <c r="E9" s="1" t="s">
        <v>8</v>
      </c>
      <c r="F9" s="1" t="s">
        <v>946</v>
      </c>
      <c r="G9" s="1" t="s">
        <v>3706</v>
      </c>
      <c r="H9" s="1">
        <v>0</v>
      </c>
      <c r="I9" s="2" t="s">
        <v>3707</v>
      </c>
      <c r="J9" s="22">
        <f>IFERROR(VLOOKUP(I9,'รายการส่งของ ก.พ.'!I:T,12,0),"0")</f>
        <v>17</v>
      </c>
      <c r="K9" s="1" t="s">
        <v>78</v>
      </c>
      <c r="M9" s="42" t="s">
        <v>51</v>
      </c>
      <c r="N9" s="34">
        <v>0</v>
      </c>
    </row>
    <row r="10" spans="1:14" s="3" customFormat="1" ht="25.8" x14ac:dyDescent="0.6">
      <c r="A10" s="9">
        <v>8</v>
      </c>
      <c r="B10" s="1" t="s">
        <v>4280</v>
      </c>
      <c r="C10" s="1" t="s">
        <v>4281</v>
      </c>
      <c r="D10" s="1" t="s">
        <v>945</v>
      </c>
      <c r="E10" s="1" t="s">
        <v>8</v>
      </c>
      <c r="F10" s="1" t="s">
        <v>946</v>
      </c>
      <c r="G10" s="1" t="s">
        <v>4282</v>
      </c>
      <c r="H10" s="1">
        <v>0</v>
      </c>
      <c r="I10" s="1" t="s">
        <v>4283</v>
      </c>
      <c r="J10" s="22">
        <f>IFERROR(VLOOKUP(I10,'รายการส่งของ ก.พ.'!I:T,12,0),"0")</f>
        <v>17</v>
      </c>
      <c r="K10" s="1" t="s">
        <v>10</v>
      </c>
      <c r="M10" s="42" t="s">
        <v>49</v>
      </c>
      <c r="N10" s="34">
        <v>0</v>
      </c>
    </row>
    <row r="11" spans="1:14" s="3" customFormat="1" ht="25.8" x14ac:dyDescent="0.6">
      <c r="A11" s="9">
        <v>9</v>
      </c>
      <c r="B11" s="1" t="s">
        <v>4300</v>
      </c>
      <c r="C11" s="1" t="s">
        <v>4301</v>
      </c>
      <c r="D11" s="1" t="s">
        <v>945</v>
      </c>
      <c r="E11" s="1" t="s">
        <v>4302</v>
      </c>
      <c r="F11" s="1" t="s">
        <v>946</v>
      </c>
      <c r="G11" s="1" t="s">
        <v>4303</v>
      </c>
      <c r="H11" s="1">
        <v>0</v>
      </c>
      <c r="I11" s="2" t="s">
        <v>4305</v>
      </c>
      <c r="J11" s="22">
        <f>IFERROR(VLOOKUP(I11,'รายการส่งของ ก.พ.'!I:T,12,0),"0")</f>
        <v>22</v>
      </c>
      <c r="K11" s="22" t="s">
        <v>4304</v>
      </c>
      <c r="M11" s="42" t="s">
        <v>12</v>
      </c>
      <c r="N11" s="34">
        <v>0</v>
      </c>
    </row>
    <row r="12" spans="1:14" s="3" customFormat="1" ht="25.8" x14ac:dyDescent="0.6">
      <c r="A12" s="9">
        <v>10</v>
      </c>
      <c r="B12" s="1" t="s">
        <v>4659</v>
      </c>
      <c r="C12" s="1" t="s">
        <v>4660</v>
      </c>
      <c r="D12" s="1" t="s">
        <v>1107</v>
      </c>
      <c r="E12" s="1" t="s">
        <v>4661</v>
      </c>
      <c r="F12" s="1" t="s">
        <v>946</v>
      </c>
      <c r="G12" s="1" t="s">
        <v>4662</v>
      </c>
      <c r="H12" s="1">
        <v>0</v>
      </c>
      <c r="I12" s="22" t="s">
        <v>4663</v>
      </c>
      <c r="J12" s="22">
        <f>IFERROR(VLOOKUP(I12,'รายการส่งของ ก.พ.'!I:T,12,0),"0")</f>
        <v>22</v>
      </c>
      <c r="K12" s="1" t="s">
        <v>92</v>
      </c>
      <c r="M12" s="42" t="s">
        <v>15</v>
      </c>
      <c r="N12" s="34">
        <v>0</v>
      </c>
    </row>
    <row r="13" spans="1:14" s="3" customFormat="1" ht="25.8" x14ac:dyDescent="0.6">
      <c r="A13" s="9">
        <v>11</v>
      </c>
      <c r="B13" s="1" t="s">
        <v>4659</v>
      </c>
      <c r="C13" s="1" t="s">
        <v>4660</v>
      </c>
      <c r="D13" s="1" t="s">
        <v>1107</v>
      </c>
      <c r="E13" s="1" t="s">
        <v>4661</v>
      </c>
      <c r="F13" s="1" t="s">
        <v>946</v>
      </c>
      <c r="G13" s="1" t="s">
        <v>4662</v>
      </c>
      <c r="H13" s="1">
        <v>0</v>
      </c>
      <c r="I13" s="22" t="s">
        <v>4663</v>
      </c>
      <c r="J13" s="22">
        <f>IFERROR(VLOOKUP(I13,'รายการส่งของ ก.พ.'!I:T,12,0),"0")</f>
        <v>22</v>
      </c>
      <c r="K13" s="1" t="s">
        <v>92</v>
      </c>
      <c r="M13" s="42" t="s">
        <v>60</v>
      </c>
      <c r="N13" s="34">
        <v>0</v>
      </c>
    </row>
    <row r="14" spans="1:14" s="3" customFormat="1" ht="25.8" x14ac:dyDescent="0.6">
      <c r="A14" s="9">
        <v>12</v>
      </c>
      <c r="B14" s="1" t="s">
        <v>4702</v>
      </c>
      <c r="C14" s="1" t="s">
        <v>4703</v>
      </c>
      <c r="D14" s="1" t="s">
        <v>945</v>
      </c>
      <c r="E14" s="1" t="s">
        <v>8</v>
      </c>
      <c r="F14" s="1" t="s">
        <v>946</v>
      </c>
      <c r="G14" s="1" t="s">
        <v>4704</v>
      </c>
      <c r="H14" s="1">
        <v>0</v>
      </c>
      <c r="I14" s="2" t="s">
        <v>4705</v>
      </c>
      <c r="J14" s="22">
        <v>22</v>
      </c>
      <c r="K14" s="1" t="s">
        <v>14</v>
      </c>
      <c r="M14" s="42" t="s">
        <v>16</v>
      </c>
      <c r="N14" s="34">
        <v>0</v>
      </c>
    </row>
    <row r="15" spans="1:14" s="3" customFormat="1" ht="25.8" x14ac:dyDescent="0.35">
      <c r="A15" s="5"/>
      <c r="B15"/>
      <c r="C15"/>
      <c r="D15"/>
      <c r="E15"/>
      <c r="F15"/>
      <c r="G15"/>
      <c r="H15"/>
      <c r="I15"/>
      <c r="J15"/>
      <c r="K15" s="5"/>
      <c r="M15" s="42" t="s">
        <v>61</v>
      </c>
      <c r="N15" s="34">
        <v>0</v>
      </c>
    </row>
    <row r="16" spans="1:14" s="3" customFormat="1" ht="25.8" x14ac:dyDescent="0.35">
      <c r="A16" s="5"/>
      <c r="B16"/>
      <c r="C16"/>
      <c r="D16"/>
      <c r="E16"/>
      <c r="F16"/>
      <c r="G16"/>
      <c r="H16"/>
      <c r="I16"/>
      <c r="J16"/>
      <c r="K16" s="5"/>
      <c r="M16" s="42" t="s">
        <v>62</v>
      </c>
      <c r="N16" s="34">
        <v>0</v>
      </c>
    </row>
    <row r="17" spans="1:14" s="3" customFormat="1" ht="25.8" x14ac:dyDescent="0.35">
      <c r="A17" s="5"/>
      <c r="B17"/>
      <c r="C17"/>
      <c r="D17"/>
      <c r="E17"/>
      <c r="F17"/>
      <c r="G17"/>
      <c r="H17"/>
      <c r="I17"/>
      <c r="J17"/>
      <c r="K17" s="5"/>
      <c r="M17" s="42" t="s">
        <v>53</v>
      </c>
      <c r="N17" s="34">
        <v>0</v>
      </c>
    </row>
    <row r="18" spans="1:14" s="3" customFormat="1" ht="25.8" x14ac:dyDescent="0.35">
      <c r="A18" s="5"/>
      <c r="B18"/>
      <c r="C18"/>
      <c r="D18"/>
      <c r="E18"/>
      <c r="F18"/>
      <c r="G18"/>
      <c r="H18"/>
      <c r="I18"/>
      <c r="J18"/>
      <c r="K18" s="5"/>
      <c r="M18" s="42" t="s">
        <v>63</v>
      </c>
      <c r="N18" s="34">
        <v>0</v>
      </c>
    </row>
    <row r="19" spans="1:14" s="3" customFormat="1" ht="25.8" x14ac:dyDescent="0.35">
      <c r="A19" s="5"/>
      <c r="B19"/>
      <c r="C19"/>
      <c r="D19"/>
      <c r="E19"/>
      <c r="F19"/>
      <c r="G19"/>
      <c r="H19"/>
      <c r="I19"/>
      <c r="J19"/>
      <c r="K19" s="5"/>
      <c r="M19" s="42" t="s">
        <v>20</v>
      </c>
      <c r="N19" s="34">
        <v>0</v>
      </c>
    </row>
    <row r="20" spans="1:14" s="3" customFormat="1" ht="25.8" x14ac:dyDescent="0.35">
      <c r="A20" s="5"/>
      <c r="B20"/>
      <c r="C20"/>
      <c r="D20"/>
      <c r="E20"/>
      <c r="F20"/>
      <c r="G20"/>
      <c r="H20"/>
      <c r="I20"/>
      <c r="J20"/>
      <c r="K20" s="5"/>
      <c r="M20" s="42" t="s">
        <v>64</v>
      </c>
      <c r="N20" s="34">
        <v>0</v>
      </c>
    </row>
    <row r="21" spans="1:14" s="3" customFormat="1" ht="25.8" x14ac:dyDescent="0.35">
      <c r="A21" s="5"/>
      <c r="B21"/>
      <c r="C21"/>
      <c r="D21"/>
      <c r="E21"/>
      <c r="F21"/>
      <c r="G21"/>
      <c r="H21"/>
      <c r="I21"/>
      <c r="J21"/>
      <c r="K21" s="5"/>
      <c r="M21" s="42" t="s">
        <v>22</v>
      </c>
      <c r="N21" s="34">
        <v>0</v>
      </c>
    </row>
    <row r="22" spans="1:14" s="3" customFormat="1" ht="25.8" x14ac:dyDescent="0.35">
      <c r="A22" s="5"/>
      <c r="B22"/>
      <c r="C22"/>
      <c r="D22"/>
      <c r="E22"/>
      <c r="F22"/>
      <c r="G22"/>
      <c r="H22"/>
      <c r="I22"/>
      <c r="J22"/>
      <c r="K22" s="5"/>
      <c r="M22" s="42" t="s">
        <v>65</v>
      </c>
      <c r="N22" s="34">
        <v>0</v>
      </c>
    </row>
    <row r="23" spans="1:14" s="3" customFormat="1" ht="25.8" x14ac:dyDescent="0.35">
      <c r="A23" s="5"/>
      <c r="B23"/>
      <c r="C23"/>
      <c r="D23"/>
      <c r="E23"/>
      <c r="F23"/>
      <c r="G23"/>
      <c r="H23"/>
      <c r="I23"/>
      <c r="J23"/>
      <c r="K23" s="5"/>
      <c r="M23" s="42" t="s">
        <v>66</v>
      </c>
      <c r="N23" s="34">
        <v>0</v>
      </c>
    </row>
    <row r="24" spans="1:14" s="3" customFormat="1" ht="25.8" x14ac:dyDescent="0.35">
      <c r="A24" s="5"/>
      <c r="B24"/>
      <c r="C24"/>
      <c r="D24"/>
      <c r="E24"/>
      <c r="F24"/>
      <c r="G24"/>
      <c r="H24"/>
      <c r="I24"/>
      <c r="J24"/>
      <c r="K24" s="5"/>
      <c r="M24" s="42" t="s">
        <v>67</v>
      </c>
      <c r="N24" s="34">
        <v>0</v>
      </c>
    </row>
    <row r="25" spans="1:14" s="3" customFormat="1" ht="25.8" x14ac:dyDescent="0.35">
      <c r="A25" s="5"/>
      <c r="B25"/>
      <c r="C25"/>
      <c r="D25"/>
      <c r="E25"/>
      <c r="F25"/>
      <c r="G25"/>
      <c r="H25"/>
      <c r="I25"/>
      <c r="J25"/>
      <c r="K25" s="5"/>
      <c r="M25" s="42" t="s">
        <v>68</v>
      </c>
      <c r="N25" s="34">
        <v>0</v>
      </c>
    </row>
    <row r="26" spans="1:14" s="3" customFormat="1" ht="25.8" x14ac:dyDescent="0.35">
      <c r="A26" s="5"/>
      <c r="B26"/>
      <c r="C26"/>
      <c r="D26"/>
      <c r="E26"/>
      <c r="F26"/>
      <c r="G26"/>
      <c r="H26"/>
      <c r="I26"/>
      <c r="J26"/>
      <c r="K26" s="5"/>
      <c r="M26" s="42" t="s">
        <v>69</v>
      </c>
      <c r="N26" s="34">
        <v>0</v>
      </c>
    </row>
    <row r="27" spans="1:14" s="3" customFormat="1" ht="25.8" x14ac:dyDescent="0.35">
      <c r="A27" s="5"/>
      <c r="B27"/>
      <c r="C27"/>
      <c r="D27"/>
      <c r="E27"/>
      <c r="F27"/>
      <c r="G27"/>
      <c r="H27"/>
      <c r="I27"/>
      <c r="J27"/>
      <c r="K27" s="5"/>
      <c r="M27" s="42" t="s">
        <v>70</v>
      </c>
      <c r="N27" s="34">
        <v>0</v>
      </c>
    </row>
    <row r="28" spans="1:14" s="3" customFormat="1" ht="25.8" x14ac:dyDescent="0.35">
      <c r="A28" s="5"/>
      <c r="B28"/>
      <c r="C28"/>
      <c r="D28"/>
      <c r="E28"/>
      <c r="F28"/>
      <c r="G28"/>
      <c r="H28"/>
      <c r="I28"/>
      <c r="J28"/>
      <c r="K28" s="5"/>
      <c r="M28" s="42" t="s">
        <v>71</v>
      </c>
      <c r="N28" s="34">
        <v>0</v>
      </c>
    </row>
    <row r="29" spans="1:14" s="3" customFormat="1" ht="25.8" x14ac:dyDescent="0.35">
      <c r="A29" s="5"/>
      <c r="B29"/>
      <c r="C29"/>
      <c r="D29"/>
      <c r="E29"/>
      <c r="F29"/>
      <c r="G29"/>
      <c r="H29"/>
      <c r="I29"/>
      <c r="J29"/>
      <c r="K29" s="5"/>
      <c r="M29" s="42" t="s">
        <v>72</v>
      </c>
      <c r="N29" s="34">
        <v>0</v>
      </c>
    </row>
    <row r="30" spans="1:14" s="3" customFormat="1" ht="25.8" x14ac:dyDescent="0.35">
      <c r="A30" s="5"/>
      <c r="B30"/>
      <c r="C30"/>
      <c r="D30"/>
      <c r="E30"/>
      <c r="F30"/>
      <c r="G30"/>
      <c r="H30"/>
      <c r="I30"/>
      <c r="J30"/>
      <c r="K30" s="5"/>
      <c r="M30" s="42" t="s">
        <v>73</v>
      </c>
      <c r="N30" s="34">
        <v>0</v>
      </c>
    </row>
    <row r="31" spans="1:14" s="3" customFormat="1" ht="25.8" x14ac:dyDescent="0.35">
      <c r="A31" s="5"/>
      <c r="B31"/>
      <c r="C31"/>
      <c r="D31"/>
      <c r="E31"/>
      <c r="F31"/>
      <c r="G31"/>
      <c r="H31"/>
      <c r="I31"/>
      <c r="J31"/>
      <c r="K31" s="5"/>
      <c r="M31" s="42" t="s">
        <v>74</v>
      </c>
      <c r="N31" s="34">
        <v>0</v>
      </c>
    </row>
    <row r="32" spans="1:14" s="3" customFormat="1" ht="25.8" x14ac:dyDescent="0.35">
      <c r="A32" s="5"/>
      <c r="B32"/>
      <c r="C32"/>
      <c r="D32"/>
      <c r="E32"/>
      <c r="F32"/>
      <c r="G32"/>
      <c r="H32"/>
      <c r="I32"/>
      <c r="J32"/>
      <c r="K32" s="5"/>
      <c r="M32" s="42" t="s">
        <v>75</v>
      </c>
      <c r="N32" s="34">
        <v>0</v>
      </c>
    </row>
    <row r="33" spans="1:14" s="3" customFormat="1" ht="25.8" x14ac:dyDescent="0.35">
      <c r="A33" s="5"/>
      <c r="B33"/>
      <c r="C33"/>
      <c r="D33"/>
      <c r="E33"/>
      <c r="F33"/>
      <c r="G33"/>
      <c r="H33"/>
      <c r="I33"/>
      <c r="J33"/>
      <c r="K33" s="5"/>
      <c r="M33" s="42" t="s">
        <v>76</v>
      </c>
      <c r="N33" s="34">
        <v>0</v>
      </c>
    </row>
    <row r="34" spans="1:14" ht="25.8" x14ac:dyDescent="0.25">
      <c r="M34" s="42" t="s">
        <v>77</v>
      </c>
      <c r="N34" s="34">
        <v>0</v>
      </c>
    </row>
    <row r="35" spans="1:14" ht="25.8" x14ac:dyDescent="0.25">
      <c r="M35" s="42" t="s">
        <v>78</v>
      </c>
      <c r="N35" s="34">
        <v>1</v>
      </c>
    </row>
    <row r="36" spans="1:14" ht="25.8" x14ac:dyDescent="0.25">
      <c r="M36" s="42" t="s">
        <v>79</v>
      </c>
      <c r="N36" s="34">
        <v>0</v>
      </c>
    </row>
    <row r="37" spans="1:14" ht="25.8" x14ac:dyDescent="0.25">
      <c r="M37" s="42" t="s">
        <v>80</v>
      </c>
      <c r="N37" s="34">
        <v>0</v>
      </c>
    </row>
    <row r="38" spans="1:14" ht="25.8" x14ac:dyDescent="0.25">
      <c r="M38" s="42" t="s">
        <v>81</v>
      </c>
      <c r="N38" s="34">
        <v>0</v>
      </c>
    </row>
    <row r="39" spans="1:14" ht="25.8" x14ac:dyDescent="0.25">
      <c r="M39" s="42" t="s">
        <v>82</v>
      </c>
      <c r="N39" s="34">
        <v>0</v>
      </c>
    </row>
    <row r="40" spans="1:14" ht="25.8" x14ac:dyDescent="0.25">
      <c r="M40" s="42" t="s">
        <v>83</v>
      </c>
      <c r="N40" s="34">
        <v>0</v>
      </c>
    </row>
    <row r="41" spans="1:14" ht="25.8" x14ac:dyDescent="0.25">
      <c r="M41" s="42" t="s">
        <v>84</v>
      </c>
      <c r="N41" s="34">
        <v>1</v>
      </c>
    </row>
    <row r="42" spans="1:14" ht="25.8" x14ac:dyDescent="0.25">
      <c r="M42" s="42" t="s">
        <v>85</v>
      </c>
      <c r="N42" s="34">
        <v>0</v>
      </c>
    </row>
    <row r="43" spans="1:14" ht="25.8" x14ac:dyDescent="0.25">
      <c r="M43" s="42" t="s">
        <v>24</v>
      </c>
      <c r="N43" s="34">
        <v>0</v>
      </c>
    </row>
    <row r="44" spans="1:14" ht="25.8" x14ac:dyDescent="0.25">
      <c r="M44" s="42" t="s">
        <v>86</v>
      </c>
      <c r="N44" s="34">
        <v>0</v>
      </c>
    </row>
    <row r="45" spans="1:14" ht="25.8" x14ac:dyDescent="0.25">
      <c r="M45" s="42" t="s">
        <v>87</v>
      </c>
      <c r="N45" s="34">
        <v>0</v>
      </c>
    </row>
    <row r="46" spans="1:14" ht="25.8" x14ac:dyDescent="0.25">
      <c r="M46" s="42" t="s">
        <v>88</v>
      </c>
      <c r="N46" s="34">
        <v>0</v>
      </c>
    </row>
    <row r="47" spans="1:14" ht="25.8" x14ac:dyDescent="0.25">
      <c r="M47" s="42" t="s">
        <v>89</v>
      </c>
      <c r="N47" s="34">
        <v>0</v>
      </c>
    </row>
    <row r="48" spans="1:14" ht="25.8" x14ac:dyDescent="0.25">
      <c r="M48" s="42" t="s">
        <v>94</v>
      </c>
      <c r="N48" s="34">
        <v>0</v>
      </c>
    </row>
    <row r="49" spans="13:14" ht="25.8" x14ac:dyDescent="0.25">
      <c r="M49" s="42" t="s">
        <v>90</v>
      </c>
      <c r="N49" s="34">
        <v>0</v>
      </c>
    </row>
    <row r="50" spans="13:14" ht="25.8" x14ac:dyDescent="0.25">
      <c r="M50" s="42" t="s">
        <v>93</v>
      </c>
      <c r="N50" s="34">
        <v>0</v>
      </c>
    </row>
    <row r="51" spans="13:14" ht="25.8" x14ac:dyDescent="0.25">
      <c r="M51" s="42" t="s">
        <v>91</v>
      </c>
      <c r="N51" s="34">
        <v>0</v>
      </c>
    </row>
    <row r="52" spans="13:14" ht="25.8" x14ac:dyDescent="0.25">
      <c r="M52" s="42" t="s">
        <v>45</v>
      </c>
      <c r="N52" s="34">
        <v>0</v>
      </c>
    </row>
    <row r="53" spans="13:14" ht="25.8" x14ac:dyDescent="0.25">
      <c r="M53" s="42" t="s">
        <v>92</v>
      </c>
      <c r="N53" s="34">
        <v>2</v>
      </c>
    </row>
    <row r="54" spans="13:14" ht="25.8" x14ac:dyDescent="0.25">
      <c r="M54" s="42" t="s">
        <v>52</v>
      </c>
      <c r="N54" s="34">
        <v>0</v>
      </c>
    </row>
    <row r="55" spans="13:14" ht="25.8" x14ac:dyDescent="0.25">
      <c r="M55" s="42" t="s">
        <v>95</v>
      </c>
      <c r="N55" s="34">
        <v>0</v>
      </c>
    </row>
    <row r="56" spans="13:14" ht="25.8" x14ac:dyDescent="0.25">
      <c r="M56" s="42" t="s">
        <v>25</v>
      </c>
      <c r="N56" s="34">
        <v>0</v>
      </c>
    </row>
    <row r="57" spans="13:14" ht="27" thickBot="1" x14ac:dyDescent="0.3">
      <c r="M57" s="41"/>
      <c r="N57" s="35">
        <f>SUM(N3:N56)</f>
        <v>11</v>
      </c>
    </row>
    <row r="58" spans="13:14" ht="14.4" thickTop="1" x14ac:dyDescent="0.25"/>
  </sheetData>
  <autoFilter ref="A2:L33" xr:uid="{C05F9277-E941-4F8C-B88B-7443D998D414}"/>
  <conditionalFormatting sqref="I6">
    <cfRule type="duplicateValues" dxfId="22" priority="8"/>
    <cfRule type="duplicateValues" dxfId="21" priority="9"/>
  </conditionalFormatting>
  <conditionalFormatting sqref="I12:I13">
    <cfRule type="containsText" dxfId="20" priority="2" operator="containsText" text="ไม่พบ">
      <formula>NOT(ISERROR(SEARCH("ไม่พบ",I12)))</formula>
    </cfRule>
  </conditionalFormatting>
  <conditionalFormatting sqref="J1:J1048576 I3:I5">
    <cfRule type="containsText" dxfId="19" priority="10" operator="containsText" text="ไม่พบ">
      <formula>NOT(ISERROR(SEARCH("ไม่พบ",I1)))</formula>
    </cfRule>
  </conditionalFormatting>
  <conditionalFormatting sqref="K11">
    <cfRule type="containsText" dxfId="18" priority="4" operator="containsText" text="ไม่พบ">
      <formula>NOT(ISERROR(SEARCH("ไม่พบ",K11)))</formula>
    </cfRule>
  </conditionalFormatting>
  <conditionalFormatting sqref="M2">
    <cfRule type="duplicateValues" dxfId="17" priority="13"/>
  </conditionalFormatting>
  <conditionalFormatting sqref="N2">
    <cfRule type="duplicateValues" dxfId="16" priority="11"/>
    <cfRule type="duplicateValues" dxfId="15" priority="12"/>
  </conditionalFormatting>
  <pageMargins left="0.7" right="0.7" top="0.75" bottom="0.75" header="0.3" footer="0.3"/>
  <pageSetup paperSize="9" scale="21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1582-15F4-4BCA-975E-5B822D75EEFA}">
  <sheetPr>
    <tabColor rgb="FF00B0F0"/>
  </sheetPr>
  <dimension ref="A1:M40"/>
  <sheetViews>
    <sheetView zoomScale="85" zoomScaleNormal="85" workbookViewId="0">
      <pane xSplit="4" ySplit="2" topLeftCell="E10" activePane="bottomRight" state="frozen"/>
      <selection activeCell="M2" sqref="M2:N57"/>
      <selection pane="topRight" activeCell="M2" sqref="M2:N57"/>
      <selection pane="bottomLeft" activeCell="M2" sqref="M2:N57"/>
      <selection pane="bottomRight" activeCell="H26" sqref="H26"/>
    </sheetView>
  </sheetViews>
  <sheetFormatPr defaultColWidth="54.69921875" defaultRowHeight="13.8" x14ac:dyDescent="0.25"/>
  <cols>
    <col min="1" max="1" width="11" style="12" customWidth="1"/>
    <col min="2" max="2" width="15.69921875" style="12" bestFit="1" customWidth="1"/>
    <col min="3" max="3" width="41.19921875" style="12" customWidth="1"/>
    <col min="4" max="4" width="16.19921875" style="12" bestFit="1" customWidth="1"/>
    <col min="5" max="5" width="29.296875" style="12" bestFit="1" customWidth="1"/>
    <col min="6" max="6" width="19.09765625" style="12" bestFit="1" customWidth="1"/>
    <col min="7" max="7" width="17.296875" style="12" bestFit="1" customWidth="1"/>
    <col min="8" max="8" width="10.09765625" style="12" bestFit="1" customWidth="1"/>
    <col min="9" max="9" width="53.69921875" style="12" bestFit="1" customWidth="1"/>
    <col min="10" max="16384" width="54.69921875" style="12"/>
  </cols>
  <sheetData>
    <row r="1" spans="1:13" ht="51.6" x14ac:dyDescent="0.25">
      <c r="A1" s="8" t="s">
        <v>923</v>
      </c>
    </row>
    <row r="2" spans="1:13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24" t="s">
        <v>7</v>
      </c>
    </row>
    <row r="3" spans="1:13" s="31" customFormat="1" ht="23.4" x14ac:dyDescent="0.6">
      <c r="A3" s="9">
        <v>1</v>
      </c>
      <c r="B3" s="1" t="s">
        <v>4277</v>
      </c>
      <c r="C3" s="1" t="s">
        <v>4278</v>
      </c>
      <c r="D3" s="1" t="s">
        <v>989</v>
      </c>
      <c r="E3" s="1" t="s">
        <v>8</v>
      </c>
      <c r="F3" s="1" t="s">
        <v>990</v>
      </c>
      <c r="G3" s="1" t="s">
        <v>4279</v>
      </c>
      <c r="H3" s="1">
        <v>1279</v>
      </c>
      <c r="I3" s="2" t="s">
        <v>992</v>
      </c>
      <c r="J3" s="30"/>
      <c r="K3" s="30"/>
      <c r="L3" s="30"/>
      <c r="M3" s="30"/>
    </row>
    <row r="4" spans="1:13" s="31" customFormat="1" ht="23.4" x14ac:dyDescent="0.6">
      <c r="A4" s="9">
        <v>2</v>
      </c>
      <c r="B4" s="1" t="s">
        <v>4284</v>
      </c>
      <c r="C4" s="1" t="s">
        <v>4285</v>
      </c>
      <c r="D4" s="1" t="s">
        <v>1004</v>
      </c>
      <c r="E4" s="1" t="s">
        <v>4286</v>
      </c>
      <c r="F4" s="1" t="s">
        <v>1006</v>
      </c>
      <c r="G4" s="1" t="s">
        <v>4287</v>
      </c>
      <c r="H4" s="1">
        <v>275</v>
      </c>
      <c r="I4" s="23" t="s">
        <v>992</v>
      </c>
      <c r="J4" s="30"/>
      <c r="K4" s="30"/>
      <c r="L4" s="30"/>
      <c r="M4" s="30"/>
    </row>
    <row r="5" spans="1:13" s="31" customFormat="1" ht="23.4" x14ac:dyDescent="0.6">
      <c r="A5" s="9">
        <v>3</v>
      </c>
      <c r="B5" s="1" t="s">
        <v>4288</v>
      </c>
      <c r="C5" s="1" t="s">
        <v>4289</v>
      </c>
      <c r="D5" s="1" t="s">
        <v>1004</v>
      </c>
      <c r="E5" s="1" t="s">
        <v>4290</v>
      </c>
      <c r="F5" s="1" t="s">
        <v>1006</v>
      </c>
      <c r="G5" s="1" t="s">
        <v>4291</v>
      </c>
      <c r="H5" s="1">
        <v>90</v>
      </c>
      <c r="I5" s="23" t="s">
        <v>992</v>
      </c>
      <c r="J5" s="30"/>
      <c r="K5" s="30"/>
      <c r="L5" s="30"/>
      <c r="M5" s="30"/>
    </row>
    <row r="6" spans="1:13" s="31" customFormat="1" ht="23.4" x14ac:dyDescent="0.6">
      <c r="A6" s="9">
        <v>4</v>
      </c>
      <c r="B6" s="1" t="s">
        <v>4292</v>
      </c>
      <c r="C6" s="1" t="s">
        <v>4293</v>
      </c>
      <c r="D6" s="1" t="s">
        <v>1004</v>
      </c>
      <c r="E6" s="1" t="s">
        <v>4294</v>
      </c>
      <c r="F6" s="1" t="s">
        <v>1006</v>
      </c>
      <c r="G6" s="1" t="s">
        <v>4295</v>
      </c>
      <c r="H6" s="1">
        <v>106</v>
      </c>
      <c r="I6" s="23" t="s">
        <v>992</v>
      </c>
      <c r="J6" s="30"/>
      <c r="K6" s="30"/>
      <c r="L6" s="30"/>
      <c r="M6" s="30"/>
    </row>
    <row r="7" spans="1:13" s="31" customFormat="1" ht="23.4" x14ac:dyDescent="0.6">
      <c r="A7" s="9">
        <v>5</v>
      </c>
      <c r="B7" s="1" t="s">
        <v>4296</v>
      </c>
      <c r="C7" s="1" t="s">
        <v>4297</v>
      </c>
      <c r="D7" s="1" t="s">
        <v>999</v>
      </c>
      <c r="E7" s="1" t="s">
        <v>4298</v>
      </c>
      <c r="F7" s="1" t="s">
        <v>8</v>
      </c>
      <c r="G7" s="1" t="s">
        <v>4299</v>
      </c>
      <c r="H7" s="1">
        <v>302</v>
      </c>
      <c r="I7" s="23" t="s">
        <v>992</v>
      </c>
      <c r="J7" s="30"/>
      <c r="K7" s="30"/>
      <c r="L7" s="30"/>
      <c r="M7" s="30"/>
    </row>
    <row r="8" spans="1:13" s="31" customFormat="1" ht="23.4" x14ac:dyDescent="0.6">
      <c r="A8" s="9">
        <v>6</v>
      </c>
      <c r="B8" s="1" t="s">
        <v>4650</v>
      </c>
      <c r="C8" s="1" t="s">
        <v>4651</v>
      </c>
      <c r="D8" s="1" t="s">
        <v>989</v>
      </c>
      <c r="E8" s="1" t="s">
        <v>8</v>
      </c>
      <c r="F8" s="1" t="s">
        <v>990</v>
      </c>
      <c r="G8" s="1" t="s">
        <v>4652</v>
      </c>
      <c r="H8" s="1">
        <v>104.03</v>
      </c>
      <c r="I8" s="23" t="s">
        <v>992</v>
      </c>
      <c r="J8" s="30"/>
      <c r="K8" s="30"/>
      <c r="L8" s="30"/>
      <c r="M8" s="30"/>
    </row>
    <row r="9" spans="1:13" s="31" customFormat="1" ht="23.4" x14ac:dyDescent="0.6">
      <c r="A9" s="9">
        <v>7</v>
      </c>
      <c r="B9" s="1" t="s">
        <v>4653</v>
      </c>
      <c r="C9" s="1" t="s">
        <v>1081</v>
      </c>
      <c r="D9" s="1" t="s">
        <v>989</v>
      </c>
      <c r="E9" s="1" t="s">
        <v>8</v>
      </c>
      <c r="F9" s="1" t="s">
        <v>990</v>
      </c>
      <c r="G9" s="1" t="s">
        <v>4654</v>
      </c>
      <c r="H9" s="1">
        <v>131.27000000000001</v>
      </c>
      <c r="I9" s="23" t="s">
        <v>992</v>
      </c>
      <c r="J9" s="30"/>
      <c r="K9" s="30"/>
      <c r="L9" s="30"/>
      <c r="M9" s="30"/>
    </row>
    <row r="10" spans="1:13" s="31" customFormat="1" ht="23.4" x14ac:dyDescent="0.6">
      <c r="A10" s="9">
        <v>8</v>
      </c>
      <c r="B10" s="1" t="s">
        <v>4655</v>
      </c>
      <c r="C10" s="1" t="s">
        <v>1081</v>
      </c>
      <c r="D10" s="1" t="s">
        <v>989</v>
      </c>
      <c r="E10" s="1" t="s">
        <v>8</v>
      </c>
      <c r="F10" s="1" t="s">
        <v>990</v>
      </c>
      <c r="G10" s="1" t="s">
        <v>4656</v>
      </c>
      <c r="H10" s="1">
        <v>138.07</v>
      </c>
      <c r="I10" s="23" t="s">
        <v>992</v>
      </c>
      <c r="J10" s="30"/>
      <c r="K10" s="30"/>
      <c r="L10" s="30"/>
      <c r="M10" s="30"/>
    </row>
    <row r="11" spans="1:13" s="31" customFormat="1" ht="23.4" x14ac:dyDescent="0.6">
      <c r="A11" s="9">
        <v>9</v>
      </c>
      <c r="B11" s="1" t="s">
        <v>4657</v>
      </c>
      <c r="C11" s="1" t="s">
        <v>4285</v>
      </c>
      <c r="D11" s="1" t="s">
        <v>1004</v>
      </c>
      <c r="E11" s="1" t="s">
        <v>4286</v>
      </c>
      <c r="F11" s="1" t="s">
        <v>1006</v>
      </c>
      <c r="G11" s="1" t="s">
        <v>4658</v>
      </c>
      <c r="H11" s="1">
        <v>319</v>
      </c>
      <c r="I11" s="23" t="s">
        <v>992</v>
      </c>
      <c r="J11" s="30"/>
      <c r="K11" s="30"/>
      <c r="L11" s="30"/>
      <c r="M11" s="30"/>
    </row>
    <row r="12" spans="1:13" s="31" customFormat="1" ht="23.4" x14ac:dyDescent="0.6">
      <c r="A12" s="9">
        <v>10</v>
      </c>
      <c r="B12" s="1" t="s">
        <v>4664</v>
      </c>
      <c r="C12" s="1" t="s">
        <v>4285</v>
      </c>
      <c r="D12" s="1" t="s">
        <v>1004</v>
      </c>
      <c r="E12" s="1" t="s">
        <v>4286</v>
      </c>
      <c r="F12" s="1" t="s">
        <v>1006</v>
      </c>
      <c r="G12" s="1" t="s">
        <v>4665</v>
      </c>
      <c r="H12" s="1">
        <v>220</v>
      </c>
      <c r="I12" s="23" t="s">
        <v>992</v>
      </c>
      <c r="J12" s="30"/>
      <c r="K12" s="30"/>
      <c r="L12" s="30"/>
      <c r="M12" s="30"/>
    </row>
    <row r="13" spans="1:13" s="31" customFormat="1" ht="23.4" x14ac:dyDescent="0.6">
      <c r="A13" s="9">
        <v>11</v>
      </c>
      <c r="B13" s="1" t="s">
        <v>4666</v>
      </c>
      <c r="C13" s="1" t="s">
        <v>4667</v>
      </c>
      <c r="D13" s="1" t="s">
        <v>989</v>
      </c>
      <c r="E13" s="1" t="s">
        <v>8</v>
      </c>
      <c r="F13" s="1" t="s">
        <v>990</v>
      </c>
      <c r="G13" s="1" t="s">
        <v>4668</v>
      </c>
      <c r="H13" s="1">
        <v>216</v>
      </c>
      <c r="I13" s="23" t="s">
        <v>992</v>
      </c>
      <c r="J13" s="30"/>
      <c r="K13" s="30"/>
      <c r="L13" s="30"/>
      <c r="M13" s="30"/>
    </row>
    <row r="14" spans="1:13" s="31" customFormat="1" ht="23.4" x14ac:dyDescent="0.6">
      <c r="A14" s="9">
        <v>12</v>
      </c>
      <c r="B14" s="1" t="s">
        <v>4669</v>
      </c>
      <c r="C14" s="1" t="s">
        <v>4670</v>
      </c>
      <c r="D14" s="1" t="s">
        <v>1004</v>
      </c>
      <c r="E14" s="1" t="s">
        <v>4671</v>
      </c>
      <c r="F14" s="1" t="s">
        <v>1006</v>
      </c>
      <c r="G14" s="1" t="s">
        <v>4672</v>
      </c>
      <c r="H14" s="1">
        <v>250</v>
      </c>
      <c r="I14" s="23" t="s">
        <v>992</v>
      </c>
      <c r="J14" s="30"/>
      <c r="K14" s="30"/>
      <c r="L14" s="30"/>
      <c r="M14" s="30"/>
    </row>
    <row r="15" spans="1:13" s="31" customFormat="1" ht="23.4" x14ac:dyDescent="0.6">
      <c r="A15" s="9">
        <v>13</v>
      </c>
      <c r="B15" s="1" t="s">
        <v>4673</v>
      </c>
      <c r="C15" s="1" t="s">
        <v>4651</v>
      </c>
      <c r="D15" s="1" t="s">
        <v>989</v>
      </c>
      <c r="E15" s="1" t="s">
        <v>8</v>
      </c>
      <c r="F15" s="1" t="s">
        <v>990</v>
      </c>
      <c r="G15" s="1" t="s">
        <v>4674</v>
      </c>
      <c r="H15" s="1">
        <v>106.62</v>
      </c>
      <c r="I15" s="23" t="s">
        <v>992</v>
      </c>
      <c r="J15" s="30"/>
      <c r="K15" s="30"/>
      <c r="L15" s="30"/>
      <c r="M15" s="30"/>
    </row>
    <row r="16" spans="1:13" s="31" customFormat="1" ht="23.4" x14ac:dyDescent="0.6">
      <c r="A16" s="9">
        <v>14</v>
      </c>
      <c r="B16" s="1" t="s">
        <v>4675</v>
      </c>
      <c r="C16" s="1" t="s">
        <v>4676</v>
      </c>
      <c r="D16" s="1" t="s">
        <v>989</v>
      </c>
      <c r="E16" s="1" t="s">
        <v>8</v>
      </c>
      <c r="F16" s="1" t="s">
        <v>990</v>
      </c>
      <c r="G16" s="1" t="s">
        <v>4677</v>
      </c>
      <c r="H16" s="1">
        <v>122.35</v>
      </c>
      <c r="I16" s="23" t="s">
        <v>992</v>
      </c>
      <c r="J16" s="30"/>
      <c r="K16" s="30"/>
      <c r="L16" s="30"/>
      <c r="M16" s="30"/>
    </row>
    <row r="17" spans="1:13" s="31" customFormat="1" ht="23.4" x14ac:dyDescent="0.6">
      <c r="A17" s="9">
        <v>15</v>
      </c>
      <c r="B17" s="1" t="s">
        <v>4678</v>
      </c>
      <c r="C17" s="1" t="s">
        <v>4679</v>
      </c>
      <c r="D17" s="1" t="s">
        <v>989</v>
      </c>
      <c r="E17" s="1" t="s">
        <v>8</v>
      </c>
      <c r="F17" s="1" t="s">
        <v>990</v>
      </c>
      <c r="G17" s="1" t="s">
        <v>4680</v>
      </c>
      <c r="H17" s="1">
        <v>180.65</v>
      </c>
      <c r="I17" s="23" t="s">
        <v>992</v>
      </c>
      <c r="J17" s="30"/>
      <c r="K17" s="30"/>
      <c r="L17" s="30"/>
      <c r="M17" s="30"/>
    </row>
    <row r="18" spans="1:13" s="31" customFormat="1" ht="23.4" x14ac:dyDescent="0.6">
      <c r="A18" s="9">
        <v>16</v>
      </c>
      <c r="B18" s="1" t="s">
        <v>4673</v>
      </c>
      <c r="C18" s="1" t="s">
        <v>4651</v>
      </c>
      <c r="D18" s="1" t="s">
        <v>989</v>
      </c>
      <c r="E18" s="1" t="s">
        <v>8</v>
      </c>
      <c r="F18" s="1" t="s">
        <v>990</v>
      </c>
      <c r="G18" s="1" t="s">
        <v>4674</v>
      </c>
      <c r="H18" s="1">
        <v>106.62</v>
      </c>
      <c r="I18" s="23" t="s">
        <v>992</v>
      </c>
      <c r="J18" s="30"/>
      <c r="K18" s="30"/>
      <c r="L18" s="30"/>
      <c r="M18" s="30"/>
    </row>
    <row r="19" spans="1:13" s="31" customFormat="1" ht="23.4" x14ac:dyDescent="0.6">
      <c r="A19" s="9">
        <v>17</v>
      </c>
      <c r="B19" s="1" t="s">
        <v>4681</v>
      </c>
      <c r="C19" s="1" t="s">
        <v>1081</v>
      </c>
      <c r="D19" s="1" t="s">
        <v>989</v>
      </c>
      <c r="E19" s="1" t="s">
        <v>8</v>
      </c>
      <c r="F19" s="1" t="s">
        <v>990</v>
      </c>
      <c r="G19" s="1" t="s">
        <v>4682</v>
      </c>
      <c r="H19" s="1">
        <v>122.35</v>
      </c>
      <c r="I19" s="23" t="s">
        <v>992</v>
      </c>
      <c r="J19" s="30"/>
      <c r="K19" s="30"/>
      <c r="L19" s="30"/>
      <c r="M19" s="30"/>
    </row>
    <row r="20" spans="1:13" s="31" customFormat="1" ht="23.4" x14ac:dyDescent="0.6">
      <c r="A20" s="9">
        <v>18</v>
      </c>
      <c r="B20" s="1" t="s">
        <v>4683</v>
      </c>
      <c r="C20" s="1" t="s">
        <v>4684</v>
      </c>
      <c r="D20" s="1" t="s">
        <v>1004</v>
      </c>
      <c r="E20" s="1" t="s">
        <v>4685</v>
      </c>
      <c r="F20" s="1" t="s">
        <v>1006</v>
      </c>
      <c r="G20" s="1" t="s">
        <v>4686</v>
      </c>
      <c r="H20" s="1">
        <v>270</v>
      </c>
      <c r="I20" s="23" t="s">
        <v>992</v>
      </c>
      <c r="J20" s="30"/>
      <c r="K20" s="30"/>
      <c r="L20" s="30"/>
      <c r="M20" s="30"/>
    </row>
    <row r="21" spans="1:13" s="31" customFormat="1" ht="23.4" x14ac:dyDescent="0.6">
      <c r="A21" s="9">
        <v>19</v>
      </c>
      <c r="B21" s="1" t="s">
        <v>4687</v>
      </c>
      <c r="C21" s="1" t="s">
        <v>4688</v>
      </c>
      <c r="D21" s="1" t="s">
        <v>1004</v>
      </c>
      <c r="E21" s="1" t="s">
        <v>4689</v>
      </c>
      <c r="F21" s="1" t="s">
        <v>1006</v>
      </c>
      <c r="G21" s="1" t="s">
        <v>4690</v>
      </c>
      <c r="H21" s="1">
        <v>152</v>
      </c>
      <c r="I21" s="23" t="s">
        <v>992</v>
      </c>
      <c r="J21" s="30"/>
      <c r="K21" s="30"/>
      <c r="L21" s="30"/>
      <c r="M21" s="30"/>
    </row>
    <row r="22" spans="1:13" s="31" customFormat="1" ht="23.4" x14ac:dyDescent="0.6">
      <c r="A22" s="9">
        <v>20</v>
      </c>
      <c r="B22" s="1" t="s">
        <v>4691</v>
      </c>
      <c r="C22" s="1" t="s">
        <v>4692</v>
      </c>
      <c r="D22" s="1" t="s">
        <v>999</v>
      </c>
      <c r="E22" s="1" t="s">
        <v>4693</v>
      </c>
      <c r="F22" s="1" t="s">
        <v>8</v>
      </c>
      <c r="G22" s="1" t="s">
        <v>4694</v>
      </c>
      <c r="H22" s="1">
        <v>110</v>
      </c>
      <c r="I22" s="23" t="s">
        <v>992</v>
      </c>
      <c r="J22" s="30"/>
      <c r="K22" s="30"/>
      <c r="L22" s="30"/>
      <c r="M22" s="30"/>
    </row>
    <row r="23" spans="1:13" s="31" customFormat="1" ht="23.4" x14ac:dyDescent="0.6">
      <c r="A23" s="9">
        <v>21</v>
      </c>
      <c r="B23" s="1" t="s">
        <v>4695</v>
      </c>
      <c r="C23" s="1" t="s">
        <v>4696</v>
      </c>
      <c r="D23" s="1" t="s">
        <v>999</v>
      </c>
      <c r="E23" s="1" t="s">
        <v>4697</v>
      </c>
      <c r="F23" s="1" t="s">
        <v>8</v>
      </c>
      <c r="G23" s="1" t="s">
        <v>4698</v>
      </c>
      <c r="H23" s="1">
        <v>269</v>
      </c>
      <c r="I23" s="23" t="s">
        <v>992</v>
      </c>
      <c r="J23" s="30"/>
      <c r="K23" s="30"/>
      <c r="L23" s="30"/>
      <c r="M23" s="30"/>
    </row>
    <row r="24" spans="1:13" s="31" customFormat="1" ht="23.4" x14ac:dyDescent="0.6">
      <c r="A24" s="9">
        <v>22</v>
      </c>
      <c r="B24" s="1" t="s">
        <v>4699</v>
      </c>
      <c r="C24" s="1" t="s">
        <v>4700</v>
      </c>
      <c r="D24" s="1" t="s">
        <v>999</v>
      </c>
      <c r="E24" s="1" t="s">
        <v>4697</v>
      </c>
      <c r="F24" s="1" t="s">
        <v>8</v>
      </c>
      <c r="G24" s="1" t="s">
        <v>4701</v>
      </c>
      <c r="H24" s="1">
        <v>269</v>
      </c>
      <c r="I24" s="23" t="s">
        <v>992</v>
      </c>
      <c r="J24" s="30"/>
      <c r="K24" s="30"/>
      <c r="L24" s="30"/>
      <c r="M24" s="30"/>
    </row>
    <row r="25" spans="1:13" s="31" customFormat="1" ht="27" thickBot="1" x14ac:dyDescent="0.75">
      <c r="A25" s="12"/>
      <c r="B25" s="12"/>
      <c r="C25" s="12"/>
      <c r="D25" s="12"/>
      <c r="E25" s="12"/>
      <c r="F25" s="12"/>
      <c r="G25" s="25" t="s">
        <v>28</v>
      </c>
      <c r="H25" s="26">
        <f>SUM(H3:H24)</f>
        <v>5138.96</v>
      </c>
      <c r="I25" s="16" t="s">
        <v>47</v>
      </c>
      <c r="J25" s="30"/>
      <c r="K25" s="30"/>
      <c r="L25" s="30"/>
      <c r="M25" s="30"/>
    </row>
    <row r="26" spans="1:13" s="31" customFormat="1" ht="21" thickTop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30"/>
      <c r="K26" s="30"/>
      <c r="L26" s="30"/>
      <c r="M26" s="30"/>
    </row>
    <row r="27" spans="1:13" s="31" customFormat="1" ht="20.399999999999999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30"/>
      <c r="K27" s="30"/>
      <c r="L27" s="30"/>
      <c r="M27" s="30"/>
    </row>
    <row r="28" spans="1:13" s="31" customFormat="1" ht="20.399999999999999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30"/>
      <c r="K28" s="30"/>
      <c r="L28" s="30"/>
      <c r="M28" s="30"/>
    </row>
    <row r="29" spans="1:13" s="31" customFormat="1" ht="20.399999999999999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30"/>
      <c r="K29" s="30"/>
      <c r="L29" s="30"/>
      <c r="M29" s="30"/>
    </row>
    <row r="30" spans="1:13" s="31" customFormat="1" ht="20.399999999999999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30"/>
      <c r="K30" s="30"/>
      <c r="L30" s="30"/>
      <c r="M30" s="30"/>
    </row>
    <row r="31" spans="1:13" s="31" customFormat="1" ht="20.399999999999999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30"/>
      <c r="K31" s="30"/>
      <c r="L31" s="30"/>
      <c r="M31" s="30"/>
    </row>
    <row r="32" spans="1:13" s="31" customFormat="1" ht="20.399999999999999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30"/>
      <c r="K32" s="30"/>
      <c r="L32" s="30"/>
      <c r="M32" s="30"/>
    </row>
    <row r="33" spans="1:13" s="31" customFormat="1" ht="20.399999999999999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30"/>
      <c r="K33" s="30"/>
      <c r="L33" s="30"/>
      <c r="M33" s="30"/>
    </row>
    <row r="34" spans="1:13" s="31" customFormat="1" ht="20.399999999999999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30"/>
      <c r="K34" s="30"/>
      <c r="L34" s="30"/>
      <c r="M34" s="30"/>
    </row>
    <row r="35" spans="1:13" s="31" customFormat="1" ht="20.399999999999999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30"/>
      <c r="K35" s="30"/>
      <c r="L35" s="30"/>
      <c r="M35" s="30"/>
    </row>
    <row r="36" spans="1:13" s="31" customFormat="1" ht="20.399999999999999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30"/>
      <c r="K36" s="30"/>
      <c r="L36" s="30"/>
      <c r="M36" s="30"/>
    </row>
    <row r="37" spans="1:13" s="31" customFormat="1" ht="20.399999999999999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30"/>
      <c r="K37" s="30"/>
      <c r="L37" s="30"/>
      <c r="M37" s="30"/>
    </row>
    <row r="38" spans="1:13" s="31" customFormat="1" ht="20.399999999999999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30"/>
      <c r="K38" s="30"/>
      <c r="L38" s="30"/>
      <c r="M38" s="30"/>
    </row>
    <row r="39" spans="1:13" ht="20.399999999999999" x14ac:dyDescent="0.25">
      <c r="J39" s="30"/>
      <c r="K39" s="30"/>
      <c r="L39" s="30"/>
      <c r="M39" s="30"/>
    </row>
    <row r="40" spans="1:13" ht="20.399999999999999" x14ac:dyDescent="0.25">
      <c r="J40" s="30"/>
      <c r="K40" s="30"/>
      <c r="L40" s="30"/>
      <c r="M40" s="30"/>
    </row>
  </sheetData>
  <autoFilter ref="B2:J38" xr:uid="{418B859D-9AEE-4DBC-84AA-2E90E0A86546}"/>
  <conditionalFormatting sqref="H25">
    <cfRule type="containsText" dxfId="14" priority="1" operator="containsText" text="ไม่พบ">
      <formula>NOT(ISERROR(SEARCH("ไม่พบ",H25)))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9277-E941-4F8C-B88B-7443D998D414}">
  <sheetPr>
    <tabColor rgb="FFFF99FF"/>
  </sheetPr>
  <dimension ref="A1:N104"/>
  <sheetViews>
    <sheetView zoomScale="70" zoomScaleNormal="70" workbookViewId="0">
      <pane xSplit="6" ySplit="2" topLeftCell="G3" activePane="bottomRight" state="frozen"/>
      <selection activeCell="T24" sqref="T24"/>
      <selection pane="topRight" activeCell="T24" sqref="T24"/>
      <selection pane="bottomLeft" activeCell="T24" sqref="T24"/>
      <selection pane="bottomRight" activeCell="J3" sqref="J3"/>
    </sheetView>
  </sheetViews>
  <sheetFormatPr defaultColWidth="54.69921875" defaultRowHeight="13.8" x14ac:dyDescent="0.25"/>
  <cols>
    <col min="1" max="1" width="7.09765625" style="5" customWidth="1"/>
    <col min="2" max="2" width="15.69921875" bestFit="1" customWidth="1"/>
    <col min="3" max="3" width="30.296875" customWidth="1"/>
    <col min="4" max="4" width="16.19921875" customWidth="1"/>
    <col min="5" max="5" width="29.296875" customWidth="1"/>
    <col min="6" max="6" width="15.296875" bestFit="1" customWidth="1"/>
    <col min="7" max="7" width="17.296875" customWidth="1"/>
    <col min="8" max="8" width="10.09765625" customWidth="1"/>
    <col min="9" max="9" width="23" customWidth="1"/>
    <col min="10" max="10" width="15.19921875" style="20" customWidth="1"/>
    <col min="11" max="11" width="74.796875" style="5" customWidth="1"/>
    <col min="12" max="12" width="65.69921875" bestFit="1" customWidth="1"/>
    <col min="13" max="13" width="74.796875" style="5" customWidth="1"/>
    <col min="14" max="14" width="17.19921875" bestFit="1" customWidth="1"/>
  </cols>
  <sheetData>
    <row r="1" spans="1:14" ht="60" customHeight="1" thickBot="1" x14ac:dyDescent="0.75">
      <c r="A1" s="8" t="s">
        <v>924</v>
      </c>
      <c r="I1" s="87" t="s">
        <v>46</v>
      </c>
      <c r="J1" s="26">
        <f>SUBTOTAL(9,J3:J100)</f>
        <v>1131</v>
      </c>
      <c r="K1" s="88" t="s">
        <v>47</v>
      </c>
    </row>
    <row r="2" spans="1:14" ht="29.4" thickTop="1" x14ac:dyDescent="0.75">
      <c r="A2" s="10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42</v>
      </c>
      <c r="J2" s="21" t="s">
        <v>44</v>
      </c>
      <c r="K2" s="7" t="s">
        <v>7</v>
      </c>
      <c r="M2" s="7" t="s">
        <v>19</v>
      </c>
      <c r="N2" s="7" t="s">
        <v>21</v>
      </c>
    </row>
    <row r="3" spans="1:14" s="3" customFormat="1" ht="25.8" x14ac:dyDescent="0.6">
      <c r="A3" s="9">
        <v>1</v>
      </c>
      <c r="B3" s="1" t="s">
        <v>943</v>
      </c>
      <c r="C3" s="1" t="s">
        <v>944</v>
      </c>
      <c r="D3" s="1" t="s">
        <v>945</v>
      </c>
      <c r="E3" s="1" t="s">
        <v>8</v>
      </c>
      <c r="F3" s="1" t="s">
        <v>946</v>
      </c>
      <c r="G3" s="1" t="s">
        <v>947</v>
      </c>
      <c r="H3" s="1">
        <v>0</v>
      </c>
      <c r="I3" s="1" t="s">
        <v>948</v>
      </c>
      <c r="J3" s="22">
        <f>VLOOKUP(I3,'รายการส่งของ ม.ค.'!I:T,12,0)</f>
        <v>17</v>
      </c>
      <c r="K3" s="2" t="s">
        <v>53</v>
      </c>
      <c r="L3"/>
      <c r="M3" s="42" t="s">
        <v>10</v>
      </c>
      <c r="N3" s="34">
        <v>7</v>
      </c>
    </row>
    <row r="4" spans="1:14" s="3" customFormat="1" ht="25.8" x14ac:dyDescent="0.6">
      <c r="A4" s="9">
        <v>2</v>
      </c>
      <c r="B4" s="1" t="s">
        <v>949</v>
      </c>
      <c r="C4" s="1" t="s">
        <v>950</v>
      </c>
      <c r="D4" s="1" t="s">
        <v>945</v>
      </c>
      <c r="E4" s="1" t="s">
        <v>8</v>
      </c>
      <c r="F4" s="1" t="s">
        <v>946</v>
      </c>
      <c r="G4" s="1" t="s">
        <v>951</v>
      </c>
      <c r="H4" s="1">
        <v>0</v>
      </c>
      <c r="I4" s="1" t="s">
        <v>952</v>
      </c>
      <c r="J4" s="22">
        <f>IFERROR(VLOOKUP(I4,'รายการส่งของ ม.ค.'!I:T,12,0),"0")</f>
        <v>22</v>
      </c>
      <c r="K4" s="2" t="s">
        <v>10</v>
      </c>
      <c r="L4"/>
      <c r="M4" s="42" t="s">
        <v>13</v>
      </c>
      <c r="N4" s="34">
        <v>1</v>
      </c>
    </row>
    <row r="5" spans="1:14" s="3" customFormat="1" ht="25.8" x14ac:dyDescent="0.6">
      <c r="A5" s="9">
        <v>3</v>
      </c>
      <c r="B5" s="1" t="s">
        <v>953</v>
      </c>
      <c r="C5" s="1" t="s">
        <v>954</v>
      </c>
      <c r="D5" s="1" t="s">
        <v>945</v>
      </c>
      <c r="E5" s="1" t="s">
        <v>8</v>
      </c>
      <c r="F5" s="1" t="s">
        <v>946</v>
      </c>
      <c r="G5" s="1" t="s">
        <v>951</v>
      </c>
      <c r="H5" s="1">
        <v>0</v>
      </c>
      <c r="I5" s="1" t="s">
        <v>955</v>
      </c>
      <c r="J5" s="22">
        <f>IFERROR(VLOOKUP(I5,'รายการส่งของ ม.ค.'!I:T,12,0),"0")</f>
        <v>17</v>
      </c>
      <c r="K5" s="2" t="s">
        <v>12</v>
      </c>
      <c r="L5"/>
      <c r="M5" s="42" t="s">
        <v>11</v>
      </c>
      <c r="N5" s="34">
        <v>1</v>
      </c>
    </row>
    <row r="6" spans="1:14" s="3" customFormat="1" ht="25.8" x14ac:dyDescent="0.6">
      <c r="A6" s="9">
        <v>4</v>
      </c>
      <c r="B6" s="1" t="s">
        <v>956</v>
      </c>
      <c r="C6" s="1" t="s">
        <v>957</v>
      </c>
      <c r="D6" s="1" t="s">
        <v>945</v>
      </c>
      <c r="E6" s="1" t="s">
        <v>8</v>
      </c>
      <c r="F6" s="1" t="s">
        <v>946</v>
      </c>
      <c r="G6" s="1" t="s">
        <v>958</v>
      </c>
      <c r="H6" s="1">
        <v>0</v>
      </c>
      <c r="I6" s="1" t="s">
        <v>959</v>
      </c>
      <c r="J6" s="22">
        <f>IFERROR(VLOOKUP(I6,'รายการส่งของ ม.ค.'!I:T,12,0),"0")</f>
        <v>37</v>
      </c>
      <c r="K6" s="2" t="s">
        <v>12</v>
      </c>
      <c r="L6"/>
      <c r="M6" s="42" t="s">
        <v>17</v>
      </c>
      <c r="N6" s="34">
        <v>1</v>
      </c>
    </row>
    <row r="7" spans="1:14" s="3" customFormat="1" ht="25.8" x14ac:dyDescent="0.6">
      <c r="A7" s="9">
        <v>5</v>
      </c>
      <c r="B7" s="1" t="s">
        <v>960</v>
      </c>
      <c r="C7" s="1" t="s">
        <v>961</v>
      </c>
      <c r="D7" s="1" t="s">
        <v>945</v>
      </c>
      <c r="E7" s="1" t="s">
        <v>8</v>
      </c>
      <c r="F7" s="1" t="s">
        <v>946</v>
      </c>
      <c r="G7" s="1" t="s">
        <v>962</v>
      </c>
      <c r="H7" s="1">
        <v>0</v>
      </c>
      <c r="I7" s="1" t="s">
        <v>963</v>
      </c>
      <c r="J7" s="22">
        <f>IFERROR(VLOOKUP(I7,'รายการส่งของ ม.ค.'!I:T,12,0),"0")</f>
        <v>22</v>
      </c>
      <c r="K7" s="2" t="s">
        <v>59</v>
      </c>
      <c r="L7"/>
      <c r="M7" s="42" t="s">
        <v>14</v>
      </c>
      <c r="N7" s="34">
        <v>0</v>
      </c>
    </row>
    <row r="8" spans="1:14" s="3" customFormat="1" ht="25.8" x14ac:dyDescent="0.6">
      <c r="A8" s="9">
        <v>6</v>
      </c>
      <c r="B8" s="1" t="s">
        <v>964</v>
      </c>
      <c r="C8" s="1" t="s">
        <v>965</v>
      </c>
      <c r="D8" s="1" t="s">
        <v>945</v>
      </c>
      <c r="E8" s="1" t="s">
        <v>8</v>
      </c>
      <c r="F8" s="1" t="s">
        <v>946</v>
      </c>
      <c r="G8" s="1" t="s">
        <v>966</v>
      </c>
      <c r="H8" s="1">
        <v>0</v>
      </c>
      <c r="I8" s="1" t="s">
        <v>967</v>
      </c>
      <c r="J8" s="22">
        <f>IFERROR(VLOOKUP(I8,'รายการส่งของ ม.ค.'!I:T,12,0),"0")</f>
        <v>22</v>
      </c>
      <c r="K8" s="2" t="s">
        <v>61</v>
      </c>
      <c r="L8"/>
      <c r="M8" s="42" t="s">
        <v>59</v>
      </c>
      <c r="N8" s="34">
        <v>7</v>
      </c>
    </row>
    <row r="9" spans="1:14" s="3" customFormat="1" ht="25.8" x14ac:dyDescent="0.6">
      <c r="A9" s="9">
        <v>7</v>
      </c>
      <c r="B9" s="1" t="s">
        <v>968</v>
      </c>
      <c r="C9" s="1" t="s">
        <v>969</v>
      </c>
      <c r="D9" s="1" t="s">
        <v>945</v>
      </c>
      <c r="E9" s="1" t="s">
        <v>8</v>
      </c>
      <c r="F9" s="1" t="s">
        <v>946</v>
      </c>
      <c r="G9" s="1" t="s">
        <v>970</v>
      </c>
      <c r="H9" s="1">
        <v>0</v>
      </c>
      <c r="I9" s="1" t="s">
        <v>971</v>
      </c>
      <c r="J9" s="22">
        <f>IFERROR(VLOOKUP(I9,'รายการส่งของ ม.ค.'!I:T,12,0),"0")</f>
        <v>17</v>
      </c>
      <c r="K9" s="2" t="s">
        <v>53</v>
      </c>
      <c r="L9"/>
      <c r="M9" s="42" t="s">
        <v>51</v>
      </c>
      <c r="N9" s="34">
        <v>1</v>
      </c>
    </row>
    <row r="10" spans="1:14" s="3" customFormat="1" ht="25.8" x14ac:dyDescent="0.6">
      <c r="A10" s="9">
        <v>8</v>
      </c>
      <c r="B10" s="1" t="s">
        <v>972</v>
      </c>
      <c r="C10" s="1" t="s">
        <v>973</v>
      </c>
      <c r="D10" s="1" t="s">
        <v>945</v>
      </c>
      <c r="E10" s="1" t="s">
        <v>8</v>
      </c>
      <c r="F10" s="1" t="s">
        <v>946</v>
      </c>
      <c r="G10" s="1" t="s">
        <v>970</v>
      </c>
      <c r="H10" s="1">
        <v>0</v>
      </c>
      <c r="I10" s="1" t="s">
        <v>974</v>
      </c>
      <c r="J10" s="22">
        <f>IFERROR(VLOOKUP(I10,'รายการส่งของ ม.ค.'!I:T,12,0),"0")</f>
        <v>17</v>
      </c>
      <c r="K10" s="2" t="s">
        <v>12</v>
      </c>
      <c r="L10"/>
      <c r="M10" s="42" t="s">
        <v>49</v>
      </c>
      <c r="N10" s="34">
        <v>0</v>
      </c>
    </row>
    <row r="11" spans="1:14" s="3" customFormat="1" ht="25.8" x14ac:dyDescent="0.6">
      <c r="A11" s="9">
        <v>9</v>
      </c>
      <c r="B11" s="1" t="s">
        <v>975</v>
      </c>
      <c r="C11" s="1" t="s">
        <v>976</v>
      </c>
      <c r="D11" s="1" t="s">
        <v>945</v>
      </c>
      <c r="E11" s="1" t="s">
        <v>8</v>
      </c>
      <c r="F11" s="1" t="s">
        <v>946</v>
      </c>
      <c r="G11" s="1" t="s">
        <v>977</v>
      </c>
      <c r="H11" s="1">
        <v>0</v>
      </c>
      <c r="I11" s="1" t="s">
        <v>978</v>
      </c>
      <c r="J11" s="22">
        <f>IFERROR(VLOOKUP(I11,'รายการส่งของ ม.ค.'!I:T,12,0),"0")</f>
        <v>22</v>
      </c>
      <c r="K11" s="2" t="s">
        <v>51</v>
      </c>
      <c r="L11"/>
      <c r="M11" s="42" t="s">
        <v>12</v>
      </c>
      <c r="N11" s="34">
        <v>7</v>
      </c>
    </row>
    <row r="12" spans="1:14" s="3" customFormat="1" ht="25.8" x14ac:dyDescent="0.6">
      <c r="A12" s="9">
        <v>10</v>
      </c>
      <c r="B12" s="1" t="s">
        <v>979</v>
      </c>
      <c r="C12" s="1" t="s">
        <v>980</v>
      </c>
      <c r="D12" s="1" t="s">
        <v>945</v>
      </c>
      <c r="E12" s="1" t="s">
        <v>8</v>
      </c>
      <c r="F12" s="1" t="s">
        <v>946</v>
      </c>
      <c r="G12" s="1" t="s">
        <v>981</v>
      </c>
      <c r="H12" s="1">
        <v>0</v>
      </c>
      <c r="I12" s="1" t="s">
        <v>982</v>
      </c>
      <c r="J12" s="22">
        <f>IFERROR(VLOOKUP(I12,'รายการส่งของ ม.ค.'!I:T,12,0),"0")</f>
        <v>17</v>
      </c>
      <c r="K12" s="2" t="s">
        <v>12</v>
      </c>
      <c r="L12"/>
      <c r="M12" s="42" t="s">
        <v>15</v>
      </c>
      <c r="N12" s="34">
        <v>0</v>
      </c>
    </row>
    <row r="13" spans="1:14" s="3" customFormat="1" ht="25.8" x14ac:dyDescent="0.6">
      <c r="A13" s="9">
        <v>11</v>
      </c>
      <c r="B13" s="1" t="s">
        <v>983</v>
      </c>
      <c r="C13" s="1" t="s">
        <v>984</v>
      </c>
      <c r="D13" s="1" t="s">
        <v>945</v>
      </c>
      <c r="E13" s="1" t="s">
        <v>8</v>
      </c>
      <c r="F13" s="1" t="s">
        <v>946</v>
      </c>
      <c r="G13" s="1" t="s">
        <v>985</v>
      </c>
      <c r="H13" s="1">
        <v>0</v>
      </c>
      <c r="I13" s="1" t="s">
        <v>986</v>
      </c>
      <c r="J13" s="22">
        <f>IFERROR(VLOOKUP(I13,'รายการส่งของ ม.ค.'!I:T,12,0),"0")</f>
        <v>17</v>
      </c>
      <c r="K13" s="2" t="s">
        <v>53</v>
      </c>
      <c r="L13"/>
      <c r="M13" s="42" t="s">
        <v>60</v>
      </c>
      <c r="N13" s="34">
        <v>0</v>
      </c>
    </row>
    <row r="14" spans="1:14" s="3" customFormat="1" ht="25.8" x14ac:dyDescent="0.6">
      <c r="A14" s="9">
        <v>12</v>
      </c>
      <c r="B14" s="1" t="s">
        <v>1008</v>
      </c>
      <c r="C14" s="1" t="s">
        <v>1009</v>
      </c>
      <c r="D14" s="1" t="s">
        <v>945</v>
      </c>
      <c r="E14" s="1" t="s">
        <v>8</v>
      </c>
      <c r="F14" s="1" t="s">
        <v>946</v>
      </c>
      <c r="G14" s="1" t="s">
        <v>1010</v>
      </c>
      <c r="H14" s="1">
        <v>0</v>
      </c>
      <c r="I14" s="1" t="s">
        <v>1011</v>
      </c>
      <c r="J14" s="22">
        <f>IFERROR(VLOOKUP(I14,'รายการส่งของ ม.ค.'!I:T,12,0),"0")</f>
        <v>17</v>
      </c>
      <c r="K14" s="2" t="s">
        <v>11</v>
      </c>
      <c r="L14"/>
      <c r="M14" s="42" t="s">
        <v>16</v>
      </c>
      <c r="N14" s="34">
        <v>0</v>
      </c>
    </row>
    <row r="15" spans="1:14" s="3" customFormat="1" ht="25.8" x14ac:dyDescent="0.6">
      <c r="A15" s="9">
        <v>13</v>
      </c>
      <c r="B15" s="1" t="s">
        <v>1012</v>
      </c>
      <c r="C15" s="1" t="s">
        <v>1013</v>
      </c>
      <c r="D15" s="1" t="s">
        <v>945</v>
      </c>
      <c r="E15" s="1" t="s">
        <v>8</v>
      </c>
      <c r="F15" s="1" t="s">
        <v>946</v>
      </c>
      <c r="G15" s="1" t="s">
        <v>1014</v>
      </c>
      <c r="H15" s="1">
        <v>0</v>
      </c>
      <c r="I15" s="1" t="s">
        <v>1015</v>
      </c>
      <c r="J15" s="22">
        <f>IFERROR(VLOOKUP(I15,'รายการส่งของ ม.ค.'!I:T,12,0),"0")</f>
        <v>17</v>
      </c>
      <c r="K15" s="2" t="s">
        <v>53</v>
      </c>
      <c r="L15"/>
      <c r="M15" s="42" t="s">
        <v>61</v>
      </c>
      <c r="N15" s="34">
        <v>1</v>
      </c>
    </row>
    <row r="16" spans="1:14" s="3" customFormat="1" ht="25.8" x14ac:dyDescent="0.6">
      <c r="A16" s="9">
        <v>14</v>
      </c>
      <c r="B16" s="1" t="s">
        <v>1016</v>
      </c>
      <c r="C16" s="1" t="s">
        <v>1017</v>
      </c>
      <c r="D16" s="1" t="s">
        <v>945</v>
      </c>
      <c r="E16" s="1" t="s">
        <v>8</v>
      </c>
      <c r="F16" s="1" t="s">
        <v>946</v>
      </c>
      <c r="G16" s="1" t="s">
        <v>1018</v>
      </c>
      <c r="H16" s="1">
        <v>0</v>
      </c>
      <c r="I16" s="1" t="s">
        <v>1019</v>
      </c>
      <c r="J16" s="22">
        <f>IFERROR(VLOOKUP(I16,'รายการส่งของ ม.ค.'!I:T,12,0),"0")</f>
        <v>17</v>
      </c>
      <c r="K16" s="2" t="s">
        <v>10</v>
      </c>
      <c r="L16"/>
      <c r="M16" s="42" t="s">
        <v>62</v>
      </c>
      <c r="N16" s="34">
        <v>0</v>
      </c>
    </row>
    <row r="17" spans="1:14" s="3" customFormat="1" ht="25.8" x14ac:dyDescent="0.6">
      <c r="A17" s="9">
        <v>15</v>
      </c>
      <c r="B17" s="1" t="s">
        <v>1020</v>
      </c>
      <c r="C17" s="1" t="s">
        <v>1021</v>
      </c>
      <c r="D17" s="1" t="s">
        <v>945</v>
      </c>
      <c r="E17" s="1" t="s">
        <v>8</v>
      </c>
      <c r="F17" s="1" t="s">
        <v>946</v>
      </c>
      <c r="G17" s="1" t="s">
        <v>1022</v>
      </c>
      <c r="H17" s="1">
        <v>0</v>
      </c>
      <c r="I17" s="1" t="s">
        <v>1023</v>
      </c>
      <c r="J17" s="22">
        <f>IFERROR(VLOOKUP(I17,'รายการส่งของ ม.ค.'!I:T,12,0),"0")</f>
        <v>17</v>
      </c>
      <c r="K17" s="2" t="s">
        <v>59</v>
      </c>
      <c r="L17"/>
      <c r="M17" s="42" t="s">
        <v>53</v>
      </c>
      <c r="N17" s="34">
        <v>5</v>
      </c>
    </row>
    <row r="18" spans="1:14" s="3" customFormat="1" ht="25.8" x14ac:dyDescent="0.6">
      <c r="A18" s="9">
        <v>16</v>
      </c>
      <c r="B18" s="1" t="s">
        <v>1024</v>
      </c>
      <c r="C18" s="1" t="s">
        <v>1025</v>
      </c>
      <c r="D18" s="1" t="s">
        <v>945</v>
      </c>
      <c r="E18" s="1" t="s">
        <v>8</v>
      </c>
      <c r="F18" s="1" t="s">
        <v>946</v>
      </c>
      <c r="G18" s="1" t="s">
        <v>1026</v>
      </c>
      <c r="H18" s="1">
        <v>0</v>
      </c>
      <c r="I18" s="1" t="s">
        <v>1027</v>
      </c>
      <c r="J18" s="22">
        <f>IFERROR(VLOOKUP(I18,'รายการส่งของ ม.ค.'!I:T,12,0),"0")</f>
        <v>22</v>
      </c>
      <c r="K18" s="2" t="s">
        <v>53</v>
      </c>
      <c r="L18"/>
      <c r="M18" s="42" t="s">
        <v>63</v>
      </c>
      <c r="N18" s="34">
        <v>0</v>
      </c>
    </row>
    <row r="19" spans="1:14" s="3" customFormat="1" ht="25.8" x14ac:dyDescent="0.6">
      <c r="A19" s="9">
        <v>17</v>
      </c>
      <c r="B19" s="1" t="s">
        <v>1043</v>
      </c>
      <c r="C19" s="1" t="s">
        <v>1044</v>
      </c>
      <c r="D19" s="1" t="s">
        <v>945</v>
      </c>
      <c r="E19" s="1" t="s">
        <v>8</v>
      </c>
      <c r="F19" s="1" t="s">
        <v>946</v>
      </c>
      <c r="G19" s="1" t="s">
        <v>1045</v>
      </c>
      <c r="H19" s="1">
        <v>0</v>
      </c>
      <c r="I19" s="1" t="s">
        <v>1046</v>
      </c>
      <c r="J19" s="22">
        <f>IFERROR(VLOOKUP(I19,'รายการส่งของ ม.ค.'!I:T,12,0),"0")</f>
        <v>80</v>
      </c>
      <c r="K19" s="2" t="s">
        <v>10</v>
      </c>
      <c r="L19"/>
      <c r="M19" s="42" t="s">
        <v>20</v>
      </c>
      <c r="N19" s="34">
        <v>0</v>
      </c>
    </row>
    <row r="20" spans="1:14" s="3" customFormat="1" ht="25.8" x14ac:dyDescent="0.6">
      <c r="A20" s="9">
        <v>18</v>
      </c>
      <c r="B20" s="1" t="s">
        <v>1047</v>
      </c>
      <c r="C20" s="1" t="s">
        <v>1017</v>
      </c>
      <c r="D20" s="1" t="s">
        <v>945</v>
      </c>
      <c r="E20" s="1" t="s">
        <v>8</v>
      </c>
      <c r="F20" s="1" t="s">
        <v>946</v>
      </c>
      <c r="G20" s="1" t="s">
        <v>1048</v>
      </c>
      <c r="H20" s="1">
        <v>0</v>
      </c>
      <c r="I20" s="22" t="s">
        <v>1056</v>
      </c>
      <c r="J20" s="22">
        <f>IFERROR(VLOOKUP(I20,'รายการส่งของ ม.ค.'!I:T,12,0),"0")</f>
        <v>17</v>
      </c>
      <c r="K20" s="2" t="s">
        <v>10</v>
      </c>
      <c r="L20"/>
      <c r="M20" s="42" t="s">
        <v>64</v>
      </c>
      <c r="N20" s="34">
        <v>0</v>
      </c>
    </row>
    <row r="21" spans="1:14" s="3" customFormat="1" ht="25.8" x14ac:dyDescent="0.6">
      <c r="A21" s="9">
        <v>19</v>
      </c>
      <c r="B21" s="1" t="s">
        <v>1049</v>
      </c>
      <c r="C21" s="1" t="s">
        <v>1050</v>
      </c>
      <c r="D21" s="1" t="s">
        <v>945</v>
      </c>
      <c r="E21" s="1" t="s">
        <v>1051</v>
      </c>
      <c r="F21" s="1" t="s">
        <v>946</v>
      </c>
      <c r="G21" s="1" t="s">
        <v>1052</v>
      </c>
      <c r="H21" s="1">
        <v>0</v>
      </c>
      <c r="I21" s="22" t="s">
        <v>1057</v>
      </c>
      <c r="J21" s="22">
        <f>IFERROR(VLOOKUP(I21,'รายการส่งของ ม.ค.'!I:T,12,0),"0")</f>
        <v>32</v>
      </c>
      <c r="K21" s="2" t="s">
        <v>59</v>
      </c>
      <c r="L21"/>
      <c r="M21" s="42" t="s">
        <v>22</v>
      </c>
      <c r="N21" s="34">
        <v>0</v>
      </c>
    </row>
    <row r="22" spans="1:14" s="3" customFormat="1" ht="25.8" x14ac:dyDescent="0.6">
      <c r="A22" s="9">
        <v>20</v>
      </c>
      <c r="B22" s="1" t="s">
        <v>1053</v>
      </c>
      <c r="C22" s="1" t="s">
        <v>1054</v>
      </c>
      <c r="D22" s="1" t="s">
        <v>945</v>
      </c>
      <c r="E22" s="1" t="s">
        <v>8</v>
      </c>
      <c r="F22" s="1" t="s">
        <v>946</v>
      </c>
      <c r="G22" s="1" t="s">
        <v>1055</v>
      </c>
      <c r="H22" s="1">
        <v>0</v>
      </c>
      <c r="I22" s="22" t="s">
        <v>1058</v>
      </c>
      <c r="J22" s="22">
        <f>IFERROR(VLOOKUP(I22,'รายการส่งของ ม.ค.'!I:T,12,0),"0")</f>
        <v>17</v>
      </c>
      <c r="K22" s="2" t="s">
        <v>10</v>
      </c>
      <c r="L22"/>
      <c r="M22" s="42" t="s">
        <v>65</v>
      </c>
      <c r="N22" s="34">
        <v>0</v>
      </c>
    </row>
    <row r="23" spans="1:14" s="3" customFormat="1" ht="25.8" x14ac:dyDescent="0.6">
      <c r="A23" s="9">
        <v>21</v>
      </c>
      <c r="B23" s="1" t="s">
        <v>1105</v>
      </c>
      <c r="C23" s="1" t="s">
        <v>1106</v>
      </c>
      <c r="D23" s="1" t="s">
        <v>1107</v>
      </c>
      <c r="E23" s="1" t="s">
        <v>1108</v>
      </c>
      <c r="F23" s="1" t="s">
        <v>946</v>
      </c>
      <c r="G23" s="1" t="s">
        <v>1109</v>
      </c>
      <c r="H23" s="1">
        <v>0</v>
      </c>
      <c r="I23" s="1"/>
      <c r="J23" s="22" t="str">
        <f>IFERROR(VLOOKUP(I23,'รายการส่งของ ม.ค.'!I:T,12,0),"0")</f>
        <v>0</v>
      </c>
      <c r="K23" s="22" t="s">
        <v>17</v>
      </c>
      <c r="L23"/>
      <c r="M23" s="42" t="s">
        <v>66</v>
      </c>
      <c r="N23" s="34">
        <v>0</v>
      </c>
    </row>
    <row r="24" spans="1:14" s="3" customFormat="1" ht="25.8" x14ac:dyDescent="0.6">
      <c r="A24" s="9">
        <v>22</v>
      </c>
      <c r="B24" s="1" t="s">
        <v>1043</v>
      </c>
      <c r="C24" s="1" t="s">
        <v>1044</v>
      </c>
      <c r="D24" s="1" t="s">
        <v>945</v>
      </c>
      <c r="E24" s="1" t="s">
        <v>8</v>
      </c>
      <c r="F24" s="1" t="s">
        <v>946</v>
      </c>
      <c r="G24" s="1" t="s">
        <v>1045</v>
      </c>
      <c r="H24" s="1">
        <v>0</v>
      </c>
      <c r="I24" s="22" t="s">
        <v>1046</v>
      </c>
      <c r="J24" s="22">
        <f>IFERROR(VLOOKUP(I24,'รายการส่งของ ม.ค.'!I:T,12,0),"0")</f>
        <v>80</v>
      </c>
      <c r="K24" s="2" t="s">
        <v>10</v>
      </c>
      <c r="L24"/>
      <c r="M24" s="42" t="s">
        <v>67</v>
      </c>
      <c r="N24" s="34">
        <v>0</v>
      </c>
    </row>
    <row r="25" spans="1:14" s="3" customFormat="1" ht="25.8" x14ac:dyDescent="0.6">
      <c r="A25" s="9">
        <v>23</v>
      </c>
      <c r="B25" s="90" t="s">
        <v>1047</v>
      </c>
      <c r="C25" s="90" t="s">
        <v>1017</v>
      </c>
      <c r="D25" s="90" t="s">
        <v>945</v>
      </c>
      <c r="E25" s="90" t="s">
        <v>8</v>
      </c>
      <c r="F25" s="90" t="s">
        <v>946</v>
      </c>
      <c r="G25" s="90" t="s">
        <v>1048</v>
      </c>
      <c r="H25" s="1">
        <v>0</v>
      </c>
      <c r="I25" s="90" t="s">
        <v>1056</v>
      </c>
      <c r="J25" s="22">
        <f>IFERROR(VLOOKUP(I25,'รายการส่งของ ม.ค.'!I:T,12,0),"0")</f>
        <v>17</v>
      </c>
      <c r="K25" s="2" t="s">
        <v>10</v>
      </c>
      <c r="L25"/>
      <c r="M25" s="42" t="s">
        <v>68</v>
      </c>
      <c r="N25" s="34">
        <v>0</v>
      </c>
    </row>
    <row r="26" spans="1:14" s="3" customFormat="1" ht="25.8" x14ac:dyDescent="0.6">
      <c r="A26" s="9">
        <v>24</v>
      </c>
      <c r="B26" s="90" t="s">
        <v>1049</v>
      </c>
      <c r="C26" s="90" t="s">
        <v>1050</v>
      </c>
      <c r="D26" s="90" t="s">
        <v>945</v>
      </c>
      <c r="E26" s="90" t="s">
        <v>1051</v>
      </c>
      <c r="F26" s="90" t="s">
        <v>946</v>
      </c>
      <c r="G26" s="90" t="s">
        <v>1052</v>
      </c>
      <c r="H26" s="1">
        <v>0</v>
      </c>
      <c r="I26" s="90" t="s">
        <v>1057</v>
      </c>
      <c r="J26" s="22">
        <f>IFERROR(VLOOKUP(I26,'รายการส่งของ ม.ค.'!I:T,12,0),"0")</f>
        <v>32</v>
      </c>
      <c r="K26" s="90" t="s">
        <v>59</v>
      </c>
      <c r="L26"/>
      <c r="M26" s="42" t="s">
        <v>69</v>
      </c>
      <c r="N26" s="34">
        <v>0</v>
      </c>
    </row>
    <row r="27" spans="1:14" s="3" customFormat="1" ht="25.8" x14ac:dyDescent="0.6">
      <c r="A27" s="9">
        <v>25</v>
      </c>
      <c r="B27" s="90" t="s">
        <v>1053</v>
      </c>
      <c r="C27" s="90" t="s">
        <v>1054</v>
      </c>
      <c r="D27" s="90" t="s">
        <v>945</v>
      </c>
      <c r="E27" s="90" t="s">
        <v>8</v>
      </c>
      <c r="F27" s="90" t="s">
        <v>946</v>
      </c>
      <c r="G27" s="90" t="s">
        <v>1055</v>
      </c>
      <c r="H27" s="1">
        <v>0</v>
      </c>
      <c r="I27" s="90" t="s">
        <v>1058</v>
      </c>
      <c r="J27" s="22">
        <f>IFERROR(VLOOKUP(I27,'รายการส่งของ ม.ค.'!I:T,12,0),"0")</f>
        <v>17</v>
      </c>
      <c r="K27" s="90" t="s">
        <v>59</v>
      </c>
      <c r="L27"/>
      <c r="M27" s="42" t="s">
        <v>70</v>
      </c>
      <c r="N27" s="34">
        <v>0</v>
      </c>
    </row>
    <row r="28" spans="1:14" s="3" customFormat="1" ht="25.8" x14ac:dyDescent="0.6">
      <c r="A28" s="9">
        <v>26</v>
      </c>
      <c r="B28" s="90" t="s">
        <v>1105</v>
      </c>
      <c r="C28" s="90" t="s">
        <v>1106</v>
      </c>
      <c r="D28" s="90" t="s">
        <v>1107</v>
      </c>
      <c r="E28" s="90" t="s">
        <v>1108</v>
      </c>
      <c r="F28" s="90" t="s">
        <v>946</v>
      </c>
      <c r="G28" s="90" t="s">
        <v>1109</v>
      </c>
      <c r="H28" s="1">
        <v>0</v>
      </c>
      <c r="I28" s="90" t="s">
        <v>1141</v>
      </c>
      <c r="J28" s="22">
        <f>IFERROR(VLOOKUP(I28,'รายการส่งของ ม.ค.'!I:T,12,0),"0")</f>
        <v>17</v>
      </c>
      <c r="K28" s="90" t="s">
        <v>59</v>
      </c>
      <c r="L28"/>
      <c r="M28" s="42" t="s">
        <v>71</v>
      </c>
      <c r="N28" s="34">
        <v>0</v>
      </c>
    </row>
    <row r="29" spans="1:14" s="3" customFormat="1" ht="25.8" x14ac:dyDescent="0.6">
      <c r="A29" s="9">
        <v>27</v>
      </c>
      <c r="B29" s="90" t="s">
        <v>1142</v>
      </c>
      <c r="C29" s="90" t="s">
        <v>1143</v>
      </c>
      <c r="D29" s="90" t="s">
        <v>945</v>
      </c>
      <c r="E29" s="90" t="s">
        <v>8</v>
      </c>
      <c r="F29" s="90" t="s">
        <v>946</v>
      </c>
      <c r="G29" s="90" t="s">
        <v>1144</v>
      </c>
      <c r="H29" s="1">
        <v>0</v>
      </c>
      <c r="I29" s="90" t="s">
        <v>1145</v>
      </c>
      <c r="J29" s="22">
        <f>IFERROR(VLOOKUP(I29,'รายการส่งของ ม.ค.'!I:T,12,0),"0")</f>
        <v>17</v>
      </c>
      <c r="K29" s="90" t="s">
        <v>78</v>
      </c>
      <c r="L29"/>
      <c r="M29" s="42" t="s">
        <v>72</v>
      </c>
      <c r="N29" s="34">
        <v>0</v>
      </c>
    </row>
    <row r="30" spans="1:14" s="3" customFormat="1" ht="25.8" x14ac:dyDescent="0.6">
      <c r="A30" s="9">
        <v>28</v>
      </c>
      <c r="B30" s="90" t="s">
        <v>1146</v>
      </c>
      <c r="C30" s="90" t="s">
        <v>1147</v>
      </c>
      <c r="D30" s="90" t="s">
        <v>945</v>
      </c>
      <c r="E30" s="90" t="s">
        <v>8</v>
      </c>
      <c r="F30" s="90" t="s">
        <v>946</v>
      </c>
      <c r="G30" s="90" t="s">
        <v>1148</v>
      </c>
      <c r="H30" s="1">
        <v>0</v>
      </c>
      <c r="I30" s="90" t="s">
        <v>1149</v>
      </c>
      <c r="J30" s="22">
        <f>IFERROR(VLOOKUP(I30,'รายการส่งของ ม.ค.'!I:T,12,0),"0")</f>
        <v>17</v>
      </c>
      <c r="K30" s="90" t="s">
        <v>12</v>
      </c>
      <c r="L30"/>
      <c r="M30" s="42" t="s">
        <v>73</v>
      </c>
      <c r="N30" s="34">
        <v>0</v>
      </c>
    </row>
    <row r="31" spans="1:14" s="3" customFormat="1" ht="25.8" x14ac:dyDescent="0.6">
      <c r="A31" s="9">
        <v>29</v>
      </c>
      <c r="B31" s="90" t="s">
        <v>1150</v>
      </c>
      <c r="C31" s="90" t="s">
        <v>1151</v>
      </c>
      <c r="D31" s="90" t="s">
        <v>945</v>
      </c>
      <c r="E31" s="90" t="s">
        <v>8</v>
      </c>
      <c r="F31" s="90" t="s">
        <v>946</v>
      </c>
      <c r="G31" s="90" t="s">
        <v>1152</v>
      </c>
      <c r="H31" s="1">
        <v>0</v>
      </c>
      <c r="I31" s="90" t="s">
        <v>1153</v>
      </c>
      <c r="J31" s="22">
        <f>IFERROR(VLOOKUP(I31,'รายการส่งของ ม.ค.'!I:T,12,0),"0")</f>
        <v>17</v>
      </c>
      <c r="K31" s="90" t="s">
        <v>83</v>
      </c>
      <c r="L31"/>
      <c r="M31" s="42" t="s">
        <v>74</v>
      </c>
      <c r="N31" s="34">
        <v>0</v>
      </c>
    </row>
    <row r="32" spans="1:14" s="3" customFormat="1" ht="25.8" x14ac:dyDescent="0.6">
      <c r="A32" s="9">
        <v>30</v>
      </c>
      <c r="B32" s="90" t="s">
        <v>1154</v>
      </c>
      <c r="C32" s="90" t="s">
        <v>1155</v>
      </c>
      <c r="D32" s="90" t="s">
        <v>945</v>
      </c>
      <c r="E32" s="90" t="s">
        <v>8</v>
      </c>
      <c r="F32" s="90" t="s">
        <v>946</v>
      </c>
      <c r="G32" s="90" t="s">
        <v>1156</v>
      </c>
      <c r="H32" s="1">
        <v>0</v>
      </c>
      <c r="I32" s="90" t="s">
        <v>1157</v>
      </c>
      <c r="J32" s="22">
        <f>IFERROR(VLOOKUP(I32,'รายการส่งของ ม.ค.'!I:T,12,0),"0")</f>
        <v>17</v>
      </c>
      <c r="K32" s="90" t="s">
        <v>78</v>
      </c>
      <c r="L32"/>
      <c r="M32" s="42" t="s">
        <v>75</v>
      </c>
      <c r="N32" s="34">
        <v>0</v>
      </c>
    </row>
    <row r="33" spans="1:14" s="3" customFormat="1" ht="25.8" x14ac:dyDescent="0.6">
      <c r="A33" s="9">
        <v>31</v>
      </c>
      <c r="B33" s="90" t="s">
        <v>1158</v>
      </c>
      <c r="C33" s="90" t="s">
        <v>1159</v>
      </c>
      <c r="D33" s="90" t="s">
        <v>945</v>
      </c>
      <c r="E33" s="90" t="s">
        <v>1160</v>
      </c>
      <c r="F33" s="90" t="s">
        <v>946</v>
      </c>
      <c r="G33" s="90" t="s">
        <v>1161</v>
      </c>
      <c r="H33" s="1">
        <v>0</v>
      </c>
      <c r="I33" s="90" t="s">
        <v>1162</v>
      </c>
      <c r="J33" s="22">
        <f>IFERROR(VLOOKUP(I33,'รายการส่งของ ม.ค.'!I:T,12,0),"0")</f>
        <v>134</v>
      </c>
      <c r="K33" s="90" t="s">
        <v>92</v>
      </c>
      <c r="L33"/>
      <c r="M33" s="42" t="s">
        <v>76</v>
      </c>
      <c r="N33" s="34">
        <v>0</v>
      </c>
    </row>
    <row r="34" spans="1:14" s="3" customFormat="1" ht="25.8" x14ac:dyDescent="0.6">
      <c r="A34" s="9">
        <v>32</v>
      </c>
      <c r="B34" s="90" t="s">
        <v>1163</v>
      </c>
      <c r="C34" s="90" t="s">
        <v>1164</v>
      </c>
      <c r="D34" s="90" t="s">
        <v>945</v>
      </c>
      <c r="E34" s="90" t="s">
        <v>8</v>
      </c>
      <c r="F34" s="90" t="s">
        <v>946</v>
      </c>
      <c r="G34" s="90" t="s">
        <v>1165</v>
      </c>
      <c r="H34" s="1">
        <v>0</v>
      </c>
      <c r="I34" s="90" t="s">
        <v>1166</v>
      </c>
      <c r="J34" s="22">
        <f>IFERROR(VLOOKUP(I34,'รายการส่งของ ม.ค.'!I:T,12,0),"0")</f>
        <v>22</v>
      </c>
      <c r="K34" s="90" t="s">
        <v>78</v>
      </c>
      <c r="L34"/>
      <c r="M34" s="42" t="s">
        <v>77</v>
      </c>
      <c r="N34" s="34">
        <v>0</v>
      </c>
    </row>
    <row r="35" spans="1:14" s="3" customFormat="1" ht="25.8" x14ac:dyDescent="0.6">
      <c r="A35" s="9">
        <v>33</v>
      </c>
      <c r="B35" s="90" t="s">
        <v>1167</v>
      </c>
      <c r="C35" s="90" t="s">
        <v>1168</v>
      </c>
      <c r="D35" s="90" t="s">
        <v>945</v>
      </c>
      <c r="E35" s="90" t="s">
        <v>8</v>
      </c>
      <c r="F35" s="90" t="s">
        <v>946</v>
      </c>
      <c r="G35" s="90" t="s">
        <v>1169</v>
      </c>
      <c r="H35" s="1">
        <v>0</v>
      </c>
      <c r="I35" s="90" t="s">
        <v>1170</v>
      </c>
      <c r="J35" s="22">
        <f>IFERROR(VLOOKUP(I35,'รายการส่งของ ม.ค.'!I:T,12,0),"0")</f>
        <v>17</v>
      </c>
      <c r="K35" s="90" t="s">
        <v>78</v>
      </c>
      <c r="L35"/>
      <c r="M35" s="42" t="s">
        <v>78</v>
      </c>
      <c r="N35" s="34">
        <v>14</v>
      </c>
    </row>
    <row r="36" spans="1:14" s="3" customFormat="1" ht="25.8" x14ac:dyDescent="0.6">
      <c r="A36" s="9">
        <v>34</v>
      </c>
      <c r="B36" s="90" t="s">
        <v>1171</v>
      </c>
      <c r="C36" s="90" t="s">
        <v>1172</v>
      </c>
      <c r="D36" s="90" t="s">
        <v>945</v>
      </c>
      <c r="E36" s="90" t="s">
        <v>8</v>
      </c>
      <c r="F36" s="90" t="s">
        <v>946</v>
      </c>
      <c r="G36" s="90" t="s">
        <v>1173</v>
      </c>
      <c r="H36" s="1">
        <v>0</v>
      </c>
      <c r="I36" s="90" t="s">
        <v>1174</v>
      </c>
      <c r="J36" s="22">
        <f>IFERROR(VLOOKUP(I36,'รายการส่งของ ม.ค.'!I:T,12,0),"0")</f>
        <v>17</v>
      </c>
      <c r="K36" s="90" t="s">
        <v>78</v>
      </c>
      <c r="L36"/>
      <c r="M36" s="42" t="s">
        <v>79</v>
      </c>
      <c r="N36" s="34">
        <v>0</v>
      </c>
    </row>
    <row r="37" spans="1:14" s="3" customFormat="1" ht="25.8" x14ac:dyDescent="0.6">
      <c r="A37" s="9">
        <v>35</v>
      </c>
      <c r="B37" s="90" t="s">
        <v>1175</v>
      </c>
      <c r="C37" s="90" t="s">
        <v>1106</v>
      </c>
      <c r="D37" s="90" t="s">
        <v>945</v>
      </c>
      <c r="E37" s="90" t="s">
        <v>8</v>
      </c>
      <c r="F37" s="90" t="s">
        <v>946</v>
      </c>
      <c r="G37" s="90" t="s">
        <v>1176</v>
      </c>
      <c r="H37" s="1">
        <v>0</v>
      </c>
      <c r="I37" s="90" t="s">
        <v>1177</v>
      </c>
      <c r="J37" s="22">
        <f>IFERROR(VLOOKUP(I37,'รายการส่งของ ม.ค.'!I:T,12,0),"0")</f>
        <v>22</v>
      </c>
      <c r="K37" s="90" t="s">
        <v>78</v>
      </c>
      <c r="L37"/>
      <c r="M37" s="42" t="s">
        <v>80</v>
      </c>
      <c r="N37" s="34">
        <v>0</v>
      </c>
    </row>
    <row r="38" spans="1:14" s="3" customFormat="1" ht="25.8" x14ac:dyDescent="0.6">
      <c r="A38" s="9">
        <v>36</v>
      </c>
      <c r="B38" s="90" t="s">
        <v>1178</v>
      </c>
      <c r="C38" s="90" t="s">
        <v>1106</v>
      </c>
      <c r="D38" s="90" t="s">
        <v>945</v>
      </c>
      <c r="E38" s="90" t="s">
        <v>8</v>
      </c>
      <c r="F38" s="90" t="s">
        <v>946</v>
      </c>
      <c r="G38" s="90" t="s">
        <v>1179</v>
      </c>
      <c r="H38" s="1">
        <v>0</v>
      </c>
      <c r="I38" s="90" t="s">
        <v>1180</v>
      </c>
      <c r="J38" s="22">
        <f>IFERROR(VLOOKUP(I38,'รายการส่งของ ม.ค.'!I:T,12,0),"0")</f>
        <v>17</v>
      </c>
      <c r="K38" s="2" t="s">
        <v>10</v>
      </c>
      <c r="L38"/>
      <c r="M38" s="42" t="s">
        <v>81</v>
      </c>
      <c r="N38" s="34">
        <v>0</v>
      </c>
    </row>
    <row r="39" spans="1:14" s="3" customFormat="1" ht="25.8" x14ac:dyDescent="0.6">
      <c r="A39" s="9">
        <v>37</v>
      </c>
      <c r="B39" s="90" t="s">
        <v>1181</v>
      </c>
      <c r="C39" s="90" t="s">
        <v>1106</v>
      </c>
      <c r="D39" s="90" t="s">
        <v>945</v>
      </c>
      <c r="E39" s="90" t="s">
        <v>8</v>
      </c>
      <c r="F39" s="90" t="s">
        <v>946</v>
      </c>
      <c r="G39" s="90" t="s">
        <v>1182</v>
      </c>
      <c r="H39" s="1">
        <v>0</v>
      </c>
      <c r="I39" s="90" t="s">
        <v>1183</v>
      </c>
      <c r="J39" s="22">
        <f>IFERROR(VLOOKUP(I39,'รายการส่งของ ม.ค.'!I:T,12,0),"0")</f>
        <v>33</v>
      </c>
      <c r="K39" s="90" t="s">
        <v>78</v>
      </c>
      <c r="L39"/>
      <c r="M39" s="42" t="s">
        <v>82</v>
      </c>
      <c r="N39" s="34">
        <v>0</v>
      </c>
    </row>
    <row r="40" spans="1:14" s="3" customFormat="1" ht="25.8" x14ac:dyDescent="0.6">
      <c r="A40" s="9">
        <v>38</v>
      </c>
      <c r="B40" s="90" t="s">
        <v>1184</v>
      </c>
      <c r="C40" s="90" t="s">
        <v>1185</v>
      </c>
      <c r="D40" s="90" t="s">
        <v>945</v>
      </c>
      <c r="E40" s="90" t="s">
        <v>8</v>
      </c>
      <c r="F40" s="90" t="s">
        <v>946</v>
      </c>
      <c r="G40" s="90" t="s">
        <v>1186</v>
      </c>
      <c r="H40" s="1">
        <v>0</v>
      </c>
      <c r="I40" s="90" t="s">
        <v>1187</v>
      </c>
      <c r="J40" s="22">
        <f>IFERROR(VLOOKUP(I40,'รายการส่งของ ม.ค.'!I:T,12,0),"0")</f>
        <v>17</v>
      </c>
      <c r="K40" s="90" t="s">
        <v>78</v>
      </c>
      <c r="L40"/>
      <c r="M40" s="42" t="s">
        <v>83</v>
      </c>
      <c r="N40" s="34">
        <v>1</v>
      </c>
    </row>
    <row r="41" spans="1:14" s="3" customFormat="1" ht="25.8" x14ac:dyDescent="0.6">
      <c r="A41" s="9">
        <v>39</v>
      </c>
      <c r="B41" s="90" t="s">
        <v>1188</v>
      </c>
      <c r="C41" s="90" t="s">
        <v>1189</v>
      </c>
      <c r="D41" s="90" t="s">
        <v>945</v>
      </c>
      <c r="E41" s="90" t="s">
        <v>8</v>
      </c>
      <c r="F41" s="90" t="s">
        <v>946</v>
      </c>
      <c r="G41" s="90" t="s">
        <v>1190</v>
      </c>
      <c r="H41" s="1">
        <v>0</v>
      </c>
      <c r="I41" s="90" t="s">
        <v>1191</v>
      </c>
      <c r="J41" s="22">
        <f>IFERROR(VLOOKUP(I41,'รายการส่งของ ม.ค.'!I:T,12,0),"0")</f>
        <v>17</v>
      </c>
      <c r="K41" s="90" t="s">
        <v>12</v>
      </c>
      <c r="L41"/>
      <c r="M41" s="42" t="s">
        <v>84</v>
      </c>
      <c r="N41" s="34">
        <v>0</v>
      </c>
    </row>
    <row r="42" spans="1:14" s="3" customFormat="1" ht="25.8" x14ac:dyDescent="0.6">
      <c r="A42" s="9">
        <v>40</v>
      </c>
      <c r="B42" s="90" t="s">
        <v>1192</v>
      </c>
      <c r="C42" s="90" t="s">
        <v>1193</v>
      </c>
      <c r="D42" s="90" t="s">
        <v>945</v>
      </c>
      <c r="E42" s="90" t="s">
        <v>8</v>
      </c>
      <c r="F42" s="90" t="s">
        <v>946</v>
      </c>
      <c r="G42" s="90" t="s">
        <v>1194</v>
      </c>
      <c r="H42" s="1">
        <v>0</v>
      </c>
      <c r="I42" s="90" t="s">
        <v>1195</v>
      </c>
      <c r="J42" s="22">
        <f>IFERROR(VLOOKUP(I42,'รายการส่งของ ม.ค.'!I:T,12,0),"0")</f>
        <v>17</v>
      </c>
      <c r="K42" s="90" t="s">
        <v>78</v>
      </c>
      <c r="L42"/>
      <c r="M42" s="42" t="s">
        <v>85</v>
      </c>
      <c r="N42" s="34">
        <v>0</v>
      </c>
    </row>
    <row r="43" spans="1:14" s="3" customFormat="1" ht="25.8" x14ac:dyDescent="0.6">
      <c r="A43" s="9">
        <v>41</v>
      </c>
      <c r="B43" s="1" t="s">
        <v>1200</v>
      </c>
      <c r="C43" s="1" t="s">
        <v>1201</v>
      </c>
      <c r="D43" s="1" t="s">
        <v>1107</v>
      </c>
      <c r="E43" s="1" t="s">
        <v>1202</v>
      </c>
      <c r="F43" s="1" t="s">
        <v>946</v>
      </c>
      <c r="G43" s="1" t="s">
        <v>1203</v>
      </c>
      <c r="H43" s="1">
        <v>0</v>
      </c>
      <c r="I43" s="22" t="s">
        <v>1221</v>
      </c>
      <c r="J43" s="22">
        <f>IFERROR(VLOOKUP(I43,'รายการส่งของ ม.ค.'!I:T,12,0),"0")</f>
        <v>17</v>
      </c>
      <c r="K43" s="90" t="s">
        <v>78</v>
      </c>
      <c r="L43"/>
      <c r="M43" s="42" t="s">
        <v>24</v>
      </c>
      <c r="N43" s="34">
        <v>0</v>
      </c>
    </row>
    <row r="44" spans="1:14" s="3" customFormat="1" ht="25.8" x14ac:dyDescent="0.6">
      <c r="A44" s="9">
        <v>42</v>
      </c>
      <c r="B44" s="1" t="s">
        <v>1204</v>
      </c>
      <c r="C44" s="1" t="s">
        <v>1205</v>
      </c>
      <c r="D44" s="1" t="s">
        <v>945</v>
      </c>
      <c r="E44" s="1" t="s">
        <v>8</v>
      </c>
      <c r="F44" s="1" t="s">
        <v>946</v>
      </c>
      <c r="G44" s="1" t="s">
        <v>1206</v>
      </c>
      <c r="H44" s="1">
        <v>0</v>
      </c>
      <c r="I44" s="22" t="s">
        <v>1222</v>
      </c>
      <c r="J44" s="22">
        <f>IFERROR(VLOOKUP(I44,'รายการส่งของ ม.ค.'!I:T,12,0),"0")</f>
        <v>17</v>
      </c>
      <c r="K44" s="90" t="s">
        <v>78</v>
      </c>
      <c r="L44"/>
      <c r="M44" s="42" t="s">
        <v>86</v>
      </c>
      <c r="N44" s="34">
        <v>0</v>
      </c>
    </row>
    <row r="45" spans="1:14" s="3" customFormat="1" ht="25.8" x14ac:dyDescent="0.6">
      <c r="A45" s="9">
        <v>43</v>
      </c>
      <c r="B45" s="1" t="s">
        <v>1207</v>
      </c>
      <c r="C45" s="1" t="s">
        <v>1208</v>
      </c>
      <c r="D45" s="1" t="s">
        <v>1209</v>
      </c>
      <c r="E45" s="1" t="s">
        <v>1210</v>
      </c>
      <c r="F45" s="1" t="s">
        <v>946</v>
      </c>
      <c r="G45" s="1" t="s">
        <v>1206</v>
      </c>
      <c r="H45" s="1">
        <v>0</v>
      </c>
      <c r="I45" s="22" t="s">
        <v>1223</v>
      </c>
      <c r="J45" s="22">
        <f>IFERROR(VLOOKUP(I45,'รายการส่งของ ม.ค.'!I:T,12,0),"0")</f>
        <v>17</v>
      </c>
      <c r="K45" s="90" t="s">
        <v>78</v>
      </c>
      <c r="L45"/>
      <c r="M45" s="42" t="s">
        <v>87</v>
      </c>
      <c r="N45" s="34">
        <v>0</v>
      </c>
    </row>
    <row r="46" spans="1:14" s="3" customFormat="1" ht="25.8" x14ac:dyDescent="0.6">
      <c r="A46" s="9">
        <v>44</v>
      </c>
      <c r="B46" s="1" t="s">
        <v>1211</v>
      </c>
      <c r="C46" s="1" t="s">
        <v>1212</v>
      </c>
      <c r="D46" s="1" t="s">
        <v>945</v>
      </c>
      <c r="E46" s="1" t="s">
        <v>8</v>
      </c>
      <c r="F46" s="1" t="s">
        <v>946</v>
      </c>
      <c r="G46" s="1" t="s">
        <v>1213</v>
      </c>
      <c r="H46" s="1">
        <v>0</v>
      </c>
      <c r="I46" s="22" t="s">
        <v>1224</v>
      </c>
      <c r="J46" s="22">
        <f>IFERROR(VLOOKUP(I46,'รายการส่งของ ม.ค.'!I:T,12,0),"0")</f>
        <v>17</v>
      </c>
      <c r="K46" s="2" t="s">
        <v>12</v>
      </c>
      <c r="L46"/>
      <c r="M46" s="42" t="s">
        <v>88</v>
      </c>
      <c r="N46" s="34">
        <v>0</v>
      </c>
    </row>
    <row r="47" spans="1:14" s="3" customFormat="1" ht="25.8" x14ac:dyDescent="0.6">
      <c r="A47" s="9">
        <v>45</v>
      </c>
      <c r="B47" s="1" t="s">
        <v>1214</v>
      </c>
      <c r="C47" s="1" t="s">
        <v>1215</v>
      </c>
      <c r="D47" s="1" t="s">
        <v>1107</v>
      </c>
      <c r="E47" s="1" t="s">
        <v>1216</v>
      </c>
      <c r="F47" s="1" t="s">
        <v>946</v>
      </c>
      <c r="G47" s="1" t="s">
        <v>1213</v>
      </c>
      <c r="H47" s="1">
        <v>0</v>
      </c>
      <c r="I47" s="22" t="s">
        <v>1225</v>
      </c>
      <c r="J47" s="22">
        <f>IFERROR(VLOOKUP(I47,'รายการส่งของ ม.ค.'!I:T,12,0),"0")</f>
        <v>17</v>
      </c>
      <c r="K47" s="90" t="s">
        <v>78</v>
      </c>
      <c r="L47"/>
      <c r="M47" s="42" t="s">
        <v>89</v>
      </c>
      <c r="N47" s="34">
        <v>0</v>
      </c>
    </row>
    <row r="48" spans="1:14" s="3" customFormat="1" ht="25.8" x14ac:dyDescent="0.6">
      <c r="A48" s="9">
        <v>46</v>
      </c>
      <c r="B48" s="1" t="s">
        <v>1217</v>
      </c>
      <c r="C48" s="1" t="s">
        <v>1218</v>
      </c>
      <c r="D48" s="1" t="s">
        <v>1107</v>
      </c>
      <c r="E48" s="1" t="s">
        <v>1219</v>
      </c>
      <c r="F48" s="1" t="s">
        <v>946</v>
      </c>
      <c r="G48" s="1" t="s">
        <v>1220</v>
      </c>
      <c r="H48" s="1">
        <v>0</v>
      </c>
      <c r="I48" s="22" t="s">
        <v>1226</v>
      </c>
      <c r="J48" s="22">
        <f>IFERROR(VLOOKUP(I48,'รายการส่งของ ม.ค.'!I:T,12,0),"0")</f>
        <v>22</v>
      </c>
      <c r="K48" s="2" t="s">
        <v>13</v>
      </c>
      <c r="L48"/>
      <c r="M48" s="42" t="s">
        <v>94</v>
      </c>
      <c r="N48" s="34">
        <v>0</v>
      </c>
    </row>
    <row r="49" spans="1:14" s="3" customFormat="1" ht="25.8" x14ac:dyDescent="0.6">
      <c r="A49" s="94">
        <v>47</v>
      </c>
      <c r="B49" s="95" t="s">
        <v>1227</v>
      </c>
      <c r="C49" s="95" t="s">
        <v>1228</v>
      </c>
      <c r="D49" s="95" t="s">
        <v>945</v>
      </c>
      <c r="E49" s="95" t="s">
        <v>1229</v>
      </c>
      <c r="F49" s="95" t="s">
        <v>946</v>
      </c>
      <c r="G49" s="95" t="s">
        <v>1230</v>
      </c>
      <c r="H49" s="95">
        <v>0</v>
      </c>
      <c r="I49" s="96" t="s">
        <v>1231</v>
      </c>
      <c r="J49" s="96">
        <f>IFERROR(VLOOKUP(I49,'รายการส่งของ ม.ค.'!I:T,12,0),"0")</f>
        <v>17</v>
      </c>
      <c r="K49" s="97" t="s">
        <v>78</v>
      </c>
      <c r="L49"/>
      <c r="M49" s="42" t="s">
        <v>90</v>
      </c>
      <c r="N49" s="34">
        <v>0</v>
      </c>
    </row>
    <row r="50" spans="1:14" s="3" customFormat="1" ht="25.8" x14ac:dyDescent="0.6">
      <c r="A50" s="98"/>
      <c r="B50" s="56"/>
      <c r="C50" s="56"/>
      <c r="D50" s="56"/>
      <c r="E50" s="56"/>
      <c r="F50" s="56"/>
      <c r="G50" s="56"/>
      <c r="H50" s="56"/>
      <c r="I50" s="56"/>
      <c r="J50" s="99"/>
      <c r="K50" s="100"/>
      <c r="L50"/>
      <c r="M50" s="42" t="s">
        <v>93</v>
      </c>
      <c r="N50" s="34">
        <v>0</v>
      </c>
    </row>
    <row r="51" spans="1:14" s="3" customFormat="1" ht="25.8" x14ac:dyDescent="0.6">
      <c r="A51" s="98"/>
      <c r="B51" s="56"/>
      <c r="C51" s="56"/>
      <c r="D51" s="56"/>
      <c r="E51" s="56"/>
      <c r="F51" s="56"/>
      <c r="G51" s="56"/>
      <c r="H51" s="56"/>
      <c r="I51" s="56"/>
      <c r="J51" s="99"/>
      <c r="K51" s="100"/>
      <c r="L51"/>
      <c r="M51" s="42" t="s">
        <v>91</v>
      </c>
      <c r="N51" s="34">
        <v>0</v>
      </c>
    </row>
    <row r="52" spans="1:14" s="3" customFormat="1" ht="25.8" x14ac:dyDescent="0.6">
      <c r="A52" s="98"/>
      <c r="B52" s="56"/>
      <c r="C52" s="56"/>
      <c r="D52" s="56"/>
      <c r="E52" s="56"/>
      <c r="F52" s="56"/>
      <c r="G52" s="56"/>
      <c r="H52" s="56"/>
      <c r="I52" s="56"/>
      <c r="J52" s="99"/>
      <c r="K52" s="100"/>
      <c r="L52"/>
      <c r="M52" s="42" t="s">
        <v>45</v>
      </c>
      <c r="N52" s="34">
        <v>0</v>
      </c>
    </row>
    <row r="53" spans="1:14" s="3" customFormat="1" ht="25.8" x14ac:dyDescent="0.6">
      <c r="A53" s="98"/>
      <c r="B53" s="56"/>
      <c r="C53" s="56"/>
      <c r="D53" s="56"/>
      <c r="E53" s="56"/>
      <c r="F53" s="56"/>
      <c r="G53" s="56"/>
      <c r="H53" s="56"/>
      <c r="I53" s="56"/>
      <c r="J53" s="99"/>
      <c r="K53" s="100"/>
      <c r="L53"/>
      <c r="M53" s="42" t="s">
        <v>92</v>
      </c>
      <c r="N53" s="34">
        <v>1</v>
      </c>
    </row>
    <row r="54" spans="1:14" s="3" customFormat="1" ht="25.8" x14ac:dyDescent="0.6">
      <c r="A54" s="98"/>
      <c r="B54" s="56"/>
      <c r="C54" s="56"/>
      <c r="D54" s="56"/>
      <c r="E54" s="56"/>
      <c r="F54" s="56"/>
      <c r="G54" s="56"/>
      <c r="H54" s="56"/>
      <c r="I54" s="56"/>
      <c r="J54" s="99"/>
      <c r="K54" s="100"/>
      <c r="L54"/>
      <c r="M54" s="42" t="s">
        <v>52</v>
      </c>
      <c r="N54" s="34">
        <v>0</v>
      </c>
    </row>
    <row r="55" spans="1:14" s="3" customFormat="1" ht="25.8" x14ac:dyDescent="0.6">
      <c r="A55" s="98"/>
      <c r="B55" s="56"/>
      <c r="C55" s="56"/>
      <c r="D55" s="56"/>
      <c r="E55" s="56"/>
      <c r="F55" s="56"/>
      <c r="G55" s="56"/>
      <c r="H55" s="56"/>
      <c r="I55" s="56"/>
      <c r="J55" s="99"/>
      <c r="K55" s="100"/>
      <c r="L55"/>
      <c r="M55" s="42" t="s">
        <v>95</v>
      </c>
      <c r="N55" s="34">
        <v>0</v>
      </c>
    </row>
    <row r="56" spans="1:14" s="3" customFormat="1" ht="25.8" x14ac:dyDescent="0.6">
      <c r="A56" s="98"/>
      <c r="B56" s="56"/>
      <c r="C56" s="56"/>
      <c r="D56" s="56"/>
      <c r="E56" s="56"/>
      <c r="F56" s="56"/>
      <c r="G56" s="56"/>
      <c r="H56" s="56"/>
      <c r="I56" s="56"/>
      <c r="J56" s="99"/>
      <c r="K56" s="100"/>
      <c r="L56"/>
      <c r="M56" s="42" t="s">
        <v>25</v>
      </c>
      <c r="N56" s="34">
        <v>0</v>
      </c>
    </row>
    <row r="57" spans="1:14" s="3" customFormat="1" ht="27" thickBot="1" x14ac:dyDescent="0.65">
      <c r="A57" s="98"/>
      <c r="B57" s="56"/>
      <c r="C57" s="56"/>
      <c r="D57" s="56"/>
      <c r="E57" s="56"/>
      <c r="F57" s="56"/>
      <c r="G57" s="56"/>
      <c r="H57" s="56"/>
      <c r="I57" s="56"/>
      <c r="J57" s="99"/>
      <c r="K57" s="100"/>
      <c r="L57"/>
      <c r="M57" s="41"/>
      <c r="N57" s="35">
        <f>SUM(N3:N56)</f>
        <v>47</v>
      </c>
    </row>
    <row r="58" spans="1:14" s="3" customFormat="1" ht="24" thickTop="1" x14ac:dyDescent="0.6">
      <c r="A58" s="98"/>
      <c r="B58" s="56"/>
      <c r="C58" s="56"/>
      <c r="D58" s="56"/>
      <c r="E58" s="56"/>
      <c r="F58" s="56"/>
      <c r="G58" s="56"/>
      <c r="H58" s="56"/>
      <c r="I58" s="56"/>
      <c r="J58" s="99"/>
      <c r="K58" s="100"/>
      <c r="L58"/>
    </row>
    <row r="59" spans="1:14" s="3" customFormat="1" ht="23.4" x14ac:dyDescent="0.6">
      <c r="A59" s="98"/>
      <c r="B59" s="56"/>
      <c r="C59" s="56"/>
      <c r="D59" s="56"/>
      <c r="E59" s="56"/>
      <c r="F59" s="56"/>
      <c r="G59" s="56"/>
      <c r="H59" s="56"/>
      <c r="I59" s="56"/>
      <c r="J59" s="99"/>
      <c r="K59" s="100"/>
      <c r="L59"/>
      <c r="M59" s="5"/>
    </row>
    <row r="60" spans="1:14" s="3" customFormat="1" ht="23.4" x14ac:dyDescent="0.6">
      <c r="A60" s="98"/>
      <c r="B60" s="56"/>
      <c r="C60" s="56"/>
      <c r="D60" s="56"/>
      <c r="E60" s="56"/>
      <c r="F60" s="56"/>
      <c r="G60" s="56"/>
      <c r="H60" s="56"/>
      <c r="I60" s="56"/>
      <c r="J60" s="99"/>
      <c r="K60" s="100"/>
      <c r="L60"/>
      <c r="M60" s="5"/>
    </row>
    <row r="61" spans="1:14" s="3" customFormat="1" ht="23.4" x14ac:dyDescent="0.6">
      <c r="A61" s="98"/>
      <c r="B61" s="56"/>
      <c r="C61" s="56"/>
      <c r="D61" s="56"/>
      <c r="E61" s="56"/>
      <c r="F61" s="56"/>
      <c r="G61" s="56"/>
      <c r="H61" s="56"/>
      <c r="I61" s="56"/>
      <c r="J61" s="99"/>
      <c r="K61" s="100"/>
      <c r="L61"/>
      <c r="M61" s="5"/>
    </row>
    <row r="62" spans="1:14" s="3" customFormat="1" ht="23.4" x14ac:dyDescent="0.6">
      <c r="A62" s="98"/>
      <c r="B62" s="56"/>
      <c r="C62" s="56"/>
      <c r="D62" s="56"/>
      <c r="E62" s="56"/>
      <c r="F62" s="56"/>
      <c r="G62" s="56"/>
      <c r="H62" s="56"/>
      <c r="I62" s="56"/>
      <c r="J62" s="99"/>
      <c r="K62" s="100"/>
      <c r="L62"/>
      <c r="M62" s="5"/>
    </row>
    <row r="63" spans="1:14" s="3" customFormat="1" ht="23.4" x14ac:dyDescent="0.6">
      <c r="A63" s="98"/>
      <c r="B63" s="56"/>
      <c r="C63" s="56"/>
      <c r="D63" s="56"/>
      <c r="E63" s="56"/>
      <c r="F63" s="56"/>
      <c r="G63" s="56"/>
      <c r="H63" s="56"/>
      <c r="I63" s="56"/>
      <c r="J63" s="99"/>
      <c r="K63" s="100"/>
      <c r="L63"/>
      <c r="M63" s="5"/>
    </row>
    <row r="64" spans="1:14" s="3" customFormat="1" ht="23.4" x14ac:dyDescent="0.6">
      <c r="A64" s="98"/>
      <c r="B64" s="56"/>
      <c r="C64" s="56"/>
      <c r="D64" s="56"/>
      <c r="E64" s="56"/>
      <c r="F64" s="56"/>
      <c r="G64" s="56"/>
      <c r="H64" s="56"/>
      <c r="I64" s="56"/>
      <c r="J64" s="99"/>
      <c r="K64" s="100"/>
      <c r="L64"/>
      <c r="M64" s="5"/>
    </row>
    <row r="65" spans="1:13" s="3" customFormat="1" ht="23.4" x14ac:dyDescent="0.6">
      <c r="A65" s="98"/>
      <c r="B65" s="56"/>
      <c r="C65" s="56"/>
      <c r="D65" s="56"/>
      <c r="E65" s="56"/>
      <c r="F65" s="56"/>
      <c r="G65" s="56"/>
      <c r="H65" s="56"/>
      <c r="I65" s="56"/>
      <c r="J65" s="99"/>
      <c r="K65" s="100"/>
      <c r="L65"/>
      <c r="M65" s="5"/>
    </row>
    <row r="66" spans="1:13" s="3" customFormat="1" ht="23.4" x14ac:dyDescent="0.6">
      <c r="A66" s="98"/>
      <c r="B66" s="56"/>
      <c r="C66" s="56"/>
      <c r="D66" s="56"/>
      <c r="E66" s="56"/>
      <c r="F66" s="56"/>
      <c r="G66" s="56"/>
      <c r="H66" s="56"/>
      <c r="I66" s="56"/>
      <c r="J66" s="99"/>
      <c r="K66" s="100"/>
      <c r="L66"/>
      <c r="M66" s="5"/>
    </row>
    <row r="67" spans="1:13" s="3" customFormat="1" ht="23.4" x14ac:dyDescent="0.6">
      <c r="A67" s="98"/>
      <c r="B67" s="56"/>
      <c r="C67" s="56"/>
      <c r="D67" s="56"/>
      <c r="E67" s="56"/>
      <c r="F67" s="56"/>
      <c r="G67" s="56"/>
      <c r="H67" s="56"/>
      <c r="I67" s="56"/>
      <c r="J67" s="99"/>
      <c r="K67" s="100"/>
      <c r="L67"/>
      <c r="M67" s="5"/>
    </row>
    <row r="68" spans="1:13" s="3" customFormat="1" ht="23.4" x14ac:dyDescent="0.6">
      <c r="A68" s="98"/>
      <c r="B68" s="56"/>
      <c r="C68" s="56"/>
      <c r="D68" s="56"/>
      <c r="E68" s="56"/>
      <c r="F68" s="56"/>
      <c r="G68" s="56"/>
      <c r="H68" s="56"/>
      <c r="I68" s="56"/>
      <c r="J68" s="99"/>
      <c r="K68" s="100"/>
      <c r="L68"/>
      <c r="M68" s="5"/>
    </row>
    <row r="69" spans="1:13" s="3" customFormat="1" ht="23.4" x14ac:dyDescent="0.6">
      <c r="A69" s="98"/>
      <c r="B69" s="56"/>
      <c r="C69" s="56"/>
      <c r="D69" s="56"/>
      <c r="E69" s="56"/>
      <c r="F69" s="56"/>
      <c r="G69" s="56"/>
      <c r="H69" s="56"/>
      <c r="I69" s="56"/>
      <c r="J69" s="99"/>
      <c r="K69" s="100"/>
      <c r="L69"/>
      <c r="M69" s="5"/>
    </row>
    <row r="70" spans="1:13" s="3" customFormat="1" ht="23.4" x14ac:dyDescent="0.6">
      <c r="A70" s="98"/>
      <c r="B70" s="56"/>
      <c r="C70" s="56"/>
      <c r="D70" s="56"/>
      <c r="E70" s="56"/>
      <c r="F70" s="56"/>
      <c r="G70" s="56"/>
      <c r="H70" s="56"/>
      <c r="I70" s="56"/>
      <c r="J70" s="99"/>
      <c r="K70" s="100"/>
      <c r="L70"/>
      <c r="M70" s="5"/>
    </row>
    <row r="71" spans="1:13" s="3" customFormat="1" ht="23.4" x14ac:dyDescent="0.6">
      <c r="A71" s="98"/>
      <c r="B71" s="56"/>
      <c r="C71" s="56"/>
      <c r="D71" s="56"/>
      <c r="E71" s="56"/>
      <c r="F71" s="56"/>
      <c r="G71" s="56"/>
      <c r="H71" s="56"/>
      <c r="I71" s="56"/>
      <c r="J71" s="99"/>
      <c r="K71" s="100"/>
      <c r="L71"/>
      <c r="M71" s="5"/>
    </row>
    <row r="72" spans="1:13" s="3" customFormat="1" ht="23.4" x14ac:dyDescent="0.6">
      <c r="A72" s="98"/>
      <c r="B72" s="56"/>
      <c r="C72" s="56"/>
      <c r="D72" s="56"/>
      <c r="E72" s="56"/>
      <c r="F72" s="56"/>
      <c r="G72" s="56"/>
      <c r="H72" s="56"/>
      <c r="I72" s="56"/>
      <c r="J72" s="99"/>
      <c r="K72" s="100"/>
      <c r="L72"/>
      <c r="M72" s="5"/>
    </row>
    <row r="73" spans="1:13" s="3" customFormat="1" ht="23.4" x14ac:dyDescent="0.6">
      <c r="A73" s="98"/>
      <c r="B73" s="56"/>
      <c r="C73" s="56"/>
      <c r="D73" s="56"/>
      <c r="E73" s="56"/>
      <c r="F73" s="56"/>
      <c r="G73" s="56"/>
      <c r="H73" s="56"/>
      <c r="I73" s="56"/>
      <c r="J73" s="99"/>
      <c r="K73" s="100"/>
      <c r="L73"/>
      <c r="M73" s="5"/>
    </row>
    <row r="74" spans="1:13" s="3" customFormat="1" ht="23.4" x14ac:dyDescent="0.6">
      <c r="A74" s="98"/>
      <c r="B74" s="56"/>
      <c r="C74" s="56"/>
      <c r="D74" s="56"/>
      <c r="E74" s="56"/>
      <c r="F74" s="56"/>
      <c r="G74" s="56"/>
      <c r="H74" s="56"/>
      <c r="I74" s="56"/>
      <c r="J74" s="99"/>
      <c r="K74" s="100"/>
      <c r="L74"/>
      <c r="M74" s="5"/>
    </row>
    <row r="75" spans="1:13" s="3" customFormat="1" ht="23.4" x14ac:dyDescent="0.6">
      <c r="A75" s="98"/>
      <c r="B75" s="56"/>
      <c r="C75" s="56"/>
      <c r="D75" s="56"/>
      <c r="E75" s="56"/>
      <c r="F75" s="56"/>
      <c r="G75" s="56"/>
      <c r="H75" s="56"/>
      <c r="I75" s="56"/>
      <c r="J75" s="99"/>
      <c r="K75" s="100"/>
      <c r="L75"/>
      <c r="M75" s="5"/>
    </row>
    <row r="76" spans="1:13" s="3" customFormat="1" ht="23.4" x14ac:dyDescent="0.6">
      <c r="A76" s="98"/>
      <c r="B76" s="56"/>
      <c r="C76" s="56"/>
      <c r="D76" s="56"/>
      <c r="E76" s="56"/>
      <c r="F76" s="56"/>
      <c r="G76" s="56"/>
      <c r="H76" s="56"/>
      <c r="I76" s="56"/>
      <c r="J76" s="99"/>
      <c r="K76" s="100"/>
      <c r="L76"/>
      <c r="M76" s="5"/>
    </row>
    <row r="77" spans="1:13" s="3" customFormat="1" ht="23.4" x14ac:dyDescent="0.6">
      <c r="A77" s="98"/>
      <c r="B77" s="56"/>
      <c r="C77" s="56"/>
      <c r="D77" s="56"/>
      <c r="E77" s="56"/>
      <c r="F77" s="56"/>
      <c r="G77" s="56"/>
      <c r="H77" s="56"/>
      <c r="I77" s="56"/>
      <c r="J77" s="99"/>
      <c r="K77" s="100"/>
      <c r="L77"/>
      <c r="M77" s="5"/>
    </row>
    <row r="78" spans="1:13" s="3" customFormat="1" ht="23.4" x14ac:dyDescent="0.6">
      <c r="A78" s="98"/>
      <c r="B78" s="56"/>
      <c r="C78" s="56"/>
      <c r="D78" s="56"/>
      <c r="E78" s="56"/>
      <c r="F78" s="56"/>
      <c r="G78" s="56"/>
      <c r="H78" s="56"/>
      <c r="I78" s="56"/>
      <c r="J78" s="99"/>
      <c r="K78" s="100"/>
      <c r="M78" s="5"/>
    </row>
    <row r="79" spans="1:13" s="3" customFormat="1" ht="23.4" x14ac:dyDescent="0.6">
      <c r="A79" s="98"/>
      <c r="B79" s="56"/>
      <c r="C79" s="56"/>
      <c r="D79" s="56"/>
      <c r="E79" s="56"/>
      <c r="F79" s="56"/>
      <c r="G79" s="56"/>
      <c r="H79" s="56"/>
      <c r="I79" s="56"/>
      <c r="J79" s="99"/>
      <c r="K79" s="100"/>
      <c r="M79" s="5"/>
    </row>
    <row r="80" spans="1:13" s="3" customFormat="1" ht="23.4" x14ac:dyDescent="0.6">
      <c r="A80" s="98"/>
      <c r="B80" s="56"/>
      <c r="C80" s="56"/>
      <c r="D80" s="56"/>
      <c r="E80" s="56"/>
      <c r="F80" s="56"/>
      <c r="G80" s="56"/>
      <c r="H80" s="56"/>
      <c r="I80" s="56"/>
      <c r="J80" s="99"/>
      <c r="K80" s="100"/>
      <c r="M80" s="5"/>
    </row>
    <row r="81" spans="1:13" s="3" customFormat="1" ht="23.4" x14ac:dyDescent="0.6">
      <c r="A81" s="98"/>
      <c r="B81" s="56"/>
      <c r="C81" s="56"/>
      <c r="D81" s="56"/>
      <c r="E81" s="56"/>
      <c r="F81" s="56"/>
      <c r="G81" s="56"/>
      <c r="H81" s="56"/>
      <c r="I81" s="56"/>
      <c r="J81" s="99"/>
      <c r="K81" s="100"/>
      <c r="M81" s="5"/>
    </row>
    <row r="82" spans="1:13" s="3" customFormat="1" ht="23.4" x14ac:dyDescent="0.6">
      <c r="A82" s="98"/>
      <c r="B82" s="56"/>
      <c r="C82" s="56"/>
      <c r="D82" s="56"/>
      <c r="E82" s="56"/>
      <c r="F82" s="56"/>
      <c r="G82" s="56"/>
      <c r="H82" s="56"/>
      <c r="I82" s="56"/>
      <c r="J82" s="99"/>
      <c r="K82" s="100"/>
      <c r="M82" s="5"/>
    </row>
    <row r="83" spans="1:13" s="3" customFormat="1" ht="23.4" x14ac:dyDescent="0.6">
      <c r="A83" s="98"/>
      <c r="B83" s="56"/>
      <c r="C83" s="56"/>
      <c r="D83" s="56"/>
      <c r="E83" s="56"/>
      <c r="F83" s="56"/>
      <c r="G83" s="56"/>
      <c r="H83" s="56"/>
      <c r="I83" s="56"/>
      <c r="J83" s="99"/>
      <c r="K83" s="100"/>
      <c r="M83" s="5"/>
    </row>
    <row r="84" spans="1:13" s="3" customFormat="1" ht="23.4" x14ac:dyDescent="0.6">
      <c r="A84" s="98"/>
      <c r="B84" s="56"/>
      <c r="C84" s="56"/>
      <c r="D84" s="56"/>
      <c r="E84" s="56"/>
      <c r="F84" s="56"/>
      <c r="G84" s="56"/>
      <c r="H84" s="56"/>
      <c r="I84" s="56"/>
      <c r="J84" s="99"/>
      <c r="K84" s="100"/>
      <c r="M84" s="5"/>
    </row>
    <row r="85" spans="1:13" s="3" customFormat="1" ht="23.4" x14ac:dyDescent="0.6">
      <c r="A85" s="98"/>
      <c r="B85" s="56"/>
      <c r="C85" s="56"/>
      <c r="D85" s="56"/>
      <c r="E85" s="56"/>
      <c r="F85" s="56"/>
      <c r="G85" s="56"/>
      <c r="H85" s="56"/>
      <c r="I85" s="56"/>
      <c r="J85" s="99"/>
      <c r="K85" s="100"/>
      <c r="M85" s="5"/>
    </row>
    <row r="86" spans="1:13" s="3" customFormat="1" ht="23.4" x14ac:dyDescent="0.6">
      <c r="A86" s="98"/>
      <c r="B86" s="56"/>
      <c r="C86" s="56"/>
      <c r="D86" s="56"/>
      <c r="E86" s="56"/>
      <c r="F86" s="56"/>
      <c r="G86" s="56"/>
      <c r="H86" s="56"/>
      <c r="I86" s="56"/>
      <c r="J86" s="99"/>
      <c r="K86" s="100"/>
      <c r="M86" s="5"/>
    </row>
    <row r="87" spans="1:13" s="3" customFormat="1" ht="23.4" x14ac:dyDescent="0.6">
      <c r="A87" s="98"/>
      <c r="B87" s="56"/>
      <c r="C87" s="56"/>
      <c r="D87" s="56"/>
      <c r="E87" s="56"/>
      <c r="F87" s="56"/>
      <c r="G87" s="56"/>
      <c r="H87" s="56"/>
      <c r="I87" s="56"/>
      <c r="J87" s="99"/>
      <c r="K87" s="100"/>
      <c r="M87" s="5"/>
    </row>
    <row r="88" spans="1:13" s="3" customFormat="1" ht="23.4" x14ac:dyDescent="0.6">
      <c r="A88" s="98"/>
      <c r="B88" s="56"/>
      <c r="C88" s="56"/>
      <c r="D88" s="56"/>
      <c r="E88" s="56"/>
      <c r="F88" s="56"/>
      <c r="G88" s="56"/>
      <c r="H88" s="56"/>
      <c r="I88" s="56"/>
      <c r="J88" s="99"/>
      <c r="K88" s="100"/>
      <c r="M88" s="5"/>
    </row>
    <row r="89" spans="1:13" s="3" customFormat="1" ht="23.4" x14ac:dyDescent="0.6">
      <c r="A89" s="98"/>
      <c r="B89" s="56"/>
      <c r="C89" s="56"/>
      <c r="D89" s="56"/>
      <c r="E89" s="56"/>
      <c r="F89" s="56"/>
      <c r="G89" s="56"/>
      <c r="H89" s="56"/>
      <c r="I89" s="56"/>
      <c r="J89" s="99"/>
      <c r="K89" s="100"/>
      <c r="M89" s="5"/>
    </row>
    <row r="90" spans="1:13" s="3" customFormat="1" ht="23.4" x14ac:dyDescent="0.6">
      <c r="A90" s="98"/>
      <c r="B90" s="56"/>
      <c r="C90" s="56"/>
      <c r="D90" s="56"/>
      <c r="E90" s="56"/>
      <c r="F90" s="56"/>
      <c r="G90" s="56"/>
      <c r="H90" s="56"/>
      <c r="I90" s="56"/>
      <c r="J90" s="99"/>
      <c r="K90" s="100"/>
      <c r="M90" s="5"/>
    </row>
    <row r="91" spans="1:13" s="3" customFormat="1" ht="23.4" x14ac:dyDescent="0.6">
      <c r="A91" s="98"/>
      <c r="B91" s="56"/>
      <c r="C91" s="56"/>
      <c r="D91" s="56"/>
      <c r="E91" s="56"/>
      <c r="F91" s="56"/>
      <c r="G91" s="56"/>
      <c r="H91" s="56"/>
      <c r="I91" s="56"/>
      <c r="J91" s="99"/>
      <c r="K91" s="100"/>
      <c r="M91" s="5"/>
    </row>
    <row r="92" spans="1:13" s="3" customFormat="1" ht="23.4" x14ac:dyDescent="0.6">
      <c r="A92" s="98"/>
      <c r="B92" s="101"/>
      <c r="C92" s="101"/>
      <c r="D92" s="101"/>
      <c r="E92" s="101"/>
      <c r="F92" s="101"/>
      <c r="G92" s="101"/>
      <c r="H92" s="101"/>
      <c r="I92" s="101"/>
      <c r="J92" s="99"/>
      <c r="K92" s="100"/>
      <c r="M92" s="5"/>
    </row>
    <row r="93" spans="1:13" s="3" customFormat="1" ht="23.4" x14ac:dyDescent="0.6">
      <c r="A93" s="98"/>
      <c r="B93" s="101"/>
      <c r="C93" s="101"/>
      <c r="D93" s="101"/>
      <c r="E93" s="101"/>
      <c r="F93" s="101"/>
      <c r="G93" s="101"/>
      <c r="H93" s="101"/>
      <c r="I93" s="101"/>
      <c r="J93" s="99"/>
      <c r="K93" s="100"/>
      <c r="M93" s="5"/>
    </row>
    <row r="94" spans="1:13" s="3" customFormat="1" ht="23.4" x14ac:dyDescent="0.6">
      <c r="A94" s="98"/>
      <c r="B94" s="101"/>
      <c r="C94" s="101"/>
      <c r="D94" s="101"/>
      <c r="E94" s="101"/>
      <c r="F94" s="101"/>
      <c r="G94" s="101"/>
      <c r="H94" s="101"/>
      <c r="I94" s="101"/>
      <c r="J94" s="99"/>
      <c r="K94" s="100"/>
      <c r="M94" s="5"/>
    </row>
    <row r="95" spans="1:13" s="3" customFormat="1" ht="23.4" x14ac:dyDescent="0.6">
      <c r="A95" s="98"/>
      <c r="B95" s="101"/>
      <c r="C95" s="101"/>
      <c r="D95" s="101"/>
      <c r="E95" s="101"/>
      <c r="F95" s="101"/>
      <c r="G95" s="101"/>
      <c r="H95" s="101"/>
      <c r="I95" s="101"/>
      <c r="J95" s="99"/>
      <c r="K95" s="100"/>
      <c r="M95" s="5"/>
    </row>
    <row r="96" spans="1:13" s="3" customFormat="1" ht="23.4" x14ac:dyDescent="0.6">
      <c r="A96" s="98"/>
      <c r="B96" s="101"/>
      <c r="C96" s="101"/>
      <c r="D96" s="101"/>
      <c r="E96" s="101"/>
      <c r="F96" s="101"/>
      <c r="G96" s="101"/>
      <c r="H96" s="101"/>
      <c r="I96" s="101"/>
      <c r="J96" s="99"/>
      <c r="K96" s="100"/>
      <c r="M96" s="5"/>
    </row>
    <row r="97" spans="1:13" s="3" customFormat="1" ht="23.4" x14ac:dyDescent="0.6">
      <c r="A97" s="98"/>
      <c r="B97" s="101"/>
      <c r="C97" s="101"/>
      <c r="D97" s="101"/>
      <c r="E97" s="101"/>
      <c r="F97" s="101"/>
      <c r="G97" s="101"/>
      <c r="H97" s="101"/>
      <c r="I97" s="101"/>
      <c r="J97" s="99"/>
      <c r="K97" s="100"/>
      <c r="M97" s="5"/>
    </row>
    <row r="98" spans="1:13" s="3" customFormat="1" ht="23.4" x14ac:dyDescent="0.6">
      <c r="A98" s="98"/>
      <c r="B98" s="101"/>
      <c r="C98" s="101"/>
      <c r="D98" s="101"/>
      <c r="E98" s="101"/>
      <c r="F98" s="101"/>
      <c r="G98" s="101"/>
      <c r="H98" s="101"/>
      <c r="I98" s="101"/>
      <c r="J98" s="99"/>
      <c r="K98" s="100"/>
      <c r="M98" s="5"/>
    </row>
    <row r="99" spans="1:13" s="3" customFormat="1" ht="23.4" x14ac:dyDescent="0.6">
      <c r="A99" s="98"/>
      <c r="B99" s="101"/>
      <c r="C99" s="101"/>
      <c r="D99" s="101"/>
      <c r="E99" s="101"/>
      <c r="F99" s="101"/>
      <c r="G99" s="101"/>
      <c r="H99" s="101"/>
      <c r="I99" s="101"/>
      <c r="J99" s="99"/>
      <c r="K99" s="100"/>
      <c r="M99" s="5"/>
    </row>
    <row r="100" spans="1:13" x14ac:dyDescent="0.25">
      <c r="B100" s="5"/>
      <c r="C100" s="5"/>
      <c r="D100" s="5"/>
      <c r="E100" s="5"/>
      <c r="F100" s="5"/>
      <c r="G100" s="5"/>
      <c r="H100" s="5"/>
      <c r="I100" s="5"/>
      <c r="J100" s="5"/>
      <c r="L100" s="5"/>
    </row>
    <row r="101" spans="1:13" x14ac:dyDescent="0.25">
      <c r="B101" s="5"/>
      <c r="C101" s="5"/>
      <c r="D101" s="5"/>
      <c r="E101" s="5"/>
      <c r="F101" s="5"/>
      <c r="G101" s="5"/>
      <c r="H101" s="5"/>
      <c r="I101" s="5"/>
      <c r="J101" s="5"/>
      <c r="L101" s="5"/>
    </row>
    <row r="102" spans="1:13" x14ac:dyDescent="0.25">
      <c r="B102" s="5"/>
      <c r="C102" s="5"/>
      <c r="D102" s="5"/>
      <c r="E102" s="5"/>
      <c r="F102" s="5"/>
      <c r="G102" s="5"/>
      <c r="H102" s="5"/>
      <c r="I102" s="5"/>
      <c r="J102" s="5"/>
      <c r="L102" s="5"/>
    </row>
    <row r="103" spans="1:13" x14ac:dyDescent="0.25">
      <c r="B103" s="5"/>
      <c r="C103" s="5"/>
      <c r="D103" s="5"/>
      <c r="E103" s="5"/>
      <c r="F103" s="5"/>
      <c r="G103" s="5"/>
      <c r="H103" s="5"/>
      <c r="I103" s="5"/>
      <c r="J103" s="5"/>
      <c r="L103" s="5"/>
    </row>
    <row r="104" spans="1:13" x14ac:dyDescent="0.25">
      <c r="B104" s="5"/>
      <c r="C104" s="5"/>
      <c r="D104" s="5"/>
      <c r="E104" s="5"/>
      <c r="F104" s="5"/>
      <c r="G104" s="5"/>
      <c r="H104" s="5"/>
      <c r="I104" s="5"/>
      <c r="J104" s="5"/>
      <c r="L104" s="5"/>
    </row>
  </sheetData>
  <autoFilter ref="A2:N99" xr:uid="{C05F9277-E941-4F8C-B88B-7443D998D414}">
    <sortState xmlns:xlrd2="http://schemas.microsoft.com/office/spreadsheetml/2017/richdata2" ref="A3:N97">
      <sortCondition ref="G2"/>
    </sortState>
  </autoFilter>
  <conditionalFormatting sqref="I20:I22">
    <cfRule type="containsText" dxfId="13" priority="4" operator="containsText" text="ไม่พบ">
      <formula>NOT(ISERROR(SEARCH("ไม่พบ",I20)))</formula>
    </cfRule>
  </conditionalFormatting>
  <conditionalFormatting sqref="I24">
    <cfRule type="containsText" dxfId="12" priority="2" operator="containsText" text="ไม่พบ">
      <formula>NOT(ISERROR(SEARCH("ไม่พบ",I24)))</formula>
    </cfRule>
  </conditionalFormatting>
  <conditionalFormatting sqref="I43:I49">
    <cfRule type="containsText" dxfId="11" priority="1" operator="containsText" text="ไม่พบ">
      <formula>NOT(ISERROR(SEARCH("ไม่พบ",I43)))</formula>
    </cfRule>
  </conditionalFormatting>
  <conditionalFormatting sqref="J1:J99 J105:J1048576">
    <cfRule type="containsText" dxfId="10" priority="11" operator="containsText" text="ไม่พบ">
      <formula>NOT(ISERROR(SEARCH("ไม่พบ",J1)))</formula>
    </cfRule>
  </conditionalFormatting>
  <conditionalFormatting sqref="K23">
    <cfRule type="containsText" dxfId="9" priority="3" operator="containsText" text="ไม่พบ">
      <formula>NOT(ISERROR(SEARCH("ไม่พบ",K23)))</formula>
    </cfRule>
  </conditionalFormatting>
  <conditionalFormatting sqref="M1 M59:M99 M105:M1048576">
    <cfRule type="duplicateValues" dxfId="8" priority="77"/>
    <cfRule type="duplicateValues" dxfId="7" priority="84"/>
  </conditionalFormatting>
  <conditionalFormatting sqref="M2">
    <cfRule type="duplicateValues" dxfId="6" priority="7"/>
  </conditionalFormatting>
  <conditionalFormatting sqref="N2">
    <cfRule type="duplicateValues" dxfId="5" priority="5"/>
    <cfRule type="duplicateValues" dxfId="4" priority="6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59D-9AEE-4DBC-84AA-2E90E0A86546}">
  <sheetPr>
    <tabColor rgb="FF00B0F0"/>
  </sheetPr>
  <dimension ref="A1:I77"/>
  <sheetViews>
    <sheetView zoomScale="70" zoomScaleNormal="70" workbookViewId="0">
      <pane xSplit="4" ySplit="2" topLeftCell="E3" activePane="bottomRight" state="frozen"/>
      <selection activeCell="T24" sqref="T24"/>
      <selection pane="topRight" activeCell="T24" sqref="T24"/>
      <selection pane="bottomLeft" activeCell="T24" sqref="T24"/>
      <selection pane="bottomRight" activeCell="I4" sqref="I4"/>
    </sheetView>
  </sheetViews>
  <sheetFormatPr defaultColWidth="54.69921875" defaultRowHeight="13.8" x14ac:dyDescent="0.25"/>
  <cols>
    <col min="1" max="1" width="11" style="11" customWidth="1"/>
    <col min="2" max="2" width="15.69921875" style="11" bestFit="1" customWidth="1"/>
    <col min="3" max="3" width="30.296875" style="11" bestFit="1" customWidth="1"/>
    <col min="4" max="4" width="16.19921875" style="11" bestFit="1" customWidth="1"/>
    <col min="5" max="5" width="29.296875" style="11" bestFit="1" customWidth="1"/>
    <col min="6" max="6" width="12.8984375" style="11" bestFit="1" customWidth="1"/>
    <col min="7" max="7" width="17.296875" style="11" bestFit="1" customWidth="1"/>
    <col min="8" max="8" width="10.09765625" style="11" bestFit="1" customWidth="1"/>
    <col min="9" max="9" width="55.09765625" style="12" customWidth="1"/>
    <col min="10" max="10" width="14" style="11" customWidth="1"/>
    <col min="11" max="16384" width="54.69921875" style="11"/>
  </cols>
  <sheetData>
    <row r="1" spans="1:9" ht="60" customHeight="1" x14ac:dyDescent="0.25">
      <c r="A1" s="8" t="s">
        <v>921</v>
      </c>
    </row>
    <row r="2" spans="1:9" ht="28.8" x14ac:dyDescent="0.25">
      <c r="A2" s="6" t="s">
        <v>18</v>
      </c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7" t="s">
        <v>7</v>
      </c>
    </row>
    <row r="3" spans="1:9" s="14" customFormat="1" ht="23.4" x14ac:dyDescent="0.25">
      <c r="A3" s="13">
        <v>1</v>
      </c>
      <c r="B3" s="1" t="s">
        <v>987</v>
      </c>
      <c r="C3" s="1" t="s">
        <v>988</v>
      </c>
      <c r="D3" s="1" t="s">
        <v>989</v>
      </c>
      <c r="E3" s="1" t="s">
        <v>8</v>
      </c>
      <c r="F3" s="1" t="s">
        <v>990</v>
      </c>
      <c r="G3" s="1" t="s">
        <v>991</v>
      </c>
      <c r="H3" s="89">
        <v>10582</v>
      </c>
      <c r="I3" s="2" t="s">
        <v>992</v>
      </c>
    </row>
    <row r="4" spans="1:9" s="14" customFormat="1" ht="23.4" x14ac:dyDescent="0.25">
      <c r="A4" s="13">
        <v>2</v>
      </c>
      <c r="B4" s="1" t="s">
        <v>993</v>
      </c>
      <c r="C4" s="1" t="s">
        <v>988</v>
      </c>
      <c r="D4" s="1" t="s">
        <v>989</v>
      </c>
      <c r="E4" s="1" t="s">
        <v>8</v>
      </c>
      <c r="F4" s="1" t="s">
        <v>990</v>
      </c>
      <c r="G4" s="1" t="s">
        <v>994</v>
      </c>
      <c r="H4" s="89">
        <v>4000</v>
      </c>
      <c r="I4" s="2" t="s">
        <v>992</v>
      </c>
    </row>
    <row r="5" spans="1:9" s="14" customFormat="1" ht="23.4" x14ac:dyDescent="0.25">
      <c r="A5" s="13">
        <v>3</v>
      </c>
      <c r="B5" s="1" t="s">
        <v>987</v>
      </c>
      <c r="C5" s="1" t="s">
        <v>988</v>
      </c>
      <c r="D5" s="1" t="s">
        <v>989</v>
      </c>
      <c r="E5" s="1" t="s">
        <v>8</v>
      </c>
      <c r="F5" s="1" t="s">
        <v>990</v>
      </c>
      <c r="G5" s="1" t="s">
        <v>994</v>
      </c>
      <c r="H5" s="89">
        <v>432</v>
      </c>
      <c r="I5" s="2" t="s">
        <v>992</v>
      </c>
    </row>
    <row r="6" spans="1:9" s="14" customFormat="1" ht="23.4" x14ac:dyDescent="0.25">
      <c r="A6" s="13">
        <v>4</v>
      </c>
      <c r="B6" s="1" t="s">
        <v>995</v>
      </c>
      <c r="C6" s="1" t="s">
        <v>988</v>
      </c>
      <c r="D6" s="1" t="s">
        <v>989</v>
      </c>
      <c r="E6" s="1" t="s">
        <v>8</v>
      </c>
      <c r="F6" s="1" t="s">
        <v>990</v>
      </c>
      <c r="G6" s="1" t="s">
        <v>996</v>
      </c>
      <c r="H6" s="89">
        <v>1095</v>
      </c>
      <c r="I6" s="2" t="s">
        <v>992</v>
      </c>
    </row>
    <row r="7" spans="1:9" s="14" customFormat="1" ht="23.4" x14ac:dyDescent="0.25">
      <c r="A7" s="13">
        <v>5</v>
      </c>
      <c r="B7" s="1" t="s">
        <v>997</v>
      </c>
      <c r="C7" s="1" t="s">
        <v>998</v>
      </c>
      <c r="D7" s="1" t="s">
        <v>999</v>
      </c>
      <c r="E7" s="1" t="s">
        <v>1000</v>
      </c>
      <c r="F7" s="1" t="s">
        <v>8</v>
      </c>
      <c r="G7" s="1" t="s">
        <v>1001</v>
      </c>
      <c r="H7" s="89">
        <v>364</v>
      </c>
      <c r="I7" s="2" t="s">
        <v>992</v>
      </c>
    </row>
    <row r="8" spans="1:9" s="14" customFormat="1" ht="23.4" x14ac:dyDescent="0.25">
      <c r="A8" s="13">
        <v>6</v>
      </c>
      <c r="B8" s="1" t="s">
        <v>1002</v>
      </c>
      <c r="C8" s="1" t="s">
        <v>1003</v>
      </c>
      <c r="D8" s="1" t="s">
        <v>1004</v>
      </c>
      <c r="E8" s="1" t="s">
        <v>1005</v>
      </c>
      <c r="F8" s="1" t="s">
        <v>1006</v>
      </c>
      <c r="G8" s="1" t="s">
        <v>1007</v>
      </c>
      <c r="H8" s="89">
        <v>200</v>
      </c>
      <c r="I8" s="2" t="s">
        <v>992</v>
      </c>
    </row>
    <row r="9" spans="1:9" s="14" customFormat="1" ht="23.4" x14ac:dyDescent="0.25">
      <c r="A9" s="13">
        <v>7</v>
      </c>
      <c r="B9" s="1" t="s">
        <v>1028</v>
      </c>
      <c r="C9" s="1" t="s">
        <v>1029</v>
      </c>
      <c r="D9" s="1" t="s">
        <v>1004</v>
      </c>
      <c r="E9" s="1" t="s">
        <v>1030</v>
      </c>
      <c r="F9" s="1" t="s">
        <v>1006</v>
      </c>
      <c r="G9" s="1" t="s">
        <v>1031</v>
      </c>
      <c r="H9" s="89">
        <v>200</v>
      </c>
      <c r="I9" s="2" t="s">
        <v>992</v>
      </c>
    </row>
    <row r="10" spans="1:9" s="14" customFormat="1" ht="23.4" x14ac:dyDescent="0.25">
      <c r="A10" s="13">
        <v>8</v>
      </c>
      <c r="B10" s="1" t="s">
        <v>1032</v>
      </c>
      <c r="C10" s="1" t="s">
        <v>1033</v>
      </c>
      <c r="D10" s="1" t="s">
        <v>999</v>
      </c>
      <c r="E10" s="1" t="s">
        <v>1034</v>
      </c>
      <c r="F10" s="1" t="s">
        <v>8</v>
      </c>
      <c r="G10" s="1" t="s">
        <v>1035</v>
      </c>
      <c r="H10" s="89">
        <v>285</v>
      </c>
      <c r="I10" s="2" t="s">
        <v>992</v>
      </c>
    </row>
    <row r="11" spans="1:9" s="14" customFormat="1" ht="23.4" x14ac:dyDescent="0.25">
      <c r="A11" s="13">
        <v>9</v>
      </c>
      <c r="B11" s="1" t="s">
        <v>1036</v>
      </c>
      <c r="C11" s="1" t="s">
        <v>1037</v>
      </c>
      <c r="D11" s="1" t="s">
        <v>999</v>
      </c>
      <c r="E11" s="1" t="s">
        <v>1038</v>
      </c>
      <c r="F11" s="1" t="s">
        <v>8</v>
      </c>
      <c r="G11" s="1" t="s">
        <v>1039</v>
      </c>
      <c r="H11" s="89">
        <v>50</v>
      </c>
      <c r="I11" s="2" t="s">
        <v>992</v>
      </c>
    </row>
    <row r="12" spans="1:9" s="14" customFormat="1" ht="23.4" x14ac:dyDescent="0.25">
      <c r="A12" s="13">
        <v>10</v>
      </c>
      <c r="B12" s="1" t="s">
        <v>1040</v>
      </c>
      <c r="C12" s="1" t="s">
        <v>1041</v>
      </c>
      <c r="D12" s="1" t="s">
        <v>989</v>
      </c>
      <c r="E12" s="1" t="s">
        <v>8</v>
      </c>
      <c r="F12" s="1" t="s">
        <v>990</v>
      </c>
      <c r="G12" s="1" t="s">
        <v>1042</v>
      </c>
      <c r="H12" s="89">
        <v>109.6</v>
      </c>
      <c r="I12" s="2" t="s">
        <v>992</v>
      </c>
    </row>
    <row r="13" spans="1:9" s="14" customFormat="1" ht="23.4" x14ac:dyDescent="0.25">
      <c r="A13" s="13">
        <v>11</v>
      </c>
      <c r="B13" s="1" t="s">
        <v>1059</v>
      </c>
      <c r="C13" s="1" t="s">
        <v>1060</v>
      </c>
      <c r="D13" s="1" t="s">
        <v>989</v>
      </c>
      <c r="E13" s="1" t="s">
        <v>8</v>
      </c>
      <c r="F13" s="1" t="s">
        <v>990</v>
      </c>
      <c r="G13" s="1" t="s">
        <v>1061</v>
      </c>
      <c r="H13" s="89">
        <v>58.25</v>
      </c>
      <c r="I13" s="2" t="s">
        <v>992</v>
      </c>
    </row>
    <row r="14" spans="1:9" s="14" customFormat="1" ht="23.4" x14ac:dyDescent="0.25">
      <c r="A14" s="13">
        <v>12</v>
      </c>
      <c r="B14" s="1" t="s">
        <v>1062</v>
      </c>
      <c r="C14" s="1" t="s">
        <v>1063</v>
      </c>
      <c r="D14" s="1" t="s">
        <v>1004</v>
      </c>
      <c r="E14" s="1" t="s">
        <v>1064</v>
      </c>
      <c r="F14" s="1" t="s">
        <v>1006</v>
      </c>
      <c r="G14" s="1" t="s">
        <v>1065</v>
      </c>
      <c r="H14" s="89">
        <v>200</v>
      </c>
      <c r="I14" s="2" t="s">
        <v>992</v>
      </c>
    </row>
    <row r="15" spans="1:9" s="14" customFormat="1" ht="23.4" x14ac:dyDescent="0.25">
      <c r="A15" s="13">
        <v>13</v>
      </c>
      <c r="B15" s="1" t="s">
        <v>1066</v>
      </c>
      <c r="C15" s="1" t="s">
        <v>1067</v>
      </c>
      <c r="D15" s="1" t="s">
        <v>1004</v>
      </c>
      <c r="E15" s="1" t="s">
        <v>1068</v>
      </c>
      <c r="F15" s="1" t="s">
        <v>1006</v>
      </c>
      <c r="G15" s="1" t="s">
        <v>1069</v>
      </c>
      <c r="H15" s="89">
        <v>100</v>
      </c>
      <c r="I15" s="2" t="s">
        <v>992</v>
      </c>
    </row>
    <row r="16" spans="1:9" s="14" customFormat="1" ht="23.4" x14ac:dyDescent="0.25">
      <c r="A16" s="13">
        <v>14</v>
      </c>
      <c r="B16" s="1" t="s">
        <v>1070</v>
      </c>
      <c r="C16" s="1" t="s">
        <v>1071</v>
      </c>
      <c r="D16" s="1" t="s">
        <v>1004</v>
      </c>
      <c r="E16" s="1" t="s">
        <v>1072</v>
      </c>
      <c r="F16" s="1" t="s">
        <v>1006</v>
      </c>
      <c r="G16" s="1" t="s">
        <v>1073</v>
      </c>
      <c r="H16" s="89">
        <v>147</v>
      </c>
      <c r="I16" s="2" t="s">
        <v>992</v>
      </c>
    </row>
    <row r="17" spans="1:9" s="14" customFormat="1" ht="23.4" x14ac:dyDescent="0.25">
      <c r="A17" s="13">
        <v>15</v>
      </c>
      <c r="B17" s="1" t="s">
        <v>1074</v>
      </c>
      <c r="C17" s="1" t="s">
        <v>1075</v>
      </c>
      <c r="D17" s="1" t="s">
        <v>989</v>
      </c>
      <c r="E17" s="1" t="s">
        <v>8</v>
      </c>
      <c r="F17" s="1" t="s">
        <v>990</v>
      </c>
      <c r="G17" s="1" t="s">
        <v>1076</v>
      </c>
      <c r="H17" s="89">
        <v>78.290000000000006</v>
      </c>
      <c r="I17" s="2" t="s">
        <v>992</v>
      </c>
    </row>
    <row r="18" spans="1:9" s="14" customFormat="1" ht="23.4" x14ac:dyDescent="0.25">
      <c r="A18" s="13">
        <v>16</v>
      </c>
      <c r="B18" s="1" t="s">
        <v>1077</v>
      </c>
      <c r="C18" s="1" t="s">
        <v>1078</v>
      </c>
      <c r="D18" s="1" t="s">
        <v>989</v>
      </c>
      <c r="E18" s="1" t="s">
        <v>8</v>
      </c>
      <c r="F18" s="1" t="s">
        <v>990</v>
      </c>
      <c r="G18" s="1" t="s">
        <v>1079</v>
      </c>
      <c r="H18" s="89">
        <v>230.04</v>
      </c>
      <c r="I18" s="2" t="s">
        <v>992</v>
      </c>
    </row>
    <row r="19" spans="1:9" s="14" customFormat="1" ht="23.4" x14ac:dyDescent="0.25">
      <c r="A19" s="13">
        <v>17</v>
      </c>
      <c r="B19" s="1" t="s">
        <v>1080</v>
      </c>
      <c r="C19" s="1" t="s">
        <v>1081</v>
      </c>
      <c r="D19" s="1" t="s">
        <v>989</v>
      </c>
      <c r="E19" s="1" t="s">
        <v>8</v>
      </c>
      <c r="F19" s="1" t="s">
        <v>990</v>
      </c>
      <c r="G19" s="1" t="s">
        <v>1082</v>
      </c>
      <c r="H19" s="89">
        <v>129.27000000000001</v>
      </c>
      <c r="I19" s="2" t="s">
        <v>992</v>
      </c>
    </row>
    <row r="20" spans="1:9" s="14" customFormat="1" ht="23.4" x14ac:dyDescent="0.25">
      <c r="A20" s="13">
        <v>18</v>
      </c>
      <c r="B20" s="1" t="s">
        <v>1083</v>
      </c>
      <c r="C20" s="1" t="s">
        <v>1081</v>
      </c>
      <c r="D20" s="1" t="s">
        <v>989</v>
      </c>
      <c r="E20" s="1" t="s">
        <v>8</v>
      </c>
      <c r="F20" s="1" t="s">
        <v>990</v>
      </c>
      <c r="G20" s="1" t="s">
        <v>1084</v>
      </c>
      <c r="H20" s="89">
        <v>131.27000000000001</v>
      </c>
      <c r="I20" s="2" t="s">
        <v>992</v>
      </c>
    </row>
    <row r="21" spans="1:9" s="14" customFormat="1" ht="23.4" x14ac:dyDescent="0.25">
      <c r="A21" s="13">
        <v>19</v>
      </c>
      <c r="B21" s="1" t="s">
        <v>1085</v>
      </c>
      <c r="C21" s="1" t="s">
        <v>1086</v>
      </c>
      <c r="D21" s="1" t="s">
        <v>1004</v>
      </c>
      <c r="E21" s="1" t="s">
        <v>1087</v>
      </c>
      <c r="F21" s="1" t="s">
        <v>1006</v>
      </c>
      <c r="G21" s="1" t="s">
        <v>1088</v>
      </c>
      <c r="H21" s="89">
        <v>150</v>
      </c>
      <c r="I21" s="2" t="s">
        <v>992</v>
      </c>
    </row>
    <row r="22" spans="1:9" s="14" customFormat="1" ht="23.4" x14ac:dyDescent="0.25">
      <c r="A22" s="13">
        <v>20</v>
      </c>
      <c r="B22" s="1" t="s">
        <v>1089</v>
      </c>
      <c r="C22" s="1" t="s">
        <v>1090</v>
      </c>
      <c r="D22" s="1" t="s">
        <v>989</v>
      </c>
      <c r="E22" s="1" t="s">
        <v>8</v>
      </c>
      <c r="F22" s="1" t="s">
        <v>990</v>
      </c>
      <c r="G22" s="1" t="s">
        <v>1091</v>
      </c>
      <c r="H22" s="89">
        <v>549.28</v>
      </c>
      <c r="I22" s="2" t="s">
        <v>992</v>
      </c>
    </row>
    <row r="23" spans="1:9" s="14" customFormat="1" ht="23.4" x14ac:dyDescent="0.25">
      <c r="A23" s="13">
        <v>21</v>
      </c>
      <c r="B23" s="1" t="s">
        <v>1092</v>
      </c>
      <c r="C23" s="1" t="s">
        <v>1093</v>
      </c>
      <c r="D23" s="1" t="s">
        <v>1004</v>
      </c>
      <c r="E23" s="1" t="s">
        <v>1094</v>
      </c>
      <c r="F23" s="1" t="s">
        <v>1095</v>
      </c>
      <c r="G23" s="1" t="s">
        <v>1096</v>
      </c>
      <c r="H23" s="89">
        <v>200</v>
      </c>
      <c r="I23" s="2" t="s">
        <v>992</v>
      </c>
    </row>
    <row r="24" spans="1:9" s="14" customFormat="1" ht="23.4" x14ac:dyDescent="0.25">
      <c r="A24" s="13">
        <v>22</v>
      </c>
      <c r="B24" s="1" t="s">
        <v>1097</v>
      </c>
      <c r="C24" s="1" t="s">
        <v>1098</v>
      </c>
      <c r="D24" s="1" t="s">
        <v>945</v>
      </c>
      <c r="E24" s="1" t="s">
        <v>1099</v>
      </c>
      <c r="F24" s="1" t="s">
        <v>1100</v>
      </c>
      <c r="G24" s="1" t="s">
        <v>1101</v>
      </c>
      <c r="H24" s="89">
        <v>480</v>
      </c>
      <c r="I24" s="2" t="s">
        <v>992</v>
      </c>
    </row>
    <row r="25" spans="1:9" s="14" customFormat="1" ht="23.4" x14ac:dyDescent="0.25">
      <c r="A25" s="13">
        <v>23</v>
      </c>
      <c r="B25" s="1" t="s">
        <v>1102</v>
      </c>
      <c r="C25" s="1" t="s">
        <v>1103</v>
      </c>
      <c r="D25" s="1" t="s">
        <v>989</v>
      </c>
      <c r="E25" s="1" t="s">
        <v>8</v>
      </c>
      <c r="F25" s="1" t="s">
        <v>990</v>
      </c>
      <c r="G25" s="1" t="s">
        <v>1104</v>
      </c>
      <c r="H25" s="89">
        <v>187.86</v>
      </c>
      <c r="I25" s="2" t="s">
        <v>992</v>
      </c>
    </row>
    <row r="26" spans="1:9" s="14" customFormat="1" ht="23.4" x14ac:dyDescent="0.25">
      <c r="A26" s="13">
        <v>24</v>
      </c>
      <c r="B26" s="4" t="s">
        <v>1110</v>
      </c>
      <c r="C26" s="4" t="s">
        <v>1111</v>
      </c>
      <c r="D26" s="4" t="s">
        <v>989</v>
      </c>
      <c r="E26" s="4" t="s">
        <v>8</v>
      </c>
      <c r="F26" s="4" t="s">
        <v>990</v>
      </c>
      <c r="G26" s="4" t="s">
        <v>1112</v>
      </c>
      <c r="H26" s="4">
        <v>80.91</v>
      </c>
      <c r="I26" s="2" t="s">
        <v>992</v>
      </c>
    </row>
    <row r="27" spans="1:9" s="14" customFormat="1" ht="23.4" x14ac:dyDescent="0.25">
      <c r="A27" s="13">
        <v>25</v>
      </c>
      <c r="B27" s="4" t="s">
        <v>1113</v>
      </c>
      <c r="C27" s="4" t="s">
        <v>1114</v>
      </c>
      <c r="D27" s="4" t="s">
        <v>999</v>
      </c>
      <c r="E27" s="4" t="s">
        <v>1115</v>
      </c>
      <c r="F27" s="4" t="s">
        <v>8</v>
      </c>
      <c r="G27" s="4" t="s">
        <v>1116</v>
      </c>
      <c r="H27" s="4">
        <v>88</v>
      </c>
      <c r="I27" s="2" t="s">
        <v>992</v>
      </c>
    </row>
    <row r="28" spans="1:9" s="14" customFormat="1" ht="23.4" x14ac:dyDescent="0.25">
      <c r="A28" s="13">
        <v>26</v>
      </c>
      <c r="B28" s="4" t="s">
        <v>1117</v>
      </c>
      <c r="C28" s="4" t="s">
        <v>1118</v>
      </c>
      <c r="D28" s="4" t="s">
        <v>1004</v>
      </c>
      <c r="E28" s="4" t="s">
        <v>1119</v>
      </c>
      <c r="F28" s="4" t="s">
        <v>1006</v>
      </c>
      <c r="G28" s="4" t="s">
        <v>1120</v>
      </c>
      <c r="H28" s="4">
        <v>180</v>
      </c>
      <c r="I28" s="2" t="s">
        <v>992</v>
      </c>
    </row>
    <row r="29" spans="1:9" s="14" customFormat="1" ht="23.4" x14ac:dyDescent="0.25">
      <c r="A29" s="13">
        <v>27</v>
      </c>
      <c r="B29" s="4" t="s">
        <v>1121</v>
      </c>
      <c r="C29" s="4" t="s">
        <v>1122</v>
      </c>
      <c r="D29" s="4" t="s">
        <v>1004</v>
      </c>
      <c r="E29" s="4" t="s">
        <v>1123</v>
      </c>
      <c r="F29" s="4" t="s">
        <v>1006</v>
      </c>
      <c r="G29" s="4" t="s">
        <v>1124</v>
      </c>
      <c r="H29" s="4">
        <v>319</v>
      </c>
      <c r="I29" s="2" t="s">
        <v>992</v>
      </c>
    </row>
    <row r="30" spans="1:9" s="14" customFormat="1" ht="23.4" x14ac:dyDescent="0.25">
      <c r="A30" s="13">
        <v>28</v>
      </c>
      <c r="B30" s="4" t="s">
        <v>1125</v>
      </c>
      <c r="C30" s="4" t="s">
        <v>1126</v>
      </c>
      <c r="D30" s="4" t="s">
        <v>1004</v>
      </c>
      <c r="E30" s="4" t="s">
        <v>1127</v>
      </c>
      <c r="F30" s="4" t="s">
        <v>1006</v>
      </c>
      <c r="G30" s="4" t="s">
        <v>1128</v>
      </c>
      <c r="H30" s="4">
        <v>70</v>
      </c>
      <c r="I30" s="2" t="s">
        <v>992</v>
      </c>
    </row>
    <row r="31" spans="1:9" s="14" customFormat="1" ht="23.4" x14ac:dyDescent="0.25">
      <c r="A31" s="13">
        <v>29</v>
      </c>
      <c r="B31" s="4" t="s">
        <v>1129</v>
      </c>
      <c r="C31" s="4" t="s">
        <v>1130</v>
      </c>
      <c r="D31" s="4" t="s">
        <v>999</v>
      </c>
      <c r="E31" s="4" t="s">
        <v>1131</v>
      </c>
      <c r="F31" s="4" t="s">
        <v>8</v>
      </c>
      <c r="G31" s="4" t="s">
        <v>1132</v>
      </c>
      <c r="H31" s="4">
        <v>232</v>
      </c>
      <c r="I31" s="2" t="s">
        <v>992</v>
      </c>
    </row>
    <row r="32" spans="1:9" s="14" customFormat="1" ht="23.4" x14ac:dyDescent="0.25">
      <c r="A32" s="13">
        <v>30</v>
      </c>
      <c r="B32" s="4" t="s">
        <v>1133</v>
      </c>
      <c r="C32" s="4" t="s">
        <v>1134</v>
      </c>
      <c r="D32" s="4" t="s">
        <v>999</v>
      </c>
      <c r="E32" s="4" t="s">
        <v>1135</v>
      </c>
      <c r="F32" s="4" t="s">
        <v>8</v>
      </c>
      <c r="G32" s="4" t="s">
        <v>1136</v>
      </c>
      <c r="H32" s="4">
        <v>226</v>
      </c>
      <c r="I32" s="2" t="s">
        <v>992</v>
      </c>
    </row>
    <row r="33" spans="1:9" s="14" customFormat="1" ht="23.4" x14ac:dyDescent="0.25">
      <c r="A33" s="13">
        <v>31</v>
      </c>
      <c r="B33" s="4" t="s">
        <v>1137</v>
      </c>
      <c r="C33" s="4" t="s">
        <v>1138</v>
      </c>
      <c r="D33" s="4" t="s">
        <v>999</v>
      </c>
      <c r="E33" s="4" t="s">
        <v>1139</v>
      </c>
      <c r="F33" s="4" t="s">
        <v>8</v>
      </c>
      <c r="G33" s="4" t="s">
        <v>1140</v>
      </c>
      <c r="H33" s="4">
        <v>235</v>
      </c>
      <c r="I33" s="2" t="s">
        <v>992</v>
      </c>
    </row>
    <row r="34" spans="1:9" s="14" customFormat="1" ht="23.4" x14ac:dyDescent="0.25">
      <c r="A34" s="102">
        <v>32</v>
      </c>
      <c r="B34" s="103" t="s">
        <v>1196</v>
      </c>
      <c r="C34" s="103" t="s">
        <v>1197</v>
      </c>
      <c r="D34" s="103" t="s">
        <v>1004</v>
      </c>
      <c r="E34" s="103" t="s">
        <v>1198</v>
      </c>
      <c r="F34" s="103" t="s">
        <v>1006</v>
      </c>
      <c r="G34" s="103" t="s">
        <v>1199</v>
      </c>
      <c r="H34" s="104">
        <v>106</v>
      </c>
      <c r="I34" s="104" t="s">
        <v>992</v>
      </c>
    </row>
    <row r="35" spans="1:9" s="14" customFormat="1" ht="23.4" x14ac:dyDescent="0.25">
      <c r="A35" s="106"/>
      <c r="B35" s="101"/>
      <c r="C35" s="101"/>
      <c r="D35" s="101"/>
      <c r="E35" s="101"/>
      <c r="F35" s="101"/>
      <c r="G35" s="101"/>
      <c r="H35" s="101"/>
      <c r="I35" s="100"/>
    </row>
    <row r="36" spans="1:9" s="14" customFormat="1" ht="23.4" x14ac:dyDescent="0.25">
      <c r="A36" s="106"/>
      <c r="B36" s="101"/>
      <c r="C36" s="101"/>
      <c r="D36" s="101"/>
      <c r="E36" s="101"/>
      <c r="F36" s="101"/>
      <c r="G36" s="101"/>
      <c r="H36" s="101"/>
      <c r="I36" s="100"/>
    </row>
    <row r="37" spans="1:9" s="14" customFormat="1" ht="23.4" x14ac:dyDescent="0.25">
      <c r="A37" s="106"/>
      <c r="B37" s="101"/>
      <c r="C37" s="101"/>
      <c r="D37" s="101"/>
      <c r="E37" s="101"/>
      <c r="F37" s="101"/>
      <c r="G37" s="101"/>
      <c r="H37" s="101"/>
      <c r="I37" s="100"/>
    </row>
    <row r="38" spans="1:9" s="14" customFormat="1" ht="23.4" x14ac:dyDescent="0.25">
      <c r="A38" s="106"/>
      <c r="B38" s="101"/>
      <c r="C38" s="101"/>
      <c r="D38" s="101"/>
      <c r="E38" s="101"/>
      <c r="F38" s="101"/>
      <c r="G38" s="101"/>
      <c r="H38" s="101"/>
      <c r="I38" s="100"/>
    </row>
    <row r="39" spans="1:9" s="14" customFormat="1" ht="23.4" x14ac:dyDescent="0.25">
      <c r="A39" s="106"/>
      <c r="B39" s="101"/>
      <c r="C39" s="101"/>
      <c r="D39" s="101"/>
      <c r="E39" s="101"/>
      <c r="F39" s="101"/>
      <c r="G39" s="101"/>
      <c r="H39" s="101"/>
      <c r="I39" s="100"/>
    </row>
    <row r="40" spans="1:9" s="14" customFormat="1" ht="23.4" x14ac:dyDescent="0.25">
      <c r="A40" s="106"/>
      <c r="B40" s="101"/>
      <c r="C40" s="101"/>
      <c r="D40" s="101"/>
      <c r="E40" s="101"/>
      <c r="F40" s="101"/>
      <c r="G40" s="101"/>
      <c r="H40" s="101"/>
      <c r="I40" s="100"/>
    </row>
    <row r="41" spans="1:9" s="14" customFormat="1" ht="23.4" x14ac:dyDescent="0.25">
      <c r="A41" s="106"/>
      <c r="B41" s="101"/>
      <c r="C41" s="101"/>
      <c r="D41" s="101"/>
      <c r="E41" s="101"/>
      <c r="F41" s="101"/>
      <c r="G41" s="101"/>
      <c r="H41" s="101"/>
      <c r="I41" s="100"/>
    </row>
    <row r="42" spans="1:9" s="14" customFormat="1" ht="23.4" x14ac:dyDescent="0.25">
      <c r="A42" s="106"/>
      <c r="B42" s="101"/>
      <c r="C42" s="101"/>
      <c r="D42" s="101"/>
      <c r="E42" s="101"/>
      <c r="F42" s="101"/>
      <c r="G42" s="101"/>
      <c r="H42" s="101"/>
      <c r="I42" s="100"/>
    </row>
    <row r="43" spans="1:9" s="14" customFormat="1" ht="23.4" x14ac:dyDescent="0.25">
      <c r="A43" s="106"/>
      <c r="B43" s="101"/>
      <c r="C43" s="101"/>
      <c r="D43" s="101"/>
      <c r="E43" s="101"/>
      <c r="F43" s="101"/>
      <c r="G43" s="101"/>
      <c r="H43" s="101"/>
      <c r="I43" s="100"/>
    </row>
    <row r="44" spans="1:9" s="14" customFormat="1" ht="23.4" x14ac:dyDescent="0.25">
      <c r="A44" s="106"/>
      <c r="B44" s="101"/>
      <c r="C44" s="101"/>
      <c r="D44" s="101"/>
      <c r="E44" s="101"/>
      <c r="F44" s="101"/>
      <c r="G44" s="101"/>
      <c r="H44" s="101"/>
      <c r="I44" s="100"/>
    </row>
    <row r="45" spans="1:9" s="14" customFormat="1" ht="23.4" x14ac:dyDescent="0.25">
      <c r="A45" s="106"/>
      <c r="B45" s="101"/>
      <c r="C45" s="101"/>
      <c r="D45" s="101"/>
      <c r="E45" s="101"/>
      <c r="F45" s="101"/>
      <c r="G45" s="101"/>
      <c r="H45" s="101"/>
      <c r="I45" s="100"/>
    </row>
    <row r="46" spans="1:9" s="14" customFormat="1" ht="23.4" x14ac:dyDescent="0.25">
      <c r="A46" s="106"/>
      <c r="B46" s="101"/>
      <c r="C46" s="101"/>
      <c r="D46" s="101"/>
      <c r="E46" s="101"/>
      <c r="F46" s="101"/>
      <c r="G46" s="101"/>
      <c r="H46" s="101"/>
      <c r="I46" s="100"/>
    </row>
    <row r="47" spans="1:9" s="14" customFormat="1" ht="23.4" x14ac:dyDescent="0.25">
      <c r="A47" s="106"/>
      <c r="B47" s="101"/>
      <c r="C47" s="101"/>
      <c r="D47" s="101"/>
      <c r="E47" s="101"/>
      <c r="F47" s="101"/>
      <c r="G47" s="101"/>
      <c r="H47" s="101"/>
      <c r="I47" s="100"/>
    </row>
    <row r="48" spans="1:9" s="14" customFormat="1" ht="23.4" x14ac:dyDescent="0.25">
      <c r="A48" s="106"/>
      <c r="B48" s="101"/>
      <c r="C48" s="101"/>
      <c r="D48" s="101"/>
      <c r="E48" s="101"/>
      <c r="F48" s="101"/>
      <c r="G48" s="101"/>
      <c r="H48" s="101"/>
      <c r="I48" s="100"/>
    </row>
    <row r="49" spans="1:9" s="14" customFormat="1" ht="23.4" x14ac:dyDescent="0.25">
      <c r="A49" s="106"/>
      <c r="B49" s="101"/>
      <c r="C49" s="101"/>
      <c r="D49" s="101"/>
      <c r="E49" s="101"/>
      <c r="F49" s="101"/>
      <c r="G49" s="101"/>
      <c r="H49" s="101"/>
      <c r="I49" s="100"/>
    </row>
    <row r="50" spans="1:9" s="14" customFormat="1" ht="23.4" x14ac:dyDescent="0.25">
      <c r="A50" s="106"/>
      <c r="B50" s="101"/>
      <c r="C50" s="101"/>
      <c r="D50" s="101"/>
      <c r="E50" s="101"/>
      <c r="F50" s="101"/>
      <c r="G50" s="101"/>
      <c r="H50" s="101"/>
      <c r="I50" s="100"/>
    </row>
    <row r="51" spans="1:9" s="14" customFormat="1" ht="23.4" x14ac:dyDescent="0.25">
      <c r="A51" s="106"/>
      <c r="B51" s="101"/>
      <c r="C51" s="101"/>
      <c r="D51" s="101"/>
      <c r="E51" s="101"/>
      <c r="F51" s="101"/>
      <c r="G51" s="101"/>
      <c r="H51" s="101"/>
      <c r="I51" s="100"/>
    </row>
    <row r="52" spans="1:9" s="14" customFormat="1" ht="23.4" x14ac:dyDescent="0.25">
      <c r="A52" s="106"/>
      <c r="B52" s="101"/>
      <c r="C52" s="101"/>
      <c r="D52" s="101"/>
      <c r="E52" s="101"/>
      <c r="F52" s="101"/>
      <c r="G52" s="101"/>
      <c r="H52" s="101"/>
      <c r="I52" s="100"/>
    </row>
    <row r="53" spans="1:9" s="14" customFormat="1" ht="23.4" x14ac:dyDescent="0.25">
      <c r="A53" s="106"/>
      <c r="B53" s="101"/>
      <c r="C53" s="101"/>
      <c r="D53" s="101"/>
      <c r="E53" s="101"/>
      <c r="F53" s="101"/>
      <c r="G53" s="101"/>
      <c r="H53" s="101"/>
      <c r="I53" s="100"/>
    </row>
    <row r="54" spans="1:9" s="14" customFormat="1" ht="23.4" x14ac:dyDescent="0.25">
      <c r="A54" s="106"/>
      <c r="B54" s="101"/>
      <c r="C54" s="101"/>
      <c r="D54" s="101"/>
      <c r="E54" s="101"/>
      <c r="F54" s="101"/>
      <c r="G54" s="101"/>
      <c r="H54" s="101"/>
      <c r="I54" s="100"/>
    </row>
    <row r="55" spans="1:9" s="14" customFormat="1" ht="23.4" x14ac:dyDescent="0.25">
      <c r="A55" s="106"/>
      <c r="B55" s="101"/>
      <c r="C55" s="101"/>
      <c r="D55" s="101"/>
      <c r="E55" s="101"/>
      <c r="F55" s="101"/>
      <c r="G55" s="101"/>
      <c r="H55" s="101"/>
      <c r="I55" s="100"/>
    </row>
    <row r="56" spans="1:9" s="14" customFormat="1" ht="23.4" x14ac:dyDescent="0.25">
      <c r="A56" s="106"/>
      <c r="B56" s="101"/>
      <c r="C56" s="101"/>
      <c r="D56" s="101"/>
      <c r="E56" s="101"/>
      <c r="F56" s="101"/>
      <c r="G56" s="101"/>
      <c r="H56" s="101"/>
      <c r="I56" s="100"/>
    </row>
    <row r="57" spans="1:9" s="14" customFormat="1" ht="23.4" x14ac:dyDescent="0.25">
      <c r="A57" s="106"/>
      <c r="B57" s="101"/>
      <c r="C57" s="101"/>
      <c r="D57" s="101"/>
      <c r="E57" s="101"/>
      <c r="F57" s="101"/>
      <c r="G57" s="101"/>
      <c r="H57" s="101"/>
      <c r="I57" s="100"/>
    </row>
    <row r="58" spans="1:9" s="14" customFormat="1" ht="23.4" x14ac:dyDescent="0.25">
      <c r="A58" s="106"/>
      <c r="B58" s="101"/>
      <c r="C58" s="101"/>
      <c r="D58" s="101"/>
      <c r="E58" s="101"/>
      <c r="F58" s="101"/>
      <c r="G58" s="101"/>
      <c r="H58" s="101"/>
      <c r="I58" s="100"/>
    </row>
    <row r="59" spans="1:9" s="14" customFormat="1" ht="23.4" x14ac:dyDescent="0.25">
      <c r="A59" s="106"/>
      <c r="B59" s="101"/>
      <c r="C59" s="101"/>
      <c r="D59" s="101"/>
      <c r="E59" s="101"/>
      <c r="F59" s="101"/>
      <c r="G59" s="101"/>
      <c r="H59" s="101"/>
      <c r="I59" s="100"/>
    </row>
    <row r="60" spans="1:9" s="14" customFormat="1" ht="23.4" x14ac:dyDescent="0.25">
      <c r="A60" s="106"/>
      <c r="B60" s="101"/>
      <c r="C60" s="101"/>
      <c r="D60" s="101"/>
      <c r="E60" s="101"/>
      <c r="F60" s="101"/>
      <c r="G60" s="101"/>
      <c r="H60" s="101"/>
      <c r="I60" s="100"/>
    </row>
    <row r="61" spans="1:9" s="14" customFormat="1" ht="23.4" x14ac:dyDescent="0.25">
      <c r="A61" s="106"/>
      <c r="B61" s="101"/>
      <c r="C61" s="101"/>
      <c r="D61" s="101"/>
      <c r="E61" s="101"/>
      <c r="F61" s="101"/>
      <c r="G61" s="101"/>
      <c r="H61" s="101"/>
      <c r="I61" s="100"/>
    </row>
    <row r="62" spans="1:9" s="14" customFormat="1" ht="23.4" x14ac:dyDescent="0.25">
      <c r="A62" s="106"/>
      <c r="B62" s="101"/>
      <c r="C62" s="101"/>
      <c r="D62" s="101"/>
      <c r="E62" s="101"/>
      <c r="F62" s="101"/>
      <c r="G62" s="101"/>
      <c r="H62" s="101"/>
      <c r="I62" s="100"/>
    </row>
    <row r="63" spans="1:9" s="14" customFormat="1" ht="23.4" x14ac:dyDescent="0.25">
      <c r="A63" s="106"/>
      <c r="B63" s="101"/>
      <c r="C63" s="101"/>
      <c r="D63" s="101"/>
      <c r="E63" s="101"/>
      <c r="F63" s="101"/>
      <c r="G63" s="101"/>
      <c r="H63" s="101"/>
      <c r="I63" s="100"/>
    </row>
    <row r="64" spans="1:9" s="14" customFormat="1" ht="23.4" x14ac:dyDescent="0.25">
      <c r="A64" s="106"/>
      <c r="B64" s="101"/>
      <c r="C64" s="101"/>
      <c r="D64" s="101"/>
      <c r="E64" s="101"/>
      <c r="F64" s="101"/>
      <c r="G64" s="101"/>
      <c r="H64" s="101"/>
      <c r="I64" s="100"/>
    </row>
    <row r="65" spans="1:9" s="14" customFormat="1" ht="23.4" x14ac:dyDescent="0.25">
      <c r="A65" s="106"/>
      <c r="B65" s="101"/>
      <c r="C65" s="101"/>
      <c r="D65" s="101"/>
      <c r="E65" s="101"/>
      <c r="F65" s="101"/>
      <c r="G65" s="101"/>
      <c r="H65" s="101"/>
      <c r="I65" s="100"/>
    </row>
    <row r="66" spans="1:9" s="14" customFormat="1" ht="23.4" x14ac:dyDescent="0.25">
      <c r="A66" s="106"/>
      <c r="B66" s="101"/>
      <c r="C66" s="101"/>
      <c r="D66" s="101"/>
      <c r="E66" s="101"/>
      <c r="F66" s="101"/>
      <c r="G66" s="101"/>
      <c r="H66" s="101"/>
      <c r="I66" s="100"/>
    </row>
    <row r="67" spans="1:9" s="14" customFormat="1" ht="23.4" x14ac:dyDescent="0.25">
      <c r="A67" s="106"/>
      <c r="B67" s="101"/>
      <c r="C67" s="101"/>
      <c r="D67" s="101"/>
      <c r="E67" s="101"/>
      <c r="F67" s="101"/>
      <c r="G67" s="101"/>
      <c r="H67" s="101"/>
      <c r="I67" s="100"/>
    </row>
    <row r="68" spans="1:9" s="14" customFormat="1" ht="23.4" x14ac:dyDescent="0.25">
      <c r="A68" s="106"/>
      <c r="B68" s="101"/>
      <c r="C68" s="101"/>
      <c r="D68" s="101"/>
      <c r="E68" s="101"/>
      <c r="F68" s="101"/>
      <c r="G68" s="101"/>
      <c r="H68" s="101"/>
      <c r="I68" s="100"/>
    </row>
    <row r="69" spans="1:9" s="14" customFormat="1" ht="23.4" x14ac:dyDescent="0.25">
      <c r="A69" s="106"/>
      <c r="B69" s="101"/>
      <c r="C69" s="101"/>
      <c r="D69" s="101"/>
      <c r="E69" s="101"/>
      <c r="F69" s="101"/>
      <c r="G69" s="101"/>
      <c r="H69" s="101"/>
      <c r="I69" s="100"/>
    </row>
    <row r="70" spans="1:9" s="14" customFormat="1" ht="23.4" x14ac:dyDescent="0.25">
      <c r="A70" s="106"/>
      <c r="B70" s="101"/>
      <c r="C70" s="101"/>
      <c r="D70" s="101"/>
      <c r="E70" s="101"/>
      <c r="F70" s="101"/>
      <c r="G70" s="101"/>
      <c r="H70" s="101"/>
      <c r="I70" s="100"/>
    </row>
    <row r="71" spans="1:9" s="14" customFormat="1" ht="23.4" x14ac:dyDescent="0.25">
      <c r="A71" s="106"/>
      <c r="B71" s="101"/>
      <c r="C71" s="101"/>
      <c r="D71" s="101"/>
      <c r="E71" s="101"/>
      <c r="F71" s="101"/>
      <c r="G71" s="101"/>
      <c r="H71" s="101"/>
      <c r="I71" s="100"/>
    </row>
    <row r="72" spans="1:9" s="14" customFormat="1" ht="23.4" x14ac:dyDescent="0.25">
      <c r="A72" s="106"/>
      <c r="B72" s="101"/>
      <c r="C72" s="101"/>
      <c r="D72" s="101"/>
      <c r="E72" s="101"/>
      <c r="F72" s="101"/>
      <c r="G72" s="101"/>
      <c r="H72" s="101"/>
      <c r="I72" s="100"/>
    </row>
    <row r="73" spans="1:9" s="14" customFormat="1" ht="23.4" x14ac:dyDescent="0.25">
      <c r="A73" s="106"/>
      <c r="B73" s="101"/>
      <c r="C73" s="101"/>
      <c r="D73" s="101"/>
      <c r="E73" s="101"/>
      <c r="F73" s="101"/>
      <c r="G73" s="101"/>
      <c r="H73" s="101"/>
      <c r="I73" s="100"/>
    </row>
    <row r="74" spans="1:9" s="14" customFormat="1" ht="23.4" x14ac:dyDescent="0.25">
      <c r="A74" s="106"/>
      <c r="B74" s="101"/>
      <c r="C74" s="101"/>
      <c r="D74" s="101"/>
      <c r="E74" s="101"/>
      <c r="F74" s="101"/>
      <c r="G74" s="101"/>
      <c r="H74" s="101"/>
      <c r="I74" s="100"/>
    </row>
    <row r="75" spans="1:9" s="14" customFormat="1" ht="23.4" x14ac:dyDescent="0.25">
      <c r="A75" s="106"/>
      <c r="B75" s="101"/>
      <c r="C75" s="101"/>
      <c r="D75" s="101"/>
      <c r="E75" s="101"/>
      <c r="F75" s="101"/>
      <c r="G75" s="101"/>
      <c r="H75" s="101"/>
      <c r="I75" s="100"/>
    </row>
    <row r="76" spans="1:9" ht="27" thickBot="1" x14ac:dyDescent="0.75">
      <c r="G76" s="25" t="s">
        <v>28</v>
      </c>
      <c r="H76" s="105">
        <f>SUM(H3:H75)</f>
        <v>21495.77</v>
      </c>
      <c r="I76" s="16" t="s">
        <v>47</v>
      </c>
    </row>
    <row r="77" spans="1:9" ht="14.4" thickTop="1" x14ac:dyDescent="0.25"/>
  </sheetData>
  <autoFilter ref="B2:K38" xr:uid="{418B859D-9AEE-4DBC-84AA-2E90E0A86546}"/>
  <conditionalFormatting sqref="H76">
    <cfRule type="containsText" dxfId="3" priority="1" operator="containsText" text="ไม่พบ">
      <formula>NOT(ISERROR(SEARCH("ไม่พบ",H76)))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3BB1-DB72-45BE-98D5-EE1C185712BC}">
  <sheetPr>
    <tabColor rgb="FFFFFF99"/>
  </sheetPr>
  <dimension ref="A2:B207"/>
  <sheetViews>
    <sheetView workbookViewId="0">
      <pane ySplit="2" topLeftCell="A24" activePane="bottomLeft" state="frozen"/>
      <selection activeCell="N57" sqref="M1:N57"/>
      <selection pane="bottomLeft" activeCell="N57" sqref="M1:N57"/>
    </sheetView>
  </sheetViews>
  <sheetFormatPr defaultRowHeight="13.8" x14ac:dyDescent="0.25"/>
  <cols>
    <col min="1" max="1" width="31.8984375" style="37" bestFit="1" customWidth="1"/>
  </cols>
  <sheetData>
    <row r="2" spans="1:2" ht="28.8" x14ac:dyDescent="0.25">
      <c r="A2" s="7" t="s">
        <v>42</v>
      </c>
      <c r="B2" t="s">
        <v>43</v>
      </c>
    </row>
    <row r="3" spans="1:2" ht="23.4" x14ac:dyDescent="0.25">
      <c r="A3" s="81" t="s">
        <v>277</v>
      </c>
      <c r="B3" t="str">
        <f>IFERROR(VLOOKUP(A3,#REF!,12,0),"0")</f>
        <v>0</v>
      </c>
    </row>
    <row r="4" spans="1:2" ht="23.4" x14ac:dyDescent="0.25">
      <c r="A4" s="81" t="s">
        <v>278</v>
      </c>
      <c r="B4" t="str">
        <f>IFERROR(VLOOKUP(A4,#REF!,12,0),"0")</f>
        <v>0</v>
      </c>
    </row>
    <row r="5" spans="1:2" ht="23.4" x14ac:dyDescent="0.25">
      <c r="A5" s="81" t="s">
        <v>279</v>
      </c>
      <c r="B5" t="str">
        <f>IFERROR(VLOOKUP(A5,#REF!,12,0),"0")</f>
        <v>0</v>
      </c>
    </row>
    <row r="6" spans="1:2" ht="23.4" x14ac:dyDescent="0.25">
      <c r="A6" s="81" t="s">
        <v>280</v>
      </c>
      <c r="B6" t="str">
        <f>IFERROR(VLOOKUP(A6,#REF!,12,0),"0")</f>
        <v>0</v>
      </c>
    </row>
    <row r="7" spans="1:2" ht="23.4" x14ac:dyDescent="0.25">
      <c r="A7" s="81" t="s">
        <v>281</v>
      </c>
      <c r="B7" t="str">
        <f>IFERROR(VLOOKUP(A7,#REF!,12,0),"0")</f>
        <v>0</v>
      </c>
    </row>
    <row r="8" spans="1:2" ht="23.4" x14ac:dyDescent="0.25">
      <c r="A8" s="81" t="s">
        <v>282</v>
      </c>
      <c r="B8" t="str">
        <f>IFERROR(VLOOKUP(A8,#REF!,12,0),"0")</f>
        <v>0</v>
      </c>
    </row>
    <row r="9" spans="1:2" ht="23.4" x14ac:dyDescent="0.25">
      <c r="A9" s="81" t="s">
        <v>283</v>
      </c>
      <c r="B9" t="str">
        <f>IFERROR(VLOOKUP(A9,#REF!,12,0),"0")</f>
        <v>0</v>
      </c>
    </row>
    <row r="10" spans="1:2" ht="23.4" x14ac:dyDescent="0.25">
      <c r="A10" s="81" t="s">
        <v>284</v>
      </c>
      <c r="B10" t="str">
        <f>IFERROR(VLOOKUP(A10,#REF!,12,0),"0")</f>
        <v>0</v>
      </c>
    </row>
    <row r="11" spans="1:2" ht="23.4" x14ac:dyDescent="0.25">
      <c r="A11" s="62" t="s">
        <v>285</v>
      </c>
      <c r="B11" t="str">
        <f>IFERROR(VLOOKUP(A11,#REF!,12,0),"0")</f>
        <v>0</v>
      </c>
    </row>
    <row r="12" spans="1:2" ht="23.4" x14ac:dyDescent="0.25">
      <c r="A12" s="62" t="s">
        <v>286</v>
      </c>
      <c r="B12" t="str">
        <f>IFERROR(VLOOKUP(A12,#REF!,12,0),"0")</f>
        <v>0</v>
      </c>
    </row>
    <row r="13" spans="1:2" ht="23.4" x14ac:dyDescent="0.25">
      <c r="A13" s="62" t="s">
        <v>287</v>
      </c>
      <c r="B13" t="str">
        <f>IFERROR(VLOOKUP(A13,#REF!,12,0),"0")</f>
        <v>0</v>
      </c>
    </row>
    <row r="14" spans="1:2" ht="23.4" x14ac:dyDescent="0.25">
      <c r="A14" s="62" t="s">
        <v>288</v>
      </c>
      <c r="B14" t="str">
        <f>IFERROR(VLOOKUP(A14,#REF!,12,0),"0")</f>
        <v>0</v>
      </c>
    </row>
    <row r="15" spans="1:2" ht="23.4" x14ac:dyDescent="0.25">
      <c r="A15" s="62" t="s">
        <v>289</v>
      </c>
      <c r="B15" t="str">
        <f>IFERROR(VLOOKUP(A15,#REF!,12,0),"0")</f>
        <v>0</v>
      </c>
    </row>
    <row r="16" spans="1:2" ht="23.4" x14ac:dyDescent="0.25">
      <c r="A16" s="62" t="s">
        <v>290</v>
      </c>
      <c r="B16" t="str">
        <f>IFERROR(VLOOKUP(A16,#REF!,12,0),"0")</f>
        <v>0</v>
      </c>
    </row>
    <row r="17" spans="1:2" ht="23.4" x14ac:dyDescent="0.25">
      <c r="A17" s="62" t="s">
        <v>291</v>
      </c>
      <c r="B17" t="str">
        <f>IFERROR(VLOOKUP(A17,#REF!,12,0),"0")</f>
        <v>0</v>
      </c>
    </row>
    <row r="18" spans="1:2" ht="23.4" x14ac:dyDescent="0.25">
      <c r="A18" s="62" t="s">
        <v>292</v>
      </c>
      <c r="B18" t="str">
        <f>IFERROR(VLOOKUP(A18,#REF!,12,0),"0")</f>
        <v>0</v>
      </c>
    </row>
    <row r="19" spans="1:2" ht="23.4" x14ac:dyDescent="0.25">
      <c r="A19" s="62" t="s">
        <v>293</v>
      </c>
      <c r="B19" t="str">
        <f>IFERROR(VLOOKUP(A19,#REF!,12,0),"0")</f>
        <v>0</v>
      </c>
    </row>
    <row r="20" spans="1:2" ht="23.4" x14ac:dyDescent="0.25">
      <c r="A20" s="62" t="s">
        <v>294</v>
      </c>
      <c r="B20" t="str">
        <f>IFERROR(VLOOKUP(A20,#REF!,12,0),"0")</f>
        <v>0</v>
      </c>
    </row>
    <row r="21" spans="1:2" ht="23.4" x14ac:dyDescent="0.25">
      <c r="A21" s="62" t="s">
        <v>295</v>
      </c>
      <c r="B21" t="str">
        <f>IFERROR(VLOOKUP(A21,#REF!,12,0),"0")</f>
        <v>0</v>
      </c>
    </row>
    <row r="22" spans="1:2" ht="23.4" x14ac:dyDescent="0.25">
      <c r="A22" s="62" t="s">
        <v>296</v>
      </c>
      <c r="B22" t="str">
        <f>IFERROR(VLOOKUP(A22,#REF!,12,0),"0")</f>
        <v>0</v>
      </c>
    </row>
    <row r="23" spans="1:2" ht="23.4" x14ac:dyDescent="0.25">
      <c r="A23" s="72" t="s">
        <v>297</v>
      </c>
      <c r="B23" t="str">
        <f>IFERROR(VLOOKUP(A23,#REF!,12,0),"0")</f>
        <v>0</v>
      </c>
    </row>
    <row r="24" spans="1:2" ht="23.4" x14ac:dyDescent="0.25">
      <c r="A24" s="62" t="s">
        <v>50</v>
      </c>
      <c r="B24" t="str">
        <f>IFERROR(VLOOKUP(A24,#REF!,12,0),"0")</f>
        <v>0</v>
      </c>
    </row>
    <row r="25" spans="1:2" ht="23.4" x14ac:dyDescent="0.25">
      <c r="A25" s="62" t="s">
        <v>298</v>
      </c>
      <c r="B25" t="str">
        <f>IFERROR(VLOOKUP(A25,#REF!,12,0),"0")</f>
        <v>0</v>
      </c>
    </row>
    <row r="26" spans="1:2" ht="23.4" x14ac:dyDescent="0.25">
      <c r="A26" s="62" t="s">
        <v>299</v>
      </c>
      <c r="B26" t="str">
        <f>IFERROR(VLOOKUP(A26,#REF!,12,0),"0")</f>
        <v>0</v>
      </c>
    </row>
    <row r="27" spans="1:2" ht="23.4" x14ac:dyDescent="0.25">
      <c r="A27" s="62" t="s">
        <v>300</v>
      </c>
      <c r="B27" t="str">
        <f>IFERROR(VLOOKUP(A27,#REF!,12,0),"0")</f>
        <v>0</v>
      </c>
    </row>
    <row r="28" spans="1:2" ht="23.4" x14ac:dyDescent="0.25">
      <c r="A28" s="62" t="s">
        <v>50</v>
      </c>
      <c r="B28" t="str">
        <f>IFERROR(VLOOKUP(A28,#REF!,12,0),"0")</f>
        <v>0</v>
      </c>
    </row>
    <row r="29" spans="1:2" ht="23.4" x14ac:dyDescent="0.25">
      <c r="A29" s="62" t="s">
        <v>301</v>
      </c>
      <c r="B29" t="str">
        <f>IFERROR(VLOOKUP(A29,#REF!,12,0),"0")</f>
        <v>0</v>
      </c>
    </row>
    <row r="30" spans="1:2" ht="23.4" x14ac:dyDescent="0.25">
      <c r="A30" s="62" t="s">
        <v>50</v>
      </c>
      <c r="B30" t="str">
        <f>IFERROR(VLOOKUP(A30,#REF!,12,0),"0")</f>
        <v>0</v>
      </c>
    </row>
    <row r="31" spans="1:2" ht="23.4" x14ac:dyDescent="0.25">
      <c r="A31" s="62" t="s">
        <v>50</v>
      </c>
      <c r="B31" t="str">
        <f>IFERROR(VLOOKUP(A31,#REF!,12,0),"0")</f>
        <v>0</v>
      </c>
    </row>
    <row r="32" spans="1:2" ht="23.4" x14ac:dyDescent="0.25">
      <c r="A32" s="81"/>
      <c r="B32" t="str">
        <f>IFERROR(VLOOKUP(A32,#REF!,12,0),"0")</f>
        <v>0</v>
      </c>
    </row>
    <row r="33" spans="1:2" ht="23.4" x14ac:dyDescent="0.25">
      <c r="A33" s="81"/>
      <c r="B33" t="str">
        <f>IFERROR(VLOOKUP(A33,#REF!,12,0),"0")</f>
        <v>0</v>
      </c>
    </row>
    <row r="34" spans="1:2" ht="23.4" x14ac:dyDescent="0.25">
      <c r="A34" s="81"/>
      <c r="B34" t="str">
        <f>IFERROR(VLOOKUP(A34,#REF!,12,0),"0")</f>
        <v>0</v>
      </c>
    </row>
    <row r="35" spans="1:2" ht="23.4" x14ac:dyDescent="0.25">
      <c r="A35" s="81"/>
      <c r="B35" t="str">
        <f>IFERROR(VLOOKUP(A35,#REF!,12,0),"0")</f>
        <v>0</v>
      </c>
    </row>
    <row r="36" spans="1:2" ht="23.4" x14ac:dyDescent="0.25">
      <c r="A36" s="81"/>
      <c r="B36" t="str">
        <f>IFERROR(VLOOKUP(A36,#REF!,12,0),"0")</f>
        <v>0</v>
      </c>
    </row>
    <row r="37" spans="1:2" ht="23.4" x14ac:dyDescent="0.25">
      <c r="A37" s="62"/>
      <c r="B37" t="str">
        <f>IFERROR(VLOOKUP(A37,#REF!,12,0),"0")</f>
        <v>0</v>
      </c>
    </row>
    <row r="38" spans="1:2" ht="23.4" x14ac:dyDescent="0.25">
      <c r="A38" s="62"/>
      <c r="B38" t="str">
        <f>IFERROR(VLOOKUP(A38,#REF!,12,0),"0")</f>
        <v>0</v>
      </c>
    </row>
    <row r="39" spans="1:2" ht="23.4" x14ac:dyDescent="0.25">
      <c r="A39" s="62"/>
      <c r="B39" t="str">
        <f>IFERROR(VLOOKUP(A39,#REF!,12,0),"0")</f>
        <v>0</v>
      </c>
    </row>
    <row r="40" spans="1:2" ht="23.4" x14ac:dyDescent="0.25">
      <c r="A40" s="62"/>
      <c r="B40" t="str">
        <f>IFERROR(VLOOKUP(A40,#REF!,12,0),"0")</f>
        <v>0</v>
      </c>
    </row>
    <row r="41" spans="1:2" ht="23.4" x14ac:dyDescent="0.25">
      <c r="A41" s="62"/>
      <c r="B41" t="str">
        <f>IFERROR(VLOOKUP(A41,#REF!,12,0),"0")</f>
        <v>0</v>
      </c>
    </row>
    <row r="42" spans="1:2" ht="23.4" x14ac:dyDescent="0.25">
      <c r="A42" s="62"/>
      <c r="B42" t="str">
        <f>IFERROR(VLOOKUP(A42,#REF!,12,0),"0")</f>
        <v>0</v>
      </c>
    </row>
    <row r="43" spans="1:2" ht="23.4" x14ac:dyDescent="0.25">
      <c r="A43" s="62"/>
      <c r="B43" t="str">
        <f>IFERROR(VLOOKUP(A43,#REF!,12,0),"0")</f>
        <v>0</v>
      </c>
    </row>
    <row r="44" spans="1:2" ht="23.4" x14ac:dyDescent="0.25">
      <c r="A44" s="62"/>
      <c r="B44" t="str">
        <f>IFERROR(VLOOKUP(A44,#REF!,12,0),"0")</f>
        <v>0</v>
      </c>
    </row>
    <row r="45" spans="1:2" ht="23.4" x14ac:dyDescent="0.25">
      <c r="A45" s="62"/>
      <c r="B45" t="str">
        <f>IFERROR(VLOOKUP(A45,#REF!,12,0),"0")</f>
        <v>0</v>
      </c>
    </row>
    <row r="46" spans="1:2" ht="23.4" x14ac:dyDescent="0.25">
      <c r="A46" s="62"/>
      <c r="B46" t="str">
        <f>IFERROR(VLOOKUP(A46,#REF!,12,0),"0")</f>
        <v>0</v>
      </c>
    </row>
    <row r="47" spans="1:2" ht="23.4" x14ac:dyDescent="0.25">
      <c r="A47" s="62"/>
      <c r="B47" t="str">
        <f>IFERROR(VLOOKUP(A47,#REF!,12,0),"0")</f>
        <v>0</v>
      </c>
    </row>
    <row r="48" spans="1:2" ht="23.4" x14ac:dyDescent="0.25">
      <c r="A48" s="62"/>
      <c r="B48" t="str">
        <f>IFERROR(VLOOKUP(A48,#REF!,12,0),"0")</f>
        <v>0</v>
      </c>
    </row>
    <row r="49" spans="1:2" ht="23.4" x14ac:dyDescent="0.25">
      <c r="A49" s="72"/>
      <c r="B49" t="str">
        <f>IFERROR(VLOOKUP(A49,#REF!,12,0),"0")</f>
        <v>0</v>
      </c>
    </row>
    <row r="50" spans="1:2" ht="23.4" x14ac:dyDescent="0.25">
      <c r="A50" s="62"/>
      <c r="B50" t="str">
        <f>IFERROR(VLOOKUP(A50,#REF!,12,0),"0")</f>
        <v>0</v>
      </c>
    </row>
    <row r="51" spans="1:2" ht="23.4" x14ac:dyDescent="0.25">
      <c r="A51" s="62"/>
      <c r="B51" t="str">
        <f>IFERROR(VLOOKUP(A51,#REF!,12,0),"0")</f>
        <v>0</v>
      </c>
    </row>
    <row r="52" spans="1:2" ht="23.4" x14ac:dyDescent="0.25">
      <c r="A52" s="62"/>
      <c r="B52" t="str">
        <f>IFERROR(VLOOKUP(A52,#REF!,12,0),"0")</f>
        <v>0</v>
      </c>
    </row>
    <row r="53" spans="1:2" ht="23.4" x14ac:dyDescent="0.25">
      <c r="A53" s="62"/>
      <c r="B53" t="str">
        <f>IFERROR(VLOOKUP(A53,#REF!,12,0),"0")</f>
        <v>0</v>
      </c>
    </row>
    <row r="54" spans="1:2" ht="23.4" x14ac:dyDescent="0.25">
      <c r="A54" s="62"/>
      <c r="B54" t="str">
        <f>IFERROR(VLOOKUP(A54,#REF!,12,0),"0")</f>
        <v>0</v>
      </c>
    </row>
    <row r="55" spans="1:2" ht="23.4" x14ac:dyDescent="0.25">
      <c r="A55" s="62"/>
      <c r="B55" t="str">
        <f>IFERROR(VLOOKUP(A55,#REF!,12,0),"0")</f>
        <v>0</v>
      </c>
    </row>
    <row r="56" spans="1:2" ht="23.4" x14ac:dyDescent="0.25">
      <c r="A56" s="62"/>
      <c r="B56" t="str">
        <f>IFERROR(VLOOKUP(A56,#REF!,12,0),"0")</f>
        <v>0</v>
      </c>
    </row>
    <row r="57" spans="1:2" ht="23.4" x14ac:dyDescent="0.25">
      <c r="A57" s="62"/>
      <c r="B57" t="str">
        <f>IFERROR(VLOOKUP(A57,#REF!,12,0),"0")</f>
        <v>0</v>
      </c>
    </row>
    <row r="58" spans="1:2" ht="23.4" x14ac:dyDescent="0.25">
      <c r="A58" s="54"/>
      <c r="B58" t="str">
        <f>IFERROR(VLOOKUP(A58,#REF!,12,0),"0")</f>
        <v>0</v>
      </c>
    </row>
    <row r="59" spans="1:2" ht="23.4" x14ac:dyDescent="0.25">
      <c r="A59" s="54"/>
      <c r="B59" t="str">
        <f>IFERROR(VLOOKUP(A59,#REF!,12,0),"0")</f>
        <v>0</v>
      </c>
    </row>
    <row r="60" spans="1:2" ht="23.4" x14ac:dyDescent="0.25">
      <c r="A60" s="54"/>
      <c r="B60" t="str">
        <f>IFERROR(VLOOKUP(A60,#REF!,12,0),"0")</f>
        <v>0</v>
      </c>
    </row>
    <row r="61" spans="1:2" ht="23.4" x14ac:dyDescent="0.25">
      <c r="A61" s="54"/>
      <c r="B61" t="str">
        <f>IFERROR(VLOOKUP(A61,#REF!,12,0),"0")</f>
        <v>0</v>
      </c>
    </row>
    <row r="62" spans="1:2" ht="23.4" x14ac:dyDescent="0.25">
      <c r="A62" s="54"/>
      <c r="B62" t="str">
        <f>IFERROR(VLOOKUP(A62,#REF!,12,0),"0")</f>
        <v>0</v>
      </c>
    </row>
    <row r="63" spans="1:2" ht="23.4" x14ac:dyDescent="0.25">
      <c r="A63" s="54"/>
      <c r="B63" t="str">
        <f>IFERROR(VLOOKUP(A63,#REF!,12,0),"0")</f>
        <v>0</v>
      </c>
    </row>
    <row r="64" spans="1:2" ht="23.4" x14ac:dyDescent="0.25">
      <c r="A64" s="54"/>
      <c r="B64" t="str">
        <f>IFERROR(VLOOKUP(A64,#REF!,12,0),"0")</f>
        <v>0</v>
      </c>
    </row>
    <row r="65" spans="1:2" ht="23.4" x14ac:dyDescent="0.25">
      <c r="A65" s="54"/>
      <c r="B65" t="str">
        <f>IFERROR(VLOOKUP(A65,#REF!,12,0),"0")</f>
        <v>0</v>
      </c>
    </row>
    <row r="66" spans="1:2" ht="23.4" x14ac:dyDescent="0.25">
      <c r="A66" s="54"/>
      <c r="B66" t="str">
        <f>IFERROR(VLOOKUP(A66,#REF!,12,0),"0")</f>
        <v>0</v>
      </c>
    </row>
    <row r="67" spans="1:2" ht="23.4" x14ac:dyDescent="0.25">
      <c r="A67" s="54"/>
      <c r="B67" t="str">
        <f>IFERROR(VLOOKUP(A67,#REF!,12,0),"0")</f>
        <v>0</v>
      </c>
    </row>
    <row r="68" spans="1:2" ht="23.4" x14ac:dyDescent="0.25">
      <c r="A68" s="72"/>
      <c r="B68" t="str">
        <f>IFERROR(VLOOKUP(A68,#REF!,12,0),"0")</f>
        <v>0</v>
      </c>
    </row>
    <row r="69" spans="1:2" ht="23.4" x14ac:dyDescent="0.25">
      <c r="A69" s="72"/>
      <c r="B69" t="str">
        <f>IFERROR(VLOOKUP(A69,#REF!,12,0),"0")</f>
        <v>0</v>
      </c>
    </row>
    <row r="70" spans="1:2" ht="23.4" x14ac:dyDescent="0.25">
      <c r="A70" s="72"/>
      <c r="B70" t="str">
        <f>IFERROR(VLOOKUP(A70,#REF!,12,0),"0")</f>
        <v>0</v>
      </c>
    </row>
    <row r="71" spans="1:2" ht="23.4" x14ac:dyDescent="0.25">
      <c r="A71" s="72"/>
      <c r="B71" t="str">
        <f>IFERROR(VLOOKUP(A71,#REF!,12,0),"0")</f>
        <v>0</v>
      </c>
    </row>
    <row r="72" spans="1:2" ht="23.4" x14ac:dyDescent="0.25">
      <c r="A72" s="72"/>
      <c r="B72" t="str">
        <f>IFERROR(VLOOKUP(A72,#REF!,12,0),"0")</f>
        <v>0</v>
      </c>
    </row>
    <row r="73" spans="1:2" ht="23.4" x14ac:dyDescent="0.25">
      <c r="A73" s="72"/>
      <c r="B73" t="str">
        <f>IFERROR(VLOOKUP(A73,#REF!,12,0),"0")</f>
        <v>0</v>
      </c>
    </row>
    <row r="74" spans="1:2" ht="23.4" x14ac:dyDescent="0.25">
      <c r="A74" s="72"/>
      <c r="B74" t="str">
        <f>IFERROR(VLOOKUP(A74,#REF!,12,0),"0")</f>
        <v>0</v>
      </c>
    </row>
    <row r="75" spans="1:2" ht="23.4" x14ac:dyDescent="0.25">
      <c r="A75" s="72"/>
      <c r="B75" t="str">
        <f>IFERROR(VLOOKUP(A75,#REF!,12,0),"0")</f>
        <v>0</v>
      </c>
    </row>
    <row r="76" spans="1:2" ht="23.4" x14ac:dyDescent="0.25">
      <c r="A76" s="72"/>
      <c r="B76" t="str">
        <f>IFERROR(VLOOKUP(A76,#REF!,12,0),"0")</f>
        <v>0</v>
      </c>
    </row>
    <row r="77" spans="1:2" ht="23.4" x14ac:dyDescent="0.25">
      <c r="A77" s="72"/>
      <c r="B77" t="str">
        <f>IFERROR(VLOOKUP(A77,#REF!,12,0),"0")</f>
        <v>0</v>
      </c>
    </row>
    <row r="78" spans="1:2" ht="23.4" x14ac:dyDescent="0.25">
      <c r="A78" s="72"/>
      <c r="B78" t="str">
        <f>IFERROR(VLOOKUP(A78,#REF!,12,0),"0")</f>
        <v>0</v>
      </c>
    </row>
    <row r="79" spans="1:2" ht="23.4" x14ac:dyDescent="0.25">
      <c r="A79" s="72"/>
      <c r="B79" t="str">
        <f>IFERROR(VLOOKUP(A79,#REF!,12,0),"0")</f>
        <v>0</v>
      </c>
    </row>
    <row r="80" spans="1:2" ht="23.4" x14ac:dyDescent="0.25">
      <c r="A80" s="72"/>
      <c r="B80" t="str">
        <f>IFERROR(VLOOKUP(A80,#REF!,12,0),"0")</f>
        <v>0</v>
      </c>
    </row>
    <row r="81" spans="1:2" ht="23.4" x14ac:dyDescent="0.25">
      <c r="A81" s="72"/>
      <c r="B81" t="str">
        <f>IFERROR(VLOOKUP(A81,#REF!,12,0),"0")</f>
        <v>0</v>
      </c>
    </row>
    <row r="82" spans="1:2" ht="23.4" x14ac:dyDescent="0.25">
      <c r="A82" s="72"/>
      <c r="B82" t="str">
        <f>IFERROR(VLOOKUP(A82,#REF!,12,0),"0")</f>
        <v>0</v>
      </c>
    </row>
    <row r="83" spans="1:2" ht="23.4" x14ac:dyDescent="0.25">
      <c r="A83" s="72"/>
      <c r="B83" t="str">
        <f>IFERROR(VLOOKUP(A83,#REF!,12,0),"0")</f>
        <v>0</v>
      </c>
    </row>
    <row r="84" spans="1:2" ht="23.4" x14ac:dyDescent="0.25">
      <c r="A84" s="72"/>
      <c r="B84" t="str">
        <f>IFERROR(VLOOKUP(A84,#REF!,12,0),"0")</f>
        <v>0</v>
      </c>
    </row>
    <row r="85" spans="1:2" ht="23.4" x14ac:dyDescent="0.25">
      <c r="A85" s="72"/>
      <c r="B85" t="str">
        <f>IFERROR(VLOOKUP(A85,#REF!,12,0),"0")</f>
        <v>0</v>
      </c>
    </row>
    <row r="86" spans="1:2" ht="23.4" x14ac:dyDescent="0.25">
      <c r="A86" s="72"/>
      <c r="B86" t="str">
        <f>IFERROR(VLOOKUP(A86,#REF!,12,0),"0")</f>
        <v>0</v>
      </c>
    </row>
    <row r="87" spans="1:2" ht="23.4" x14ac:dyDescent="0.25">
      <c r="A87" s="72"/>
      <c r="B87" t="str">
        <f>IFERROR(VLOOKUP(A87,#REF!,12,0),"0")</f>
        <v>0</v>
      </c>
    </row>
    <row r="88" spans="1:2" ht="23.4" x14ac:dyDescent="0.25">
      <c r="A88" s="72"/>
      <c r="B88" t="str">
        <f>IFERROR(VLOOKUP(A88,#REF!,12,0),"0")</f>
        <v>0</v>
      </c>
    </row>
    <row r="89" spans="1:2" ht="23.4" x14ac:dyDescent="0.25">
      <c r="A89" s="72"/>
      <c r="B89" t="str">
        <f>IFERROR(VLOOKUP(A89,#REF!,12,0),"0")</f>
        <v>0</v>
      </c>
    </row>
    <row r="90" spans="1:2" ht="23.4" x14ac:dyDescent="0.25">
      <c r="A90" s="72"/>
      <c r="B90" t="str">
        <f>IFERROR(VLOOKUP(A90,#REF!,12,0),"0")</f>
        <v>0</v>
      </c>
    </row>
    <row r="91" spans="1:2" ht="23.4" x14ac:dyDescent="0.25">
      <c r="A91" s="72"/>
      <c r="B91" t="str">
        <f>IFERROR(VLOOKUP(A91,#REF!,12,0),"0")</f>
        <v>0</v>
      </c>
    </row>
    <row r="92" spans="1:2" ht="23.4" x14ac:dyDescent="0.25">
      <c r="A92" s="72"/>
      <c r="B92" t="str">
        <f>IFERROR(VLOOKUP(A92,#REF!,12,0),"0")</f>
        <v>0</v>
      </c>
    </row>
    <row r="93" spans="1:2" ht="23.4" x14ac:dyDescent="0.25">
      <c r="A93" s="72"/>
      <c r="B93" t="str">
        <f>IFERROR(VLOOKUP(A93,#REF!,12,0),"0")</f>
        <v>0</v>
      </c>
    </row>
    <row r="94" spans="1:2" ht="23.4" x14ac:dyDescent="0.25">
      <c r="A94" s="72"/>
      <c r="B94" t="str">
        <f>IFERROR(VLOOKUP(A94,#REF!,12,0),"0")</f>
        <v>0</v>
      </c>
    </row>
    <row r="95" spans="1:2" ht="23.4" x14ac:dyDescent="0.25">
      <c r="A95" s="72"/>
      <c r="B95" t="str">
        <f>IFERROR(VLOOKUP(A95,#REF!,12,0),"0")</f>
        <v>0</v>
      </c>
    </row>
    <row r="96" spans="1:2" ht="23.4" x14ac:dyDescent="0.25">
      <c r="A96" s="72"/>
      <c r="B96" t="str">
        <f>IFERROR(VLOOKUP(A96,#REF!,12,0),"0")</f>
        <v>0</v>
      </c>
    </row>
    <row r="97" spans="1:2" ht="23.4" x14ac:dyDescent="0.25">
      <c r="A97" s="72"/>
      <c r="B97" t="str">
        <f>IFERROR(VLOOKUP(A97,#REF!,12,0),"0")</f>
        <v>0</v>
      </c>
    </row>
    <row r="98" spans="1:2" ht="23.4" x14ac:dyDescent="0.25">
      <c r="A98" s="72"/>
      <c r="B98" t="str">
        <f>IFERROR(VLOOKUP(A98,#REF!,12,0),"0")</f>
        <v>0</v>
      </c>
    </row>
    <row r="99" spans="1:2" ht="23.4" x14ac:dyDescent="0.25">
      <c r="A99" s="72"/>
      <c r="B99" t="str">
        <f>IFERROR(VLOOKUP(A99,#REF!,12,0),"0")</f>
        <v>0</v>
      </c>
    </row>
    <row r="100" spans="1:2" ht="23.4" x14ac:dyDescent="0.25">
      <c r="A100" s="72"/>
      <c r="B100" t="str">
        <f>IFERROR(VLOOKUP(A100,#REF!,12,0),"0")</f>
        <v>0</v>
      </c>
    </row>
    <row r="101" spans="1:2" ht="23.4" x14ac:dyDescent="0.25">
      <c r="A101" s="54"/>
      <c r="B101" t="str">
        <f>IFERROR(VLOOKUP(A101,#REF!,12,0),"0")</f>
        <v>0</v>
      </c>
    </row>
    <row r="102" spans="1:2" ht="23.4" x14ac:dyDescent="0.25">
      <c r="A102" s="54"/>
      <c r="B102" t="str">
        <f>IFERROR(VLOOKUP(A102,#REF!,12,0),"0")</f>
        <v>0</v>
      </c>
    </row>
    <row r="103" spans="1:2" ht="23.4" x14ac:dyDescent="0.25">
      <c r="A103" s="54"/>
      <c r="B103" t="str">
        <f>IFERROR(VLOOKUP(A103,#REF!,12,0),"0")</f>
        <v>0</v>
      </c>
    </row>
    <row r="104" spans="1:2" ht="23.4" x14ac:dyDescent="0.25">
      <c r="A104" s="54"/>
      <c r="B104" t="str">
        <f>IFERROR(VLOOKUP(A104,#REF!,12,0),"0")</f>
        <v>0</v>
      </c>
    </row>
    <row r="105" spans="1:2" ht="23.4" x14ac:dyDescent="0.25">
      <c r="A105" s="54"/>
      <c r="B105" t="str">
        <f>IFERROR(VLOOKUP(A105,#REF!,12,0),"0")</f>
        <v>0</v>
      </c>
    </row>
    <row r="106" spans="1:2" ht="23.4" x14ac:dyDescent="0.25">
      <c r="A106" s="54"/>
      <c r="B106" t="str">
        <f>IFERROR(VLOOKUP(A106,#REF!,12,0),"0")</f>
        <v>0</v>
      </c>
    </row>
    <row r="107" spans="1:2" ht="23.4" x14ac:dyDescent="0.25">
      <c r="A107" s="54"/>
      <c r="B107" t="str">
        <f>IFERROR(VLOOKUP(A107,#REF!,12,0),"0")</f>
        <v>0</v>
      </c>
    </row>
    <row r="108" spans="1:2" ht="23.4" x14ac:dyDescent="0.25">
      <c r="A108" s="54"/>
      <c r="B108" t="str">
        <f>IFERROR(VLOOKUP(A108,#REF!,12,0),"0")</f>
        <v>0</v>
      </c>
    </row>
    <row r="109" spans="1:2" ht="23.4" x14ac:dyDescent="0.25">
      <c r="A109" s="54"/>
      <c r="B109" t="str">
        <f>IFERROR(VLOOKUP(A109,#REF!,12,0),"0")</f>
        <v>0</v>
      </c>
    </row>
    <row r="110" spans="1:2" ht="23.4" x14ac:dyDescent="0.25">
      <c r="A110" s="54"/>
      <c r="B110" t="str">
        <f>IFERROR(VLOOKUP(A110,#REF!,12,0),"0")</f>
        <v>0</v>
      </c>
    </row>
    <row r="111" spans="1:2" ht="23.4" x14ac:dyDescent="0.25">
      <c r="A111" s="54"/>
      <c r="B111" t="str">
        <f>IFERROR(VLOOKUP(A111,#REF!,12,0),"0")</f>
        <v>0</v>
      </c>
    </row>
    <row r="112" spans="1:2" ht="23.4" x14ac:dyDescent="0.25">
      <c r="A112" s="54"/>
      <c r="B112" t="str">
        <f>IFERROR(VLOOKUP(A112,#REF!,12,0),"0")</f>
        <v>0</v>
      </c>
    </row>
    <row r="113" spans="1:2" ht="23.4" x14ac:dyDescent="0.25">
      <c r="A113" s="54"/>
      <c r="B113" t="str">
        <f>IFERROR(VLOOKUP(A113,#REF!,12,0),"0")</f>
        <v>0</v>
      </c>
    </row>
    <row r="114" spans="1:2" ht="23.4" x14ac:dyDescent="0.25">
      <c r="A114" s="54"/>
      <c r="B114" t="str">
        <f>IFERROR(VLOOKUP(A114,#REF!,12,0),"0")</f>
        <v>0</v>
      </c>
    </row>
    <row r="115" spans="1:2" ht="23.4" x14ac:dyDescent="0.25">
      <c r="A115" s="54"/>
      <c r="B115" t="str">
        <f>IFERROR(VLOOKUP(A115,#REF!,12,0),"0")</f>
        <v>0</v>
      </c>
    </row>
    <row r="116" spans="1:2" ht="23.4" x14ac:dyDescent="0.25">
      <c r="A116" s="54"/>
      <c r="B116" t="str">
        <f>IFERROR(VLOOKUP(A116,#REF!,12,0),"0")</f>
        <v>0</v>
      </c>
    </row>
    <row r="117" spans="1:2" ht="23.4" x14ac:dyDescent="0.25">
      <c r="A117" s="54"/>
      <c r="B117" t="str">
        <f>IFERROR(VLOOKUP(A117,#REF!,12,0),"0")</f>
        <v>0</v>
      </c>
    </row>
    <row r="118" spans="1:2" ht="23.4" x14ac:dyDescent="0.25">
      <c r="A118" s="54"/>
      <c r="B118" t="str">
        <f>IFERROR(VLOOKUP(A118,#REF!,12,0),"0")</f>
        <v>0</v>
      </c>
    </row>
    <row r="119" spans="1:2" ht="23.4" x14ac:dyDescent="0.25">
      <c r="A119" s="54"/>
      <c r="B119" t="str">
        <f>IFERROR(VLOOKUP(A119,#REF!,12,0),"0")</f>
        <v>0</v>
      </c>
    </row>
    <row r="120" spans="1:2" ht="23.4" x14ac:dyDescent="0.25">
      <c r="A120" s="54"/>
      <c r="B120" t="str">
        <f>IFERROR(VLOOKUP(A120,#REF!,12,0),"0")</f>
        <v>0</v>
      </c>
    </row>
    <row r="121" spans="1:2" ht="23.4" x14ac:dyDescent="0.25">
      <c r="A121" s="54"/>
      <c r="B121" t="str">
        <f>IFERROR(VLOOKUP(A121,#REF!,12,0),"0")</f>
        <v>0</v>
      </c>
    </row>
    <row r="122" spans="1:2" ht="23.4" x14ac:dyDescent="0.25">
      <c r="A122" s="54"/>
      <c r="B122" t="str">
        <f>IFERROR(VLOOKUP(A122,#REF!,12,0),"0")</f>
        <v>0</v>
      </c>
    </row>
    <row r="123" spans="1:2" ht="23.4" x14ac:dyDescent="0.25">
      <c r="A123" s="54"/>
      <c r="B123" t="str">
        <f>IFERROR(VLOOKUP(A123,#REF!,12,0),"0")</f>
        <v>0</v>
      </c>
    </row>
    <row r="124" spans="1:2" ht="23.4" x14ac:dyDescent="0.25">
      <c r="A124" s="54"/>
      <c r="B124" t="str">
        <f>IFERROR(VLOOKUP(A124,#REF!,12,0),"0")</f>
        <v>0</v>
      </c>
    </row>
    <row r="125" spans="1:2" ht="23.4" x14ac:dyDescent="0.25">
      <c r="A125" s="54"/>
      <c r="B125" t="str">
        <f>IFERROR(VLOOKUP(A125,#REF!,12,0),"0")</f>
        <v>0</v>
      </c>
    </row>
    <row r="126" spans="1:2" ht="23.4" x14ac:dyDescent="0.25">
      <c r="A126" s="54"/>
      <c r="B126" t="str">
        <f>IFERROR(VLOOKUP(A126,#REF!,12,0),"0")</f>
        <v>0</v>
      </c>
    </row>
    <row r="127" spans="1:2" ht="23.4" x14ac:dyDescent="0.25">
      <c r="A127" s="54"/>
      <c r="B127" t="str">
        <f>IFERROR(VLOOKUP(A127,#REF!,12,0),"0")</f>
        <v>0</v>
      </c>
    </row>
    <row r="128" spans="1:2" ht="23.4" x14ac:dyDescent="0.25">
      <c r="A128" s="54"/>
      <c r="B128" t="str">
        <f>IFERROR(VLOOKUP(A128,#REF!,12,0),"0")</f>
        <v>0</v>
      </c>
    </row>
    <row r="129" spans="1:2" ht="23.4" x14ac:dyDescent="0.25">
      <c r="A129" s="54"/>
      <c r="B129" t="str">
        <f>IFERROR(VLOOKUP(A129,#REF!,12,0),"0")</f>
        <v>0</v>
      </c>
    </row>
    <row r="130" spans="1:2" ht="23.4" x14ac:dyDescent="0.25">
      <c r="A130" s="54"/>
      <c r="B130" t="str">
        <f>IFERROR(VLOOKUP(A130,#REF!,12,0),"0")</f>
        <v>0</v>
      </c>
    </row>
    <row r="131" spans="1:2" ht="23.4" x14ac:dyDescent="0.25">
      <c r="A131" s="54"/>
      <c r="B131" t="str">
        <f>IFERROR(VLOOKUP(A131,#REF!,12,0),"0")</f>
        <v>0</v>
      </c>
    </row>
    <row r="132" spans="1:2" ht="23.4" x14ac:dyDescent="0.25">
      <c r="A132" s="54"/>
      <c r="B132" t="str">
        <f>IFERROR(VLOOKUP(A132,#REF!,12,0),"0")</f>
        <v>0</v>
      </c>
    </row>
    <row r="133" spans="1:2" ht="23.4" x14ac:dyDescent="0.25">
      <c r="A133" s="54"/>
      <c r="B133" t="str">
        <f>IFERROR(VLOOKUP(A133,#REF!,12,0),"0")</f>
        <v>0</v>
      </c>
    </row>
    <row r="134" spans="1:2" ht="23.4" x14ac:dyDescent="0.25">
      <c r="A134" s="54"/>
      <c r="B134" t="str">
        <f>IFERROR(VLOOKUP(A134,#REF!,12,0),"0")</f>
        <v>0</v>
      </c>
    </row>
    <row r="135" spans="1:2" ht="23.4" x14ac:dyDescent="0.25">
      <c r="A135" s="54"/>
      <c r="B135" t="str">
        <f>IFERROR(VLOOKUP(A135,#REF!,12,0),"0")</f>
        <v>0</v>
      </c>
    </row>
    <row r="136" spans="1:2" ht="23.4" x14ac:dyDescent="0.25">
      <c r="A136" s="54"/>
      <c r="B136" t="str">
        <f>IFERROR(VLOOKUP(A136,#REF!,12,0),"0")</f>
        <v>0</v>
      </c>
    </row>
    <row r="137" spans="1:2" ht="23.4" x14ac:dyDescent="0.25">
      <c r="A137" s="54"/>
      <c r="B137" t="str">
        <f>IFERROR(VLOOKUP(A137,#REF!,12,0),"0")</f>
        <v>0</v>
      </c>
    </row>
    <row r="138" spans="1:2" ht="23.4" x14ac:dyDescent="0.25">
      <c r="A138" s="54"/>
      <c r="B138" t="str">
        <f>IFERROR(VLOOKUP(A138,#REF!,12,0),"0")</f>
        <v>0</v>
      </c>
    </row>
    <row r="139" spans="1:2" ht="23.4" x14ac:dyDescent="0.25">
      <c r="A139" s="54"/>
      <c r="B139" t="str">
        <f>IFERROR(VLOOKUP(A139,#REF!,12,0),"0")</f>
        <v>0</v>
      </c>
    </row>
    <row r="140" spans="1:2" ht="23.4" x14ac:dyDescent="0.25">
      <c r="A140" s="54"/>
      <c r="B140" t="str">
        <f>IFERROR(VLOOKUP(A140,#REF!,12,0),"0")</f>
        <v>0</v>
      </c>
    </row>
    <row r="141" spans="1:2" ht="23.4" x14ac:dyDescent="0.25">
      <c r="A141" s="54"/>
      <c r="B141" t="str">
        <f>IFERROR(VLOOKUP(A141,#REF!,12,0),"0")</f>
        <v>0</v>
      </c>
    </row>
    <row r="142" spans="1:2" ht="23.4" x14ac:dyDescent="0.25">
      <c r="A142" s="54"/>
      <c r="B142" t="str">
        <f>IFERROR(VLOOKUP(A142,#REF!,12,0),"0")</f>
        <v>0</v>
      </c>
    </row>
    <row r="143" spans="1:2" ht="23.4" x14ac:dyDescent="0.25">
      <c r="A143" s="54"/>
      <c r="B143" t="str">
        <f>IFERROR(VLOOKUP(A143,#REF!,12,0),"0")</f>
        <v>0</v>
      </c>
    </row>
    <row r="144" spans="1:2" ht="23.4" x14ac:dyDescent="0.25">
      <c r="A144" s="54"/>
      <c r="B144" t="str">
        <f>IFERROR(VLOOKUP(A144,#REF!,12,0),"0")</f>
        <v>0</v>
      </c>
    </row>
    <row r="145" spans="1:2" ht="23.4" x14ac:dyDescent="0.25">
      <c r="A145" s="54"/>
      <c r="B145" t="str">
        <f>IFERROR(VLOOKUP(A145,#REF!,12,0),"0")</f>
        <v>0</v>
      </c>
    </row>
    <row r="146" spans="1:2" ht="23.4" x14ac:dyDescent="0.25">
      <c r="A146" s="54"/>
      <c r="B146" t="str">
        <f>IFERROR(VLOOKUP(A146,#REF!,12,0),"0")</f>
        <v>0</v>
      </c>
    </row>
    <row r="147" spans="1:2" ht="23.4" x14ac:dyDescent="0.25">
      <c r="A147" s="54"/>
      <c r="B147" t="str">
        <f>IFERROR(VLOOKUP(A147,#REF!,12,0),"0")</f>
        <v>0</v>
      </c>
    </row>
    <row r="148" spans="1:2" ht="23.4" x14ac:dyDescent="0.25">
      <c r="A148" s="54"/>
      <c r="B148" t="str">
        <f>IFERROR(VLOOKUP(A148,#REF!,12,0),"0")</f>
        <v>0</v>
      </c>
    </row>
    <row r="149" spans="1:2" ht="23.4" x14ac:dyDescent="0.25">
      <c r="A149" s="54"/>
      <c r="B149" t="str">
        <f>IFERROR(VLOOKUP(A149,#REF!,12,0),"0")</f>
        <v>0</v>
      </c>
    </row>
    <row r="150" spans="1:2" ht="23.4" x14ac:dyDescent="0.25">
      <c r="A150" s="54"/>
      <c r="B150" t="str">
        <f>IFERROR(VLOOKUP(A150,#REF!,12,0),"0")</f>
        <v>0</v>
      </c>
    </row>
    <row r="151" spans="1:2" ht="23.4" x14ac:dyDescent="0.25">
      <c r="A151" s="54"/>
      <c r="B151" t="str">
        <f>IFERROR(VLOOKUP(A151,#REF!,12,0),"0")</f>
        <v>0</v>
      </c>
    </row>
    <row r="152" spans="1:2" ht="23.4" x14ac:dyDescent="0.25">
      <c r="A152" s="54"/>
      <c r="B152" t="str">
        <f>IFERROR(VLOOKUP(A152,#REF!,12,0),"0")</f>
        <v>0</v>
      </c>
    </row>
    <row r="153" spans="1:2" ht="23.4" x14ac:dyDescent="0.25">
      <c r="A153" s="54"/>
      <c r="B153" t="str">
        <f>IFERROR(VLOOKUP(A153,#REF!,12,0),"0")</f>
        <v>0</v>
      </c>
    </row>
    <row r="154" spans="1:2" ht="23.4" x14ac:dyDescent="0.25">
      <c r="A154" s="54"/>
      <c r="B154" t="str">
        <f>IFERROR(VLOOKUP(A154,#REF!,12,0),"0")</f>
        <v>0</v>
      </c>
    </row>
    <row r="155" spans="1:2" ht="23.4" x14ac:dyDescent="0.25">
      <c r="A155" s="54"/>
      <c r="B155" t="str">
        <f>IFERROR(VLOOKUP(A155,#REF!,12,0),"0")</f>
        <v>0</v>
      </c>
    </row>
    <row r="156" spans="1:2" ht="23.4" x14ac:dyDescent="0.25">
      <c r="A156" s="54"/>
      <c r="B156" t="str">
        <f>IFERROR(VLOOKUP(A156,#REF!,12,0),"0")</f>
        <v>0</v>
      </c>
    </row>
    <row r="157" spans="1:2" ht="23.4" x14ac:dyDescent="0.25">
      <c r="A157" s="54"/>
      <c r="B157" t="str">
        <f>IFERROR(VLOOKUP(A157,#REF!,12,0),"0")</f>
        <v>0</v>
      </c>
    </row>
    <row r="158" spans="1:2" ht="23.4" x14ac:dyDescent="0.25">
      <c r="A158" s="54"/>
      <c r="B158" t="str">
        <f>IFERROR(VLOOKUP(A158,#REF!,12,0),"0")</f>
        <v>0</v>
      </c>
    </row>
    <row r="159" spans="1:2" ht="23.4" x14ac:dyDescent="0.25">
      <c r="A159" s="54"/>
      <c r="B159" t="str">
        <f>IFERROR(VLOOKUP(A159,#REF!,12,0),"0")</f>
        <v>0</v>
      </c>
    </row>
    <row r="160" spans="1:2" ht="23.4" x14ac:dyDescent="0.25">
      <c r="A160" s="54"/>
      <c r="B160" t="str">
        <f>IFERROR(VLOOKUP(A160,#REF!,12,0),"0")</f>
        <v>0</v>
      </c>
    </row>
    <row r="161" spans="1:2" ht="23.4" x14ac:dyDescent="0.25">
      <c r="A161" s="54"/>
      <c r="B161" t="str">
        <f>IFERROR(VLOOKUP(A161,#REF!,12,0),"0")</f>
        <v>0</v>
      </c>
    </row>
    <row r="162" spans="1:2" ht="23.4" x14ac:dyDescent="0.25">
      <c r="A162" s="54"/>
      <c r="B162" t="str">
        <f>IFERROR(VLOOKUP(A162,#REF!,12,0),"0")</f>
        <v>0</v>
      </c>
    </row>
    <row r="163" spans="1:2" ht="23.4" x14ac:dyDescent="0.25">
      <c r="A163" s="54"/>
      <c r="B163" t="str">
        <f>IFERROR(VLOOKUP(A163,#REF!,12,0),"0")</f>
        <v>0</v>
      </c>
    </row>
    <row r="164" spans="1:2" ht="23.4" x14ac:dyDescent="0.25">
      <c r="A164" s="54"/>
      <c r="B164" t="str">
        <f>IFERROR(VLOOKUP(A164,#REF!,12,0),"0")</f>
        <v>0</v>
      </c>
    </row>
    <row r="165" spans="1:2" ht="23.4" x14ac:dyDescent="0.25">
      <c r="A165" s="54"/>
      <c r="B165" t="str">
        <f>IFERROR(VLOOKUP(A165,#REF!,12,0),"0")</f>
        <v>0</v>
      </c>
    </row>
    <row r="166" spans="1:2" ht="23.4" x14ac:dyDescent="0.25">
      <c r="A166" s="54"/>
      <c r="B166" t="str">
        <f>IFERROR(VLOOKUP(A166,#REF!,12,0),"0")</f>
        <v>0</v>
      </c>
    </row>
    <row r="167" spans="1:2" ht="23.4" x14ac:dyDescent="0.25">
      <c r="A167" s="54"/>
      <c r="B167" t="str">
        <f>IFERROR(VLOOKUP(A167,#REF!,12,0),"0")</f>
        <v>0</v>
      </c>
    </row>
    <row r="168" spans="1:2" ht="23.4" x14ac:dyDescent="0.25">
      <c r="A168" s="54"/>
      <c r="B168" t="str">
        <f>IFERROR(VLOOKUP(A168,#REF!,12,0),"0")</f>
        <v>0</v>
      </c>
    </row>
    <row r="169" spans="1:2" ht="23.4" x14ac:dyDescent="0.25">
      <c r="A169" s="54"/>
      <c r="B169" t="str">
        <f>IFERROR(VLOOKUP(A169,#REF!,12,0),"0")</f>
        <v>0</v>
      </c>
    </row>
    <row r="170" spans="1:2" ht="23.4" x14ac:dyDescent="0.25">
      <c r="A170" s="54"/>
      <c r="B170" t="str">
        <f>IFERROR(VLOOKUP(A170,#REF!,12,0),"0")</f>
        <v>0</v>
      </c>
    </row>
    <row r="171" spans="1:2" ht="23.4" x14ac:dyDescent="0.25">
      <c r="A171" s="54"/>
      <c r="B171" t="str">
        <f>IFERROR(VLOOKUP(A171,#REF!,12,0),"0")</f>
        <v>0</v>
      </c>
    </row>
    <row r="172" spans="1:2" ht="23.4" x14ac:dyDescent="0.25">
      <c r="A172" s="54"/>
      <c r="B172" t="str">
        <f>IFERROR(VLOOKUP(A172,#REF!,12,0),"0")</f>
        <v>0</v>
      </c>
    </row>
    <row r="173" spans="1:2" ht="23.4" x14ac:dyDescent="0.25">
      <c r="A173" s="54"/>
      <c r="B173" t="str">
        <f>IFERROR(VLOOKUP(A173,#REF!,12,0),"0")</f>
        <v>0</v>
      </c>
    </row>
    <row r="174" spans="1:2" ht="23.4" x14ac:dyDescent="0.25">
      <c r="A174" s="54"/>
      <c r="B174" t="str">
        <f>IFERROR(VLOOKUP(A174,#REF!,12,0),"0")</f>
        <v>0</v>
      </c>
    </row>
    <row r="175" spans="1:2" ht="23.4" x14ac:dyDescent="0.25">
      <c r="A175" s="54"/>
      <c r="B175" t="str">
        <f>IFERROR(VLOOKUP(A175,#REF!,12,0),"0")</f>
        <v>0</v>
      </c>
    </row>
    <row r="176" spans="1:2" ht="23.4" x14ac:dyDescent="0.25">
      <c r="A176" s="54"/>
      <c r="B176" t="str">
        <f>IFERROR(VLOOKUP(A176,#REF!,12,0),"0")</f>
        <v>0</v>
      </c>
    </row>
    <row r="177" spans="1:2" ht="23.4" x14ac:dyDescent="0.25">
      <c r="A177" s="54"/>
      <c r="B177" t="str">
        <f>IFERROR(VLOOKUP(A177,#REF!,12,0),"0")</f>
        <v>0</v>
      </c>
    </row>
    <row r="178" spans="1:2" ht="23.4" x14ac:dyDescent="0.25">
      <c r="A178" s="54"/>
      <c r="B178" t="str">
        <f>IFERROR(VLOOKUP(A178,#REF!,12,0),"0")</f>
        <v>0</v>
      </c>
    </row>
    <row r="179" spans="1:2" ht="23.4" x14ac:dyDescent="0.25">
      <c r="A179" s="54"/>
      <c r="B179" t="str">
        <f>IFERROR(VLOOKUP(A179,#REF!,12,0),"0")</f>
        <v>0</v>
      </c>
    </row>
    <row r="180" spans="1:2" ht="23.4" x14ac:dyDescent="0.25">
      <c r="A180" s="54"/>
      <c r="B180" t="str">
        <f>IFERROR(VLOOKUP(A180,#REF!,12,0),"0")</f>
        <v>0</v>
      </c>
    </row>
    <row r="181" spans="1:2" ht="23.4" x14ac:dyDescent="0.25">
      <c r="A181" s="54"/>
      <c r="B181" t="str">
        <f>IFERROR(VLOOKUP(A181,#REF!,12,0),"0")</f>
        <v>0</v>
      </c>
    </row>
    <row r="182" spans="1:2" ht="23.4" x14ac:dyDescent="0.25">
      <c r="A182" s="54"/>
      <c r="B182" t="str">
        <f>IFERROR(VLOOKUP(A182,#REF!,12,0),"0")</f>
        <v>0</v>
      </c>
    </row>
    <row r="183" spans="1:2" ht="23.4" x14ac:dyDescent="0.25">
      <c r="A183" s="54"/>
      <c r="B183" t="str">
        <f>IFERROR(VLOOKUP(A183,#REF!,12,0),"0")</f>
        <v>0</v>
      </c>
    </row>
    <row r="184" spans="1:2" ht="23.4" x14ac:dyDescent="0.25">
      <c r="A184" s="54"/>
      <c r="B184" t="str">
        <f>IFERROR(VLOOKUP(A184,#REF!,12,0),"0")</f>
        <v>0</v>
      </c>
    </row>
    <row r="185" spans="1:2" ht="23.4" x14ac:dyDescent="0.25">
      <c r="A185" s="54"/>
      <c r="B185" t="str">
        <f>IFERROR(VLOOKUP(A185,#REF!,12,0),"0")</f>
        <v>0</v>
      </c>
    </row>
    <row r="186" spans="1:2" ht="23.4" x14ac:dyDescent="0.25">
      <c r="A186" s="54"/>
      <c r="B186" t="str">
        <f>IFERROR(VLOOKUP(A186,#REF!,12,0),"0")</f>
        <v>0</v>
      </c>
    </row>
    <row r="187" spans="1:2" ht="23.4" x14ac:dyDescent="0.25">
      <c r="A187" s="54"/>
      <c r="B187" t="str">
        <f>IFERROR(VLOOKUP(A187,#REF!,12,0),"0")</f>
        <v>0</v>
      </c>
    </row>
    <row r="188" spans="1:2" ht="23.4" x14ac:dyDescent="0.25">
      <c r="A188" s="54"/>
      <c r="B188" t="str">
        <f>IFERROR(VLOOKUP(A188,#REF!,12,0),"0")</f>
        <v>0</v>
      </c>
    </row>
    <row r="189" spans="1:2" ht="23.4" x14ac:dyDescent="0.25">
      <c r="A189" s="54"/>
      <c r="B189" t="str">
        <f>IFERROR(VLOOKUP(A189,#REF!,12,0),"0")</f>
        <v>0</v>
      </c>
    </row>
    <row r="190" spans="1:2" ht="23.4" x14ac:dyDescent="0.25">
      <c r="A190" s="54"/>
      <c r="B190" t="str">
        <f>IFERROR(VLOOKUP(A190,#REF!,12,0),"0")</f>
        <v>0</v>
      </c>
    </row>
    <row r="191" spans="1:2" ht="23.4" x14ac:dyDescent="0.25">
      <c r="A191" s="54"/>
      <c r="B191" t="str">
        <f>IFERROR(VLOOKUP(A191,#REF!,12,0),"0")</f>
        <v>0</v>
      </c>
    </row>
    <row r="192" spans="1:2" ht="23.4" x14ac:dyDescent="0.25">
      <c r="A192" s="54"/>
      <c r="B192" t="str">
        <f>IFERROR(VLOOKUP(A192,#REF!,12,0),"0")</f>
        <v>0</v>
      </c>
    </row>
    <row r="193" spans="1:2" ht="23.4" x14ac:dyDescent="0.25">
      <c r="A193" s="54"/>
      <c r="B193" t="str">
        <f>IFERROR(VLOOKUP(A193,#REF!,12,0),"0")</f>
        <v>0</v>
      </c>
    </row>
    <row r="194" spans="1:2" ht="23.4" x14ac:dyDescent="0.25">
      <c r="A194" s="54"/>
      <c r="B194" t="str">
        <f>IFERROR(VLOOKUP(A194,#REF!,12,0),"0")</f>
        <v>0</v>
      </c>
    </row>
    <row r="195" spans="1:2" ht="23.4" x14ac:dyDescent="0.25">
      <c r="A195" s="54"/>
      <c r="B195" t="str">
        <f>IFERROR(VLOOKUP(A195,#REF!,12,0),"0")</f>
        <v>0</v>
      </c>
    </row>
    <row r="196" spans="1:2" ht="23.4" x14ac:dyDescent="0.25">
      <c r="A196" s="54"/>
      <c r="B196" t="str">
        <f>IFERROR(VLOOKUP(A196,#REF!,12,0),"0")</f>
        <v>0</v>
      </c>
    </row>
    <row r="197" spans="1:2" ht="23.4" x14ac:dyDescent="0.25">
      <c r="A197" s="54"/>
      <c r="B197" t="str">
        <f>IFERROR(VLOOKUP(A197,#REF!,12,0),"0")</f>
        <v>0</v>
      </c>
    </row>
    <row r="198" spans="1:2" ht="23.4" x14ac:dyDescent="0.25">
      <c r="A198" s="54"/>
      <c r="B198" t="str">
        <f>IFERROR(VLOOKUP(A198,#REF!,12,0),"0")</f>
        <v>0</v>
      </c>
    </row>
    <row r="199" spans="1:2" ht="23.4" x14ac:dyDescent="0.25">
      <c r="A199" s="54"/>
      <c r="B199" t="str">
        <f>IFERROR(VLOOKUP(A199,#REF!,12,0),"0")</f>
        <v>0</v>
      </c>
    </row>
    <row r="200" spans="1:2" ht="23.4" x14ac:dyDescent="0.25">
      <c r="A200" s="54"/>
      <c r="B200" t="str">
        <f>IFERROR(VLOOKUP(A200,#REF!,12,0),"0")</f>
        <v>0</v>
      </c>
    </row>
    <row r="201" spans="1:2" ht="23.4" x14ac:dyDescent="0.25">
      <c r="A201" s="54"/>
      <c r="B201" t="str">
        <f>IFERROR(VLOOKUP(A201,#REF!,12,0),"0")</f>
        <v>0</v>
      </c>
    </row>
    <row r="202" spans="1:2" ht="23.4" x14ac:dyDescent="0.25">
      <c r="A202" s="54"/>
      <c r="B202" t="str">
        <f>IFERROR(VLOOKUP(A202,#REF!,12,0),"0")</f>
        <v>0</v>
      </c>
    </row>
    <row r="203" spans="1:2" ht="23.4" x14ac:dyDescent="0.25">
      <c r="A203" s="54"/>
      <c r="B203" t="str">
        <f>IFERROR(VLOOKUP(A203,#REF!,12,0),"0")</f>
        <v>0</v>
      </c>
    </row>
    <row r="204" spans="1:2" ht="23.4" x14ac:dyDescent="0.25">
      <c r="A204" s="54"/>
      <c r="B204" t="str">
        <f>IFERROR(VLOOKUP(A204,#REF!,12,0),"0")</f>
        <v>0</v>
      </c>
    </row>
    <row r="205" spans="1:2" ht="23.4" x14ac:dyDescent="0.25">
      <c r="A205" s="54"/>
      <c r="B205" t="str">
        <f>IFERROR(VLOOKUP(A205,#REF!,12,0),"0")</f>
        <v>0</v>
      </c>
    </row>
    <row r="206" spans="1:2" ht="23.4" x14ac:dyDescent="0.25">
      <c r="A206" s="54"/>
      <c r="B206" t="str">
        <f>IFERROR(VLOOKUP(A206,#REF!,12,0),"0")</f>
        <v>0</v>
      </c>
    </row>
    <row r="207" spans="1:2" ht="23.4" x14ac:dyDescent="0.25">
      <c r="A207" s="54"/>
      <c r="B207" t="str">
        <f>IFERROR(VLOOKUP(A207,#REF!,12,0),"0")</f>
        <v>0</v>
      </c>
    </row>
  </sheetData>
  <autoFilter ref="A2:B207" xr:uid="{A2FE3BB1-DB72-45BE-98D5-EE1C185712BC}"/>
  <dataValidations count="1">
    <dataValidation type="list" allowBlank="1" showInputMessage="1" showErrorMessage="1" sqref="A127:A130" xr:uid="{77B655D2-044F-4B9C-B19D-0C019CF26A1B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0210-70B1-4886-AEBF-2960E732D036}">
  <sheetPr>
    <tabColor rgb="FFCC66FF"/>
  </sheetPr>
  <dimension ref="A1:U1831"/>
  <sheetViews>
    <sheetView zoomScale="40" zoomScaleNormal="40" workbookViewId="0">
      <pane xSplit="7" ySplit="1" topLeftCell="H162" activePane="bottomRight" state="frozen"/>
      <selection activeCell="N57" sqref="M1:N57"/>
      <selection pane="topRight" activeCell="N57" sqref="M1:N57"/>
      <selection pane="bottomLeft" activeCell="N57" sqref="M1:N57"/>
      <selection pane="bottomRight" activeCell="N57" sqref="M1:N57"/>
    </sheetView>
  </sheetViews>
  <sheetFormatPr defaultColWidth="9.8984375" defaultRowHeight="28.8" x14ac:dyDescent="0.25"/>
  <cols>
    <col min="1" max="1" width="9.796875" style="46" customWidth="1"/>
    <col min="2" max="2" width="16.3984375" style="46" bestFit="1" customWidth="1"/>
    <col min="3" max="3" width="23.8984375" style="46" bestFit="1" customWidth="1"/>
    <col min="4" max="4" width="12.296875" style="46" bestFit="1" customWidth="1"/>
    <col min="5" max="5" width="15.09765625" style="46" bestFit="1" customWidth="1"/>
    <col min="6" max="6" width="20.8984375" style="46" bestFit="1" customWidth="1"/>
    <col min="7" max="7" width="23.296875" style="46" bestFit="1" customWidth="1"/>
    <col min="8" max="8" width="14.09765625" style="46" bestFit="1" customWidth="1"/>
    <col min="9" max="9" width="22.09765625" style="46" bestFit="1" customWidth="1"/>
    <col min="10" max="10" width="44.69921875" style="46" bestFit="1" customWidth="1"/>
    <col min="11" max="11" width="23.296875" style="46" bestFit="1" customWidth="1"/>
    <col min="12" max="12" width="182.69921875" style="49" bestFit="1" customWidth="1"/>
    <col min="13" max="13" width="18.3984375" style="46" bestFit="1" customWidth="1"/>
    <col min="14" max="14" width="23.296875" style="46" bestFit="1" customWidth="1"/>
    <col min="15" max="15" width="20.3984375" style="46" bestFit="1" customWidth="1"/>
    <col min="16" max="16" width="22.69921875" style="46" bestFit="1" customWidth="1"/>
    <col min="17" max="17" width="24.296875" style="46" bestFit="1" customWidth="1"/>
    <col min="18" max="18" width="23.3984375" style="46" bestFit="1" customWidth="1"/>
    <col min="19" max="19" width="16.3984375" style="46" bestFit="1" customWidth="1"/>
    <col min="20" max="20" width="24.09765625" style="51" bestFit="1" customWidth="1"/>
    <col min="21" max="21" width="5.3984375" style="52" bestFit="1" customWidth="1"/>
    <col min="22" max="16384" width="9.8984375" style="49"/>
  </cols>
  <sheetData>
    <row r="1" spans="1:20" s="43" customFormat="1" ht="26.4" x14ac:dyDescent="0.25">
      <c r="A1" s="43" t="s">
        <v>18</v>
      </c>
      <c r="B1" s="43" t="s">
        <v>96</v>
      </c>
      <c r="C1" s="43" t="s">
        <v>97</v>
      </c>
      <c r="D1" s="43" t="s">
        <v>98</v>
      </c>
      <c r="E1" s="43" t="s">
        <v>4</v>
      </c>
      <c r="F1" s="43" t="s">
        <v>99</v>
      </c>
      <c r="G1" s="44" t="s">
        <v>100</v>
      </c>
      <c r="H1" s="43" t="s">
        <v>101</v>
      </c>
      <c r="I1" s="43" t="s">
        <v>102</v>
      </c>
      <c r="J1" s="43" t="s">
        <v>103</v>
      </c>
      <c r="K1" s="43" t="s">
        <v>104</v>
      </c>
      <c r="L1" s="43" t="s">
        <v>105</v>
      </c>
      <c r="M1" s="43" t="s">
        <v>106</v>
      </c>
      <c r="N1" s="43" t="s">
        <v>107</v>
      </c>
      <c r="O1" s="43" t="s">
        <v>108</v>
      </c>
      <c r="P1" s="43" t="s">
        <v>109</v>
      </c>
      <c r="Q1" s="43" t="s">
        <v>110</v>
      </c>
      <c r="R1" s="43" t="s">
        <v>111</v>
      </c>
      <c r="S1" s="43" t="s">
        <v>112</v>
      </c>
      <c r="T1" s="45" t="s">
        <v>113</v>
      </c>
    </row>
    <row r="2" spans="1:20" ht="22.95" customHeight="1" x14ac:dyDescent="0.25">
      <c r="A2" s="46">
        <v>1</v>
      </c>
      <c r="B2" s="47">
        <v>243923</v>
      </c>
      <c r="C2" s="46" t="s">
        <v>114</v>
      </c>
      <c r="D2" s="46" t="s">
        <v>115</v>
      </c>
      <c r="E2" s="46" t="s">
        <v>119</v>
      </c>
      <c r="F2" s="46" t="s">
        <v>116</v>
      </c>
      <c r="G2" s="46" t="s">
        <v>133</v>
      </c>
      <c r="H2" s="46" t="s">
        <v>117</v>
      </c>
      <c r="I2" s="46" t="s">
        <v>322</v>
      </c>
      <c r="J2" s="46" t="s">
        <v>323</v>
      </c>
      <c r="K2" s="46" t="s">
        <v>156</v>
      </c>
      <c r="L2" s="46" t="s">
        <v>324</v>
      </c>
      <c r="M2" s="49"/>
      <c r="N2" s="46">
        <v>0.58599999999999997</v>
      </c>
      <c r="O2" s="46">
        <v>0</v>
      </c>
      <c r="P2" s="46">
        <v>0</v>
      </c>
      <c r="Q2" s="46">
        <v>0</v>
      </c>
      <c r="R2" s="46">
        <v>0</v>
      </c>
      <c r="S2" s="46">
        <v>17</v>
      </c>
      <c r="T2" s="48">
        <v>17</v>
      </c>
    </row>
    <row r="3" spans="1:20" ht="22.95" customHeight="1" x14ac:dyDescent="0.25">
      <c r="A3" s="46">
        <v>2</v>
      </c>
      <c r="B3" s="47">
        <v>243923</v>
      </c>
      <c r="C3" s="46" t="s">
        <v>114</v>
      </c>
      <c r="D3" s="46" t="s">
        <v>115</v>
      </c>
      <c r="E3" s="46" t="s">
        <v>119</v>
      </c>
      <c r="F3" s="46" t="s">
        <v>116</v>
      </c>
      <c r="G3" s="46" t="s">
        <v>133</v>
      </c>
      <c r="H3" s="46" t="s">
        <v>117</v>
      </c>
      <c r="I3" s="46" t="s">
        <v>325</v>
      </c>
      <c r="J3" s="46" t="s">
        <v>127</v>
      </c>
      <c r="K3" s="46" t="s">
        <v>128</v>
      </c>
      <c r="L3" s="46" t="s">
        <v>326</v>
      </c>
      <c r="M3" s="49"/>
      <c r="N3" s="46">
        <v>0.63600000000000001</v>
      </c>
      <c r="O3" s="46">
        <v>0</v>
      </c>
      <c r="P3" s="46">
        <v>0</v>
      </c>
      <c r="Q3" s="46">
        <v>0</v>
      </c>
      <c r="R3" s="46">
        <v>0</v>
      </c>
      <c r="S3" s="46">
        <v>17</v>
      </c>
      <c r="T3" s="48">
        <v>17</v>
      </c>
    </row>
    <row r="4" spans="1:20" ht="22.95" customHeight="1" x14ac:dyDescent="0.25">
      <c r="A4" s="46">
        <v>3</v>
      </c>
      <c r="B4" s="47">
        <v>243923</v>
      </c>
      <c r="C4" s="46" t="s">
        <v>114</v>
      </c>
      <c r="D4" s="46" t="s">
        <v>115</v>
      </c>
      <c r="E4" s="46" t="s">
        <v>119</v>
      </c>
      <c r="F4" s="46" t="s">
        <v>116</v>
      </c>
      <c r="G4" s="46" t="s">
        <v>133</v>
      </c>
      <c r="H4" s="46" t="s">
        <v>117</v>
      </c>
      <c r="I4" s="46" t="s">
        <v>327</v>
      </c>
      <c r="J4" s="46" t="s">
        <v>256</v>
      </c>
      <c r="K4" s="46" t="s">
        <v>250</v>
      </c>
      <c r="L4" s="46" t="s">
        <v>328</v>
      </c>
      <c r="M4" s="49"/>
      <c r="N4" s="46">
        <v>0.72199999999999998</v>
      </c>
      <c r="O4" s="46">
        <v>0</v>
      </c>
      <c r="P4" s="46">
        <v>0</v>
      </c>
      <c r="Q4" s="46">
        <v>0</v>
      </c>
      <c r="R4" s="46">
        <v>0</v>
      </c>
      <c r="S4" s="46">
        <v>17</v>
      </c>
      <c r="T4" s="48">
        <v>17</v>
      </c>
    </row>
    <row r="5" spans="1:20" ht="22.95" customHeight="1" x14ac:dyDescent="0.25">
      <c r="A5" s="46">
        <v>4</v>
      </c>
      <c r="B5" s="47">
        <v>243923</v>
      </c>
      <c r="C5" s="46" t="s">
        <v>114</v>
      </c>
      <c r="D5" s="46" t="s">
        <v>115</v>
      </c>
      <c r="E5" s="46" t="s">
        <v>119</v>
      </c>
      <c r="F5" s="46" t="s">
        <v>116</v>
      </c>
      <c r="G5" s="46" t="s">
        <v>133</v>
      </c>
      <c r="H5" s="46" t="s">
        <v>117</v>
      </c>
      <c r="I5" s="46" t="s">
        <v>329</v>
      </c>
      <c r="J5" s="46" t="s">
        <v>330</v>
      </c>
      <c r="K5" s="46" t="s">
        <v>331</v>
      </c>
      <c r="L5" s="46" t="s">
        <v>332</v>
      </c>
      <c r="M5" s="49"/>
      <c r="N5" s="46">
        <v>1.6639999999999999</v>
      </c>
      <c r="O5" s="46">
        <v>0</v>
      </c>
      <c r="P5" s="46">
        <v>0</v>
      </c>
      <c r="Q5" s="46">
        <v>0</v>
      </c>
      <c r="R5" s="46">
        <v>0</v>
      </c>
      <c r="S5" s="46">
        <v>22</v>
      </c>
      <c r="T5" s="48">
        <v>22</v>
      </c>
    </row>
    <row r="6" spans="1:20" ht="22.95" customHeight="1" x14ac:dyDescent="0.25">
      <c r="A6" s="46">
        <v>5</v>
      </c>
      <c r="B6" s="47">
        <v>243923</v>
      </c>
      <c r="C6" s="46" t="s">
        <v>114</v>
      </c>
      <c r="D6" s="46" t="s">
        <v>115</v>
      </c>
      <c r="E6" s="46" t="s">
        <v>119</v>
      </c>
      <c r="F6" s="46" t="s">
        <v>116</v>
      </c>
      <c r="G6" s="46" t="s">
        <v>133</v>
      </c>
      <c r="H6" s="46" t="s">
        <v>117</v>
      </c>
      <c r="I6" s="46" t="s">
        <v>333</v>
      </c>
      <c r="J6" s="46" t="s">
        <v>334</v>
      </c>
      <c r="K6" s="46" t="s">
        <v>335</v>
      </c>
      <c r="L6" s="46" t="s">
        <v>336</v>
      </c>
      <c r="M6" s="49"/>
      <c r="N6" s="46">
        <v>0.64400000000000002</v>
      </c>
      <c r="O6" s="46">
        <v>0</v>
      </c>
      <c r="P6" s="46">
        <v>0</v>
      </c>
      <c r="Q6" s="46">
        <v>0</v>
      </c>
      <c r="R6" s="46">
        <v>0</v>
      </c>
      <c r="S6" s="46">
        <v>17</v>
      </c>
      <c r="T6" s="48">
        <v>17</v>
      </c>
    </row>
    <row r="7" spans="1:20" ht="22.95" customHeight="1" x14ac:dyDescent="0.25">
      <c r="A7" s="46">
        <v>6</v>
      </c>
      <c r="B7" s="47">
        <v>243923</v>
      </c>
      <c r="C7" s="46" t="s">
        <v>114</v>
      </c>
      <c r="D7" s="46" t="s">
        <v>115</v>
      </c>
      <c r="E7" s="46" t="s">
        <v>119</v>
      </c>
      <c r="F7" s="46" t="s">
        <v>116</v>
      </c>
      <c r="G7" s="46" t="s">
        <v>133</v>
      </c>
      <c r="H7" s="46" t="s">
        <v>117</v>
      </c>
      <c r="I7" s="46" t="s">
        <v>337</v>
      </c>
      <c r="J7" s="46" t="s">
        <v>338</v>
      </c>
      <c r="K7" s="46" t="s">
        <v>339</v>
      </c>
      <c r="L7" s="46" t="s">
        <v>340</v>
      </c>
      <c r="M7" s="49"/>
      <c r="N7" s="46">
        <v>1.1060000000000001</v>
      </c>
      <c r="O7" s="46">
        <v>0</v>
      </c>
      <c r="P7" s="46">
        <v>0</v>
      </c>
      <c r="Q7" s="46">
        <v>0</v>
      </c>
      <c r="R7" s="46">
        <v>0</v>
      </c>
      <c r="S7" s="46">
        <v>22</v>
      </c>
      <c r="T7" s="48">
        <v>22</v>
      </c>
    </row>
    <row r="8" spans="1:20" ht="22.95" customHeight="1" x14ac:dyDescent="0.25">
      <c r="A8" s="46">
        <v>7</v>
      </c>
      <c r="B8" s="47">
        <v>243923</v>
      </c>
      <c r="C8" s="46" t="s">
        <v>114</v>
      </c>
      <c r="D8" s="46" t="s">
        <v>115</v>
      </c>
      <c r="E8" s="46" t="s">
        <v>119</v>
      </c>
      <c r="F8" s="46" t="s">
        <v>116</v>
      </c>
      <c r="G8" s="46" t="s">
        <v>133</v>
      </c>
      <c r="H8" s="46" t="s">
        <v>117</v>
      </c>
      <c r="I8" s="46" t="s">
        <v>341</v>
      </c>
      <c r="J8" s="46" t="s">
        <v>9</v>
      </c>
      <c r="K8" s="46" t="s">
        <v>143</v>
      </c>
      <c r="L8" s="46" t="s">
        <v>342</v>
      </c>
      <c r="M8" s="49"/>
      <c r="N8" s="46">
        <v>3.242</v>
      </c>
      <c r="O8" s="46">
        <v>0</v>
      </c>
      <c r="P8" s="46">
        <v>0</v>
      </c>
      <c r="Q8" s="46">
        <v>0</v>
      </c>
      <c r="R8" s="46">
        <v>0</v>
      </c>
      <c r="S8" s="46">
        <v>43</v>
      </c>
      <c r="T8" s="48">
        <v>43</v>
      </c>
    </row>
    <row r="9" spans="1:20" ht="22.95" customHeight="1" x14ac:dyDescent="0.25">
      <c r="A9" s="46">
        <v>8</v>
      </c>
      <c r="B9" s="47">
        <v>243923</v>
      </c>
      <c r="C9" s="46" t="s">
        <v>114</v>
      </c>
      <c r="D9" s="46" t="s">
        <v>115</v>
      </c>
      <c r="E9" s="46" t="s">
        <v>119</v>
      </c>
      <c r="F9" s="46" t="s">
        <v>116</v>
      </c>
      <c r="G9" s="46" t="s">
        <v>133</v>
      </c>
      <c r="H9" s="46" t="s">
        <v>117</v>
      </c>
      <c r="I9" s="46" t="s">
        <v>343</v>
      </c>
      <c r="J9" s="46" t="s">
        <v>344</v>
      </c>
      <c r="K9" s="46" t="s">
        <v>235</v>
      </c>
      <c r="L9" s="46" t="s">
        <v>345</v>
      </c>
      <c r="M9" s="49"/>
      <c r="N9" s="46">
        <v>1.694</v>
      </c>
      <c r="O9" s="46">
        <v>130</v>
      </c>
      <c r="P9" s="46">
        <v>1.95</v>
      </c>
      <c r="Q9" s="46">
        <v>0.13650000000000001</v>
      </c>
      <c r="R9" s="46">
        <v>0</v>
      </c>
      <c r="S9" s="46">
        <v>22</v>
      </c>
      <c r="T9" s="48">
        <v>24.09</v>
      </c>
    </row>
    <row r="10" spans="1:20" ht="22.95" customHeight="1" x14ac:dyDescent="0.25">
      <c r="A10" s="46">
        <v>9</v>
      </c>
      <c r="B10" s="47">
        <v>243923</v>
      </c>
      <c r="C10" s="46" t="s">
        <v>114</v>
      </c>
      <c r="D10" s="46" t="s">
        <v>115</v>
      </c>
      <c r="E10" s="46" t="s">
        <v>119</v>
      </c>
      <c r="F10" s="46" t="s">
        <v>116</v>
      </c>
      <c r="G10" s="46" t="s">
        <v>133</v>
      </c>
      <c r="H10" s="46" t="s">
        <v>117</v>
      </c>
      <c r="I10" s="46" t="s">
        <v>346</v>
      </c>
      <c r="J10" s="46" t="s">
        <v>347</v>
      </c>
      <c r="K10" s="46" t="s">
        <v>348</v>
      </c>
      <c r="L10" s="46" t="s">
        <v>349</v>
      </c>
      <c r="M10" s="49"/>
      <c r="N10" s="46">
        <v>0.48599999999999999</v>
      </c>
      <c r="O10" s="46">
        <v>129</v>
      </c>
      <c r="P10" s="46">
        <v>1.9350000000000001</v>
      </c>
      <c r="Q10" s="46">
        <v>0.13550000000000001</v>
      </c>
      <c r="R10" s="46">
        <v>0</v>
      </c>
      <c r="S10" s="46">
        <v>17</v>
      </c>
      <c r="T10" s="48">
        <v>19.07</v>
      </c>
    </row>
    <row r="11" spans="1:20" ht="22.95" customHeight="1" x14ac:dyDescent="0.25">
      <c r="A11" s="46">
        <v>10</v>
      </c>
      <c r="B11" s="47">
        <v>243923</v>
      </c>
      <c r="C11" s="46" t="s">
        <v>114</v>
      </c>
      <c r="D11" s="46" t="s">
        <v>115</v>
      </c>
      <c r="E11" s="46" t="s">
        <v>119</v>
      </c>
      <c r="F11" s="46" t="s">
        <v>116</v>
      </c>
      <c r="G11" s="46" t="s">
        <v>133</v>
      </c>
      <c r="H11" s="46" t="s">
        <v>117</v>
      </c>
      <c r="I11" s="46" t="s">
        <v>350</v>
      </c>
      <c r="J11" s="46" t="s">
        <v>201</v>
      </c>
      <c r="K11" s="46" t="s">
        <v>202</v>
      </c>
      <c r="L11" s="46" t="s">
        <v>351</v>
      </c>
      <c r="M11" s="49"/>
      <c r="N11" s="46">
        <v>0.71399999999999997</v>
      </c>
      <c r="O11" s="46">
        <v>180</v>
      </c>
      <c r="P11" s="46">
        <v>2.7</v>
      </c>
      <c r="Q11" s="46">
        <v>0.189</v>
      </c>
      <c r="R11" s="46">
        <v>15</v>
      </c>
      <c r="S11" s="46">
        <v>32</v>
      </c>
      <c r="T11" s="48">
        <v>34.89</v>
      </c>
    </row>
    <row r="12" spans="1:20" ht="22.95" customHeight="1" x14ac:dyDescent="0.25">
      <c r="A12" s="46">
        <v>11</v>
      </c>
      <c r="B12" s="47">
        <v>243923</v>
      </c>
      <c r="C12" s="46" t="s">
        <v>114</v>
      </c>
      <c r="D12" s="46" t="s">
        <v>115</v>
      </c>
      <c r="E12" s="46" t="s">
        <v>119</v>
      </c>
      <c r="F12" s="46" t="s">
        <v>116</v>
      </c>
      <c r="G12" s="46" t="s">
        <v>133</v>
      </c>
      <c r="H12" s="46" t="s">
        <v>117</v>
      </c>
      <c r="I12" s="46" t="s">
        <v>352</v>
      </c>
      <c r="J12" s="46" t="s">
        <v>353</v>
      </c>
      <c r="K12" s="46" t="s">
        <v>354</v>
      </c>
      <c r="L12" s="46" t="s">
        <v>355</v>
      </c>
      <c r="M12" s="49"/>
      <c r="N12" s="46">
        <v>2.278</v>
      </c>
      <c r="O12" s="46">
        <v>280</v>
      </c>
      <c r="P12" s="46">
        <v>4.2</v>
      </c>
      <c r="Q12" s="46">
        <v>0.29399999999999998</v>
      </c>
      <c r="R12" s="46">
        <v>0</v>
      </c>
      <c r="S12" s="46">
        <v>33</v>
      </c>
      <c r="T12" s="48">
        <v>37.49</v>
      </c>
    </row>
    <row r="13" spans="1:20" ht="22.95" customHeight="1" x14ac:dyDescent="0.25">
      <c r="A13" s="46">
        <v>12</v>
      </c>
      <c r="B13" s="47">
        <v>243923</v>
      </c>
      <c r="C13" s="46" t="s">
        <v>114</v>
      </c>
      <c r="D13" s="46" t="s">
        <v>115</v>
      </c>
      <c r="E13" s="46" t="s">
        <v>119</v>
      </c>
      <c r="F13" s="46" t="s">
        <v>116</v>
      </c>
      <c r="G13" s="46" t="s">
        <v>133</v>
      </c>
      <c r="H13" s="46" t="s">
        <v>117</v>
      </c>
      <c r="I13" s="46" t="s">
        <v>356</v>
      </c>
      <c r="J13" s="46" t="s">
        <v>357</v>
      </c>
      <c r="K13" s="46" t="s">
        <v>265</v>
      </c>
      <c r="L13" s="46" t="s">
        <v>358</v>
      </c>
      <c r="M13" s="49"/>
      <c r="N13" s="46">
        <v>2.5019999999999998</v>
      </c>
      <c r="O13" s="46">
        <v>630</v>
      </c>
      <c r="P13" s="46">
        <v>9.4499999999999993</v>
      </c>
      <c r="Q13" s="46">
        <v>0.66149999999999998</v>
      </c>
      <c r="R13" s="46">
        <v>0</v>
      </c>
      <c r="S13" s="46">
        <v>33</v>
      </c>
      <c r="T13" s="48">
        <v>43.11</v>
      </c>
    </row>
    <row r="14" spans="1:20" ht="22.95" customHeight="1" x14ac:dyDescent="0.25">
      <c r="A14" s="46">
        <v>13</v>
      </c>
      <c r="B14" s="47">
        <v>243923</v>
      </c>
      <c r="C14" s="46" t="s">
        <v>114</v>
      </c>
      <c r="D14" s="46" t="s">
        <v>115</v>
      </c>
      <c r="E14" s="46" t="s">
        <v>119</v>
      </c>
      <c r="F14" s="46" t="s">
        <v>116</v>
      </c>
      <c r="G14" s="46" t="s">
        <v>133</v>
      </c>
      <c r="H14" s="46" t="s">
        <v>117</v>
      </c>
      <c r="I14" s="46" t="s">
        <v>359</v>
      </c>
      <c r="J14" s="46" t="s">
        <v>360</v>
      </c>
      <c r="K14" s="46" t="s">
        <v>361</v>
      </c>
      <c r="L14" s="46" t="s">
        <v>362</v>
      </c>
      <c r="M14" s="49"/>
      <c r="N14" s="46">
        <v>1.6719999999999999</v>
      </c>
      <c r="O14" s="46">
        <v>130</v>
      </c>
      <c r="P14" s="46">
        <v>1.95</v>
      </c>
      <c r="Q14" s="46">
        <v>0.13650000000000001</v>
      </c>
      <c r="R14" s="46">
        <v>0</v>
      </c>
      <c r="S14" s="46">
        <v>22</v>
      </c>
      <c r="T14" s="48">
        <v>24.09</v>
      </c>
    </row>
    <row r="15" spans="1:20" ht="22.95" customHeight="1" x14ac:dyDescent="0.25">
      <c r="A15" s="46">
        <v>14</v>
      </c>
      <c r="B15" s="47">
        <v>243923</v>
      </c>
      <c r="C15" s="46" t="s">
        <v>114</v>
      </c>
      <c r="D15" s="46" t="s">
        <v>115</v>
      </c>
      <c r="E15" s="46" t="s">
        <v>119</v>
      </c>
      <c r="F15" s="46" t="s">
        <v>116</v>
      </c>
      <c r="G15" s="46" t="s">
        <v>133</v>
      </c>
      <c r="H15" s="46" t="s">
        <v>117</v>
      </c>
      <c r="I15" s="46" t="s">
        <v>363</v>
      </c>
      <c r="J15" s="46" t="s">
        <v>364</v>
      </c>
      <c r="K15" s="46" t="s">
        <v>194</v>
      </c>
      <c r="L15" s="46" t="s">
        <v>365</v>
      </c>
      <c r="M15" s="49"/>
      <c r="N15" s="46">
        <v>1.6679999999999999</v>
      </c>
      <c r="O15" s="46">
        <v>130</v>
      </c>
      <c r="P15" s="46">
        <v>1.95</v>
      </c>
      <c r="Q15" s="46">
        <v>0.13650000000000001</v>
      </c>
      <c r="R15" s="46">
        <v>0</v>
      </c>
      <c r="S15" s="46">
        <v>22</v>
      </c>
      <c r="T15" s="48">
        <v>24.09</v>
      </c>
    </row>
    <row r="16" spans="1:20" ht="22.95" customHeight="1" x14ac:dyDescent="0.25">
      <c r="A16" s="46">
        <v>15</v>
      </c>
      <c r="B16" s="47">
        <v>243923</v>
      </c>
      <c r="C16" s="46" t="s">
        <v>114</v>
      </c>
      <c r="D16" s="46" t="s">
        <v>115</v>
      </c>
      <c r="E16" s="46" t="s">
        <v>119</v>
      </c>
      <c r="F16" s="46" t="s">
        <v>116</v>
      </c>
      <c r="G16" s="46" t="s">
        <v>133</v>
      </c>
      <c r="H16" s="46" t="s">
        <v>117</v>
      </c>
      <c r="I16" s="46" t="s">
        <v>366</v>
      </c>
      <c r="J16" s="46" t="s">
        <v>367</v>
      </c>
      <c r="K16" s="46" t="s">
        <v>368</v>
      </c>
      <c r="L16" s="46" t="s">
        <v>369</v>
      </c>
      <c r="M16" s="49"/>
      <c r="N16" s="46">
        <v>1.6639999999999999</v>
      </c>
      <c r="O16" s="46">
        <v>130</v>
      </c>
      <c r="P16" s="46">
        <v>1.95</v>
      </c>
      <c r="Q16" s="46">
        <v>0.13650000000000001</v>
      </c>
      <c r="R16" s="46">
        <v>0</v>
      </c>
      <c r="S16" s="46">
        <v>22</v>
      </c>
      <c r="T16" s="48">
        <v>24.09</v>
      </c>
    </row>
    <row r="17" spans="1:20" ht="22.95" customHeight="1" x14ac:dyDescent="0.25">
      <c r="A17" s="46">
        <v>16</v>
      </c>
      <c r="B17" s="47">
        <v>243923</v>
      </c>
      <c r="C17" s="46" t="s">
        <v>114</v>
      </c>
      <c r="D17" s="46" t="s">
        <v>115</v>
      </c>
      <c r="E17" s="46" t="s">
        <v>119</v>
      </c>
      <c r="F17" s="46" t="s">
        <v>116</v>
      </c>
      <c r="G17" s="46" t="s">
        <v>133</v>
      </c>
      <c r="H17" s="46" t="s">
        <v>117</v>
      </c>
      <c r="I17" s="46" t="s">
        <v>370</v>
      </c>
      <c r="J17" s="46" t="s">
        <v>371</v>
      </c>
      <c r="K17" s="46" t="s">
        <v>372</v>
      </c>
      <c r="L17" s="46" t="s">
        <v>373</v>
      </c>
      <c r="M17" s="49"/>
      <c r="N17" s="46">
        <v>1.6619999999999999</v>
      </c>
      <c r="O17" s="46">
        <v>130</v>
      </c>
      <c r="P17" s="46">
        <v>1.95</v>
      </c>
      <c r="Q17" s="46">
        <v>0.13650000000000001</v>
      </c>
      <c r="R17" s="46">
        <v>0</v>
      </c>
      <c r="S17" s="46">
        <v>22</v>
      </c>
      <c r="T17" s="48">
        <v>24.09</v>
      </c>
    </row>
    <row r="18" spans="1:20" ht="22.95" customHeight="1" x14ac:dyDescent="0.25">
      <c r="A18" s="46">
        <v>17</v>
      </c>
      <c r="B18" s="47">
        <v>243923</v>
      </c>
      <c r="C18" s="46" t="s">
        <v>114</v>
      </c>
      <c r="D18" s="46" t="s">
        <v>115</v>
      </c>
      <c r="E18" s="46" t="s">
        <v>119</v>
      </c>
      <c r="F18" s="46" t="s">
        <v>116</v>
      </c>
      <c r="G18" s="46" t="s">
        <v>133</v>
      </c>
      <c r="H18" s="46" t="s">
        <v>117</v>
      </c>
      <c r="I18" s="46" t="s">
        <v>374</v>
      </c>
      <c r="J18" s="46" t="s">
        <v>275</v>
      </c>
      <c r="K18" s="46" t="s">
        <v>276</v>
      </c>
      <c r="L18" s="46" t="s">
        <v>375</v>
      </c>
      <c r="M18" s="49"/>
      <c r="N18" s="46">
        <v>0.626</v>
      </c>
      <c r="O18" s="46">
        <v>180</v>
      </c>
      <c r="P18" s="46">
        <v>2.7</v>
      </c>
      <c r="Q18" s="46">
        <v>0.189</v>
      </c>
      <c r="R18" s="46">
        <v>0</v>
      </c>
      <c r="S18" s="46">
        <v>17</v>
      </c>
      <c r="T18" s="48">
        <v>19.89</v>
      </c>
    </row>
    <row r="19" spans="1:20" ht="22.95" customHeight="1" x14ac:dyDescent="0.25">
      <c r="A19" s="46">
        <v>18</v>
      </c>
      <c r="B19" s="47">
        <v>243923</v>
      </c>
      <c r="C19" s="46" t="s">
        <v>114</v>
      </c>
      <c r="D19" s="46" t="s">
        <v>115</v>
      </c>
      <c r="E19" s="46" t="s">
        <v>119</v>
      </c>
      <c r="F19" s="46" t="s">
        <v>116</v>
      </c>
      <c r="G19" s="46" t="s">
        <v>133</v>
      </c>
      <c r="H19" s="46" t="s">
        <v>117</v>
      </c>
      <c r="I19" s="46" t="s">
        <v>376</v>
      </c>
      <c r="J19" s="46" t="s">
        <v>377</v>
      </c>
      <c r="K19" s="46" t="s">
        <v>136</v>
      </c>
      <c r="L19" s="46" t="s">
        <v>378</v>
      </c>
      <c r="M19" s="49"/>
      <c r="N19" s="46">
        <v>1.2E-2</v>
      </c>
      <c r="O19" s="46">
        <v>0</v>
      </c>
      <c r="P19" s="46">
        <v>0</v>
      </c>
      <c r="Q19" s="46">
        <v>0</v>
      </c>
      <c r="R19" s="46">
        <v>0</v>
      </c>
      <c r="S19" s="46">
        <v>17</v>
      </c>
      <c r="T19" s="48">
        <v>17</v>
      </c>
    </row>
    <row r="20" spans="1:20" ht="22.95" customHeight="1" x14ac:dyDescent="0.25">
      <c r="A20" s="46">
        <v>19</v>
      </c>
      <c r="B20" s="47">
        <v>243923</v>
      </c>
      <c r="C20" s="46" t="s">
        <v>114</v>
      </c>
      <c r="D20" s="46" t="s">
        <v>115</v>
      </c>
      <c r="E20" s="46" t="s">
        <v>119</v>
      </c>
      <c r="F20" s="46" t="s">
        <v>116</v>
      </c>
      <c r="G20" s="46" t="s">
        <v>133</v>
      </c>
      <c r="H20" s="46" t="s">
        <v>117</v>
      </c>
      <c r="I20" s="46" t="s">
        <v>379</v>
      </c>
      <c r="J20" s="46" t="s">
        <v>159</v>
      </c>
      <c r="K20" s="46" t="s">
        <v>136</v>
      </c>
      <c r="L20" s="46" t="s">
        <v>380</v>
      </c>
      <c r="M20" s="49"/>
      <c r="N20" s="46">
        <v>1.2E-2</v>
      </c>
      <c r="O20" s="46">
        <v>0</v>
      </c>
      <c r="P20" s="46">
        <v>0</v>
      </c>
      <c r="Q20" s="46">
        <v>0</v>
      </c>
      <c r="R20" s="46">
        <v>0</v>
      </c>
      <c r="S20" s="46">
        <v>17</v>
      </c>
      <c r="T20" s="48">
        <v>17</v>
      </c>
    </row>
    <row r="21" spans="1:20" ht="22.95" customHeight="1" x14ac:dyDescent="0.25">
      <c r="A21" s="46">
        <v>20</v>
      </c>
      <c r="B21" s="47">
        <v>243923</v>
      </c>
      <c r="C21" s="46" t="s">
        <v>114</v>
      </c>
      <c r="D21" s="46" t="s">
        <v>115</v>
      </c>
      <c r="E21" s="46" t="s">
        <v>119</v>
      </c>
      <c r="F21" s="46" t="s">
        <v>116</v>
      </c>
      <c r="G21" s="46" t="s">
        <v>133</v>
      </c>
      <c r="H21" s="46" t="s">
        <v>117</v>
      </c>
      <c r="I21" s="46" t="s">
        <v>381</v>
      </c>
      <c r="J21" s="46" t="s">
        <v>382</v>
      </c>
      <c r="K21" s="46" t="s">
        <v>302</v>
      </c>
      <c r="L21" s="46" t="s">
        <v>383</v>
      </c>
      <c r="M21" s="49"/>
      <c r="N21" s="46">
        <v>0.39800000000000002</v>
      </c>
      <c r="O21" s="46">
        <v>0</v>
      </c>
      <c r="P21" s="46">
        <v>0</v>
      </c>
      <c r="Q21" s="46">
        <v>0</v>
      </c>
      <c r="R21" s="46">
        <v>0</v>
      </c>
      <c r="S21" s="46">
        <v>17</v>
      </c>
      <c r="T21" s="48">
        <v>17</v>
      </c>
    </row>
    <row r="22" spans="1:20" ht="22.95" customHeight="1" x14ac:dyDescent="0.25">
      <c r="A22" s="46">
        <v>21</v>
      </c>
      <c r="B22" s="47">
        <v>243923</v>
      </c>
      <c r="C22" s="46" t="s">
        <v>114</v>
      </c>
      <c r="D22" s="46" t="s">
        <v>115</v>
      </c>
      <c r="E22" s="46" t="s">
        <v>119</v>
      </c>
      <c r="F22" s="46" t="s">
        <v>116</v>
      </c>
      <c r="G22" s="46" t="s">
        <v>133</v>
      </c>
      <c r="H22" s="46" t="s">
        <v>117</v>
      </c>
      <c r="I22" s="46" t="s">
        <v>384</v>
      </c>
      <c r="J22" s="46" t="s">
        <v>139</v>
      </c>
      <c r="K22" s="46" t="s">
        <v>134</v>
      </c>
      <c r="L22" s="46" t="s">
        <v>173</v>
      </c>
      <c r="M22" s="49"/>
      <c r="N22" s="46">
        <v>0.108</v>
      </c>
      <c r="O22" s="46">
        <v>0</v>
      </c>
      <c r="P22" s="46">
        <v>0</v>
      </c>
      <c r="Q22" s="46">
        <v>0</v>
      </c>
      <c r="R22" s="46">
        <v>0</v>
      </c>
      <c r="S22" s="46">
        <v>17</v>
      </c>
      <c r="T22" s="48">
        <v>17</v>
      </c>
    </row>
    <row r="23" spans="1:20" ht="22.95" customHeight="1" x14ac:dyDescent="0.25">
      <c r="A23" s="46">
        <v>22</v>
      </c>
      <c r="B23" s="47">
        <v>243923</v>
      </c>
      <c r="C23" s="46" t="s">
        <v>114</v>
      </c>
      <c r="D23" s="46" t="s">
        <v>115</v>
      </c>
      <c r="E23" s="46" t="s">
        <v>119</v>
      </c>
      <c r="F23" s="46" t="s">
        <v>116</v>
      </c>
      <c r="G23" s="46" t="s">
        <v>133</v>
      </c>
      <c r="H23" s="46" t="s">
        <v>117</v>
      </c>
      <c r="I23" s="46" t="s">
        <v>385</v>
      </c>
      <c r="J23" s="46" t="s">
        <v>386</v>
      </c>
      <c r="K23" s="46" t="s">
        <v>387</v>
      </c>
      <c r="L23" s="46" t="s">
        <v>388</v>
      </c>
      <c r="M23" s="49"/>
      <c r="N23" s="46">
        <v>3.2000000000000001E-2</v>
      </c>
      <c r="O23" s="46">
        <v>0</v>
      </c>
      <c r="P23" s="46">
        <v>0</v>
      </c>
      <c r="Q23" s="46">
        <v>0</v>
      </c>
      <c r="R23" s="46">
        <v>0</v>
      </c>
      <c r="S23" s="46">
        <v>17</v>
      </c>
      <c r="T23" s="48">
        <v>17</v>
      </c>
    </row>
    <row r="24" spans="1:20" ht="22.95" customHeight="1" x14ac:dyDescent="0.25">
      <c r="A24" s="46">
        <v>23</v>
      </c>
      <c r="B24" s="47">
        <v>243924</v>
      </c>
      <c r="C24" s="46" t="s">
        <v>114</v>
      </c>
      <c r="D24" s="46" t="s">
        <v>115</v>
      </c>
      <c r="E24" s="46" t="s">
        <v>119</v>
      </c>
      <c r="F24" s="46" t="s">
        <v>116</v>
      </c>
      <c r="G24" s="46" t="s">
        <v>133</v>
      </c>
      <c r="H24" s="46" t="s">
        <v>117</v>
      </c>
      <c r="I24" s="46" t="s">
        <v>389</v>
      </c>
      <c r="J24" s="46" t="s">
        <v>176</v>
      </c>
      <c r="K24" s="46" t="s">
        <v>177</v>
      </c>
      <c r="L24" s="46" t="s">
        <v>178</v>
      </c>
      <c r="M24" s="49"/>
      <c r="N24" s="46">
        <v>1.26</v>
      </c>
      <c r="O24" s="46">
        <v>280</v>
      </c>
      <c r="P24" s="46">
        <v>4.2</v>
      </c>
      <c r="Q24" s="46">
        <v>0.29399999999999998</v>
      </c>
      <c r="R24" s="46">
        <v>0</v>
      </c>
      <c r="S24" s="46">
        <v>22</v>
      </c>
      <c r="T24" s="48">
        <v>26.49</v>
      </c>
    </row>
    <row r="25" spans="1:20" ht="22.95" customHeight="1" x14ac:dyDescent="0.25">
      <c r="A25" s="46">
        <v>24</v>
      </c>
      <c r="B25" s="47">
        <v>243924</v>
      </c>
      <c r="C25" s="46" t="s">
        <v>114</v>
      </c>
      <c r="D25" s="46" t="s">
        <v>115</v>
      </c>
      <c r="E25" s="46" t="s">
        <v>119</v>
      </c>
      <c r="F25" s="46" t="s">
        <v>116</v>
      </c>
      <c r="G25" s="46" t="s">
        <v>133</v>
      </c>
      <c r="H25" s="46" t="s">
        <v>117</v>
      </c>
      <c r="I25" s="46" t="s">
        <v>390</v>
      </c>
      <c r="J25" s="46" t="s">
        <v>391</v>
      </c>
      <c r="K25" s="46" t="s">
        <v>392</v>
      </c>
      <c r="L25" s="46" t="s">
        <v>393</v>
      </c>
      <c r="M25" s="49"/>
      <c r="N25" s="46">
        <v>1.698</v>
      </c>
      <c r="O25" s="46">
        <v>130</v>
      </c>
      <c r="P25" s="46">
        <v>1.95</v>
      </c>
      <c r="Q25" s="46">
        <v>0.13650000000000001</v>
      </c>
      <c r="R25" s="46">
        <v>0</v>
      </c>
      <c r="S25" s="46">
        <v>22</v>
      </c>
      <c r="T25" s="48">
        <v>24.09</v>
      </c>
    </row>
    <row r="26" spans="1:20" ht="22.95" customHeight="1" x14ac:dyDescent="0.25">
      <c r="A26" s="46">
        <v>25</v>
      </c>
      <c r="B26" s="47">
        <v>243924</v>
      </c>
      <c r="C26" s="46" t="s">
        <v>114</v>
      </c>
      <c r="D26" s="46" t="s">
        <v>115</v>
      </c>
      <c r="E26" s="46" t="s">
        <v>119</v>
      </c>
      <c r="F26" s="46" t="s">
        <v>116</v>
      </c>
      <c r="G26" s="46" t="s">
        <v>133</v>
      </c>
      <c r="H26" s="46" t="s">
        <v>117</v>
      </c>
      <c r="I26" s="46" t="s">
        <v>394</v>
      </c>
      <c r="J26" s="46" t="s">
        <v>395</v>
      </c>
      <c r="K26" s="46" t="s">
        <v>396</v>
      </c>
      <c r="L26" s="46" t="s">
        <v>397</v>
      </c>
      <c r="M26" s="49"/>
      <c r="N26" s="46">
        <v>1.256</v>
      </c>
      <c r="O26" s="46">
        <v>280</v>
      </c>
      <c r="P26" s="46">
        <v>4.2</v>
      </c>
      <c r="Q26" s="46">
        <v>0.29399999999999998</v>
      </c>
      <c r="R26" s="46">
        <v>0</v>
      </c>
      <c r="S26" s="46">
        <v>22</v>
      </c>
      <c r="T26" s="48">
        <v>26.49</v>
      </c>
    </row>
    <row r="27" spans="1:20" ht="22.95" customHeight="1" x14ac:dyDescent="0.25">
      <c r="A27" s="46">
        <v>26</v>
      </c>
      <c r="B27" s="47">
        <v>243924</v>
      </c>
      <c r="C27" s="46" t="s">
        <v>114</v>
      </c>
      <c r="D27" s="46" t="s">
        <v>115</v>
      </c>
      <c r="E27" s="46" t="s">
        <v>119</v>
      </c>
      <c r="F27" s="46" t="s">
        <v>116</v>
      </c>
      <c r="G27" s="46" t="s">
        <v>133</v>
      </c>
      <c r="H27" s="46" t="s">
        <v>117</v>
      </c>
      <c r="I27" s="46" t="s">
        <v>398</v>
      </c>
      <c r="J27" s="46" t="s">
        <v>399</v>
      </c>
      <c r="K27" s="46" t="s">
        <v>400</v>
      </c>
      <c r="L27" s="46" t="s">
        <v>401</v>
      </c>
      <c r="M27" s="49"/>
      <c r="N27" s="46">
        <v>1.716</v>
      </c>
      <c r="O27" s="46">
        <v>130</v>
      </c>
      <c r="P27" s="46">
        <v>1.95</v>
      </c>
      <c r="Q27" s="46">
        <v>0.13650000000000001</v>
      </c>
      <c r="R27" s="46">
        <v>0</v>
      </c>
      <c r="S27" s="46">
        <v>22</v>
      </c>
      <c r="T27" s="48">
        <v>24.09</v>
      </c>
    </row>
    <row r="28" spans="1:20" ht="22.95" customHeight="1" x14ac:dyDescent="0.25">
      <c r="A28" s="46">
        <v>27</v>
      </c>
      <c r="B28" s="47">
        <v>243924</v>
      </c>
      <c r="C28" s="46" t="s">
        <v>114</v>
      </c>
      <c r="D28" s="46" t="s">
        <v>115</v>
      </c>
      <c r="E28" s="46" t="s">
        <v>119</v>
      </c>
      <c r="F28" s="46" t="s">
        <v>116</v>
      </c>
      <c r="G28" s="46" t="s">
        <v>133</v>
      </c>
      <c r="H28" s="46" t="s">
        <v>117</v>
      </c>
      <c r="I28" s="46" t="s">
        <v>402</v>
      </c>
      <c r="J28" s="46" t="s">
        <v>227</v>
      </c>
      <c r="K28" s="46" t="s">
        <v>228</v>
      </c>
      <c r="L28" s="46" t="s">
        <v>229</v>
      </c>
      <c r="M28" s="49"/>
      <c r="N28" s="46">
        <v>0.73399999999999999</v>
      </c>
      <c r="O28" s="46">
        <v>180</v>
      </c>
      <c r="P28" s="46">
        <v>2.7</v>
      </c>
      <c r="Q28" s="46">
        <v>0.189</v>
      </c>
      <c r="R28" s="46">
        <v>0</v>
      </c>
      <c r="S28" s="46">
        <v>17</v>
      </c>
      <c r="T28" s="48">
        <v>19.89</v>
      </c>
    </row>
    <row r="29" spans="1:20" ht="22.95" customHeight="1" x14ac:dyDescent="0.25">
      <c r="A29" s="46">
        <v>28</v>
      </c>
      <c r="B29" s="47">
        <v>243924</v>
      </c>
      <c r="C29" s="46" t="s">
        <v>114</v>
      </c>
      <c r="D29" s="46" t="s">
        <v>115</v>
      </c>
      <c r="E29" s="46" t="s">
        <v>119</v>
      </c>
      <c r="F29" s="46" t="s">
        <v>116</v>
      </c>
      <c r="G29" s="46" t="s">
        <v>133</v>
      </c>
      <c r="H29" s="46" t="s">
        <v>117</v>
      </c>
      <c r="I29" s="46" t="s">
        <v>403</v>
      </c>
      <c r="J29" s="46" t="s">
        <v>190</v>
      </c>
      <c r="K29" s="46" t="s">
        <v>191</v>
      </c>
      <c r="L29" s="46" t="s">
        <v>192</v>
      </c>
      <c r="M29" s="49"/>
      <c r="N29" s="46">
        <v>0.70599999999999996</v>
      </c>
      <c r="O29" s="46">
        <v>180</v>
      </c>
      <c r="P29" s="46">
        <v>2.7</v>
      </c>
      <c r="Q29" s="46">
        <v>0.189</v>
      </c>
      <c r="R29" s="46">
        <v>0</v>
      </c>
      <c r="S29" s="46">
        <v>17</v>
      </c>
      <c r="T29" s="48">
        <v>19.89</v>
      </c>
    </row>
    <row r="30" spans="1:20" ht="22.95" customHeight="1" x14ac:dyDescent="0.25">
      <c r="A30" s="46">
        <v>29</v>
      </c>
      <c r="B30" s="47">
        <v>243924</v>
      </c>
      <c r="C30" s="46" t="s">
        <v>114</v>
      </c>
      <c r="D30" s="46" t="s">
        <v>115</v>
      </c>
      <c r="E30" s="46" t="s">
        <v>119</v>
      </c>
      <c r="F30" s="46" t="s">
        <v>116</v>
      </c>
      <c r="G30" s="46" t="s">
        <v>133</v>
      </c>
      <c r="H30" s="46" t="s">
        <v>117</v>
      </c>
      <c r="I30" s="46" t="s">
        <v>404</v>
      </c>
      <c r="J30" s="46" t="s">
        <v>405</v>
      </c>
      <c r="K30" s="46" t="s">
        <v>406</v>
      </c>
      <c r="L30" s="46" t="s">
        <v>407</v>
      </c>
      <c r="M30" s="49"/>
      <c r="N30" s="46">
        <v>0.71</v>
      </c>
      <c r="O30" s="46">
        <v>180</v>
      </c>
      <c r="P30" s="46">
        <v>2.7</v>
      </c>
      <c r="Q30" s="46">
        <v>0.189</v>
      </c>
      <c r="R30" s="46">
        <v>0</v>
      </c>
      <c r="S30" s="46">
        <v>17</v>
      </c>
      <c r="T30" s="48">
        <v>19.89</v>
      </c>
    </row>
    <row r="31" spans="1:20" ht="22.95" customHeight="1" x14ac:dyDescent="0.25">
      <c r="A31" s="46">
        <v>30</v>
      </c>
      <c r="B31" s="47">
        <v>243924</v>
      </c>
      <c r="C31" s="46" t="s">
        <v>114</v>
      </c>
      <c r="D31" s="46" t="s">
        <v>115</v>
      </c>
      <c r="E31" s="46" t="s">
        <v>119</v>
      </c>
      <c r="F31" s="46" t="s">
        <v>116</v>
      </c>
      <c r="G31" s="46" t="s">
        <v>133</v>
      </c>
      <c r="H31" s="46" t="s">
        <v>117</v>
      </c>
      <c r="I31" s="46" t="s">
        <v>408</v>
      </c>
      <c r="J31" s="46" t="s">
        <v>266</v>
      </c>
      <c r="K31" s="46" t="s">
        <v>267</v>
      </c>
      <c r="L31" s="46" t="s">
        <v>268</v>
      </c>
      <c r="M31" s="49"/>
      <c r="N31" s="46">
        <v>0.66800000000000004</v>
      </c>
      <c r="O31" s="46">
        <v>180</v>
      </c>
      <c r="P31" s="46">
        <v>2.7</v>
      </c>
      <c r="Q31" s="46">
        <v>0.189</v>
      </c>
      <c r="R31" s="46">
        <v>0</v>
      </c>
      <c r="S31" s="46">
        <v>17</v>
      </c>
      <c r="T31" s="48">
        <v>19.89</v>
      </c>
    </row>
    <row r="32" spans="1:20" ht="22.95" customHeight="1" x14ac:dyDescent="0.25">
      <c r="A32" s="46">
        <v>31</v>
      </c>
      <c r="B32" s="47">
        <v>243924</v>
      </c>
      <c r="C32" s="46" t="s">
        <v>114</v>
      </c>
      <c r="D32" s="46" t="s">
        <v>115</v>
      </c>
      <c r="E32" s="46" t="s">
        <v>119</v>
      </c>
      <c r="F32" s="46" t="s">
        <v>116</v>
      </c>
      <c r="G32" s="46" t="s">
        <v>133</v>
      </c>
      <c r="H32" s="46" t="s">
        <v>117</v>
      </c>
      <c r="I32" s="46" t="s">
        <v>409</v>
      </c>
      <c r="J32" s="46" t="s">
        <v>410</v>
      </c>
      <c r="K32" s="46" t="s">
        <v>411</v>
      </c>
      <c r="L32" s="46" t="s">
        <v>412</v>
      </c>
      <c r="M32" s="49"/>
      <c r="N32" s="46">
        <v>0.95399999999999996</v>
      </c>
      <c r="O32" s="46">
        <v>250</v>
      </c>
      <c r="P32" s="46">
        <v>3.75</v>
      </c>
      <c r="Q32" s="46">
        <v>0.26250000000000001</v>
      </c>
      <c r="R32" s="46">
        <v>0</v>
      </c>
      <c r="S32" s="46">
        <v>17</v>
      </c>
      <c r="T32" s="48">
        <v>21.01</v>
      </c>
    </row>
    <row r="33" spans="1:20" ht="22.95" customHeight="1" x14ac:dyDescent="0.25">
      <c r="A33" s="46">
        <v>32</v>
      </c>
      <c r="B33" s="47">
        <v>243924</v>
      </c>
      <c r="C33" s="46" t="s">
        <v>114</v>
      </c>
      <c r="D33" s="46" t="s">
        <v>115</v>
      </c>
      <c r="E33" s="46" t="s">
        <v>119</v>
      </c>
      <c r="F33" s="46" t="s">
        <v>116</v>
      </c>
      <c r="G33" s="46" t="s">
        <v>133</v>
      </c>
      <c r="H33" s="46" t="s">
        <v>117</v>
      </c>
      <c r="I33" s="46" t="s">
        <v>413</v>
      </c>
      <c r="J33" s="46" t="s">
        <v>254</v>
      </c>
      <c r="K33" s="46" t="s">
        <v>130</v>
      </c>
      <c r="L33" s="46" t="s">
        <v>255</v>
      </c>
      <c r="M33" s="49"/>
      <c r="N33" s="46">
        <v>1.68</v>
      </c>
      <c r="O33" s="46">
        <v>130</v>
      </c>
      <c r="P33" s="46">
        <v>1.95</v>
      </c>
      <c r="Q33" s="46">
        <v>0.13650000000000001</v>
      </c>
      <c r="R33" s="46">
        <v>0</v>
      </c>
      <c r="S33" s="46">
        <v>22</v>
      </c>
      <c r="T33" s="48">
        <v>24.09</v>
      </c>
    </row>
    <row r="34" spans="1:20" ht="22.95" customHeight="1" x14ac:dyDescent="0.25">
      <c r="A34" s="46">
        <v>33</v>
      </c>
      <c r="B34" s="47">
        <v>243924</v>
      </c>
      <c r="C34" s="46" t="s">
        <v>114</v>
      </c>
      <c r="D34" s="46" t="s">
        <v>115</v>
      </c>
      <c r="E34" s="46" t="s">
        <v>119</v>
      </c>
      <c r="F34" s="46" t="s">
        <v>116</v>
      </c>
      <c r="G34" s="46" t="s">
        <v>133</v>
      </c>
      <c r="H34" s="46" t="s">
        <v>117</v>
      </c>
      <c r="I34" s="46" t="s">
        <v>414</v>
      </c>
      <c r="J34" s="46" t="s">
        <v>415</v>
      </c>
      <c r="K34" s="46" t="s">
        <v>416</v>
      </c>
      <c r="L34" s="46" t="s">
        <v>417</v>
      </c>
      <c r="M34" s="49"/>
      <c r="N34" s="46">
        <v>0.61399999999999999</v>
      </c>
      <c r="O34" s="46">
        <v>180</v>
      </c>
      <c r="P34" s="46">
        <v>2.7</v>
      </c>
      <c r="Q34" s="46">
        <v>0.189</v>
      </c>
      <c r="R34" s="46">
        <v>0</v>
      </c>
      <c r="S34" s="46">
        <v>17</v>
      </c>
      <c r="T34" s="48">
        <v>19.89</v>
      </c>
    </row>
    <row r="35" spans="1:20" ht="22.95" customHeight="1" x14ac:dyDescent="0.25">
      <c r="A35" s="46">
        <v>34</v>
      </c>
      <c r="B35" s="47">
        <v>243924</v>
      </c>
      <c r="C35" s="46" t="s">
        <v>114</v>
      </c>
      <c r="D35" s="46" t="s">
        <v>115</v>
      </c>
      <c r="E35" s="46" t="s">
        <v>119</v>
      </c>
      <c r="F35" s="46" t="s">
        <v>116</v>
      </c>
      <c r="G35" s="46" t="s">
        <v>133</v>
      </c>
      <c r="H35" s="46" t="s">
        <v>117</v>
      </c>
      <c r="I35" s="46" t="s">
        <v>418</v>
      </c>
      <c r="J35" s="46" t="s">
        <v>419</v>
      </c>
      <c r="K35" s="46" t="s">
        <v>420</v>
      </c>
      <c r="L35" s="46" t="s">
        <v>421</v>
      </c>
      <c r="M35" s="49"/>
      <c r="N35" s="46">
        <v>1.718</v>
      </c>
      <c r="O35" s="46">
        <v>130</v>
      </c>
      <c r="P35" s="46">
        <v>1.95</v>
      </c>
      <c r="Q35" s="46">
        <v>0.13650000000000001</v>
      </c>
      <c r="R35" s="46">
        <v>0</v>
      </c>
      <c r="S35" s="46">
        <v>22</v>
      </c>
      <c r="T35" s="48">
        <v>24.09</v>
      </c>
    </row>
    <row r="36" spans="1:20" ht="22.95" customHeight="1" x14ac:dyDescent="0.25">
      <c r="A36" s="46">
        <v>35</v>
      </c>
      <c r="B36" s="47">
        <v>243924</v>
      </c>
      <c r="C36" s="46" t="s">
        <v>114</v>
      </c>
      <c r="D36" s="46" t="s">
        <v>115</v>
      </c>
      <c r="E36" s="46" t="s">
        <v>119</v>
      </c>
      <c r="F36" s="46" t="s">
        <v>116</v>
      </c>
      <c r="G36" s="46" t="s">
        <v>133</v>
      </c>
      <c r="H36" s="46" t="s">
        <v>117</v>
      </c>
      <c r="I36" s="46" t="s">
        <v>422</v>
      </c>
      <c r="J36" s="46" t="s">
        <v>423</v>
      </c>
      <c r="K36" s="46" t="s">
        <v>424</v>
      </c>
      <c r="L36" s="46" t="s">
        <v>425</v>
      </c>
      <c r="M36" s="49"/>
      <c r="N36" s="46">
        <v>4.1920000000000002</v>
      </c>
      <c r="O36" s="46">
        <v>1130</v>
      </c>
      <c r="P36" s="46">
        <v>16.95</v>
      </c>
      <c r="Q36" s="46">
        <v>1.1865000000000001</v>
      </c>
      <c r="R36" s="46">
        <v>0</v>
      </c>
      <c r="S36" s="46">
        <v>53</v>
      </c>
      <c r="T36" s="48">
        <v>71.14</v>
      </c>
    </row>
    <row r="37" spans="1:20" ht="22.95" customHeight="1" x14ac:dyDescent="0.25">
      <c r="A37" s="46">
        <v>36</v>
      </c>
      <c r="B37" s="47">
        <v>243924</v>
      </c>
      <c r="C37" s="46" t="s">
        <v>114</v>
      </c>
      <c r="D37" s="46" t="s">
        <v>115</v>
      </c>
      <c r="E37" s="46" t="s">
        <v>119</v>
      </c>
      <c r="F37" s="46" t="s">
        <v>116</v>
      </c>
      <c r="G37" s="46" t="s">
        <v>133</v>
      </c>
      <c r="H37" s="46" t="s">
        <v>117</v>
      </c>
      <c r="I37" s="46" t="s">
        <v>426</v>
      </c>
      <c r="J37" s="46" t="s">
        <v>427</v>
      </c>
      <c r="K37" s="46" t="s">
        <v>428</v>
      </c>
      <c r="L37" s="46" t="s">
        <v>429</v>
      </c>
      <c r="M37" s="49"/>
      <c r="N37" s="46">
        <v>0.71</v>
      </c>
      <c r="O37" s="46">
        <v>180</v>
      </c>
      <c r="P37" s="46">
        <v>2.7</v>
      </c>
      <c r="Q37" s="46">
        <v>0.189</v>
      </c>
      <c r="R37" s="46">
        <v>0</v>
      </c>
      <c r="S37" s="46">
        <v>17</v>
      </c>
      <c r="T37" s="48">
        <v>19.89</v>
      </c>
    </row>
    <row r="38" spans="1:20" ht="22.95" customHeight="1" x14ac:dyDescent="0.25">
      <c r="A38" s="46">
        <v>37</v>
      </c>
      <c r="B38" s="47">
        <v>243924</v>
      </c>
      <c r="C38" s="46" t="s">
        <v>114</v>
      </c>
      <c r="D38" s="46" t="s">
        <v>115</v>
      </c>
      <c r="E38" s="46" t="s">
        <v>119</v>
      </c>
      <c r="F38" s="46" t="s">
        <v>116</v>
      </c>
      <c r="G38" s="46" t="s">
        <v>133</v>
      </c>
      <c r="H38" s="46" t="s">
        <v>117</v>
      </c>
      <c r="I38" s="46" t="s">
        <v>430</v>
      </c>
      <c r="J38" s="46" t="s">
        <v>431</v>
      </c>
      <c r="K38" s="46" t="s">
        <v>432</v>
      </c>
      <c r="L38" s="46" t="s">
        <v>433</v>
      </c>
      <c r="M38" s="49"/>
      <c r="N38" s="46">
        <v>0.996</v>
      </c>
      <c r="O38" s="46">
        <v>0</v>
      </c>
      <c r="P38" s="46">
        <v>0</v>
      </c>
      <c r="Q38" s="46">
        <v>0</v>
      </c>
      <c r="R38" s="46">
        <v>0</v>
      </c>
      <c r="S38" s="46">
        <v>17</v>
      </c>
      <c r="T38" s="48">
        <v>17</v>
      </c>
    </row>
    <row r="39" spans="1:20" ht="22.95" customHeight="1" x14ac:dyDescent="0.25">
      <c r="A39" s="46">
        <v>38</v>
      </c>
      <c r="B39" s="47">
        <v>243924</v>
      </c>
      <c r="C39" s="46" t="s">
        <v>114</v>
      </c>
      <c r="D39" s="46" t="s">
        <v>115</v>
      </c>
      <c r="E39" s="46" t="s">
        <v>119</v>
      </c>
      <c r="F39" s="46" t="s">
        <v>116</v>
      </c>
      <c r="G39" s="46" t="s">
        <v>133</v>
      </c>
      <c r="H39" s="46" t="s">
        <v>117</v>
      </c>
      <c r="I39" s="46" t="s">
        <v>434</v>
      </c>
      <c r="J39" s="46" t="s">
        <v>435</v>
      </c>
      <c r="K39" s="46" t="s">
        <v>436</v>
      </c>
      <c r="L39" s="46" t="s">
        <v>437</v>
      </c>
      <c r="M39" s="49"/>
      <c r="N39" s="46">
        <v>1.294</v>
      </c>
      <c r="O39" s="46">
        <v>0</v>
      </c>
      <c r="P39" s="46">
        <v>0</v>
      </c>
      <c r="Q39" s="46">
        <v>0</v>
      </c>
      <c r="R39" s="46">
        <v>0</v>
      </c>
      <c r="S39" s="46">
        <v>22</v>
      </c>
      <c r="T39" s="48">
        <v>22</v>
      </c>
    </row>
    <row r="40" spans="1:20" ht="22.95" customHeight="1" x14ac:dyDescent="0.25">
      <c r="A40" s="46">
        <v>39</v>
      </c>
      <c r="B40" s="47">
        <v>243924</v>
      </c>
      <c r="C40" s="46" t="s">
        <v>114</v>
      </c>
      <c r="D40" s="46" t="s">
        <v>115</v>
      </c>
      <c r="E40" s="46" t="s">
        <v>119</v>
      </c>
      <c r="F40" s="46" t="s">
        <v>116</v>
      </c>
      <c r="G40" s="46" t="s">
        <v>133</v>
      </c>
      <c r="H40" s="46" t="s">
        <v>117</v>
      </c>
      <c r="I40" s="46" t="s">
        <v>438</v>
      </c>
      <c r="J40" s="46" t="s">
        <v>160</v>
      </c>
      <c r="K40" s="46" t="s">
        <v>161</v>
      </c>
      <c r="L40" s="46" t="s">
        <v>162</v>
      </c>
      <c r="M40" s="49"/>
      <c r="N40" s="46">
        <v>0.94399999999999995</v>
      </c>
      <c r="O40" s="46">
        <v>0</v>
      </c>
      <c r="P40" s="46">
        <v>0</v>
      </c>
      <c r="Q40" s="46">
        <v>0</v>
      </c>
      <c r="R40" s="46">
        <v>0</v>
      </c>
      <c r="S40" s="46">
        <v>17</v>
      </c>
      <c r="T40" s="48">
        <v>17</v>
      </c>
    </row>
    <row r="41" spans="1:20" ht="22.95" customHeight="1" x14ac:dyDescent="0.25">
      <c r="A41" s="46">
        <v>40</v>
      </c>
      <c r="B41" s="47">
        <v>243924</v>
      </c>
      <c r="C41" s="46" t="s">
        <v>114</v>
      </c>
      <c r="D41" s="46" t="s">
        <v>115</v>
      </c>
      <c r="E41" s="46" t="s">
        <v>119</v>
      </c>
      <c r="F41" s="46" t="s">
        <v>116</v>
      </c>
      <c r="G41" s="46" t="s">
        <v>133</v>
      </c>
      <c r="H41" s="46" t="s">
        <v>117</v>
      </c>
      <c r="I41" s="46" t="s">
        <v>439</v>
      </c>
      <c r="J41" s="46" t="s">
        <v>440</v>
      </c>
      <c r="K41" s="46" t="s">
        <v>441</v>
      </c>
      <c r="L41" s="46" t="s">
        <v>442</v>
      </c>
      <c r="M41" s="49"/>
      <c r="N41" s="46">
        <v>3.306</v>
      </c>
      <c r="O41" s="46">
        <v>0</v>
      </c>
      <c r="P41" s="46">
        <v>0</v>
      </c>
      <c r="Q41" s="46">
        <v>0</v>
      </c>
      <c r="R41" s="46">
        <v>0</v>
      </c>
      <c r="S41" s="46">
        <v>43</v>
      </c>
      <c r="T41" s="48">
        <v>43</v>
      </c>
    </row>
    <row r="42" spans="1:20" ht="22.95" customHeight="1" x14ac:dyDescent="0.25">
      <c r="A42" s="46">
        <v>41</v>
      </c>
      <c r="B42" s="47">
        <v>243924</v>
      </c>
      <c r="C42" s="46" t="s">
        <v>114</v>
      </c>
      <c r="D42" s="46" t="s">
        <v>115</v>
      </c>
      <c r="E42" s="46" t="s">
        <v>119</v>
      </c>
      <c r="F42" s="46" t="s">
        <v>116</v>
      </c>
      <c r="G42" s="46" t="s">
        <v>133</v>
      </c>
      <c r="H42" s="46" t="s">
        <v>117</v>
      </c>
      <c r="I42" s="46" t="s">
        <v>443</v>
      </c>
      <c r="J42" s="46" t="s">
        <v>444</v>
      </c>
      <c r="K42" s="46" t="s">
        <v>445</v>
      </c>
      <c r="L42" s="46" t="s">
        <v>446</v>
      </c>
      <c r="M42" s="49"/>
      <c r="N42" s="46">
        <v>1.698</v>
      </c>
      <c r="O42" s="46">
        <v>0</v>
      </c>
      <c r="P42" s="46">
        <v>0</v>
      </c>
      <c r="Q42" s="46">
        <v>0</v>
      </c>
      <c r="R42" s="46">
        <v>0</v>
      </c>
      <c r="S42" s="46">
        <v>22</v>
      </c>
      <c r="T42" s="48">
        <v>22</v>
      </c>
    </row>
    <row r="43" spans="1:20" ht="22.95" customHeight="1" x14ac:dyDescent="0.25">
      <c r="A43" s="46">
        <v>42</v>
      </c>
      <c r="B43" s="47">
        <v>243925</v>
      </c>
      <c r="C43" s="46" t="s">
        <v>114</v>
      </c>
      <c r="D43" s="46" t="s">
        <v>115</v>
      </c>
      <c r="E43" s="46" t="s">
        <v>119</v>
      </c>
      <c r="F43" s="46" t="s">
        <v>116</v>
      </c>
      <c r="G43" s="46" t="s">
        <v>133</v>
      </c>
      <c r="H43" s="46" t="s">
        <v>117</v>
      </c>
      <c r="I43" s="46" t="s">
        <v>447</v>
      </c>
      <c r="J43" s="46" t="s">
        <v>448</v>
      </c>
      <c r="K43" s="46" t="s">
        <v>449</v>
      </c>
      <c r="L43" s="46" t="s">
        <v>450</v>
      </c>
      <c r="M43" s="49"/>
      <c r="N43" s="46">
        <v>1.248</v>
      </c>
      <c r="O43" s="46">
        <v>280</v>
      </c>
      <c r="P43" s="46">
        <v>4.2</v>
      </c>
      <c r="Q43" s="46">
        <v>0.29399999999999998</v>
      </c>
      <c r="R43" s="46">
        <v>0</v>
      </c>
      <c r="S43" s="46">
        <v>22</v>
      </c>
      <c r="T43" s="48">
        <v>26.49</v>
      </c>
    </row>
    <row r="44" spans="1:20" ht="22.95" customHeight="1" x14ac:dyDescent="0.25">
      <c r="A44" s="46">
        <v>43</v>
      </c>
      <c r="B44" s="47">
        <v>243925</v>
      </c>
      <c r="C44" s="46" t="s">
        <v>114</v>
      </c>
      <c r="D44" s="46" t="s">
        <v>115</v>
      </c>
      <c r="E44" s="46" t="s">
        <v>119</v>
      </c>
      <c r="F44" s="46" t="s">
        <v>116</v>
      </c>
      <c r="G44" s="46" t="s">
        <v>133</v>
      </c>
      <c r="H44" s="46" t="s">
        <v>117</v>
      </c>
      <c r="I44" s="46" t="s">
        <v>451</v>
      </c>
      <c r="J44" s="46" t="s">
        <v>239</v>
      </c>
      <c r="K44" s="46" t="s">
        <v>140</v>
      </c>
      <c r="L44" s="46" t="s">
        <v>240</v>
      </c>
      <c r="M44" s="49"/>
      <c r="N44" s="46">
        <v>0.72</v>
      </c>
      <c r="O44" s="46">
        <v>230</v>
      </c>
      <c r="P44" s="46">
        <v>3.45</v>
      </c>
      <c r="Q44" s="46">
        <v>0.24149999999999999</v>
      </c>
      <c r="R44" s="46">
        <v>0</v>
      </c>
      <c r="S44" s="46">
        <v>17</v>
      </c>
      <c r="T44" s="48">
        <v>20.69</v>
      </c>
    </row>
    <row r="45" spans="1:20" ht="22.95" customHeight="1" x14ac:dyDescent="0.25">
      <c r="A45" s="46">
        <v>44</v>
      </c>
      <c r="B45" s="47">
        <v>243925</v>
      </c>
      <c r="C45" s="46" t="s">
        <v>114</v>
      </c>
      <c r="D45" s="46" t="s">
        <v>115</v>
      </c>
      <c r="E45" s="46" t="s">
        <v>119</v>
      </c>
      <c r="F45" s="46" t="s">
        <v>116</v>
      </c>
      <c r="G45" s="46" t="s">
        <v>133</v>
      </c>
      <c r="H45" s="46" t="s">
        <v>117</v>
      </c>
      <c r="I45" s="46" t="s">
        <v>452</v>
      </c>
      <c r="J45" s="46" t="s">
        <v>247</v>
      </c>
      <c r="K45" s="46" t="s">
        <v>248</v>
      </c>
      <c r="L45" s="46" t="s">
        <v>249</v>
      </c>
      <c r="M45" s="49"/>
      <c r="N45" s="46">
        <v>1.246</v>
      </c>
      <c r="O45" s="46">
        <v>280</v>
      </c>
      <c r="P45" s="46">
        <v>4.2</v>
      </c>
      <c r="Q45" s="46">
        <v>0.29399999999999998</v>
      </c>
      <c r="R45" s="46">
        <v>0</v>
      </c>
      <c r="S45" s="46">
        <v>22</v>
      </c>
      <c r="T45" s="48">
        <v>26.49</v>
      </c>
    </row>
    <row r="46" spans="1:20" ht="22.95" customHeight="1" x14ac:dyDescent="0.25">
      <c r="A46" s="46">
        <v>45</v>
      </c>
      <c r="B46" s="47">
        <v>243925</v>
      </c>
      <c r="C46" s="46" t="s">
        <v>114</v>
      </c>
      <c r="D46" s="46" t="s">
        <v>115</v>
      </c>
      <c r="E46" s="46" t="s">
        <v>119</v>
      </c>
      <c r="F46" s="46" t="s">
        <v>116</v>
      </c>
      <c r="G46" s="46" t="s">
        <v>133</v>
      </c>
      <c r="H46" s="46" t="s">
        <v>117</v>
      </c>
      <c r="I46" s="46" t="s">
        <v>453</v>
      </c>
      <c r="J46" s="46" t="s">
        <v>198</v>
      </c>
      <c r="K46" s="46" t="s">
        <v>199</v>
      </c>
      <c r="L46" s="46" t="s">
        <v>200</v>
      </c>
      <c r="M46" s="49"/>
      <c r="N46" s="46">
        <v>1.804</v>
      </c>
      <c r="O46" s="46">
        <v>430</v>
      </c>
      <c r="P46" s="46">
        <v>6.45</v>
      </c>
      <c r="Q46" s="46">
        <v>0.45150000000000001</v>
      </c>
      <c r="R46" s="46">
        <v>0</v>
      </c>
      <c r="S46" s="46">
        <v>22</v>
      </c>
      <c r="T46" s="48">
        <v>28.9</v>
      </c>
    </row>
    <row r="47" spans="1:20" ht="22.95" customHeight="1" x14ac:dyDescent="0.25">
      <c r="A47" s="46">
        <v>46</v>
      </c>
      <c r="B47" s="47">
        <v>243925</v>
      </c>
      <c r="C47" s="46" t="s">
        <v>114</v>
      </c>
      <c r="D47" s="46" t="s">
        <v>115</v>
      </c>
      <c r="E47" s="46" t="s">
        <v>119</v>
      </c>
      <c r="F47" s="46" t="s">
        <v>116</v>
      </c>
      <c r="G47" s="46" t="s">
        <v>133</v>
      </c>
      <c r="H47" s="46" t="s">
        <v>117</v>
      </c>
      <c r="I47" s="46" t="s">
        <v>454</v>
      </c>
      <c r="J47" s="46" t="s">
        <v>455</v>
      </c>
      <c r="K47" s="46" t="s">
        <v>456</v>
      </c>
      <c r="L47" s="46" t="s">
        <v>457</v>
      </c>
      <c r="M47" s="49"/>
      <c r="N47" s="46">
        <v>0.622</v>
      </c>
      <c r="O47" s="46">
        <v>180</v>
      </c>
      <c r="P47" s="46">
        <v>2.7</v>
      </c>
      <c r="Q47" s="46">
        <v>0.189</v>
      </c>
      <c r="R47" s="46">
        <v>0</v>
      </c>
      <c r="S47" s="46">
        <v>17</v>
      </c>
      <c r="T47" s="48">
        <v>19.89</v>
      </c>
    </row>
    <row r="48" spans="1:20" ht="22.95" customHeight="1" x14ac:dyDescent="0.25">
      <c r="A48" s="46">
        <v>47</v>
      </c>
      <c r="B48" s="47">
        <v>243925</v>
      </c>
      <c r="C48" s="46" t="s">
        <v>114</v>
      </c>
      <c r="D48" s="46" t="s">
        <v>115</v>
      </c>
      <c r="E48" s="46" t="s">
        <v>119</v>
      </c>
      <c r="F48" s="46" t="s">
        <v>116</v>
      </c>
      <c r="G48" s="46" t="s">
        <v>133</v>
      </c>
      <c r="H48" s="46" t="s">
        <v>117</v>
      </c>
      <c r="I48" s="46" t="s">
        <v>458</v>
      </c>
      <c r="J48" s="46" t="s">
        <v>459</v>
      </c>
      <c r="K48" s="46" t="s">
        <v>264</v>
      </c>
      <c r="L48" s="46" t="s">
        <v>460</v>
      </c>
      <c r="M48" s="49"/>
      <c r="N48" s="46">
        <v>2</v>
      </c>
      <c r="O48" s="46">
        <v>530</v>
      </c>
      <c r="P48" s="46">
        <v>7.95</v>
      </c>
      <c r="Q48" s="46">
        <v>0.55649999999999999</v>
      </c>
      <c r="R48" s="46">
        <v>0</v>
      </c>
      <c r="S48" s="46">
        <v>22</v>
      </c>
      <c r="T48" s="48">
        <v>30.51</v>
      </c>
    </row>
    <row r="49" spans="1:20" ht="22.95" customHeight="1" x14ac:dyDescent="0.25">
      <c r="A49" s="46">
        <v>48</v>
      </c>
      <c r="B49" s="47">
        <v>243925</v>
      </c>
      <c r="C49" s="46" t="s">
        <v>114</v>
      </c>
      <c r="D49" s="46" t="s">
        <v>115</v>
      </c>
      <c r="E49" s="46" t="s">
        <v>119</v>
      </c>
      <c r="F49" s="46" t="s">
        <v>116</v>
      </c>
      <c r="G49" s="46" t="s">
        <v>133</v>
      </c>
      <c r="H49" s="46" t="s">
        <v>117</v>
      </c>
      <c r="I49" s="46" t="s">
        <v>461</v>
      </c>
      <c r="J49" s="46" t="s">
        <v>150</v>
      </c>
      <c r="K49" s="46" t="s">
        <v>142</v>
      </c>
      <c r="L49" s="46" t="s">
        <v>257</v>
      </c>
      <c r="M49" s="49"/>
      <c r="N49" s="46">
        <v>0.66200000000000003</v>
      </c>
      <c r="O49" s="46">
        <v>180</v>
      </c>
      <c r="P49" s="46">
        <v>2.7</v>
      </c>
      <c r="Q49" s="46">
        <v>0.189</v>
      </c>
      <c r="R49" s="46">
        <v>0</v>
      </c>
      <c r="S49" s="46">
        <v>17</v>
      </c>
      <c r="T49" s="48">
        <v>19.89</v>
      </c>
    </row>
    <row r="50" spans="1:20" ht="22.95" customHeight="1" x14ac:dyDescent="0.25">
      <c r="A50" s="46">
        <v>49</v>
      </c>
      <c r="B50" s="47">
        <v>243925</v>
      </c>
      <c r="C50" s="46" t="s">
        <v>114</v>
      </c>
      <c r="D50" s="46" t="s">
        <v>115</v>
      </c>
      <c r="E50" s="46" t="s">
        <v>119</v>
      </c>
      <c r="F50" s="46" t="s">
        <v>116</v>
      </c>
      <c r="G50" s="46" t="s">
        <v>133</v>
      </c>
      <c r="H50" s="46" t="s">
        <v>117</v>
      </c>
      <c r="I50" s="46" t="s">
        <v>462</v>
      </c>
      <c r="J50" s="46" t="s">
        <v>129</v>
      </c>
      <c r="K50" s="46" t="s">
        <v>187</v>
      </c>
      <c r="L50" s="46" t="s">
        <v>188</v>
      </c>
      <c r="M50" s="49"/>
      <c r="N50" s="46">
        <v>3.48</v>
      </c>
      <c r="O50" s="46">
        <v>1030</v>
      </c>
      <c r="P50" s="46">
        <v>15.45</v>
      </c>
      <c r="Q50" s="46">
        <v>1.0814999999999999</v>
      </c>
      <c r="R50" s="46">
        <v>0</v>
      </c>
      <c r="S50" s="46">
        <v>43</v>
      </c>
      <c r="T50" s="48">
        <v>59.53</v>
      </c>
    </row>
    <row r="51" spans="1:20" ht="22.95" customHeight="1" x14ac:dyDescent="0.25">
      <c r="A51" s="46">
        <v>50</v>
      </c>
      <c r="B51" s="47">
        <v>243925</v>
      </c>
      <c r="C51" s="46" t="s">
        <v>114</v>
      </c>
      <c r="D51" s="46" t="s">
        <v>115</v>
      </c>
      <c r="E51" s="46" t="s">
        <v>119</v>
      </c>
      <c r="F51" s="46" t="s">
        <v>116</v>
      </c>
      <c r="G51" s="46" t="s">
        <v>133</v>
      </c>
      <c r="H51" s="46" t="s">
        <v>117</v>
      </c>
      <c r="I51" s="46" t="s">
        <v>463</v>
      </c>
      <c r="J51" s="46" t="s">
        <v>464</v>
      </c>
      <c r="K51" s="46" t="s">
        <v>180</v>
      </c>
      <c r="L51" s="46" t="s">
        <v>465</v>
      </c>
      <c r="M51" s="49"/>
      <c r="N51" s="46">
        <v>0.68600000000000005</v>
      </c>
      <c r="O51" s="46">
        <v>180</v>
      </c>
      <c r="P51" s="46">
        <v>2.7</v>
      </c>
      <c r="Q51" s="46">
        <v>0.189</v>
      </c>
      <c r="R51" s="46">
        <v>0</v>
      </c>
      <c r="S51" s="46">
        <v>17</v>
      </c>
      <c r="T51" s="48">
        <v>19.89</v>
      </c>
    </row>
    <row r="52" spans="1:20" ht="22.95" customHeight="1" x14ac:dyDescent="0.25">
      <c r="A52" s="46">
        <v>51</v>
      </c>
      <c r="B52" s="47">
        <v>243925</v>
      </c>
      <c r="C52" s="46" t="s">
        <v>114</v>
      </c>
      <c r="D52" s="46" t="s">
        <v>115</v>
      </c>
      <c r="E52" s="46" t="s">
        <v>119</v>
      </c>
      <c r="F52" s="46" t="s">
        <v>116</v>
      </c>
      <c r="G52" s="46" t="s">
        <v>133</v>
      </c>
      <c r="H52" s="46" t="s">
        <v>117</v>
      </c>
      <c r="I52" s="46" t="s">
        <v>466</v>
      </c>
      <c r="J52" s="46" t="s">
        <v>232</v>
      </c>
      <c r="K52" s="46" t="s">
        <v>233</v>
      </c>
      <c r="L52" s="46" t="s">
        <v>234</v>
      </c>
      <c r="M52" s="49"/>
      <c r="N52" s="46">
        <v>1.234</v>
      </c>
      <c r="O52" s="46">
        <v>280</v>
      </c>
      <c r="P52" s="46">
        <v>4.2</v>
      </c>
      <c r="Q52" s="46">
        <v>0.29399999999999998</v>
      </c>
      <c r="R52" s="46">
        <v>0</v>
      </c>
      <c r="S52" s="46">
        <v>22</v>
      </c>
      <c r="T52" s="48">
        <v>26.49</v>
      </c>
    </row>
    <row r="53" spans="1:20" ht="22.95" customHeight="1" x14ac:dyDescent="0.25">
      <c r="A53" s="46">
        <v>52</v>
      </c>
      <c r="B53" s="47">
        <v>243925</v>
      </c>
      <c r="C53" s="46" t="s">
        <v>114</v>
      </c>
      <c r="D53" s="46" t="s">
        <v>115</v>
      </c>
      <c r="E53" s="46" t="s">
        <v>119</v>
      </c>
      <c r="F53" s="46" t="s">
        <v>116</v>
      </c>
      <c r="G53" s="46" t="s">
        <v>133</v>
      </c>
      <c r="H53" s="46" t="s">
        <v>117</v>
      </c>
      <c r="I53" s="46" t="s">
        <v>467</v>
      </c>
      <c r="J53" s="46" t="s">
        <v>145</v>
      </c>
      <c r="K53" s="46" t="s">
        <v>146</v>
      </c>
      <c r="L53" s="46" t="s">
        <v>147</v>
      </c>
      <c r="M53" s="49"/>
      <c r="N53" s="46">
        <v>0.78400000000000003</v>
      </c>
      <c r="O53" s="46">
        <v>210</v>
      </c>
      <c r="P53" s="46">
        <v>3.15</v>
      </c>
      <c r="Q53" s="46">
        <v>0.2205</v>
      </c>
      <c r="R53" s="46">
        <v>0</v>
      </c>
      <c r="S53" s="46">
        <v>17</v>
      </c>
      <c r="T53" s="48">
        <v>20.37</v>
      </c>
    </row>
    <row r="54" spans="1:20" ht="22.95" customHeight="1" x14ac:dyDescent="0.25">
      <c r="A54" s="46">
        <v>53</v>
      </c>
      <c r="B54" s="47">
        <v>243925</v>
      </c>
      <c r="C54" s="46" t="s">
        <v>114</v>
      </c>
      <c r="D54" s="46" t="s">
        <v>115</v>
      </c>
      <c r="E54" s="46" t="s">
        <v>119</v>
      </c>
      <c r="F54" s="46" t="s">
        <v>116</v>
      </c>
      <c r="G54" s="46" t="s">
        <v>133</v>
      </c>
      <c r="H54" s="46" t="s">
        <v>117</v>
      </c>
      <c r="I54" s="46" t="s">
        <v>468</v>
      </c>
      <c r="J54" s="46" t="s">
        <v>181</v>
      </c>
      <c r="K54" s="46" t="s">
        <v>182</v>
      </c>
      <c r="L54" s="46" t="s">
        <v>183</v>
      </c>
      <c r="M54" s="49"/>
      <c r="N54" s="46">
        <v>1.24</v>
      </c>
      <c r="O54" s="46">
        <v>280</v>
      </c>
      <c r="P54" s="46">
        <v>4.2</v>
      </c>
      <c r="Q54" s="46">
        <v>0.29399999999999998</v>
      </c>
      <c r="R54" s="46">
        <v>0</v>
      </c>
      <c r="S54" s="46">
        <v>22</v>
      </c>
      <c r="T54" s="48">
        <v>26.49</v>
      </c>
    </row>
    <row r="55" spans="1:20" ht="22.95" customHeight="1" x14ac:dyDescent="0.25">
      <c r="A55" s="46">
        <v>54</v>
      </c>
      <c r="B55" s="47">
        <v>243925</v>
      </c>
      <c r="C55" s="46" t="s">
        <v>114</v>
      </c>
      <c r="D55" s="46" t="s">
        <v>115</v>
      </c>
      <c r="E55" s="46" t="s">
        <v>119</v>
      </c>
      <c r="F55" s="46" t="s">
        <v>116</v>
      </c>
      <c r="G55" s="46" t="s">
        <v>133</v>
      </c>
      <c r="H55" s="46" t="s">
        <v>117</v>
      </c>
      <c r="I55" s="46" t="s">
        <v>469</v>
      </c>
      <c r="J55" s="46" t="s">
        <v>272</v>
      </c>
      <c r="K55" s="46" t="s">
        <v>273</v>
      </c>
      <c r="L55" s="46" t="s">
        <v>274</v>
      </c>
      <c r="M55" s="49"/>
      <c r="N55" s="46">
        <v>1.234</v>
      </c>
      <c r="O55" s="46">
        <v>0</v>
      </c>
      <c r="P55" s="46">
        <v>0</v>
      </c>
      <c r="Q55" s="46">
        <v>0</v>
      </c>
      <c r="R55" s="46">
        <v>0</v>
      </c>
      <c r="S55" s="46">
        <v>22</v>
      </c>
      <c r="T55" s="48">
        <v>22</v>
      </c>
    </row>
    <row r="56" spans="1:20" ht="22.95" customHeight="1" x14ac:dyDescent="0.25">
      <c r="A56" s="46">
        <v>55</v>
      </c>
      <c r="B56" s="47">
        <v>243925</v>
      </c>
      <c r="C56" s="46" t="s">
        <v>114</v>
      </c>
      <c r="D56" s="46" t="s">
        <v>115</v>
      </c>
      <c r="E56" s="46" t="s">
        <v>119</v>
      </c>
      <c r="F56" s="46" t="s">
        <v>116</v>
      </c>
      <c r="G56" s="46" t="s">
        <v>133</v>
      </c>
      <c r="H56" s="46" t="s">
        <v>117</v>
      </c>
      <c r="I56" s="46" t="s">
        <v>470</v>
      </c>
      <c r="J56" s="46" t="s">
        <v>471</v>
      </c>
      <c r="K56" s="46" t="s">
        <v>472</v>
      </c>
      <c r="L56" s="46" t="s">
        <v>473</v>
      </c>
      <c r="M56" s="49"/>
      <c r="N56" s="46">
        <v>1.772</v>
      </c>
      <c r="O56" s="46">
        <v>0</v>
      </c>
      <c r="P56" s="46">
        <v>0</v>
      </c>
      <c r="Q56" s="46">
        <v>0</v>
      </c>
      <c r="R56" s="46">
        <v>0</v>
      </c>
      <c r="S56" s="46">
        <v>22</v>
      </c>
      <c r="T56" s="48">
        <v>22</v>
      </c>
    </row>
    <row r="57" spans="1:20" ht="22.95" customHeight="1" x14ac:dyDescent="0.25">
      <c r="A57" s="46">
        <v>56</v>
      </c>
      <c r="B57" s="47">
        <v>243925</v>
      </c>
      <c r="C57" s="46" t="s">
        <v>114</v>
      </c>
      <c r="D57" s="46" t="s">
        <v>115</v>
      </c>
      <c r="E57" s="46" t="s">
        <v>119</v>
      </c>
      <c r="F57" s="46" t="s">
        <v>116</v>
      </c>
      <c r="G57" s="46" t="s">
        <v>133</v>
      </c>
      <c r="H57" s="46" t="s">
        <v>117</v>
      </c>
      <c r="I57" s="46" t="s">
        <v>474</v>
      </c>
      <c r="J57" s="46" t="s">
        <v>475</v>
      </c>
      <c r="K57" s="46" t="s">
        <v>476</v>
      </c>
      <c r="L57" s="46" t="s">
        <v>477</v>
      </c>
      <c r="M57" s="49"/>
      <c r="N57" s="46">
        <v>1.798</v>
      </c>
      <c r="O57" s="46">
        <v>0</v>
      </c>
      <c r="P57" s="46">
        <v>0</v>
      </c>
      <c r="Q57" s="46">
        <v>0</v>
      </c>
      <c r="R57" s="46">
        <v>0</v>
      </c>
      <c r="S57" s="46">
        <v>22</v>
      </c>
      <c r="T57" s="48">
        <v>22</v>
      </c>
    </row>
    <row r="58" spans="1:20" ht="22.95" customHeight="1" x14ac:dyDescent="0.25">
      <c r="A58" s="46">
        <v>57</v>
      </c>
      <c r="B58" s="47">
        <v>243925</v>
      </c>
      <c r="C58" s="46" t="s">
        <v>114</v>
      </c>
      <c r="D58" s="46" t="s">
        <v>115</v>
      </c>
      <c r="E58" s="46" t="s">
        <v>119</v>
      </c>
      <c r="F58" s="46" t="s">
        <v>116</v>
      </c>
      <c r="G58" s="46" t="s">
        <v>133</v>
      </c>
      <c r="H58" s="46" t="s">
        <v>117</v>
      </c>
      <c r="I58" s="46" t="s">
        <v>478</v>
      </c>
      <c r="J58" s="46" t="s">
        <v>479</v>
      </c>
      <c r="K58" s="46" t="s">
        <v>480</v>
      </c>
      <c r="L58" s="46" t="s">
        <v>481</v>
      </c>
      <c r="M58" s="49"/>
      <c r="N58" s="46">
        <v>0.40200000000000002</v>
      </c>
      <c r="O58" s="46">
        <v>0</v>
      </c>
      <c r="P58" s="46">
        <v>0</v>
      </c>
      <c r="Q58" s="46">
        <v>0</v>
      </c>
      <c r="R58" s="46">
        <v>0</v>
      </c>
      <c r="S58" s="46">
        <v>17</v>
      </c>
      <c r="T58" s="48">
        <v>17</v>
      </c>
    </row>
    <row r="59" spans="1:20" ht="22.95" customHeight="1" x14ac:dyDescent="0.25">
      <c r="A59" s="46">
        <v>58</v>
      </c>
      <c r="B59" s="47">
        <v>243925</v>
      </c>
      <c r="C59" s="46" t="s">
        <v>114</v>
      </c>
      <c r="D59" s="46" t="s">
        <v>115</v>
      </c>
      <c r="E59" s="46" t="s">
        <v>119</v>
      </c>
      <c r="F59" s="46" t="s">
        <v>116</v>
      </c>
      <c r="G59" s="46" t="s">
        <v>133</v>
      </c>
      <c r="H59" s="46" t="s">
        <v>117</v>
      </c>
      <c r="I59" s="46" t="s">
        <v>482</v>
      </c>
      <c r="J59" s="46" t="s">
        <v>483</v>
      </c>
      <c r="K59" s="46" t="s">
        <v>484</v>
      </c>
      <c r="L59" s="46" t="s">
        <v>485</v>
      </c>
      <c r="M59" s="49"/>
      <c r="N59" s="46">
        <v>0.46400000000000002</v>
      </c>
      <c r="O59" s="46">
        <v>0</v>
      </c>
      <c r="P59" s="46">
        <v>0</v>
      </c>
      <c r="Q59" s="46">
        <v>0</v>
      </c>
      <c r="R59" s="46">
        <v>0</v>
      </c>
      <c r="S59" s="46">
        <v>17</v>
      </c>
      <c r="T59" s="48">
        <v>17</v>
      </c>
    </row>
    <row r="60" spans="1:20" ht="22.95" customHeight="1" x14ac:dyDescent="0.25">
      <c r="A60" s="46">
        <v>59</v>
      </c>
      <c r="B60" s="47">
        <v>243925</v>
      </c>
      <c r="C60" s="46" t="s">
        <v>114</v>
      </c>
      <c r="D60" s="46" t="s">
        <v>115</v>
      </c>
      <c r="E60" s="46" t="s">
        <v>119</v>
      </c>
      <c r="F60" s="46" t="s">
        <v>116</v>
      </c>
      <c r="G60" s="46" t="s">
        <v>133</v>
      </c>
      <c r="H60" s="46" t="s">
        <v>117</v>
      </c>
      <c r="I60" s="46" t="s">
        <v>486</v>
      </c>
      <c r="J60" s="46" t="s">
        <v>303</v>
      </c>
      <c r="K60" s="46" t="s">
        <v>304</v>
      </c>
      <c r="L60" s="46" t="s">
        <v>305</v>
      </c>
      <c r="M60" s="49"/>
      <c r="N60" s="46">
        <v>2.2360000000000002</v>
      </c>
      <c r="O60" s="46">
        <v>0</v>
      </c>
      <c r="P60" s="46">
        <v>0</v>
      </c>
      <c r="Q60" s="46">
        <v>0</v>
      </c>
      <c r="R60" s="46">
        <v>0</v>
      </c>
      <c r="S60" s="46">
        <v>33</v>
      </c>
      <c r="T60" s="48">
        <v>33</v>
      </c>
    </row>
    <row r="61" spans="1:20" ht="22.95" customHeight="1" x14ac:dyDescent="0.25">
      <c r="A61" s="46">
        <v>60</v>
      </c>
      <c r="B61" s="47">
        <v>243925</v>
      </c>
      <c r="C61" s="46" t="s">
        <v>114</v>
      </c>
      <c r="D61" s="46" t="s">
        <v>115</v>
      </c>
      <c r="E61" s="46" t="s">
        <v>119</v>
      </c>
      <c r="F61" s="46" t="s">
        <v>116</v>
      </c>
      <c r="G61" s="46" t="s">
        <v>133</v>
      </c>
      <c r="H61" s="46" t="s">
        <v>117</v>
      </c>
      <c r="I61" s="46" t="s">
        <v>487</v>
      </c>
      <c r="J61" s="46" t="s">
        <v>488</v>
      </c>
      <c r="K61" s="46" t="s">
        <v>489</v>
      </c>
      <c r="L61" s="46" t="s">
        <v>490</v>
      </c>
      <c r="M61" s="49"/>
      <c r="N61" s="46">
        <v>1.778</v>
      </c>
      <c r="O61" s="46">
        <v>0</v>
      </c>
      <c r="P61" s="46">
        <v>0</v>
      </c>
      <c r="Q61" s="46">
        <v>0</v>
      </c>
      <c r="R61" s="46">
        <v>0</v>
      </c>
      <c r="S61" s="46">
        <v>22</v>
      </c>
      <c r="T61" s="48">
        <v>22</v>
      </c>
    </row>
    <row r="62" spans="1:20" ht="22.95" customHeight="1" x14ac:dyDescent="0.25">
      <c r="A62" s="46">
        <v>61</v>
      </c>
      <c r="B62" s="47">
        <v>243925</v>
      </c>
      <c r="C62" s="46" t="s">
        <v>114</v>
      </c>
      <c r="D62" s="46" t="s">
        <v>115</v>
      </c>
      <c r="E62" s="46" t="s">
        <v>119</v>
      </c>
      <c r="F62" s="46" t="s">
        <v>116</v>
      </c>
      <c r="G62" s="46" t="s">
        <v>133</v>
      </c>
      <c r="H62" s="46" t="s">
        <v>117</v>
      </c>
      <c r="I62" s="46" t="s">
        <v>491</v>
      </c>
      <c r="J62" s="46" t="s">
        <v>230</v>
      </c>
      <c r="K62" s="46" t="s">
        <v>231</v>
      </c>
      <c r="L62" s="46" t="s">
        <v>492</v>
      </c>
      <c r="M62" s="49"/>
      <c r="N62" s="46">
        <v>1.224</v>
      </c>
      <c r="O62" s="46">
        <v>0</v>
      </c>
      <c r="P62" s="46">
        <v>0</v>
      </c>
      <c r="Q62" s="46">
        <v>0</v>
      </c>
      <c r="R62" s="46">
        <v>0</v>
      </c>
      <c r="S62" s="46">
        <v>22</v>
      </c>
      <c r="T62" s="48">
        <v>22</v>
      </c>
    </row>
    <row r="63" spans="1:20" ht="22.95" customHeight="1" x14ac:dyDescent="0.25">
      <c r="A63" s="46">
        <v>62</v>
      </c>
      <c r="B63" s="47">
        <v>243925</v>
      </c>
      <c r="C63" s="46" t="s">
        <v>114</v>
      </c>
      <c r="D63" s="46" t="s">
        <v>115</v>
      </c>
      <c r="E63" s="46" t="s">
        <v>119</v>
      </c>
      <c r="F63" s="46" t="s">
        <v>116</v>
      </c>
      <c r="G63" s="46" t="s">
        <v>133</v>
      </c>
      <c r="H63" s="46" t="s">
        <v>117</v>
      </c>
      <c r="I63" s="46" t="s">
        <v>493</v>
      </c>
      <c r="J63" s="46" t="s">
        <v>494</v>
      </c>
      <c r="K63" s="46" t="s">
        <v>495</v>
      </c>
      <c r="L63" s="46" t="s">
        <v>496</v>
      </c>
      <c r="M63" s="49"/>
      <c r="N63" s="46">
        <v>1.0900000000000001</v>
      </c>
      <c r="O63" s="46">
        <v>0</v>
      </c>
      <c r="P63" s="46">
        <v>0</v>
      </c>
      <c r="Q63" s="46">
        <v>0</v>
      </c>
      <c r="R63" s="46">
        <v>0</v>
      </c>
      <c r="S63" s="46">
        <v>22</v>
      </c>
      <c r="T63" s="48">
        <v>22</v>
      </c>
    </row>
    <row r="64" spans="1:20" ht="22.95" customHeight="1" x14ac:dyDescent="0.25">
      <c r="A64" s="46">
        <v>63</v>
      </c>
      <c r="B64" s="47">
        <v>243925</v>
      </c>
      <c r="C64" s="46" t="s">
        <v>114</v>
      </c>
      <c r="D64" s="46" t="s">
        <v>115</v>
      </c>
      <c r="E64" s="46" t="s">
        <v>119</v>
      </c>
      <c r="F64" s="46" t="s">
        <v>116</v>
      </c>
      <c r="G64" s="46" t="s">
        <v>133</v>
      </c>
      <c r="H64" s="46" t="s">
        <v>117</v>
      </c>
      <c r="I64" s="46" t="s">
        <v>497</v>
      </c>
      <c r="J64" s="46" t="s">
        <v>498</v>
      </c>
      <c r="K64" s="46" t="s">
        <v>499</v>
      </c>
      <c r="L64" s="46" t="s">
        <v>500</v>
      </c>
      <c r="M64" s="49"/>
      <c r="N64" s="46">
        <v>1.228</v>
      </c>
      <c r="O64" s="46">
        <v>0</v>
      </c>
      <c r="P64" s="46">
        <v>0</v>
      </c>
      <c r="Q64" s="46">
        <v>0</v>
      </c>
      <c r="R64" s="46">
        <v>0</v>
      </c>
      <c r="S64" s="46">
        <v>22</v>
      </c>
      <c r="T64" s="48">
        <v>22</v>
      </c>
    </row>
    <row r="65" spans="1:20" ht="22.95" customHeight="1" x14ac:dyDescent="0.25">
      <c r="A65" s="46">
        <v>64</v>
      </c>
      <c r="B65" s="47">
        <v>243925</v>
      </c>
      <c r="C65" s="46" t="s">
        <v>114</v>
      </c>
      <c r="D65" s="46" t="s">
        <v>115</v>
      </c>
      <c r="E65" s="46" t="s">
        <v>119</v>
      </c>
      <c r="F65" s="46" t="s">
        <v>116</v>
      </c>
      <c r="G65" s="46" t="s">
        <v>133</v>
      </c>
      <c r="H65" s="46" t="s">
        <v>117</v>
      </c>
      <c r="I65" s="46" t="s">
        <v>501</v>
      </c>
      <c r="J65" s="46" t="s">
        <v>258</v>
      </c>
      <c r="K65" s="46" t="s">
        <v>259</v>
      </c>
      <c r="L65" s="46" t="s">
        <v>260</v>
      </c>
      <c r="M65" s="49"/>
      <c r="N65" s="46">
        <v>0.02</v>
      </c>
      <c r="O65" s="46">
        <v>0</v>
      </c>
      <c r="P65" s="46">
        <v>0</v>
      </c>
      <c r="Q65" s="46">
        <v>0</v>
      </c>
      <c r="R65" s="46">
        <v>0</v>
      </c>
      <c r="S65" s="46">
        <v>17</v>
      </c>
      <c r="T65" s="48">
        <v>17</v>
      </c>
    </row>
    <row r="66" spans="1:20" ht="22.95" customHeight="1" x14ac:dyDescent="0.25">
      <c r="A66" s="46">
        <v>65</v>
      </c>
      <c r="B66" s="47">
        <v>243925</v>
      </c>
      <c r="C66" s="46" t="s">
        <v>114</v>
      </c>
      <c r="D66" s="46" t="s">
        <v>115</v>
      </c>
      <c r="E66" s="46" t="s">
        <v>119</v>
      </c>
      <c r="F66" s="46" t="s">
        <v>116</v>
      </c>
      <c r="G66" s="46" t="s">
        <v>133</v>
      </c>
      <c r="H66" s="46" t="s">
        <v>117</v>
      </c>
      <c r="I66" s="46" t="s">
        <v>502</v>
      </c>
      <c r="J66" s="46" t="s">
        <v>503</v>
      </c>
      <c r="K66" s="46" t="s">
        <v>261</v>
      </c>
      <c r="L66" s="46" t="s">
        <v>504</v>
      </c>
      <c r="M66" s="49"/>
      <c r="N66" s="46">
        <v>0.02</v>
      </c>
      <c r="O66" s="46">
        <v>0</v>
      </c>
      <c r="P66" s="46">
        <v>0</v>
      </c>
      <c r="Q66" s="46">
        <v>0</v>
      </c>
      <c r="R66" s="46">
        <v>0</v>
      </c>
      <c r="S66" s="46">
        <v>17</v>
      </c>
      <c r="T66" s="48">
        <v>17</v>
      </c>
    </row>
    <row r="67" spans="1:20" ht="22.95" customHeight="1" x14ac:dyDescent="0.25">
      <c r="A67" s="46">
        <v>66</v>
      </c>
      <c r="B67" s="47">
        <v>243925</v>
      </c>
      <c r="C67" s="46" t="s">
        <v>114</v>
      </c>
      <c r="D67" s="46" t="s">
        <v>115</v>
      </c>
      <c r="E67" s="46" t="s">
        <v>119</v>
      </c>
      <c r="F67" s="46" t="s">
        <v>116</v>
      </c>
      <c r="G67" s="46" t="s">
        <v>133</v>
      </c>
      <c r="H67" s="46" t="s">
        <v>117</v>
      </c>
      <c r="I67" s="46" t="s">
        <v>505</v>
      </c>
      <c r="J67" s="46" t="s">
        <v>506</v>
      </c>
      <c r="K67" s="46" t="s">
        <v>262</v>
      </c>
      <c r="L67" s="46" t="s">
        <v>507</v>
      </c>
      <c r="M67" s="49"/>
      <c r="N67" s="46">
        <v>0.02</v>
      </c>
      <c r="O67" s="46">
        <v>0</v>
      </c>
      <c r="P67" s="46">
        <v>0</v>
      </c>
      <c r="Q67" s="46">
        <v>0</v>
      </c>
      <c r="R67" s="46">
        <v>0</v>
      </c>
      <c r="S67" s="46">
        <v>17</v>
      </c>
      <c r="T67" s="48">
        <v>17</v>
      </c>
    </row>
    <row r="68" spans="1:20" ht="22.95" customHeight="1" x14ac:dyDescent="0.25">
      <c r="A68" s="46">
        <v>67</v>
      </c>
      <c r="B68" s="47">
        <v>243925</v>
      </c>
      <c r="C68" s="46" t="s">
        <v>114</v>
      </c>
      <c r="D68" s="46" t="s">
        <v>115</v>
      </c>
      <c r="E68" s="46" t="s">
        <v>119</v>
      </c>
      <c r="F68" s="46" t="s">
        <v>116</v>
      </c>
      <c r="G68" s="46" t="s">
        <v>133</v>
      </c>
      <c r="H68" s="46" t="s">
        <v>117</v>
      </c>
      <c r="I68" s="46" t="s">
        <v>508</v>
      </c>
      <c r="J68" s="46" t="s">
        <v>509</v>
      </c>
      <c r="K68" s="46" t="s">
        <v>263</v>
      </c>
      <c r="L68" s="46" t="s">
        <v>510</v>
      </c>
      <c r="M68" s="49"/>
      <c r="N68" s="46">
        <v>0.02</v>
      </c>
      <c r="O68" s="46">
        <v>0</v>
      </c>
      <c r="P68" s="46">
        <v>0</v>
      </c>
      <c r="Q68" s="46">
        <v>0</v>
      </c>
      <c r="R68" s="46">
        <v>0</v>
      </c>
      <c r="S68" s="46">
        <v>17</v>
      </c>
      <c r="T68" s="48">
        <v>17</v>
      </c>
    </row>
    <row r="69" spans="1:20" ht="22.95" customHeight="1" x14ac:dyDescent="0.25">
      <c r="A69" s="46">
        <v>68</v>
      </c>
      <c r="B69" s="47">
        <v>243925</v>
      </c>
      <c r="C69" s="46" t="s">
        <v>114</v>
      </c>
      <c r="D69" s="46" t="s">
        <v>115</v>
      </c>
      <c r="E69" s="46" t="s">
        <v>119</v>
      </c>
      <c r="F69" s="46" t="s">
        <v>116</v>
      </c>
      <c r="G69" s="46" t="s">
        <v>133</v>
      </c>
      <c r="H69" s="46" t="s">
        <v>117</v>
      </c>
      <c r="I69" s="46" t="s">
        <v>511</v>
      </c>
      <c r="J69" s="46" t="s">
        <v>512</v>
      </c>
      <c r="K69" s="46" t="s">
        <v>513</v>
      </c>
      <c r="L69" s="46" t="s">
        <v>514</v>
      </c>
      <c r="M69" s="49"/>
      <c r="N69" s="46">
        <v>0.17799999999999999</v>
      </c>
      <c r="O69" s="46">
        <v>0</v>
      </c>
      <c r="P69" s="46">
        <v>0</v>
      </c>
      <c r="Q69" s="46">
        <v>0</v>
      </c>
      <c r="R69" s="46">
        <v>0</v>
      </c>
      <c r="S69" s="46">
        <v>17</v>
      </c>
      <c r="T69" s="48">
        <v>17</v>
      </c>
    </row>
    <row r="70" spans="1:20" ht="22.95" customHeight="1" x14ac:dyDescent="0.25">
      <c r="A70" s="46">
        <v>69</v>
      </c>
      <c r="B70" s="47">
        <v>243925</v>
      </c>
      <c r="C70" s="46" t="s">
        <v>114</v>
      </c>
      <c r="D70" s="46" t="s">
        <v>115</v>
      </c>
      <c r="E70" s="46" t="s">
        <v>119</v>
      </c>
      <c r="F70" s="46" t="s">
        <v>116</v>
      </c>
      <c r="G70" s="46" t="s">
        <v>133</v>
      </c>
      <c r="H70" s="46" t="s">
        <v>117</v>
      </c>
      <c r="I70" s="46" t="s">
        <v>515</v>
      </c>
      <c r="J70" s="46" t="s">
        <v>516</v>
      </c>
      <c r="K70" s="46" t="s">
        <v>179</v>
      </c>
      <c r="L70" s="46" t="s">
        <v>517</v>
      </c>
      <c r="M70" s="49"/>
      <c r="N70" s="46">
        <v>0.13400000000000001</v>
      </c>
      <c r="O70" s="46">
        <v>0</v>
      </c>
      <c r="P70" s="46">
        <v>0</v>
      </c>
      <c r="Q70" s="46">
        <v>0</v>
      </c>
      <c r="R70" s="46">
        <v>0</v>
      </c>
      <c r="S70" s="46">
        <v>17</v>
      </c>
      <c r="T70" s="48">
        <v>17</v>
      </c>
    </row>
    <row r="71" spans="1:20" ht="22.95" customHeight="1" x14ac:dyDescent="0.25">
      <c r="A71" s="46">
        <v>70</v>
      </c>
      <c r="B71" s="47">
        <v>243925</v>
      </c>
      <c r="C71" s="46" t="s">
        <v>114</v>
      </c>
      <c r="D71" s="46" t="s">
        <v>115</v>
      </c>
      <c r="E71" s="46" t="s">
        <v>119</v>
      </c>
      <c r="F71" s="46" t="s">
        <v>116</v>
      </c>
      <c r="G71" s="46" t="s">
        <v>133</v>
      </c>
      <c r="H71" s="46" t="s">
        <v>117</v>
      </c>
      <c r="I71" s="46" t="s">
        <v>518</v>
      </c>
      <c r="J71" s="46" t="s">
        <v>519</v>
      </c>
      <c r="K71" s="46" t="s">
        <v>136</v>
      </c>
      <c r="L71" s="46" t="s">
        <v>520</v>
      </c>
      <c r="M71" s="49"/>
      <c r="N71" s="46">
        <v>1.2E-2</v>
      </c>
      <c r="O71" s="46">
        <v>0</v>
      </c>
      <c r="P71" s="46">
        <v>0</v>
      </c>
      <c r="Q71" s="46">
        <v>0</v>
      </c>
      <c r="R71" s="46">
        <v>0</v>
      </c>
      <c r="S71" s="46">
        <v>17</v>
      </c>
      <c r="T71" s="48">
        <v>17</v>
      </c>
    </row>
    <row r="72" spans="1:20" ht="22.95" customHeight="1" x14ac:dyDescent="0.25">
      <c r="A72" s="46">
        <v>71</v>
      </c>
      <c r="B72" s="47">
        <v>243925</v>
      </c>
      <c r="C72" s="46" t="s">
        <v>114</v>
      </c>
      <c r="D72" s="46" t="s">
        <v>115</v>
      </c>
      <c r="E72" s="46" t="s">
        <v>119</v>
      </c>
      <c r="F72" s="46" t="s">
        <v>116</v>
      </c>
      <c r="G72" s="46" t="s">
        <v>133</v>
      </c>
      <c r="H72" s="46" t="s">
        <v>117</v>
      </c>
      <c r="I72" s="46" t="s">
        <v>521</v>
      </c>
      <c r="J72" s="46" t="s">
        <v>522</v>
      </c>
      <c r="K72" s="46" t="s">
        <v>136</v>
      </c>
      <c r="L72" s="46" t="s">
        <v>523</v>
      </c>
      <c r="M72" s="49"/>
      <c r="N72" s="46">
        <v>1.2E-2</v>
      </c>
      <c r="O72" s="46">
        <v>0</v>
      </c>
      <c r="P72" s="46">
        <v>0</v>
      </c>
      <c r="Q72" s="46">
        <v>0</v>
      </c>
      <c r="R72" s="46">
        <v>0</v>
      </c>
      <c r="S72" s="46">
        <v>17</v>
      </c>
      <c r="T72" s="48">
        <v>17</v>
      </c>
    </row>
    <row r="73" spans="1:20" ht="22.95" customHeight="1" x14ac:dyDescent="0.25">
      <c r="A73" s="46">
        <v>72</v>
      </c>
      <c r="B73" s="47">
        <v>243925</v>
      </c>
      <c r="C73" s="46" t="s">
        <v>114</v>
      </c>
      <c r="D73" s="46" t="s">
        <v>115</v>
      </c>
      <c r="E73" s="46" t="s">
        <v>119</v>
      </c>
      <c r="F73" s="46" t="s">
        <v>116</v>
      </c>
      <c r="G73" s="46" t="s">
        <v>133</v>
      </c>
      <c r="H73" s="46" t="s">
        <v>117</v>
      </c>
      <c r="I73" s="46" t="s">
        <v>524</v>
      </c>
      <c r="J73" s="46" t="s">
        <v>525</v>
      </c>
      <c r="K73" s="46" t="s">
        <v>136</v>
      </c>
      <c r="L73" s="46" t="s">
        <v>526</v>
      </c>
      <c r="M73" s="49"/>
      <c r="N73" s="46">
        <v>1.2E-2</v>
      </c>
      <c r="O73" s="46">
        <v>0</v>
      </c>
      <c r="P73" s="46">
        <v>0</v>
      </c>
      <c r="Q73" s="46">
        <v>0</v>
      </c>
      <c r="R73" s="46">
        <v>0</v>
      </c>
      <c r="S73" s="46">
        <v>17</v>
      </c>
      <c r="T73" s="48">
        <v>17</v>
      </c>
    </row>
    <row r="74" spans="1:20" ht="22.95" customHeight="1" x14ac:dyDescent="0.25">
      <c r="A74" s="46">
        <v>73</v>
      </c>
      <c r="B74" s="47">
        <v>243925</v>
      </c>
      <c r="C74" s="46" t="s">
        <v>114</v>
      </c>
      <c r="D74" s="46" t="s">
        <v>115</v>
      </c>
      <c r="E74" s="46" t="s">
        <v>119</v>
      </c>
      <c r="F74" s="46" t="s">
        <v>116</v>
      </c>
      <c r="G74" s="46" t="s">
        <v>133</v>
      </c>
      <c r="H74" s="46" t="s">
        <v>117</v>
      </c>
      <c r="I74" s="46" t="s">
        <v>527</v>
      </c>
      <c r="J74" s="46" t="s">
        <v>528</v>
      </c>
      <c r="K74" s="46" t="s">
        <v>136</v>
      </c>
      <c r="L74" s="46" t="s">
        <v>529</v>
      </c>
      <c r="M74" s="49"/>
      <c r="N74" s="46">
        <v>1.2E-2</v>
      </c>
      <c r="O74" s="46">
        <v>0</v>
      </c>
      <c r="P74" s="46">
        <v>0</v>
      </c>
      <c r="Q74" s="46">
        <v>0</v>
      </c>
      <c r="R74" s="46">
        <v>0</v>
      </c>
      <c r="S74" s="46">
        <v>17</v>
      </c>
      <c r="T74" s="48">
        <v>17</v>
      </c>
    </row>
    <row r="75" spans="1:20" ht="22.95" customHeight="1" x14ac:dyDescent="0.25">
      <c r="A75" s="46">
        <v>74</v>
      </c>
      <c r="B75" s="47">
        <v>243925</v>
      </c>
      <c r="C75" s="46" t="s">
        <v>114</v>
      </c>
      <c r="D75" s="46" t="s">
        <v>115</v>
      </c>
      <c r="E75" s="46" t="s">
        <v>119</v>
      </c>
      <c r="F75" s="46" t="s">
        <v>116</v>
      </c>
      <c r="G75" s="46" t="s">
        <v>133</v>
      </c>
      <c r="H75" s="46" t="s">
        <v>117</v>
      </c>
      <c r="I75" s="46" t="s">
        <v>530</v>
      </c>
      <c r="J75" s="46" t="s">
        <v>123</v>
      </c>
      <c r="K75" s="46" t="s">
        <v>124</v>
      </c>
      <c r="L75" s="46" t="s">
        <v>531</v>
      </c>
      <c r="M75" s="49"/>
      <c r="N75" s="46">
        <v>0.11600000000000001</v>
      </c>
      <c r="O75" s="46">
        <v>0</v>
      </c>
      <c r="P75" s="46">
        <v>0</v>
      </c>
      <c r="Q75" s="46">
        <v>0</v>
      </c>
      <c r="R75" s="46">
        <v>0</v>
      </c>
      <c r="S75" s="46">
        <v>17</v>
      </c>
      <c r="T75" s="48">
        <v>17</v>
      </c>
    </row>
    <row r="76" spans="1:20" ht="22.95" customHeight="1" x14ac:dyDescent="0.25">
      <c r="A76" s="46">
        <v>75</v>
      </c>
      <c r="B76" s="47">
        <v>243926</v>
      </c>
      <c r="C76" s="46" t="s">
        <v>114</v>
      </c>
      <c r="D76" s="46" t="s">
        <v>115</v>
      </c>
      <c r="E76" s="46" t="s">
        <v>119</v>
      </c>
      <c r="F76" s="46" t="s">
        <v>116</v>
      </c>
      <c r="G76" s="46" t="s">
        <v>133</v>
      </c>
      <c r="H76" s="46" t="s">
        <v>117</v>
      </c>
      <c r="I76" s="46" t="s">
        <v>532</v>
      </c>
      <c r="J76" s="46" t="s">
        <v>533</v>
      </c>
      <c r="K76" s="46" t="s">
        <v>534</v>
      </c>
      <c r="L76" s="46" t="s">
        <v>535</v>
      </c>
      <c r="M76" s="49"/>
      <c r="N76" s="46">
        <v>0.54</v>
      </c>
      <c r="O76" s="46">
        <v>180</v>
      </c>
      <c r="P76" s="46">
        <v>2.7</v>
      </c>
      <c r="Q76" s="46">
        <v>0.189</v>
      </c>
      <c r="R76" s="46">
        <v>0</v>
      </c>
      <c r="S76" s="46">
        <v>17</v>
      </c>
      <c r="T76" s="48">
        <v>19.89</v>
      </c>
    </row>
    <row r="77" spans="1:20" ht="22.95" customHeight="1" x14ac:dyDescent="0.25">
      <c r="A77" s="46">
        <v>76</v>
      </c>
      <c r="B77" s="47">
        <v>243926</v>
      </c>
      <c r="C77" s="46" t="s">
        <v>114</v>
      </c>
      <c r="D77" s="46" t="s">
        <v>115</v>
      </c>
      <c r="E77" s="46" t="s">
        <v>119</v>
      </c>
      <c r="F77" s="46" t="s">
        <v>116</v>
      </c>
      <c r="G77" s="46" t="s">
        <v>133</v>
      </c>
      <c r="H77" s="46" t="s">
        <v>117</v>
      </c>
      <c r="I77" s="46" t="s">
        <v>536</v>
      </c>
      <c r="J77" s="46" t="s">
        <v>537</v>
      </c>
      <c r="K77" s="46" t="s">
        <v>538</v>
      </c>
      <c r="L77" s="46" t="s">
        <v>539</v>
      </c>
      <c r="M77" s="49"/>
      <c r="N77" s="46">
        <v>1.56</v>
      </c>
      <c r="O77" s="46">
        <v>130</v>
      </c>
      <c r="P77" s="46">
        <v>1.95</v>
      </c>
      <c r="Q77" s="46">
        <v>0.13650000000000001</v>
      </c>
      <c r="R77" s="46">
        <v>0</v>
      </c>
      <c r="S77" s="46">
        <v>22</v>
      </c>
      <c r="T77" s="48">
        <v>24.09</v>
      </c>
    </row>
    <row r="78" spans="1:20" ht="22.95" customHeight="1" x14ac:dyDescent="0.25">
      <c r="A78" s="46">
        <v>77</v>
      </c>
      <c r="B78" s="47">
        <v>243926</v>
      </c>
      <c r="C78" s="46" t="s">
        <v>114</v>
      </c>
      <c r="D78" s="46" t="s">
        <v>115</v>
      </c>
      <c r="E78" s="46" t="s">
        <v>119</v>
      </c>
      <c r="F78" s="46" t="s">
        <v>116</v>
      </c>
      <c r="G78" s="46" t="s">
        <v>133</v>
      </c>
      <c r="H78" s="46" t="s">
        <v>117</v>
      </c>
      <c r="I78" s="46" t="s">
        <v>540</v>
      </c>
      <c r="J78" s="46" t="s">
        <v>54</v>
      </c>
      <c r="K78" s="46" t="s">
        <v>541</v>
      </c>
      <c r="L78" s="46" t="s">
        <v>542</v>
      </c>
      <c r="M78" s="49"/>
      <c r="N78" s="46">
        <v>0.61399999999999999</v>
      </c>
      <c r="O78" s="46">
        <v>180</v>
      </c>
      <c r="P78" s="46">
        <v>2.7</v>
      </c>
      <c r="Q78" s="46">
        <v>0.189</v>
      </c>
      <c r="R78" s="46">
        <v>0</v>
      </c>
      <c r="S78" s="46">
        <v>17</v>
      </c>
      <c r="T78" s="48">
        <v>19.89</v>
      </c>
    </row>
    <row r="79" spans="1:20" ht="22.95" customHeight="1" x14ac:dyDescent="0.25">
      <c r="A79" s="46">
        <v>78</v>
      </c>
      <c r="B79" s="47">
        <v>243926</v>
      </c>
      <c r="C79" s="46" t="s">
        <v>114</v>
      </c>
      <c r="D79" s="46" t="s">
        <v>115</v>
      </c>
      <c r="E79" s="46" t="s">
        <v>119</v>
      </c>
      <c r="F79" s="46" t="s">
        <v>116</v>
      </c>
      <c r="G79" s="46" t="s">
        <v>133</v>
      </c>
      <c r="H79" s="46" t="s">
        <v>117</v>
      </c>
      <c r="I79" s="46" t="s">
        <v>543</v>
      </c>
      <c r="J79" s="46" t="s">
        <v>544</v>
      </c>
      <c r="K79" s="46" t="s">
        <v>545</v>
      </c>
      <c r="L79" s="46" t="s">
        <v>546</v>
      </c>
      <c r="M79" s="49"/>
      <c r="N79" s="46">
        <v>1.74</v>
      </c>
      <c r="O79" s="46">
        <v>430</v>
      </c>
      <c r="P79" s="46">
        <v>6.45</v>
      </c>
      <c r="Q79" s="46">
        <v>0.45150000000000001</v>
      </c>
      <c r="R79" s="46">
        <v>0</v>
      </c>
      <c r="S79" s="46">
        <v>22</v>
      </c>
      <c r="T79" s="48">
        <v>28.9</v>
      </c>
    </row>
    <row r="80" spans="1:20" ht="22.95" customHeight="1" x14ac:dyDescent="0.25">
      <c r="A80" s="46">
        <v>79</v>
      </c>
      <c r="B80" s="47">
        <v>243926</v>
      </c>
      <c r="C80" s="46" t="s">
        <v>114</v>
      </c>
      <c r="D80" s="46" t="s">
        <v>115</v>
      </c>
      <c r="E80" s="46" t="s">
        <v>119</v>
      </c>
      <c r="F80" s="46" t="s">
        <v>116</v>
      </c>
      <c r="G80" s="46" t="s">
        <v>133</v>
      </c>
      <c r="H80" s="46" t="s">
        <v>117</v>
      </c>
      <c r="I80" s="46" t="s">
        <v>547</v>
      </c>
      <c r="J80" s="46" t="s">
        <v>313</v>
      </c>
      <c r="K80" s="46" t="s">
        <v>314</v>
      </c>
      <c r="L80" s="46" t="s">
        <v>315</v>
      </c>
      <c r="M80" s="49"/>
      <c r="N80" s="46">
        <v>3.0539999999999998</v>
      </c>
      <c r="O80" s="46">
        <v>230</v>
      </c>
      <c r="P80" s="46">
        <v>3.45</v>
      </c>
      <c r="Q80" s="46">
        <v>0.24149999999999999</v>
      </c>
      <c r="R80" s="46">
        <v>0</v>
      </c>
      <c r="S80" s="46">
        <v>43</v>
      </c>
      <c r="T80" s="48">
        <v>46.69</v>
      </c>
    </row>
    <row r="81" spans="1:20" ht="22.95" customHeight="1" x14ac:dyDescent="0.25">
      <c r="A81" s="46">
        <v>80</v>
      </c>
      <c r="B81" s="47">
        <v>243926</v>
      </c>
      <c r="C81" s="46" t="s">
        <v>114</v>
      </c>
      <c r="D81" s="46" t="s">
        <v>115</v>
      </c>
      <c r="E81" s="46" t="s">
        <v>119</v>
      </c>
      <c r="F81" s="46" t="s">
        <v>116</v>
      </c>
      <c r="G81" s="46" t="s">
        <v>133</v>
      </c>
      <c r="H81" s="46" t="s">
        <v>117</v>
      </c>
      <c r="I81" s="46" t="s">
        <v>548</v>
      </c>
      <c r="J81" s="46" t="s">
        <v>549</v>
      </c>
      <c r="K81" s="46" t="s">
        <v>550</v>
      </c>
      <c r="L81" s="46" t="s">
        <v>551</v>
      </c>
      <c r="M81" s="49"/>
      <c r="N81" s="46">
        <v>1.542</v>
      </c>
      <c r="O81" s="46">
        <v>130</v>
      </c>
      <c r="P81" s="46">
        <v>1.95</v>
      </c>
      <c r="Q81" s="46">
        <v>0.13650000000000001</v>
      </c>
      <c r="R81" s="46">
        <v>0</v>
      </c>
      <c r="S81" s="46">
        <v>22</v>
      </c>
      <c r="T81" s="48">
        <v>24.09</v>
      </c>
    </row>
    <row r="82" spans="1:20" ht="22.95" customHeight="1" x14ac:dyDescent="0.25">
      <c r="A82" s="46">
        <v>81</v>
      </c>
      <c r="B82" s="47">
        <v>243926</v>
      </c>
      <c r="C82" s="46" t="s">
        <v>114</v>
      </c>
      <c r="D82" s="46" t="s">
        <v>115</v>
      </c>
      <c r="E82" s="46" t="s">
        <v>119</v>
      </c>
      <c r="F82" s="46" t="s">
        <v>116</v>
      </c>
      <c r="G82" s="46" t="s">
        <v>133</v>
      </c>
      <c r="H82" s="46" t="s">
        <v>117</v>
      </c>
      <c r="I82" s="46" t="s">
        <v>552</v>
      </c>
      <c r="J82" s="46" t="s">
        <v>553</v>
      </c>
      <c r="K82" s="46" t="s">
        <v>554</v>
      </c>
      <c r="L82" s="46" t="s">
        <v>555</v>
      </c>
      <c r="M82" s="49"/>
      <c r="N82" s="46">
        <v>1.54</v>
      </c>
      <c r="O82" s="46">
        <v>130</v>
      </c>
      <c r="P82" s="46">
        <v>1.95</v>
      </c>
      <c r="Q82" s="46">
        <v>0.13650000000000001</v>
      </c>
      <c r="R82" s="46">
        <v>0</v>
      </c>
      <c r="S82" s="46">
        <v>22</v>
      </c>
      <c r="T82" s="48">
        <v>24.09</v>
      </c>
    </row>
    <row r="83" spans="1:20" ht="22.95" customHeight="1" x14ac:dyDescent="0.25">
      <c r="A83" s="46">
        <v>82</v>
      </c>
      <c r="B83" s="47">
        <v>243926</v>
      </c>
      <c r="C83" s="46" t="s">
        <v>114</v>
      </c>
      <c r="D83" s="46" t="s">
        <v>115</v>
      </c>
      <c r="E83" s="46" t="s">
        <v>119</v>
      </c>
      <c r="F83" s="46" t="s">
        <v>116</v>
      </c>
      <c r="G83" s="46" t="s">
        <v>133</v>
      </c>
      <c r="H83" s="46" t="s">
        <v>117</v>
      </c>
      <c r="I83" s="46" t="s">
        <v>556</v>
      </c>
      <c r="J83" s="46" t="s">
        <v>557</v>
      </c>
      <c r="K83" s="46" t="s">
        <v>558</v>
      </c>
      <c r="L83" s="46" t="s">
        <v>559</v>
      </c>
      <c r="M83" s="49"/>
      <c r="N83" s="46">
        <v>1.26</v>
      </c>
      <c r="O83" s="46">
        <v>280</v>
      </c>
      <c r="P83" s="46">
        <v>4.2</v>
      </c>
      <c r="Q83" s="46">
        <v>0.29399999999999998</v>
      </c>
      <c r="R83" s="46">
        <v>0</v>
      </c>
      <c r="S83" s="46">
        <v>22</v>
      </c>
      <c r="T83" s="48">
        <v>26.49</v>
      </c>
    </row>
    <row r="84" spans="1:20" ht="22.95" customHeight="1" x14ac:dyDescent="0.25">
      <c r="A84" s="46">
        <v>83</v>
      </c>
      <c r="B84" s="47">
        <v>243926</v>
      </c>
      <c r="C84" s="46" t="s">
        <v>114</v>
      </c>
      <c r="D84" s="46" t="s">
        <v>115</v>
      </c>
      <c r="E84" s="46" t="s">
        <v>119</v>
      </c>
      <c r="F84" s="46" t="s">
        <v>116</v>
      </c>
      <c r="G84" s="46" t="s">
        <v>133</v>
      </c>
      <c r="H84" s="46" t="s">
        <v>117</v>
      </c>
      <c r="I84" s="46" t="s">
        <v>560</v>
      </c>
      <c r="J84" s="46" t="s">
        <v>561</v>
      </c>
      <c r="K84" s="46" t="s">
        <v>185</v>
      </c>
      <c r="L84" s="46" t="s">
        <v>186</v>
      </c>
      <c r="M84" s="49"/>
      <c r="N84" s="46">
        <v>1.26</v>
      </c>
      <c r="O84" s="46">
        <v>280</v>
      </c>
      <c r="P84" s="46">
        <v>4.2</v>
      </c>
      <c r="Q84" s="46">
        <v>0.29399999999999998</v>
      </c>
      <c r="R84" s="46">
        <v>0</v>
      </c>
      <c r="S84" s="46">
        <v>22</v>
      </c>
      <c r="T84" s="48">
        <v>26.49</v>
      </c>
    </row>
    <row r="85" spans="1:20" ht="22.95" customHeight="1" x14ac:dyDescent="0.25">
      <c r="A85" s="46">
        <v>84</v>
      </c>
      <c r="B85" s="47">
        <v>243926</v>
      </c>
      <c r="C85" s="46" t="s">
        <v>114</v>
      </c>
      <c r="D85" s="46" t="s">
        <v>115</v>
      </c>
      <c r="E85" s="46" t="s">
        <v>119</v>
      </c>
      <c r="F85" s="46" t="s">
        <v>116</v>
      </c>
      <c r="G85" s="46" t="s">
        <v>133</v>
      </c>
      <c r="H85" s="46" t="s">
        <v>117</v>
      </c>
      <c r="I85" s="46" t="s">
        <v>562</v>
      </c>
      <c r="J85" s="46" t="s">
        <v>563</v>
      </c>
      <c r="K85" s="46" t="s">
        <v>564</v>
      </c>
      <c r="L85" s="46" t="s">
        <v>565</v>
      </c>
      <c r="M85" s="49"/>
      <c r="N85" s="46">
        <v>1.246</v>
      </c>
      <c r="O85" s="46">
        <v>280</v>
      </c>
      <c r="P85" s="46">
        <v>4.2</v>
      </c>
      <c r="Q85" s="46">
        <v>0.29399999999999998</v>
      </c>
      <c r="R85" s="46">
        <v>0</v>
      </c>
      <c r="S85" s="46">
        <v>22</v>
      </c>
      <c r="T85" s="48">
        <v>26.49</v>
      </c>
    </row>
    <row r="86" spans="1:20" ht="22.95" customHeight="1" x14ac:dyDescent="0.25">
      <c r="A86" s="46">
        <v>85</v>
      </c>
      <c r="B86" s="47">
        <v>243926</v>
      </c>
      <c r="C86" s="46" t="s">
        <v>114</v>
      </c>
      <c r="D86" s="46" t="s">
        <v>115</v>
      </c>
      <c r="E86" s="46" t="s">
        <v>119</v>
      </c>
      <c r="F86" s="46" t="s">
        <v>116</v>
      </c>
      <c r="G86" s="46" t="s">
        <v>133</v>
      </c>
      <c r="H86" s="46" t="s">
        <v>117</v>
      </c>
      <c r="I86" s="46" t="s">
        <v>566</v>
      </c>
      <c r="J86" s="46" t="s">
        <v>567</v>
      </c>
      <c r="K86" s="46" t="s">
        <v>568</v>
      </c>
      <c r="L86" s="46" t="s">
        <v>569</v>
      </c>
      <c r="M86" s="49"/>
      <c r="N86" s="46">
        <v>0.64</v>
      </c>
      <c r="O86" s="46">
        <v>0</v>
      </c>
      <c r="P86" s="46">
        <v>0</v>
      </c>
      <c r="Q86" s="46">
        <v>0</v>
      </c>
      <c r="R86" s="46">
        <v>0</v>
      </c>
      <c r="S86" s="46">
        <v>17</v>
      </c>
      <c r="T86" s="48">
        <v>17</v>
      </c>
    </row>
    <row r="87" spans="1:20" ht="22.95" customHeight="1" x14ac:dyDescent="0.25">
      <c r="A87" s="46">
        <v>86</v>
      </c>
      <c r="B87" s="47">
        <v>243926</v>
      </c>
      <c r="C87" s="46" t="s">
        <v>114</v>
      </c>
      <c r="D87" s="46" t="s">
        <v>115</v>
      </c>
      <c r="E87" s="46" t="s">
        <v>119</v>
      </c>
      <c r="F87" s="46" t="s">
        <v>116</v>
      </c>
      <c r="G87" s="46" t="s">
        <v>133</v>
      </c>
      <c r="H87" s="46" t="s">
        <v>117</v>
      </c>
      <c r="I87" s="46" t="s">
        <v>570</v>
      </c>
      <c r="J87" s="46" t="s">
        <v>157</v>
      </c>
      <c r="K87" s="46" t="s">
        <v>132</v>
      </c>
      <c r="L87" s="46" t="s">
        <v>158</v>
      </c>
      <c r="M87" s="49"/>
      <c r="N87" s="46">
        <v>1.75</v>
      </c>
      <c r="O87" s="46">
        <v>0</v>
      </c>
      <c r="P87" s="46">
        <v>0</v>
      </c>
      <c r="Q87" s="46">
        <v>0</v>
      </c>
      <c r="R87" s="46">
        <v>0</v>
      </c>
      <c r="S87" s="46">
        <v>22</v>
      </c>
      <c r="T87" s="48">
        <v>22</v>
      </c>
    </row>
    <row r="88" spans="1:20" ht="22.95" customHeight="1" x14ac:dyDescent="0.25">
      <c r="A88" s="46">
        <v>87</v>
      </c>
      <c r="B88" s="47">
        <v>243926</v>
      </c>
      <c r="C88" s="46" t="s">
        <v>114</v>
      </c>
      <c r="D88" s="46" t="s">
        <v>115</v>
      </c>
      <c r="E88" s="46" t="s">
        <v>119</v>
      </c>
      <c r="F88" s="46" t="s">
        <v>116</v>
      </c>
      <c r="G88" s="46" t="s">
        <v>133</v>
      </c>
      <c r="H88" s="46" t="s">
        <v>117</v>
      </c>
      <c r="I88" s="46" t="s">
        <v>310</v>
      </c>
      <c r="J88" s="46" t="s">
        <v>307</v>
      </c>
      <c r="K88" s="46" t="s">
        <v>428</v>
      </c>
      <c r="L88" s="46" t="s">
        <v>571</v>
      </c>
      <c r="M88" s="49"/>
      <c r="N88" s="46">
        <v>0.20200000000000001</v>
      </c>
      <c r="O88" s="46">
        <v>0</v>
      </c>
      <c r="P88" s="46">
        <v>0</v>
      </c>
      <c r="Q88" s="46">
        <v>0</v>
      </c>
      <c r="R88" s="46">
        <v>0</v>
      </c>
      <c r="S88" s="46">
        <v>17</v>
      </c>
      <c r="T88" s="48">
        <v>17</v>
      </c>
    </row>
    <row r="89" spans="1:20" ht="22.95" customHeight="1" x14ac:dyDescent="0.25">
      <c r="A89" s="46">
        <v>88</v>
      </c>
      <c r="B89" s="47">
        <v>243926</v>
      </c>
      <c r="C89" s="46" t="s">
        <v>114</v>
      </c>
      <c r="D89" s="46" t="s">
        <v>115</v>
      </c>
      <c r="E89" s="46" t="s">
        <v>119</v>
      </c>
      <c r="F89" s="46" t="s">
        <v>116</v>
      </c>
      <c r="G89" s="46" t="s">
        <v>133</v>
      </c>
      <c r="H89" s="46" t="s">
        <v>117</v>
      </c>
      <c r="I89" s="46" t="s">
        <v>309</v>
      </c>
      <c r="J89" s="46" t="s">
        <v>306</v>
      </c>
      <c r="K89" s="46" t="s">
        <v>572</v>
      </c>
      <c r="L89" s="46" t="s">
        <v>573</v>
      </c>
      <c r="M89" s="49"/>
      <c r="N89" s="46">
        <v>2.17</v>
      </c>
      <c r="O89" s="46">
        <v>0</v>
      </c>
      <c r="P89" s="46">
        <v>0</v>
      </c>
      <c r="Q89" s="46">
        <v>0</v>
      </c>
      <c r="R89" s="46">
        <v>0</v>
      </c>
      <c r="S89" s="46">
        <v>33</v>
      </c>
      <c r="T89" s="48">
        <v>33</v>
      </c>
    </row>
    <row r="90" spans="1:20" ht="22.95" customHeight="1" x14ac:dyDescent="0.25">
      <c r="A90" s="46">
        <v>89</v>
      </c>
      <c r="B90" s="47">
        <v>243926</v>
      </c>
      <c r="C90" s="46" t="s">
        <v>114</v>
      </c>
      <c r="D90" s="46" t="s">
        <v>115</v>
      </c>
      <c r="E90" s="46" t="s">
        <v>119</v>
      </c>
      <c r="F90" s="46" t="s">
        <v>116</v>
      </c>
      <c r="G90" s="46" t="s">
        <v>133</v>
      </c>
      <c r="H90" s="46" t="s">
        <v>117</v>
      </c>
      <c r="I90" s="46" t="s">
        <v>574</v>
      </c>
      <c r="J90" s="46" t="s">
        <v>575</v>
      </c>
      <c r="K90" s="46" t="s">
        <v>193</v>
      </c>
      <c r="L90" s="46" t="s">
        <v>576</v>
      </c>
      <c r="M90" s="49"/>
      <c r="N90" s="46">
        <v>1.258</v>
      </c>
      <c r="O90" s="46">
        <v>0</v>
      </c>
      <c r="P90" s="46">
        <v>0</v>
      </c>
      <c r="Q90" s="46">
        <v>0</v>
      </c>
      <c r="R90" s="46">
        <v>0</v>
      </c>
      <c r="S90" s="46">
        <v>22</v>
      </c>
      <c r="T90" s="48">
        <v>22</v>
      </c>
    </row>
    <row r="91" spans="1:20" ht="22.95" customHeight="1" x14ac:dyDescent="0.25">
      <c r="A91" s="46">
        <v>90</v>
      </c>
      <c r="B91" s="47">
        <v>243926</v>
      </c>
      <c r="C91" s="46" t="s">
        <v>114</v>
      </c>
      <c r="D91" s="46" t="s">
        <v>115</v>
      </c>
      <c r="E91" s="46" t="s">
        <v>119</v>
      </c>
      <c r="F91" s="46" t="s">
        <v>116</v>
      </c>
      <c r="G91" s="46" t="s">
        <v>133</v>
      </c>
      <c r="H91" s="46" t="s">
        <v>117</v>
      </c>
      <c r="I91" s="46" t="s">
        <v>577</v>
      </c>
      <c r="J91" s="46" t="s">
        <v>578</v>
      </c>
      <c r="K91" s="46" t="s">
        <v>579</v>
      </c>
      <c r="L91" s="46" t="s">
        <v>580</v>
      </c>
      <c r="M91" s="49"/>
      <c r="N91" s="46">
        <v>1.746</v>
      </c>
      <c r="O91" s="46">
        <v>0</v>
      </c>
      <c r="P91" s="46">
        <v>0</v>
      </c>
      <c r="Q91" s="46">
        <v>0</v>
      </c>
      <c r="R91" s="46">
        <v>0</v>
      </c>
      <c r="S91" s="46">
        <v>22</v>
      </c>
      <c r="T91" s="48">
        <v>22</v>
      </c>
    </row>
    <row r="92" spans="1:20" ht="22.95" customHeight="1" x14ac:dyDescent="0.25">
      <c r="A92" s="46">
        <v>91</v>
      </c>
      <c r="B92" s="47">
        <v>243926</v>
      </c>
      <c r="C92" s="46" t="s">
        <v>114</v>
      </c>
      <c r="D92" s="46" t="s">
        <v>115</v>
      </c>
      <c r="E92" s="46" t="s">
        <v>119</v>
      </c>
      <c r="F92" s="46" t="s">
        <v>116</v>
      </c>
      <c r="G92" s="46" t="s">
        <v>133</v>
      </c>
      <c r="H92" s="46" t="s">
        <v>117</v>
      </c>
      <c r="I92" s="46" t="s">
        <v>581</v>
      </c>
      <c r="J92" s="46" t="s">
        <v>582</v>
      </c>
      <c r="K92" s="46" t="s">
        <v>189</v>
      </c>
      <c r="L92" s="46" t="s">
        <v>583</v>
      </c>
      <c r="M92" s="49"/>
      <c r="N92" s="46">
        <v>1.55</v>
      </c>
      <c r="O92" s="46">
        <v>0</v>
      </c>
      <c r="P92" s="46">
        <v>0</v>
      </c>
      <c r="Q92" s="46">
        <v>0</v>
      </c>
      <c r="R92" s="46">
        <v>0</v>
      </c>
      <c r="S92" s="46">
        <v>22</v>
      </c>
      <c r="T92" s="48">
        <v>22</v>
      </c>
    </row>
    <row r="93" spans="1:20" ht="22.95" customHeight="1" x14ac:dyDescent="0.25">
      <c r="A93" s="46">
        <v>92</v>
      </c>
      <c r="B93" s="47">
        <v>243926</v>
      </c>
      <c r="C93" s="46" t="s">
        <v>114</v>
      </c>
      <c r="D93" s="46" t="s">
        <v>115</v>
      </c>
      <c r="E93" s="46" t="s">
        <v>119</v>
      </c>
      <c r="F93" s="46" t="s">
        <v>116</v>
      </c>
      <c r="G93" s="46" t="s">
        <v>133</v>
      </c>
      <c r="H93" s="46" t="s">
        <v>117</v>
      </c>
      <c r="I93" s="46" t="s">
        <v>584</v>
      </c>
      <c r="J93" s="46" t="s">
        <v>585</v>
      </c>
      <c r="K93" s="46" t="s">
        <v>586</v>
      </c>
      <c r="L93" s="46" t="s">
        <v>587</v>
      </c>
      <c r="M93" s="49"/>
      <c r="N93" s="46">
        <v>3.08</v>
      </c>
      <c r="O93" s="46">
        <v>0</v>
      </c>
      <c r="P93" s="46">
        <v>0</v>
      </c>
      <c r="Q93" s="46">
        <v>0</v>
      </c>
      <c r="R93" s="46">
        <v>0</v>
      </c>
      <c r="S93" s="46">
        <v>43</v>
      </c>
      <c r="T93" s="48">
        <v>43</v>
      </c>
    </row>
    <row r="94" spans="1:20" ht="22.95" customHeight="1" x14ac:dyDescent="0.25">
      <c r="A94" s="46">
        <v>93</v>
      </c>
      <c r="B94" s="47">
        <v>243926</v>
      </c>
      <c r="C94" s="46" t="s">
        <v>114</v>
      </c>
      <c r="D94" s="46" t="s">
        <v>115</v>
      </c>
      <c r="E94" s="46" t="s">
        <v>119</v>
      </c>
      <c r="F94" s="46" t="s">
        <v>116</v>
      </c>
      <c r="G94" s="46" t="s">
        <v>133</v>
      </c>
      <c r="H94" s="46" t="s">
        <v>117</v>
      </c>
      <c r="I94" s="46" t="s">
        <v>588</v>
      </c>
      <c r="J94" s="46" t="s">
        <v>125</v>
      </c>
      <c r="K94" s="46" t="s">
        <v>135</v>
      </c>
      <c r="L94" s="46" t="s">
        <v>589</v>
      </c>
      <c r="M94" s="49"/>
      <c r="N94" s="46">
        <v>4.5999999999999999E-2</v>
      </c>
      <c r="O94" s="46">
        <v>0</v>
      </c>
      <c r="P94" s="46">
        <v>0</v>
      </c>
      <c r="Q94" s="46">
        <v>0</v>
      </c>
      <c r="R94" s="46">
        <v>0</v>
      </c>
      <c r="S94" s="46">
        <v>17</v>
      </c>
      <c r="T94" s="48">
        <v>17</v>
      </c>
    </row>
    <row r="95" spans="1:20" ht="22.95" customHeight="1" x14ac:dyDescent="0.25">
      <c r="A95" s="46">
        <v>94</v>
      </c>
      <c r="B95" s="47">
        <v>243928</v>
      </c>
      <c r="C95" s="46" t="s">
        <v>114</v>
      </c>
      <c r="D95" s="46" t="s">
        <v>115</v>
      </c>
      <c r="E95" s="46" t="s">
        <v>119</v>
      </c>
      <c r="F95" s="46" t="s">
        <v>116</v>
      </c>
      <c r="G95" s="46" t="s">
        <v>133</v>
      </c>
      <c r="H95" s="46" t="s">
        <v>117</v>
      </c>
      <c r="I95" s="46" t="s">
        <v>590</v>
      </c>
      <c r="J95" s="46" t="s">
        <v>591</v>
      </c>
      <c r="K95" s="46" t="s">
        <v>592</v>
      </c>
      <c r="L95" s="46" t="s">
        <v>593</v>
      </c>
      <c r="M95" s="49"/>
      <c r="N95" s="46">
        <v>5.84</v>
      </c>
      <c r="O95" s="46">
        <v>1530</v>
      </c>
      <c r="P95" s="46">
        <v>22.95</v>
      </c>
      <c r="Q95" s="46">
        <v>1.6065</v>
      </c>
      <c r="R95" s="46">
        <v>0</v>
      </c>
      <c r="S95" s="46">
        <v>70</v>
      </c>
      <c r="T95" s="48">
        <v>94.56</v>
      </c>
    </row>
    <row r="96" spans="1:20" ht="22.95" customHeight="1" x14ac:dyDescent="0.25">
      <c r="A96" s="46">
        <v>95</v>
      </c>
      <c r="B96" s="47">
        <v>243928</v>
      </c>
      <c r="C96" s="46" t="s">
        <v>114</v>
      </c>
      <c r="D96" s="46" t="s">
        <v>115</v>
      </c>
      <c r="E96" s="46" t="s">
        <v>119</v>
      </c>
      <c r="F96" s="46" t="s">
        <v>116</v>
      </c>
      <c r="G96" s="46" t="s">
        <v>133</v>
      </c>
      <c r="H96" s="46" t="s">
        <v>117</v>
      </c>
      <c r="I96" s="46" t="s">
        <v>594</v>
      </c>
      <c r="J96" s="46" t="s">
        <v>595</v>
      </c>
      <c r="K96" s="46" t="s">
        <v>596</v>
      </c>
      <c r="L96" s="46" t="s">
        <v>597</v>
      </c>
      <c r="M96" s="49"/>
      <c r="N96" s="46">
        <v>2.0299999999999998</v>
      </c>
      <c r="O96" s="46">
        <v>1135</v>
      </c>
      <c r="P96" s="46">
        <v>17.024999999999999</v>
      </c>
      <c r="Q96" s="46">
        <v>1.1917</v>
      </c>
      <c r="R96" s="46">
        <v>0</v>
      </c>
      <c r="S96" s="46">
        <v>33</v>
      </c>
      <c r="T96" s="48">
        <v>51.22</v>
      </c>
    </row>
    <row r="97" spans="1:20" ht="22.95" customHeight="1" x14ac:dyDescent="0.25">
      <c r="A97" s="46">
        <v>96</v>
      </c>
      <c r="B97" s="47">
        <v>243928</v>
      </c>
      <c r="C97" s="46" t="s">
        <v>114</v>
      </c>
      <c r="D97" s="46" t="s">
        <v>115</v>
      </c>
      <c r="E97" s="46" t="s">
        <v>119</v>
      </c>
      <c r="F97" s="46" t="s">
        <v>116</v>
      </c>
      <c r="G97" s="46" t="s">
        <v>133</v>
      </c>
      <c r="H97" s="46" t="s">
        <v>117</v>
      </c>
      <c r="I97" s="46" t="s">
        <v>598</v>
      </c>
      <c r="J97" s="46" t="s">
        <v>599</v>
      </c>
      <c r="K97" s="46" t="s">
        <v>600</v>
      </c>
      <c r="L97" s="46" t="s">
        <v>601</v>
      </c>
      <c r="M97" s="49"/>
      <c r="N97" s="46">
        <v>0.752</v>
      </c>
      <c r="O97" s="46">
        <v>230</v>
      </c>
      <c r="P97" s="46">
        <v>3.45</v>
      </c>
      <c r="Q97" s="46">
        <v>0.24149999999999999</v>
      </c>
      <c r="R97" s="46">
        <v>0</v>
      </c>
      <c r="S97" s="46">
        <v>17</v>
      </c>
      <c r="T97" s="48">
        <v>20.69</v>
      </c>
    </row>
    <row r="98" spans="1:20" ht="22.95" customHeight="1" x14ac:dyDescent="0.25">
      <c r="A98" s="46">
        <v>97</v>
      </c>
      <c r="B98" s="47">
        <v>243928</v>
      </c>
      <c r="C98" s="46" t="s">
        <v>114</v>
      </c>
      <c r="D98" s="46" t="s">
        <v>115</v>
      </c>
      <c r="E98" s="46" t="s">
        <v>119</v>
      </c>
      <c r="F98" s="46" t="s">
        <v>116</v>
      </c>
      <c r="G98" s="46" t="s">
        <v>133</v>
      </c>
      <c r="H98" s="46" t="s">
        <v>117</v>
      </c>
      <c r="I98" s="46" t="s">
        <v>602</v>
      </c>
      <c r="J98" s="46" t="s">
        <v>603</v>
      </c>
      <c r="K98" s="46" t="s">
        <v>604</v>
      </c>
      <c r="L98" s="46" t="s">
        <v>605</v>
      </c>
      <c r="M98" s="49"/>
      <c r="N98" s="46">
        <v>1.6339999999999999</v>
      </c>
      <c r="O98" s="46">
        <v>130</v>
      </c>
      <c r="P98" s="46">
        <v>1.95</v>
      </c>
      <c r="Q98" s="46">
        <v>0.13650000000000001</v>
      </c>
      <c r="R98" s="46">
        <v>0</v>
      </c>
      <c r="S98" s="46">
        <v>22</v>
      </c>
      <c r="T98" s="48">
        <v>24.09</v>
      </c>
    </row>
    <row r="99" spans="1:20" ht="22.95" customHeight="1" x14ac:dyDescent="0.25">
      <c r="A99" s="46">
        <v>98</v>
      </c>
      <c r="B99" s="47">
        <v>243928</v>
      </c>
      <c r="C99" s="46" t="s">
        <v>114</v>
      </c>
      <c r="D99" s="46" t="s">
        <v>115</v>
      </c>
      <c r="E99" s="46" t="s">
        <v>119</v>
      </c>
      <c r="F99" s="46" t="s">
        <v>116</v>
      </c>
      <c r="G99" s="46" t="s">
        <v>133</v>
      </c>
      <c r="H99" s="46" t="s">
        <v>117</v>
      </c>
      <c r="I99" s="46" t="s">
        <v>606</v>
      </c>
      <c r="J99" s="46" t="s">
        <v>607</v>
      </c>
      <c r="K99" s="46" t="s">
        <v>175</v>
      </c>
      <c r="L99" s="46" t="s">
        <v>608</v>
      </c>
      <c r="M99" s="49"/>
      <c r="N99" s="46">
        <v>1.22</v>
      </c>
      <c r="O99" s="46">
        <v>280</v>
      </c>
      <c r="P99" s="46">
        <v>4.2</v>
      </c>
      <c r="Q99" s="46">
        <v>0.29399999999999998</v>
      </c>
      <c r="R99" s="46">
        <v>0</v>
      </c>
      <c r="S99" s="46">
        <v>22</v>
      </c>
      <c r="T99" s="48">
        <v>26.49</v>
      </c>
    </row>
    <row r="100" spans="1:20" ht="22.95" customHeight="1" x14ac:dyDescent="0.25">
      <c r="A100" s="46">
        <v>99</v>
      </c>
      <c r="B100" s="47">
        <v>243928</v>
      </c>
      <c r="C100" s="46" t="s">
        <v>114</v>
      </c>
      <c r="D100" s="46" t="s">
        <v>115</v>
      </c>
      <c r="E100" s="46" t="s">
        <v>119</v>
      </c>
      <c r="F100" s="46" t="s">
        <v>116</v>
      </c>
      <c r="G100" s="46" t="s">
        <v>133</v>
      </c>
      <c r="H100" s="46" t="s">
        <v>117</v>
      </c>
      <c r="I100" s="46" t="s">
        <v>609</v>
      </c>
      <c r="J100" s="46" t="s">
        <v>610</v>
      </c>
      <c r="K100" s="46" t="s">
        <v>611</v>
      </c>
      <c r="L100" s="46" t="s">
        <v>612</v>
      </c>
      <c r="M100" s="49"/>
      <c r="N100" s="46">
        <v>1.244</v>
      </c>
      <c r="O100" s="46">
        <v>280</v>
      </c>
      <c r="P100" s="46">
        <v>4.2</v>
      </c>
      <c r="Q100" s="46">
        <v>0.29399999999999998</v>
      </c>
      <c r="R100" s="46">
        <v>0</v>
      </c>
      <c r="S100" s="46">
        <v>22</v>
      </c>
      <c r="T100" s="48">
        <v>26.49</v>
      </c>
    </row>
    <row r="101" spans="1:20" ht="22.95" customHeight="1" x14ac:dyDescent="0.25">
      <c r="A101" s="46">
        <v>100</v>
      </c>
      <c r="B101" s="47">
        <v>243928</v>
      </c>
      <c r="C101" s="46" t="s">
        <v>114</v>
      </c>
      <c r="D101" s="46" t="s">
        <v>115</v>
      </c>
      <c r="E101" s="46" t="s">
        <v>119</v>
      </c>
      <c r="F101" s="46" t="s">
        <v>116</v>
      </c>
      <c r="G101" s="46" t="s">
        <v>133</v>
      </c>
      <c r="H101" s="46" t="s">
        <v>117</v>
      </c>
      <c r="I101" s="46" t="s">
        <v>613</v>
      </c>
      <c r="J101" s="46" t="s">
        <v>614</v>
      </c>
      <c r="K101" s="46" t="s">
        <v>615</v>
      </c>
      <c r="L101" s="46" t="s">
        <v>616</v>
      </c>
      <c r="M101" s="49"/>
      <c r="N101" s="46">
        <v>0.95199999999999996</v>
      </c>
      <c r="O101" s="46">
        <v>289</v>
      </c>
      <c r="P101" s="46">
        <v>4.335</v>
      </c>
      <c r="Q101" s="46">
        <v>0.30349999999999999</v>
      </c>
      <c r="R101" s="46">
        <v>0</v>
      </c>
      <c r="S101" s="46">
        <v>17</v>
      </c>
      <c r="T101" s="48">
        <v>21.64</v>
      </c>
    </row>
    <row r="102" spans="1:20" ht="22.95" customHeight="1" x14ac:dyDescent="0.25">
      <c r="A102" s="46">
        <v>101</v>
      </c>
      <c r="B102" s="47">
        <v>243928</v>
      </c>
      <c r="C102" s="46" t="s">
        <v>114</v>
      </c>
      <c r="D102" s="46" t="s">
        <v>115</v>
      </c>
      <c r="E102" s="46" t="s">
        <v>119</v>
      </c>
      <c r="F102" s="46" t="s">
        <v>116</v>
      </c>
      <c r="G102" s="46" t="s">
        <v>133</v>
      </c>
      <c r="H102" s="46" t="s">
        <v>117</v>
      </c>
      <c r="I102" s="46" t="s">
        <v>617</v>
      </c>
      <c r="J102" s="46" t="s">
        <v>618</v>
      </c>
      <c r="K102" s="46" t="s">
        <v>619</v>
      </c>
      <c r="L102" s="46" t="s">
        <v>620</v>
      </c>
      <c r="M102" s="49"/>
      <c r="N102" s="46">
        <v>0.64800000000000002</v>
      </c>
      <c r="O102" s="46">
        <v>180</v>
      </c>
      <c r="P102" s="46">
        <v>2.7</v>
      </c>
      <c r="Q102" s="46">
        <v>0.189</v>
      </c>
      <c r="R102" s="46">
        <v>0</v>
      </c>
      <c r="S102" s="46">
        <v>17</v>
      </c>
      <c r="T102" s="48">
        <v>19.89</v>
      </c>
    </row>
    <row r="103" spans="1:20" ht="22.95" customHeight="1" x14ac:dyDescent="0.25">
      <c r="A103" s="46">
        <v>102</v>
      </c>
      <c r="B103" s="47">
        <v>243928</v>
      </c>
      <c r="C103" s="46" t="s">
        <v>114</v>
      </c>
      <c r="D103" s="46" t="s">
        <v>115</v>
      </c>
      <c r="E103" s="46" t="s">
        <v>119</v>
      </c>
      <c r="F103" s="46" t="s">
        <v>116</v>
      </c>
      <c r="G103" s="46" t="s">
        <v>133</v>
      </c>
      <c r="H103" s="46" t="s">
        <v>117</v>
      </c>
      <c r="I103" s="46" t="s">
        <v>621</v>
      </c>
      <c r="J103" s="46" t="s">
        <v>226</v>
      </c>
      <c r="K103" s="46" t="s">
        <v>138</v>
      </c>
      <c r="L103" s="46" t="s">
        <v>622</v>
      </c>
      <c r="M103" s="49"/>
      <c r="N103" s="46">
        <v>0.63400000000000001</v>
      </c>
      <c r="O103" s="46">
        <v>180</v>
      </c>
      <c r="P103" s="46">
        <v>2.7</v>
      </c>
      <c r="Q103" s="46">
        <v>0.189</v>
      </c>
      <c r="R103" s="46">
        <v>0</v>
      </c>
      <c r="S103" s="46">
        <v>17</v>
      </c>
      <c r="T103" s="48">
        <v>19.89</v>
      </c>
    </row>
    <row r="104" spans="1:20" ht="22.95" customHeight="1" x14ac:dyDescent="0.25">
      <c r="A104" s="46">
        <v>103</v>
      </c>
      <c r="B104" s="47">
        <v>243928</v>
      </c>
      <c r="C104" s="46" t="s">
        <v>114</v>
      </c>
      <c r="D104" s="46" t="s">
        <v>115</v>
      </c>
      <c r="E104" s="46" t="s">
        <v>119</v>
      </c>
      <c r="F104" s="46" t="s">
        <v>116</v>
      </c>
      <c r="G104" s="46" t="s">
        <v>133</v>
      </c>
      <c r="H104" s="46" t="s">
        <v>117</v>
      </c>
      <c r="I104" s="46" t="s">
        <v>623</v>
      </c>
      <c r="J104" s="46" t="s">
        <v>624</v>
      </c>
      <c r="K104" s="46" t="s">
        <v>625</v>
      </c>
      <c r="L104" s="46" t="s">
        <v>626</v>
      </c>
      <c r="M104" s="49"/>
      <c r="N104" s="46">
        <v>0.70199999999999996</v>
      </c>
      <c r="O104" s="46">
        <v>230</v>
      </c>
      <c r="P104" s="46">
        <v>3.45</v>
      </c>
      <c r="Q104" s="46">
        <v>0.24149999999999999</v>
      </c>
      <c r="R104" s="46">
        <v>0</v>
      </c>
      <c r="S104" s="46">
        <v>17</v>
      </c>
      <c r="T104" s="48">
        <v>20.69</v>
      </c>
    </row>
    <row r="105" spans="1:20" ht="22.95" customHeight="1" x14ac:dyDescent="0.25">
      <c r="A105" s="46">
        <v>104</v>
      </c>
      <c r="B105" s="47">
        <v>243928</v>
      </c>
      <c r="C105" s="46" t="s">
        <v>114</v>
      </c>
      <c r="D105" s="46" t="s">
        <v>115</v>
      </c>
      <c r="E105" s="46" t="s">
        <v>119</v>
      </c>
      <c r="F105" s="46" t="s">
        <v>116</v>
      </c>
      <c r="G105" s="46" t="s">
        <v>133</v>
      </c>
      <c r="H105" s="46" t="s">
        <v>117</v>
      </c>
      <c r="I105" s="46" t="s">
        <v>627</v>
      </c>
      <c r="J105" s="46" t="s">
        <v>628</v>
      </c>
      <c r="K105" s="46" t="s">
        <v>629</v>
      </c>
      <c r="L105" s="46" t="s">
        <v>630</v>
      </c>
      <c r="M105" s="49"/>
      <c r="N105" s="46">
        <v>0.65600000000000003</v>
      </c>
      <c r="O105" s="46">
        <v>180</v>
      </c>
      <c r="P105" s="46">
        <v>2.7</v>
      </c>
      <c r="Q105" s="46">
        <v>0.189</v>
      </c>
      <c r="R105" s="46">
        <v>0</v>
      </c>
      <c r="S105" s="46">
        <v>17</v>
      </c>
      <c r="T105" s="48">
        <v>19.89</v>
      </c>
    </row>
    <row r="106" spans="1:20" ht="22.95" customHeight="1" x14ac:dyDescent="0.25">
      <c r="A106" s="46">
        <v>105</v>
      </c>
      <c r="B106" s="47">
        <v>243928</v>
      </c>
      <c r="C106" s="46" t="s">
        <v>114</v>
      </c>
      <c r="D106" s="46" t="s">
        <v>115</v>
      </c>
      <c r="E106" s="46" t="s">
        <v>119</v>
      </c>
      <c r="F106" s="46" t="s">
        <v>116</v>
      </c>
      <c r="G106" s="46" t="s">
        <v>133</v>
      </c>
      <c r="H106" s="46" t="s">
        <v>117</v>
      </c>
      <c r="I106" s="46" t="s">
        <v>631</v>
      </c>
      <c r="J106" s="46" t="s">
        <v>632</v>
      </c>
      <c r="K106" s="46" t="s">
        <v>174</v>
      </c>
      <c r="L106" s="46" t="s">
        <v>633</v>
      </c>
      <c r="M106" s="49"/>
      <c r="N106" s="46">
        <v>3.2559999999999998</v>
      </c>
      <c r="O106" s="46">
        <v>230</v>
      </c>
      <c r="P106" s="46">
        <v>3.45</v>
      </c>
      <c r="Q106" s="46">
        <v>0.24149999999999999</v>
      </c>
      <c r="R106" s="46">
        <v>0</v>
      </c>
      <c r="S106" s="46">
        <v>43</v>
      </c>
      <c r="T106" s="48">
        <v>46.69</v>
      </c>
    </row>
    <row r="107" spans="1:20" ht="22.95" customHeight="1" x14ac:dyDescent="0.25">
      <c r="A107" s="46">
        <v>106</v>
      </c>
      <c r="B107" s="47">
        <v>243928</v>
      </c>
      <c r="C107" s="46" t="s">
        <v>114</v>
      </c>
      <c r="D107" s="46" t="s">
        <v>115</v>
      </c>
      <c r="E107" s="46" t="s">
        <v>119</v>
      </c>
      <c r="F107" s="46" t="s">
        <v>116</v>
      </c>
      <c r="G107" s="46" t="s">
        <v>133</v>
      </c>
      <c r="H107" s="46" t="s">
        <v>117</v>
      </c>
      <c r="I107" s="46" t="s">
        <v>634</v>
      </c>
      <c r="J107" s="46" t="s">
        <v>635</v>
      </c>
      <c r="K107" s="46" t="s">
        <v>636</v>
      </c>
      <c r="L107" s="46" t="s">
        <v>637</v>
      </c>
      <c r="M107" s="49"/>
      <c r="N107" s="46">
        <v>1.202</v>
      </c>
      <c r="O107" s="46">
        <v>280</v>
      </c>
      <c r="P107" s="46">
        <v>4.2</v>
      </c>
      <c r="Q107" s="46">
        <v>0.29399999999999998</v>
      </c>
      <c r="R107" s="46">
        <v>0</v>
      </c>
      <c r="S107" s="46">
        <v>22</v>
      </c>
      <c r="T107" s="48">
        <v>26.49</v>
      </c>
    </row>
    <row r="108" spans="1:20" ht="22.95" customHeight="1" x14ac:dyDescent="0.25">
      <c r="A108" s="46">
        <v>107</v>
      </c>
      <c r="B108" s="47">
        <v>243928</v>
      </c>
      <c r="C108" s="46" t="s">
        <v>114</v>
      </c>
      <c r="D108" s="46" t="s">
        <v>115</v>
      </c>
      <c r="E108" s="46" t="s">
        <v>119</v>
      </c>
      <c r="F108" s="46" t="s">
        <v>116</v>
      </c>
      <c r="G108" s="46" t="s">
        <v>133</v>
      </c>
      <c r="H108" s="46" t="s">
        <v>117</v>
      </c>
      <c r="I108" s="46" t="s">
        <v>638</v>
      </c>
      <c r="J108" s="46" t="s">
        <v>171</v>
      </c>
      <c r="K108" s="46" t="s">
        <v>172</v>
      </c>
      <c r="L108" s="46" t="s">
        <v>639</v>
      </c>
      <c r="M108" s="49"/>
      <c r="N108" s="46">
        <v>1.262</v>
      </c>
      <c r="O108" s="46">
        <v>280</v>
      </c>
      <c r="P108" s="46">
        <v>4.2</v>
      </c>
      <c r="Q108" s="46">
        <v>0.29399999999999998</v>
      </c>
      <c r="R108" s="46">
        <v>0</v>
      </c>
      <c r="S108" s="46">
        <v>22</v>
      </c>
      <c r="T108" s="48">
        <v>26.49</v>
      </c>
    </row>
    <row r="109" spans="1:20" ht="22.95" customHeight="1" x14ac:dyDescent="0.25">
      <c r="A109" s="46">
        <v>108</v>
      </c>
      <c r="B109" s="47">
        <v>243928</v>
      </c>
      <c r="C109" s="46" t="s">
        <v>114</v>
      </c>
      <c r="D109" s="46" t="s">
        <v>115</v>
      </c>
      <c r="E109" s="46" t="s">
        <v>119</v>
      </c>
      <c r="F109" s="46" t="s">
        <v>116</v>
      </c>
      <c r="G109" s="46" t="s">
        <v>133</v>
      </c>
      <c r="H109" s="46" t="s">
        <v>117</v>
      </c>
      <c r="I109" s="46" t="s">
        <v>640</v>
      </c>
      <c r="J109" s="46" t="s">
        <v>641</v>
      </c>
      <c r="K109" s="46" t="s">
        <v>184</v>
      </c>
      <c r="L109" s="46" t="s">
        <v>642</v>
      </c>
      <c r="M109" s="49"/>
      <c r="N109" s="46">
        <v>0.7</v>
      </c>
      <c r="O109" s="46">
        <v>230</v>
      </c>
      <c r="P109" s="46">
        <v>3.45</v>
      </c>
      <c r="Q109" s="46">
        <v>0.24149999999999999</v>
      </c>
      <c r="R109" s="46">
        <v>0</v>
      </c>
      <c r="S109" s="46">
        <v>17</v>
      </c>
      <c r="T109" s="48">
        <v>20.69</v>
      </c>
    </row>
    <row r="110" spans="1:20" ht="22.95" customHeight="1" x14ac:dyDescent="0.25">
      <c r="A110" s="46">
        <v>109</v>
      </c>
      <c r="B110" s="47">
        <v>243928</v>
      </c>
      <c r="C110" s="46" t="s">
        <v>114</v>
      </c>
      <c r="D110" s="46" t="s">
        <v>115</v>
      </c>
      <c r="E110" s="46" t="s">
        <v>119</v>
      </c>
      <c r="F110" s="46" t="s">
        <v>116</v>
      </c>
      <c r="G110" s="46" t="s">
        <v>133</v>
      </c>
      <c r="H110" s="46" t="s">
        <v>117</v>
      </c>
      <c r="I110" s="46" t="s">
        <v>643</v>
      </c>
      <c r="J110" s="46" t="s">
        <v>241</v>
      </c>
      <c r="K110" s="46" t="s">
        <v>242</v>
      </c>
      <c r="L110" s="46" t="s">
        <v>243</v>
      </c>
      <c r="M110" s="49"/>
      <c r="N110" s="46">
        <v>1.23</v>
      </c>
      <c r="O110" s="46">
        <v>280</v>
      </c>
      <c r="P110" s="46">
        <v>4.2</v>
      </c>
      <c r="Q110" s="46">
        <v>0.29399999999999998</v>
      </c>
      <c r="R110" s="46">
        <v>0</v>
      </c>
      <c r="S110" s="46">
        <v>22</v>
      </c>
      <c r="T110" s="48">
        <v>26.49</v>
      </c>
    </row>
    <row r="111" spans="1:20" ht="22.95" customHeight="1" x14ac:dyDescent="0.25">
      <c r="A111" s="46">
        <v>110</v>
      </c>
      <c r="B111" s="47">
        <v>243928</v>
      </c>
      <c r="C111" s="46" t="s">
        <v>114</v>
      </c>
      <c r="D111" s="46" t="s">
        <v>115</v>
      </c>
      <c r="E111" s="46" t="s">
        <v>119</v>
      </c>
      <c r="F111" s="46" t="s">
        <v>116</v>
      </c>
      <c r="G111" s="46" t="s">
        <v>133</v>
      </c>
      <c r="H111" s="46" t="s">
        <v>117</v>
      </c>
      <c r="I111" s="46" t="s">
        <v>644</v>
      </c>
      <c r="J111" s="46" t="s">
        <v>645</v>
      </c>
      <c r="K111" s="46" t="s">
        <v>646</v>
      </c>
      <c r="L111" s="46" t="s">
        <v>647</v>
      </c>
      <c r="M111" s="49"/>
      <c r="N111" s="46">
        <v>1.66</v>
      </c>
      <c r="O111" s="46">
        <v>130</v>
      </c>
      <c r="P111" s="46">
        <v>1.95</v>
      </c>
      <c r="Q111" s="46">
        <v>0.13650000000000001</v>
      </c>
      <c r="R111" s="46">
        <v>0</v>
      </c>
      <c r="S111" s="46">
        <v>22</v>
      </c>
      <c r="T111" s="48">
        <v>24.09</v>
      </c>
    </row>
    <row r="112" spans="1:20" ht="22.95" customHeight="1" x14ac:dyDescent="0.25">
      <c r="A112" s="46">
        <v>111</v>
      </c>
      <c r="B112" s="47">
        <v>243928</v>
      </c>
      <c r="C112" s="46" t="s">
        <v>114</v>
      </c>
      <c r="D112" s="46" t="s">
        <v>115</v>
      </c>
      <c r="E112" s="46" t="s">
        <v>119</v>
      </c>
      <c r="F112" s="46" t="s">
        <v>116</v>
      </c>
      <c r="G112" s="46" t="s">
        <v>133</v>
      </c>
      <c r="H112" s="46" t="s">
        <v>117</v>
      </c>
      <c r="I112" s="46" t="s">
        <v>648</v>
      </c>
      <c r="J112" s="46" t="s">
        <v>649</v>
      </c>
      <c r="K112" s="46" t="s">
        <v>650</v>
      </c>
      <c r="L112" s="46" t="s">
        <v>651</v>
      </c>
      <c r="M112" s="49"/>
      <c r="N112" s="46">
        <v>1.6919999999999999</v>
      </c>
      <c r="O112" s="46">
        <v>130</v>
      </c>
      <c r="P112" s="46">
        <v>1.95</v>
      </c>
      <c r="Q112" s="46">
        <v>0.13650000000000001</v>
      </c>
      <c r="R112" s="46">
        <v>0</v>
      </c>
      <c r="S112" s="46">
        <v>22</v>
      </c>
      <c r="T112" s="48">
        <v>24.09</v>
      </c>
    </row>
    <row r="113" spans="1:20" ht="22.95" customHeight="1" x14ac:dyDescent="0.25">
      <c r="A113" s="46">
        <v>112</v>
      </c>
      <c r="B113" s="47">
        <v>243928</v>
      </c>
      <c r="C113" s="46" t="s">
        <v>114</v>
      </c>
      <c r="D113" s="46" t="s">
        <v>115</v>
      </c>
      <c r="E113" s="46" t="s">
        <v>119</v>
      </c>
      <c r="F113" s="46" t="s">
        <v>116</v>
      </c>
      <c r="G113" s="46" t="s">
        <v>133</v>
      </c>
      <c r="H113" s="46" t="s">
        <v>117</v>
      </c>
      <c r="I113" s="46" t="s">
        <v>652</v>
      </c>
      <c r="J113" s="46" t="s">
        <v>653</v>
      </c>
      <c r="K113" s="46" t="s">
        <v>654</v>
      </c>
      <c r="L113" s="46" t="s">
        <v>655</v>
      </c>
      <c r="M113" s="49"/>
      <c r="N113" s="46">
        <v>1.528</v>
      </c>
      <c r="O113" s="46">
        <v>390</v>
      </c>
      <c r="P113" s="46">
        <v>5.85</v>
      </c>
      <c r="Q113" s="46">
        <v>0.40949999999999998</v>
      </c>
      <c r="R113" s="46">
        <v>0</v>
      </c>
      <c r="S113" s="46">
        <v>22</v>
      </c>
      <c r="T113" s="48">
        <v>28.26</v>
      </c>
    </row>
    <row r="114" spans="1:20" ht="22.95" customHeight="1" x14ac:dyDescent="0.25">
      <c r="A114" s="46">
        <v>113</v>
      </c>
      <c r="B114" s="47">
        <v>243928</v>
      </c>
      <c r="C114" s="46" t="s">
        <v>114</v>
      </c>
      <c r="D114" s="46" t="s">
        <v>115</v>
      </c>
      <c r="E114" s="46" t="s">
        <v>119</v>
      </c>
      <c r="F114" s="46" t="s">
        <v>116</v>
      </c>
      <c r="G114" s="46" t="s">
        <v>133</v>
      </c>
      <c r="H114" s="46" t="s">
        <v>117</v>
      </c>
      <c r="I114" s="46" t="s">
        <v>656</v>
      </c>
      <c r="J114" s="46" t="s">
        <v>657</v>
      </c>
      <c r="K114" s="46" t="s">
        <v>658</v>
      </c>
      <c r="L114" s="46" t="s">
        <v>659</v>
      </c>
      <c r="M114" s="49"/>
      <c r="N114" s="46">
        <v>1.214</v>
      </c>
      <c r="O114" s="46">
        <v>280</v>
      </c>
      <c r="P114" s="46">
        <v>4.2</v>
      </c>
      <c r="Q114" s="46">
        <v>0.29399999999999998</v>
      </c>
      <c r="R114" s="46">
        <v>0</v>
      </c>
      <c r="S114" s="46">
        <v>22</v>
      </c>
      <c r="T114" s="48">
        <v>26.49</v>
      </c>
    </row>
    <row r="115" spans="1:20" ht="22.95" customHeight="1" x14ac:dyDescent="0.25">
      <c r="A115" s="46">
        <v>114</v>
      </c>
      <c r="B115" s="47">
        <v>243928</v>
      </c>
      <c r="C115" s="46" t="s">
        <v>114</v>
      </c>
      <c r="D115" s="46" t="s">
        <v>115</v>
      </c>
      <c r="E115" s="46" t="s">
        <v>119</v>
      </c>
      <c r="F115" s="46" t="s">
        <v>116</v>
      </c>
      <c r="G115" s="46" t="s">
        <v>133</v>
      </c>
      <c r="H115" s="46" t="s">
        <v>117</v>
      </c>
      <c r="I115" s="46" t="s">
        <v>660</v>
      </c>
      <c r="J115" s="46" t="s">
        <v>661</v>
      </c>
      <c r="K115" s="46" t="s">
        <v>662</v>
      </c>
      <c r="L115" s="46" t="s">
        <v>663</v>
      </c>
      <c r="M115" s="49"/>
      <c r="N115" s="46">
        <v>0.72599999999999998</v>
      </c>
      <c r="O115" s="46">
        <v>230</v>
      </c>
      <c r="P115" s="46">
        <v>3.45</v>
      </c>
      <c r="Q115" s="46">
        <v>0.24149999999999999</v>
      </c>
      <c r="R115" s="46">
        <v>0</v>
      </c>
      <c r="S115" s="46">
        <v>17</v>
      </c>
      <c r="T115" s="48">
        <v>20.69</v>
      </c>
    </row>
    <row r="116" spans="1:20" ht="22.95" customHeight="1" x14ac:dyDescent="0.25">
      <c r="A116" s="46">
        <v>115</v>
      </c>
      <c r="B116" s="47">
        <v>243928</v>
      </c>
      <c r="C116" s="46" t="s">
        <v>114</v>
      </c>
      <c r="D116" s="46" t="s">
        <v>115</v>
      </c>
      <c r="E116" s="46" t="s">
        <v>119</v>
      </c>
      <c r="F116" s="46" t="s">
        <v>116</v>
      </c>
      <c r="G116" s="46" t="s">
        <v>133</v>
      </c>
      <c r="H116" s="46" t="s">
        <v>117</v>
      </c>
      <c r="I116" s="46" t="s">
        <v>664</v>
      </c>
      <c r="J116" s="46" t="s">
        <v>665</v>
      </c>
      <c r="K116" s="46" t="s">
        <v>141</v>
      </c>
      <c r="L116" s="46" t="s">
        <v>666</v>
      </c>
      <c r="M116" s="49"/>
      <c r="N116" s="46">
        <v>1.222</v>
      </c>
      <c r="O116" s="46">
        <v>280</v>
      </c>
      <c r="P116" s="46">
        <v>4.2</v>
      </c>
      <c r="Q116" s="46">
        <v>0.29399999999999998</v>
      </c>
      <c r="R116" s="46">
        <v>0</v>
      </c>
      <c r="S116" s="46">
        <v>22</v>
      </c>
      <c r="T116" s="48">
        <v>26.49</v>
      </c>
    </row>
    <row r="117" spans="1:20" ht="22.95" customHeight="1" x14ac:dyDescent="0.25">
      <c r="A117" s="46">
        <v>116</v>
      </c>
      <c r="B117" s="47">
        <v>243928</v>
      </c>
      <c r="C117" s="46" t="s">
        <v>114</v>
      </c>
      <c r="D117" s="46" t="s">
        <v>115</v>
      </c>
      <c r="E117" s="46" t="s">
        <v>119</v>
      </c>
      <c r="F117" s="46" t="s">
        <v>116</v>
      </c>
      <c r="G117" s="46" t="s">
        <v>133</v>
      </c>
      <c r="H117" s="46" t="s">
        <v>117</v>
      </c>
      <c r="I117" s="46" t="s">
        <v>667</v>
      </c>
      <c r="J117" s="46" t="s">
        <v>668</v>
      </c>
      <c r="K117" s="46" t="s">
        <v>669</v>
      </c>
      <c r="L117" s="46" t="s">
        <v>670</v>
      </c>
      <c r="M117" s="49"/>
      <c r="N117" s="46">
        <v>2.1379999999999999</v>
      </c>
      <c r="O117" s="46">
        <v>680</v>
      </c>
      <c r="P117" s="46">
        <v>10.199999999999999</v>
      </c>
      <c r="Q117" s="46">
        <v>0.71399999999999997</v>
      </c>
      <c r="R117" s="46">
        <v>0</v>
      </c>
      <c r="S117" s="46">
        <v>33</v>
      </c>
      <c r="T117" s="48">
        <v>43.91</v>
      </c>
    </row>
    <row r="118" spans="1:20" ht="22.95" customHeight="1" x14ac:dyDescent="0.25">
      <c r="A118" s="46">
        <v>117</v>
      </c>
      <c r="B118" s="47">
        <v>243928</v>
      </c>
      <c r="C118" s="46" t="s">
        <v>114</v>
      </c>
      <c r="D118" s="46" t="s">
        <v>115</v>
      </c>
      <c r="E118" s="46" t="s">
        <v>119</v>
      </c>
      <c r="F118" s="46" t="s">
        <v>116</v>
      </c>
      <c r="G118" s="46" t="s">
        <v>133</v>
      </c>
      <c r="H118" s="46" t="s">
        <v>117</v>
      </c>
      <c r="I118" s="46" t="s">
        <v>671</v>
      </c>
      <c r="J118" s="46" t="s">
        <v>316</v>
      </c>
      <c r="K118" s="46" t="s">
        <v>317</v>
      </c>
      <c r="L118" s="46" t="s">
        <v>318</v>
      </c>
      <c r="M118" s="49"/>
      <c r="N118" s="46">
        <v>0.628</v>
      </c>
      <c r="O118" s="46">
        <v>0</v>
      </c>
      <c r="P118" s="46">
        <v>0</v>
      </c>
      <c r="Q118" s="46">
        <v>0</v>
      </c>
      <c r="R118" s="46">
        <v>0</v>
      </c>
      <c r="S118" s="46">
        <v>17</v>
      </c>
      <c r="T118" s="48">
        <v>17</v>
      </c>
    </row>
    <row r="119" spans="1:20" ht="22.95" customHeight="1" x14ac:dyDescent="0.25">
      <c r="A119" s="46">
        <v>118</v>
      </c>
      <c r="B119" s="47">
        <v>243928</v>
      </c>
      <c r="C119" s="46" t="s">
        <v>114</v>
      </c>
      <c r="D119" s="46" t="s">
        <v>115</v>
      </c>
      <c r="E119" s="46" t="s">
        <v>119</v>
      </c>
      <c r="F119" s="46" t="s">
        <v>116</v>
      </c>
      <c r="G119" s="46" t="s">
        <v>133</v>
      </c>
      <c r="H119" s="46" t="s">
        <v>117</v>
      </c>
      <c r="I119" s="46" t="s">
        <v>311</v>
      </c>
      <c r="J119" s="46" t="s">
        <v>672</v>
      </c>
      <c r="K119" s="46" t="s">
        <v>673</v>
      </c>
      <c r="L119" s="46" t="s">
        <v>674</v>
      </c>
      <c r="M119" s="49"/>
      <c r="N119" s="46">
        <v>2.2120000000000002</v>
      </c>
      <c r="O119" s="46">
        <v>0</v>
      </c>
      <c r="P119" s="46">
        <v>0</v>
      </c>
      <c r="Q119" s="46">
        <v>0</v>
      </c>
      <c r="R119" s="46">
        <v>0</v>
      </c>
      <c r="S119" s="46">
        <v>33</v>
      </c>
      <c r="T119" s="48">
        <v>33</v>
      </c>
    </row>
    <row r="120" spans="1:20" ht="22.95" customHeight="1" x14ac:dyDescent="0.25">
      <c r="A120" s="46">
        <v>119</v>
      </c>
      <c r="B120" s="47">
        <v>243928</v>
      </c>
      <c r="C120" s="46" t="s">
        <v>114</v>
      </c>
      <c r="D120" s="46" t="s">
        <v>115</v>
      </c>
      <c r="E120" s="46" t="s">
        <v>119</v>
      </c>
      <c r="F120" s="46" t="s">
        <v>116</v>
      </c>
      <c r="G120" s="46" t="s">
        <v>133</v>
      </c>
      <c r="H120" s="46" t="s">
        <v>117</v>
      </c>
      <c r="I120" s="46" t="s">
        <v>675</v>
      </c>
      <c r="J120" s="46" t="s">
        <v>676</v>
      </c>
      <c r="K120" s="46" t="s">
        <v>677</v>
      </c>
      <c r="L120" s="46" t="s">
        <v>678</v>
      </c>
      <c r="M120" s="49"/>
      <c r="N120" s="46">
        <v>1.5640000000000001</v>
      </c>
      <c r="O120" s="46">
        <v>0</v>
      </c>
      <c r="P120" s="46">
        <v>0</v>
      </c>
      <c r="Q120" s="46">
        <v>0</v>
      </c>
      <c r="R120" s="46">
        <v>0</v>
      </c>
      <c r="S120" s="46">
        <v>22</v>
      </c>
      <c r="T120" s="48">
        <v>22</v>
      </c>
    </row>
    <row r="121" spans="1:20" ht="22.95" customHeight="1" x14ac:dyDescent="0.25">
      <c r="A121" s="46">
        <v>120</v>
      </c>
      <c r="B121" s="47">
        <v>243928</v>
      </c>
      <c r="C121" s="46" t="s">
        <v>114</v>
      </c>
      <c r="D121" s="46" t="s">
        <v>115</v>
      </c>
      <c r="E121" s="46" t="s">
        <v>119</v>
      </c>
      <c r="F121" s="46" t="s">
        <v>116</v>
      </c>
      <c r="G121" s="46" t="s">
        <v>133</v>
      </c>
      <c r="H121" s="46" t="s">
        <v>117</v>
      </c>
      <c r="I121" s="46" t="s">
        <v>679</v>
      </c>
      <c r="J121" s="46" t="s">
        <v>680</v>
      </c>
      <c r="K121" s="46" t="s">
        <v>681</v>
      </c>
      <c r="L121" s="46" t="s">
        <v>682</v>
      </c>
      <c r="M121" s="49"/>
      <c r="N121" s="46">
        <v>1.202</v>
      </c>
      <c r="O121" s="46">
        <v>0</v>
      </c>
      <c r="P121" s="46">
        <v>0</v>
      </c>
      <c r="Q121" s="46">
        <v>0</v>
      </c>
      <c r="R121" s="46">
        <v>0</v>
      </c>
      <c r="S121" s="46">
        <v>22</v>
      </c>
      <c r="T121" s="48">
        <v>22</v>
      </c>
    </row>
    <row r="122" spans="1:20" ht="22.95" customHeight="1" x14ac:dyDescent="0.25">
      <c r="A122" s="46">
        <v>121</v>
      </c>
      <c r="B122" s="47">
        <v>243928</v>
      </c>
      <c r="C122" s="46" t="s">
        <v>114</v>
      </c>
      <c r="D122" s="46" t="s">
        <v>115</v>
      </c>
      <c r="E122" s="46" t="s">
        <v>119</v>
      </c>
      <c r="F122" s="46" t="s">
        <v>116</v>
      </c>
      <c r="G122" s="46" t="s">
        <v>133</v>
      </c>
      <c r="H122" s="46" t="s">
        <v>117</v>
      </c>
      <c r="I122" s="46" t="s">
        <v>683</v>
      </c>
      <c r="J122" s="46" t="s">
        <v>684</v>
      </c>
      <c r="K122" s="46" t="s">
        <v>685</v>
      </c>
      <c r="L122" s="46" t="s">
        <v>686</v>
      </c>
      <c r="M122" s="49"/>
      <c r="N122" s="46">
        <v>0.61599999999999999</v>
      </c>
      <c r="O122" s="46">
        <v>0</v>
      </c>
      <c r="P122" s="46">
        <v>0</v>
      </c>
      <c r="Q122" s="46">
        <v>0</v>
      </c>
      <c r="R122" s="46">
        <v>0</v>
      </c>
      <c r="S122" s="46">
        <v>17</v>
      </c>
      <c r="T122" s="48">
        <v>17</v>
      </c>
    </row>
    <row r="123" spans="1:20" ht="22.95" customHeight="1" x14ac:dyDescent="0.25">
      <c r="A123" s="46">
        <v>122</v>
      </c>
      <c r="B123" s="47">
        <v>243928</v>
      </c>
      <c r="C123" s="46" t="s">
        <v>114</v>
      </c>
      <c r="D123" s="46" t="s">
        <v>115</v>
      </c>
      <c r="E123" s="46" t="s">
        <v>119</v>
      </c>
      <c r="F123" s="46" t="s">
        <v>116</v>
      </c>
      <c r="G123" s="46" t="s">
        <v>133</v>
      </c>
      <c r="H123" s="46" t="s">
        <v>117</v>
      </c>
      <c r="I123" s="46" t="s">
        <v>687</v>
      </c>
      <c r="J123" s="46" t="s">
        <v>195</v>
      </c>
      <c r="K123" s="46" t="s">
        <v>196</v>
      </c>
      <c r="L123" s="46" t="s">
        <v>197</v>
      </c>
      <c r="M123" s="49"/>
      <c r="N123" s="46">
        <v>1.1459999999999999</v>
      </c>
      <c r="O123" s="46">
        <v>0</v>
      </c>
      <c r="P123" s="46">
        <v>0</v>
      </c>
      <c r="Q123" s="46">
        <v>0</v>
      </c>
      <c r="R123" s="46">
        <v>0</v>
      </c>
      <c r="S123" s="46">
        <v>22</v>
      </c>
      <c r="T123" s="48">
        <v>22</v>
      </c>
    </row>
    <row r="124" spans="1:20" ht="22.95" customHeight="1" x14ac:dyDescent="0.25">
      <c r="A124" s="46">
        <v>123</v>
      </c>
      <c r="B124" s="47">
        <v>243928</v>
      </c>
      <c r="C124" s="46" t="s">
        <v>114</v>
      </c>
      <c r="D124" s="46" t="s">
        <v>115</v>
      </c>
      <c r="E124" s="46" t="s">
        <v>119</v>
      </c>
      <c r="F124" s="46" t="s">
        <v>116</v>
      </c>
      <c r="G124" s="46" t="s">
        <v>133</v>
      </c>
      <c r="H124" s="46" t="s">
        <v>117</v>
      </c>
      <c r="I124" s="46" t="s">
        <v>688</v>
      </c>
      <c r="J124" s="46" t="s">
        <v>251</v>
      </c>
      <c r="K124" s="46" t="s">
        <v>252</v>
      </c>
      <c r="L124" s="46" t="s">
        <v>253</v>
      </c>
      <c r="M124" s="49"/>
      <c r="N124" s="46">
        <v>1.222</v>
      </c>
      <c r="O124" s="46">
        <v>0</v>
      </c>
      <c r="P124" s="46">
        <v>0</v>
      </c>
      <c r="Q124" s="46">
        <v>0</v>
      </c>
      <c r="R124" s="46">
        <v>0</v>
      </c>
      <c r="S124" s="46">
        <v>22</v>
      </c>
      <c r="T124" s="48">
        <v>22</v>
      </c>
    </row>
    <row r="125" spans="1:20" ht="22.95" customHeight="1" x14ac:dyDescent="0.25">
      <c r="A125" s="46">
        <v>124</v>
      </c>
      <c r="B125" s="47">
        <v>243928</v>
      </c>
      <c r="C125" s="46" t="s">
        <v>114</v>
      </c>
      <c r="D125" s="46" t="s">
        <v>115</v>
      </c>
      <c r="E125" s="46" t="s">
        <v>119</v>
      </c>
      <c r="F125" s="46" t="s">
        <v>116</v>
      </c>
      <c r="G125" s="46" t="s">
        <v>133</v>
      </c>
      <c r="H125" s="46" t="s">
        <v>117</v>
      </c>
      <c r="I125" s="46" t="s">
        <v>689</v>
      </c>
      <c r="J125" s="46" t="s">
        <v>690</v>
      </c>
      <c r="K125" s="46" t="s">
        <v>691</v>
      </c>
      <c r="L125" s="46" t="s">
        <v>692</v>
      </c>
      <c r="M125" s="49"/>
      <c r="N125" s="46">
        <v>1.236</v>
      </c>
      <c r="O125" s="46">
        <v>0</v>
      </c>
      <c r="P125" s="46">
        <v>0</v>
      </c>
      <c r="Q125" s="46">
        <v>0</v>
      </c>
      <c r="R125" s="46">
        <v>0</v>
      </c>
      <c r="S125" s="46">
        <v>22</v>
      </c>
      <c r="T125" s="48">
        <v>22</v>
      </c>
    </row>
    <row r="126" spans="1:20" ht="22.95" customHeight="1" x14ac:dyDescent="0.25">
      <c r="A126" s="46">
        <v>125</v>
      </c>
      <c r="B126" s="47">
        <v>243928</v>
      </c>
      <c r="C126" s="46" t="s">
        <v>114</v>
      </c>
      <c r="D126" s="46" t="s">
        <v>115</v>
      </c>
      <c r="E126" s="46" t="s">
        <v>119</v>
      </c>
      <c r="F126" s="46" t="s">
        <v>116</v>
      </c>
      <c r="G126" s="46" t="s">
        <v>133</v>
      </c>
      <c r="H126" s="46" t="s">
        <v>117</v>
      </c>
      <c r="I126" s="46" t="s">
        <v>693</v>
      </c>
      <c r="J126" s="46" t="s">
        <v>694</v>
      </c>
      <c r="K126" s="46" t="s">
        <v>695</v>
      </c>
      <c r="L126" s="46" t="s">
        <v>696</v>
      </c>
      <c r="M126" s="49"/>
      <c r="N126" s="46">
        <v>1.458</v>
      </c>
      <c r="O126" s="46">
        <v>0</v>
      </c>
      <c r="P126" s="46">
        <v>0</v>
      </c>
      <c r="Q126" s="46">
        <v>0</v>
      </c>
      <c r="R126" s="46">
        <v>0</v>
      </c>
      <c r="S126" s="46">
        <v>22</v>
      </c>
      <c r="T126" s="48">
        <v>22</v>
      </c>
    </row>
    <row r="127" spans="1:20" ht="22.95" customHeight="1" x14ac:dyDescent="0.25">
      <c r="A127" s="46">
        <v>126</v>
      </c>
      <c r="B127" s="47">
        <v>243928</v>
      </c>
      <c r="C127" s="46" t="s">
        <v>114</v>
      </c>
      <c r="D127" s="46" t="s">
        <v>115</v>
      </c>
      <c r="E127" s="46" t="s">
        <v>119</v>
      </c>
      <c r="F127" s="46" t="s">
        <v>116</v>
      </c>
      <c r="G127" s="46" t="s">
        <v>133</v>
      </c>
      <c r="H127" s="46" t="s">
        <v>117</v>
      </c>
      <c r="I127" s="46" t="s">
        <v>697</v>
      </c>
      <c r="J127" s="46" t="s">
        <v>698</v>
      </c>
      <c r="K127" s="46" t="s">
        <v>699</v>
      </c>
      <c r="L127" s="46" t="s">
        <v>700</v>
      </c>
      <c r="M127" s="49"/>
      <c r="N127" s="46">
        <v>2</v>
      </c>
      <c r="O127" s="46">
        <v>0</v>
      </c>
      <c r="P127" s="46">
        <v>0</v>
      </c>
      <c r="Q127" s="46">
        <v>0</v>
      </c>
      <c r="R127" s="46">
        <v>0</v>
      </c>
      <c r="S127" s="46">
        <v>22</v>
      </c>
      <c r="T127" s="48">
        <v>22</v>
      </c>
    </row>
    <row r="128" spans="1:20" ht="22.95" customHeight="1" x14ac:dyDescent="0.25">
      <c r="A128" s="46">
        <v>127</v>
      </c>
      <c r="B128" s="47">
        <v>243928</v>
      </c>
      <c r="C128" s="46" t="s">
        <v>114</v>
      </c>
      <c r="D128" s="46" t="s">
        <v>115</v>
      </c>
      <c r="E128" s="46" t="s">
        <v>119</v>
      </c>
      <c r="F128" s="46" t="s">
        <v>116</v>
      </c>
      <c r="G128" s="46" t="s">
        <v>133</v>
      </c>
      <c r="H128" s="46" t="s">
        <v>117</v>
      </c>
      <c r="I128" s="46" t="s">
        <v>701</v>
      </c>
      <c r="J128" s="46" t="s">
        <v>163</v>
      </c>
      <c r="K128" s="46" t="s">
        <v>164</v>
      </c>
      <c r="L128" s="46" t="s">
        <v>165</v>
      </c>
      <c r="M128" s="49"/>
      <c r="N128" s="46">
        <v>1.74</v>
      </c>
      <c r="O128" s="46">
        <v>0</v>
      </c>
      <c r="P128" s="46">
        <v>0</v>
      </c>
      <c r="Q128" s="46">
        <v>0</v>
      </c>
      <c r="R128" s="46">
        <v>0</v>
      </c>
      <c r="S128" s="46">
        <v>22</v>
      </c>
      <c r="T128" s="48">
        <v>22</v>
      </c>
    </row>
    <row r="129" spans="1:20" ht="22.95" customHeight="1" x14ac:dyDescent="0.25">
      <c r="A129" s="46">
        <v>128</v>
      </c>
      <c r="B129" s="47">
        <v>243928</v>
      </c>
      <c r="C129" s="46" t="s">
        <v>114</v>
      </c>
      <c r="D129" s="46" t="s">
        <v>115</v>
      </c>
      <c r="E129" s="46" t="s">
        <v>119</v>
      </c>
      <c r="F129" s="46" t="s">
        <v>116</v>
      </c>
      <c r="G129" s="46" t="s">
        <v>133</v>
      </c>
      <c r="H129" s="46" t="s">
        <v>117</v>
      </c>
      <c r="I129" s="46" t="s">
        <v>702</v>
      </c>
      <c r="J129" s="46" t="s">
        <v>703</v>
      </c>
      <c r="K129" s="46" t="s">
        <v>704</v>
      </c>
      <c r="L129" s="46" t="s">
        <v>705</v>
      </c>
      <c r="M129" s="49"/>
      <c r="N129" s="46">
        <v>0.64200000000000002</v>
      </c>
      <c r="O129" s="46">
        <v>0</v>
      </c>
      <c r="P129" s="46">
        <v>0</v>
      </c>
      <c r="Q129" s="46">
        <v>0</v>
      </c>
      <c r="R129" s="46">
        <v>0</v>
      </c>
      <c r="S129" s="46">
        <v>17</v>
      </c>
      <c r="T129" s="48">
        <v>17</v>
      </c>
    </row>
    <row r="130" spans="1:20" ht="22.95" customHeight="1" x14ac:dyDescent="0.25">
      <c r="A130" s="46">
        <v>129</v>
      </c>
      <c r="B130" s="47">
        <v>243928</v>
      </c>
      <c r="C130" s="46" t="s">
        <v>114</v>
      </c>
      <c r="D130" s="46" t="s">
        <v>115</v>
      </c>
      <c r="E130" s="46" t="s">
        <v>119</v>
      </c>
      <c r="F130" s="46" t="s">
        <v>116</v>
      </c>
      <c r="G130" s="46" t="s">
        <v>133</v>
      </c>
      <c r="H130" s="46" t="s">
        <v>117</v>
      </c>
      <c r="I130" s="46" t="s">
        <v>706</v>
      </c>
      <c r="J130" s="46" t="s">
        <v>236</v>
      </c>
      <c r="K130" s="46" t="s">
        <v>237</v>
      </c>
      <c r="L130" s="46" t="s">
        <v>238</v>
      </c>
      <c r="M130" s="49"/>
      <c r="N130" s="46">
        <v>1.22</v>
      </c>
      <c r="O130" s="46">
        <v>0</v>
      </c>
      <c r="P130" s="46">
        <v>0</v>
      </c>
      <c r="Q130" s="46">
        <v>0</v>
      </c>
      <c r="R130" s="46">
        <v>0</v>
      </c>
      <c r="S130" s="46">
        <v>22</v>
      </c>
      <c r="T130" s="48">
        <v>22</v>
      </c>
    </row>
    <row r="131" spans="1:20" ht="22.95" customHeight="1" x14ac:dyDescent="0.25">
      <c r="A131" s="46">
        <v>130</v>
      </c>
      <c r="B131" s="47">
        <v>243928</v>
      </c>
      <c r="C131" s="46" t="s">
        <v>114</v>
      </c>
      <c r="D131" s="46" t="s">
        <v>115</v>
      </c>
      <c r="E131" s="46" t="s">
        <v>119</v>
      </c>
      <c r="F131" s="46" t="s">
        <v>116</v>
      </c>
      <c r="G131" s="46" t="s">
        <v>133</v>
      </c>
      <c r="H131" s="46" t="s">
        <v>117</v>
      </c>
      <c r="I131" s="46" t="s">
        <v>707</v>
      </c>
      <c r="J131" s="46" t="s">
        <v>708</v>
      </c>
      <c r="K131" s="46" t="s">
        <v>709</v>
      </c>
      <c r="L131" s="46" t="s">
        <v>710</v>
      </c>
      <c r="M131" s="49"/>
      <c r="N131" s="46">
        <v>0.73</v>
      </c>
      <c r="O131" s="46">
        <v>0</v>
      </c>
      <c r="P131" s="46">
        <v>0</v>
      </c>
      <c r="Q131" s="46">
        <v>0</v>
      </c>
      <c r="R131" s="46">
        <v>0</v>
      </c>
      <c r="S131" s="46">
        <v>17</v>
      </c>
      <c r="T131" s="48">
        <v>17</v>
      </c>
    </row>
    <row r="132" spans="1:20" ht="22.95" customHeight="1" x14ac:dyDescent="0.25">
      <c r="A132" s="46">
        <v>131</v>
      </c>
      <c r="B132" s="47">
        <v>243928</v>
      </c>
      <c r="C132" s="46" t="s">
        <v>114</v>
      </c>
      <c r="D132" s="46" t="s">
        <v>115</v>
      </c>
      <c r="E132" s="46" t="s">
        <v>119</v>
      </c>
      <c r="F132" s="46" t="s">
        <v>116</v>
      </c>
      <c r="G132" s="46" t="s">
        <v>133</v>
      </c>
      <c r="H132" s="46" t="s">
        <v>117</v>
      </c>
      <c r="I132" s="46" t="s">
        <v>711</v>
      </c>
      <c r="J132" s="46" t="s">
        <v>712</v>
      </c>
      <c r="K132" s="46" t="s">
        <v>713</v>
      </c>
      <c r="L132" s="46" t="s">
        <v>714</v>
      </c>
      <c r="M132" s="49"/>
      <c r="N132" s="46">
        <v>4.5599999999999996</v>
      </c>
      <c r="O132" s="46">
        <v>0</v>
      </c>
      <c r="P132" s="46">
        <v>0</v>
      </c>
      <c r="Q132" s="46">
        <v>0</v>
      </c>
      <c r="R132" s="46">
        <v>0</v>
      </c>
      <c r="S132" s="46">
        <v>53</v>
      </c>
      <c r="T132" s="48">
        <v>53</v>
      </c>
    </row>
    <row r="133" spans="1:20" ht="22.95" customHeight="1" x14ac:dyDescent="0.25">
      <c r="A133" s="46">
        <v>132</v>
      </c>
      <c r="B133" s="47">
        <v>243928</v>
      </c>
      <c r="C133" s="46" t="s">
        <v>114</v>
      </c>
      <c r="D133" s="46" t="s">
        <v>115</v>
      </c>
      <c r="E133" s="46" t="s">
        <v>119</v>
      </c>
      <c r="F133" s="46" t="s">
        <v>116</v>
      </c>
      <c r="G133" s="46" t="s">
        <v>133</v>
      </c>
      <c r="H133" s="46" t="s">
        <v>117</v>
      </c>
      <c r="I133" s="46" t="s">
        <v>715</v>
      </c>
      <c r="J133" s="46" t="s">
        <v>716</v>
      </c>
      <c r="K133" s="46" t="s">
        <v>713</v>
      </c>
      <c r="L133" s="46" t="s">
        <v>714</v>
      </c>
      <c r="M133" s="49"/>
      <c r="N133" s="46">
        <v>3.46</v>
      </c>
      <c r="O133" s="46">
        <v>0</v>
      </c>
      <c r="P133" s="46">
        <v>0</v>
      </c>
      <c r="Q133" s="46">
        <v>0</v>
      </c>
      <c r="R133" s="46">
        <v>0</v>
      </c>
      <c r="S133" s="46">
        <v>43</v>
      </c>
      <c r="T133" s="48">
        <v>43</v>
      </c>
    </row>
    <row r="134" spans="1:20" ht="22.95" customHeight="1" x14ac:dyDescent="0.25">
      <c r="A134" s="46">
        <v>133</v>
      </c>
      <c r="B134" s="47">
        <v>243928</v>
      </c>
      <c r="C134" s="46" t="s">
        <v>114</v>
      </c>
      <c r="D134" s="46" t="s">
        <v>115</v>
      </c>
      <c r="E134" s="46" t="s">
        <v>119</v>
      </c>
      <c r="F134" s="46" t="s">
        <v>116</v>
      </c>
      <c r="G134" s="46" t="s">
        <v>133</v>
      </c>
      <c r="H134" s="46" t="s">
        <v>117</v>
      </c>
      <c r="I134" s="46" t="s">
        <v>717</v>
      </c>
      <c r="J134" s="46" t="s">
        <v>718</v>
      </c>
      <c r="K134" s="46" t="s">
        <v>126</v>
      </c>
      <c r="L134" s="46" t="s">
        <v>719</v>
      </c>
      <c r="M134" s="49"/>
      <c r="N134" s="46">
        <v>0.13400000000000001</v>
      </c>
      <c r="O134" s="46">
        <v>0</v>
      </c>
      <c r="P134" s="46">
        <v>0</v>
      </c>
      <c r="Q134" s="46">
        <v>0</v>
      </c>
      <c r="R134" s="46">
        <v>0</v>
      </c>
      <c r="S134" s="46">
        <v>17</v>
      </c>
      <c r="T134" s="48">
        <v>17</v>
      </c>
    </row>
    <row r="135" spans="1:20" ht="22.95" customHeight="1" x14ac:dyDescent="0.25">
      <c r="A135" s="46">
        <v>134</v>
      </c>
      <c r="B135" s="47">
        <v>243929</v>
      </c>
      <c r="C135" s="46" t="s">
        <v>114</v>
      </c>
      <c r="D135" s="46" t="s">
        <v>115</v>
      </c>
      <c r="E135" s="46" t="s">
        <v>119</v>
      </c>
      <c r="F135" s="46" t="s">
        <v>116</v>
      </c>
      <c r="G135" s="46" t="s">
        <v>133</v>
      </c>
      <c r="H135" s="46" t="s">
        <v>117</v>
      </c>
      <c r="I135" s="46" t="s">
        <v>720</v>
      </c>
      <c r="J135" s="46" t="s">
        <v>721</v>
      </c>
      <c r="K135" s="46" t="s">
        <v>722</v>
      </c>
      <c r="L135" s="46" t="s">
        <v>723</v>
      </c>
      <c r="M135" s="49"/>
      <c r="N135" s="46">
        <v>1.6020000000000001</v>
      </c>
      <c r="O135" s="46">
        <v>130</v>
      </c>
      <c r="P135" s="46">
        <v>1.95</v>
      </c>
      <c r="Q135" s="46">
        <v>0.13650000000000001</v>
      </c>
      <c r="R135" s="46">
        <v>0</v>
      </c>
      <c r="S135" s="46">
        <v>22</v>
      </c>
      <c r="T135" s="48">
        <v>24.09</v>
      </c>
    </row>
    <row r="136" spans="1:20" ht="22.95" customHeight="1" x14ac:dyDescent="0.25">
      <c r="A136" s="46">
        <v>135</v>
      </c>
      <c r="B136" s="47">
        <v>243929</v>
      </c>
      <c r="C136" s="46" t="s">
        <v>114</v>
      </c>
      <c r="D136" s="46" t="s">
        <v>115</v>
      </c>
      <c r="E136" s="46" t="s">
        <v>119</v>
      </c>
      <c r="F136" s="46" t="s">
        <v>116</v>
      </c>
      <c r="G136" s="46" t="s">
        <v>133</v>
      </c>
      <c r="H136" s="46" t="s">
        <v>117</v>
      </c>
      <c r="I136" s="46" t="s">
        <v>724</v>
      </c>
      <c r="J136" s="46" t="s">
        <v>269</v>
      </c>
      <c r="K136" s="46" t="s">
        <v>270</v>
      </c>
      <c r="L136" s="46" t="s">
        <v>271</v>
      </c>
      <c r="M136" s="49"/>
      <c r="N136" s="46">
        <v>1.6259999999999999</v>
      </c>
      <c r="O136" s="46">
        <v>130</v>
      </c>
      <c r="P136" s="46">
        <v>1.95</v>
      </c>
      <c r="Q136" s="46">
        <v>0.13650000000000001</v>
      </c>
      <c r="R136" s="46">
        <v>0</v>
      </c>
      <c r="S136" s="46">
        <v>22</v>
      </c>
      <c r="T136" s="48">
        <v>24.09</v>
      </c>
    </row>
    <row r="137" spans="1:20" ht="22.95" customHeight="1" x14ac:dyDescent="0.25">
      <c r="A137" s="46">
        <v>136</v>
      </c>
      <c r="B137" s="47">
        <v>243929</v>
      </c>
      <c r="C137" s="46" t="s">
        <v>114</v>
      </c>
      <c r="D137" s="46" t="s">
        <v>115</v>
      </c>
      <c r="E137" s="46" t="s">
        <v>119</v>
      </c>
      <c r="F137" s="46" t="s">
        <v>116</v>
      </c>
      <c r="G137" s="46" t="s">
        <v>133</v>
      </c>
      <c r="H137" s="46" t="s">
        <v>117</v>
      </c>
      <c r="I137" s="46" t="s">
        <v>725</v>
      </c>
      <c r="J137" s="46" t="s">
        <v>726</v>
      </c>
      <c r="K137" s="46" t="s">
        <v>727</v>
      </c>
      <c r="L137" s="46" t="s">
        <v>728</v>
      </c>
      <c r="M137" s="49"/>
      <c r="N137" s="46">
        <v>0.7</v>
      </c>
      <c r="O137" s="46">
        <v>230</v>
      </c>
      <c r="P137" s="46">
        <v>3.45</v>
      </c>
      <c r="Q137" s="46">
        <v>0.24149999999999999</v>
      </c>
      <c r="R137" s="46">
        <v>0</v>
      </c>
      <c r="S137" s="46">
        <v>17</v>
      </c>
      <c r="T137" s="48">
        <v>20.69</v>
      </c>
    </row>
    <row r="138" spans="1:20" ht="22.95" customHeight="1" x14ac:dyDescent="0.25">
      <c r="A138" s="46">
        <v>137</v>
      </c>
      <c r="B138" s="47">
        <v>243929</v>
      </c>
      <c r="C138" s="46" t="s">
        <v>114</v>
      </c>
      <c r="D138" s="46" t="s">
        <v>115</v>
      </c>
      <c r="E138" s="46" t="s">
        <v>119</v>
      </c>
      <c r="F138" s="46" t="s">
        <v>116</v>
      </c>
      <c r="G138" s="46" t="s">
        <v>133</v>
      </c>
      <c r="H138" s="46" t="s">
        <v>117</v>
      </c>
      <c r="I138" s="46" t="s">
        <v>729</v>
      </c>
      <c r="J138" s="46" t="s">
        <v>244</v>
      </c>
      <c r="K138" s="46" t="s">
        <v>245</v>
      </c>
      <c r="L138" s="46" t="s">
        <v>246</v>
      </c>
      <c r="M138" s="49"/>
      <c r="N138" s="46">
        <v>0.71799999999999997</v>
      </c>
      <c r="O138" s="46">
        <v>230</v>
      </c>
      <c r="P138" s="46">
        <v>3.45</v>
      </c>
      <c r="Q138" s="46">
        <v>0.24149999999999999</v>
      </c>
      <c r="R138" s="46">
        <v>0</v>
      </c>
      <c r="S138" s="46">
        <v>17</v>
      </c>
      <c r="T138" s="48">
        <v>20.69</v>
      </c>
    </row>
    <row r="139" spans="1:20" ht="22.95" customHeight="1" x14ac:dyDescent="0.25">
      <c r="A139" s="46">
        <v>138</v>
      </c>
      <c r="B139" s="47">
        <v>243929</v>
      </c>
      <c r="C139" s="46" t="s">
        <v>114</v>
      </c>
      <c r="D139" s="46" t="s">
        <v>115</v>
      </c>
      <c r="E139" s="46" t="s">
        <v>119</v>
      </c>
      <c r="F139" s="46" t="s">
        <v>116</v>
      </c>
      <c r="G139" s="46" t="s">
        <v>133</v>
      </c>
      <c r="H139" s="46" t="s">
        <v>117</v>
      </c>
      <c r="I139" s="46" t="s">
        <v>730</v>
      </c>
      <c r="J139" s="46" t="s">
        <v>731</v>
      </c>
      <c r="K139" s="46" t="s">
        <v>732</v>
      </c>
      <c r="L139" s="46" t="s">
        <v>733</v>
      </c>
      <c r="M139" s="49"/>
      <c r="N139" s="46">
        <v>1.6259999999999999</v>
      </c>
      <c r="O139" s="46">
        <v>130</v>
      </c>
      <c r="P139" s="46">
        <v>1.95</v>
      </c>
      <c r="Q139" s="46">
        <v>0.13650000000000001</v>
      </c>
      <c r="R139" s="46">
        <v>0</v>
      </c>
      <c r="S139" s="46">
        <v>22</v>
      </c>
      <c r="T139" s="48">
        <v>24.09</v>
      </c>
    </row>
    <row r="140" spans="1:20" ht="22.95" customHeight="1" x14ac:dyDescent="0.25">
      <c r="A140" s="46">
        <v>139</v>
      </c>
      <c r="B140" s="47">
        <v>243929</v>
      </c>
      <c r="C140" s="46" t="s">
        <v>114</v>
      </c>
      <c r="D140" s="46" t="s">
        <v>115</v>
      </c>
      <c r="E140" s="46" t="s">
        <v>119</v>
      </c>
      <c r="F140" s="46" t="s">
        <v>116</v>
      </c>
      <c r="G140" s="46" t="s">
        <v>133</v>
      </c>
      <c r="H140" s="46" t="s">
        <v>117</v>
      </c>
      <c r="I140" s="46" t="s">
        <v>734</v>
      </c>
      <c r="J140" s="46" t="s">
        <v>735</v>
      </c>
      <c r="K140" s="46" t="s">
        <v>736</v>
      </c>
      <c r="L140" s="46" t="s">
        <v>737</v>
      </c>
      <c r="M140" s="49"/>
      <c r="N140" s="46">
        <v>0.752</v>
      </c>
      <c r="O140" s="46">
        <v>230</v>
      </c>
      <c r="P140" s="46">
        <v>3.45</v>
      </c>
      <c r="Q140" s="46">
        <v>0.24149999999999999</v>
      </c>
      <c r="R140" s="46">
        <v>0</v>
      </c>
      <c r="S140" s="46">
        <v>17</v>
      </c>
      <c r="T140" s="48">
        <v>20.69</v>
      </c>
    </row>
    <row r="141" spans="1:20" ht="22.95" customHeight="1" x14ac:dyDescent="0.25">
      <c r="A141" s="46">
        <v>140</v>
      </c>
      <c r="B141" s="47">
        <v>243929</v>
      </c>
      <c r="C141" s="46" t="s">
        <v>114</v>
      </c>
      <c r="D141" s="46" t="s">
        <v>115</v>
      </c>
      <c r="E141" s="46" t="s">
        <v>119</v>
      </c>
      <c r="F141" s="46" t="s">
        <v>116</v>
      </c>
      <c r="G141" s="46" t="s">
        <v>133</v>
      </c>
      <c r="H141" s="46" t="s">
        <v>117</v>
      </c>
      <c r="I141" s="46" t="s">
        <v>738</v>
      </c>
      <c r="J141" s="46" t="s">
        <v>739</v>
      </c>
      <c r="K141" s="46" t="s">
        <v>740</v>
      </c>
      <c r="L141" s="46" t="s">
        <v>741</v>
      </c>
      <c r="M141" s="49"/>
      <c r="N141" s="46">
        <v>17.32</v>
      </c>
      <c r="O141" s="46">
        <v>1540</v>
      </c>
      <c r="P141" s="46">
        <v>23.1</v>
      </c>
      <c r="Q141" s="46">
        <v>1.617</v>
      </c>
      <c r="R141" s="46">
        <v>0</v>
      </c>
      <c r="S141" s="46">
        <v>190</v>
      </c>
      <c r="T141" s="48">
        <v>214.72</v>
      </c>
    </row>
    <row r="142" spans="1:20" ht="22.95" customHeight="1" x14ac:dyDescent="0.25">
      <c r="A142" s="46">
        <v>141</v>
      </c>
      <c r="B142" s="47">
        <v>243929</v>
      </c>
      <c r="C142" s="46" t="s">
        <v>114</v>
      </c>
      <c r="D142" s="46" t="s">
        <v>115</v>
      </c>
      <c r="E142" s="46" t="s">
        <v>119</v>
      </c>
      <c r="F142" s="46" t="s">
        <v>116</v>
      </c>
      <c r="G142" s="46" t="s">
        <v>133</v>
      </c>
      <c r="H142" s="46" t="s">
        <v>117</v>
      </c>
      <c r="I142" s="46" t="s">
        <v>742</v>
      </c>
      <c r="J142" s="46" t="s">
        <v>743</v>
      </c>
      <c r="K142" s="46" t="s">
        <v>744</v>
      </c>
      <c r="L142" s="46" t="s">
        <v>745</v>
      </c>
      <c r="M142" s="49"/>
      <c r="N142" s="46">
        <v>1.6459999999999999</v>
      </c>
      <c r="O142" s="46">
        <v>130</v>
      </c>
      <c r="P142" s="46">
        <v>1.95</v>
      </c>
      <c r="Q142" s="46">
        <v>0.13650000000000001</v>
      </c>
      <c r="R142" s="46">
        <v>0</v>
      </c>
      <c r="S142" s="46">
        <v>22</v>
      </c>
      <c r="T142" s="48">
        <v>24.09</v>
      </c>
    </row>
    <row r="143" spans="1:20" ht="22.95" customHeight="1" x14ac:dyDescent="0.25">
      <c r="A143" s="46">
        <v>142</v>
      </c>
      <c r="B143" s="47">
        <v>243929</v>
      </c>
      <c r="C143" s="46" t="s">
        <v>114</v>
      </c>
      <c r="D143" s="46" t="s">
        <v>115</v>
      </c>
      <c r="E143" s="46" t="s">
        <v>119</v>
      </c>
      <c r="F143" s="46" t="s">
        <v>116</v>
      </c>
      <c r="G143" s="46" t="s">
        <v>133</v>
      </c>
      <c r="H143" s="46" t="s">
        <v>117</v>
      </c>
      <c r="I143" s="46" t="s">
        <v>746</v>
      </c>
      <c r="J143" s="46" t="s">
        <v>747</v>
      </c>
      <c r="K143" s="46" t="s">
        <v>748</v>
      </c>
      <c r="L143" s="46" t="s">
        <v>749</v>
      </c>
      <c r="M143" s="49"/>
      <c r="N143" s="46">
        <v>1.08</v>
      </c>
      <c r="O143" s="46">
        <v>280</v>
      </c>
      <c r="P143" s="46">
        <v>4.2</v>
      </c>
      <c r="Q143" s="46">
        <v>0.29399999999999998</v>
      </c>
      <c r="R143" s="46">
        <v>0</v>
      </c>
      <c r="S143" s="46">
        <v>22</v>
      </c>
      <c r="T143" s="48">
        <v>26.49</v>
      </c>
    </row>
    <row r="144" spans="1:20" ht="22.95" customHeight="1" x14ac:dyDescent="0.25">
      <c r="A144" s="46">
        <v>143</v>
      </c>
      <c r="B144" s="47">
        <v>243929</v>
      </c>
      <c r="C144" s="46" t="s">
        <v>114</v>
      </c>
      <c r="D144" s="46" t="s">
        <v>115</v>
      </c>
      <c r="E144" s="46" t="s">
        <v>119</v>
      </c>
      <c r="F144" s="46" t="s">
        <v>116</v>
      </c>
      <c r="G144" s="46" t="s">
        <v>133</v>
      </c>
      <c r="H144" s="46" t="s">
        <v>117</v>
      </c>
      <c r="I144" s="46" t="s">
        <v>750</v>
      </c>
      <c r="J144" s="46" t="s">
        <v>266</v>
      </c>
      <c r="K144" s="46" t="s">
        <v>267</v>
      </c>
      <c r="L144" s="46" t="s">
        <v>268</v>
      </c>
      <c r="M144" s="49"/>
      <c r="N144" s="46">
        <v>1.6419999999999999</v>
      </c>
      <c r="O144" s="46">
        <v>130</v>
      </c>
      <c r="P144" s="46">
        <v>1.95</v>
      </c>
      <c r="Q144" s="46">
        <v>0.13650000000000001</v>
      </c>
      <c r="R144" s="46">
        <v>0</v>
      </c>
      <c r="S144" s="46">
        <v>22</v>
      </c>
      <c r="T144" s="48">
        <v>24.09</v>
      </c>
    </row>
    <row r="145" spans="1:20" ht="22.95" customHeight="1" x14ac:dyDescent="0.25">
      <c r="A145" s="46">
        <v>144</v>
      </c>
      <c r="B145" s="47">
        <v>243929</v>
      </c>
      <c r="C145" s="46" t="s">
        <v>114</v>
      </c>
      <c r="D145" s="46" t="s">
        <v>115</v>
      </c>
      <c r="E145" s="46" t="s">
        <v>119</v>
      </c>
      <c r="F145" s="46" t="s">
        <v>116</v>
      </c>
      <c r="G145" s="46" t="s">
        <v>133</v>
      </c>
      <c r="H145" s="46" t="s">
        <v>117</v>
      </c>
      <c r="I145" s="46" t="s">
        <v>751</v>
      </c>
      <c r="J145" s="46" t="s">
        <v>752</v>
      </c>
      <c r="K145" s="46" t="s">
        <v>753</v>
      </c>
      <c r="L145" s="46" t="s">
        <v>754</v>
      </c>
      <c r="M145" s="49"/>
      <c r="N145" s="46">
        <v>0.61599999999999999</v>
      </c>
      <c r="O145" s="46">
        <v>225</v>
      </c>
      <c r="P145" s="46">
        <v>3.375</v>
      </c>
      <c r="Q145" s="46">
        <v>0.23630000000000001</v>
      </c>
      <c r="R145" s="46">
        <v>0</v>
      </c>
      <c r="S145" s="46">
        <v>17</v>
      </c>
      <c r="T145" s="48">
        <v>20.61</v>
      </c>
    </row>
    <row r="146" spans="1:20" ht="22.95" customHeight="1" x14ac:dyDescent="0.25">
      <c r="A146" s="46">
        <v>145</v>
      </c>
      <c r="B146" s="47">
        <v>243929</v>
      </c>
      <c r="C146" s="46" t="s">
        <v>114</v>
      </c>
      <c r="D146" s="46" t="s">
        <v>115</v>
      </c>
      <c r="E146" s="46" t="s">
        <v>119</v>
      </c>
      <c r="F146" s="46" t="s">
        <v>116</v>
      </c>
      <c r="G146" s="46" t="s">
        <v>133</v>
      </c>
      <c r="H146" s="46" t="s">
        <v>117</v>
      </c>
      <c r="I146" s="46" t="s">
        <v>755</v>
      </c>
      <c r="J146" s="46" t="s">
        <v>169</v>
      </c>
      <c r="K146" s="46" t="s">
        <v>131</v>
      </c>
      <c r="L146" s="46" t="s">
        <v>170</v>
      </c>
      <c r="M146" s="49"/>
      <c r="N146" s="46">
        <v>0.624</v>
      </c>
      <c r="O146" s="46">
        <v>0</v>
      </c>
      <c r="P146" s="46">
        <v>0</v>
      </c>
      <c r="Q146" s="46">
        <v>0</v>
      </c>
      <c r="R146" s="46">
        <v>0</v>
      </c>
      <c r="S146" s="46">
        <v>17</v>
      </c>
      <c r="T146" s="48">
        <v>17</v>
      </c>
    </row>
    <row r="147" spans="1:20" ht="22.95" customHeight="1" x14ac:dyDescent="0.25">
      <c r="A147" s="46">
        <v>146</v>
      </c>
      <c r="B147" s="47">
        <v>243929</v>
      </c>
      <c r="C147" s="46" t="s">
        <v>114</v>
      </c>
      <c r="D147" s="46" t="s">
        <v>115</v>
      </c>
      <c r="E147" s="46" t="s">
        <v>119</v>
      </c>
      <c r="F147" s="46" t="s">
        <v>116</v>
      </c>
      <c r="G147" s="46" t="s">
        <v>133</v>
      </c>
      <c r="H147" s="46" t="s">
        <v>117</v>
      </c>
      <c r="I147" s="46" t="s">
        <v>756</v>
      </c>
      <c r="J147" s="46" t="s">
        <v>757</v>
      </c>
      <c r="K147" s="46" t="s">
        <v>758</v>
      </c>
      <c r="L147" s="46" t="s">
        <v>759</v>
      </c>
      <c r="M147" s="49"/>
      <c r="N147" s="46">
        <v>0.67600000000000005</v>
      </c>
      <c r="O147" s="46">
        <v>0</v>
      </c>
      <c r="P147" s="46">
        <v>0</v>
      </c>
      <c r="Q147" s="46">
        <v>0</v>
      </c>
      <c r="R147" s="46">
        <v>0</v>
      </c>
      <c r="S147" s="46">
        <v>17</v>
      </c>
      <c r="T147" s="48">
        <v>17</v>
      </c>
    </row>
    <row r="148" spans="1:20" ht="22.95" customHeight="1" x14ac:dyDescent="0.25">
      <c r="A148" s="46">
        <v>147</v>
      </c>
      <c r="B148" s="47">
        <v>243929</v>
      </c>
      <c r="C148" s="46" t="s">
        <v>114</v>
      </c>
      <c r="D148" s="46" t="s">
        <v>115</v>
      </c>
      <c r="E148" s="46" t="s">
        <v>119</v>
      </c>
      <c r="F148" s="46" t="s">
        <v>116</v>
      </c>
      <c r="G148" s="46" t="s">
        <v>133</v>
      </c>
      <c r="H148" s="46" t="s">
        <v>117</v>
      </c>
      <c r="I148" s="46" t="s">
        <v>760</v>
      </c>
      <c r="J148" s="46" t="s">
        <v>761</v>
      </c>
      <c r="K148" s="46" t="s">
        <v>762</v>
      </c>
      <c r="L148" s="46" t="s">
        <v>763</v>
      </c>
      <c r="M148" s="49"/>
      <c r="N148" s="46">
        <v>0.622</v>
      </c>
      <c r="O148" s="46">
        <v>0</v>
      </c>
      <c r="P148" s="46">
        <v>0</v>
      </c>
      <c r="Q148" s="46">
        <v>0</v>
      </c>
      <c r="R148" s="46">
        <v>0</v>
      </c>
      <c r="S148" s="46">
        <v>17</v>
      </c>
      <c r="T148" s="48">
        <v>17</v>
      </c>
    </row>
    <row r="149" spans="1:20" ht="22.95" customHeight="1" x14ac:dyDescent="0.25">
      <c r="A149" s="46">
        <v>148</v>
      </c>
      <c r="B149" s="47">
        <v>243929</v>
      </c>
      <c r="C149" s="46" t="s">
        <v>114</v>
      </c>
      <c r="D149" s="46" t="s">
        <v>115</v>
      </c>
      <c r="E149" s="46" t="s">
        <v>119</v>
      </c>
      <c r="F149" s="46" t="s">
        <v>116</v>
      </c>
      <c r="G149" s="46" t="s">
        <v>133</v>
      </c>
      <c r="H149" s="46" t="s">
        <v>117</v>
      </c>
      <c r="I149" s="46" t="s">
        <v>764</v>
      </c>
      <c r="J149" s="46" t="s">
        <v>765</v>
      </c>
      <c r="K149" s="46" t="s">
        <v>137</v>
      </c>
      <c r="L149" s="46" t="s">
        <v>766</v>
      </c>
      <c r="M149" s="49"/>
      <c r="N149" s="46">
        <v>1.744</v>
      </c>
      <c r="O149" s="46">
        <v>0</v>
      </c>
      <c r="P149" s="46">
        <v>0</v>
      </c>
      <c r="Q149" s="46">
        <v>0</v>
      </c>
      <c r="R149" s="46">
        <v>0</v>
      </c>
      <c r="S149" s="46">
        <v>22</v>
      </c>
      <c r="T149" s="48">
        <v>22</v>
      </c>
    </row>
    <row r="150" spans="1:20" ht="22.95" customHeight="1" x14ac:dyDescent="0.25">
      <c r="A150" s="46">
        <v>149</v>
      </c>
      <c r="B150" s="47">
        <v>243929</v>
      </c>
      <c r="C150" s="46" t="s">
        <v>114</v>
      </c>
      <c r="D150" s="46" t="s">
        <v>115</v>
      </c>
      <c r="E150" s="46" t="s">
        <v>119</v>
      </c>
      <c r="F150" s="46" t="s">
        <v>116</v>
      </c>
      <c r="G150" s="46" t="s">
        <v>133</v>
      </c>
      <c r="H150" s="46" t="s">
        <v>117</v>
      </c>
      <c r="I150" s="46" t="s">
        <v>767</v>
      </c>
      <c r="J150" s="46" t="s">
        <v>166</v>
      </c>
      <c r="K150" s="46" t="s">
        <v>167</v>
      </c>
      <c r="L150" s="46" t="s">
        <v>168</v>
      </c>
      <c r="M150" s="49"/>
      <c r="N150" s="46">
        <v>0.65600000000000003</v>
      </c>
      <c r="O150" s="46">
        <v>0</v>
      </c>
      <c r="P150" s="46">
        <v>0</v>
      </c>
      <c r="Q150" s="46">
        <v>0</v>
      </c>
      <c r="R150" s="46">
        <v>0</v>
      </c>
      <c r="S150" s="46">
        <v>17</v>
      </c>
      <c r="T150" s="48">
        <v>17</v>
      </c>
    </row>
    <row r="151" spans="1:20" ht="22.95" customHeight="1" x14ac:dyDescent="0.25">
      <c r="A151" s="46">
        <v>150</v>
      </c>
      <c r="B151" s="47">
        <v>243929</v>
      </c>
      <c r="C151" s="46" t="s">
        <v>114</v>
      </c>
      <c r="D151" s="46" t="s">
        <v>115</v>
      </c>
      <c r="E151" s="46" t="s">
        <v>119</v>
      </c>
      <c r="F151" s="46" t="s">
        <v>116</v>
      </c>
      <c r="G151" s="46" t="s">
        <v>133</v>
      </c>
      <c r="H151" s="46" t="s">
        <v>117</v>
      </c>
      <c r="I151" s="46" t="s">
        <v>768</v>
      </c>
      <c r="J151" s="46" t="s">
        <v>769</v>
      </c>
      <c r="K151" s="46" t="s">
        <v>770</v>
      </c>
      <c r="L151" s="46" t="s">
        <v>771</v>
      </c>
      <c r="M151" s="49"/>
      <c r="N151" s="46">
        <v>0.71199999999999997</v>
      </c>
      <c r="O151" s="46">
        <v>0</v>
      </c>
      <c r="P151" s="46">
        <v>0</v>
      </c>
      <c r="Q151" s="46">
        <v>0</v>
      </c>
      <c r="R151" s="46">
        <v>0</v>
      </c>
      <c r="S151" s="46">
        <v>17</v>
      </c>
      <c r="T151" s="48">
        <v>17</v>
      </c>
    </row>
    <row r="152" spans="1:20" ht="22.95" customHeight="1" x14ac:dyDescent="0.25">
      <c r="A152" s="46">
        <v>151</v>
      </c>
      <c r="B152" s="47">
        <v>243929</v>
      </c>
      <c r="C152" s="46" t="s">
        <v>114</v>
      </c>
      <c r="D152" s="46" t="s">
        <v>115</v>
      </c>
      <c r="E152" s="46" t="s">
        <v>119</v>
      </c>
      <c r="F152" s="46" t="s">
        <v>116</v>
      </c>
      <c r="G152" s="46" t="s">
        <v>133</v>
      </c>
      <c r="H152" s="46" t="s">
        <v>117</v>
      </c>
      <c r="I152" s="46" t="s">
        <v>772</v>
      </c>
      <c r="J152" s="46" t="s">
        <v>773</v>
      </c>
      <c r="K152" s="46" t="s">
        <v>774</v>
      </c>
      <c r="L152" s="46" t="s">
        <v>775</v>
      </c>
      <c r="M152" s="49"/>
      <c r="N152" s="46">
        <v>1.3460000000000001</v>
      </c>
      <c r="O152" s="46">
        <v>0</v>
      </c>
      <c r="P152" s="46">
        <v>0</v>
      </c>
      <c r="Q152" s="46">
        <v>0</v>
      </c>
      <c r="R152" s="46">
        <v>0</v>
      </c>
      <c r="S152" s="46">
        <v>22</v>
      </c>
      <c r="T152" s="48">
        <v>22</v>
      </c>
    </row>
    <row r="153" spans="1:20" ht="22.95" customHeight="1" x14ac:dyDescent="0.25">
      <c r="A153" s="46">
        <v>152</v>
      </c>
      <c r="B153" s="47">
        <v>243929</v>
      </c>
      <c r="C153" s="46" t="s">
        <v>114</v>
      </c>
      <c r="D153" s="46" t="s">
        <v>115</v>
      </c>
      <c r="E153" s="46" t="s">
        <v>119</v>
      </c>
      <c r="F153" s="46" t="s">
        <v>116</v>
      </c>
      <c r="G153" s="46" t="s">
        <v>133</v>
      </c>
      <c r="H153" s="46" t="s">
        <v>117</v>
      </c>
      <c r="I153" s="46" t="s">
        <v>776</v>
      </c>
      <c r="J153" s="46" t="s">
        <v>777</v>
      </c>
      <c r="K153" s="46" t="s">
        <v>778</v>
      </c>
      <c r="L153" s="46" t="s">
        <v>779</v>
      </c>
      <c r="M153" s="49"/>
      <c r="N153" s="46">
        <v>0.63</v>
      </c>
      <c r="O153" s="46">
        <v>0</v>
      </c>
      <c r="P153" s="46">
        <v>0</v>
      </c>
      <c r="Q153" s="46">
        <v>0</v>
      </c>
      <c r="R153" s="46">
        <v>0</v>
      </c>
      <c r="S153" s="46">
        <v>17</v>
      </c>
      <c r="T153" s="48">
        <v>17</v>
      </c>
    </row>
    <row r="154" spans="1:20" ht="22.95" customHeight="1" x14ac:dyDescent="0.25">
      <c r="A154" s="46">
        <v>153</v>
      </c>
      <c r="B154" s="47">
        <v>243929</v>
      </c>
      <c r="C154" s="46" t="s">
        <v>114</v>
      </c>
      <c r="D154" s="46" t="s">
        <v>115</v>
      </c>
      <c r="E154" s="46" t="s">
        <v>119</v>
      </c>
      <c r="F154" s="46" t="s">
        <v>116</v>
      </c>
      <c r="G154" s="46" t="s">
        <v>133</v>
      </c>
      <c r="H154" s="46" t="s">
        <v>117</v>
      </c>
      <c r="I154" s="46" t="s">
        <v>780</v>
      </c>
      <c r="J154" s="46" t="s">
        <v>781</v>
      </c>
      <c r="K154" s="46" t="s">
        <v>782</v>
      </c>
      <c r="L154" s="46" t="s">
        <v>783</v>
      </c>
      <c r="M154" s="49"/>
      <c r="N154" s="46">
        <v>5.95</v>
      </c>
      <c r="O154" s="46">
        <v>0</v>
      </c>
      <c r="P154" s="46">
        <v>0</v>
      </c>
      <c r="Q154" s="46">
        <v>0</v>
      </c>
      <c r="R154" s="46">
        <v>0</v>
      </c>
      <c r="S154" s="46">
        <v>70</v>
      </c>
      <c r="T154" s="48">
        <v>70</v>
      </c>
    </row>
    <row r="155" spans="1:20" ht="22.95" customHeight="1" x14ac:dyDescent="0.25">
      <c r="A155" s="46">
        <v>154</v>
      </c>
      <c r="B155" s="47">
        <v>243929</v>
      </c>
      <c r="C155" s="46" t="s">
        <v>114</v>
      </c>
      <c r="D155" s="46" t="s">
        <v>115</v>
      </c>
      <c r="E155" s="46" t="s">
        <v>119</v>
      </c>
      <c r="F155" s="46" t="s">
        <v>116</v>
      </c>
      <c r="G155" s="46" t="s">
        <v>133</v>
      </c>
      <c r="H155" s="46" t="s">
        <v>117</v>
      </c>
      <c r="I155" s="46" t="s">
        <v>312</v>
      </c>
      <c r="J155" s="46" t="s">
        <v>308</v>
      </c>
      <c r="K155" s="46" t="s">
        <v>784</v>
      </c>
      <c r="L155" s="46" t="s">
        <v>785</v>
      </c>
      <c r="M155" s="49"/>
      <c r="N155" s="46">
        <v>0.26800000000000002</v>
      </c>
      <c r="O155" s="46">
        <v>0</v>
      </c>
      <c r="P155" s="46">
        <v>0</v>
      </c>
      <c r="Q155" s="46">
        <v>0</v>
      </c>
      <c r="R155" s="46">
        <v>0</v>
      </c>
      <c r="S155" s="46">
        <v>17</v>
      </c>
      <c r="T155" s="48">
        <v>17</v>
      </c>
    </row>
    <row r="156" spans="1:20" ht="22.95" customHeight="1" x14ac:dyDescent="0.25">
      <c r="A156" s="46">
        <v>155</v>
      </c>
      <c r="B156" s="47">
        <v>243929</v>
      </c>
      <c r="C156" s="46" t="s">
        <v>114</v>
      </c>
      <c r="D156" s="46" t="s">
        <v>115</v>
      </c>
      <c r="E156" s="46" t="s">
        <v>119</v>
      </c>
      <c r="F156" s="46" t="s">
        <v>116</v>
      </c>
      <c r="G156" s="46" t="s">
        <v>133</v>
      </c>
      <c r="H156" s="46" t="s">
        <v>117</v>
      </c>
      <c r="I156" s="46" t="s">
        <v>786</v>
      </c>
      <c r="J156" s="46" t="s">
        <v>787</v>
      </c>
      <c r="K156" s="46" t="s">
        <v>788</v>
      </c>
      <c r="L156" s="46" t="s">
        <v>789</v>
      </c>
      <c r="M156" s="49"/>
      <c r="N156" s="46">
        <v>17.32</v>
      </c>
      <c r="O156" s="46">
        <v>465</v>
      </c>
      <c r="P156" s="46">
        <v>6.9749999999999996</v>
      </c>
      <c r="Q156" s="46">
        <v>0.48830000000000001</v>
      </c>
      <c r="R156" s="46">
        <v>0</v>
      </c>
      <c r="S156" s="46">
        <v>190</v>
      </c>
      <c r="T156" s="48">
        <v>197.46</v>
      </c>
    </row>
    <row r="157" spans="1:20" ht="22.95" customHeight="1" x14ac:dyDescent="0.25">
      <c r="A157" s="46">
        <v>156</v>
      </c>
      <c r="B157" s="47">
        <v>243929</v>
      </c>
      <c r="C157" s="46" t="s">
        <v>114</v>
      </c>
      <c r="D157" s="46" t="s">
        <v>115</v>
      </c>
      <c r="E157" s="46" t="s">
        <v>119</v>
      </c>
      <c r="F157" s="46" t="s">
        <v>116</v>
      </c>
      <c r="G157" s="46" t="s">
        <v>133</v>
      </c>
      <c r="H157" s="46" t="s">
        <v>117</v>
      </c>
      <c r="I157" s="46" t="s">
        <v>790</v>
      </c>
      <c r="J157" s="46" t="s">
        <v>791</v>
      </c>
      <c r="K157" s="46" t="s">
        <v>788</v>
      </c>
      <c r="L157" s="46" t="s">
        <v>789</v>
      </c>
      <c r="M157" s="49"/>
      <c r="N157" s="46">
        <v>5.58</v>
      </c>
      <c r="O157" s="46">
        <v>465</v>
      </c>
      <c r="P157" s="46">
        <v>6.9749999999999996</v>
      </c>
      <c r="Q157" s="46">
        <v>0.48830000000000001</v>
      </c>
      <c r="R157" s="46">
        <v>0</v>
      </c>
      <c r="S157" s="46">
        <v>70</v>
      </c>
      <c r="T157" s="48">
        <v>77.459999999999994</v>
      </c>
    </row>
    <row r="158" spans="1:20" ht="22.95" customHeight="1" x14ac:dyDescent="0.25">
      <c r="A158" s="46">
        <v>157</v>
      </c>
      <c r="B158" s="47">
        <v>243929</v>
      </c>
      <c r="C158" s="46" t="s">
        <v>114</v>
      </c>
      <c r="D158" s="46" t="s">
        <v>115</v>
      </c>
      <c r="E158" s="46" t="s">
        <v>119</v>
      </c>
      <c r="F158" s="46" t="s">
        <v>116</v>
      </c>
      <c r="G158" s="46" t="s">
        <v>133</v>
      </c>
      <c r="H158" s="46" t="s">
        <v>117</v>
      </c>
      <c r="I158" s="46" t="s">
        <v>792</v>
      </c>
      <c r="J158" s="46" t="s">
        <v>793</v>
      </c>
      <c r="K158" s="46" t="s">
        <v>794</v>
      </c>
      <c r="L158" s="46" t="s">
        <v>795</v>
      </c>
      <c r="M158" s="49"/>
      <c r="N158" s="46">
        <v>17.32</v>
      </c>
      <c r="O158" s="46">
        <v>0</v>
      </c>
      <c r="P158" s="46">
        <v>0</v>
      </c>
      <c r="Q158" s="46">
        <v>0</v>
      </c>
      <c r="R158" s="46">
        <v>0</v>
      </c>
      <c r="S158" s="46">
        <v>190</v>
      </c>
      <c r="T158" s="48">
        <v>190</v>
      </c>
    </row>
    <row r="159" spans="1:20" ht="22.95" customHeight="1" x14ac:dyDescent="0.25">
      <c r="A159" s="46">
        <v>158</v>
      </c>
      <c r="B159" s="47">
        <v>243929</v>
      </c>
      <c r="C159" s="46" t="s">
        <v>114</v>
      </c>
      <c r="D159" s="46" t="s">
        <v>115</v>
      </c>
      <c r="E159" s="46" t="s">
        <v>119</v>
      </c>
      <c r="F159" s="46" t="s">
        <v>116</v>
      </c>
      <c r="G159" s="46" t="s">
        <v>133</v>
      </c>
      <c r="H159" s="46" t="s">
        <v>117</v>
      </c>
      <c r="I159" s="46" t="s">
        <v>796</v>
      </c>
      <c r="J159" s="46" t="s">
        <v>797</v>
      </c>
      <c r="K159" s="46" t="s">
        <v>794</v>
      </c>
      <c r="L159" s="46" t="s">
        <v>798</v>
      </c>
      <c r="M159" s="49"/>
      <c r="N159" s="46">
        <v>1.248</v>
      </c>
      <c r="O159" s="46">
        <v>0</v>
      </c>
      <c r="P159" s="46">
        <v>0</v>
      </c>
      <c r="Q159" s="46">
        <v>0</v>
      </c>
      <c r="R159" s="46">
        <v>0</v>
      </c>
      <c r="S159" s="46">
        <v>22</v>
      </c>
      <c r="T159" s="48">
        <v>22</v>
      </c>
    </row>
    <row r="160" spans="1:20" ht="22.95" customHeight="1" x14ac:dyDescent="0.25">
      <c r="A160" s="46">
        <v>159</v>
      </c>
      <c r="B160" s="47">
        <v>243929</v>
      </c>
      <c r="C160" s="46" t="s">
        <v>114</v>
      </c>
      <c r="D160" s="46" t="s">
        <v>115</v>
      </c>
      <c r="E160" s="46" t="s">
        <v>119</v>
      </c>
      <c r="F160" s="46" t="s">
        <v>116</v>
      </c>
      <c r="G160" s="46" t="s">
        <v>133</v>
      </c>
      <c r="H160" s="46" t="s">
        <v>117</v>
      </c>
      <c r="I160" s="46" t="s">
        <v>799</v>
      </c>
      <c r="J160" s="46" t="s">
        <v>123</v>
      </c>
      <c r="K160" s="46" t="s">
        <v>124</v>
      </c>
      <c r="L160" s="46" t="s">
        <v>531</v>
      </c>
      <c r="M160" s="49"/>
      <c r="N160" s="46">
        <v>0.104</v>
      </c>
      <c r="O160" s="46">
        <v>0</v>
      </c>
      <c r="P160" s="46">
        <v>0</v>
      </c>
      <c r="Q160" s="46">
        <v>0</v>
      </c>
      <c r="R160" s="46">
        <v>0</v>
      </c>
      <c r="S160" s="46">
        <v>17</v>
      </c>
      <c r="T160" s="48">
        <v>17</v>
      </c>
    </row>
    <row r="161" spans="1:20" ht="22.95" customHeight="1" x14ac:dyDescent="0.25">
      <c r="A161" s="46">
        <v>160</v>
      </c>
      <c r="B161" s="47">
        <v>243929</v>
      </c>
      <c r="C161" s="46" t="s">
        <v>114</v>
      </c>
      <c r="D161" s="46" t="s">
        <v>115</v>
      </c>
      <c r="E161" s="46" t="s">
        <v>119</v>
      </c>
      <c r="F161" s="46" t="s">
        <v>116</v>
      </c>
      <c r="G161" s="46" t="s">
        <v>133</v>
      </c>
      <c r="H161" s="46" t="s">
        <v>117</v>
      </c>
      <c r="I161" s="46" t="s">
        <v>800</v>
      </c>
      <c r="J161" s="46" t="s">
        <v>801</v>
      </c>
      <c r="K161" s="46" t="s">
        <v>802</v>
      </c>
      <c r="L161" s="46" t="s">
        <v>803</v>
      </c>
      <c r="M161" s="49"/>
      <c r="N161" s="46">
        <v>5.8000000000000003E-2</v>
      </c>
      <c r="O161" s="46">
        <v>0</v>
      </c>
      <c r="P161" s="46">
        <v>0</v>
      </c>
      <c r="Q161" s="46">
        <v>0</v>
      </c>
      <c r="R161" s="46">
        <v>0</v>
      </c>
      <c r="S161" s="46">
        <v>17</v>
      </c>
      <c r="T161" s="48">
        <v>17</v>
      </c>
    </row>
    <row r="162" spans="1:20" ht="22.95" customHeight="1" x14ac:dyDescent="0.25">
      <c r="A162" s="46">
        <v>161</v>
      </c>
      <c r="B162" s="47">
        <v>243931</v>
      </c>
      <c r="C162" s="46" t="s">
        <v>114</v>
      </c>
      <c r="D162" s="46" t="s">
        <v>115</v>
      </c>
      <c r="E162" s="46" t="s">
        <v>149</v>
      </c>
      <c r="F162" s="46" t="s">
        <v>116</v>
      </c>
      <c r="G162" s="46" t="s">
        <v>133</v>
      </c>
      <c r="H162" s="46" t="s">
        <v>117</v>
      </c>
      <c r="I162" s="46" t="s">
        <v>804</v>
      </c>
      <c r="J162" s="46" t="s">
        <v>805</v>
      </c>
      <c r="K162" s="46" t="s">
        <v>806</v>
      </c>
      <c r="L162" s="46" t="s">
        <v>807</v>
      </c>
      <c r="M162" s="49" t="s">
        <v>118</v>
      </c>
      <c r="N162" s="46">
        <v>21.02</v>
      </c>
      <c r="O162" s="46" t="s">
        <v>808</v>
      </c>
      <c r="P162" s="46">
        <v>0</v>
      </c>
      <c r="Q162" s="46">
        <v>0</v>
      </c>
      <c r="R162" s="46">
        <v>0</v>
      </c>
      <c r="S162" s="46">
        <v>0</v>
      </c>
      <c r="T162" s="48">
        <v>249</v>
      </c>
    </row>
    <row r="163" spans="1:20" ht="22.95" customHeight="1" x14ac:dyDescent="0.25">
      <c r="A163" s="46">
        <v>162</v>
      </c>
      <c r="B163" s="47">
        <v>243931</v>
      </c>
      <c r="C163" s="46" t="s">
        <v>114</v>
      </c>
      <c r="D163" s="46" t="s">
        <v>115</v>
      </c>
      <c r="E163" s="46" t="s">
        <v>119</v>
      </c>
      <c r="F163" s="46" t="s">
        <v>116</v>
      </c>
      <c r="G163" s="46" t="s">
        <v>133</v>
      </c>
      <c r="H163" s="46" t="s">
        <v>117</v>
      </c>
      <c r="I163" s="46" t="s">
        <v>809</v>
      </c>
      <c r="J163" s="46" t="s">
        <v>810</v>
      </c>
      <c r="K163" s="46" t="s">
        <v>811</v>
      </c>
      <c r="L163" s="46" t="s">
        <v>812</v>
      </c>
      <c r="M163" s="49"/>
      <c r="N163" s="46">
        <v>0.70599999999999996</v>
      </c>
      <c r="O163" s="46">
        <v>230</v>
      </c>
      <c r="P163" s="46">
        <v>3.45</v>
      </c>
      <c r="Q163" s="46">
        <v>0.24149999999999999</v>
      </c>
      <c r="R163" s="46">
        <v>0</v>
      </c>
      <c r="S163" s="46">
        <v>17</v>
      </c>
      <c r="T163" s="48">
        <v>20.69</v>
      </c>
    </row>
    <row r="164" spans="1:20" ht="22.95" customHeight="1" x14ac:dyDescent="0.25">
      <c r="A164" s="46">
        <v>163</v>
      </c>
      <c r="B164" s="47">
        <v>243931</v>
      </c>
      <c r="C164" s="46" t="s">
        <v>114</v>
      </c>
      <c r="D164" s="46" t="s">
        <v>115</v>
      </c>
      <c r="E164" s="46" t="s">
        <v>119</v>
      </c>
      <c r="F164" s="46" t="s">
        <v>116</v>
      </c>
      <c r="G164" s="46" t="s">
        <v>133</v>
      </c>
      <c r="H164" s="46" t="s">
        <v>117</v>
      </c>
      <c r="I164" s="46" t="s">
        <v>813</v>
      </c>
      <c r="J164" s="46" t="s">
        <v>814</v>
      </c>
      <c r="K164" s="46" t="s">
        <v>815</v>
      </c>
      <c r="L164" s="46" t="s">
        <v>816</v>
      </c>
      <c r="M164" s="49"/>
      <c r="N164" s="46">
        <v>0.73</v>
      </c>
      <c r="O164" s="46">
        <v>230</v>
      </c>
      <c r="P164" s="46">
        <v>3.45</v>
      </c>
      <c r="Q164" s="46">
        <v>0.24149999999999999</v>
      </c>
      <c r="R164" s="46">
        <v>0</v>
      </c>
      <c r="S164" s="46">
        <v>17</v>
      </c>
      <c r="T164" s="48">
        <v>20.69</v>
      </c>
    </row>
    <row r="165" spans="1:20" ht="22.95" customHeight="1" x14ac:dyDescent="0.25">
      <c r="A165" s="46">
        <v>164</v>
      </c>
      <c r="B165" s="47">
        <v>243931</v>
      </c>
      <c r="C165" s="46" t="s">
        <v>114</v>
      </c>
      <c r="D165" s="46" t="s">
        <v>115</v>
      </c>
      <c r="E165" s="46" t="s">
        <v>119</v>
      </c>
      <c r="F165" s="46" t="s">
        <v>116</v>
      </c>
      <c r="G165" s="46" t="s">
        <v>133</v>
      </c>
      <c r="H165" s="46" t="s">
        <v>117</v>
      </c>
      <c r="I165" s="46" t="s">
        <v>817</v>
      </c>
      <c r="J165" s="46" t="s">
        <v>818</v>
      </c>
      <c r="K165" s="46" t="s">
        <v>819</v>
      </c>
      <c r="L165" s="46" t="s">
        <v>820</v>
      </c>
      <c r="M165" s="49"/>
      <c r="N165" s="46">
        <v>0.71</v>
      </c>
      <c r="O165" s="46">
        <v>180</v>
      </c>
      <c r="P165" s="46">
        <v>2.7</v>
      </c>
      <c r="Q165" s="46">
        <v>0.189</v>
      </c>
      <c r="R165" s="46">
        <v>0</v>
      </c>
      <c r="S165" s="46">
        <v>17</v>
      </c>
      <c r="T165" s="48">
        <v>19.89</v>
      </c>
    </row>
    <row r="166" spans="1:20" ht="22.95" customHeight="1" x14ac:dyDescent="0.25">
      <c r="A166" s="46">
        <v>165</v>
      </c>
      <c r="B166" s="47">
        <v>243931</v>
      </c>
      <c r="C166" s="46" t="s">
        <v>114</v>
      </c>
      <c r="D166" s="46" t="s">
        <v>115</v>
      </c>
      <c r="E166" s="46" t="s">
        <v>119</v>
      </c>
      <c r="F166" s="46" t="s">
        <v>116</v>
      </c>
      <c r="G166" s="46" t="s">
        <v>133</v>
      </c>
      <c r="H166" s="46" t="s">
        <v>117</v>
      </c>
      <c r="I166" s="46" t="s">
        <v>821</v>
      </c>
      <c r="J166" s="46" t="s">
        <v>822</v>
      </c>
      <c r="K166" s="46" t="s">
        <v>823</v>
      </c>
      <c r="L166" s="46" t="s">
        <v>824</v>
      </c>
      <c r="M166" s="49"/>
      <c r="N166" s="46">
        <v>5.93</v>
      </c>
      <c r="O166" s="46">
        <v>730</v>
      </c>
      <c r="P166" s="46">
        <v>10.95</v>
      </c>
      <c r="Q166" s="46">
        <v>0.76649999999999996</v>
      </c>
      <c r="R166" s="46">
        <v>0</v>
      </c>
      <c r="S166" s="46">
        <v>70</v>
      </c>
      <c r="T166" s="48">
        <v>81.72</v>
      </c>
    </row>
    <row r="167" spans="1:20" ht="22.95" customHeight="1" x14ac:dyDescent="0.25">
      <c r="A167" s="46">
        <v>166</v>
      </c>
      <c r="B167" s="47">
        <v>243931</v>
      </c>
      <c r="C167" s="46" t="s">
        <v>114</v>
      </c>
      <c r="D167" s="46" t="s">
        <v>115</v>
      </c>
      <c r="E167" s="46" t="s">
        <v>119</v>
      </c>
      <c r="F167" s="46" t="s">
        <v>116</v>
      </c>
      <c r="G167" s="46" t="s">
        <v>133</v>
      </c>
      <c r="H167" s="46" t="s">
        <v>117</v>
      </c>
      <c r="I167" s="46" t="s">
        <v>825</v>
      </c>
      <c r="J167" s="46" t="s">
        <v>826</v>
      </c>
      <c r="K167" s="46" t="s">
        <v>827</v>
      </c>
      <c r="L167" s="46" t="s">
        <v>828</v>
      </c>
      <c r="M167" s="49"/>
      <c r="N167" s="46">
        <v>4.3360000000000003</v>
      </c>
      <c r="O167" s="46">
        <v>1130</v>
      </c>
      <c r="P167" s="46">
        <v>16.95</v>
      </c>
      <c r="Q167" s="46">
        <v>1.1865000000000001</v>
      </c>
      <c r="R167" s="46">
        <v>0</v>
      </c>
      <c r="S167" s="46">
        <v>53</v>
      </c>
      <c r="T167" s="48">
        <v>71.14</v>
      </c>
    </row>
    <row r="168" spans="1:20" ht="22.95" customHeight="1" x14ac:dyDescent="0.25">
      <c r="A168" s="46">
        <v>167</v>
      </c>
      <c r="B168" s="47">
        <v>243931</v>
      </c>
      <c r="C168" s="46" t="s">
        <v>114</v>
      </c>
      <c r="D168" s="46" t="s">
        <v>115</v>
      </c>
      <c r="E168" s="46" t="s">
        <v>119</v>
      </c>
      <c r="F168" s="46" t="s">
        <v>116</v>
      </c>
      <c r="G168" s="46" t="s">
        <v>133</v>
      </c>
      <c r="H168" s="46" t="s">
        <v>117</v>
      </c>
      <c r="I168" s="46" t="s">
        <v>829</v>
      </c>
      <c r="J168" s="46" t="s">
        <v>830</v>
      </c>
      <c r="K168" s="46" t="s">
        <v>831</v>
      </c>
      <c r="L168" s="46" t="s">
        <v>832</v>
      </c>
      <c r="M168" s="49"/>
      <c r="N168" s="46">
        <v>2.34</v>
      </c>
      <c r="O168" s="46">
        <v>530</v>
      </c>
      <c r="P168" s="46">
        <v>7.95</v>
      </c>
      <c r="Q168" s="46">
        <v>0.55649999999999999</v>
      </c>
      <c r="R168" s="46">
        <v>0</v>
      </c>
      <c r="S168" s="46">
        <v>33</v>
      </c>
      <c r="T168" s="48">
        <v>41.51</v>
      </c>
    </row>
    <row r="169" spans="1:20" ht="22.95" customHeight="1" x14ac:dyDescent="0.25">
      <c r="A169" s="46">
        <v>168</v>
      </c>
      <c r="B169" s="47">
        <v>243931</v>
      </c>
      <c r="C169" s="46" t="s">
        <v>114</v>
      </c>
      <c r="D169" s="46" t="s">
        <v>115</v>
      </c>
      <c r="E169" s="46" t="s">
        <v>119</v>
      </c>
      <c r="F169" s="46" t="s">
        <v>116</v>
      </c>
      <c r="G169" s="46" t="s">
        <v>133</v>
      </c>
      <c r="H169" s="46" t="s">
        <v>117</v>
      </c>
      <c r="I169" s="46" t="s">
        <v>833</v>
      </c>
      <c r="J169" s="46" t="s">
        <v>834</v>
      </c>
      <c r="K169" s="46" t="s">
        <v>835</v>
      </c>
      <c r="L169" s="46" t="s">
        <v>836</v>
      </c>
      <c r="M169" s="49"/>
      <c r="N169" s="46">
        <v>0.72</v>
      </c>
      <c r="O169" s="46">
        <v>230</v>
      </c>
      <c r="P169" s="46">
        <v>3.45</v>
      </c>
      <c r="Q169" s="46">
        <v>0.24149999999999999</v>
      </c>
      <c r="R169" s="46">
        <v>0</v>
      </c>
      <c r="S169" s="46">
        <v>17</v>
      </c>
      <c r="T169" s="48">
        <v>20.69</v>
      </c>
    </row>
    <row r="170" spans="1:20" ht="22.95" customHeight="1" x14ac:dyDescent="0.25">
      <c r="A170" s="46">
        <v>169</v>
      </c>
      <c r="B170" s="47">
        <v>243931</v>
      </c>
      <c r="C170" s="46" t="s">
        <v>114</v>
      </c>
      <c r="D170" s="46" t="s">
        <v>115</v>
      </c>
      <c r="E170" s="46" t="s">
        <v>119</v>
      </c>
      <c r="F170" s="46" t="s">
        <v>116</v>
      </c>
      <c r="G170" s="46" t="s">
        <v>133</v>
      </c>
      <c r="H170" s="46" t="s">
        <v>117</v>
      </c>
      <c r="I170" s="46" t="s">
        <v>837</v>
      </c>
      <c r="J170" s="46" t="s">
        <v>838</v>
      </c>
      <c r="K170" s="46" t="s">
        <v>839</v>
      </c>
      <c r="L170" s="46" t="s">
        <v>840</v>
      </c>
      <c r="M170" s="49"/>
      <c r="N170" s="46">
        <v>4.7240000000000002</v>
      </c>
      <c r="O170" s="46">
        <v>1230</v>
      </c>
      <c r="P170" s="46">
        <v>18.45</v>
      </c>
      <c r="Q170" s="46">
        <v>1.2915000000000001</v>
      </c>
      <c r="R170" s="46">
        <v>0</v>
      </c>
      <c r="S170" s="46">
        <v>53</v>
      </c>
      <c r="T170" s="48">
        <v>72.739999999999995</v>
      </c>
    </row>
    <row r="171" spans="1:20" ht="22.95" customHeight="1" x14ac:dyDescent="0.25">
      <c r="A171" s="46">
        <v>170</v>
      </c>
      <c r="B171" s="47">
        <v>243931</v>
      </c>
      <c r="C171" s="46" t="s">
        <v>114</v>
      </c>
      <c r="D171" s="46" t="s">
        <v>115</v>
      </c>
      <c r="E171" s="46" t="s">
        <v>119</v>
      </c>
      <c r="F171" s="46" t="s">
        <v>116</v>
      </c>
      <c r="G171" s="46" t="s">
        <v>133</v>
      </c>
      <c r="H171" s="46" t="s">
        <v>117</v>
      </c>
      <c r="I171" s="46" t="s">
        <v>841</v>
      </c>
      <c r="J171" s="46" t="s">
        <v>842</v>
      </c>
      <c r="K171" s="46" t="s">
        <v>843</v>
      </c>
      <c r="L171" s="46" t="s">
        <v>844</v>
      </c>
      <c r="M171" s="49"/>
      <c r="N171" s="46">
        <v>1.6579999999999999</v>
      </c>
      <c r="O171" s="46">
        <v>430</v>
      </c>
      <c r="P171" s="46">
        <v>6.45</v>
      </c>
      <c r="Q171" s="46">
        <v>0.45150000000000001</v>
      </c>
      <c r="R171" s="46">
        <v>0</v>
      </c>
      <c r="S171" s="46">
        <v>22</v>
      </c>
      <c r="T171" s="48">
        <v>28.9</v>
      </c>
    </row>
    <row r="172" spans="1:20" ht="22.95" customHeight="1" x14ac:dyDescent="0.25">
      <c r="A172" s="46">
        <v>171</v>
      </c>
      <c r="B172" s="47">
        <v>243931</v>
      </c>
      <c r="C172" s="46" t="s">
        <v>114</v>
      </c>
      <c r="D172" s="46" t="s">
        <v>115</v>
      </c>
      <c r="E172" s="46" t="s">
        <v>119</v>
      </c>
      <c r="F172" s="46" t="s">
        <v>116</v>
      </c>
      <c r="G172" s="46" t="s">
        <v>133</v>
      </c>
      <c r="H172" s="46" t="s">
        <v>117</v>
      </c>
      <c r="I172" s="46" t="s">
        <v>845</v>
      </c>
      <c r="J172" s="46" t="s">
        <v>846</v>
      </c>
      <c r="K172" s="46" t="s">
        <v>499</v>
      </c>
      <c r="L172" s="46" t="s">
        <v>500</v>
      </c>
      <c r="M172" s="49"/>
      <c r="N172" s="46">
        <v>2.0880000000000001</v>
      </c>
      <c r="O172" s="46">
        <v>0</v>
      </c>
      <c r="P172" s="46">
        <v>0</v>
      </c>
      <c r="Q172" s="46">
        <v>0</v>
      </c>
      <c r="R172" s="46">
        <v>0</v>
      </c>
      <c r="S172" s="46">
        <v>33</v>
      </c>
      <c r="T172" s="48">
        <v>33</v>
      </c>
    </row>
    <row r="173" spans="1:20" ht="22.95" customHeight="1" x14ac:dyDescent="0.25">
      <c r="A173" s="46">
        <v>172</v>
      </c>
      <c r="B173" s="47">
        <v>243931</v>
      </c>
      <c r="C173" s="46" t="s">
        <v>114</v>
      </c>
      <c r="D173" s="46" t="s">
        <v>115</v>
      </c>
      <c r="E173" s="46" t="s">
        <v>119</v>
      </c>
      <c r="F173" s="46" t="s">
        <v>116</v>
      </c>
      <c r="G173" s="46" t="s">
        <v>133</v>
      </c>
      <c r="H173" s="46" t="s">
        <v>117</v>
      </c>
      <c r="I173" s="46" t="s">
        <v>847</v>
      </c>
      <c r="J173" s="46" t="s">
        <v>848</v>
      </c>
      <c r="K173" s="46" t="s">
        <v>849</v>
      </c>
      <c r="L173" s="46" t="s">
        <v>850</v>
      </c>
      <c r="M173" s="49"/>
      <c r="N173" s="46">
        <v>0.84</v>
      </c>
      <c r="O173" s="46">
        <v>0</v>
      </c>
      <c r="P173" s="46">
        <v>0</v>
      </c>
      <c r="Q173" s="46">
        <v>0</v>
      </c>
      <c r="R173" s="46">
        <v>0</v>
      </c>
      <c r="S173" s="46">
        <v>17</v>
      </c>
      <c r="T173" s="48">
        <v>17</v>
      </c>
    </row>
    <row r="174" spans="1:20" ht="22.95" customHeight="1" x14ac:dyDescent="0.25">
      <c r="A174" s="46">
        <v>173</v>
      </c>
      <c r="B174" s="47">
        <v>243931</v>
      </c>
      <c r="C174" s="46" t="s">
        <v>114</v>
      </c>
      <c r="D174" s="46" t="s">
        <v>115</v>
      </c>
      <c r="E174" s="46" t="s">
        <v>119</v>
      </c>
      <c r="F174" s="46" t="s">
        <v>116</v>
      </c>
      <c r="G174" s="46" t="s">
        <v>133</v>
      </c>
      <c r="H174" s="46" t="s">
        <v>117</v>
      </c>
      <c r="I174" s="46" t="s">
        <v>851</v>
      </c>
      <c r="J174" s="46" t="s">
        <v>120</v>
      </c>
      <c r="K174" s="46" t="s">
        <v>121</v>
      </c>
      <c r="L174" s="46" t="s">
        <v>122</v>
      </c>
      <c r="M174" s="49"/>
      <c r="N174" s="46">
        <v>0.71799999999999997</v>
      </c>
      <c r="O174" s="46">
        <v>0</v>
      </c>
      <c r="P174" s="46">
        <v>0</v>
      </c>
      <c r="Q174" s="46">
        <v>0</v>
      </c>
      <c r="R174" s="46">
        <v>0</v>
      </c>
      <c r="S174" s="46">
        <v>17</v>
      </c>
      <c r="T174" s="48">
        <v>17</v>
      </c>
    </row>
    <row r="175" spans="1:20" ht="22.95" customHeight="1" x14ac:dyDescent="0.25">
      <c r="A175" s="46">
        <v>174</v>
      </c>
      <c r="B175" s="47">
        <v>243931</v>
      </c>
      <c r="C175" s="46" t="s">
        <v>114</v>
      </c>
      <c r="D175" s="46" t="s">
        <v>115</v>
      </c>
      <c r="E175" s="46" t="s">
        <v>119</v>
      </c>
      <c r="F175" s="46" t="s">
        <v>116</v>
      </c>
      <c r="G175" s="46" t="s">
        <v>133</v>
      </c>
      <c r="H175" s="46" t="s">
        <v>117</v>
      </c>
      <c r="I175" s="46" t="s">
        <v>852</v>
      </c>
      <c r="J175" s="46" t="s">
        <v>319</v>
      </c>
      <c r="K175" s="46" t="s">
        <v>320</v>
      </c>
      <c r="L175" s="46" t="s">
        <v>321</v>
      </c>
      <c r="M175" s="49"/>
      <c r="N175" s="46">
        <v>7</v>
      </c>
      <c r="O175" s="46">
        <v>0</v>
      </c>
      <c r="P175" s="46">
        <v>0</v>
      </c>
      <c r="Q175" s="46">
        <v>0</v>
      </c>
      <c r="R175" s="46">
        <v>0</v>
      </c>
      <c r="S175" s="46">
        <v>80</v>
      </c>
      <c r="T175" s="48">
        <v>80</v>
      </c>
    </row>
    <row r="176" spans="1:20" ht="22.95" customHeight="1" x14ac:dyDescent="0.25">
      <c r="A176" s="46">
        <v>175</v>
      </c>
      <c r="B176" s="47">
        <v>243931</v>
      </c>
      <c r="C176" s="46" t="s">
        <v>114</v>
      </c>
      <c r="D176" s="46" t="s">
        <v>115</v>
      </c>
      <c r="E176" s="46" t="s">
        <v>119</v>
      </c>
      <c r="F176" s="46" t="s">
        <v>116</v>
      </c>
      <c r="G176" s="46" t="s">
        <v>133</v>
      </c>
      <c r="H176" s="46" t="s">
        <v>117</v>
      </c>
      <c r="I176" s="46" t="s">
        <v>853</v>
      </c>
      <c r="J176" s="46" t="s">
        <v>854</v>
      </c>
      <c r="K176" s="46" t="s">
        <v>855</v>
      </c>
      <c r="L176" s="46" t="s">
        <v>856</v>
      </c>
      <c r="M176" s="49"/>
      <c r="N176" s="46">
        <v>2.8000000000000001E-2</v>
      </c>
      <c r="O176" s="46">
        <v>0</v>
      </c>
      <c r="P176" s="46">
        <v>0</v>
      </c>
      <c r="Q176" s="46">
        <v>0</v>
      </c>
      <c r="R176" s="46">
        <v>0</v>
      </c>
      <c r="S176" s="46">
        <v>17</v>
      </c>
      <c r="T176" s="48">
        <v>17</v>
      </c>
    </row>
    <row r="177" spans="1:20" ht="22.95" customHeight="1" x14ac:dyDescent="0.25">
      <c r="A177" s="46">
        <v>176</v>
      </c>
      <c r="B177" s="47"/>
      <c r="L177" s="46"/>
      <c r="M177" s="49"/>
      <c r="T177" s="48"/>
    </row>
    <row r="178" spans="1:20" ht="22.95" customHeight="1" x14ac:dyDescent="0.25">
      <c r="A178" s="46">
        <v>177</v>
      </c>
      <c r="B178" s="47"/>
      <c r="L178" s="46"/>
      <c r="M178" s="49"/>
      <c r="T178" s="48"/>
    </row>
    <row r="179" spans="1:20" ht="22.95" customHeight="1" x14ac:dyDescent="0.25">
      <c r="A179" s="46">
        <v>178</v>
      </c>
      <c r="B179" s="47"/>
      <c r="L179" s="46"/>
      <c r="M179" s="49"/>
      <c r="T179" s="48"/>
    </row>
    <row r="180" spans="1:20" ht="22.95" customHeight="1" x14ac:dyDescent="0.25">
      <c r="A180" s="46">
        <v>179</v>
      </c>
      <c r="B180" s="47"/>
      <c r="L180" s="46"/>
      <c r="M180" s="49"/>
      <c r="T180" s="48"/>
    </row>
    <row r="181" spans="1:20" ht="22.95" customHeight="1" x14ac:dyDescent="0.25">
      <c r="A181" s="46">
        <v>180</v>
      </c>
      <c r="B181" s="47"/>
      <c r="L181" s="46"/>
      <c r="M181" s="49"/>
      <c r="T181" s="48"/>
    </row>
    <row r="182" spans="1:20" ht="22.95" customHeight="1" x14ac:dyDescent="0.25">
      <c r="A182" s="46">
        <v>181</v>
      </c>
      <c r="B182" s="47"/>
      <c r="L182" s="46"/>
      <c r="M182" s="49"/>
      <c r="T182" s="48"/>
    </row>
    <row r="183" spans="1:20" ht="22.95" customHeight="1" x14ac:dyDescent="0.25">
      <c r="A183" s="46">
        <v>182</v>
      </c>
      <c r="B183" s="47"/>
      <c r="L183" s="46"/>
      <c r="M183" s="49"/>
      <c r="T183" s="48"/>
    </row>
    <row r="184" spans="1:20" ht="22.95" customHeight="1" x14ac:dyDescent="0.25">
      <c r="A184" s="46">
        <v>183</v>
      </c>
      <c r="B184" s="47"/>
      <c r="L184" s="46"/>
      <c r="M184" s="49"/>
      <c r="T184" s="48"/>
    </row>
    <row r="185" spans="1:20" ht="22.95" customHeight="1" x14ac:dyDescent="0.25">
      <c r="A185" s="46">
        <v>184</v>
      </c>
      <c r="B185" s="47"/>
      <c r="L185" s="46"/>
      <c r="M185" s="49"/>
      <c r="T185" s="48"/>
    </row>
    <row r="186" spans="1:20" ht="22.95" customHeight="1" x14ac:dyDescent="0.25">
      <c r="A186" s="46">
        <v>185</v>
      </c>
      <c r="B186" s="47"/>
      <c r="L186" s="46"/>
      <c r="M186" s="49"/>
      <c r="T186" s="48"/>
    </row>
    <row r="187" spans="1:20" ht="22.95" customHeight="1" x14ac:dyDescent="0.25">
      <c r="A187" s="46">
        <v>186</v>
      </c>
      <c r="B187" s="47"/>
      <c r="L187" s="46"/>
      <c r="M187" s="49"/>
      <c r="T187" s="48"/>
    </row>
    <row r="188" spans="1:20" ht="22.95" customHeight="1" x14ac:dyDescent="0.25">
      <c r="A188" s="46">
        <v>187</v>
      </c>
      <c r="B188" s="47"/>
      <c r="L188" s="46"/>
      <c r="M188" s="49"/>
      <c r="T188" s="48"/>
    </row>
    <row r="189" spans="1:20" ht="22.95" customHeight="1" x14ac:dyDescent="0.25">
      <c r="A189" s="46">
        <v>188</v>
      </c>
      <c r="B189" s="47"/>
      <c r="L189" s="46"/>
      <c r="M189" s="49"/>
      <c r="T189" s="48"/>
    </row>
    <row r="190" spans="1:20" ht="22.95" customHeight="1" x14ac:dyDescent="0.25">
      <c r="A190" s="46">
        <v>189</v>
      </c>
      <c r="B190" s="47"/>
      <c r="L190" s="46"/>
      <c r="M190" s="49"/>
      <c r="T190" s="48"/>
    </row>
    <row r="191" spans="1:20" ht="22.95" customHeight="1" x14ac:dyDescent="0.25">
      <c r="A191" s="46">
        <v>190</v>
      </c>
      <c r="B191" s="47"/>
      <c r="L191" s="46"/>
      <c r="M191" s="49"/>
      <c r="T191" s="48"/>
    </row>
    <row r="192" spans="1:20" ht="22.95" customHeight="1" x14ac:dyDescent="0.25">
      <c r="A192" s="46">
        <v>191</v>
      </c>
      <c r="B192" s="47"/>
      <c r="L192" s="46"/>
      <c r="M192" s="49"/>
      <c r="T192" s="48"/>
    </row>
    <row r="193" spans="1:20" ht="22.95" customHeight="1" x14ac:dyDescent="0.25">
      <c r="A193" s="46">
        <v>192</v>
      </c>
      <c r="B193" s="47"/>
      <c r="L193" s="46"/>
      <c r="M193" s="49"/>
      <c r="T193" s="48"/>
    </row>
    <row r="194" spans="1:20" ht="22.95" customHeight="1" x14ac:dyDescent="0.25">
      <c r="A194" s="46">
        <v>193</v>
      </c>
      <c r="B194" s="47"/>
      <c r="L194" s="46"/>
      <c r="M194" s="49"/>
      <c r="T194" s="48"/>
    </row>
    <row r="195" spans="1:20" ht="22.95" customHeight="1" x14ac:dyDescent="0.25">
      <c r="A195" s="46">
        <v>194</v>
      </c>
      <c r="B195" s="47"/>
      <c r="L195" s="46"/>
      <c r="M195" s="49"/>
      <c r="T195" s="48"/>
    </row>
    <row r="196" spans="1:20" ht="22.95" customHeight="1" x14ac:dyDescent="0.25">
      <c r="A196" s="46">
        <v>195</v>
      </c>
      <c r="B196" s="47"/>
      <c r="L196" s="46"/>
      <c r="M196" s="49"/>
      <c r="T196" s="48"/>
    </row>
    <row r="197" spans="1:20" ht="22.95" customHeight="1" x14ac:dyDescent="0.25">
      <c r="A197" s="46">
        <v>196</v>
      </c>
      <c r="B197" s="47"/>
      <c r="L197" s="46"/>
      <c r="M197" s="49"/>
      <c r="T197" s="48"/>
    </row>
    <row r="198" spans="1:20" ht="22.95" customHeight="1" x14ac:dyDescent="0.25">
      <c r="A198" s="46">
        <v>197</v>
      </c>
      <c r="B198" s="47"/>
      <c r="L198" s="46"/>
      <c r="M198" s="49"/>
      <c r="T198" s="48"/>
    </row>
    <row r="199" spans="1:20" ht="22.95" customHeight="1" x14ac:dyDescent="0.25">
      <c r="A199" s="46">
        <v>198</v>
      </c>
      <c r="B199" s="47"/>
      <c r="L199" s="46"/>
      <c r="M199" s="49"/>
      <c r="T199" s="48"/>
    </row>
    <row r="200" spans="1:20" ht="22.95" customHeight="1" x14ac:dyDescent="0.25">
      <c r="A200" s="46">
        <v>199</v>
      </c>
      <c r="B200" s="47"/>
      <c r="L200" s="46"/>
      <c r="M200" s="49"/>
      <c r="T200" s="48"/>
    </row>
    <row r="201" spans="1:20" ht="22.95" customHeight="1" x14ac:dyDescent="0.25">
      <c r="A201" s="46">
        <v>200</v>
      </c>
      <c r="B201" s="47"/>
      <c r="L201" s="46"/>
      <c r="M201" s="49"/>
      <c r="T201" s="48"/>
    </row>
    <row r="202" spans="1:20" ht="22.95" customHeight="1" x14ac:dyDescent="0.25">
      <c r="A202" s="46">
        <v>201</v>
      </c>
      <c r="B202" s="47"/>
      <c r="L202" s="46"/>
      <c r="M202" s="49"/>
      <c r="T202" s="48"/>
    </row>
    <row r="203" spans="1:20" ht="22.95" customHeight="1" x14ac:dyDescent="0.25">
      <c r="A203" s="46">
        <v>202</v>
      </c>
      <c r="B203" s="47"/>
      <c r="L203" s="46"/>
      <c r="M203" s="49"/>
      <c r="T203" s="48"/>
    </row>
    <row r="204" spans="1:20" ht="22.95" customHeight="1" x14ac:dyDescent="0.25">
      <c r="A204" s="46">
        <v>203</v>
      </c>
      <c r="B204" s="47"/>
      <c r="L204" s="46"/>
      <c r="M204" s="49"/>
      <c r="T204" s="48"/>
    </row>
    <row r="205" spans="1:20" ht="22.95" customHeight="1" x14ac:dyDescent="0.25">
      <c r="A205" s="46">
        <v>204</v>
      </c>
      <c r="B205" s="47"/>
      <c r="L205" s="46"/>
      <c r="M205" s="49"/>
      <c r="T205" s="48"/>
    </row>
    <row r="206" spans="1:20" ht="22.95" customHeight="1" x14ac:dyDescent="0.25">
      <c r="A206" s="46">
        <v>205</v>
      </c>
      <c r="B206" s="47"/>
      <c r="L206" s="46"/>
      <c r="M206" s="49"/>
      <c r="T206" s="48"/>
    </row>
    <row r="207" spans="1:20" ht="22.95" customHeight="1" x14ac:dyDescent="0.25">
      <c r="A207" s="46">
        <v>206</v>
      </c>
      <c r="B207" s="47"/>
      <c r="L207" s="46"/>
      <c r="M207" s="49"/>
      <c r="T207" s="48"/>
    </row>
    <row r="208" spans="1:20" ht="22.95" customHeight="1" x14ac:dyDescent="0.25">
      <c r="A208" s="46">
        <v>207</v>
      </c>
      <c r="B208" s="47"/>
      <c r="L208" s="46"/>
      <c r="M208" s="49"/>
      <c r="T208" s="48"/>
    </row>
    <row r="209" spans="1:20" ht="22.95" customHeight="1" x14ac:dyDescent="0.25">
      <c r="A209" s="46">
        <v>208</v>
      </c>
      <c r="B209" s="47"/>
      <c r="L209" s="46"/>
      <c r="M209" s="49"/>
      <c r="T209" s="48"/>
    </row>
    <row r="210" spans="1:20" ht="22.95" customHeight="1" x14ac:dyDescent="0.25">
      <c r="A210" s="46">
        <v>209</v>
      </c>
      <c r="B210" s="47"/>
      <c r="L210" s="46"/>
      <c r="M210" s="49"/>
      <c r="T210" s="48"/>
    </row>
    <row r="211" spans="1:20" ht="22.95" customHeight="1" x14ac:dyDescent="0.25">
      <c r="A211" s="46">
        <v>210</v>
      </c>
      <c r="B211" s="47"/>
      <c r="L211" s="46"/>
      <c r="M211" s="49"/>
      <c r="T211" s="48"/>
    </row>
    <row r="212" spans="1:20" ht="22.95" customHeight="1" x14ac:dyDescent="0.25">
      <c r="A212" s="46">
        <v>211</v>
      </c>
      <c r="B212" s="47"/>
      <c r="L212" s="46"/>
      <c r="M212" s="49"/>
      <c r="T212" s="48"/>
    </row>
    <row r="213" spans="1:20" ht="22.95" customHeight="1" x14ac:dyDescent="0.25">
      <c r="A213" s="46">
        <v>212</v>
      </c>
      <c r="B213" s="47"/>
      <c r="L213" s="46"/>
      <c r="M213" s="49"/>
      <c r="T213" s="48"/>
    </row>
    <row r="214" spans="1:20" ht="22.95" customHeight="1" x14ac:dyDescent="0.25">
      <c r="A214" s="46">
        <v>213</v>
      </c>
      <c r="B214" s="47"/>
      <c r="L214" s="46"/>
      <c r="M214" s="49"/>
      <c r="T214" s="48"/>
    </row>
    <row r="215" spans="1:20" ht="22.95" customHeight="1" x14ac:dyDescent="0.25">
      <c r="A215" s="46">
        <v>214</v>
      </c>
      <c r="B215" s="47"/>
      <c r="L215" s="46"/>
      <c r="M215" s="49"/>
      <c r="T215" s="48"/>
    </row>
    <row r="216" spans="1:20" ht="22.95" customHeight="1" x14ac:dyDescent="0.25">
      <c r="A216" s="46">
        <v>215</v>
      </c>
      <c r="B216" s="47"/>
      <c r="L216" s="46"/>
      <c r="M216" s="49"/>
      <c r="T216" s="48"/>
    </row>
    <row r="217" spans="1:20" ht="22.95" customHeight="1" x14ac:dyDescent="0.25">
      <c r="A217" s="46">
        <v>216</v>
      </c>
      <c r="B217" s="47"/>
      <c r="L217" s="46"/>
      <c r="M217" s="49"/>
      <c r="T217" s="48"/>
    </row>
    <row r="218" spans="1:20" ht="22.95" customHeight="1" x14ac:dyDescent="0.25">
      <c r="A218" s="46">
        <v>217</v>
      </c>
      <c r="B218" s="47"/>
      <c r="L218" s="46"/>
      <c r="M218" s="49"/>
      <c r="T218" s="48"/>
    </row>
    <row r="219" spans="1:20" ht="22.95" customHeight="1" x14ac:dyDescent="0.25">
      <c r="A219" s="46">
        <v>218</v>
      </c>
      <c r="B219" s="47"/>
      <c r="L219" s="46"/>
      <c r="M219" s="49"/>
      <c r="T219" s="48"/>
    </row>
    <row r="220" spans="1:20" ht="22.95" customHeight="1" x14ac:dyDescent="0.25">
      <c r="A220" s="46">
        <v>219</v>
      </c>
      <c r="B220" s="47"/>
      <c r="L220" s="46"/>
      <c r="M220" s="49"/>
      <c r="T220" s="48"/>
    </row>
    <row r="221" spans="1:20" ht="22.95" customHeight="1" x14ac:dyDescent="0.25">
      <c r="A221" s="46">
        <v>220</v>
      </c>
      <c r="B221" s="47"/>
      <c r="L221" s="46"/>
      <c r="M221" s="49"/>
      <c r="T221" s="48"/>
    </row>
    <row r="222" spans="1:20" ht="22.95" customHeight="1" x14ac:dyDescent="0.25">
      <c r="A222" s="46">
        <v>221</v>
      </c>
      <c r="B222" s="47"/>
      <c r="L222" s="46"/>
      <c r="M222" s="49"/>
      <c r="T222" s="48"/>
    </row>
    <row r="223" spans="1:20" ht="22.95" customHeight="1" x14ac:dyDescent="0.25">
      <c r="A223" s="46">
        <v>222</v>
      </c>
      <c r="B223" s="47"/>
      <c r="L223" s="46"/>
      <c r="M223" s="49"/>
      <c r="T223" s="48"/>
    </row>
    <row r="224" spans="1:20" ht="22.95" customHeight="1" x14ac:dyDescent="0.25">
      <c r="A224" s="46">
        <v>223</v>
      </c>
      <c r="B224" s="47"/>
      <c r="L224" s="46"/>
      <c r="M224" s="49"/>
      <c r="T224" s="48"/>
    </row>
    <row r="225" spans="1:20" ht="22.95" customHeight="1" x14ac:dyDescent="0.25">
      <c r="A225" s="46">
        <v>224</v>
      </c>
      <c r="B225" s="47"/>
      <c r="L225" s="46"/>
      <c r="M225" s="49"/>
      <c r="T225" s="48"/>
    </row>
    <row r="226" spans="1:20" ht="22.95" customHeight="1" x14ac:dyDescent="0.25">
      <c r="A226" s="46">
        <v>225</v>
      </c>
      <c r="B226" s="47"/>
      <c r="L226" s="46"/>
      <c r="M226" s="49"/>
      <c r="T226" s="48"/>
    </row>
    <row r="227" spans="1:20" ht="22.95" customHeight="1" x14ac:dyDescent="0.25">
      <c r="A227" s="46">
        <v>226</v>
      </c>
      <c r="B227" s="47"/>
      <c r="L227" s="46"/>
      <c r="M227" s="49"/>
      <c r="T227" s="48"/>
    </row>
    <row r="228" spans="1:20" ht="22.95" customHeight="1" x14ac:dyDescent="0.25">
      <c r="A228" s="46">
        <v>227</v>
      </c>
      <c r="B228" s="47"/>
      <c r="L228" s="46"/>
      <c r="M228" s="49"/>
      <c r="T228" s="48"/>
    </row>
    <row r="229" spans="1:20" ht="22.95" customHeight="1" x14ac:dyDescent="0.25">
      <c r="A229" s="46">
        <v>228</v>
      </c>
      <c r="B229" s="47"/>
      <c r="L229" s="46"/>
      <c r="M229" s="49"/>
      <c r="T229" s="48"/>
    </row>
    <row r="230" spans="1:20" ht="22.95" customHeight="1" x14ac:dyDescent="0.25">
      <c r="A230" s="46">
        <v>229</v>
      </c>
      <c r="B230" s="47"/>
      <c r="L230" s="46"/>
      <c r="M230" s="49"/>
      <c r="T230" s="48"/>
    </row>
    <row r="231" spans="1:20" ht="22.95" customHeight="1" x14ac:dyDescent="0.25">
      <c r="A231" s="46">
        <v>230</v>
      </c>
      <c r="B231" s="47"/>
      <c r="L231" s="46"/>
      <c r="M231" s="49"/>
      <c r="T231" s="48"/>
    </row>
    <row r="232" spans="1:20" ht="22.95" customHeight="1" x14ac:dyDescent="0.25">
      <c r="A232" s="46">
        <v>231</v>
      </c>
      <c r="B232" s="47"/>
      <c r="L232" s="46"/>
      <c r="M232" s="49"/>
      <c r="T232" s="48"/>
    </row>
    <row r="233" spans="1:20" ht="22.95" customHeight="1" x14ac:dyDescent="0.25">
      <c r="A233" s="46">
        <v>232</v>
      </c>
      <c r="B233" s="47"/>
      <c r="L233" s="46"/>
      <c r="M233" s="49"/>
      <c r="T233" s="48"/>
    </row>
    <row r="234" spans="1:20" ht="22.95" customHeight="1" x14ac:dyDescent="0.25">
      <c r="A234" s="46">
        <v>233</v>
      </c>
      <c r="B234" s="47"/>
      <c r="L234" s="46"/>
      <c r="M234" s="49"/>
      <c r="T234" s="48"/>
    </row>
    <row r="235" spans="1:20" ht="22.95" customHeight="1" x14ac:dyDescent="0.25">
      <c r="A235" s="46">
        <v>234</v>
      </c>
      <c r="B235" s="47"/>
      <c r="L235" s="46"/>
      <c r="M235" s="49"/>
      <c r="T235" s="48"/>
    </row>
    <row r="236" spans="1:20" ht="22.95" customHeight="1" x14ac:dyDescent="0.25">
      <c r="A236" s="46">
        <v>235</v>
      </c>
      <c r="B236" s="47"/>
      <c r="L236" s="46"/>
      <c r="M236" s="49"/>
      <c r="T236" s="48"/>
    </row>
    <row r="237" spans="1:20" ht="22.95" customHeight="1" x14ac:dyDescent="0.25">
      <c r="A237" s="46">
        <v>236</v>
      </c>
      <c r="B237" s="47"/>
      <c r="L237" s="46"/>
      <c r="M237" s="49"/>
      <c r="T237" s="48"/>
    </row>
    <row r="238" spans="1:20" ht="22.95" customHeight="1" x14ac:dyDescent="0.25">
      <c r="A238" s="46">
        <v>237</v>
      </c>
      <c r="B238" s="47"/>
      <c r="L238" s="46"/>
      <c r="M238" s="49"/>
      <c r="T238" s="48"/>
    </row>
    <row r="239" spans="1:20" ht="22.95" customHeight="1" x14ac:dyDescent="0.25">
      <c r="A239" s="46">
        <v>238</v>
      </c>
      <c r="B239" s="47"/>
      <c r="L239" s="46"/>
      <c r="M239" s="49"/>
      <c r="T239" s="48"/>
    </row>
    <row r="240" spans="1:20" ht="22.95" customHeight="1" x14ac:dyDescent="0.25">
      <c r="A240" s="46">
        <v>239</v>
      </c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M240" s="49"/>
      <c r="N240" s="49"/>
      <c r="O240" s="49"/>
      <c r="P240" s="49"/>
      <c r="Q240" s="49"/>
      <c r="R240" s="49"/>
      <c r="S240" s="49"/>
      <c r="T240" s="48"/>
    </row>
    <row r="241" spans="1:20" ht="22.95" customHeight="1" x14ac:dyDescent="0.25">
      <c r="A241" s="46">
        <v>240</v>
      </c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M241" s="49"/>
      <c r="N241" s="49"/>
      <c r="O241" s="49"/>
      <c r="P241" s="49"/>
      <c r="Q241" s="49"/>
      <c r="R241" s="49"/>
      <c r="S241" s="49"/>
      <c r="T241" s="48"/>
    </row>
    <row r="242" spans="1:20" ht="22.95" customHeight="1" x14ac:dyDescent="0.25">
      <c r="A242" s="46">
        <v>241</v>
      </c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M242" s="49"/>
      <c r="N242" s="49"/>
      <c r="O242" s="49"/>
      <c r="P242" s="49"/>
      <c r="Q242" s="49"/>
      <c r="R242" s="49"/>
      <c r="S242" s="49"/>
      <c r="T242" s="48"/>
    </row>
    <row r="243" spans="1:20" ht="22.95" customHeight="1" x14ac:dyDescent="0.25">
      <c r="A243" s="46">
        <v>242</v>
      </c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M243" s="49"/>
      <c r="N243" s="49"/>
      <c r="O243" s="49"/>
      <c r="P243" s="49"/>
      <c r="Q243" s="49"/>
      <c r="R243" s="49"/>
      <c r="S243" s="49"/>
      <c r="T243" s="48"/>
    </row>
    <row r="244" spans="1:20" ht="22.95" customHeight="1" x14ac:dyDescent="0.25">
      <c r="A244" s="46">
        <v>243</v>
      </c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M244" s="49"/>
      <c r="N244" s="49"/>
      <c r="O244" s="49"/>
      <c r="P244" s="49"/>
      <c r="Q244" s="49"/>
      <c r="R244" s="49"/>
      <c r="S244" s="49"/>
      <c r="T244" s="48"/>
    </row>
    <row r="245" spans="1:20" ht="22.95" customHeight="1" x14ac:dyDescent="0.25">
      <c r="A245" s="46">
        <v>244</v>
      </c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M245" s="49"/>
      <c r="N245" s="49"/>
      <c r="O245" s="49"/>
      <c r="P245" s="49"/>
      <c r="Q245" s="49"/>
      <c r="R245" s="49"/>
      <c r="S245" s="49"/>
      <c r="T245" s="48"/>
    </row>
    <row r="246" spans="1:20" ht="22.95" customHeight="1" x14ac:dyDescent="0.25">
      <c r="A246" s="46">
        <v>245</v>
      </c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M246" s="49"/>
      <c r="N246" s="49"/>
      <c r="O246" s="49"/>
      <c r="P246" s="49"/>
      <c r="Q246" s="49"/>
      <c r="R246" s="49"/>
      <c r="S246" s="49"/>
      <c r="T246" s="48"/>
    </row>
    <row r="247" spans="1:20" ht="22.95" customHeight="1" x14ac:dyDescent="0.25">
      <c r="A247" s="46">
        <v>246</v>
      </c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M247" s="49"/>
      <c r="N247" s="49"/>
      <c r="O247" s="49"/>
      <c r="P247" s="49"/>
      <c r="Q247" s="49"/>
      <c r="R247" s="49"/>
      <c r="S247" s="49"/>
      <c r="T247" s="48"/>
    </row>
    <row r="248" spans="1:20" ht="22.95" customHeight="1" x14ac:dyDescent="0.25">
      <c r="A248" s="46">
        <v>247</v>
      </c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M248" s="49"/>
      <c r="N248" s="49"/>
      <c r="O248" s="49"/>
      <c r="P248" s="49"/>
      <c r="Q248" s="49"/>
      <c r="R248" s="49"/>
      <c r="S248" s="49"/>
      <c r="T248" s="48"/>
    </row>
    <row r="249" spans="1:20" ht="22.95" customHeight="1" x14ac:dyDescent="0.25">
      <c r="A249" s="46">
        <v>248</v>
      </c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M249" s="49"/>
      <c r="N249" s="49"/>
      <c r="O249" s="49"/>
      <c r="P249" s="49"/>
      <c r="Q249" s="49"/>
      <c r="R249" s="49"/>
      <c r="S249" s="49"/>
      <c r="T249" s="48"/>
    </row>
    <row r="250" spans="1:20" ht="22.95" customHeight="1" x14ac:dyDescent="0.25">
      <c r="A250" s="46">
        <v>249</v>
      </c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M250" s="49"/>
      <c r="N250" s="49"/>
      <c r="O250" s="49"/>
      <c r="P250" s="49"/>
      <c r="Q250" s="49"/>
      <c r="R250" s="49"/>
      <c r="S250" s="49"/>
      <c r="T250" s="48"/>
    </row>
    <row r="251" spans="1:20" ht="22.95" customHeight="1" x14ac:dyDescent="0.25">
      <c r="A251" s="46">
        <v>250</v>
      </c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M251" s="49"/>
      <c r="N251" s="49"/>
      <c r="O251" s="49"/>
      <c r="P251" s="49"/>
      <c r="Q251" s="49"/>
      <c r="R251" s="49"/>
      <c r="S251" s="49"/>
      <c r="T251" s="48"/>
    </row>
    <row r="252" spans="1:20" ht="22.95" customHeight="1" x14ac:dyDescent="0.25">
      <c r="A252" s="46">
        <v>251</v>
      </c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M252" s="49"/>
      <c r="N252" s="49"/>
      <c r="O252" s="49"/>
      <c r="P252" s="49"/>
      <c r="Q252" s="49"/>
      <c r="R252" s="49"/>
      <c r="S252" s="49"/>
      <c r="T252" s="48"/>
    </row>
    <row r="253" spans="1:20" ht="22.95" customHeight="1" x14ac:dyDescent="0.25">
      <c r="A253" s="46">
        <v>252</v>
      </c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M253" s="49"/>
      <c r="N253" s="49"/>
      <c r="O253" s="49"/>
      <c r="P253" s="49"/>
      <c r="Q253" s="49"/>
      <c r="R253" s="49"/>
      <c r="S253" s="49"/>
      <c r="T253" s="48"/>
    </row>
    <row r="254" spans="1:20" ht="22.95" customHeight="1" x14ac:dyDescent="0.25">
      <c r="A254" s="46">
        <v>253</v>
      </c>
      <c r="B254" s="47"/>
      <c r="T254" s="48"/>
    </row>
    <row r="255" spans="1:20" ht="22.95" customHeight="1" x14ac:dyDescent="0.25">
      <c r="A255" s="46">
        <v>254</v>
      </c>
      <c r="B255" s="47"/>
      <c r="T255" s="48"/>
    </row>
    <row r="256" spans="1:20" ht="22.95" customHeight="1" x14ac:dyDescent="0.25">
      <c r="A256" s="46">
        <v>255</v>
      </c>
      <c r="B256" s="47"/>
      <c r="T256" s="48"/>
    </row>
    <row r="257" spans="1:20" ht="22.95" customHeight="1" x14ac:dyDescent="0.25">
      <c r="A257" s="46">
        <v>256</v>
      </c>
      <c r="B257" s="47"/>
      <c r="T257" s="48"/>
    </row>
    <row r="258" spans="1:20" ht="22.95" customHeight="1" x14ac:dyDescent="0.25">
      <c r="A258" s="46">
        <v>257</v>
      </c>
      <c r="B258" s="47"/>
      <c r="T258" s="48"/>
    </row>
    <row r="259" spans="1:20" ht="22.95" customHeight="1" x14ac:dyDescent="0.25">
      <c r="A259" s="46">
        <v>258</v>
      </c>
      <c r="B259" s="47"/>
      <c r="T259" s="48"/>
    </row>
    <row r="260" spans="1:20" ht="22.95" customHeight="1" x14ac:dyDescent="0.25">
      <c r="A260" s="46">
        <v>259</v>
      </c>
      <c r="B260" s="47"/>
      <c r="T260" s="48"/>
    </row>
    <row r="261" spans="1:20" ht="22.95" customHeight="1" x14ac:dyDescent="0.25">
      <c r="A261" s="46">
        <v>260</v>
      </c>
      <c r="B261" s="47"/>
      <c r="T261" s="48"/>
    </row>
    <row r="262" spans="1:20" ht="22.95" customHeight="1" x14ac:dyDescent="0.25">
      <c r="A262" s="46">
        <v>261</v>
      </c>
      <c r="B262" s="47"/>
      <c r="T262" s="48"/>
    </row>
    <row r="263" spans="1:20" ht="22.95" customHeight="1" x14ac:dyDescent="0.25">
      <c r="A263" s="46">
        <v>262</v>
      </c>
      <c r="B263" s="47"/>
      <c r="T263" s="48"/>
    </row>
    <row r="264" spans="1:20" ht="22.95" customHeight="1" x14ac:dyDescent="0.25">
      <c r="A264" s="46">
        <v>263</v>
      </c>
      <c r="B264" s="47"/>
      <c r="T264" s="48"/>
    </row>
    <row r="265" spans="1:20" ht="22.95" customHeight="1" x14ac:dyDescent="0.25">
      <c r="A265" s="46">
        <v>264</v>
      </c>
      <c r="B265" s="47"/>
      <c r="T265" s="48"/>
    </row>
    <row r="266" spans="1:20" ht="22.95" customHeight="1" x14ac:dyDescent="0.25">
      <c r="A266" s="46">
        <v>265</v>
      </c>
      <c r="B266" s="47"/>
      <c r="T266" s="48"/>
    </row>
    <row r="267" spans="1:20" ht="22.95" customHeight="1" x14ac:dyDescent="0.25">
      <c r="A267" s="46">
        <v>266</v>
      </c>
      <c r="B267" s="47"/>
      <c r="T267" s="48"/>
    </row>
    <row r="268" spans="1:20" ht="22.95" customHeight="1" x14ac:dyDescent="0.25">
      <c r="A268" s="46">
        <v>267</v>
      </c>
      <c r="B268" s="47"/>
      <c r="T268" s="48"/>
    </row>
    <row r="269" spans="1:20" ht="22.95" customHeight="1" x14ac:dyDescent="0.25">
      <c r="A269" s="46">
        <v>268</v>
      </c>
      <c r="B269" s="47"/>
      <c r="T269" s="48"/>
    </row>
    <row r="270" spans="1:20" ht="22.95" customHeight="1" x14ac:dyDescent="0.25">
      <c r="A270" s="46">
        <v>269</v>
      </c>
      <c r="B270" s="47"/>
      <c r="T270" s="48"/>
    </row>
    <row r="271" spans="1:20" ht="22.95" customHeight="1" x14ac:dyDescent="0.25">
      <c r="A271" s="46">
        <v>270</v>
      </c>
      <c r="B271" s="47"/>
      <c r="T271" s="48"/>
    </row>
    <row r="272" spans="1:20" ht="22.95" customHeight="1" x14ac:dyDescent="0.25">
      <c r="A272" s="46">
        <v>271</v>
      </c>
      <c r="B272" s="47"/>
      <c r="T272" s="48"/>
    </row>
    <row r="273" spans="1:20" ht="22.95" customHeight="1" x14ac:dyDescent="0.25">
      <c r="A273" s="46">
        <v>272</v>
      </c>
      <c r="B273" s="47"/>
      <c r="T273" s="48"/>
    </row>
    <row r="274" spans="1:20" ht="22.95" customHeight="1" x14ac:dyDescent="0.25">
      <c r="A274" s="46">
        <v>273</v>
      </c>
      <c r="B274" s="47"/>
      <c r="T274" s="48"/>
    </row>
    <row r="275" spans="1:20" ht="22.95" customHeight="1" x14ac:dyDescent="0.25">
      <c r="A275" s="46">
        <v>274</v>
      </c>
      <c r="B275" s="47"/>
      <c r="T275" s="48"/>
    </row>
    <row r="276" spans="1:20" ht="22.95" customHeight="1" x14ac:dyDescent="0.25">
      <c r="A276" s="46">
        <v>275</v>
      </c>
      <c r="B276" s="47"/>
      <c r="T276" s="48"/>
    </row>
    <row r="277" spans="1:20" ht="22.95" customHeight="1" x14ac:dyDescent="0.25">
      <c r="A277" s="46">
        <v>276</v>
      </c>
      <c r="B277" s="47"/>
      <c r="T277" s="48"/>
    </row>
    <row r="278" spans="1:20" ht="22.95" customHeight="1" x14ac:dyDescent="0.25">
      <c r="A278" s="46">
        <v>277</v>
      </c>
      <c r="B278" s="47"/>
      <c r="T278" s="48"/>
    </row>
    <row r="279" spans="1:20" ht="22.95" customHeight="1" x14ac:dyDescent="0.25">
      <c r="A279" s="46">
        <v>278</v>
      </c>
      <c r="B279" s="47"/>
      <c r="T279" s="48"/>
    </row>
    <row r="280" spans="1:20" ht="22.95" customHeight="1" x14ac:dyDescent="0.25">
      <c r="A280" s="46">
        <v>279</v>
      </c>
      <c r="B280" s="47"/>
      <c r="T280" s="48"/>
    </row>
    <row r="281" spans="1:20" ht="22.95" customHeight="1" x14ac:dyDescent="0.25">
      <c r="A281" s="46">
        <v>280</v>
      </c>
      <c r="B281" s="47"/>
      <c r="T281" s="48"/>
    </row>
    <row r="282" spans="1:20" ht="22.95" customHeight="1" x14ac:dyDescent="0.25">
      <c r="A282" s="46">
        <v>281</v>
      </c>
      <c r="B282" s="47"/>
      <c r="T282" s="48"/>
    </row>
    <row r="283" spans="1:20" ht="22.95" customHeight="1" x14ac:dyDescent="0.25">
      <c r="A283" s="46">
        <v>282</v>
      </c>
      <c r="B283" s="47"/>
      <c r="T283" s="48"/>
    </row>
    <row r="284" spans="1:20" ht="22.95" customHeight="1" x14ac:dyDescent="0.25">
      <c r="A284" s="46">
        <v>283</v>
      </c>
      <c r="B284" s="47"/>
      <c r="T284" s="48"/>
    </row>
    <row r="285" spans="1:20" ht="22.95" customHeight="1" x14ac:dyDescent="0.25">
      <c r="A285" s="46">
        <v>284</v>
      </c>
      <c r="B285" s="47"/>
      <c r="T285" s="48"/>
    </row>
    <row r="286" spans="1:20" ht="22.95" customHeight="1" x14ac:dyDescent="0.25">
      <c r="A286" s="46">
        <v>285</v>
      </c>
      <c r="B286" s="47"/>
      <c r="T286" s="48"/>
    </row>
    <row r="287" spans="1:20" ht="22.95" customHeight="1" x14ac:dyDescent="0.25">
      <c r="A287" s="46">
        <v>286</v>
      </c>
      <c r="B287" s="47"/>
      <c r="T287" s="48"/>
    </row>
    <row r="288" spans="1:20" ht="22.95" customHeight="1" x14ac:dyDescent="0.25">
      <c r="A288" s="46">
        <v>287</v>
      </c>
      <c r="B288" s="47"/>
      <c r="T288" s="48"/>
    </row>
    <row r="289" spans="1:20" ht="22.95" customHeight="1" x14ac:dyDescent="0.25">
      <c r="A289" s="46">
        <v>288</v>
      </c>
      <c r="B289" s="47"/>
      <c r="T289" s="48"/>
    </row>
    <row r="290" spans="1:20" ht="22.95" customHeight="1" x14ac:dyDescent="0.25">
      <c r="A290" s="46">
        <v>289</v>
      </c>
      <c r="B290" s="47"/>
      <c r="T290" s="48"/>
    </row>
    <row r="291" spans="1:20" ht="22.95" customHeight="1" x14ac:dyDescent="0.25">
      <c r="A291" s="46">
        <v>290</v>
      </c>
      <c r="B291" s="47"/>
      <c r="T291" s="48"/>
    </row>
    <row r="292" spans="1:20" ht="22.95" customHeight="1" x14ac:dyDescent="0.25">
      <c r="A292" s="46">
        <v>291</v>
      </c>
      <c r="B292" s="47"/>
      <c r="T292" s="48"/>
    </row>
    <row r="293" spans="1:20" ht="22.95" customHeight="1" x14ac:dyDescent="0.25">
      <c r="A293" s="46">
        <v>292</v>
      </c>
      <c r="B293" s="47"/>
      <c r="T293" s="48"/>
    </row>
    <row r="294" spans="1:20" ht="22.95" customHeight="1" x14ac:dyDescent="0.25">
      <c r="A294" s="46">
        <v>293</v>
      </c>
      <c r="B294" s="47"/>
      <c r="T294" s="48"/>
    </row>
    <row r="295" spans="1:20" ht="22.95" customHeight="1" x14ac:dyDescent="0.25">
      <c r="A295" s="46">
        <v>294</v>
      </c>
      <c r="B295" s="47"/>
      <c r="T295" s="48"/>
    </row>
    <row r="296" spans="1:20" ht="22.95" customHeight="1" x14ac:dyDescent="0.25">
      <c r="A296" s="46">
        <v>295</v>
      </c>
      <c r="B296" s="47"/>
      <c r="T296" s="48"/>
    </row>
    <row r="297" spans="1:20" ht="22.95" customHeight="1" x14ac:dyDescent="0.25">
      <c r="A297" s="46">
        <v>296</v>
      </c>
      <c r="B297" s="47"/>
      <c r="T297" s="48"/>
    </row>
    <row r="298" spans="1:20" ht="22.95" customHeight="1" x14ac:dyDescent="0.25">
      <c r="A298" s="46">
        <v>297</v>
      </c>
      <c r="B298" s="47"/>
      <c r="T298" s="48"/>
    </row>
    <row r="299" spans="1:20" ht="22.95" customHeight="1" x14ac:dyDescent="0.25">
      <c r="A299" s="46">
        <v>298</v>
      </c>
      <c r="B299" s="47"/>
      <c r="T299" s="48"/>
    </row>
    <row r="300" spans="1:20" ht="22.95" customHeight="1" x14ac:dyDescent="0.25">
      <c r="A300" s="46">
        <v>299</v>
      </c>
      <c r="B300" s="47"/>
      <c r="T300" s="48"/>
    </row>
    <row r="301" spans="1:20" ht="22.95" customHeight="1" x14ac:dyDescent="0.25">
      <c r="A301" s="46">
        <v>300</v>
      </c>
      <c r="B301" s="47"/>
      <c r="T301" s="48"/>
    </row>
    <row r="302" spans="1:20" ht="22.95" customHeight="1" x14ac:dyDescent="0.25">
      <c r="A302" s="46">
        <v>301</v>
      </c>
      <c r="B302" s="47"/>
      <c r="T302" s="48"/>
    </row>
    <row r="303" spans="1:20" ht="22.95" customHeight="1" x14ac:dyDescent="0.25">
      <c r="A303" s="46">
        <v>302</v>
      </c>
      <c r="B303" s="47"/>
      <c r="T303" s="48"/>
    </row>
    <row r="304" spans="1:20" ht="22.95" customHeight="1" x14ac:dyDescent="0.25">
      <c r="A304" s="46">
        <v>303</v>
      </c>
      <c r="B304" s="47"/>
      <c r="T304" s="48"/>
    </row>
    <row r="305" spans="1:20" ht="22.95" customHeight="1" x14ac:dyDescent="0.25">
      <c r="A305" s="46">
        <v>304</v>
      </c>
      <c r="B305" s="47"/>
      <c r="T305" s="48"/>
    </row>
    <row r="306" spans="1:20" ht="22.95" customHeight="1" x14ac:dyDescent="0.25">
      <c r="A306" s="46">
        <v>305</v>
      </c>
      <c r="B306" s="47"/>
      <c r="T306" s="48"/>
    </row>
    <row r="307" spans="1:20" ht="22.95" customHeight="1" x14ac:dyDescent="0.25">
      <c r="A307" s="46">
        <v>306</v>
      </c>
      <c r="B307" s="47"/>
      <c r="T307" s="48"/>
    </row>
    <row r="308" spans="1:20" ht="22.95" customHeight="1" x14ac:dyDescent="0.25">
      <c r="A308" s="46">
        <v>307</v>
      </c>
      <c r="B308" s="47"/>
      <c r="T308" s="48"/>
    </row>
    <row r="309" spans="1:20" ht="22.95" customHeight="1" x14ac:dyDescent="0.25">
      <c r="A309" s="46">
        <v>308</v>
      </c>
      <c r="B309" s="47"/>
      <c r="T309" s="48"/>
    </row>
    <row r="310" spans="1:20" ht="22.95" customHeight="1" x14ac:dyDescent="0.25">
      <c r="A310" s="46">
        <v>309</v>
      </c>
      <c r="B310" s="47"/>
      <c r="T310" s="48"/>
    </row>
    <row r="311" spans="1:20" ht="22.95" customHeight="1" x14ac:dyDescent="0.25">
      <c r="A311" s="46">
        <v>310</v>
      </c>
      <c r="B311" s="47"/>
      <c r="T311" s="48"/>
    </row>
    <row r="312" spans="1:20" ht="22.95" customHeight="1" x14ac:dyDescent="0.25">
      <c r="A312" s="46">
        <v>311</v>
      </c>
      <c r="B312" s="47"/>
      <c r="T312" s="48"/>
    </row>
    <row r="313" spans="1:20" ht="22.95" customHeight="1" x14ac:dyDescent="0.25">
      <c r="A313" s="46">
        <v>312</v>
      </c>
      <c r="B313" s="47"/>
      <c r="T313" s="48"/>
    </row>
    <row r="314" spans="1:20" ht="22.95" customHeight="1" x14ac:dyDescent="0.25">
      <c r="A314" s="46">
        <v>313</v>
      </c>
      <c r="B314" s="47"/>
      <c r="T314" s="48"/>
    </row>
    <row r="315" spans="1:20" ht="22.95" customHeight="1" x14ac:dyDescent="0.25">
      <c r="A315" s="46">
        <v>314</v>
      </c>
      <c r="B315" s="47"/>
      <c r="T315" s="48"/>
    </row>
    <row r="316" spans="1:20" ht="22.95" customHeight="1" x14ac:dyDescent="0.25">
      <c r="A316" s="46">
        <v>315</v>
      </c>
      <c r="B316" s="47"/>
      <c r="T316" s="48"/>
    </row>
    <row r="317" spans="1:20" ht="22.95" customHeight="1" x14ac:dyDescent="0.25">
      <c r="A317" s="46">
        <v>316</v>
      </c>
      <c r="B317" s="47"/>
      <c r="T317" s="48"/>
    </row>
    <row r="318" spans="1:20" ht="22.95" customHeight="1" x14ac:dyDescent="0.25">
      <c r="A318" s="46">
        <v>317</v>
      </c>
      <c r="B318" s="47"/>
      <c r="T318" s="48"/>
    </row>
    <row r="319" spans="1:20" ht="22.95" customHeight="1" x14ac:dyDescent="0.25">
      <c r="A319" s="46">
        <v>318</v>
      </c>
      <c r="B319" s="47"/>
      <c r="T319" s="48"/>
    </row>
    <row r="320" spans="1:20" ht="22.95" customHeight="1" x14ac:dyDescent="0.25">
      <c r="A320" s="46">
        <v>319</v>
      </c>
      <c r="B320" s="47"/>
      <c r="T320" s="48"/>
    </row>
    <row r="321" spans="1:20" ht="22.95" customHeight="1" x14ac:dyDescent="0.25">
      <c r="A321" s="46">
        <v>320</v>
      </c>
      <c r="B321" s="47"/>
      <c r="T321" s="48"/>
    </row>
    <row r="322" spans="1:20" ht="22.95" customHeight="1" x14ac:dyDescent="0.25">
      <c r="A322" s="46">
        <v>321</v>
      </c>
      <c r="B322" s="47"/>
      <c r="T322" s="48"/>
    </row>
    <row r="323" spans="1:20" ht="22.95" customHeight="1" x14ac:dyDescent="0.25">
      <c r="A323" s="46">
        <v>322</v>
      </c>
      <c r="B323" s="47"/>
      <c r="T323" s="48"/>
    </row>
    <row r="324" spans="1:20" ht="22.95" customHeight="1" x14ac:dyDescent="0.25">
      <c r="A324" s="46">
        <v>323</v>
      </c>
      <c r="B324" s="47"/>
      <c r="T324" s="48"/>
    </row>
    <row r="325" spans="1:20" ht="22.95" customHeight="1" x14ac:dyDescent="0.25">
      <c r="A325" s="46">
        <v>324</v>
      </c>
      <c r="B325" s="47"/>
      <c r="T325" s="48"/>
    </row>
    <row r="326" spans="1:20" ht="22.95" customHeight="1" x14ac:dyDescent="0.25">
      <c r="A326" s="46">
        <v>325</v>
      </c>
      <c r="B326" s="47"/>
      <c r="T326" s="48"/>
    </row>
    <row r="327" spans="1:20" ht="22.95" customHeight="1" x14ac:dyDescent="0.25">
      <c r="A327" s="46">
        <v>326</v>
      </c>
      <c r="B327" s="47"/>
      <c r="T327" s="48"/>
    </row>
    <row r="328" spans="1:20" ht="22.95" customHeight="1" x14ac:dyDescent="0.25">
      <c r="A328" s="46">
        <v>327</v>
      </c>
      <c r="B328" s="47"/>
      <c r="T328" s="48"/>
    </row>
    <row r="329" spans="1:20" ht="22.95" customHeight="1" x14ac:dyDescent="0.25">
      <c r="A329" s="46">
        <v>328</v>
      </c>
      <c r="B329" s="47"/>
      <c r="T329" s="48"/>
    </row>
    <row r="330" spans="1:20" ht="22.95" customHeight="1" x14ac:dyDescent="0.25">
      <c r="A330" s="46">
        <v>329</v>
      </c>
      <c r="B330" s="47"/>
      <c r="T330" s="48"/>
    </row>
    <row r="331" spans="1:20" ht="22.95" customHeight="1" x14ac:dyDescent="0.25">
      <c r="A331" s="46">
        <v>330</v>
      </c>
      <c r="B331" s="47"/>
      <c r="T331" s="48"/>
    </row>
    <row r="332" spans="1:20" ht="22.95" customHeight="1" x14ac:dyDescent="0.25">
      <c r="A332" s="46">
        <v>331</v>
      </c>
      <c r="B332" s="47"/>
      <c r="T332" s="48"/>
    </row>
    <row r="333" spans="1:20" ht="22.95" customHeight="1" x14ac:dyDescent="0.25">
      <c r="A333" s="46">
        <v>332</v>
      </c>
      <c r="B333" s="47"/>
      <c r="T333" s="48"/>
    </row>
    <row r="334" spans="1:20" ht="22.95" customHeight="1" x14ac:dyDescent="0.25">
      <c r="A334" s="46">
        <v>333</v>
      </c>
      <c r="B334" s="47"/>
      <c r="T334" s="48"/>
    </row>
    <row r="335" spans="1:20" ht="22.95" customHeight="1" x14ac:dyDescent="0.25">
      <c r="A335" s="46">
        <v>334</v>
      </c>
      <c r="B335" s="47"/>
      <c r="T335" s="48"/>
    </row>
    <row r="336" spans="1:20" ht="22.95" customHeight="1" x14ac:dyDescent="0.25">
      <c r="A336" s="46">
        <v>335</v>
      </c>
      <c r="B336" s="47"/>
      <c r="T336" s="48"/>
    </row>
    <row r="337" spans="1:20" ht="22.95" customHeight="1" x14ac:dyDescent="0.25">
      <c r="A337" s="46">
        <v>336</v>
      </c>
      <c r="B337" s="47"/>
      <c r="T337" s="48"/>
    </row>
    <row r="338" spans="1:20" ht="22.95" customHeight="1" x14ac:dyDescent="0.25">
      <c r="A338" s="46">
        <v>337</v>
      </c>
      <c r="B338" s="47"/>
      <c r="T338" s="48"/>
    </row>
    <row r="339" spans="1:20" ht="22.95" customHeight="1" x14ac:dyDescent="0.25">
      <c r="A339" s="46">
        <v>338</v>
      </c>
      <c r="B339" s="47"/>
      <c r="T339" s="48"/>
    </row>
    <row r="340" spans="1:20" ht="22.95" customHeight="1" x14ac:dyDescent="0.25">
      <c r="A340" s="46">
        <v>339</v>
      </c>
      <c r="B340" s="47"/>
      <c r="T340" s="48"/>
    </row>
    <row r="341" spans="1:20" ht="22.95" customHeight="1" x14ac:dyDescent="0.25">
      <c r="A341" s="46">
        <v>340</v>
      </c>
      <c r="B341" s="47"/>
      <c r="T341" s="48"/>
    </row>
    <row r="342" spans="1:20" ht="22.95" customHeight="1" x14ac:dyDescent="0.25">
      <c r="A342" s="46">
        <v>341</v>
      </c>
      <c r="B342" s="47"/>
      <c r="T342" s="48"/>
    </row>
    <row r="343" spans="1:20" ht="22.95" customHeight="1" x14ac:dyDescent="0.25">
      <c r="A343" s="46">
        <v>342</v>
      </c>
      <c r="B343" s="47"/>
      <c r="T343" s="48"/>
    </row>
    <row r="344" spans="1:20" ht="22.95" customHeight="1" x14ac:dyDescent="0.25">
      <c r="A344" s="46">
        <v>343</v>
      </c>
      <c r="B344" s="47"/>
      <c r="T344" s="48"/>
    </row>
    <row r="345" spans="1:20" ht="22.95" customHeight="1" x14ac:dyDescent="0.25">
      <c r="A345" s="46">
        <v>344</v>
      </c>
      <c r="B345" s="47"/>
      <c r="T345" s="48"/>
    </row>
    <row r="346" spans="1:20" ht="22.95" customHeight="1" x14ac:dyDescent="0.25">
      <c r="A346" s="46">
        <v>345</v>
      </c>
      <c r="B346" s="47"/>
      <c r="T346" s="48"/>
    </row>
    <row r="347" spans="1:20" ht="22.95" customHeight="1" x14ac:dyDescent="0.25">
      <c r="A347" s="46">
        <v>346</v>
      </c>
      <c r="B347" s="47"/>
      <c r="T347" s="48"/>
    </row>
    <row r="348" spans="1:20" ht="22.95" customHeight="1" x14ac:dyDescent="0.25">
      <c r="A348" s="46">
        <v>347</v>
      </c>
      <c r="B348" s="47"/>
      <c r="T348" s="48"/>
    </row>
    <row r="349" spans="1:20" ht="22.95" customHeight="1" x14ac:dyDescent="0.25">
      <c r="A349" s="46">
        <v>348</v>
      </c>
      <c r="B349" s="47"/>
      <c r="T349" s="48"/>
    </row>
    <row r="350" spans="1:20" ht="22.95" customHeight="1" x14ac:dyDescent="0.25">
      <c r="A350" s="46">
        <v>349</v>
      </c>
      <c r="B350" s="47"/>
      <c r="T350" s="48"/>
    </row>
    <row r="351" spans="1:20" ht="22.95" customHeight="1" x14ac:dyDescent="0.25">
      <c r="A351" s="46">
        <v>350</v>
      </c>
      <c r="B351" s="47"/>
      <c r="T351" s="48"/>
    </row>
    <row r="352" spans="1:20" ht="22.95" customHeight="1" x14ac:dyDescent="0.25">
      <c r="A352" s="46">
        <v>351</v>
      </c>
      <c r="B352" s="47"/>
      <c r="T352" s="48"/>
    </row>
    <row r="353" spans="1:20" ht="22.95" customHeight="1" x14ac:dyDescent="0.25">
      <c r="A353" s="46">
        <v>352</v>
      </c>
      <c r="B353" s="47"/>
      <c r="T353" s="48"/>
    </row>
    <row r="354" spans="1:20" ht="22.95" customHeight="1" x14ac:dyDescent="0.25">
      <c r="A354" s="46">
        <v>353</v>
      </c>
      <c r="B354" s="47"/>
      <c r="T354" s="48"/>
    </row>
    <row r="355" spans="1:20" ht="22.95" customHeight="1" x14ac:dyDescent="0.25">
      <c r="A355" s="46">
        <v>354</v>
      </c>
      <c r="B355" s="47"/>
      <c r="T355" s="48"/>
    </row>
    <row r="356" spans="1:20" ht="22.95" customHeight="1" x14ac:dyDescent="0.25">
      <c r="A356" s="46">
        <v>355</v>
      </c>
      <c r="B356" s="47"/>
      <c r="T356" s="48"/>
    </row>
    <row r="357" spans="1:20" ht="22.95" customHeight="1" x14ac:dyDescent="0.25">
      <c r="A357" s="46">
        <v>356</v>
      </c>
      <c r="B357" s="47"/>
      <c r="T357" s="48"/>
    </row>
    <row r="358" spans="1:20" ht="22.95" customHeight="1" x14ac:dyDescent="0.25">
      <c r="A358" s="46">
        <v>357</v>
      </c>
      <c r="B358" s="47"/>
      <c r="T358" s="48"/>
    </row>
    <row r="359" spans="1:20" ht="22.95" customHeight="1" x14ac:dyDescent="0.25">
      <c r="A359" s="46">
        <v>358</v>
      </c>
      <c r="B359" s="47"/>
      <c r="T359" s="48"/>
    </row>
    <row r="360" spans="1:20" ht="22.95" customHeight="1" x14ac:dyDescent="0.25">
      <c r="A360" s="46">
        <v>359</v>
      </c>
      <c r="B360" s="47"/>
      <c r="T360" s="48"/>
    </row>
    <row r="361" spans="1:20" ht="22.95" customHeight="1" x14ac:dyDescent="0.25">
      <c r="A361" s="46">
        <v>360</v>
      </c>
      <c r="B361" s="47"/>
      <c r="T361" s="48"/>
    </row>
    <row r="362" spans="1:20" ht="22.95" customHeight="1" x14ac:dyDescent="0.25">
      <c r="A362" s="46">
        <v>361</v>
      </c>
      <c r="B362" s="47"/>
      <c r="T362" s="48"/>
    </row>
    <row r="363" spans="1:20" ht="22.95" customHeight="1" x14ac:dyDescent="0.25">
      <c r="A363" s="46">
        <v>362</v>
      </c>
      <c r="B363" s="47"/>
      <c r="T363" s="48"/>
    </row>
    <row r="364" spans="1:20" ht="22.95" customHeight="1" x14ac:dyDescent="0.25">
      <c r="A364" s="46">
        <v>363</v>
      </c>
      <c r="B364" s="47"/>
      <c r="T364" s="48"/>
    </row>
    <row r="365" spans="1:20" ht="22.95" customHeight="1" x14ac:dyDescent="0.25">
      <c r="A365" s="46">
        <v>364</v>
      </c>
      <c r="B365" s="47"/>
      <c r="T365" s="48"/>
    </row>
    <row r="366" spans="1:20" ht="22.95" customHeight="1" x14ac:dyDescent="0.25">
      <c r="A366" s="46">
        <v>365</v>
      </c>
      <c r="B366" s="47"/>
      <c r="T366" s="48"/>
    </row>
    <row r="367" spans="1:20" ht="22.95" customHeight="1" x14ac:dyDescent="0.25">
      <c r="A367" s="46">
        <v>366</v>
      </c>
      <c r="B367" s="47"/>
      <c r="T367" s="48"/>
    </row>
    <row r="368" spans="1:20" ht="22.95" customHeight="1" x14ac:dyDescent="0.25">
      <c r="A368" s="46">
        <v>367</v>
      </c>
      <c r="B368" s="47"/>
      <c r="T368" s="48"/>
    </row>
    <row r="369" spans="1:20" ht="22.95" customHeight="1" x14ac:dyDescent="0.25">
      <c r="A369" s="46">
        <v>368</v>
      </c>
      <c r="B369" s="47"/>
      <c r="T369" s="48"/>
    </row>
    <row r="370" spans="1:20" ht="22.95" customHeight="1" x14ac:dyDescent="0.25">
      <c r="A370" s="46">
        <v>369</v>
      </c>
      <c r="B370" s="47"/>
      <c r="T370" s="48"/>
    </row>
    <row r="371" spans="1:20" ht="22.95" customHeight="1" x14ac:dyDescent="0.25">
      <c r="A371" s="46">
        <v>370</v>
      </c>
      <c r="B371" s="47"/>
      <c r="T371" s="48"/>
    </row>
    <row r="372" spans="1:20" ht="22.95" customHeight="1" x14ac:dyDescent="0.25">
      <c r="A372" s="46">
        <v>371</v>
      </c>
      <c r="B372" s="47"/>
      <c r="T372" s="48"/>
    </row>
    <row r="373" spans="1:20" ht="22.95" customHeight="1" x14ac:dyDescent="0.25">
      <c r="A373" s="46">
        <v>372</v>
      </c>
      <c r="B373" s="47"/>
      <c r="T373" s="48"/>
    </row>
    <row r="374" spans="1:20" ht="22.95" customHeight="1" x14ac:dyDescent="0.25">
      <c r="A374" s="46">
        <v>373</v>
      </c>
      <c r="B374" s="47"/>
      <c r="T374" s="48"/>
    </row>
    <row r="375" spans="1:20" ht="22.95" customHeight="1" x14ac:dyDescent="0.25">
      <c r="A375" s="46">
        <v>374</v>
      </c>
      <c r="B375" s="47"/>
      <c r="T375" s="48"/>
    </row>
    <row r="376" spans="1:20" ht="22.95" customHeight="1" x14ac:dyDescent="0.25">
      <c r="A376" s="46">
        <v>375</v>
      </c>
      <c r="B376" s="47"/>
      <c r="T376" s="48"/>
    </row>
    <row r="377" spans="1:20" ht="22.95" customHeight="1" x14ac:dyDescent="0.25">
      <c r="A377" s="46">
        <v>376</v>
      </c>
      <c r="B377" s="47"/>
      <c r="T377" s="48"/>
    </row>
    <row r="378" spans="1:20" ht="22.95" customHeight="1" x14ac:dyDescent="0.25">
      <c r="A378" s="46">
        <v>377</v>
      </c>
      <c r="B378" s="47"/>
      <c r="T378" s="48"/>
    </row>
    <row r="379" spans="1:20" ht="22.95" customHeight="1" x14ac:dyDescent="0.25">
      <c r="A379" s="46">
        <v>378</v>
      </c>
      <c r="B379" s="47"/>
      <c r="T379" s="48"/>
    </row>
    <row r="380" spans="1:20" ht="22.95" customHeight="1" x14ac:dyDescent="0.25">
      <c r="A380" s="46">
        <v>379</v>
      </c>
      <c r="B380" s="47"/>
      <c r="T380" s="48"/>
    </row>
    <row r="381" spans="1:20" ht="22.95" customHeight="1" x14ac:dyDescent="0.25">
      <c r="A381" s="46">
        <v>380</v>
      </c>
      <c r="B381" s="47"/>
      <c r="T381" s="48"/>
    </row>
    <row r="382" spans="1:20" ht="22.95" customHeight="1" x14ac:dyDescent="0.25">
      <c r="A382" s="46">
        <v>381</v>
      </c>
      <c r="B382" s="47"/>
      <c r="T382" s="48"/>
    </row>
    <row r="383" spans="1:20" ht="22.95" customHeight="1" x14ac:dyDescent="0.25">
      <c r="A383" s="46">
        <v>382</v>
      </c>
      <c r="B383" s="47"/>
      <c r="T383" s="48"/>
    </row>
    <row r="384" spans="1:20" ht="22.95" customHeight="1" x14ac:dyDescent="0.25">
      <c r="A384" s="46">
        <v>383</v>
      </c>
      <c r="B384" s="47"/>
      <c r="T384" s="48"/>
    </row>
    <row r="385" spans="1:20" ht="22.95" customHeight="1" x14ac:dyDescent="0.25">
      <c r="A385" s="46">
        <v>384</v>
      </c>
      <c r="B385" s="47"/>
      <c r="T385" s="48"/>
    </row>
    <row r="386" spans="1:20" ht="22.95" customHeight="1" x14ac:dyDescent="0.25">
      <c r="A386" s="46">
        <v>385</v>
      </c>
      <c r="B386" s="47"/>
      <c r="T386" s="48"/>
    </row>
    <row r="387" spans="1:20" ht="22.95" customHeight="1" x14ac:dyDescent="0.25">
      <c r="A387" s="46">
        <v>386</v>
      </c>
      <c r="B387" s="47"/>
      <c r="T387" s="48"/>
    </row>
    <row r="388" spans="1:20" ht="22.95" customHeight="1" x14ac:dyDescent="0.25">
      <c r="A388" s="46">
        <v>387</v>
      </c>
      <c r="B388" s="47"/>
      <c r="T388" s="48"/>
    </row>
    <row r="389" spans="1:20" ht="22.95" customHeight="1" x14ac:dyDescent="0.25">
      <c r="A389" s="46">
        <v>388</v>
      </c>
      <c r="B389" s="47"/>
      <c r="T389" s="48"/>
    </row>
    <row r="390" spans="1:20" ht="22.95" customHeight="1" x14ac:dyDescent="0.25">
      <c r="A390" s="46">
        <v>389</v>
      </c>
      <c r="B390" s="47"/>
      <c r="T390" s="48"/>
    </row>
    <row r="391" spans="1:20" ht="22.95" customHeight="1" x14ac:dyDescent="0.25">
      <c r="A391" s="46">
        <v>390</v>
      </c>
      <c r="B391" s="47"/>
      <c r="T391" s="48"/>
    </row>
    <row r="392" spans="1:20" ht="22.95" customHeight="1" x14ac:dyDescent="0.25">
      <c r="A392" s="46">
        <v>391</v>
      </c>
      <c r="B392" s="47"/>
      <c r="T392" s="48"/>
    </row>
    <row r="393" spans="1:20" ht="22.95" customHeight="1" x14ac:dyDescent="0.25">
      <c r="A393" s="46">
        <v>392</v>
      </c>
      <c r="B393" s="47"/>
      <c r="T393" s="48"/>
    </row>
    <row r="394" spans="1:20" ht="22.95" customHeight="1" x14ac:dyDescent="0.25">
      <c r="A394" s="46">
        <v>393</v>
      </c>
      <c r="B394" s="47"/>
      <c r="T394" s="48"/>
    </row>
    <row r="395" spans="1:20" ht="22.95" customHeight="1" x14ac:dyDescent="0.25">
      <c r="A395" s="46">
        <v>394</v>
      </c>
      <c r="B395" s="47"/>
      <c r="T395" s="48"/>
    </row>
    <row r="396" spans="1:20" ht="22.95" customHeight="1" x14ac:dyDescent="0.25">
      <c r="A396" s="46">
        <v>395</v>
      </c>
      <c r="B396" s="47"/>
      <c r="T396" s="48"/>
    </row>
    <row r="397" spans="1:20" ht="22.95" customHeight="1" x14ac:dyDescent="0.25">
      <c r="A397" s="46">
        <v>396</v>
      </c>
      <c r="B397" s="47"/>
      <c r="T397" s="48"/>
    </row>
    <row r="398" spans="1:20" ht="22.95" customHeight="1" x14ac:dyDescent="0.25">
      <c r="A398" s="46">
        <v>397</v>
      </c>
      <c r="B398" s="47"/>
      <c r="T398" s="48"/>
    </row>
    <row r="399" spans="1:20" ht="22.95" customHeight="1" x14ac:dyDescent="0.25">
      <c r="A399" s="46">
        <v>398</v>
      </c>
      <c r="B399" s="47"/>
      <c r="T399" s="48"/>
    </row>
    <row r="400" spans="1:20" ht="22.95" customHeight="1" x14ac:dyDescent="0.25">
      <c r="A400" s="46">
        <v>399</v>
      </c>
      <c r="B400" s="47"/>
      <c r="T400" s="48"/>
    </row>
    <row r="401" spans="1:20" ht="22.95" customHeight="1" x14ac:dyDescent="0.25">
      <c r="A401" s="46">
        <v>400</v>
      </c>
      <c r="B401" s="47"/>
      <c r="T401" s="48"/>
    </row>
    <row r="402" spans="1:20" ht="22.95" customHeight="1" x14ac:dyDescent="0.25">
      <c r="A402" s="46">
        <v>401</v>
      </c>
      <c r="B402" s="47"/>
      <c r="T402" s="48"/>
    </row>
    <row r="403" spans="1:20" ht="22.95" customHeight="1" x14ac:dyDescent="0.25">
      <c r="A403" s="46">
        <v>402</v>
      </c>
      <c r="B403" s="47"/>
      <c r="T403" s="48"/>
    </row>
    <row r="404" spans="1:20" ht="22.95" customHeight="1" x14ac:dyDescent="0.25">
      <c r="A404" s="46">
        <v>403</v>
      </c>
      <c r="B404" s="47"/>
      <c r="T404" s="48"/>
    </row>
    <row r="405" spans="1:20" ht="22.95" customHeight="1" x14ac:dyDescent="0.25">
      <c r="A405" s="46">
        <v>404</v>
      </c>
      <c r="B405" s="47"/>
      <c r="T405" s="48"/>
    </row>
    <row r="406" spans="1:20" ht="22.95" customHeight="1" x14ac:dyDescent="0.25">
      <c r="A406" s="46">
        <v>405</v>
      </c>
      <c r="B406" s="47"/>
      <c r="T406" s="48"/>
    </row>
    <row r="407" spans="1:20" ht="22.95" customHeight="1" x14ac:dyDescent="0.25">
      <c r="A407" s="46">
        <v>406</v>
      </c>
      <c r="B407" s="47"/>
      <c r="T407" s="48"/>
    </row>
    <row r="408" spans="1:20" ht="22.95" customHeight="1" x14ac:dyDescent="0.25">
      <c r="A408" s="46">
        <v>407</v>
      </c>
      <c r="B408" s="47"/>
      <c r="T408" s="48"/>
    </row>
    <row r="409" spans="1:20" ht="22.95" customHeight="1" x14ac:dyDescent="0.25">
      <c r="A409" s="46">
        <v>408</v>
      </c>
      <c r="B409" s="47"/>
      <c r="T409" s="48"/>
    </row>
    <row r="410" spans="1:20" ht="22.95" customHeight="1" x14ac:dyDescent="0.25">
      <c r="A410" s="46">
        <v>409</v>
      </c>
      <c r="B410" s="47"/>
      <c r="T410" s="48"/>
    </row>
    <row r="411" spans="1:20" ht="22.95" customHeight="1" x14ac:dyDescent="0.25">
      <c r="A411" s="46">
        <v>410</v>
      </c>
      <c r="B411" s="47"/>
      <c r="T411" s="48"/>
    </row>
    <row r="412" spans="1:20" ht="22.95" customHeight="1" x14ac:dyDescent="0.25">
      <c r="A412" s="46">
        <v>411</v>
      </c>
      <c r="B412" s="47"/>
      <c r="T412" s="48"/>
    </row>
    <row r="413" spans="1:20" ht="22.95" customHeight="1" x14ac:dyDescent="0.25">
      <c r="A413" s="46">
        <v>412</v>
      </c>
      <c r="B413" s="47"/>
      <c r="T413" s="48"/>
    </row>
    <row r="414" spans="1:20" ht="22.95" customHeight="1" x14ac:dyDescent="0.25">
      <c r="A414" s="46">
        <v>413</v>
      </c>
      <c r="B414" s="47"/>
      <c r="T414" s="48"/>
    </row>
    <row r="415" spans="1:20" ht="22.95" customHeight="1" x14ac:dyDescent="0.25">
      <c r="A415" s="46">
        <v>414</v>
      </c>
      <c r="B415" s="47"/>
      <c r="T415" s="48"/>
    </row>
    <row r="416" spans="1:20" ht="22.95" customHeight="1" x14ac:dyDescent="0.25">
      <c r="A416" s="46">
        <v>415</v>
      </c>
      <c r="B416" s="47"/>
      <c r="T416" s="48"/>
    </row>
    <row r="417" spans="1:20" ht="22.95" customHeight="1" x14ac:dyDescent="0.25">
      <c r="A417" s="46">
        <v>416</v>
      </c>
      <c r="B417" s="47"/>
      <c r="T417" s="48"/>
    </row>
    <row r="418" spans="1:20" ht="22.95" customHeight="1" x14ac:dyDescent="0.25">
      <c r="A418" s="46">
        <v>417</v>
      </c>
      <c r="B418" s="47"/>
      <c r="T418" s="48"/>
    </row>
    <row r="419" spans="1:20" ht="22.95" customHeight="1" x14ac:dyDescent="0.25">
      <c r="A419" s="46">
        <v>418</v>
      </c>
      <c r="B419" s="47"/>
      <c r="T419" s="48"/>
    </row>
    <row r="420" spans="1:20" ht="22.95" customHeight="1" x14ac:dyDescent="0.25">
      <c r="A420" s="46">
        <v>419</v>
      </c>
      <c r="B420" s="47"/>
      <c r="T420" s="48"/>
    </row>
    <row r="421" spans="1:20" ht="22.95" customHeight="1" x14ac:dyDescent="0.25">
      <c r="A421" s="46">
        <v>420</v>
      </c>
      <c r="B421" s="47"/>
      <c r="T421" s="48"/>
    </row>
    <row r="422" spans="1:20" ht="22.95" customHeight="1" x14ac:dyDescent="0.25">
      <c r="A422" s="46">
        <v>421</v>
      </c>
      <c r="B422" s="47"/>
      <c r="T422" s="48"/>
    </row>
    <row r="423" spans="1:20" ht="22.95" customHeight="1" x14ac:dyDescent="0.25">
      <c r="A423" s="46">
        <v>422</v>
      </c>
      <c r="B423" s="47"/>
      <c r="T423" s="48"/>
    </row>
    <row r="424" spans="1:20" ht="22.95" customHeight="1" x14ac:dyDescent="0.25">
      <c r="A424" s="46">
        <v>423</v>
      </c>
      <c r="B424" s="47"/>
      <c r="T424" s="48"/>
    </row>
    <row r="425" spans="1:20" ht="22.95" customHeight="1" x14ac:dyDescent="0.25">
      <c r="A425" s="46">
        <v>424</v>
      </c>
      <c r="B425" s="47"/>
      <c r="T425" s="48"/>
    </row>
    <row r="426" spans="1:20" ht="22.95" customHeight="1" x14ac:dyDescent="0.25">
      <c r="A426" s="46">
        <v>425</v>
      </c>
      <c r="B426" s="47"/>
      <c r="T426" s="48"/>
    </row>
    <row r="427" spans="1:20" ht="22.95" customHeight="1" x14ac:dyDescent="0.25">
      <c r="A427" s="46">
        <v>426</v>
      </c>
      <c r="B427" s="47"/>
      <c r="T427" s="48"/>
    </row>
    <row r="428" spans="1:20" ht="22.95" customHeight="1" x14ac:dyDescent="0.25">
      <c r="A428" s="46">
        <v>427</v>
      </c>
      <c r="B428" s="47"/>
      <c r="T428" s="48"/>
    </row>
    <row r="429" spans="1:20" ht="22.95" customHeight="1" x14ac:dyDescent="0.25">
      <c r="A429" s="46">
        <v>428</v>
      </c>
      <c r="B429" s="47"/>
      <c r="T429" s="48"/>
    </row>
    <row r="430" spans="1:20" ht="22.95" customHeight="1" x14ac:dyDescent="0.25">
      <c r="A430" s="46">
        <v>429</v>
      </c>
      <c r="B430" s="47"/>
      <c r="T430" s="48"/>
    </row>
    <row r="431" spans="1:20" ht="22.95" customHeight="1" x14ac:dyDescent="0.25">
      <c r="A431" s="46">
        <v>430</v>
      </c>
      <c r="B431" s="47"/>
      <c r="T431" s="48"/>
    </row>
    <row r="432" spans="1:20" ht="22.95" customHeight="1" x14ac:dyDescent="0.25">
      <c r="A432" s="46">
        <v>431</v>
      </c>
      <c r="B432" s="47"/>
      <c r="T432" s="48"/>
    </row>
    <row r="433" spans="1:20" ht="22.95" customHeight="1" x14ac:dyDescent="0.25">
      <c r="A433" s="46">
        <v>432</v>
      </c>
      <c r="B433" s="47"/>
      <c r="T433" s="48"/>
    </row>
    <row r="434" spans="1:20" ht="22.95" customHeight="1" x14ac:dyDescent="0.25">
      <c r="A434" s="46">
        <v>433</v>
      </c>
      <c r="B434" s="47"/>
      <c r="T434" s="48"/>
    </row>
    <row r="435" spans="1:20" ht="22.95" customHeight="1" x14ac:dyDescent="0.25">
      <c r="A435" s="46">
        <v>434</v>
      </c>
      <c r="B435" s="47"/>
      <c r="T435" s="48"/>
    </row>
    <row r="436" spans="1:20" ht="22.95" customHeight="1" x14ac:dyDescent="0.25">
      <c r="A436" s="46">
        <v>435</v>
      </c>
      <c r="B436" s="47"/>
      <c r="T436" s="48"/>
    </row>
    <row r="437" spans="1:20" ht="22.95" customHeight="1" x14ac:dyDescent="0.25">
      <c r="A437" s="46">
        <v>436</v>
      </c>
      <c r="B437" s="47"/>
      <c r="T437" s="48"/>
    </row>
    <row r="438" spans="1:20" ht="22.95" customHeight="1" x14ac:dyDescent="0.25">
      <c r="A438" s="46">
        <v>437</v>
      </c>
      <c r="B438" s="47"/>
      <c r="T438" s="48"/>
    </row>
    <row r="439" spans="1:20" ht="22.95" customHeight="1" x14ac:dyDescent="0.25">
      <c r="A439" s="46">
        <v>438</v>
      </c>
      <c r="B439" s="47"/>
      <c r="T439" s="48"/>
    </row>
    <row r="440" spans="1:20" ht="22.95" customHeight="1" x14ac:dyDescent="0.25">
      <c r="A440" s="46">
        <v>439</v>
      </c>
      <c r="B440" s="47"/>
      <c r="T440" s="48"/>
    </row>
    <row r="441" spans="1:20" ht="22.95" customHeight="1" x14ac:dyDescent="0.25">
      <c r="A441" s="46">
        <v>440</v>
      </c>
      <c r="B441" s="47"/>
      <c r="T441" s="48"/>
    </row>
    <row r="442" spans="1:20" ht="22.95" customHeight="1" x14ac:dyDescent="0.25">
      <c r="A442" s="46">
        <v>441</v>
      </c>
      <c r="B442" s="47"/>
      <c r="T442" s="48"/>
    </row>
    <row r="443" spans="1:20" ht="22.95" customHeight="1" x14ac:dyDescent="0.25">
      <c r="A443" s="46">
        <v>442</v>
      </c>
      <c r="B443" s="47"/>
      <c r="T443" s="48"/>
    </row>
    <row r="444" spans="1:20" ht="22.95" customHeight="1" x14ac:dyDescent="0.25">
      <c r="A444" s="46">
        <v>443</v>
      </c>
      <c r="B444" s="47"/>
      <c r="T444" s="48"/>
    </row>
    <row r="445" spans="1:20" ht="22.95" customHeight="1" x14ac:dyDescent="0.25">
      <c r="A445" s="46">
        <v>444</v>
      </c>
      <c r="B445" s="47"/>
      <c r="T445" s="48"/>
    </row>
    <row r="446" spans="1:20" ht="22.95" customHeight="1" x14ac:dyDescent="0.25">
      <c r="A446" s="46">
        <v>445</v>
      </c>
      <c r="B446" s="47"/>
      <c r="T446" s="48"/>
    </row>
    <row r="447" spans="1:20" ht="22.95" customHeight="1" x14ac:dyDescent="0.25">
      <c r="A447" s="46">
        <v>446</v>
      </c>
      <c r="B447" s="47"/>
      <c r="T447" s="48"/>
    </row>
    <row r="448" spans="1:20" ht="22.95" customHeight="1" x14ac:dyDescent="0.25">
      <c r="A448" s="46">
        <v>447</v>
      </c>
      <c r="B448" s="47"/>
      <c r="T448" s="48"/>
    </row>
    <row r="449" spans="1:20" ht="22.95" customHeight="1" x14ac:dyDescent="0.25">
      <c r="A449" s="46">
        <v>448</v>
      </c>
      <c r="B449" s="47"/>
      <c r="T449" s="48"/>
    </row>
    <row r="450" spans="1:20" ht="22.95" customHeight="1" x14ac:dyDescent="0.25">
      <c r="A450" s="46">
        <v>449</v>
      </c>
      <c r="B450" s="47"/>
      <c r="T450" s="48"/>
    </row>
    <row r="451" spans="1:20" ht="22.95" customHeight="1" x14ac:dyDescent="0.25">
      <c r="A451" s="46">
        <v>450</v>
      </c>
      <c r="B451" s="47"/>
      <c r="T451" s="48"/>
    </row>
    <row r="452" spans="1:20" ht="22.95" customHeight="1" x14ac:dyDescent="0.25">
      <c r="A452" s="46">
        <v>451</v>
      </c>
      <c r="B452" s="47"/>
      <c r="T452" s="48"/>
    </row>
    <row r="453" spans="1:20" ht="22.95" customHeight="1" x14ac:dyDescent="0.25">
      <c r="A453" s="46">
        <v>452</v>
      </c>
      <c r="B453" s="47"/>
      <c r="T453" s="48"/>
    </row>
    <row r="454" spans="1:20" ht="22.95" customHeight="1" x14ac:dyDescent="0.25">
      <c r="A454" s="46">
        <v>453</v>
      </c>
      <c r="B454" s="47"/>
      <c r="T454" s="48"/>
    </row>
    <row r="455" spans="1:20" ht="22.95" customHeight="1" x14ac:dyDescent="0.25">
      <c r="A455" s="46">
        <v>454</v>
      </c>
      <c r="B455" s="47"/>
      <c r="T455" s="48"/>
    </row>
    <row r="456" spans="1:20" ht="22.95" customHeight="1" x14ac:dyDescent="0.25">
      <c r="A456" s="46">
        <v>455</v>
      </c>
      <c r="B456" s="47"/>
      <c r="T456" s="48"/>
    </row>
    <row r="457" spans="1:20" ht="22.95" customHeight="1" x14ac:dyDescent="0.25">
      <c r="A457" s="46">
        <v>456</v>
      </c>
      <c r="B457" s="47"/>
      <c r="T457" s="48"/>
    </row>
    <row r="458" spans="1:20" ht="22.95" customHeight="1" x14ac:dyDescent="0.25">
      <c r="A458" s="46">
        <v>457</v>
      </c>
      <c r="B458" s="47"/>
      <c r="T458" s="48"/>
    </row>
    <row r="459" spans="1:20" ht="22.95" customHeight="1" x14ac:dyDescent="0.25">
      <c r="A459" s="46">
        <v>458</v>
      </c>
      <c r="B459" s="47"/>
      <c r="T459" s="48"/>
    </row>
    <row r="460" spans="1:20" ht="22.95" customHeight="1" x14ac:dyDescent="0.25">
      <c r="A460" s="46">
        <v>459</v>
      </c>
      <c r="B460" s="47"/>
      <c r="T460" s="48"/>
    </row>
    <row r="461" spans="1:20" ht="22.95" customHeight="1" x14ac:dyDescent="0.25">
      <c r="A461" s="46">
        <v>460</v>
      </c>
      <c r="B461" s="47"/>
      <c r="T461" s="48"/>
    </row>
    <row r="462" spans="1:20" ht="22.95" customHeight="1" x14ac:dyDescent="0.25">
      <c r="A462" s="46">
        <v>461</v>
      </c>
      <c r="B462" s="47"/>
      <c r="T462" s="48"/>
    </row>
    <row r="463" spans="1:20" ht="22.95" customHeight="1" x14ac:dyDescent="0.25">
      <c r="A463" s="46">
        <v>462</v>
      </c>
      <c r="B463" s="47"/>
      <c r="T463" s="48"/>
    </row>
    <row r="464" spans="1:20" ht="22.95" customHeight="1" x14ac:dyDescent="0.25">
      <c r="A464" s="46">
        <v>463</v>
      </c>
      <c r="B464" s="47"/>
      <c r="T464" s="48"/>
    </row>
    <row r="465" spans="1:20" ht="22.95" customHeight="1" x14ac:dyDescent="0.25">
      <c r="A465" s="46">
        <v>464</v>
      </c>
      <c r="B465" s="47"/>
      <c r="T465" s="48"/>
    </row>
    <row r="466" spans="1:20" ht="22.95" customHeight="1" x14ac:dyDescent="0.25">
      <c r="A466" s="46">
        <v>465</v>
      </c>
      <c r="B466" s="47"/>
      <c r="T466" s="48"/>
    </row>
    <row r="467" spans="1:20" ht="22.95" customHeight="1" x14ac:dyDescent="0.25">
      <c r="A467" s="46">
        <v>466</v>
      </c>
      <c r="B467" s="47"/>
      <c r="T467" s="48"/>
    </row>
    <row r="468" spans="1:20" ht="22.95" customHeight="1" x14ac:dyDescent="0.25">
      <c r="A468" s="46">
        <v>467</v>
      </c>
      <c r="B468" s="47"/>
      <c r="T468" s="48"/>
    </row>
    <row r="469" spans="1:20" ht="22.95" customHeight="1" x14ac:dyDescent="0.25">
      <c r="A469" s="46">
        <v>468</v>
      </c>
      <c r="B469" s="47"/>
      <c r="T469" s="48"/>
    </row>
    <row r="470" spans="1:20" ht="22.95" customHeight="1" x14ac:dyDescent="0.25">
      <c r="A470" s="46">
        <v>469</v>
      </c>
      <c r="B470" s="47"/>
      <c r="T470" s="48"/>
    </row>
    <row r="471" spans="1:20" ht="22.95" customHeight="1" x14ac:dyDescent="0.25">
      <c r="A471" s="46">
        <v>470</v>
      </c>
      <c r="B471" s="47"/>
      <c r="T471" s="48"/>
    </row>
    <row r="472" spans="1:20" ht="22.95" customHeight="1" x14ac:dyDescent="0.25">
      <c r="A472" s="46">
        <v>471</v>
      </c>
      <c r="B472" s="47"/>
      <c r="T472" s="48"/>
    </row>
    <row r="473" spans="1:20" ht="22.95" customHeight="1" x14ac:dyDescent="0.25">
      <c r="A473" s="46">
        <v>472</v>
      </c>
      <c r="B473" s="47"/>
      <c r="T473" s="48"/>
    </row>
    <row r="474" spans="1:20" ht="22.95" customHeight="1" x14ac:dyDescent="0.25">
      <c r="A474" s="46">
        <v>473</v>
      </c>
      <c r="B474" s="47"/>
      <c r="T474" s="48"/>
    </row>
    <row r="475" spans="1:20" ht="22.95" customHeight="1" x14ac:dyDescent="0.25">
      <c r="A475" s="46">
        <v>474</v>
      </c>
      <c r="B475" s="47"/>
      <c r="T475" s="48"/>
    </row>
    <row r="476" spans="1:20" ht="22.95" customHeight="1" x14ac:dyDescent="0.25">
      <c r="A476" s="46">
        <v>475</v>
      </c>
      <c r="B476" s="47"/>
      <c r="T476" s="48"/>
    </row>
    <row r="477" spans="1:20" ht="22.95" customHeight="1" x14ac:dyDescent="0.25">
      <c r="A477" s="46">
        <v>476</v>
      </c>
      <c r="B477" s="47"/>
      <c r="T477" s="48"/>
    </row>
    <row r="478" spans="1:20" ht="22.95" customHeight="1" x14ac:dyDescent="0.25">
      <c r="A478" s="46">
        <v>477</v>
      </c>
      <c r="B478" s="47"/>
      <c r="T478" s="48"/>
    </row>
    <row r="479" spans="1:20" ht="22.95" customHeight="1" x14ac:dyDescent="0.25">
      <c r="A479" s="46">
        <v>478</v>
      </c>
      <c r="B479" s="47"/>
      <c r="T479" s="48"/>
    </row>
    <row r="480" spans="1:20" ht="22.95" customHeight="1" x14ac:dyDescent="0.25">
      <c r="A480" s="46">
        <v>479</v>
      </c>
      <c r="B480" s="47"/>
      <c r="T480" s="48"/>
    </row>
    <row r="481" spans="1:20" ht="22.95" customHeight="1" x14ac:dyDescent="0.25">
      <c r="A481" s="46">
        <v>480</v>
      </c>
      <c r="B481" s="47"/>
      <c r="T481" s="48"/>
    </row>
    <row r="482" spans="1:20" ht="22.95" customHeight="1" x14ac:dyDescent="0.25">
      <c r="A482" s="46">
        <v>481</v>
      </c>
      <c r="B482" s="47"/>
      <c r="T482" s="48"/>
    </row>
    <row r="483" spans="1:20" ht="22.95" customHeight="1" x14ac:dyDescent="0.25">
      <c r="A483" s="46">
        <v>482</v>
      </c>
      <c r="B483" s="47"/>
      <c r="T483" s="48"/>
    </row>
    <row r="484" spans="1:20" ht="22.95" customHeight="1" x14ac:dyDescent="0.25">
      <c r="A484" s="46">
        <v>483</v>
      </c>
      <c r="B484" s="47"/>
      <c r="T484" s="48"/>
    </row>
    <row r="485" spans="1:20" ht="22.95" customHeight="1" x14ac:dyDescent="0.25">
      <c r="A485" s="46">
        <v>484</v>
      </c>
      <c r="B485" s="47"/>
      <c r="T485" s="48"/>
    </row>
    <row r="486" spans="1:20" ht="22.95" customHeight="1" x14ac:dyDescent="0.25">
      <c r="A486" s="46">
        <v>485</v>
      </c>
      <c r="B486" s="47"/>
      <c r="T486" s="48"/>
    </row>
    <row r="487" spans="1:20" ht="22.95" customHeight="1" x14ac:dyDescent="0.25">
      <c r="A487" s="46">
        <v>486</v>
      </c>
      <c r="B487" s="47"/>
      <c r="T487" s="48"/>
    </row>
    <row r="488" spans="1:20" ht="22.95" customHeight="1" x14ac:dyDescent="0.25">
      <c r="A488" s="46">
        <v>487</v>
      </c>
      <c r="B488" s="47"/>
      <c r="T488" s="48"/>
    </row>
    <row r="489" spans="1:20" ht="22.95" customHeight="1" x14ac:dyDescent="0.25">
      <c r="A489" s="46">
        <v>488</v>
      </c>
      <c r="B489" s="47"/>
      <c r="T489" s="48"/>
    </row>
    <row r="490" spans="1:20" ht="22.95" customHeight="1" x14ac:dyDescent="0.25">
      <c r="A490" s="46">
        <v>489</v>
      </c>
      <c r="B490" s="47"/>
      <c r="T490" s="48"/>
    </row>
    <row r="491" spans="1:20" ht="22.95" customHeight="1" x14ac:dyDescent="0.25">
      <c r="A491" s="46">
        <v>490</v>
      </c>
      <c r="B491" s="47"/>
      <c r="T491" s="48"/>
    </row>
    <row r="492" spans="1:20" ht="22.95" customHeight="1" x14ac:dyDescent="0.25">
      <c r="A492" s="46">
        <v>491</v>
      </c>
      <c r="B492" s="47"/>
      <c r="T492" s="48"/>
    </row>
    <row r="493" spans="1:20" ht="22.95" customHeight="1" x14ac:dyDescent="0.25">
      <c r="A493" s="46">
        <v>492</v>
      </c>
      <c r="B493" s="47"/>
      <c r="T493" s="48"/>
    </row>
    <row r="494" spans="1:20" ht="22.95" customHeight="1" x14ac:dyDescent="0.25">
      <c r="A494" s="46">
        <v>493</v>
      </c>
      <c r="B494" s="47"/>
      <c r="T494" s="48"/>
    </row>
    <row r="495" spans="1:20" ht="22.95" customHeight="1" x14ac:dyDescent="0.25">
      <c r="A495" s="46">
        <v>494</v>
      </c>
      <c r="B495" s="47"/>
      <c r="T495" s="48"/>
    </row>
    <row r="496" spans="1:20" ht="22.95" customHeight="1" x14ac:dyDescent="0.25">
      <c r="A496" s="46">
        <v>495</v>
      </c>
      <c r="B496" s="47"/>
      <c r="T496" s="48"/>
    </row>
    <row r="497" spans="1:20" ht="22.95" customHeight="1" x14ac:dyDescent="0.25">
      <c r="A497" s="46">
        <v>496</v>
      </c>
      <c r="B497" s="47"/>
      <c r="T497" s="48"/>
    </row>
    <row r="498" spans="1:20" ht="22.95" customHeight="1" x14ac:dyDescent="0.25">
      <c r="A498" s="46">
        <v>497</v>
      </c>
      <c r="B498" s="47"/>
      <c r="T498" s="48"/>
    </row>
    <row r="499" spans="1:20" ht="22.95" customHeight="1" x14ac:dyDescent="0.25">
      <c r="A499" s="46">
        <v>498</v>
      </c>
      <c r="B499" s="47"/>
      <c r="T499" s="48"/>
    </row>
    <row r="500" spans="1:20" ht="22.95" customHeight="1" x14ac:dyDescent="0.25">
      <c r="A500" s="46">
        <v>499</v>
      </c>
      <c r="B500" s="47"/>
      <c r="T500" s="48"/>
    </row>
    <row r="501" spans="1:20" ht="22.95" customHeight="1" x14ac:dyDescent="0.25">
      <c r="A501" s="46">
        <v>500</v>
      </c>
      <c r="B501" s="47"/>
      <c r="T501" s="48"/>
    </row>
    <row r="502" spans="1:20" ht="22.95" customHeight="1" x14ac:dyDescent="0.25">
      <c r="A502" s="46">
        <v>501</v>
      </c>
      <c r="B502" s="47"/>
      <c r="T502" s="48"/>
    </row>
    <row r="503" spans="1:20" ht="22.95" customHeight="1" x14ac:dyDescent="0.25">
      <c r="A503" s="46">
        <v>502</v>
      </c>
      <c r="B503" s="47"/>
      <c r="T503" s="48"/>
    </row>
    <row r="504" spans="1:20" ht="22.95" customHeight="1" x14ac:dyDescent="0.25">
      <c r="A504" s="46">
        <v>503</v>
      </c>
      <c r="B504" s="47"/>
      <c r="T504" s="48"/>
    </row>
    <row r="505" spans="1:20" ht="22.95" customHeight="1" x14ac:dyDescent="0.25">
      <c r="A505" s="46">
        <v>504</v>
      </c>
      <c r="B505" s="47"/>
      <c r="T505" s="48"/>
    </row>
    <row r="506" spans="1:20" ht="22.95" customHeight="1" x14ac:dyDescent="0.25">
      <c r="A506" s="46">
        <v>505</v>
      </c>
      <c r="B506" s="47"/>
      <c r="T506" s="48"/>
    </row>
    <row r="507" spans="1:20" ht="22.95" customHeight="1" x14ac:dyDescent="0.25">
      <c r="A507" s="46">
        <v>506</v>
      </c>
      <c r="B507" s="47"/>
      <c r="T507" s="48"/>
    </row>
    <row r="508" spans="1:20" ht="22.95" customHeight="1" x14ac:dyDescent="0.25">
      <c r="A508" s="46">
        <v>507</v>
      </c>
      <c r="B508" s="47"/>
      <c r="T508" s="48"/>
    </row>
    <row r="509" spans="1:20" ht="22.95" customHeight="1" x14ac:dyDescent="0.25">
      <c r="A509" s="46">
        <v>508</v>
      </c>
      <c r="B509" s="47"/>
      <c r="T509" s="48"/>
    </row>
    <row r="510" spans="1:20" ht="22.95" customHeight="1" x14ac:dyDescent="0.25">
      <c r="A510" s="46">
        <v>509</v>
      </c>
      <c r="B510" s="47"/>
      <c r="T510" s="48"/>
    </row>
    <row r="511" spans="1:20" ht="22.95" customHeight="1" x14ac:dyDescent="0.25">
      <c r="A511" s="46">
        <v>510</v>
      </c>
      <c r="B511" s="47"/>
      <c r="T511" s="48"/>
    </row>
    <row r="512" spans="1:20" ht="22.95" customHeight="1" x14ac:dyDescent="0.25">
      <c r="A512" s="46">
        <v>511</v>
      </c>
      <c r="B512" s="47"/>
      <c r="T512" s="48"/>
    </row>
    <row r="513" spans="1:20" ht="22.95" customHeight="1" x14ac:dyDescent="0.25">
      <c r="A513" s="46">
        <v>512</v>
      </c>
      <c r="B513" s="47"/>
      <c r="T513" s="48"/>
    </row>
    <row r="514" spans="1:20" ht="22.95" customHeight="1" x14ac:dyDescent="0.25">
      <c r="A514" s="46">
        <v>513</v>
      </c>
      <c r="B514" s="47"/>
      <c r="T514" s="48"/>
    </row>
    <row r="515" spans="1:20" ht="22.95" customHeight="1" x14ac:dyDescent="0.25">
      <c r="A515" s="46">
        <v>514</v>
      </c>
      <c r="B515" s="47"/>
      <c r="T515" s="48"/>
    </row>
    <row r="516" spans="1:20" ht="22.95" customHeight="1" x14ac:dyDescent="0.25">
      <c r="A516" s="46">
        <v>515</v>
      </c>
      <c r="B516" s="47"/>
      <c r="T516" s="48"/>
    </row>
    <row r="517" spans="1:20" ht="22.95" customHeight="1" x14ac:dyDescent="0.25">
      <c r="A517" s="46">
        <v>516</v>
      </c>
      <c r="B517" s="47"/>
      <c r="T517" s="48"/>
    </row>
    <row r="518" spans="1:20" ht="22.95" customHeight="1" x14ac:dyDescent="0.25">
      <c r="A518" s="46">
        <v>517</v>
      </c>
      <c r="B518" s="47"/>
      <c r="T518" s="48"/>
    </row>
    <row r="519" spans="1:20" ht="22.95" customHeight="1" x14ac:dyDescent="0.25">
      <c r="A519" s="46">
        <v>518</v>
      </c>
      <c r="B519" s="47"/>
      <c r="T519" s="48"/>
    </row>
    <row r="520" spans="1:20" ht="22.95" customHeight="1" x14ac:dyDescent="0.25">
      <c r="A520" s="46">
        <v>519</v>
      </c>
      <c r="B520" s="47"/>
      <c r="T520" s="48"/>
    </row>
    <row r="521" spans="1:20" ht="22.95" customHeight="1" x14ac:dyDescent="0.25">
      <c r="A521" s="46">
        <v>520</v>
      </c>
      <c r="B521" s="47"/>
      <c r="T521" s="48"/>
    </row>
    <row r="522" spans="1:20" ht="22.95" customHeight="1" x14ac:dyDescent="0.25">
      <c r="A522" s="46">
        <v>521</v>
      </c>
      <c r="B522" s="47"/>
      <c r="T522" s="48"/>
    </row>
    <row r="523" spans="1:20" ht="22.95" customHeight="1" x14ac:dyDescent="0.25">
      <c r="A523" s="46">
        <v>522</v>
      </c>
      <c r="B523" s="47"/>
      <c r="T523" s="48"/>
    </row>
    <row r="524" spans="1:20" ht="22.95" customHeight="1" x14ac:dyDescent="0.25">
      <c r="A524" s="46">
        <v>523</v>
      </c>
      <c r="B524" s="47"/>
      <c r="T524" s="48"/>
    </row>
    <row r="525" spans="1:20" ht="22.95" customHeight="1" x14ac:dyDescent="0.25">
      <c r="A525" s="46">
        <v>524</v>
      </c>
      <c r="B525" s="47"/>
      <c r="T525" s="48"/>
    </row>
    <row r="526" spans="1:20" ht="22.95" customHeight="1" x14ac:dyDescent="0.25">
      <c r="A526" s="46">
        <v>525</v>
      </c>
      <c r="B526" s="47"/>
      <c r="T526" s="48"/>
    </row>
    <row r="527" spans="1:20" ht="22.95" customHeight="1" x14ac:dyDescent="0.25">
      <c r="A527" s="46">
        <v>526</v>
      </c>
      <c r="B527" s="47"/>
      <c r="T527" s="48"/>
    </row>
    <row r="528" spans="1:20" ht="22.95" customHeight="1" x14ac:dyDescent="0.25">
      <c r="A528" s="46">
        <v>527</v>
      </c>
      <c r="B528" s="47"/>
      <c r="T528" s="48"/>
    </row>
    <row r="529" spans="1:20" ht="22.95" customHeight="1" x14ac:dyDescent="0.25">
      <c r="A529" s="46">
        <v>528</v>
      </c>
      <c r="B529" s="47"/>
      <c r="T529" s="48"/>
    </row>
    <row r="530" spans="1:20" ht="22.95" customHeight="1" x14ac:dyDescent="0.25">
      <c r="A530" s="46">
        <v>529</v>
      </c>
      <c r="B530" s="47"/>
      <c r="T530" s="48"/>
    </row>
    <row r="531" spans="1:20" ht="22.95" customHeight="1" x14ac:dyDescent="0.25">
      <c r="A531" s="46">
        <v>530</v>
      </c>
      <c r="B531" s="47"/>
      <c r="T531" s="48"/>
    </row>
    <row r="532" spans="1:20" ht="22.95" customHeight="1" x14ac:dyDescent="0.25">
      <c r="A532" s="46">
        <v>531</v>
      </c>
      <c r="B532" s="47"/>
      <c r="T532" s="48"/>
    </row>
    <row r="533" spans="1:20" ht="22.95" customHeight="1" x14ac:dyDescent="0.25">
      <c r="A533" s="46">
        <v>532</v>
      </c>
      <c r="B533" s="47"/>
      <c r="T533" s="48"/>
    </row>
    <row r="534" spans="1:20" ht="22.95" customHeight="1" x14ac:dyDescent="0.25">
      <c r="A534" s="46">
        <v>533</v>
      </c>
      <c r="B534" s="47"/>
      <c r="T534" s="48"/>
    </row>
    <row r="535" spans="1:20" ht="22.95" customHeight="1" x14ac:dyDescent="0.25">
      <c r="A535" s="46">
        <v>534</v>
      </c>
      <c r="B535" s="47"/>
      <c r="T535" s="48"/>
    </row>
    <row r="536" spans="1:20" ht="22.95" customHeight="1" x14ac:dyDescent="0.25">
      <c r="A536" s="46">
        <v>535</v>
      </c>
      <c r="B536" s="47"/>
      <c r="T536" s="48"/>
    </row>
    <row r="537" spans="1:20" ht="22.95" customHeight="1" x14ac:dyDescent="0.25">
      <c r="A537" s="46">
        <v>536</v>
      </c>
      <c r="B537" s="47"/>
      <c r="T537" s="48"/>
    </row>
    <row r="538" spans="1:20" ht="22.95" customHeight="1" x14ac:dyDescent="0.25">
      <c r="A538" s="46">
        <v>537</v>
      </c>
      <c r="B538" s="47"/>
      <c r="T538" s="48"/>
    </row>
    <row r="539" spans="1:20" ht="22.95" customHeight="1" x14ac:dyDescent="0.25">
      <c r="A539" s="46">
        <v>538</v>
      </c>
      <c r="B539" s="47"/>
      <c r="T539" s="48"/>
    </row>
    <row r="540" spans="1:20" ht="22.95" customHeight="1" x14ac:dyDescent="0.25">
      <c r="A540" s="46">
        <v>539</v>
      </c>
      <c r="B540" s="47"/>
      <c r="T540" s="48"/>
    </row>
    <row r="541" spans="1:20" ht="22.95" customHeight="1" x14ac:dyDescent="0.25">
      <c r="A541" s="46">
        <v>540</v>
      </c>
      <c r="B541" s="47"/>
      <c r="T541" s="48"/>
    </row>
    <row r="542" spans="1:20" ht="22.95" customHeight="1" x14ac:dyDescent="0.25">
      <c r="A542" s="46">
        <v>541</v>
      </c>
      <c r="B542" s="47"/>
      <c r="T542" s="48"/>
    </row>
    <row r="543" spans="1:20" ht="22.95" customHeight="1" x14ac:dyDescent="0.25">
      <c r="A543" s="46">
        <v>542</v>
      </c>
      <c r="B543" s="47"/>
      <c r="T543" s="48"/>
    </row>
    <row r="544" spans="1:20" ht="22.95" customHeight="1" x14ac:dyDescent="0.25">
      <c r="A544" s="46">
        <v>543</v>
      </c>
      <c r="B544" s="47"/>
      <c r="T544" s="48"/>
    </row>
    <row r="545" spans="1:20" ht="22.95" customHeight="1" x14ac:dyDescent="0.25">
      <c r="A545" s="46">
        <v>544</v>
      </c>
      <c r="B545" s="47"/>
      <c r="T545" s="48"/>
    </row>
    <row r="546" spans="1:20" ht="22.95" customHeight="1" x14ac:dyDescent="0.25">
      <c r="A546" s="46">
        <v>545</v>
      </c>
      <c r="B546" s="47"/>
      <c r="T546" s="48"/>
    </row>
    <row r="547" spans="1:20" ht="22.95" customHeight="1" x14ac:dyDescent="0.25">
      <c r="A547" s="46">
        <v>546</v>
      </c>
      <c r="B547" s="47"/>
      <c r="T547" s="48"/>
    </row>
    <row r="548" spans="1:20" ht="22.95" customHeight="1" x14ac:dyDescent="0.25">
      <c r="A548" s="46">
        <v>547</v>
      </c>
      <c r="B548" s="47"/>
      <c r="T548" s="48"/>
    </row>
    <row r="549" spans="1:20" ht="22.95" customHeight="1" x14ac:dyDescent="0.25">
      <c r="A549" s="46">
        <v>548</v>
      </c>
      <c r="B549" s="47"/>
      <c r="T549" s="48"/>
    </row>
    <row r="550" spans="1:20" ht="22.95" customHeight="1" x14ac:dyDescent="0.25">
      <c r="A550" s="46">
        <v>549</v>
      </c>
      <c r="B550" s="47"/>
      <c r="T550" s="48"/>
    </row>
    <row r="551" spans="1:20" ht="22.95" customHeight="1" x14ac:dyDescent="0.25">
      <c r="A551" s="46">
        <v>550</v>
      </c>
      <c r="B551" s="47"/>
      <c r="T551" s="48"/>
    </row>
    <row r="552" spans="1:20" ht="22.95" customHeight="1" x14ac:dyDescent="0.25">
      <c r="A552" s="46">
        <v>551</v>
      </c>
      <c r="B552" s="47"/>
      <c r="T552" s="48"/>
    </row>
    <row r="553" spans="1:20" ht="22.95" customHeight="1" x14ac:dyDescent="0.25">
      <c r="A553" s="46">
        <v>552</v>
      </c>
      <c r="B553" s="47"/>
      <c r="T553" s="48"/>
    </row>
    <row r="554" spans="1:20" ht="22.95" customHeight="1" x14ac:dyDescent="0.25">
      <c r="A554" s="46">
        <v>553</v>
      </c>
      <c r="B554" s="47"/>
      <c r="T554" s="48"/>
    </row>
    <row r="555" spans="1:20" ht="22.95" customHeight="1" x14ac:dyDescent="0.25">
      <c r="A555" s="46">
        <v>554</v>
      </c>
      <c r="B555" s="47"/>
      <c r="T555" s="48"/>
    </row>
    <row r="556" spans="1:20" ht="22.95" customHeight="1" x14ac:dyDescent="0.25">
      <c r="A556" s="46">
        <v>555</v>
      </c>
      <c r="B556" s="47"/>
      <c r="T556" s="48"/>
    </row>
    <row r="557" spans="1:20" ht="22.95" customHeight="1" x14ac:dyDescent="0.25">
      <c r="A557" s="46">
        <v>556</v>
      </c>
      <c r="B557" s="47"/>
      <c r="T557" s="48"/>
    </row>
    <row r="558" spans="1:20" ht="22.95" customHeight="1" x14ac:dyDescent="0.25">
      <c r="A558" s="46">
        <v>557</v>
      </c>
      <c r="B558" s="47"/>
      <c r="T558" s="48"/>
    </row>
    <row r="559" spans="1:20" ht="22.95" customHeight="1" x14ac:dyDescent="0.25">
      <c r="A559" s="46">
        <v>558</v>
      </c>
      <c r="B559" s="47"/>
      <c r="T559" s="48"/>
    </row>
    <row r="560" spans="1:20" ht="22.95" customHeight="1" x14ac:dyDescent="0.25">
      <c r="A560" s="46">
        <v>559</v>
      </c>
      <c r="B560" s="47"/>
      <c r="T560" s="48"/>
    </row>
    <row r="561" spans="1:20" ht="22.95" customHeight="1" x14ac:dyDescent="0.25">
      <c r="A561" s="46">
        <v>560</v>
      </c>
      <c r="B561" s="47"/>
      <c r="T561" s="48"/>
    </row>
    <row r="562" spans="1:20" ht="22.95" customHeight="1" x14ac:dyDescent="0.25">
      <c r="A562" s="46">
        <v>561</v>
      </c>
      <c r="B562" s="47"/>
      <c r="T562" s="48"/>
    </row>
    <row r="563" spans="1:20" ht="22.95" customHeight="1" x14ac:dyDescent="0.25">
      <c r="A563" s="46">
        <v>562</v>
      </c>
      <c r="B563" s="47"/>
      <c r="T563" s="48"/>
    </row>
    <row r="564" spans="1:20" ht="22.95" customHeight="1" x14ac:dyDescent="0.25">
      <c r="A564" s="46">
        <v>563</v>
      </c>
      <c r="B564" s="47"/>
      <c r="T564" s="48"/>
    </row>
    <row r="565" spans="1:20" ht="22.95" customHeight="1" x14ac:dyDescent="0.25">
      <c r="A565" s="46">
        <v>564</v>
      </c>
      <c r="B565" s="47"/>
      <c r="T565" s="48"/>
    </row>
    <row r="566" spans="1:20" ht="22.95" customHeight="1" x14ac:dyDescent="0.25">
      <c r="A566" s="46">
        <v>565</v>
      </c>
      <c r="B566" s="47"/>
      <c r="T566" s="48"/>
    </row>
    <row r="567" spans="1:20" ht="22.95" customHeight="1" x14ac:dyDescent="0.25">
      <c r="A567" s="46">
        <v>566</v>
      </c>
      <c r="B567" s="47"/>
      <c r="T567" s="48"/>
    </row>
    <row r="568" spans="1:20" ht="22.95" customHeight="1" x14ac:dyDescent="0.25">
      <c r="A568" s="46">
        <v>567</v>
      </c>
      <c r="B568" s="47"/>
      <c r="T568" s="48"/>
    </row>
    <row r="569" spans="1:20" ht="22.95" customHeight="1" x14ac:dyDescent="0.25">
      <c r="A569" s="46">
        <v>568</v>
      </c>
      <c r="B569" s="47"/>
      <c r="T569" s="48"/>
    </row>
    <row r="570" spans="1:20" ht="22.95" customHeight="1" x14ac:dyDescent="0.25">
      <c r="A570" s="46">
        <v>569</v>
      </c>
      <c r="B570" s="47"/>
      <c r="T570" s="48"/>
    </row>
    <row r="571" spans="1:20" ht="22.95" customHeight="1" x14ac:dyDescent="0.25">
      <c r="A571" s="46">
        <v>570</v>
      </c>
      <c r="B571" s="47"/>
      <c r="T571" s="48"/>
    </row>
    <row r="572" spans="1:20" ht="22.95" customHeight="1" x14ac:dyDescent="0.25">
      <c r="A572" s="46">
        <v>571</v>
      </c>
      <c r="B572" s="47"/>
      <c r="T572" s="48"/>
    </row>
    <row r="573" spans="1:20" ht="22.95" customHeight="1" x14ac:dyDescent="0.25">
      <c r="A573" s="46">
        <v>572</v>
      </c>
      <c r="B573" s="47"/>
      <c r="T573" s="48"/>
    </row>
    <row r="574" spans="1:20" ht="22.95" customHeight="1" x14ac:dyDescent="0.25">
      <c r="A574" s="46">
        <v>573</v>
      </c>
      <c r="B574" s="47"/>
      <c r="T574" s="48"/>
    </row>
    <row r="575" spans="1:20" ht="22.95" customHeight="1" x14ac:dyDescent="0.25">
      <c r="A575" s="46">
        <v>574</v>
      </c>
      <c r="B575" s="47"/>
      <c r="T575" s="48"/>
    </row>
    <row r="576" spans="1:20" ht="22.95" customHeight="1" x14ac:dyDescent="0.25">
      <c r="A576" s="46">
        <v>575</v>
      </c>
      <c r="B576" s="47"/>
      <c r="T576" s="48"/>
    </row>
    <row r="577" spans="1:20" ht="22.95" customHeight="1" x14ac:dyDescent="0.25">
      <c r="A577" s="46">
        <v>576</v>
      </c>
      <c r="B577" s="47"/>
      <c r="T577" s="48"/>
    </row>
    <row r="578" spans="1:20" ht="22.95" customHeight="1" x14ac:dyDescent="0.25">
      <c r="A578" s="46">
        <v>577</v>
      </c>
      <c r="B578" s="47"/>
      <c r="T578" s="48"/>
    </row>
    <row r="579" spans="1:20" ht="22.95" customHeight="1" x14ac:dyDescent="0.25">
      <c r="A579" s="46">
        <v>578</v>
      </c>
      <c r="B579" s="47"/>
      <c r="T579" s="48"/>
    </row>
    <row r="580" spans="1:20" ht="22.95" customHeight="1" x14ac:dyDescent="0.25">
      <c r="A580" s="46">
        <v>579</v>
      </c>
      <c r="B580" s="47"/>
      <c r="T580" s="48"/>
    </row>
    <row r="581" spans="1:20" ht="22.95" customHeight="1" x14ac:dyDescent="0.25">
      <c r="A581" s="46">
        <v>580</v>
      </c>
      <c r="B581" s="47"/>
      <c r="T581" s="48"/>
    </row>
    <row r="582" spans="1:20" ht="22.95" customHeight="1" x14ac:dyDescent="0.25">
      <c r="A582" s="46">
        <v>581</v>
      </c>
      <c r="B582" s="47"/>
      <c r="T582" s="48"/>
    </row>
    <row r="583" spans="1:20" ht="22.95" customHeight="1" x14ac:dyDescent="0.25">
      <c r="A583" s="46">
        <v>582</v>
      </c>
      <c r="B583" s="47"/>
      <c r="T583" s="48"/>
    </row>
    <row r="584" spans="1:20" ht="22.95" customHeight="1" x14ac:dyDescent="0.25">
      <c r="A584" s="46">
        <v>583</v>
      </c>
      <c r="B584" s="47"/>
      <c r="T584" s="48"/>
    </row>
    <row r="585" spans="1:20" ht="22.95" customHeight="1" x14ac:dyDescent="0.25">
      <c r="A585" s="46">
        <v>584</v>
      </c>
      <c r="B585" s="47"/>
      <c r="T585" s="48"/>
    </row>
    <row r="586" spans="1:20" ht="22.95" customHeight="1" x14ac:dyDescent="0.25">
      <c r="A586" s="46">
        <v>585</v>
      </c>
      <c r="B586" s="47"/>
      <c r="T586" s="48"/>
    </row>
    <row r="587" spans="1:20" ht="22.95" customHeight="1" x14ac:dyDescent="0.25">
      <c r="A587" s="46">
        <v>586</v>
      </c>
      <c r="B587" s="47"/>
      <c r="T587" s="48"/>
    </row>
    <row r="588" spans="1:20" ht="22.95" customHeight="1" x14ac:dyDescent="0.25">
      <c r="A588" s="46">
        <v>587</v>
      </c>
      <c r="B588" s="47"/>
      <c r="T588" s="48"/>
    </row>
    <row r="589" spans="1:20" ht="22.95" customHeight="1" x14ac:dyDescent="0.25">
      <c r="A589" s="46">
        <v>588</v>
      </c>
      <c r="B589" s="47"/>
      <c r="T589" s="48"/>
    </row>
    <row r="590" spans="1:20" ht="22.95" customHeight="1" x14ac:dyDescent="0.25">
      <c r="A590" s="46">
        <v>589</v>
      </c>
      <c r="B590" s="47"/>
      <c r="T590" s="48"/>
    </row>
    <row r="591" spans="1:20" ht="22.95" customHeight="1" x14ac:dyDescent="0.25">
      <c r="A591" s="46">
        <v>590</v>
      </c>
      <c r="B591" s="47"/>
      <c r="T591" s="48"/>
    </row>
    <row r="592" spans="1:20" ht="22.95" customHeight="1" x14ac:dyDescent="0.25">
      <c r="A592" s="46">
        <v>591</v>
      </c>
      <c r="B592" s="47"/>
      <c r="T592" s="48"/>
    </row>
    <row r="593" spans="1:20" ht="22.95" customHeight="1" x14ac:dyDescent="0.25">
      <c r="A593" s="46">
        <v>592</v>
      </c>
      <c r="B593" s="47"/>
      <c r="T593" s="48"/>
    </row>
    <row r="594" spans="1:20" ht="22.95" customHeight="1" x14ac:dyDescent="0.25">
      <c r="A594" s="46">
        <v>593</v>
      </c>
      <c r="B594" s="47"/>
      <c r="T594" s="48"/>
    </row>
    <row r="595" spans="1:20" ht="22.95" customHeight="1" x14ac:dyDescent="0.25">
      <c r="A595" s="46">
        <v>594</v>
      </c>
      <c r="B595" s="47"/>
      <c r="T595" s="48"/>
    </row>
    <row r="596" spans="1:20" ht="22.95" customHeight="1" x14ac:dyDescent="0.25">
      <c r="A596" s="46">
        <v>595</v>
      </c>
      <c r="B596" s="47"/>
      <c r="T596" s="48"/>
    </row>
    <row r="597" spans="1:20" ht="22.95" customHeight="1" x14ac:dyDescent="0.25">
      <c r="A597" s="46">
        <v>596</v>
      </c>
      <c r="B597" s="47"/>
      <c r="T597" s="48"/>
    </row>
    <row r="598" spans="1:20" ht="22.95" customHeight="1" x14ac:dyDescent="0.25">
      <c r="A598" s="46">
        <v>597</v>
      </c>
      <c r="B598" s="47"/>
      <c r="T598" s="48"/>
    </row>
    <row r="599" spans="1:20" ht="22.95" customHeight="1" x14ac:dyDescent="0.25">
      <c r="A599" s="46">
        <v>598</v>
      </c>
      <c r="B599" s="47"/>
      <c r="T599" s="48"/>
    </row>
    <row r="600" spans="1:20" ht="22.95" customHeight="1" x14ac:dyDescent="0.25">
      <c r="A600" s="46">
        <v>599</v>
      </c>
      <c r="B600" s="47"/>
      <c r="T600" s="48"/>
    </row>
    <row r="601" spans="1:20" ht="22.95" customHeight="1" x14ac:dyDescent="0.25">
      <c r="A601" s="46">
        <v>600</v>
      </c>
      <c r="B601" s="47"/>
      <c r="T601" s="48"/>
    </row>
    <row r="602" spans="1:20" ht="22.95" customHeight="1" x14ac:dyDescent="0.25">
      <c r="A602" s="46">
        <v>601</v>
      </c>
      <c r="B602" s="47"/>
      <c r="T602" s="48"/>
    </row>
    <row r="603" spans="1:20" ht="22.95" customHeight="1" x14ac:dyDescent="0.25">
      <c r="A603" s="46">
        <v>602</v>
      </c>
      <c r="B603" s="47"/>
      <c r="T603" s="48"/>
    </row>
    <row r="604" spans="1:20" ht="22.95" customHeight="1" x14ac:dyDescent="0.25">
      <c r="A604" s="46">
        <v>603</v>
      </c>
      <c r="B604" s="47"/>
      <c r="T604" s="48"/>
    </row>
    <row r="605" spans="1:20" ht="22.95" customHeight="1" x14ac:dyDescent="0.25">
      <c r="A605" s="46">
        <v>604</v>
      </c>
      <c r="B605" s="47"/>
      <c r="T605" s="48"/>
    </row>
    <row r="606" spans="1:20" ht="22.95" customHeight="1" x14ac:dyDescent="0.25">
      <c r="A606" s="46">
        <v>605</v>
      </c>
      <c r="B606" s="47"/>
      <c r="T606" s="48"/>
    </row>
    <row r="607" spans="1:20" ht="22.95" customHeight="1" x14ac:dyDescent="0.25">
      <c r="A607" s="46">
        <v>606</v>
      </c>
      <c r="B607" s="47"/>
      <c r="T607" s="48"/>
    </row>
    <row r="608" spans="1:20" ht="22.95" customHeight="1" x14ac:dyDescent="0.25">
      <c r="A608" s="46">
        <v>607</v>
      </c>
      <c r="B608" s="47"/>
      <c r="T608" s="48"/>
    </row>
    <row r="609" spans="1:20" ht="22.95" customHeight="1" x14ac:dyDescent="0.25">
      <c r="A609" s="46">
        <v>608</v>
      </c>
      <c r="B609" s="47"/>
      <c r="T609" s="48"/>
    </row>
    <row r="610" spans="1:20" ht="22.95" customHeight="1" x14ac:dyDescent="0.25">
      <c r="A610" s="46">
        <v>609</v>
      </c>
      <c r="B610" s="47"/>
      <c r="T610" s="48"/>
    </row>
    <row r="611" spans="1:20" ht="22.95" customHeight="1" x14ac:dyDescent="0.25">
      <c r="A611" s="46">
        <v>610</v>
      </c>
      <c r="B611" s="47"/>
      <c r="T611" s="48"/>
    </row>
    <row r="612" spans="1:20" ht="22.95" customHeight="1" x14ac:dyDescent="0.25">
      <c r="A612" s="46">
        <v>611</v>
      </c>
      <c r="B612" s="47"/>
      <c r="T612" s="48"/>
    </row>
    <row r="613" spans="1:20" ht="22.95" customHeight="1" x14ac:dyDescent="0.25">
      <c r="A613" s="46">
        <v>612</v>
      </c>
      <c r="B613" s="47"/>
      <c r="T613" s="48"/>
    </row>
    <row r="614" spans="1:20" ht="22.95" customHeight="1" x14ac:dyDescent="0.25">
      <c r="A614" s="46">
        <v>613</v>
      </c>
      <c r="B614" s="47"/>
      <c r="T614" s="48"/>
    </row>
    <row r="615" spans="1:20" ht="22.95" customHeight="1" x14ac:dyDescent="0.25">
      <c r="A615" s="46">
        <v>614</v>
      </c>
      <c r="B615" s="47"/>
      <c r="T615" s="48"/>
    </row>
    <row r="616" spans="1:20" ht="22.95" customHeight="1" x14ac:dyDescent="0.25">
      <c r="A616" s="46">
        <v>615</v>
      </c>
      <c r="B616" s="47"/>
      <c r="T616" s="48"/>
    </row>
    <row r="617" spans="1:20" ht="22.95" customHeight="1" x14ac:dyDescent="0.25">
      <c r="A617" s="46">
        <v>616</v>
      </c>
      <c r="B617" s="47"/>
      <c r="T617" s="48"/>
    </row>
    <row r="618" spans="1:20" ht="22.95" customHeight="1" x14ac:dyDescent="0.25">
      <c r="A618" s="46">
        <v>617</v>
      </c>
      <c r="B618" s="47"/>
      <c r="T618" s="48"/>
    </row>
    <row r="619" spans="1:20" ht="22.95" customHeight="1" x14ac:dyDescent="0.25">
      <c r="A619" s="46">
        <v>618</v>
      </c>
      <c r="B619" s="47"/>
      <c r="T619" s="48"/>
    </row>
    <row r="620" spans="1:20" ht="22.95" customHeight="1" x14ac:dyDescent="0.25">
      <c r="A620" s="46">
        <v>619</v>
      </c>
      <c r="B620" s="47"/>
      <c r="T620" s="48"/>
    </row>
    <row r="621" spans="1:20" ht="22.95" customHeight="1" x14ac:dyDescent="0.25">
      <c r="A621" s="46">
        <v>620</v>
      </c>
      <c r="B621" s="47"/>
      <c r="T621" s="48"/>
    </row>
    <row r="622" spans="1:20" ht="22.95" customHeight="1" x14ac:dyDescent="0.25">
      <c r="A622" s="46">
        <v>621</v>
      </c>
      <c r="B622" s="47"/>
      <c r="T622" s="48"/>
    </row>
    <row r="623" spans="1:20" ht="22.95" customHeight="1" x14ac:dyDescent="0.25">
      <c r="A623" s="46">
        <v>622</v>
      </c>
      <c r="B623" s="47"/>
      <c r="T623" s="48"/>
    </row>
    <row r="624" spans="1:20" ht="22.95" customHeight="1" x14ac:dyDescent="0.25">
      <c r="A624" s="46">
        <v>623</v>
      </c>
      <c r="B624" s="47"/>
      <c r="T624" s="48"/>
    </row>
    <row r="625" spans="1:20" ht="22.95" customHeight="1" x14ac:dyDescent="0.25">
      <c r="A625" s="46">
        <v>624</v>
      </c>
      <c r="B625" s="47"/>
      <c r="T625" s="48"/>
    </row>
    <row r="626" spans="1:20" ht="22.95" customHeight="1" x14ac:dyDescent="0.25">
      <c r="A626" s="46">
        <v>625</v>
      </c>
      <c r="B626" s="47"/>
      <c r="T626" s="48"/>
    </row>
    <row r="627" spans="1:20" ht="22.95" customHeight="1" x14ac:dyDescent="0.25">
      <c r="A627" s="46">
        <v>626</v>
      </c>
      <c r="B627" s="47"/>
      <c r="T627" s="48"/>
    </row>
    <row r="628" spans="1:20" ht="22.95" customHeight="1" x14ac:dyDescent="0.25">
      <c r="A628" s="46">
        <v>627</v>
      </c>
      <c r="B628" s="47"/>
      <c r="T628" s="48"/>
    </row>
    <row r="629" spans="1:20" ht="22.95" customHeight="1" x14ac:dyDescent="0.25">
      <c r="A629" s="46">
        <v>628</v>
      </c>
      <c r="B629" s="47"/>
      <c r="T629" s="48"/>
    </row>
    <row r="630" spans="1:20" ht="22.95" customHeight="1" x14ac:dyDescent="0.25">
      <c r="A630" s="46">
        <v>629</v>
      </c>
      <c r="B630" s="47"/>
      <c r="T630" s="48"/>
    </row>
    <row r="631" spans="1:20" ht="22.95" customHeight="1" x14ac:dyDescent="0.25">
      <c r="A631" s="46">
        <v>630</v>
      </c>
      <c r="B631" s="47"/>
      <c r="T631" s="48"/>
    </row>
    <row r="632" spans="1:20" ht="22.95" customHeight="1" x14ac:dyDescent="0.25">
      <c r="A632" s="46">
        <v>631</v>
      </c>
      <c r="B632" s="47"/>
      <c r="T632" s="48"/>
    </row>
    <row r="633" spans="1:20" ht="22.95" customHeight="1" x14ac:dyDescent="0.25">
      <c r="A633" s="46">
        <v>632</v>
      </c>
      <c r="B633" s="47"/>
      <c r="T633" s="48"/>
    </row>
    <row r="634" spans="1:20" ht="22.95" customHeight="1" x14ac:dyDescent="0.25">
      <c r="A634" s="46">
        <v>633</v>
      </c>
      <c r="B634" s="47"/>
      <c r="T634" s="48"/>
    </row>
    <row r="635" spans="1:20" ht="22.95" customHeight="1" x14ac:dyDescent="0.25">
      <c r="A635" s="46">
        <v>634</v>
      </c>
      <c r="B635" s="47"/>
      <c r="T635" s="48"/>
    </row>
    <row r="636" spans="1:20" ht="22.95" customHeight="1" x14ac:dyDescent="0.25">
      <c r="A636" s="46">
        <v>635</v>
      </c>
      <c r="B636" s="47"/>
      <c r="T636" s="48"/>
    </row>
    <row r="637" spans="1:20" ht="22.95" customHeight="1" x14ac:dyDescent="0.25">
      <c r="A637" s="46">
        <v>636</v>
      </c>
      <c r="B637" s="47"/>
      <c r="T637" s="48"/>
    </row>
    <row r="638" spans="1:20" ht="22.95" customHeight="1" x14ac:dyDescent="0.25">
      <c r="A638" s="46">
        <v>637</v>
      </c>
      <c r="B638" s="47"/>
      <c r="T638" s="48"/>
    </row>
    <row r="639" spans="1:20" ht="22.95" customHeight="1" x14ac:dyDescent="0.25">
      <c r="A639" s="46">
        <v>638</v>
      </c>
      <c r="B639" s="47"/>
      <c r="T639" s="48"/>
    </row>
    <row r="640" spans="1:20" ht="22.95" customHeight="1" x14ac:dyDescent="0.25">
      <c r="A640" s="46">
        <v>639</v>
      </c>
      <c r="B640" s="47"/>
      <c r="T640" s="48"/>
    </row>
    <row r="641" spans="1:20" ht="22.95" customHeight="1" x14ac:dyDescent="0.25">
      <c r="A641" s="46">
        <v>640</v>
      </c>
      <c r="B641" s="47"/>
      <c r="T641" s="48"/>
    </row>
    <row r="642" spans="1:20" ht="22.95" customHeight="1" x14ac:dyDescent="0.25">
      <c r="A642" s="46">
        <v>641</v>
      </c>
      <c r="B642" s="47"/>
      <c r="T642" s="48"/>
    </row>
    <row r="643" spans="1:20" ht="22.95" customHeight="1" x14ac:dyDescent="0.25">
      <c r="A643" s="46">
        <v>642</v>
      </c>
      <c r="B643" s="47"/>
      <c r="T643" s="48"/>
    </row>
    <row r="644" spans="1:20" ht="22.95" customHeight="1" x14ac:dyDescent="0.25">
      <c r="A644" s="46">
        <v>643</v>
      </c>
      <c r="B644" s="47"/>
      <c r="T644" s="48"/>
    </row>
    <row r="645" spans="1:20" ht="22.95" customHeight="1" x14ac:dyDescent="0.25">
      <c r="A645" s="46">
        <v>644</v>
      </c>
      <c r="B645" s="47"/>
      <c r="T645" s="48"/>
    </row>
    <row r="646" spans="1:20" ht="22.95" customHeight="1" x14ac:dyDescent="0.25">
      <c r="A646" s="46">
        <v>645</v>
      </c>
      <c r="B646" s="47"/>
      <c r="T646" s="48"/>
    </row>
    <row r="647" spans="1:20" ht="22.95" customHeight="1" x14ac:dyDescent="0.25">
      <c r="A647" s="46">
        <v>646</v>
      </c>
      <c r="B647" s="47"/>
      <c r="T647" s="48"/>
    </row>
    <row r="648" spans="1:20" ht="22.95" customHeight="1" x14ac:dyDescent="0.25">
      <c r="A648" s="46">
        <v>647</v>
      </c>
      <c r="B648" s="47"/>
      <c r="T648" s="48"/>
    </row>
    <row r="649" spans="1:20" ht="22.95" customHeight="1" x14ac:dyDescent="0.25">
      <c r="A649" s="46">
        <v>648</v>
      </c>
      <c r="B649" s="47"/>
      <c r="T649" s="48"/>
    </row>
    <row r="650" spans="1:20" ht="22.95" customHeight="1" x14ac:dyDescent="0.25">
      <c r="A650" s="46">
        <v>649</v>
      </c>
      <c r="B650" s="47"/>
      <c r="T650" s="48"/>
    </row>
    <row r="651" spans="1:20" ht="22.95" customHeight="1" x14ac:dyDescent="0.25">
      <c r="A651" s="46">
        <v>650</v>
      </c>
      <c r="B651" s="47"/>
      <c r="T651" s="48"/>
    </row>
    <row r="652" spans="1:20" ht="22.95" customHeight="1" x14ac:dyDescent="0.25">
      <c r="A652" s="46">
        <v>651</v>
      </c>
      <c r="B652" s="47"/>
      <c r="T652" s="48"/>
    </row>
    <row r="653" spans="1:20" ht="22.95" customHeight="1" x14ac:dyDescent="0.25">
      <c r="A653" s="46">
        <v>652</v>
      </c>
      <c r="B653" s="47"/>
      <c r="T653" s="48"/>
    </row>
    <row r="654" spans="1:20" ht="22.95" customHeight="1" x14ac:dyDescent="0.25">
      <c r="A654" s="46">
        <v>653</v>
      </c>
      <c r="B654" s="47"/>
      <c r="T654" s="48"/>
    </row>
    <row r="655" spans="1:20" ht="22.95" customHeight="1" x14ac:dyDescent="0.25">
      <c r="A655" s="46">
        <v>654</v>
      </c>
      <c r="B655" s="47"/>
      <c r="T655" s="48"/>
    </row>
    <row r="656" spans="1:20" ht="22.95" customHeight="1" x14ac:dyDescent="0.25">
      <c r="A656" s="46">
        <v>655</v>
      </c>
      <c r="B656" s="47"/>
      <c r="T656" s="48"/>
    </row>
    <row r="657" spans="1:20" ht="22.95" customHeight="1" x14ac:dyDescent="0.25">
      <c r="A657" s="46">
        <v>656</v>
      </c>
      <c r="B657" s="47"/>
      <c r="T657" s="48"/>
    </row>
    <row r="658" spans="1:20" ht="22.95" customHeight="1" x14ac:dyDescent="0.25">
      <c r="A658" s="46">
        <v>657</v>
      </c>
      <c r="B658" s="47"/>
      <c r="T658" s="48"/>
    </row>
    <row r="659" spans="1:20" ht="22.95" customHeight="1" x14ac:dyDescent="0.25">
      <c r="A659" s="46">
        <v>658</v>
      </c>
      <c r="B659" s="47"/>
      <c r="T659" s="48"/>
    </row>
    <row r="660" spans="1:20" ht="22.95" customHeight="1" x14ac:dyDescent="0.25">
      <c r="A660" s="46">
        <v>659</v>
      </c>
      <c r="B660" s="47"/>
      <c r="T660" s="48"/>
    </row>
    <row r="661" spans="1:20" ht="22.95" customHeight="1" x14ac:dyDescent="0.25">
      <c r="A661" s="46">
        <v>660</v>
      </c>
      <c r="B661" s="47"/>
      <c r="T661" s="48"/>
    </row>
    <row r="662" spans="1:20" ht="22.95" customHeight="1" x14ac:dyDescent="0.25">
      <c r="A662" s="46">
        <v>661</v>
      </c>
      <c r="B662" s="47"/>
      <c r="T662" s="48"/>
    </row>
    <row r="663" spans="1:20" ht="22.95" customHeight="1" x14ac:dyDescent="0.25">
      <c r="A663" s="46">
        <v>662</v>
      </c>
      <c r="B663" s="47"/>
      <c r="T663" s="48"/>
    </row>
    <row r="664" spans="1:20" ht="22.95" customHeight="1" x14ac:dyDescent="0.25">
      <c r="A664" s="46">
        <v>663</v>
      </c>
      <c r="B664" s="47"/>
      <c r="T664" s="48"/>
    </row>
    <row r="665" spans="1:20" ht="22.95" customHeight="1" x14ac:dyDescent="0.25">
      <c r="A665" s="46">
        <v>664</v>
      </c>
      <c r="B665" s="47"/>
      <c r="T665" s="48"/>
    </row>
    <row r="666" spans="1:20" ht="22.95" customHeight="1" x14ac:dyDescent="0.25">
      <c r="A666" s="46">
        <v>665</v>
      </c>
      <c r="B666" s="47"/>
      <c r="T666" s="48"/>
    </row>
    <row r="667" spans="1:20" ht="22.95" customHeight="1" x14ac:dyDescent="0.25">
      <c r="A667" s="46">
        <v>666</v>
      </c>
      <c r="B667" s="47"/>
      <c r="T667" s="48"/>
    </row>
    <row r="668" spans="1:20" ht="22.95" customHeight="1" x14ac:dyDescent="0.25">
      <c r="A668" s="46">
        <v>667</v>
      </c>
      <c r="B668" s="47"/>
      <c r="T668" s="48"/>
    </row>
    <row r="669" spans="1:20" ht="22.95" customHeight="1" x14ac:dyDescent="0.25">
      <c r="A669" s="46">
        <v>668</v>
      </c>
      <c r="B669" s="47"/>
      <c r="T669" s="48"/>
    </row>
    <row r="670" spans="1:20" ht="22.95" customHeight="1" x14ac:dyDescent="0.25">
      <c r="A670" s="46">
        <v>669</v>
      </c>
      <c r="B670" s="47"/>
      <c r="T670" s="48"/>
    </row>
    <row r="671" spans="1:20" ht="22.95" customHeight="1" x14ac:dyDescent="0.25">
      <c r="A671" s="46">
        <v>670</v>
      </c>
      <c r="B671" s="47"/>
      <c r="T671" s="48"/>
    </row>
    <row r="672" spans="1:20" ht="22.95" customHeight="1" x14ac:dyDescent="0.25">
      <c r="A672" s="46">
        <v>671</v>
      </c>
      <c r="B672" s="47"/>
      <c r="T672" s="48"/>
    </row>
    <row r="673" spans="1:20" ht="22.95" customHeight="1" x14ac:dyDescent="0.25">
      <c r="A673" s="46">
        <v>672</v>
      </c>
      <c r="B673" s="47"/>
      <c r="T673" s="48"/>
    </row>
    <row r="674" spans="1:20" ht="22.95" customHeight="1" x14ac:dyDescent="0.25">
      <c r="A674" s="46">
        <v>673</v>
      </c>
      <c r="B674" s="47"/>
      <c r="T674" s="48"/>
    </row>
    <row r="675" spans="1:20" ht="22.95" customHeight="1" x14ac:dyDescent="0.25">
      <c r="A675" s="46">
        <v>674</v>
      </c>
      <c r="B675" s="47"/>
      <c r="T675" s="48"/>
    </row>
    <row r="676" spans="1:20" ht="22.95" customHeight="1" x14ac:dyDescent="0.25">
      <c r="A676" s="46">
        <v>675</v>
      </c>
      <c r="B676" s="47"/>
      <c r="T676" s="48"/>
    </row>
    <row r="677" spans="1:20" ht="22.95" customHeight="1" x14ac:dyDescent="0.25">
      <c r="A677" s="46">
        <v>676</v>
      </c>
      <c r="B677" s="47"/>
      <c r="T677" s="48"/>
    </row>
    <row r="678" spans="1:20" ht="22.95" customHeight="1" x14ac:dyDescent="0.25">
      <c r="A678" s="46">
        <v>677</v>
      </c>
      <c r="B678" s="47"/>
      <c r="T678" s="48"/>
    </row>
    <row r="679" spans="1:20" ht="22.95" customHeight="1" x14ac:dyDescent="0.25">
      <c r="A679" s="46">
        <v>678</v>
      </c>
      <c r="B679" s="47"/>
      <c r="T679" s="48"/>
    </row>
    <row r="680" spans="1:20" ht="22.95" customHeight="1" x14ac:dyDescent="0.25">
      <c r="A680" s="46">
        <v>679</v>
      </c>
      <c r="B680" s="47"/>
      <c r="T680" s="48"/>
    </row>
    <row r="681" spans="1:20" ht="22.95" customHeight="1" x14ac:dyDescent="0.25">
      <c r="A681" s="46">
        <v>680</v>
      </c>
      <c r="B681" s="47"/>
      <c r="T681" s="48"/>
    </row>
    <row r="682" spans="1:20" ht="22.95" customHeight="1" x14ac:dyDescent="0.25">
      <c r="A682" s="46">
        <v>681</v>
      </c>
      <c r="B682" s="47"/>
      <c r="T682" s="48"/>
    </row>
    <row r="683" spans="1:20" ht="22.95" customHeight="1" x14ac:dyDescent="0.25">
      <c r="A683" s="46">
        <v>682</v>
      </c>
      <c r="B683" s="47"/>
      <c r="T683" s="48"/>
    </row>
    <row r="684" spans="1:20" ht="22.95" customHeight="1" x14ac:dyDescent="0.25">
      <c r="A684" s="46">
        <v>683</v>
      </c>
      <c r="B684" s="47"/>
      <c r="T684" s="48"/>
    </row>
    <row r="685" spans="1:20" ht="22.95" customHeight="1" x14ac:dyDescent="0.25">
      <c r="A685" s="46">
        <v>684</v>
      </c>
      <c r="B685" s="47"/>
      <c r="T685" s="48"/>
    </row>
    <row r="686" spans="1:20" ht="22.95" customHeight="1" x14ac:dyDescent="0.25">
      <c r="A686" s="46">
        <v>685</v>
      </c>
      <c r="B686" s="47"/>
      <c r="T686" s="48"/>
    </row>
    <row r="687" spans="1:20" ht="22.95" customHeight="1" x14ac:dyDescent="0.25">
      <c r="A687" s="46">
        <v>686</v>
      </c>
      <c r="B687" s="47"/>
      <c r="T687" s="48"/>
    </row>
    <row r="688" spans="1:20" ht="22.95" customHeight="1" x14ac:dyDescent="0.25">
      <c r="A688" s="46">
        <v>687</v>
      </c>
      <c r="B688" s="47"/>
      <c r="T688" s="48"/>
    </row>
    <row r="689" spans="1:20" ht="22.95" customHeight="1" x14ac:dyDescent="0.25">
      <c r="A689" s="46">
        <v>688</v>
      </c>
      <c r="B689" s="47"/>
      <c r="T689" s="48"/>
    </row>
    <row r="690" spans="1:20" ht="22.95" customHeight="1" x14ac:dyDescent="0.25">
      <c r="A690" s="46">
        <v>689</v>
      </c>
      <c r="B690" s="47"/>
      <c r="T690" s="48"/>
    </row>
    <row r="691" spans="1:20" ht="22.95" customHeight="1" x14ac:dyDescent="0.25">
      <c r="A691" s="46">
        <v>690</v>
      </c>
      <c r="B691" s="47"/>
      <c r="T691" s="48"/>
    </row>
    <row r="692" spans="1:20" ht="22.95" customHeight="1" x14ac:dyDescent="0.25">
      <c r="A692" s="46">
        <v>691</v>
      </c>
      <c r="B692" s="47"/>
      <c r="T692" s="48"/>
    </row>
    <row r="693" spans="1:20" ht="22.95" customHeight="1" x14ac:dyDescent="0.25">
      <c r="A693" s="46">
        <v>692</v>
      </c>
      <c r="B693" s="47"/>
      <c r="T693" s="48"/>
    </row>
    <row r="694" spans="1:20" ht="22.95" customHeight="1" x14ac:dyDescent="0.25">
      <c r="A694" s="46">
        <v>693</v>
      </c>
      <c r="B694" s="47"/>
      <c r="T694" s="48"/>
    </row>
    <row r="695" spans="1:20" ht="22.95" customHeight="1" x14ac:dyDescent="0.25">
      <c r="A695" s="46">
        <v>694</v>
      </c>
      <c r="B695" s="47"/>
      <c r="T695" s="48"/>
    </row>
    <row r="696" spans="1:20" ht="22.95" customHeight="1" x14ac:dyDescent="0.25">
      <c r="A696" s="46">
        <v>695</v>
      </c>
      <c r="B696" s="47"/>
      <c r="T696" s="48"/>
    </row>
    <row r="697" spans="1:20" ht="22.95" customHeight="1" x14ac:dyDescent="0.25">
      <c r="A697" s="46">
        <v>696</v>
      </c>
      <c r="B697" s="47"/>
      <c r="T697" s="48"/>
    </row>
    <row r="698" spans="1:20" ht="22.95" customHeight="1" x14ac:dyDescent="0.25">
      <c r="A698" s="46">
        <v>697</v>
      </c>
      <c r="B698" s="47"/>
      <c r="T698" s="48"/>
    </row>
    <row r="699" spans="1:20" ht="22.95" customHeight="1" x14ac:dyDescent="0.25">
      <c r="A699" s="46">
        <v>698</v>
      </c>
      <c r="B699" s="47"/>
      <c r="T699" s="48"/>
    </row>
    <row r="700" spans="1:20" ht="22.95" customHeight="1" x14ac:dyDescent="0.25">
      <c r="A700" s="46">
        <v>699</v>
      </c>
      <c r="B700" s="47"/>
      <c r="T700" s="48"/>
    </row>
    <row r="701" spans="1:20" ht="22.95" customHeight="1" x14ac:dyDescent="0.25">
      <c r="A701" s="46">
        <v>700</v>
      </c>
      <c r="B701" s="47"/>
      <c r="T701" s="48"/>
    </row>
    <row r="702" spans="1:20" ht="22.95" customHeight="1" x14ac:dyDescent="0.25">
      <c r="A702" s="46">
        <v>701</v>
      </c>
      <c r="B702" s="47"/>
      <c r="T702" s="48"/>
    </row>
    <row r="703" spans="1:20" ht="22.95" customHeight="1" x14ac:dyDescent="0.25">
      <c r="A703" s="46">
        <v>702</v>
      </c>
      <c r="B703" s="47"/>
      <c r="T703" s="48"/>
    </row>
    <row r="704" spans="1:20" ht="22.95" customHeight="1" x14ac:dyDescent="0.25">
      <c r="A704" s="46">
        <v>703</v>
      </c>
      <c r="B704" s="47"/>
      <c r="T704" s="48"/>
    </row>
    <row r="705" spans="1:20" ht="22.95" customHeight="1" x14ac:dyDescent="0.25">
      <c r="A705" s="46">
        <v>704</v>
      </c>
      <c r="B705" s="47"/>
      <c r="T705" s="48"/>
    </row>
    <row r="706" spans="1:20" ht="22.95" customHeight="1" x14ac:dyDescent="0.25">
      <c r="A706" s="46">
        <v>705</v>
      </c>
      <c r="B706" s="47"/>
      <c r="T706" s="48"/>
    </row>
    <row r="707" spans="1:20" ht="22.95" customHeight="1" x14ac:dyDescent="0.25">
      <c r="A707" s="46">
        <v>706</v>
      </c>
      <c r="B707" s="47"/>
      <c r="T707" s="48"/>
    </row>
    <row r="708" spans="1:20" ht="22.95" customHeight="1" x14ac:dyDescent="0.25">
      <c r="A708" s="46">
        <v>707</v>
      </c>
      <c r="B708" s="47"/>
      <c r="T708" s="48"/>
    </row>
    <row r="709" spans="1:20" ht="22.95" customHeight="1" x14ac:dyDescent="0.25">
      <c r="A709" s="46">
        <v>708</v>
      </c>
      <c r="B709" s="47"/>
      <c r="T709" s="48"/>
    </row>
    <row r="710" spans="1:20" ht="22.95" customHeight="1" x14ac:dyDescent="0.25">
      <c r="A710" s="46">
        <v>709</v>
      </c>
      <c r="B710" s="47"/>
      <c r="T710" s="48"/>
    </row>
    <row r="711" spans="1:20" ht="22.95" customHeight="1" x14ac:dyDescent="0.25">
      <c r="A711" s="46">
        <v>710</v>
      </c>
      <c r="B711" s="47"/>
      <c r="T711" s="48"/>
    </row>
    <row r="712" spans="1:20" ht="22.95" customHeight="1" x14ac:dyDescent="0.25">
      <c r="A712" s="46">
        <v>711</v>
      </c>
      <c r="B712" s="47"/>
      <c r="T712" s="48"/>
    </row>
    <row r="713" spans="1:20" ht="22.95" customHeight="1" x14ac:dyDescent="0.25">
      <c r="A713" s="46">
        <v>712</v>
      </c>
      <c r="B713" s="47"/>
      <c r="T713" s="48"/>
    </row>
    <row r="714" spans="1:20" ht="22.95" customHeight="1" x14ac:dyDescent="0.25">
      <c r="A714" s="46">
        <v>713</v>
      </c>
      <c r="B714" s="47"/>
      <c r="T714" s="48"/>
    </row>
    <row r="715" spans="1:20" ht="22.95" customHeight="1" x14ac:dyDescent="0.25">
      <c r="A715" s="46">
        <v>714</v>
      </c>
      <c r="B715" s="47"/>
      <c r="T715" s="48"/>
    </row>
    <row r="716" spans="1:20" ht="22.95" customHeight="1" x14ac:dyDescent="0.25">
      <c r="A716" s="46">
        <v>715</v>
      </c>
      <c r="B716" s="47"/>
      <c r="T716" s="48"/>
    </row>
    <row r="717" spans="1:20" ht="22.95" customHeight="1" x14ac:dyDescent="0.25">
      <c r="A717" s="46">
        <v>716</v>
      </c>
      <c r="B717" s="47"/>
      <c r="T717" s="48"/>
    </row>
    <row r="718" spans="1:20" ht="22.95" customHeight="1" x14ac:dyDescent="0.25">
      <c r="A718" s="46">
        <v>717</v>
      </c>
      <c r="B718" s="47"/>
      <c r="T718" s="48"/>
    </row>
    <row r="719" spans="1:20" ht="22.95" customHeight="1" x14ac:dyDescent="0.25">
      <c r="A719" s="46">
        <v>718</v>
      </c>
      <c r="B719" s="47"/>
      <c r="T719" s="48"/>
    </row>
    <row r="720" spans="1:20" ht="22.95" customHeight="1" x14ac:dyDescent="0.25">
      <c r="A720" s="46">
        <v>719</v>
      </c>
      <c r="B720" s="47"/>
      <c r="T720" s="48"/>
    </row>
    <row r="721" spans="1:20" ht="22.95" customHeight="1" x14ac:dyDescent="0.25">
      <c r="A721" s="46">
        <v>720</v>
      </c>
      <c r="B721" s="47"/>
      <c r="T721" s="48"/>
    </row>
    <row r="722" spans="1:20" ht="22.95" customHeight="1" x14ac:dyDescent="0.25">
      <c r="A722" s="46">
        <v>721</v>
      </c>
      <c r="B722" s="47"/>
      <c r="T722" s="48"/>
    </row>
    <row r="723" spans="1:20" ht="22.95" customHeight="1" x14ac:dyDescent="0.25">
      <c r="A723" s="46">
        <v>722</v>
      </c>
      <c r="B723" s="47"/>
      <c r="T723" s="48"/>
    </row>
    <row r="724" spans="1:20" ht="22.95" customHeight="1" x14ac:dyDescent="0.25">
      <c r="A724" s="46">
        <v>723</v>
      </c>
      <c r="B724" s="47"/>
      <c r="T724" s="48"/>
    </row>
    <row r="725" spans="1:20" ht="22.95" customHeight="1" x14ac:dyDescent="0.25">
      <c r="A725" s="46">
        <v>724</v>
      </c>
      <c r="B725" s="47"/>
      <c r="T725" s="48"/>
    </row>
    <row r="726" spans="1:20" ht="22.95" customHeight="1" x14ac:dyDescent="0.25">
      <c r="A726" s="46">
        <v>725</v>
      </c>
      <c r="B726" s="47"/>
      <c r="T726" s="48"/>
    </row>
    <row r="727" spans="1:20" ht="22.95" customHeight="1" x14ac:dyDescent="0.25">
      <c r="A727" s="46">
        <v>726</v>
      </c>
      <c r="B727" s="47"/>
      <c r="T727" s="48"/>
    </row>
    <row r="728" spans="1:20" ht="22.95" customHeight="1" x14ac:dyDescent="0.25">
      <c r="A728" s="46">
        <v>727</v>
      </c>
      <c r="B728" s="47"/>
      <c r="T728" s="48"/>
    </row>
    <row r="729" spans="1:20" ht="22.95" customHeight="1" x14ac:dyDescent="0.25">
      <c r="A729" s="46">
        <v>728</v>
      </c>
      <c r="B729" s="47"/>
      <c r="T729" s="48"/>
    </row>
    <row r="730" spans="1:20" ht="22.95" customHeight="1" x14ac:dyDescent="0.25">
      <c r="A730" s="46">
        <v>729</v>
      </c>
      <c r="B730" s="47"/>
      <c r="T730" s="48"/>
    </row>
    <row r="731" spans="1:20" ht="22.95" customHeight="1" x14ac:dyDescent="0.25">
      <c r="A731" s="46">
        <v>730</v>
      </c>
      <c r="B731" s="47"/>
      <c r="T731" s="48"/>
    </row>
    <row r="732" spans="1:20" ht="22.95" customHeight="1" x14ac:dyDescent="0.25">
      <c r="A732" s="46">
        <v>731</v>
      </c>
      <c r="B732" s="47"/>
      <c r="T732" s="48"/>
    </row>
    <row r="733" spans="1:20" ht="22.95" customHeight="1" x14ac:dyDescent="0.25">
      <c r="A733" s="46">
        <v>732</v>
      </c>
      <c r="B733" s="47"/>
      <c r="T733" s="48"/>
    </row>
    <row r="734" spans="1:20" ht="22.95" customHeight="1" x14ac:dyDescent="0.25">
      <c r="A734" s="46">
        <v>733</v>
      </c>
      <c r="B734" s="47"/>
      <c r="T734" s="48"/>
    </row>
    <row r="735" spans="1:20" ht="22.95" customHeight="1" x14ac:dyDescent="0.25">
      <c r="A735" s="46">
        <v>734</v>
      </c>
      <c r="B735" s="47"/>
      <c r="T735" s="48"/>
    </row>
    <row r="736" spans="1:20" ht="22.95" customHeight="1" x14ac:dyDescent="0.25">
      <c r="A736" s="46">
        <v>735</v>
      </c>
      <c r="B736" s="47"/>
      <c r="T736" s="48"/>
    </row>
    <row r="737" spans="1:20" ht="22.95" customHeight="1" x14ac:dyDescent="0.25">
      <c r="A737" s="46">
        <v>736</v>
      </c>
      <c r="B737" s="47"/>
      <c r="T737" s="48"/>
    </row>
    <row r="738" spans="1:20" ht="22.95" customHeight="1" x14ac:dyDescent="0.25">
      <c r="A738" s="46">
        <v>737</v>
      </c>
      <c r="B738" s="47"/>
      <c r="T738" s="48"/>
    </row>
    <row r="739" spans="1:20" ht="22.95" customHeight="1" x14ac:dyDescent="0.25">
      <c r="A739" s="46">
        <v>738</v>
      </c>
      <c r="B739" s="47"/>
      <c r="T739" s="48"/>
    </row>
    <row r="740" spans="1:20" ht="22.95" customHeight="1" x14ac:dyDescent="0.25">
      <c r="A740" s="46">
        <v>739</v>
      </c>
      <c r="B740" s="47"/>
      <c r="T740" s="48"/>
    </row>
    <row r="741" spans="1:20" ht="22.95" customHeight="1" x14ac:dyDescent="0.25">
      <c r="A741" s="46">
        <v>740</v>
      </c>
      <c r="B741" s="47"/>
      <c r="T741" s="48"/>
    </row>
    <row r="742" spans="1:20" ht="22.95" customHeight="1" x14ac:dyDescent="0.25">
      <c r="A742" s="46">
        <v>741</v>
      </c>
      <c r="B742" s="47"/>
      <c r="T742" s="48"/>
    </row>
    <row r="743" spans="1:20" ht="22.95" customHeight="1" x14ac:dyDescent="0.25">
      <c r="A743" s="46">
        <v>742</v>
      </c>
      <c r="B743" s="47"/>
      <c r="T743" s="48"/>
    </row>
    <row r="744" spans="1:20" ht="22.95" customHeight="1" x14ac:dyDescent="0.25">
      <c r="A744" s="46">
        <v>743</v>
      </c>
      <c r="B744" s="47"/>
      <c r="T744" s="48"/>
    </row>
    <row r="745" spans="1:20" ht="22.95" customHeight="1" x14ac:dyDescent="0.25">
      <c r="A745" s="46">
        <v>744</v>
      </c>
      <c r="B745" s="47"/>
      <c r="T745" s="48"/>
    </row>
    <row r="746" spans="1:20" ht="22.95" customHeight="1" x14ac:dyDescent="0.25">
      <c r="A746" s="46">
        <v>745</v>
      </c>
      <c r="B746" s="47"/>
      <c r="T746" s="48"/>
    </row>
    <row r="747" spans="1:20" ht="22.95" customHeight="1" x14ac:dyDescent="0.25">
      <c r="A747" s="46">
        <v>746</v>
      </c>
      <c r="B747" s="47"/>
      <c r="T747" s="48"/>
    </row>
    <row r="748" spans="1:20" ht="22.95" customHeight="1" x14ac:dyDescent="0.25">
      <c r="A748" s="46">
        <v>747</v>
      </c>
      <c r="B748" s="47"/>
      <c r="T748" s="48"/>
    </row>
    <row r="749" spans="1:20" ht="22.95" customHeight="1" x14ac:dyDescent="0.25">
      <c r="A749" s="46">
        <v>748</v>
      </c>
      <c r="B749" s="47"/>
      <c r="T749" s="48"/>
    </row>
    <row r="750" spans="1:20" ht="22.95" customHeight="1" x14ac:dyDescent="0.25">
      <c r="A750" s="46">
        <v>749</v>
      </c>
      <c r="B750" s="47"/>
      <c r="T750" s="48"/>
    </row>
    <row r="751" spans="1:20" ht="22.95" customHeight="1" x14ac:dyDescent="0.25">
      <c r="A751" s="46">
        <v>750</v>
      </c>
      <c r="B751" s="47"/>
      <c r="T751" s="48"/>
    </row>
    <row r="752" spans="1:20" ht="22.95" customHeight="1" x14ac:dyDescent="0.25">
      <c r="A752" s="46">
        <v>751</v>
      </c>
      <c r="B752" s="47"/>
      <c r="T752" s="48"/>
    </row>
    <row r="753" spans="1:20" ht="22.95" customHeight="1" x14ac:dyDescent="0.25">
      <c r="A753" s="46">
        <v>752</v>
      </c>
      <c r="B753" s="47"/>
      <c r="T753" s="48"/>
    </row>
    <row r="754" spans="1:20" ht="22.95" customHeight="1" x14ac:dyDescent="0.25">
      <c r="A754" s="46">
        <v>753</v>
      </c>
      <c r="B754" s="47"/>
      <c r="T754" s="48"/>
    </row>
    <row r="755" spans="1:20" ht="22.95" customHeight="1" x14ac:dyDescent="0.25">
      <c r="A755" s="46">
        <v>754</v>
      </c>
      <c r="B755" s="47"/>
      <c r="T755" s="48"/>
    </row>
    <row r="756" spans="1:20" ht="22.95" customHeight="1" x14ac:dyDescent="0.25">
      <c r="A756" s="46">
        <v>755</v>
      </c>
      <c r="B756" s="47"/>
      <c r="T756" s="48"/>
    </row>
    <row r="757" spans="1:20" ht="22.95" customHeight="1" x14ac:dyDescent="0.25">
      <c r="A757" s="46">
        <v>756</v>
      </c>
      <c r="B757" s="47"/>
      <c r="T757" s="48"/>
    </row>
    <row r="758" spans="1:20" ht="22.95" customHeight="1" x14ac:dyDescent="0.25">
      <c r="A758" s="46">
        <v>757</v>
      </c>
      <c r="B758" s="47"/>
      <c r="T758" s="48"/>
    </row>
    <row r="759" spans="1:20" ht="22.95" customHeight="1" x14ac:dyDescent="0.25">
      <c r="A759" s="46">
        <v>758</v>
      </c>
      <c r="B759" s="47"/>
      <c r="T759" s="48"/>
    </row>
    <row r="760" spans="1:20" ht="22.95" customHeight="1" x14ac:dyDescent="0.25">
      <c r="A760" s="46">
        <v>759</v>
      </c>
      <c r="B760" s="47"/>
      <c r="T760" s="48"/>
    </row>
    <row r="761" spans="1:20" ht="22.95" customHeight="1" x14ac:dyDescent="0.25">
      <c r="A761" s="46">
        <v>760</v>
      </c>
      <c r="B761" s="47"/>
      <c r="T761" s="48"/>
    </row>
    <row r="762" spans="1:20" ht="22.95" customHeight="1" x14ac:dyDescent="0.25">
      <c r="A762" s="46">
        <v>761</v>
      </c>
      <c r="B762" s="47"/>
      <c r="T762" s="48"/>
    </row>
    <row r="763" spans="1:20" ht="22.95" customHeight="1" x14ac:dyDescent="0.25">
      <c r="A763" s="46">
        <v>762</v>
      </c>
      <c r="B763" s="47"/>
      <c r="T763" s="48"/>
    </row>
    <row r="764" spans="1:20" ht="22.95" customHeight="1" x14ac:dyDescent="0.25">
      <c r="A764" s="46">
        <v>763</v>
      </c>
      <c r="B764" s="47"/>
      <c r="T764" s="48"/>
    </row>
    <row r="765" spans="1:20" ht="22.95" customHeight="1" x14ac:dyDescent="0.25">
      <c r="A765" s="46">
        <v>764</v>
      </c>
      <c r="B765" s="47"/>
      <c r="T765" s="48"/>
    </row>
    <row r="766" spans="1:20" ht="22.95" customHeight="1" x14ac:dyDescent="0.25">
      <c r="A766" s="46">
        <v>765</v>
      </c>
      <c r="B766" s="47"/>
      <c r="T766" s="48"/>
    </row>
    <row r="767" spans="1:20" ht="22.95" customHeight="1" x14ac:dyDescent="0.25">
      <c r="A767" s="46">
        <v>766</v>
      </c>
      <c r="B767" s="47"/>
      <c r="T767" s="48"/>
    </row>
    <row r="768" spans="1:20" ht="22.95" customHeight="1" x14ac:dyDescent="0.25">
      <c r="A768" s="46">
        <v>767</v>
      </c>
      <c r="B768" s="47"/>
      <c r="T768" s="48"/>
    </row>
    <row r="769" spans="1:20" ht="22.95" customHeight="1" x14ac:dyDescent="0.25">
      <c r="A769" s="46">
        <v>768</v>
      </c>
      <c r="B769" s="47"/>
      <c r="T769" s="48"/>
    </row>
    <row r="770" spans="1:20" ht="22.95" customHeight="1" x14ac:dyDescent="0.25">
      <c r="A770" s="46">
        <v>769</v>
      </c>
      <c r="B770" s="47"/>
      <c r="T770" s="48"/>
    </row>
    <row r="771" spans="1:20" ht="22.95" customHeight="1" x14ac:dyDescent="0.25">
      <c r="A771" s="46">
        <v>770</v>
      </c>
      <c r="B771" s="47"/>
      <c r="T771" s="48"/>
    </row>
    <row r="772" spans="1:20" ht="22.95" customHeight="1" x14ac:dyDescent="0.25">
      <c r="A772" s="46">
        <v>771</v>
      </c>
      <c r="B772" s="47"/>
      <c r="T772" s="48"/>
    </row>
    <row r="773" spans="1:20" ht="22.95" customHeight="1" x14ac:dyDescent="0.25">
      <c r="A773" s="46">
        <v>772</v>
      </c>
      <c r="B773" s="47"/>
      <c r="T773" s="48"/>
    </row>
    <row r="774" spans="1:20" ht="22.95" customHeight="1" x14ac:dyDescent="0.25">
      <c r="A774" s="46">
        <v>773</v>
      </c>
      <c r="B774" s="47"/>
      <c r="T774" s="48"/>
    </row>
    <row r="775" spans="1:20" ht="22.95" customHeight="1" x14ac:dyDescent="0.25">
      <c r="A775" s="46">
        <v>774</v>
      </c>
      <c r="B775" s="47"/>
      <c r="T775" s="48"/>
    </row>
    <row r="776" spans="1:20" ht="22.95" customHeight="1" x14ac:dyDescent="0.25">
      <c r="A776" s="46">
        <v>775</v>
      </c>
      <c r="B776" s="47"/>
      <c r="T776" s="48"/>
    </row>
    <row r="777" spans="1:20" ht="22.95" customHeight="1" x14ac:dyDescent="0.25">
      <c r="A777" s="46">
        <v>776</v>
      </c>
      <c r="B777" s="47"/>
      <c r="T777" s="48"/>
    </row>
    <row r="778" spans="1:20" ht="22.95" customHeight="1" x14ac:dyDescent="0.25">
      <c r="A778" s="46">
        <v>777</v>
      </c>
      <c r="B778" s="47"/>
      <c r="T778" s="48"/>
    </row>
    <row r="779" spans="1:20" ht="22.95" customHeight="1" x14ac:dyDescent="0.25">
      <c r="A779" s="46">
        <v>778</v>
      </c>
      <c r="B779" s="47"/>
      <c r="T779" s="48"/>
    </row>
    <row r="780" spans="1:20" ht="22.95" customHeight="1" x14ac:dyDescent="0.25">
      <c r="A780" s="46">
        <v>779</v>
      </c>
      <c r="B780" s="47"/>
      <c r="T780" s="48"/>
    </row>
    <row r="781" spans="1:20" ht="22.95" customHeight="1" x14ac:dyDescent="0.25">
      <c r="A781" s="46">
        <v>780</v>
      </c>
      <c r="B781" s="47"/>
      <c r="T781" s="48"/>
    </row>
    <row r="782" spans="1:20" ht="22.95" customHeight="1" x14ac:dyDescent="0.25">
      <c r="A782" s="46">
        <v>781</v>
      </c>
      <c r="B782" s="47"/>
      <c r="T782" s="48"/>
    </row>
    <row r="783" spans="1:20" ht="22.95" customHeight="1" x14ac:dyDescent="0.25">
      <c r="A783" s="46">
        <v>782</v>
      </c>
      <c r="B783" s="47"/>
      <c r="T783" s="48"/>
    </row>
    <row r="784" spans="1:20" ht="22.95" customHeight="1" x14ac:dyDescent="0.25">
      <c r="A784" s="46">
        <v>783</v>
      </c>
      <c r="B784" s="47"/>
      <c r="T784" s="48"/>
    </row>
    <row r="785" spans="1:20" ht="22.95" customHeight="1" x14ac:dyDescent="0.25">
      <c r="A785" s="46">
        <v>784</v>
      </c>
      <c r="B785" s="47"/>
      <c r="T785" s="48"/>
    </row>
    <row r="786" spans="1:20" ht="22.95" customHeight="1" x14ac:dyDescent="0.25">
      <c r="A786" s="46">
        <v>785</v>
      </c>
      <c r="B786" s="47"/>
      <c r="T786" s="48"/>
    </row>
    <row r="787" spans="1:20" ht="22.95" customHeight="1" x14ac:dyDescent="0.25">
      <c r="A787" s="46">
        <v>786</v>
      </c>
      <c r="B787" s="47"/>
      <c r="T787" s="48"/>
    </row>
    <row r="788" spans="1:20" ht="22.95" customHeight="1" x14ac:dyDescent="0.25">
      <c r="A788" s="46">
        <v>787</v>
      </c>
      <c r="B788" s="47"/>
      <c r="T788" s="48"/>
    </row>
    <row r="789" spans="1:20" ht="22.95" customHeight="1" x14ac:dyDescent="0.25">
      <c r="A789" s="46">
        <v>788</v>
      </c>
      <c r="B789" s="47"/>
      <c r="T789" s="48"/>
    </row>
    <row r="790" spans="1:20" ht="22.95" customHeight="1" x14ac:dyDescent="0.25">
      <c r="A790" s="46">
        <v>789</v>
      </c>
      <c r="B790" s="47"/>
      <c r="T790" s="48"/>
    </row>
    <row r="791" spans="1:20" ht="22.95" customHeight="1" x14ac:dyDescent="0.25">
      <c r="A791" s="46">
        <v>790</v>
      </c>
      <c r="B791" s="47"/>
      <c r="T791" s="48"/>
    </row>
    <row r="792" spans="1:20" ht="22.95" customHeight="1" x14ac:dyDescent="0.25">
      <c r="A792" s="46">
        <v>791</v>
      </c>
      <c r="B792" s="47"/>
      <c r="T792" s="48"/>
    </row>
    <row r="793" spans="1:20" ht="22.95" customHeight="1" x14ac:dyDescent="0.25">
      <c r="A793" s="46">
        <v>792</v>
      </c>
      <c r="B793" s="47"/>
      <c r="T793" s="48"/>
    </row>
    <row r="794" spans="1:20" ht="22.95" customHeight="1" x14ac:dyDescent="0.25">
      <c r="A794" s="46">
        <v>793</v>
      </c>
      <c r="B794" s="47"/>
      <c r="T794" s="48"/>
    </row>
    <row r="795" spans="1:20" ht="22.95" customHeight="1" x14ac:dyDescent="0.25">
      <c r="A795" s="46">
        <v>794</v>
      </c>
      <c r="B795" s="47"/>
      <c r="T795" s="48"/>
    </row>
    <row r="796" spans="1:20" ht="22.95" customHeight="1" x14ac:dyDescent="0.25">
      <c r="A796" s="46">
        <v>795</v>
      </c>
      <c r="B796" s="47"/>
      <c r="T796" s="48"/>
    </row>
    <row r="797" spans="1:20" ht="22.95" customHeight="1" x14ac:dyDescent="0.25">
      <c r="A797" s="46">
        <v>796</v>
      </c>
      <c r="B797" s="47"/>
      <c r="T797" s="48"/>
    </row>
    <row r="798" spans="1:20" ht="22.95" customHeight="1" x14ac:dyDescent="0.25">
      <c r="A798" s="46">
        <v>797</v>
      </c>
      <c r="B798" s="47"/>
      <c r="T798" s="48"/>
    </row>
    <row r="799" spans="1:20" ht="22.95" customHeight="1" x14ac:dyDescent="0.25">
      <c r="A799" s="46">
        <v>798</v>
      </c>
      <c r="B799" s="47"/>
      <c r="T799" s="48"/>
    </row>
    <row r="800" spans="1:20" ht="22.95" customHeight="1" x14ac:dyDescent="0.25">
      <c r="A800" s="46">
        <v>799</v>
      </c>
      <c r="B800" s="47"/>
      <c r="T800" s="48"/>
    </row>
    <row r="801" spans="1:20" ht="22.95" customHeight="1" x14ac:dyDescent="0.25">
      <c r="A801" s="46">
        <v>800</v>
      </c>
      <c r="B801" s="47"/>
      <c r="T801" s="48"/>
    </row>
    <row r="802" spans="1:20" ht="22.95" customHeight="1" x14ac:dyDescent="0.25">
      <c r="A802" s="46">
        <v>801</v>
      </c>
      <c r="B802" s="47"/>
      <c r="T802" s="48"/>
    </row>
    <row r="803" spans="1:20" ht="22.95" customHeight="1" x14ac:dyDescent="0.25">
      <c r="A803" s="46">
        <v>802</v>
      </c>
      <c r="B803" s="47"/>
      <c r="T803" s="48"/>
    </row>
    <row r="804" spans="1:20" ht="22.95" customHeight="1" x14ac:dyDescent="0.25">
      <c r="A804" s="46">
        <v>803</v>
      </c>
      <c r="B804" s="47"/>
      <c r="T804" s="48"/>
    </row>
    <row r="805" spans="1:20" ht="22.95" customHeight="1" x14ac:dyDescent="0.25">
      <c r="A805" s="46">
        <v>804</v>
      </c>
      <c r="B805" s="47"/>
      <c r="T805" s="48"/>
    </row>
    <row r="806" spans="1:20" ht="22.95" customHeight="1" x14ac:dyDescent="0.25">
      <c r="A806" s="46">
        <v>805</v>
      </c>
      <c r="B806" s="47"/>
      <c r="T806" s="48"/>
    </row>
    <row r="807" spans="1:20" ht="22.95" customHeight="1" x14ac:dyDescent="0.25">
      <c r="A807" s="46">
        <v>806</v>
      </c>
      <c r="B807" s="47"/>
      <c r="T807" s="48"/>
    </row>
    <row r="808" spans="1:20" ht="22.95" customHeight="1" x14ac:dyDescent="0.25">
      <c r="A808" s="46">
        <v>807</v>
      </c>
      <c r="B808" s="47"/>
      <c r="T808" s="48"/>
    </row>
    <row r="809" spans="1:20" ht="22.95" customHeight="1" x14ac:dyDescent="0.25">
      <c r="A809" s="46">
        <v>808</v>
      </c>
      <c r="B809" s="47"/>
      <c r="T809" s="48"/>
    </row>
    <row r="810" spans="1:20" ht="22.95" customHeight="1" x14ac:dyDescent="0.25">
      <c r="A810" s="46">
        <v>809</v>
      </c>
      <c r="B810" s="47"/>
      <c r="T810" s="48"/>
    </row>
    <row r="811" spans="1:20" ht="22.95" customHeight="1" x14ac:dyDescent="0.25">
      <c r="A811" s="46">
        <v>810</v>
      </c>
      <c r="B811" s="47"/>
      <c r="T811" s="48"/>
    </row>
    <row r="812" spans="1:20" ht="22.95" customHeight="1" x14ac:dyDescent="0.25">
      <c r="A812" s="46">
        <v>811</v>
      </c>
      <c r="B812" s="47"/>
      <c r="T812" s="48"/>
    </row>
    <row r="813" spans="1:20" ht="22.95" customHeight="1" x14ac:dyDescent="0.25">
      <c r="A813" s="46">
        <v>812</v>
      </c>
      <c r="B813" s="47"/>
      <c r="T813" s="48"/>
    </row>
    <row r="814" spans="1:20" ht="22.95" customHeight="1" x14ac:dyDescent="0.25">
      <c r="A814" s="46">
        <v>813</v>
      </c>
      <c r="B814" s="47"/>
      <c r="T814" s="48"/>
    </row>
    <row r="815" spans="1:20" ht="22.95" customHeight="1" x14ac:dyDescent="0.25">
      <c r="A815" s="46">
        <v>814</v>
      </c>
      <c r="B815" s="47"/>
      <c r="T815" s="48"/>
    </row>
    <row r="816" spans="1:20" ht="22.95" customHeight="1" x14ac:dyDescent="0.25">
      <c r="A816" s="46">
        <v>815</v>
      </c>
      <c r="B816" s="47"/>
      <c r="T816" s="48"/>
    </row>
    <row r="817" spans="1:20" ht="22.95" customHeight="1" x14ac:dyDescent="0.25">
      <c r="A817" s="46">
        <v>816</v>
      </c>
      <c r="B817" s="47"/>
      <c r="T817" s="48"/>
    </row>
    <row r="818" spans="1:20" ht="21.6" customHeight="1" x14ac:dyDescent="0.25">
      <c r="A818" s="46">
        <v>817</v>
      </c>
      <c r="B818" s="47"/>
      <c r="T818" s="48"/>
    </row>
    <row r="819" spans="1:20" ht="21.6" customHeight="1" x14ac:dyDescent="0.25">
      <c r="A819" s="46">
        <v>818</v>
      </c>
      <c r="B819" s="47"/>
      <c r="T819" s="48"/>
    </row>
    <row r="820" spans="1:20" ht="21.6" customHeight="1" x14ac:dyDescent="0.25">
      <c r="A820" s="46">
        <v>819</v>
      </c>
      <c r="B820" s="47"/>
      <c r="T820" s="48"/>
    </row>
    <row r="821" spans="1:20" ht="21.6" customHeight="1" x14ac:dyDescent="0.25">
      <c r="A821" s="46">
        <v>820</v>
      </c>
      <c r="B821" s="47"/>
      <c r="T821" s="48"/>
    </row>
    <row r="822" spans="1:20" ht="21.6" customHeight="1" x14ac:dyDescent="0.25">
      <c r="A822" s="46">
        <v>821</v>
      </c>
      <c r="B822" s="47"/>
      <c r="T822" s="48"/>
    </row>
    <row r="823" spans="1:20" ht="21.6" customHeight="1" x14ac:dyDescent="0.25">
      <c r="A823" s="46">
        <v>822</v>
      </c>
      <c r="B823" s="47"/>
      <c r="T823" s="48"/>
    </row>
    <row r="824" spans="1:20" ht="21.6" customHeight="1" x14ac:dyDescent="0.25">
      <c r="A824" s="46">
        <v>823</v>
      </c>
      <c r="B824" s="47"/>
      <c r="T824" s="48"/>
    </row>
    <row r="825" spans="1:20" ht="21.6" customHeight="1" x14ac:dyDescent="0.25">
      <c r="A825" s="46">
        <v>824</v>
      </c>
      <c r="B825" s="47"/>
      <c r="T825" s="48"/>
    </row>
    <row r="826" spans="1:20" ht="21.6" customHeight="1" x14ac:dyDescent="0.25">
      <c r="A826" s="46">
        <v>825</v>
      </c>
      <c r="B826" s="47"/>
      <c r="T826" s="48"/>
    </row>
    <row r="827" spans="1:20" ht="21.6" customHeight="1" x14ac:dyDescent="0.25">
      <c r="A827" s="46">
        <v>826</v>
      </c>
      <c r="B827" s="47"/>
      <c r="T827" s="48"/>
    </row>
    <row r="828" spans="1:20" ht="21.6" customHeight="1" x14ac:dyDescent="0.25">
      <c r="A828" s="46">
        <v>827</v>
      </c>
      <c r="B828" s="47"/>
      <c r="T828" s="48"/>
    </row>
    <row r="829" spans="1:20" ht="21.6" customHeight="1" x14ac:dyDescent="0.25">
      <c r="A829" s="46">
        <v>828</v>
      </c>
      <c r="B829" s="47"/>
      <c r="T829" s="48"/>
    </row>
    <row r="830" spans="1:20" ht="21.6" customHeight="1" x14ac:dyDescent="0.25">
      <c r="A830" s="46">
        <v>829</v>
      </c>
      <c r="B830" s="47"/>
      <c r="T830" s="48"/>
    </row>
    <row r="831" spans="1:20" ht="21.6" customHeight="1" x14ac:dyDescent="0.25">
      <c r="A831" s="46">
        <v>830</v>
      </c>
      <c r="B831" s="47"/>
      <c r="T831" s="48"/>
    </row>
    <row r="832" spans="1:20" ht="21.6" customHeight="1" x14ac:dyDescent="0.25">
      <c r="A832" s="46">
        <v>831</v>
      </c>
      <c r="B832" s="47"/>
      <c r="T832" s="48"/>
    </row>
    <row r="833" spans="1:20" ht="21.6" customHeight="1" x14ac:dyDescent="0.25">
      <c r="A833" s="46">
        <v>832</v>
      </c>
      <c r="B833" s="47"/>
      <c r="T833" s="48"/>
    </row>
    <row r="834" spans="1:20" ht="21.6" customHeight="1" x14ac:dyDescent="0.25">
      <c r="A834" s="46">
        <v>833</v>
      </c>
      <c r="B834" s="47"/>
      <c r="T834" s="48"/>
    </row>
    <row r="835" spans="1:20" ht="21.6" customHeight="1" x14ac:dyDescent="0.25">
      <c r="A835" s="46">
        <v>834</v>
      </c>
      <c r="B835" s="47"/>
      <c r="T835" s="48"/>
    </row>
    <row r="836" spans="1:20" ht="21.6" customHeight="1" x14ac:dyDescent="0.25">
      <c r="A836" s="46">
        <v>835</v>
      </c>
      <c r="B836" s="47"/>
      <c r="T836" s="48"/>
    </row>
    <row r="837" spans="1:20" ht="21.6" customHeight="1" x14ac:dyDescent="0.25">
      <c r="A837" s="46">
        <v>836</v>
      </c>
      <c r="B837" s="47"/>
      <c r="T837" s="48"/>
    </row>
    <row r="838" spans="1:20" ht="21.6" customHeight="1" x14ac:dyDescent="0.25">
      <c r="A838" s="46">
        <v>837</v>
      </c>
      <c r="B838" s="47"/>
      <c r="T838" s="48"/>
    </row>
    <row r="839" spans="1:20" ht="21.6" customHeight="1" x14ac:dyDescent="0.25">
      <c r="A839" s="46">
        <v>838</v>
      </c>
      <c r="B839" s="47"/>
      <c r="T839" s="48"/>
    </row>
    <row r="840" spans="1:20" ht="21.6" customHeight="1" x14ac:dyDescent="0.25">
      <c r="A840" s="46">
        <v>839</v>
      </c>
      <c r="B840" s="47"/>
      <c r="T840" s="48"/>
    </row>
    <row r="841" spans="1:20" ht="21.6" customHeight="1" x14ac:dyDescent="0.25">
      <c r="A841" s="46">
        <v>840</v>
      </c>
      <c r="B841" s="47"/>
      <c r="T841" s="48"/>
    </row>
    <row r="842" spans="1:20" ht="21.6" customHeight="1" x14ac:dyDescent="0.25">
      <c r="A842" s="46">
        <v>841</v>
      </c>
      <c r="B842" s="47"/>
      <c r="T842" s="48"/>
    </row>
    <row r="843" spans="1:20" ht="21.6" customHeight="1" x14ac:dyDescent="0.25">
      <c r="A843" s="46">
        <v>842</v>
      </c>
      <c r="B843" s="47"/>
      <c r="T843" s="48"/>
    </row>
    <row r="844" spans="1:20" ht="21.6" customHeight="1" x14ac:dyDescent="0.25">
      <c r="A844" s="46">
        <v>843</v>
      </c>
      <c r="B844" s="47"/>
      <c r="T844" s="48"/>
    </row>
    <row r="845" spans="1:20" ht="21.6" customHeight="1" x14ac:dyDescent="0.25">
      <c r="A845" s="46">
        <v>844</v>
      </c>
      <c r="B845" s="47"/>
      <c r="T845" s="48"/>
    </row>
    <row r="846" spans="1:20" ht="21.6" customHeight="1" x14ac:dyDescent="0.25">
      <c r="A846" s="46">
        <v>845</v>
      </c>
      <c r="B846" s="47"/>
      <c r="T846" s="48"/>
    </row>
    <row r="847" spans="1:20" ht="21.6" customHeight="1" x14ac:dyDescent="0.25">
      <c r="A847" s="46">
        <v>846</v>
      </c>
      <c r="B847" s="47"/>
      <c r="T847" s="48"/>
    </row>
    <row r="848" spans="1:20" ht="21.6" customHeight="1" x14ac:dyDescent="0.25">
      <c r="A848" s="46">
        <v>847</v>
      </c>
      <c r="B848" s="47"/>
      <c r="T848" s="48"/>
    </row>
    <row r="849" spans="1:20" ht="21.6" customHeight="1" x14ac:dyDescent="0.25">
      <c r="A849" s="46">
        <v>848</v>
      </c>
      <c r="B849" s="47"/>
      <c r="T849" s="48"/>
    </row>
    <row r="850" spans="1:20" ht="21.6" customHeight="1" x14ac:dyDescent="0.25">
      <c r="A850" s="46">
        <v>849</v>
      </c>
      <c r="B850" s="47"/>
      <c r="T850" s="48"/>
    </row>
    <row r="851" spans="1:20" ht="21.6" customHeight="1" x14ac:dyDescent="0.25">
      <c r="A851" s="46">
        <v>850</v>
      </c>
      <c r="B851" s="47"/>
      <c r="T851" s="48"/>
    </row>
    <row r="852" spans="1:20" ht="21.6" customHeight="1" x14ac:dyDescent="0.25">
      <c r="A852" s="46">
        <v>851</v>
      </c>
      <c r="B852" s="47"/>
      <c r="T852" s="48"/>
    </row>
    <row r="853" spans="1:20" ht="21.6" customHeight="1" x14ac:dyDescent="0.25">
      <c r="A853" s="46">
        <v>852</v>
      </c>
      <c r="B853" s="47"/>
      <c r="T853" s="48"/>
    </row>
    <row r="854" spans="1:20" ht="21.6" customHeight="1" x14ac:dyDescent="0.25">
      <c r="A854" s="46">
        <v>853</v>
      </c>
      <c r="B854" s="47"/>
      <c r="T854" s="48"/>
    </row>
    <row r="855" spans="1:20" ht="21.6" customHeight="1" x14ac:dyDescent="0.25">
      <c r="A855" s="46">
        <v>854</v>
      </c>
      <c r="B855" s="47"/>
      <c r="T855" s="48"/>
    </row>
    <row r="856" spans="1:20" ht="21.6" customHeight="1" x14ac:dyDescent="0.25">
      <c r="A856" s="46">
        <v>855</v>
      </c>
      <c r="B856" s="47"/>
      <c r="T856" s="48"/>
    </row>
    <row r="857" spans="1:20" ht="21.6" customHeight="1" x14ac:dyDescent="0.25">
      <c r="A857" s="46">
        <v>856</v>
      </c>
      <c r="B857" s="47"/>
      <c r="T857" s="48"/>
    </row>
    <row r="858" spans="1:20" ht="21.6" customHeight="1" x14ac:dyDescent="0.25">
      <c r="A858" s="46">
        <v>857</v>
      </c>
      <c r="B858" s="47"/>
      <c r="T858" s="48"/>
    </row>
    <row r="859" spans="1:20" ht="21.6" customHeight="1" x14ac:dyDescent="0.25">
      <c r="A859" s="46">
        <v>858</v>
      </c>
      <c r="B859" s="47"/>
      <c r="T859" s="48"/>
    </row>
    <row r="860" spans="1:20" ht="21.6" customHeight="1" x14ac:dyDescent="0.25">
      <c r="A860" s="46">
        <v>859</v>
      </c>
      <c r="B860" s="47"/>
      <c r="T860" s="48"/>
    </row>
    <row r="861" spans="1:20" ht="21.6" customHeight="1" x14ac:dyDescent="0.25">
      <c r="A861" s="46">
        <v>860</v>
      </c>
      <c r="B861" s="47"/>
      <c r="T861" s="48"/>
    </row>
    <row r="862" spans="1:20" ht="21.6" customHeight="1" x14ac:dyDescent="0.25">
      <c r="A862" s="46">
        <v>861</v>
      </c>
      <c r="B862" s="47"/>
      <c r="T862" s="48"/>
    </row>
    <row r="863" spans="1:20" ht="21.6" customHeight="1" x14ac:dyDescent="0.25">
      <c r="A863" s="46">
        <v>862</v>
      </c>
      <c r="B863" s="47"/>
      <c r="T863" s="48"/>
    </row>
    <row r="864" spans="1:20" ht="21.6" customHeight="1" x14ac:dyDescent="0.25">
      <c r="A864" s="46">
        <v>863</v>
      </c>
      <c r="B864" s="47"/>
      <c r="T864" s="48"/>
    </row>
    <row r="865" spans="1:20" ht="21.6" customHeight="1" x14ac:dyDescent="0.25">
      <c r="A865" s="46">
        <v>864</v>
      </c>
      <c r="B865" s="47"/>
      <c r="T865" s="48"/>
    </row>
    <row r="866" spans="1:20" ht="21.6" customHeight="1" x14ac:dyDescent="0.25">
      <c r="A866" s="46">
        <v>865</v>
      </c>
      <c r="B866" s="47"/>
      <c r="T866" s="48"/>
    </row>
    <row r="867" spans="1:20" ht="21.6" customHeight="1" x14ac:dyDescent="0.25">
      <c r="A867" s="46">
        <v>866</v>
      </c>
      <c r="B867" s="47"/>
      <c r="T867" s="48"/>
    </row>
    <row r="868" spans="1:20" ht="21.6" customHeight="1" x14ac:dyDescent="0.25">
      <c r="A868" s="46">
        <v>867</v>
      </c>
      <c r="B868" s="47"/>
      <c r="T868" s="48"/>
    </row>
    <row r="869" spans="1:20" ht="21.6" customHeight="1" x14ac:dyDescent="0.25">
      <c r="A869" s="46">
        <v>868</v>
      </c>
      <c r="B869" s="47"/>
      <c r="T869" s="48"/>
    </row>
    <row r="870" spans="1:20" ht="21.6" customHeight="1" x14ac:dyDescent="0.25">
      <c r="A870" s="46">
        <v>869</v>
      </c>
      <c r="B870" s="47"/>
      <c r="T870" s="48"/>
    </row>
    <row r="871" spans="1:20" ht="21.6" customHeight="1" x14ac:dyDescent="0.25">
      <c r="A871" s="46">
        <v>870</v>
      </c>
      <c r="B871" s="47"/>
      <c r="T871" s="48"/>
    </row>
    <row r="872" spans="1:20" ht="21.6" customHeight="1" x14ac:dyDescent="0.25">
      <c r="A872" s="46">
        <v>871</v>
      </c>
      <c r="B872" s="47"/>
      <c r="T872" s="48"/>
    </row>
    <row r="873" spans="1:20" ht="21.6" customHeight="1" x14ac:dyDescent="0.25">
      <c r="A873" s="46">
        <v>872</v>
      </c>
      <c r="B873" s="47"/>
      <c r="T873" s="48"/>
    </row>
    <row r="874" spans="1:20" ht="21.6" customHeight="1" x14ac:dyDescent="0.25">
      <c r="A874" s="46">
        <v>873</v>
      </c>
      <c r="B874" s="47"/>
      <c r="T874" s="48"/>
    </row>
    <row r="875" spans="1:20" ht="21.6" customHeight="1" x14ac:dyDescent="0.25">
      <c r="A875" s="46">
        <v>874</v>
      </c>
      <c r="B875" s="47"/>
      <c r="T875" s="48"/>
    </row>
    <row r="876" spans="1:20" ht="21.6" customHeight="1" x14ac:dyDescent="0.25">
      <c r="A876" s="46">
        <v>875</v>
      </c>
      <c r="B876" s="47"/>
      <c r="T876" s="48"/>
    </row>
    <row r="877" spans="1:20" ht="21.6" customHeight="1" x14ac:dyDescent="0.25">
      <c r="A877" s="46">
        <v>876</v>
      </c>
      <c r="B877" s="47"/>
      <c r="T877" s="48"/>
    </row>
    <row r="878" spans="1:20" ht="21.6" customHeight="1" x14ac:dyDescent="0.25">
      <c r="A878" s="46">
        <v>877</v>
      </c>
      <c r="B878" s="47"/>
      <c r="T878" s="48"/>
    </row>
    <row r="879" spans="1:20" ht="21.6" customHeight="1" x14ac:dyDescent="0.25">
      <c r="A879" s="46">
        <v>878</v>
      </c>
      <c r="B879" s="47"/>
      <c r="T879" s="48"/>
    </row>
    <row r="880" spans="1:20" ht="21.6" customHeight="1" x14ac:dyDescent="0.25">
      <c r="A880" s="46">
        <v>879</v>
      </c>
      <c r="B880" s="47"/>
      <c r="T880" s="48"/>
    </row>
    <row r="881" spans="1:20" ht="21.6" customHeight="1" x14ac:dyDescent="0.25">
      <c r="A881" s="46">
        <v>880</v>
      </c>
      <c r="B881" s="47"/>
      <c r="T881" s="48"/>
    </row>
    <row r="882" spans="1:20" ht="21.6" customHeight="1" x14ac:dyDescent="0.25">
      <c r="A882" s="46">
        <v>881</v>
      </c>
      <c r="B882" s="47"/>
      <c r="T882" s="48"/>
    </row>
    <row r="883" spans="1:20" ht="21.6" customHeight="1" x14ac:dyDescent="0.25">
      <c r="A883" s="46">
        <v>882</v>
      </c>
      <c r="B883" s="47"/>
      <c r="T883" s="48"/>
    </row>
    <row r="884" spans="1:20" ht="21.6" customHeight="1" x14ac:dyDescent="0.25">
      <c r="A884" s="46">
        <v>883</v>
      </c>
      <c r="B884" s="47"/>
      <c r="T884" s="48"/>
    </row>
    <row r="885" spans="1:20" ht="21.6" customHeight="1" x14ac:dyDescent="0.25">
      <c r="A885" s="46">
        <v>884</v>
      </c>
      <c r="B885" s="47"/>
      <c r="T885" s="48"/>
    </row>
    <row r="886" spans="1:20" ht="21.6" customHeight="1" x14ac:dyDescent="0.25">
      <c r="A886" s="46">
        <v>885</v>
      </c>
      <c r="B886" s="47"/>
      <c r="T886" s="48"/>
    </row>
    <row r="887" spans="1:20" ht="21.6" customHeight="1" x14ac:dyDescent="0.25">
      <c r="A887" s="46">
        <v>886</v>
      </c>
      <c r="B887" s="47"/>
      <c r="T887" s="48"/>
    </row>
    <row r="888" spans="1:20" ht="21.6" customHeight="1" x14ac:dyDescent="0.25">
      <c r="A888" s="46">
        <v>887</v>
      </c>
      <c r="B888" s="47"/>
      <c r="T888" s="48"/>
    </row>
    <row r="889" spans="1:20" ht="21.6" customHeight="1" x14ac:dyDescent="0.25">
      <c r="A889" s="46">
        <v>888</v>
      </c>
      <c r="B889" s="47"/>
      <c r="T889" s="48"/>
    </row>
    <row r="890" spans="1:20" ht="21.6" customHeight="1" x14ac:dyDescent="0.25">
      <c r="A890" s="46">
        <v>889</v>
      </c>
      <c r="B890" s="47"/>
      <c r="T890" s="48"/>
    </row>
    <row r="891" spans="1:20" ht="21.6" customHeight="1" x14ac:dyDescent="0.25">
      <c r="A891" s="46">
        <v>890</v>
      </c>
      <c r="B891" s="47"/>
      <c r="T891" s="48"/>
    </row>
    <row r="892" spans="1:20" ht="21.6" customHeight="1" x14ac:dyDescent="0.25">
      <c r="A892" s="46">
        <v>891</v>
      </c>
      <c r="B892" s="47"/>
      <c r="T892" s="48"/>
    </row>
    <row r="893" spans="1:20" ht="21.6" customHeight="1" x14ac:dyDescent="0.25">
      <c r="A893" s="46">
        <v>892</v>
      </c>
      <c r="B893" s="47"/>
      <c r="T893" s="48"/>
    </row>
    <row r="894" spans="1:20" ht="21.6" customHeight="1" x14ac:dyDescent="0.25">
      <c r="A894" s="46">
        <v>893</v>
      </c>
      <c r="B894" s="47"/>
      <c r="T894" s="48"/>
    </row>
    <row r="895" spans="1:20" ht="21.6" customHeight="1" x14ac:dyDescent="0.25">
      <c r="A895" s="46">
        <v>894</v>
      </c>
      <c r="B895" s="47"/>
      <c r="T895" s="48"/>
    </row>
    <row r="896" spans="1:20" ht="21.6" customHeight="1" x14ac:dyDescent="0.25">
      <c r="A896" s="46">
        <v>895</v>
      </c>
      <c r="B896" s="47"/>
      <c r="T896" s="48"/>
    </row>
    <row r="897" spans="1:20" ht="21.6" customHeight="1" x14ac:dyDescent="0.25">
      <c r="A897" s="46">
        <v>896</v>
      </c>
      <c r="B897" s="47"/>
      <c r="T897" s="48"/>
    </row>
    <row r="898" spans="1:20" ht="21.6" customHeight="1" x14ac:dyDescent="0.25">
      <c r="A898" s="46">
        <v>897</v>
      </c>
      <c r="B898" s="47"/>
      <c r="T898" s="48"/>
    </row>
    <row r="899" spans="1:20" ht="21.6" customHeight="1" x14ac:dyDescent="0.25">
      <c r="A899" s="46">
        <v>898</v>
      </c>
      <c r="B899" s="47"/>
      <c r="T899" s="48"/>
    </row>
    <row r="900" spans="1:20" ht="21.6" customHeight="1" x14ac:dyDescent="0.25">
      <c r="A900" s="46">
        <v>899</v>
      </c>
      <c r="B900" s="47"/>
      <c r="T900" s="48"/>
    </row>
    <row r="901" spans="1:20" ht="21.6" customHeight="1" x14ac:dyDescent="0.25">
      <c r="A901" s="46">
        <v>900</v>
      </c>
      <c r="B901" s="47"/>
      <c r="T901" s="48"/>
    </row>
    <row r="902" spans="1:20" ht="21.6" customHeight="1" x14ac:dyDescent="0.25">
      <c r="A902" s="46">
        <v>901</v>
      </c>
      <c r="B902" s="47"/>
      <c r="T902" s="48"/>
    </row>
    <row r="903" spans="1:20" ht="21.6" customHeight="1" x14ac:dyDescent="0.25">
      <c r="A903" s="46">
        <v>902</v>
      </c>
      <c r="B903" s="47"/>
      <c r="T903" s="48"/>
    </row>
    <row r="904" spans="1:20" ht="21.6" customHeight="1" x14ac:dyDescent="0.25">
      <c r="A904" s="46">
        <v>903</v>
      </c>
      <c r="B904" s="47"/>
      <c r="T904" s="48"/>
    </row>
    <row r="905" spans="1:20" ht="21.6" customHeight="1" x14ac:dyDescent="0.25">
      <c r="A905" s="46">
        <v>904</v>
      </c>
      <c r="B905" s="47"/>
      <c r="T905" s="48"/>
    </row>
    <row r="906" spans="1:20" ht="21.6" customHeight="1" x14ac:dyDescent="0.25">
      <c r="A906" s="46">
        <v>905</v>
      </c>
      <c r="B906" s="47"/>
      <c r="T906" s="48"/>
    </row>
    <row r="907" spans="1:20" ht="21.6" customHeight="1" x14ac:dyDescent="0.25">
      <c r="A907" s="46">
        <v>906</v>
      </c>
      <c r="B907" s="47"/>
      <c r="T907" s="48"/>
    </row>
    <row r="908" spans="1:20" ht="21.6" customHeight="1" x14ac:dyDescent="0.25">
      <c r="A908" s="46">
        <v>907</v>
      </c>
      <c r="B908" s="47"/>
      <c r="T908" s="48"/>
    </row>
    <row r="909" spans="1:20" ht="21.6" customHeight="1" x14ac:dyDescent="0.25">
      <c r="A909" s="46">
        <v>908</v>
      </c>
      <c r="B909" s="47"/>
      <c r="T909" s="48"/>
    </row>
    <row r="910" spans="1:20" ht="21.6" customHeight="1" x14ac:dyDescent="0.25">
      <c r="A910" s="46">
        <v>909</v>
      </c>
      <c r="B910" s="47"/>
      <c r="T910" s="48"/>
    </row>
    <row r="911" spans="1:20" ht="21.6" customHeight="1" x14ac:dyDescent="0.25">
      <c r="A911" s="46">
        <v>910</v>
      </c>
      <c r="B911" s="47"/>
      <c r="T911" s="48"/>
    </row>
    <row r="912" spans="1:20" ht="21.6" customHeight="1" x14ac:dyDescent="0.25">
      <c r="A912" s="46">
        <v>911</v>
      </c>
      <c r="B912" s="47"/>
      <c r="T912" s="48"/>
    </row>
    <row r="913" spans="1:20" ht="21.6" customHeight="1" x14ac:dyDescent="0.25">
      <c r="A913" s="46">
        <v>912</v>
      </c>
      <c r="B913" s="47"/>
      <c r="T913" s="48"/>
    </row>
    <row r="914" spans="1:20" ht="21.6" customHeight="1" x14ac:dyDescent="0.25">
      <c r="A914" s="46">
        <v>913</v>
      </c>
      <c r="B914" s="47"/>
      <c r="T914" s="48"/>
    </row>
    <row r="915" spans="1:20" ht="21.6" customHeight="1" x14ac:dyDescent="0.25">
      <c r="A915" s="46">
        <v>914</v>
      </c>
      <c r="B915" s="47"/>
      <c r="T915" s="48"/>
    </row>
    <row r="916" spans="1:20" ht="21.6" customHeight="1" x14ac:dyDescent="0.25">
      <c r="A916" s="46">
        <v>915</v>
      </c>
      <c r="B916" s="47"/>
      <c r="T916" s="48"/>
    </row>
    <row r="917" spans="1:20" ht="21.6" customHeight="1" x14ac:dyDescent="0.25">
      <c r="A917" s="46">
        <v>916</v>
      </c>
      <c r="B917" s="47"/>
      <c r="T917" s="48"/>
    </row>
    <row r="918" spans="1:20" ht="21.6" customHeight="1" x14ac:dyDescent="0.25">
      <c r="A918" s="46">
        <v>917</v>
      </c>
      <c r="B918" s="47"/>
      <c r="T918" s="48"/>
    </row>
    <row r="919" spans="1:20" ht="21.6" customHeight="1" x14ac:dyDescent="0.25">
      <c r="A919" s="46">
        <v>918</v>
      </c>
      <c r="B919" s="47"/>
      <c r="T919" s="48"/>
    </row>
    <row r="920" spans="1:20" ht="21.6" customHeight="1" x14ac:dyDescent="0.25">
      <c r="A920" s="46">
        <v>919</v>
      </c>
      <c r="B920" s="47"/>
      <c r="T920" s="48"/>
    </row>
    <row r="921" spans="1:20" ht="21.6" customHeight="1" x14ac:dyDescent="0.25">
      <c r="A921" s="46">
        <v>920</v>
      </c>
      <c r="B921" s="47"/>
      <c r="T921" s="48"/>
    </row>
    <row r="922" spans="1:20" ht="21.6" customHeight="1" x14ac:dyDescent="0.25">
      <c r="A922" s="46">
        <v>921</v>
      </c>
      <c r="B922" s="47"/>
      <c r="T922" s="48"/>
    </row>
    <row r="923" spans="1:20" ht="21.6" customHeight="1" x14ac:dyDescent="0.25">
      <c r="A923" s="46">
        <v>922</v>
      </c>
      <c r="B923" s="47"/>
      <c r="T923" s="48"/>
    </row>
    <row r="924" spans="1:20" ht="21.6" customHeight="1" x14ac:dyDescent="0.25">
      <c r="A924" s="46">
        <v>923</v>
      </c>
      <c r="B924" s="47"/>
      <c r="T924" s="48"/>
    </row>
    <row r="925" spans="1:20" ht="21.6" customHeight="1" x14ac:dyDescent="0.25">
      <c r="A925" s="46">
        <v>924</v>
      </c>
      <c r="B925" s="47"/>
      <c r="T925" s="48"/>
    </row>
    <row r="926" spans="1:20" ht="21.6" customHeight="1" x14ac:dyDescent="0.25">
      <c r="A926" s="46">
        <v>925</v>
      </c>
      <c r="B926" s="47"/>
      <c r="T926" s="48"/>
    </row>
    <row r="927" spans="1:20" ht="21.6" customHeight="1" x14ac:dyDescent="0.25">
      <c r="A927" s="46">
        <v>926</v>
      </c>
      <c r="B927" s="47"/>
      <c r="T927" s="48"/>
    </row>
    <row r="928" spans="1:20" ht="21.6" customHeight="1" x14ac:dyDescent="0.25">
      <c r="A928" s="46">
        <v>927</v>
      </c>
      <c r="B928" s="47"/>
      <c r="T928" s="48"/>
    </row>
    <row r="929" spans="1:20" ht="21.6" customHeight="1" x14ac:dyDescent="0.25">
      <c r="A929" s="46">
        <v>928</v>
      </c>
      <c r="B929" s="47"/>
      <c r="T929" s="48"/>
    </row>
    <row r="930" spans="1:20" ht="21.6" customHeight="1" x14ac:dyDescent="0.25">
      <c r="A930" s="46">
        <v>929</v>
      </c>
      <c r="B930" s="47"/>
      <c r="T930" s="48"/>
    </row>
    <row r="931" spans="1:20" ht="21.6" customHeight="1" x14ac:dyDescent="0.25">
      <c r="A931" s="46">
        <v>930</v>
      </c>
      <c r="B931" s="47"/>
      <c r="T931" s="48"/>
    </row>
    <row r="932" spans="1:20" ht="21.6" customHeight="1" x14ac:dyDescent="0.25">
      <c r="A932" s="46">
        <v>931</v>
      </c>
      <c r="B932" s="47"/>
      <c r="T932" s="48"/>
    </row>
    <row r="933" spans="1:20" ht="21.6" customHeight="1" x14ac:dyDescent="0.25">
      <c r="A933" s="46">
        <v>932</v>
      </c>
      <c r="B933" s="47"/>
      <c r="T933" s="48"/>
    </row>
    <row r="934" spans="1:20" ht="21.6" customHeight="1" x14ac:dyDescent="0.25">
      <c r="A934" s="46">
        <v>933</v>
      </c>
      <c r="B934" s="47"/>
      <c r="T934" s="48"/>
    </row>
    <row r="935" spans="1:20" ht="21.6" customHeight="1" x14ac:dyDescent="0.25">
      <c r="A935" s="46">
        <v>934</v>
      </c>
      <c r="B935" s="47"/>
      <c r="T935" s="48"/>
    </row>
    <row r="936" spans="1:20" ht="21.6" customHeight="1" x14ac:dyDescent="0.25">
      <c r="A936" s="46">
        <v>935</v>
      </c>
      <c r="B936" s="47"/>
      <c r="T936" s="48"/>
    </row>
    <row r="937" spans="1:20" ht="21.6" customHeight="1" x14ac:dyDescent="0.25">
      <c r="A937" s="46">
        <v>936</v>
      </c>
      <c r="B937" s="47"/>
      <c r="T937" s="48"/>
    </row>
    <row r="938" spans="1:20" ht="21.6" customHeight="1" x14ac:dyDescent="0.25">
      <c r="A938" s="46">
        <v>937</v>
      </c>
      <c r="B938" s="47"/>
      <c r="T938" s="48"/>
    </row>
    <row r="939" spans="1:20" ht="21.6" customHeight="1" x14ac:dyDescent="0.25">
      <c r="A939" s="46">
        <v>938</v>
      </c>
      <c r="B939" s="47"/>
      <c r="T939" s="48"/>
    </row>
    <row r="940" spans="1:20" ht="21.6" customHeight="1" x14ac:dyDescent="0.25">
      <c r="A940" s="46">
        <v>939</v>
      </c>
      <c r="B940" s="47"/>
      <c r="T940" s="48"/>
    </row>
    <row r="941" spans="1:20" ht="21.6" customHeight="1" x14ac:dyDescent="0.25">
      <c r="A941" s="46">
        <v>940</v>
      </c>
      <c r="B941" s="47"/>
      <c r="T941" s="48"/>
    </row>
    <row r="942" spans="1:20" ht="21.6" customHeight="1" x14ac:dyDescent="0.25">
      <c r="A942" s="46">
        <v>941</v>
      </c>
      <c r="B942" s="47"/>
      <c r="T942" s="48"/>
    </row>
    <row r="943" spans="1:20" ht="21.6" customHeight="1" x14ac:dyDescent="0.25">
      <c r="A943" s="46">
        <v>942</v>
      </c>
      <c r="B943" s="47"/>
      <c r="T943" s="48"/>
    </row>
    <row r="944" spans="1:20" ht="21.6" customHeight="1" x14ac:dyDescent="0.25">
      <c r="A944" s="46">
        <v>943</v>
      </c>
      <c r="B944" s="47"/>
      <c r="T944" s="48"/>
    </row>
    <row r="945" spans="1:20" ht="21.6" customHeight="1" x14ac:dyDescent="0.25">
      <c r="A945" s="46">
        <v>944</v>
      </c>
      <c r="B945" s="47"/>
      <c r="T945" s="48"/>
    </row>
    <row r="946" spans="1:20" ht="21.6" customHeight="1" x14ac:dyDescent="0.25">
      <c r="A946" s="46">
        <v>945</v>
      </c>
      <c r="B946" s="47"/>
      <c r="T946" s="48"/>
    </row>
    <row r="947" spans="1:20" ht="21.6" customHeight="1" x14ac:dyDescent="0.25">
      <c r="A947" s="46">
        <v>946</v>
      </c>
      <c r="B947" s="47"/>
      <c r="T947" s="48"/>
    </row>
    <row r="948" spans="1:20" ht="21.6" customHeight="1" x14ac:dyDescent="0.25">
      <c r="A948" s="46">
        <v>947</v>
      </c>
      <c r="B948" s="47"/>
      <c r="T948" s="48"/>
    </row>
    <row r="949" spans="1:20" ht="21.6" customHeight="1" x14ac:dyDescent="0.25">
      <c r="A949" s="46">
        <v>948</v>
      </c>
      <c r="B949" s="47"/>
      <c r="T949" s="48"/>
    </row>
    <row r="950" spans="1:20" ht="21.6" customHeight="1" x14ac:dyDescent="0.25">
      <c r="A950" s="46">
        <v>949</v>
      </c>
      <c r="B950" s="47"/>
      <c r="T950" s="48"/>
    </row>
    <row r="951" spans="1:20" ht="21.6" customHeight="1" x14ac:dyDescent="0.25">
      <c r="A951" s="46">
        <v>950</v>
      </c>
      <c r="B951" s="47"/>
      <c r="T951" s="48"/>
    </row>
    <row r="952" spans="1:20" ht="21.6" customHeight="1" x14ac:dyDescent="0.25">
      <c r="A952" s="46">
        <v>951</v>
      </c>
      <c r="B952" s="47"/>
      <c r="T952" s="48"/>
    </row>
    <row r="953" spans="1:20" ht="21.6" customHeight="1" x14ac:dyDescent="0.25">
      <c r="A953" s="46">
        <v>952</v>
      </c>
      <c r="B953" s="47"/>
      <c r="T953" s="48"/>
    </row>
    <row r="954" spans="1:20" ht="21.6" customHeight="1" x14ac:dyDescent="0.25">
      <c r="A954" s="46">
        <v>953</v>
      </c>
      <c r="B954" s="47"/>
      <c r="T954" s="48"/>
    </row>
    <row r="955" spans="1:20" ht="21.6" customHeight="1" x14ac:dyDescent="0.25">
      <c r="A955" s="46">
        <v>954</v>
      </c>
      <c r="B955" s="47"/>
      <c r="T955" s="48"/>
    </row>
    <row r="956" spans="1:20" ht="21.6" customHeight="1" x14ac:dyDescent="0.25">
      <c r="A956" s="46">
        <v>955</v>
      </c>
      <c r="B956" s="47"/>
      <c r="T956" s="48"/>
    </row>
    <row r="957" spans="1:20" ht="21.6" customHeight="1" x14ac:dyDescent="0.25">
      <c r="A957" s="46">
        <v>956</v>
      </c>
      <c r="B957" s="47"/>
      <c r="T957" s="48"/>
    </row>
    <row r="958" spans="1:20" ht="21.6" customHeight="1" x14ac:dyDescent="0.25">
      <c r="A958" s="46">
        <v>957</v>
      </c>
      <c r="B958" s="47"/>
      <c r="T958" s="48"/>
    </row>
    <row r="959" spans="1:20" ht="21.6" customHeight="1" x14ac:dyDescent="0.25">
      <c r="A959" s="46">
        <v>958</v>
      </c>
      <c r="B959" s="47"/>
      <c r="T959" s="48"/>
    </row>
    <row r="960" spans="1:20" ht="21.6" customHeight="1" x14ac:dyDescent="0.25">
      <c r="A960" s="46">
        <v>959</v>
      </c>
      <c r="B960" s="47"/>
      <c r="T960" s="48"/>
    </row>
    <row r="961" spans="1:20" ht="21.6" customHeight="1" x14ac:dyDescent="0.25">
      <c r="A961" s="46">
        <v>960</v>
      </c>
      <c r="B961" s="47"/>
      <c r="T961" s="48"/>
    </row>
    <row r="962" spans="1:20" ht="21.6" customHeight="1" x14ac:dyDescent="0.25">
      <c r="A962" s="46">
        <v>961</v>
      </c>
      <c r="B962" s="47"/>
      <c r="T962" s="48"/>
    </row>
    <row r="963" spans="1:20" ht="21.6" customHeight="1" x14ac:dyDescent="0.25">
      <c r="A963" s="46">
        <v>962</v>
      </c>
      <c r="B963" s="47"/>
      <c r="T963" s="48"/>
    </row>
    <row r="964" spans="1:20" ht="21.6" customHeight="1" x14ac:dyDescent="0.25">
      <c r="A964" s="46">
        <v>963</v>
      </c>
      <c r="B964" s="47"/>
      <c r="T964" s="48"/>
    </row>
    <row r="965" spans="1:20" ht="21.6" customHeight="1" x14ac:dyDescent="0.25">
      <c r="A965" s="46">
        <v>964</v>
      </c>
      <c r="B965" s="47"/>
      <c r="T965" s="48"/>
    </row>
    <row r="966" spans="1:20" ht="21.6" customHeight="1" x14ac:dyDescent="0.25">
      <c r="A966" s="46">
        <v>965</v>
      </c>
      <c r="B966" s="47"/>
      <c r="T966" s="48"/>
    </row>
    <row r="967" spans="1:20" ht="21.6" customHeight="1" x14ac:dyDescent="0.25">
      <c r="A967" s="46">
        <v>966</v>
      </c>
      <c r="B967" s="47"/>
      <c r="T967" s="48"/>
    </row>
    <row r="968" spans="1:20" ht="21.6" customHeight="1" x14ac:dyDescent="0.25">
      <c r="A968" s="46">
        <v>967</v>
      </c>
      <c r="B968" s="47"/>
      <c r="T968" s="48"/>
    </row>
    <row r="969" spans="1:20" ht="21.6" customHeight="1" x14ac:dyDescent="0.25">
      <c r="A969" s="46">
        <v>968</v>
      </c>
      <c r="B969" s="47"/>
      <c r="T969" s="48"/>
    </row>
    <row r="970" spans="1:20" ht="21.6" customHeight="1" x14ac:dyDescent="0.25">
      <c r="A970" s="46">
        <v>969</v>
      </c>
      <c r="B970" s="47"/>
      <c r="T970" s="48"/>
    </row>
    <row r="971" spans="1:20" ht="21.6" customHeight="1" x14ac:dyDescent="0.25">
      <c r="A971" s="46">
        <v>970</v>
      </c>
      <c r="B971" s="47"/>
      <c r="T971" s="48"/>
    </row>
    <row r="972" spans="1:20" ht="21.6" customHeight="1" x14ac:dyDescent="0.25">
      <c r="A972" s="46">
        <v>971</v>
      </c>
      <c r="B972" s="47"/>
      <c r="T972" s="48"/>
    </row>
    <row r="973" spans="1:20" ht="21.6" customHeight="1" x14ac:dyDescent="0.25">
      <c r="A973" s="46">
        <v>972</v>
      </c>
      <c r="B973" s="47"/>
      <c r="T973" s="48"/>
    </row>
    <row r="974" spans="1:20" ht="21.6" customHeight="1" x14ac:dyDescent="0.25">
      <c r="A974" s="46">
        <v>973</v>
      </c>
      <c r="B974" s="47"/>
      <c r="T974" s="48"/>
    </row>
    <row r="975" spans="1:20" ht="21.6" customHeight="1" x14ac:dyDescent="0.25">
      <c r="A975" s="46">
        <v>974</v>
      </c>
      <c r="B975" s="47"/>
      <c r="T975" s="48"/>
    </row>
    <row r="976" spans="1:20" ht="21.6" customHeight="1" x14ac:dyDescent="0.25">
      <c r="A976" s="46">
        <v>975</v>
      </c>
      <c r="B976" s="47"/>
      <c r="T976" s="48"/>
    </row>
    <row r="977" spans="1:20" ht="21.6" customHeight="1" x14ac:dyDescent="0.25">
      <c r="A977" s="46">
        <v>976</v>
      </c>
      <c r="B977" s="47"/>
      <c r="T977" s="48"/>
    </row>
    <row r="978" spans="1:20" ht="21.6" customHeight="1" x14ac:dyDescent="0.25">
      <c r="A978" s="46">
        <v>977</v>
      </c>
      <c r="B978" s="47"/>
      <c r="T978" s="48"/>
    </row>
    <row r="979" spans="1:20" ht="21.6" customHeight="1" x14ac:dyDescent="0.25">
      <c r="A979" s="46">
        <v>978</v>
      </c>
      <c r="B979" s="47"/>
      <c r="T979" s="48"/>
    </row>
    <row r="980" spans="1:20" ht="21.6" customHeight="1" x14ac:dyDescent="0.25">
      <c r="A980" s="46">
        <v>979</v>
      </c>
      <c r="B980" s="47"/>
      <c r="T980" s="48"/>
    </row>
    <row r="981" spans="1:20" ht="21.6" customHeight="1" x14ac:dyDescent="0.25">
      <c r="A981" s="46">
        <v>980</v>
      </c>
      <c r="B981" s="47"/>
      <c r="T981" s="48"/>
    </row>
    <row r="982" spans="1:20" ht="21.6" customHeight="1" x14ac:dyDescent="0.25">
      <c r="A982" s="46">
        <v>981</v>
      </c>
      <c r="B982" s="47"/>
      <c r="T982" s="48"/>
    </row>
    <row r="983" spans="1:20" ht="21.6" customHeight="1" x14ac:dyDescent="0.25">
      <c r="A983" s="46">
        <v>982</v>
      </c>
      <c r="B983" s="47"/>
      <c r="T983" s="48"/>
    </row>
    <row r="984" spans="1:20" ht="21.6" customHeight="1" x14ac:dyDescent="0.25">
      <c r="A984" s="46">
        <v>983</v>
      </c>
      <c r="B984" s="47"/>
      <c r="T984" s="48"/>
    </row>
    <row r="985" spans="1:20" ht="21.6" customHeight="1" x14ac:dyDescent="0.25">
      <c r="A985" s="46">
        <v>984</v>
      </c>
      <c r="B985" s="47"/>
      <c r="T985" s="48"/>
    </row>
    <row r="986" spans="1:20" ht="21.6" customHeight="1" x14ac:dyDescent="0.25">
      <c r="A986" s="46">
        <v>985</v>
      </c>
      <c r="B986" s="47"/>
      <c r="T986" s="48"/>
    </row>
    <row r="987" spans="1:20" ht="21.6" customHeight="1" x14ac:dyDescent="0.25">
      <c r="A987" s="46">
        <v>986</v>
      </c>
      <c r="B987" s="47"/>
      <c r="T987" s="48"/>
    </row>
    <row r="988" spans="1:20" ht="21.6" customHeight="1" x14ac:dyDescent="0.25">
      <c r="A988" s="46">
        <v>987</v>
      </c>
      <c r="B988" s="47"/>
      <c r="T988" s="48"/>
    </row>
    <row r="989" spans="1:20" ht="21.6" customHeight="1" x14ac:dyDescent="0.25">
      <c r="A989" s="46">
        <v>988</v>
      </c>
      <c r="B989" s="47"/>
      <c r="T989" s="48"/>
    </row>
    <row r="990" spans="1:20" ht="21.6" customHeight="1" x14ac:dyDescent="0.25">
      <c r="A990" s="46">
        <v>989</v>
      </c>
      <c r="B990" s="47"/>
      <c r="T990" s="48"/>
    </row>
    <row r="991" spans="1:20" ht="21.6" customHeight="1" x14ac:dyDescent="0.25">
      <c r="A991" s="46">
        <v>990</v>
      </c>
      <c r="B991" s="47"/>
      <c r="T991" s="48"/>
    </row>
    <row r="992" spans="1:20" ht="21.6" customHeight="1" x14ac:dyDescent="0.25">
      <c r="A992" s="46">
        <v>991</v>
      </c>
      <c r="B992" s="47"/>
      <c r="T992" s="48"/>
    </row>
    <row r="993" spans="1:20" ht="21.6" customHeight="1" x14ac:dyDescent="0.25">
      <c r="A993" s="46">
        <v>992</v>
      </c>
      <c r="B993" s="47"/>
      <c r="T993" s="48"/>
    </row>
    <row r="994" spans="1:20" ht="21.6" customHeight="1" x14ac:dyDescent="0.25">
      <c r="A994" s="46">
        <v>993</v>
      </c>
      <c r="B994" s="47"/>
      <c r="T994" s="48"/>
    </row>
    <row r="995" spans="1:20" ht="21.6" customHeight="1" x14ac:dyDescent="0.25">
      <c r="A995" s="46">
        <v>994</v>
      </c>
      <c r="B995" s="47"/>
      <c r="T995" s="48"/>
    </row>
    <row r="996" spans="1:20" ht="21.6" customHeight="1" x14ac:dyDescent="0.25">
      <c r="A996" s="46">
        <v>995</v>
      </c>
      <c r="B996" s="47"/>
      <c r="T996" s="48"/>
    </row>
    <row r="997" spans="1:20" ht="21.6" customHeight="1" x14ac:dyDescent="0.25">
      <c r="A997" s="46">
        <v>996</v>
      </c>
      <c r="B997" s="47"/>
      <c r="T997" s="48"/>
    </row>
    <row r="998" spans="1:20" ht="21.6" customHeight="1" x14ac:dyDescent="0.25">
      <c r="A998" s="46">
        <v>997</v>
      </c>
      <c r="B998" s="47"/>
      <c r="T998" s="48"/>
    </row>
    <row r="999" spans="1:20" ht="21.6" customHeight="1" x14ac:dyDescent="0.25">
      <c r="A999" s="46">
        <v>998</v>
      </c>
      <c r="B999" s="47"/>
      <c r="T999" s="48"/>
    </row>
    <row r="1000" spans="1:20" ht="21.6" customHeight="1" x14ac:dyDescent="0.25">
      <c r="A1000" s="46">
        <v>999</v>
      </c>
      <c r="B1000" s="47"/>
      <c r="T1000" s="48"/>
    </row>
    <row r="1001" spans="1:20" ht="21.6" customHeight="1" x14ac:dyDescent="0.25">
      <c r="A1001" s="46">
        <v>1000</v>
      </c>
      <c r="B1001" s="47"/>
      <c r="T1001" s="48"/>
    </row>
    <row r="1002" spans="1:20" ht="21.6" customHeight="1" x14ac:dyDescent="0.25">
      <c r="A1002" s="46">
        <v>1001</v>
      </c>
      <c r="B1002" s="47"/>
      <c r="T1002" s="48"/>
    </row>
    <row r="1003" spans="1:20" ht="21.6" customHeight="1" x14ac:dyDescent="0.25">
      <c r="A1003" s="46">
        <v>1002</v>
      </c>
      <c r="B1003" s="47"/>
      <c r="T1003" s="48"/>
    </row>
    <row r="1004" spans="1:20" ht="21.6" customHeight="1" x14ac:dyDescent="0.25">
      <c r="A1004" s="46">
        <v>1003</v>
      </c>
      <c r="B1004" s="47"/>
      <c r="T1004" s="48"/>
    </row>
    <row r="1005" spans="1:20" ht="21.6" customHeight="1" x14ac:dyDescent="0.25">
      <c r="A1005" s="46">
        <v>1004</v>
      </c>
      <c r="B1005" s="47"/>
      <c r="T1005" s="48"/>
    </row>
    <row r="1006" spans="1:20" ht="21.6" customHeight="1" x14ac:dyDescent="0.25">
      <c r="A1006" s="46">
        <v>1005</v>
      </c>
      <c r="B1006" s="47"/>
      <c r="T1006" s="48"/>
    </row>
    <row r="1007" spans="1:20" ht="21.6" customHeight="1" x14ac:dyDescent="0.25">
      <c r="A1007" s="46">
        <v>1006</v>
      </c>
      <c r="B1007" s="47"/>
      <c r="T1007" s="48"/>
    </row>
    <row r="1008" spans="1:20" ht="21.6" customHeight="1" x14ac:dyDescent="0.25">
      <c r="A1008" s="46">
        <v>1007</v>
      </c>
      <c r="B1008" s="47"/>
      <c r="T1008" s="48"/>
    </row>
    <row r="1009" spans="1:20" ht="21.6" customHeight="1" x14ac:dyDescent="0.25">
      <c r="A1009" s="46">
        <v>1008</v>
      </c>
      <c r="B1009" s="47"/>
      <c r="T1009" s="48"/>
    </row>
    <row r="1010" spans="1:20" ht="21.6" customHeight="1" x14ac:dyDescent="0.25">
      <c r="A1010" s="46">
        <v>1009</v>
      </c>
      <c r="B1010" s="47"/>
      <c r="T1010" s="48"/>
    </row>
    <row r="1011" spans="1:20" ht="21.6" customHeight="1" x14ac:dyDescent="0.25">
      <c r="A1011" s="46">
        <v>1010</v>
      </c>
      <c r="B1011" s="47"/>
      <c r="T1011" s="48"/>
    </row>
    <row r="1012" spans="1:20" ht="21.6" customHeight="1" x14ac:dyDescent="0.25">
      <c r="A1012" s="46">
        <v>1011</v>
      </c>
      <c r="B1012" s="47"/>
      <c r="T1012" s="48"/>
    </row>
    <row r="1013" spans="1:20" ht="21.6" customHeight="1" x14ac:dyDescent="0.25">
      <c r="A1013" s="46">
        <v>1012</v>
      </c>
      <c r="B1013" s="47"/>
      <c r="T1013" s="48"/>
    </row>
    <row r="1014" spans="1:20" ht="21.6" customHeight="1" x14ac:dyDescent="0.25">
      <c r="A1014" s="46">
        <v>1013</v>
      </c>
      <c r="B1014" s="47"/>
      <c r="T1014" s="48"/>
    </row>
    <row r="1015" spans="1:20" ht="21.6" customHeight="1" x14ac:dyDescent="0.25">
      <c r="A1015" s="46">
        <v>1014</v>
      </c>
      <c r="B1015" s="47"/>
      <c r="T1015" s="48"/>
    </row>
    <row r="1016" spans="1:20" ht="21.6" customHeight="1" x14ac:dyDescent="0.25">
      <c r="A1016" s="46">
        <v>1015</v>
      </c>
      <c r="B1016" s="47"/>
      <c r="T1016" s="48"/>
    </row>
    <row r="1017" spans="1:20" ht="21.6" customHeight="1" x14ac:dyDescent="0.25">
      <c r="A1017" s="46">
        <v>1016</v>
      </c>
      <c r="B1017" s="47"/>
      <c r="T1017" s="48"/>
    </row>
    <row r="1018" spans="1:20" ht="21.6" customHeight="1" x14ac:dyDescent="0.25">
      <c r="A1018" s="46">
        <v>1017</v>
      </c>
      <c r="B1018" s="47"/>
      <c r="T1018" s="48"/>
    </row>
    <row r="1019" spans="1:20" ht="21.6" customHeight="1" x14ac:dyDescent="0.25">
      <c r="A1019" s="46">
        <v>1018</v>
      </c>
      <c r="B1019" s="47"/>
      <c r="T1019" s="48"/>
    </row>
    <row r="1020" spans="1:20" ht="21.6" customHeight="1" x14ac:dyDescent="0.25">
      <c r="A1020" s="46">
        <v>1019</v>
      </c>
      <c r="B1020" s="47"/>
      <c r="T1020" s="48"/>
    </row>
    <row r="1021" spans="1:20" ht="21.6" customHeight="1" x14ac:dyDescent="0.25">
      <c r="A1021" s="46">
        <v>1020</v>
      </c>
      <c r="B1021" s="47"/>
      <c r="T1021" s="48"/>
    </row>
    <row r="1022" spans="1:20" ht="21.6" customHeight="1" x14ac:dyDescent="0.25">
      <c r="A1022" s="46">
        <v>1021</v>
      </c>
      <c r="B1022" s="47"/>
      <c r="T1022" s="48"/>
    </row>
    <row r="1023" spans="1:20" ht="21.6" customHeight="1" x14ac:dyDescent="0.25">
      <c r="A1023" s="46">
        <v>1022</v>
      </c>
      <c r="B1023" s="47"/>
      <c r="T1023" s="48"/>
    </row>
    <row r="1024" spans="1:20" ht="21.6" customHeight="1" x14ac:dyDescent="0.25">
      <c r="A1024" s="46">
        <v>1023</v>
      </c>
      <c r="B1024" s="47"/>
      <c r="T1024" s="48"/>
    </row>
    <row r="1025" spans="1:20" ht="21.6" customHeight="1" x14ac:dyDescent="0.25">
      <c r="A1025" s="46">
        <v>1024</v>
      </c>
      <c r="B1025" s="47"/>
      <c r="T1025" s="48"/>
    </row>
    <row r="1026" spans="1:20" ht="21.6" customHeight="1" x14ac:dyDescent="0.25">
      <c r="A1026" s="46">
        <v>1025</v>
      </c>
      <c r="B1026" s="47"/>
      <c r="T1026" s="48"/>
    </row>
    <row r="1027" spans="1:20" ht="21.6" customHeight="1" x14ac:dyDescent="0.25">
      <c r="A1027" s="46">
        <v>1026</v>
      </c>
      <c r="B1027" s="47"/>
      <c r="T1027" s="48"/>
    </row>
    <row r="1028" spans="1:20" ht="21.6" customHeight="1" x14ac:dyDescent="0.25">
      <c r="A1028" s="46">
        <v>1027</v>
      </c>
      <c r="B1028" s="47"/>
      <c r="T1028" s="48"/>
    </row>
    <row r="1029" spans="1:20" ht="21.6" customHeight="1" x14ac:dyDescent="0.25">
      <c r="A1029" s="46">
        <v>1028</v>
      </c>
      <c r="B1029" s="47"/>
      <c r="T1029" s="48"/>
    </row>
    <row r="1030" spans="1:20" ht="21.6" customHeight="1" x14ac:dyDescent="0.25">
      <c r="A1030" s="46">
        <v>1029</v>
      </c>
      <c r="B1030" s="47"/>
      <c r="T1030" s="48"/>
    </row>
    <row r="1031" spans="1:20" ht="21.6" customHeight="1" x14ac:dyDescent="0.25">
      <c r="A1031" s="46">
        <v>1030</v>
      </c>
      <c r="B1031" s="47"/>
      <c r="T1031" s="48"/>
    </row>
    <row r="1032" spans="1:20" ht="21.6" customHeight="1" x14ac:dyDescent="0.25">
      <c r="A1032" s="46">
        <v>1031</v>
      </c>
      <c r="B1032" s="47"/>
      <c r="T1032" s="48"/>
    </row>
    <row r="1033" spans="1:20" ht="21.6" customHeight="1" x14ac:dyDescent="0.25">
      <c r="A1033" s="46">
        <v>1032</v>
      </c>
      <c r="B1033" s="47"/>
      <c r="T1033" s="48"/>
    </row>
    <row r="1034" spans="1:20" ht="21.6" customHeight="1" x14ac:dyDescent="0.25">
      <c r="A1034" s="46">
        <v>1033</v>
      </c>
      <c r="B1034" s="47"/>
      <c r="T1034" s="48"/>
    </row>
    <row r="1035" spans="1:20" ht="21.6" customHeight="1" x14ac:dyDescent="0.25">
      <c r="A1035" s="46">
        <v>1034</v>
      </c>
      <c r="B1035" s="47"/>
      <c r="T1035" s="48"/>
    </row>
    <row r="1036" spans="1:20" ht="21.6" customHeight="1" x14ac:dyDescent="0.25">
      <c r="A1036" s="46">
        <v>1035</v>
      </c>
      <c r="B1036" s="47"/>
      <c r="T1036" s="48"/>
    </row>
    <row r="1037" spans="1:20" ht="21.6" customHeight="1" x14ac:dyDescent="0.25">
      <c r="A1037" s="46">
        <v>1036</v>
      </c>
      <c r="B1037" s="47"/>
      <c r="T1037" s="48"/>
    </row>
    <row r="1038" spans="1:20" ht="21.6" customHeight="1" x14ac:dyDescent="0.25">
      <c r="A1038" s="46">
        <v>1037</v>
      </c>
      <c r="B1038" s="47"/>
      <c r="T1038" s="48"/>
    </row>
    <row r="1039" spans="1:20" ht="21.6" customHeight="1" x14ac:dyDescent="0.25">
      <c r="A1039" s="46">
        <v>1038</v>
      </c>
      <c r="B1039" s="47"/>
      <c r="T1039" s="48"/>
    </row>
    <row r="1040" spans="1:20" ht="21.6" customHeight="1" x14ac:dyDescent="0.25">
      <c r="A1040" s="46">
        <v>1039</v>
      </c>
      <c r="B1040" s="47"/>
      <c r="T1040" s="48"/>
    </row>
    <row r="1041" spans="1:20" ht="21.6" customHeight="1" x14ac:dyDescent="0.25">
      <c r="A1041" s="46">
        <v>1040</v>
      </c>
      <c r="B1041" s="47"/>
      <c r="T1041" s="48"/>
    </row>
    <row r="1042" spans="1:20" ht="21.6" customHeight="1" x14ac:dyDescent="0.25">
      <c r="A1042" s="46">
        <v>1041</v>
      </c>
      <c r="B1042" s="47"/>
      <c r="T1042" s="48"/>
    </row>
    <row r="1043" spans="1:20" ht="21.6" customHeight="1" x14ac:dyDescent="0.25">
      <c r="A1043" s="46">
        <v>1042</v>
      </c>
      <c r="B1043" s="47"/>
      <c r="T1043" s="48"/>
    </row>
    <row r="1044" spans="1:20" ht="21.6" customHeight="1" x14ac:dyDescent="0.25">
      <c r="A1044" s="46">
        <v>1043</v>
      </c>
      <c r="B1044" s="47"/>
      <c r="T1044" s="48"/>
    </row>
    <row r="1045" spans="1:20" ht="21.6" customHeight="1" x14ac:dyDescent="0.25">
      <c r="A1045" s="46">
        <v>1044</v>
      </c>
      <c r="B1045" s="47"/>
      <c r="T1045" s="48"/>
    </row>
    <row r="1046" spans="1:20" ht="21.6" customHeight="1" x14ac:dyDescent="0.25">
      <c r="A1046" s="46">
        <v>1045</v>
      </c>
      <c r="B1046" s="47"/>
      <c r="T1046" s="48"/>
    </row>
    <row r="1047" spans="1:20" ht="21.6" customHeight="1" x14ac:dyDescent="0.25">
      <c r="A1047" s="46">
        <v>1046</v>
      </c>
      <c r="B1047" s="47"/>
      <c r="T1047" s="48"/>
    </row>
    <row r="1048" spans="1:20" ht="21.6" customHeight="1" x14ac:dyDescent="0.25">
      <c r="A1048" s="46">
        <v>1047</v>
      </c>
      <c r="B1048" s="47"/>
      <c r="T1048" s="48"/>
    </row>
    <row r="1049" spans="1:20" ht="21.6" customHeight="1" x14ac:dyDescent="0.25">
      <c r="A1049" s="46">
        <v>1048</v>
      </c>
      <c r="B1049" s="47"/>
      <c r="T1049" s="48"/>
    </row>
    <row r="1050" spans="1:20" ht="21.6" customHeight="1" x14ac:dyDescent="0.25">
      <c r="A1050" s="46">
        <v>1049</v>
      </c>
      <c r="B1050" s="47"/>
      <c r="T1050" s="48"/>
    </row>
    <row r="1051" spans="1:20" ht="21.6" customHeight="1" x14ac:dyDescent="0.25">
      <c r="A1051" s="46">
        <v>1050</v>
      </c>
      <c r="B1051" s="47"/>
      <c r="T1051" s="48"/>
    </row>
    <row r="1052" spans="1:20" ht="21.6" customHeight="1" x14ac:dyDescent="0.25">
      <c r="A1052" s="46">
        <v>1051</v>
      </c>
      <c r="B1052" s="47"/>
      <c r="T1052" s="48"/>
    </row>
    <row r="1053" spans="1:20" ht="21.6" customHeight="1" x14ac:dyDescent="0.25">
      <c r="A1053" s="46">
        <v>1052</v>
      </c>
      <c r="B1053" s="47"/>
      <c r="T1053" s="48"/>
    </row>
    <row r="1054" spans="1:20" ht="21.6" customHeight="1" x14ac:dyDescent="0.25">
      <c r="A1054" s="46">
        <v>1053</v>
      </c>
      <c r="B1054" s="47"/>
      <c r="T1054" s="48"/>
    </row>
    <row r="1055" spans="1:20" ht="21.6" customHeight="1" x14ac:dyDescent="0.25">
      <c r="A1055" s="46">
        <v>1054</v>
      </c>
      <c r="B1055" s="47"/>
      <c r="T1055" s="48"/>
    </row>
    <row r="1056" spans="1:20" ht="21.6" customHeight="1" x14ac:dyDescent="0.25">
      <c r="A1056" s="46">
        <v>1055</v>
      </c>
      <c r="B1056" s="47"/>
      <c r="T1056" s="48"/>
    </row>
    <row r="1057" spans="1:20" ht="21.6" customHeight="1" x14ac:dyDescent="0.25">
      <c r="A1057" s="46">
        <v>1056</v>
      </c>
      <c r="B1057" s="47"/>
      <c r="T1057" s="48"/>
    </row>
    <row r="1058" spans="1:20" ht="21.6" customHeight="1" x14ac:dyDescent="0.25">
      <c r="A1058" s="46">
        <v>1057</v>
      </c>
      <c r="B1058" s="47"/>
      <c r="T1058" s="48"/>
    </row>
    <row r="1059" spans="1:20" ht="21.6" customHeight="1" x14ac:dyDescent="0.25">
      <c r="A1059" s="46">
        <v>1058</v>
      </c>
      <c r="B1059" s="47"/>
      <c r="T1059" s="48"/>
    </row>
    <row r="1060" spans="1:20" ht="21.6" customHeight="1" x14ac:dyDescent="0.25">
      <c r="A1060" s="46">
        <v>1059</v>
      </c>
      <c r="B1060" s="47"/>
      <c r="T1060" s="48"/>
    </row>
    <row r="1061" spans="1:20" ht="21.6" customHeight="1" x14ac:dyDescent="0.25">
      <c r="A1061" s="46">
        <v>1060</v>
      </c>
      <c r="B1061" s="47"/>
      <c r="T1061" s="48"/>
    </row>
    <row r="1062" spans="1:20" ht="21.6" customHeight="1" x14ac:dyDescent="0.25">
      <c r="A1062" s="46">
        <v>1061</v>
      </c>
      <c r="B1062" s="47"/>
      <c r="T1062" s="48"/>
    </row>
    <row r="1063" spans="1:20" ht="21.6" customHeight="1" x14ac:dyDescent="0.25">
      <c r="A1063" s="46">
        <v>1062</v>
      </c>
      <c r="B1063" s="47"/>
      <c r="T1063" s="48"/>
    </row>
    <row r="1064" spans="1:20" ht="21.6" customHeight="1" x14ac:dyDescent="0.25">
      <c r="A1064" s="46">
        <v>1063</v>
      </c>
      <c r="B1064" s="47"/>
      <c r="T1064" s="48"/>
    </row>
    <row r="1065" spans="1:20" ht="21.6" customHeight="1" x14ac:dyDescent="0.25">
      <c r="A1065" s="46">
        <v>1064</v>
      </c>
      <c r="B1065" s="47"/>
      <c r="T1065" s="48"/>
    </row>
    <row r="1066" spans="1:20" ht="21.6" customHeight="1" x14ac:dyDescent="0.25">
      <c r="A1066" s="46">
        <v>1065</v>
      </c>
      <c r="B1066" s="47"/>
      <c r="T1066" s="48"/>
    </row>
    <row r="1067" spans="1:20" ht="21.6" customHeight="1" x14ac:dyDescent="0.25">
      <c r="A1067" s="46">
        <v>1066</v>
      </c>
      <c r="B1067" s="47"/>
      <c r="T1067" s="48"/>
    </row>
    <row r="1068" spans="1:20" ht="21.6" customHeight="1" x14ac:dyDescent="0.25">
      <c r="A1068" s="46">
        <v>1067</v>
      </c>
      <c r="B1068" s="47"/>
      <c r="T1068" s="48"/>
    </row>
    <row r="1069" spans="1:20" ht="21.6" customHeight="1" x14ac:dyDescent="0.25">
      <c r="A1069" s="46">
        <v>1068</v>
      </c>
      <c r="B1069" s="47"/>
      <c r="T1069" s="48"/>
    </row>
    <row r="1070" spans="1:20" ht="21.6" customHeight="1" x14ac:dyDescent="0.25">
      <c r="A1070" s="46">
        <v>1069</v>
      </c>
      <c r="B1070" s="47"/>
      <c r="T1070" s="48"/>
    </row>
    <row r="1071" spans="1:20" ht="21.6" customHeight="1" x14ac:dyDescent="0.25">
      <c r="A1071" s="46">
        <v>1070</v>
      </c>
      <c r="B1071" s="47"/>
      <c r="T1071" s="48"/>
    </row>
    <row r="1072" spans="1:20" ht="21.6" customHeight="1" x14ac:dyDescent="0.25">
      <c r="A1072" s="46">
        <v>1071</v>
      </c>
      <c r="B1072" s="47"/>
      <c r="T1072" s="48"/>
    </row>
    <row r="1073" spans="1:20" ht="21.6" customHeight="1" x14ac:dyDescent="0.25">
      <c r="A1073" s="46">
        <v>1072</v>
      </c>
      <c r="B1073" s="47"/>
      <c r="T1073" s="48"/>
    </row>
    <row r="1074" spans="1:20" ht="21.6" customHeight="1" x14ac:dyDescent="0.25">
      <c r="A1074" s="46">
        <v>1073</v>
      </c>
      <c r="B1074" s="47"/>
      <c r="T1074" s="48"/>
    </row>
    <row r="1075" spans="1:20" ht="21.6" customHeight="1" x14ac:dyDescent="0.25">
      <c r="A1075" s="46">
        <v>1074</v>
      </c>
      <c r="B1075" s="47"/>
      <c r="T1075" s="48"/>
    </row>
    <row r="1076" spans="1:20" ht="21.6" customHeight="1" x14ac:dyDescent="0.25">
      <c r="A1076" s="46">
        <v>1075</v>
      </c>
      <c r="B1076" s="47"/>
      <c r="T1076" s="48"/>
    </row>
    <row r="1077" spans="1:20" ht="21.6" customHeight="1" x14ac:dyDescent="0.25">
      <c r="A1077" s="46">
        <v>1076</v>
      </c>
      <c r="B1077" s="47"/>
      <c r="T1077" s="48"/>
    </row>
    <row r="1078" spans="1:20" ht="21.6" customHeight="1" x14ac:dyDescent="0.25">
      <c r="A1078" s="46">
        <v>1077</v>
      </c>
      <c r="B1078" s="47"/>
      <c r="T1078" s="48"/>
    </row>
    <row r="1079" spans="1:20" ht="21.6" customHeight="1" x14ac:dyDescent="0.25">
      <c r="A1079" s="46">
        <v>1078</v>
      </c>
      <c r="B1079" s="47"/>
      <c r="T1079" s="48"/>
    </row>
    <row r="1080" spans="1:20" ht="21.6" customHeight="1" x14ac:dyDescent="0.25">
      <c r="A1080" s="46">
        <v>1079</v>
      </c>
      <c r="B1080" s="47"/>
      <c r="T1080" s="48"/>
    </row>
    <row r="1081" spans="1:20" ht="21.6" customHeight="1" x14ac:dyDescent="0.25">
      <c r="A1081" s="46">
        <v>1080</v>
      </c>
      <c r="B1081" s="47"/>
      <c r="T1081" s="48"/>
    </row>
    <row r="1082" spans="1:20" ht="21.6" customHeight="1" x14ac:dyDescent="0.25">
      <c r="A1082" s="46">
        <v>1081</v>
      </c>
      <c r="B1082" s="47"/>
      <c r="T1082" s="48"/>
    </row>
    <row r="1083" spans="1:20" ht="21.6" customHeight="1" x14ac:dyDescent="0.25">
      <c r="A1083" s="46">
        <v>1082</v>
      </c>
      <c r="B1083" s="47"/>
      <c r="T1083" s="48"/>
    </row>
    <row r="1084" spans="1:20" ht="21.6" customHeight="1" x14ac:dyDescent="0.25">
      <c r="A1084" s="46">
        <v>1083</v>
      </c>
      <c r="B1084" s="47"/>
      <c r="T1084" s="48"/>
    </row>
    <row r="1085" spans="1:20" ht="21.6" customHeight="1" x14ac:dyDescent="0.25">
      <c r="A1085" s="46">
        <v>1084</v>
      </c>
      <c r="B1085" s="47"/>
      <c r="T1085" s="48"/>
    </row>
    <row r="1086" spans="1:20" ht="21.6" customHeight="1" x14ac:dyDescent="0.25">
      <c r="A1086" s="46">
        <v>1085</v>
      </c>
      <c r="B1086" s="47"/>
      <c r="T1086" s="48"/>
    </row>
    <row r="1087" spans="1:20" ht="21.6" customHeight="1" x14ac:dyDescent="0.25">
      <c r="A1087" s="46">
        <v>1086</v>
      </c>
      <c r="B1087" s="47"/>
      <c r="T1087" s="48"/>
    </row>
    <row r="1088" spans="1:20" ht="21.6" customHeight="1" x14ac:dyDescent="0.25">
      <c r="A1088" s="46">
        <v>1087</v>
      </c>
      <c r="B1088" s="47"/>
      <c r="T1088" s="48"/>
    </row>
    <row r="1089" spans="1:20" ht="21.6" customHeight="1" x14ac:dyDescent="0.25">
      <c r="A1089" s="46">
        <v>1088</v>
      </c>
      <c r="B1089" s="47"/>
      <c r="T1089" s="48"/>
    </row>
    <row r="1090" spans="1:20" ht="21.6" customHeight="1" x14ac:dyDescent="0.25">
      <c r="A1090" s="46">
        <v>1089</v>
      </c>
      <c r="B1090" s="47"/>
      <c r="T1090" s="48"/>
    </row>
    <row r="1091" spans="1:20" ht="21.6" customHeight="1" x14ac:dyDescent="0.25">
      <c r="A1091" s="46">
        <v>1090</v>
      </c>
      <c r="B1091" s="47"/>
      <c r="T1091" s="48"/>
    </row>
    <row r="1092" spans="1:20" ht="21.6" customHeight="1" x14ac:dyDescent="0.25">
      <c r="A1092" s="46">
        <v>1091</v>
      </c>
      <c r="B1092" s="47"/>
      <c r="T1092" s="48"/>
    </row>
    <row r="1093" spans="1:20" ht="21.6" customHeight="1" x14ac:dyDescent="0.25">
      <c r="A1093" s="46">
        <v>1092</v>
      </c>
      <c r="B1093" s="47"/>
      <c r="T1093" s="48"/>
    </row>
    <row r="1094" spans="1:20" ht="21.6" customHeight="1" x14ac:dyDescent="0.25">
      <c r="A1094" s="46">
        <v>1093</v>
      </c>
      <c r="B1094" s="47"/>
      <c r="T1094" s="48"/>
    </row>
    <row r="1095" spans="1:20" ht="21.6" customHeight="1" x14ac:dyDescent="0.25">
      <c r="A1095" s="46">
        <v>1094</v>
      </c>
      <c r="B1095" s="47"/>
      <c r="T1095" s="48"/>
    </row>
    <row r="1096" spans="1:20" ht="21.6" customHeight="1" x14ac:dyDescent="0.25">
      <c r="A1096" s="46">
        <v>1095</v>
      </c>
      <c r="B1096" s="47"/>
      <c r="T1096" s="48"/>
    </row>
    <row r="1097" spans="1:20" ht="21.6" customHeight="1" x14ac:dyDescent="0.25">
      <c r="A1097" s="46">
        <v>1096</v>
      </c>
      <c r="B1097" s="47"/>
      <c r="T1097" s="48"/>
    </row>
    <row r="1098" spans="1:20" ht="21.6" customHeight="1" x14ac:dyDescent="0.25">
      <c r="A1098" s="46">
        <v>1097</v>
      </c>
      <c r="B1098" s="47"/>
      <c r="T1098" s="48"/>
    </row>
    <row r="1099" spans="1:20" ht="21.6" customHeight="1" x14ac:dyDescent="0.25">
      <c r="A1099" s="46">
        <v>1098</v>
      </c>
      <c r="B1099" s="47"/>
      <c r="T1099" s="48"/>
    </row>
    <row r="1100" spans="1:20" ht="21.6" customHeight="1" x14ac:dyDescent="0.25">
      <c r="A1100" s="46">
        <v>1099</v>
      </c>
      <c r="B1100" s="47"/>
      <c r="T1100" s="48"/>
    </row>
    <row r="1101" spans="1:20" ht="21.6" customHeight="1" x14ac:dyDescent="0.25">
      <c r="A1101" s="46">
        <v>1100</v>
      </c>
      <c r="B1101" s="47"/>
      <c r="T1101" s="48"/>
    </row>
    <row r="1102" spans="1:20" ht="21.6" customHeight="1" x14ac:dyDescent="0.25">
      <c r="A1102" s="46">
        <v>1101</v>
      </c>
      <c r="B1102" s="47"/>
      <c r="T1102" s="48"/>
    </row>
    <row r="1103" spans="1:20" ht="21.6" customHeight="1" x14ac:dyDescent="0.25">
      <c r="A1103" s="46">
        <v>1102</v>
      </c>
      <c r="B1103" s="47"/>
      <c r="T1103" s="48"/>
    </row>
    <row r="1104" spans="1:20" ht="21.6" customHeight="1" x14ac:dyDescent="0.25">
      <c r="A1104" s="46">
        <v>1103</v>
      </c>
      <c r="B1104" s="47"/>
      <c r="T1104" s="48"/>
    </row>
    <row r="1105" spans="1:20" ht="21.6" customHeight="1" x14ac:dyDescent="0.25">
      <c r="A1105" s="46">
        <v>1104</v>
      </c>
      <c r="B1105" s="47"/>
      <c r="T1105" s="48"/>
    </row>
    <row r="1106" spans="1:20" ht="21.6" customHeight="1" x14ac:dyDescent="0.25">
      <c r="A1106" s="46">
        <v>1105</v>
      </c>
      <c r="B1106" s="47"/>
      <c r="T1106" s="48"/>
    </row>
    <row r="1107" spans="1:20" ht="21.6" customHeight="1" x14ac:dyDescent="0.25">
      <c r="A1107" s="46">
        <v>1106</v>
      </c>
      <c r="B1107" s="47"/>
      <c r="T1107" s="48"/>
    </row>
    <row r="1108" spans="1:20" ht="21.6" customHeight="1" x14ac:dyDescent="0.25">
      <c r="A1108" s="46">
        <v>1107</v>
      </c>
      <c r="B1108" s="47"/>
      <c r="T1108" s="48"/>
    </row>
    <row r="1109" spans="1:20" ht="21.6" customHeight="1" x14ac:dyDescent="0.25">
      <c r="A1109" s="46">
        <v>1108</v>
      </c>
      <c r="B1109" s="47"/>
      <c r="T1109" s="48"/>
    </row>
    <row r="1110" spans="1:20" ht="21.6" customHeight="1" x14ac:dyDescent="0.25">
      <c r="A1110" s="46">
        <v>1109</v>
      </c>
      <c r="B1110" s="47"/>
      <c r="T1110" s="48"/>
    </row>
    <row r="1111" spans="1:20" ht="21.6" customHeight="1" x14ac:dyDescent="0.25">
      <c r="A1111" s="46">
        <v>1110</v>
      </c>
      <c r="B1111" s="47"/>
      <c r="T1111" s="48"/>
    </row>
    <row r="1112" spans="1:20" ht="21.6" customHeight="1" x14ac:dyDescent="0.25">
      <c r="A1112" s="46">
        <v>1111</v>
      </c>
      <c r="B1112" s="47"/>
      <c r="T1112" s="48"/>
    </row>
    <row r="1113" spans="1:20" ht="21.6" customHeight="1" x14ac:dyDescent="0.25">
      <c r="A1113" s="46">
        <v>1112</v>
      </c>
      <c r="B1113" s="47"/>
      <c r="T1113" s="48"/>
    </row>
    <row r="1114" spans="1:20" ht="21.6" customHeight="1" x14ac:dyDescent="0.25">
      <c r="A1114" s="46">
        <v>1113</v>
      </c>
      <c r="B1114" s="47"/>
      <c r="T1114" s="48"/>
    </row>
    <row r="1115" spans="1:20" ht="21.6" customHeight="1" x14ac:dyDescent="0.25">
      <c r="A1115" s="46">
        <v>1114</v>
      </c>
      <c r="B1115" s="47"/>
      <c r="T1115" s="48"/>
    </row>
    <row r="1116" spans="1:20" ht="21.6" customHeight="1" x14ac:dyDescent="0.25">
      <c r="A1116" s="46">
        <v>1115</v>
      </c>
      <c r="B1116" s="47"/>
      <c r="T1116" s="48"/>
    </row>
    <row r="1117" spans="1:20" ht="21.6" customHeight="1" x14ac:dyDescent="0.25">
      <c r="A1117" s="46">
        <v>1116</v>
      </c>
      <c r="B1117" s="47"/>
      <c r="T1117" s="48"/>
    </row>
    <row r="1118" spans="1:20" ht="21.6" customHeight="1" x14ac:dyDescent="0.25">
      <c r="A1118" s="46">
        <v>1117</v>
      </c>
      <c r="B1118" s="47"/>
      <c r="T1118" s="48"/>
    </row>
    <row r="1119" spans="1:20" ht="21.6" customHeight="1" x14ac:dyDescent="0.25">
      <c r="A1119" s="46">
        <v>1118</v>
      </c>
      <c r="B1119" s="47"/>
      <c r="T1119" s="48"/>
    </row>
    <row r="1120" spans="1:20" ht="21.6" customHeight="1" x14ac:dyDescent="0.25">
      <c r="A1120" s="46">
        <v>1119</v>
      </c>
      <c r="B1120" s="47"/>
      <c r="T1120" s="48"/>
    </row>
    <row r="1121" spans="1:20" ht="21.6" customHeight="1" x14ac:dyDescent="0.25">
      <c r="A1121" s="46">
        <v>1120</v>
      </c>
      <c r="B1121" s="47"/>
      <c r="T1121" s="48"/>
    </row>
    <row r="1122" spans="1:20" ht="21.6" customHeight="1" x14ac:dyDescent="0.25">
      <c r="A1122" s="46">
        <v>1121</v>
      </c>
      <c r="B1122" s="47"/>
      <c r="T1122" s="48"/>
    </row>
    <row r="1123" spans="1:20" ht="21.6" customHeight="1" x14ac:dyDescent="0.25">
      <c r="A1123" s="46">
        <v>1122</v>
      </c>
      <c r="B1123" s="47"/>
      <c r="T1123" s="48"/>
    </row>
    <row r="1124" spans="1:20" ht="21.6" customHeight="1" x14ac:dyDescent="0.25">
      <c r="A1124" s="46">
        <v>1123</v>
      </c>
      <c r="B1124" s="47"/>
      <c r="T1124" s="48"/>
    </row>
    <row r="1125" spans="1:20" ht="21.6" customHeight="1" x14ac:dyDescent="0.25">
      <c r="A1125" s="46">
        <v>1124</v>
      </c>
      <c r="B1125" s="47"/>
      <c r="T1125" s="48"/>
    </row>
    <row r="1126" spans="1:20" ht="21.6" customHeight="1" x14ac:dyDescent="0.25">
      <c r="A1126" s="46">
        <v>1125</v>
      </c>
      <c r="B1126" s="47"/>
      <c r="T1126" s="48"/>
    </row>
    <row r="1127" spans="1:20" ht="21.6" customHeight="1" x14ac:dyDescent="0.25">
      <c r="A1127" s="46">
        <v>1126</v>
      </c>
      <c r="B1127" s="47"/>
      <c r="T1127" s="48"/>
    </row>
    <row r="1128" spans="1:20" ht="21.6" customHeight="1" x14ac:dyDescent="0.25">
      <c r="A1128" s="46">
        <v>1127</v>
      </c>
      <c r="B1128" s="47"/>
      <c r="T1128" s="48"/>
    </row>
    <row r="1129" spans="1:20" ht="21.6" customHeight="1" x14ac:dyDescent="0.25">
      <c r="A1129" s="46">
        <v>1128</v>
      </c>
      <c r="B1129" s="47"/>
      <c r="T1129" s="48"/>
    </row>
    <row r="1130" spans="1:20" ht="21.6" customHeight="1" x14ac:dyDescent="0.25">
      <c r="A1130" s="46">
        <v>1129</v>
      </c>
      <c r="B1130" s="47"/>
      <c r="T1130" s="48"/>
    </row>
    <row r="1131" spans="1:20" ht="21.6" customHeight="1" x14ac:dyDescent="0.25">
      <c r="A1131" s="46">
        <v>1130</v>
      </c>
      <c r="B1131" s="47"/>
      <c r="T1131" s="48"/>
    </row>
    <row r="1132" spans="1:20" ht="21.6" customHeight="1" x14ac:dyDescent="0.25">
      <c r="A1132" s="46">
        <v>1131</v>
      </c>
      <c r="B1132" s="47"/>
      <c r="T1132" s="48"/>
    </row>
    <row r="1133" spans="1:20" ht="21.6" customHeight="1" x14ac:dyDescent="0.25">
      <c r="A1133" s="46">
        <v>1132</v>
      </c>
      <c r="B1133" s="47"/>
      <c r="T1133" s="48"/>
    </row>
    <row r="1134" spans="1:20" ht="21.6" customHeight="1" x14ac:dyDescent="0.25">
      <c r="A1134" s="46">
        <v>1133</v>
      </c>
      <c r="B1134" s="47"/>
      <c r="T1134" s="48"/>
    </row>
    <row r="1135" spans="1:20" ht="21.6" customHeight="1" x14ac:dyDescent="0.25">
      <c r="A1135" s="46">
        <v>1134</v>
      </c>
      <c r="B1135" s="47"/>
      <c r="T1135" s="48"/>
    </row>
    <row r="1136" spans="1:20" ht="21.6" customHeight="1" x14ac:dyDescent="0.25">
      <c r="A1136" s="46">
        <v>1135</v>
      </c>
      <c r="B1136" s="47"/>
      <c r="T1136" s="48"/>
    </row>
    <row r="1137" spans="1:20" ht="21.6" customHeight="1" x14ac:dyDescent="0.25">
      <c r="A1137" s="46">
        <v>1136</v>
      </c>
      <c r="B1137" s="47"/>
      <c r="T1137" s="48"/>
    </row>
    <row r="1138" spans="1:20" ht="21.6" customHeight="1" x14ac:dyDescent="0.25">
      <c r="A1138" s="46">
        <v>1137</v>
      </c>
      <c r="B1138" s="47"/>
      <c r="T1138" s="48"/>
    </row>
    <row r="1139" spans="1:20" ht="21.6" customHeight="1" x14ac:dyDescent="0.25">
      <c r="A1139" s="46">
        <v>1138</v>
      </c>
      <c r="B1139" s="47"/>
      <c r="T1139" s="48"/>
    </row>
    <row r="1140" spans="1:20" ht="21.6" customHeight="1" x14ac:dyDescent="0.25">
      <c r="A1140" s="46">
        <v>1139</v>
      </c>
      <c r="B1140" s="47"/>
      <c r="T1140" s="48"/>
    </row>
    <row r="1141" spans="1:20" ht="21.6" customHeight="1" x14ac:dyDescent="0.25">
      <c r="A1141" s="46">
        <v>1140</v>
      </c>
      <c r="B1141" s="47"/>
      <c r="T1141" s="48"/>
    </row>
    <row r="1142" spans="1:20" ht="21.6" customHeight="1" x14ac:dyDescent="0.25">
      <c r="A1142" s="46">
        <v>1141</v>
      </c>
      <c r="B1142" s="47"/>
      <c r="T1142" s="48"/>
    </row>
    <row r="1143" spans="1:20" ht="21.6" customHeight="1" x14ac:dyDescent="0.25">
      <c r="A1143" s="46">
        <v>1142</v>
      </c>
      <c r="B1143" s="47"/>
      <c r="T1143" s="48"/>
    </row>
    <row r="1144" spans="1:20" ht="21.6" customHeight="1" x14ac:dyDescent="0.25">
      <c r="A1144" s="46">
        <v>1143</v>
      </c>
      <c r="B1144" s="47"/>
      <c r="T1144" s="48"/>
    </row>
    <row r="1145" spans="1:20" ht="21.6" customHeight="1" x14ac:dyDescent="0.25">
      <c r="A1145" s="46">
        <v>1144</v>
      </c>
      <c r="B1145" s="47"/>
      <c r="T1145" s="48"/>
    </row>
    <row r="1146" spans="1:20" ht="21.6" customHeight="1" x14ac:dyDescent="0.25">
      <c r="A1146" s="46">
        <v>1145</v>
      </c>
      <c r="B1146" s="47"/>
      <c r="T1146" s="48"/>
    </row>
    <row r="1147" spans="1:20" ht="21.6" customHeight="1" x14ac:dyDescent="0.25">
      <c r="A1147" s="46">
        <v>1146</v>
      </c>
      <c r="B1147" s="47"/>
      <c r="T1147" s="48"/>
    </row>
    <row r="1148" spans="1:20" ht="21.6" customHeight="1" x14ac:dyDescent="0.25">
      <c r="A1148" s="46">
        <v>1147</v>
      </c>
      <c r="B1148" s="47"/>
      <c r="T1148" s="48"/>
    </row>
    <row r="1149" spans="1:20" ht="21.6" customHeight="1" x14ac:dyDescent="0.25">
      <c r="A1149" s="46">
        <v>1148</v>
      </c>
      <c r="B1149" s="47"/>
      <c r="T1149" s="48"/>
    </row>
    <row r="1150" spans="1:20" ht="21.6" customHeight="1" x14ac:dyDescent="0.25">
      <c r="A1150" s="46">
        <v>1149</v>
      </c>
      <c r="B1150" s="47"/>
      <c r="T1150" s="48"/>
    </row>
    <row r="1151" spans="1:20" ht="21.6" customHeight="1" x14ac:dyDescent="0.25">
      <c r="A1151" s="46">
        <v>1150</v>
      </c>
      <c r="B1151" s="47"/>
      <c r="T1151" s="48"/>
    </row>
    <row r="1152" spans="1:20" ht="21.6" customHeight="1" x14ac:dyDescent="0.25">
      <c r="A1152" s="46">
        <v>1151</v>
      </c>
      <c r="B1152" s="47"/>
      <c r="T1152" s="48"/>
    </row>
    <row r="1153" spans="1:20" ht="21.6" customHeight="1" x14ac:dyDescent="0.25">
      <c r="A1153" s="46">
        <v>1152</v>
      </c>
      <c r="B1153" s="47"/>
      <c r="T1153" s="48"/>
    </row>
    <row r="1154" spans="1:20" ht="21.6" customHeight="1" x14ac:dyDescent="0.25">
      <c r="A1154" s="46">
        <v>1153</v>
      </c>
      <c r="B1154" s="47"/>
      <c r="T1154" s="48"/>
    </row>
    <row r="1155" spans="1:20" ht="21.6" customHeight="1" x14ac:dyDescent="0.25">
      <c r="A1155" s="46">
        <v>1154</v>
      </c>
      <c r="B1155" s="47"/>
      <c r="T1155" s="48"/>
    </row>
    <row r="1156" spans="1:20" ht="21.6" customHeight="1" x14ac:dyDescent="0.25">
      <c r="A1156" s="46">
        <v>1155</v>
      </c>
      <c r="B1156" s="47"/>
      <c r="T1156" s="48"/>
    </row>
    <row r="1157" spans="1:20" ht="21.6" customHeight="1" x14ac:dyDescent="0.25">
      <c r="A1157" s="46">
        <v>1156</v>
      </c>
      <c r="B1157" s="47"/>
      <c r="T1157" s="48"/>
    </row>
    <row r="1158" spans="1:20" ht="21.6" customHeight="1" x14ac:dyDescent="0.25">
      <c r="A1158" s="46">
        <v>1157</v>
      </c>
      <c r="B1158" s="47"/>
      <c r="T1158" s="48"/>
    </row>
    <row r="1159" spans="1:20" ht="21.6" customHeight="1" x14ac:dyDescent="0.25">
      <c r="A1159" s="46">
        <v>1158</v>
      </c>
      <c r="B1159" s="47"/>
      <c r="T1159" s="48"/>
    </row>
    <row r="1160" spans="1:20" ht="21.6" customHeight="1" x14ac:dyDescent="0.25">
      <c r="A1160" s="46">
        <v>1159</v>
      </c>
      <c r="B1160" s="47"/>
      <c r="T1160" s="48"/>
    </row>
    <row r="1161" spans="1:20" ht="21.6" customHeight="1" x14ac:dyDescent="0.25">
      <c r="A1161" s="46">
        <v>1160</v>
      </c>
      <c r="B1161" s="47"/>
      <c r="T1161" s="48"/>
    </row>
    <row r="1162" spans="1:20" ht="21.6" customHeight="1" x14ac:dyDescent="0.25">
      <c r="A1162" s="46">
        <v>1161</v>
      </c>
      <c r="B1162" s="47"/>
      <c r="T1162" s="48"/>
    </row>
    <row r="1163" spans="1:20" ht="21.6" customHeight="1" x14ac:dyDescent="0.25">
      <c r="A1163" s="46">
        <v>1162</v>
      </c>
      <c r="B1163" s="47"/>
      <c r="T1163" s="48"/>
    </row>
    <row r="1164" spans="1:20" ht="21.6" customHeight="1" x14ac:dyDescent="0.25">
      <c r="A1164" s="46">
        <v>1163</v>
      </c>
      <c r="B1164" s="47"/>
      <c r="T1164" s="48"/>
    </row>
    <row r="1165" spans="1:20" ht="21.6" customHeight="1" x14ac:dyDescent="0.25">
      <c r="A1165" s="46">
        <v>1164</v>
      </c>
      <c r="B1165" s="47"/>
      <c r="T1165" s="48"/>
    </row>
    <row r="1166" spans="1:20" ht="21.6" customHeight="1" x14ac:dyDescent="0.25">
      <c r="A1166" s="46">
        <v>1165</v>
      </c>
      <c r="B1166" s="47"/>
      <c r="T1166" s="48"/>
    </row>
    <row r="1167" spans="1:20" ht="21.6" customHeight="1" x14ac:dyDescent="0.25">
      <c r="A1167" s="46">
        <v>1166</v>
      </c>
      <c r="B1167" s="47"/>
      <c r="T1167" s="48"/>
    </row>
    <row r="1168" spans="1:20" ht="21.6" customHeight="1" x14ac:dyDescent="0.25">
      <c r="A1168" s="46">
        <v>1167</v>
      </c>
      <c r="B1168" s="47"/>
      <c r="T1168" s="48"/>
    </row>
    <row r="1169" spans="1:20" ht="21.6" customHeight="1" x14ac:dyDescent="0.25">
      <c r="A1169" s="46">
        <v>1168</v>
      </c>
      <c r="B1169" s="47"/>
      <c r="T1169" s="48"/>
    </row>
    <row r="1170" spans="1:20" ht="21.6" customHeight="1" x14ac:dyDescent="0.25">
      <c r="A1170" s="46">
        <v>1169</v>
      </c>
      <c r="B1170" s="47"/>
      <c r="T1170" s="48"/>
    </row>
    <row r="1171" spans="1:20" ht="21.6" customHeight="1" x14ac:dyDescent="0.25">
      <c r="A1171" s="46">
        <v>1170</v>
      </c>
      <c r="B1171" s="47"/>
      <c r="T1171" s="48"/>
    </row>
    <row r="1172" spans="1:20" ht="21.6" customHeight="1" x14ac:dyDescent="0.25">
      <c r="A1172" s="46">
        <v>1171</v>
      </c>
      <c r="B1172" s="47"/>
      <c r="T1172" s="48"/>
    </row>
    <row r="1173" spans="1:20" ht="21.6" customHeight="1" x14ac:dyDescent="0.25">
      <c r="A1173" s="46">
        <v>1172</v>
      </c>
      <c r="B1173" s="47"/>
      <c r="T1173" s="48"/>
    </row>
    <row r="1174" spans="1:20" ht="21.6" customHeight="1" x14ac:dyDescent="0.25">
      <c r="A1174" s="46">
        <v>1173</v>
      </c>
      <c r="B1174" s="47"/>
      <c r="T1174" s="48"/>
    </row>
    <row r="1175" spans="1:20" ht="21.6" customHeight="1" x14ac:dyDescent="0.25">
      <c r="A1175" s="46">
        <v>1174</v>
      </c>
      <c r="B1175" s="47"/>
      <c r="T1175" s="48"/>
    </row>
    <row r="1176" spans="1:20" ht="21.6" customHeight="1" x14ac:dyDescent="0.25">
      <c r="A1176" s="46">
        <v>1175</v>
      </c>
      <c r="B1176" s="47"/>
      <c r="T1176" s="48"/>
    </row>
    <row r="1177" spans="1:20" ht="21.6" customHeight="1" x14ac:dyDescent="0.25">
      <c r="A1177" s="46">
        <v>1176</v>
      </c>
      <c r="B1177" s="47"/>
      <c r="T1177" s="48"/>
    </row>
    <row r="1178" spans="1:20" ht="21.6" customHeight="1" x14ac:dyDescent="0.25">
      <c r="A1178" s="46">
        <v>1177</v>
      </c>
      <c r="B1178" s="47"/>
      <c r="T1178" s="48"/>
    </row>
    <row r="1179" spans="1:20" ht="21.6" customHeight="1" x14ac:dyDescent="0.25">
      <c r="A1179" s="46">
        <v>1178</v>
      </c>
      <c r="B1179" s="47"/>
      <c r="T1179" s="48"/>
    </row>
    <row r="1180" spans="1:20" ht="21.6" customHeight="1" x14ac:dyDescent="0.25">
      <c r="A1180" s="46">
        <v>1179</v>
      </c>
      <c r="B1180" s="47"/>
      <c r="T1180" s="48"/>
    </row>
    <row r="1181" spans="1:20" ht="21.6" customHeight="1" x14ac:dyDescent="0.25">
      <c r="A1181" s="46">
        <v>1180</v>
      </c>
      <c r="B1181" s="47"/>
      <c r="T1181" s="48"/>
    </row>
    <row r="1182" spans="1:20" ht="21.6" customHeight="1" x14ac:dyDescent="0.25">
      <c r="A1182" s="46">
        <v>1181</v>
      </c>
      <c r="B1182" s="47"/>
      <c r="T1182" s="48"/>
    </row>
    <row r="1183" spans="1:20" ht="21.6" customHeight="1" x14ac:dyDescent="0.25">
      <c r="A1183" s="46">
        <v>1182</v>
      </c>
      <c r="B1183" s="47"/>
      <c r="T1183" s="48"/>
    </row>
    <row r="1184" spans="1:20" ht="21.6" customHeight="1" x14ac:dyDescent="0.25">
      <c r="A1184" s="46">
        <v>1183</v>
      </c>
      <c r="B1184" s="47"/>
      <c r="T1184" s="48"/>
    </row>
    <row r="1185" spans="1:20" ht="21.6" customHeight="1" x14ac:dyDescent="0.25">
      <c r="A1185" s="46">
        <v>1184</v>
      </c>
      <c r="B1185" s="47"/>
      <c r="T1185" s="48"/>
    </row>
    <row r="1186" spans="1:20" ht="21.6" customHeight="1" x14ac:dyDescent="0.25">
      <c r="A1186" s="46">
        <v>1185</v>
      </c>
      <c r="B1186" s="47"/>
      <c r="T1186" s="48"/>
    </row>
    <row r="1187" spans="1:20" ht="21.6" customHeight="1" x14ac:dyDescent="0.25">
      <c r="A1187" s="46">
        <v>1186</v>
      </c>
      <c r="B1187" s="47"/>
      <c r="T1187" s="48"/>
    </row>
    <row r="1188" spans="1:20" ht="21.6" customHeight="1" x14ac:dyDescent="0.25">
      <c r="A1188" s="46">
        <v>1187</v>
      </c>
      <c r="B1188" s="47"/>
      <c r="T1188" s="48"/>
    </row>
    <row r="1189" spans="1:20" ht="21.6" customHeight="1" x14ac:dyDescent="0.25">
      <c r="A1189" s="46">
        <v>1188</v>
      </c>
      <c r="B1189" s="47"/>
      <c r="T1189" s="48"/>
    </row>
    <row r="1190" spans="1:20" ht="21.6" customHeight="1" x14ac:dyDescent="0.25">
      <c r="A1190" s="46">
        <v>1189</v>
      </c>
      <c r="B1190" s="47"/>
      <c r="T1190" s="48"/>
    </row>
    <row r="1191" spans="1:20" ht="21.6" customHeight="1" x14ac:dyDescent="0.25">
      <c r="A1191" s="46">
        <v>1190</v>
      </c>
      <c r="B1191" s="47"/>
      <c r="T1191" s="48"/>
    </row>
    <row r="1192" spans="1:20" ht="21.6" customHeight="1" x14ac:dyDescent="0.25">
      <c r="A1192" s="46">
        <v>1191</v>
      </c>
      <c r="B1192" s="47"/>
      <c r="T1192" s="48"/>
    </row>
    <row r="1193" spans="1:20" ht="21.6" customHeight="1" x14ac:dyDescent="0.25">
      <c r="A1193" s="46">
        <v>1192</v>
      </c>
      <c r="B1193" s="47"/>
      <c r="T1193" s="48"/>
    </row>
    <row r="1194" spans="1:20" ht="21.6" customHeight="1" x14ac:dyDescent="0.25">
      <c r="A1194" s="46">
        <v>1193</v>
      </c>
      <c r="B1194" s="47"/>
      <c r="T1194" s="48"/>
    </row>
    <row r="1195" spans="1:20" ht="21.6" customHeight="1" x14ac:dyDescent="0.25">
      <c r="A1195" s="46">
        <v>1194</v>
      </c>
      <c r="B1195" s="47"/>
      <c r="T1195" s="48"/>
    </row>
    <row r="1196" spans="1:20" ht="21.6" customHeight="1" x14ac:dyDescent="0.25">
      <c r="A1196" s="46">
        <v>1195</v>
      </c>
      <c r="B1196" s="47"/>
      <c r="T1196" s="48"/>
    </row>
    <row r="1197" spans="1:20" ht="21.6" customHeight="1" x14ac:dyDescent="0.25">
      <c r="A1197" s="46">
        <v>1196</v>
      </c>
      <c r="B1197" s="47"/>
      <c r="T1197" s="48"/>
    </row>
    <row r="1198" spans="1:20" ht="21.6" customHeight="1" x14ac:dyDescent="0.25">
      <c r="A1198" s="46">
        <v>1197</v>
      </c>
      <c r="B1198" s="47"/>
      <c r="T1198" s="48"/>
    </row>
    <row r="1199" spans="1:20" ht="21.6" customHeight="1" x14ac:dyDescent="0.25">
      <c r="A1199" s="46">
        <v>1198</v>
      </c>
      <c r="B1199" s="47"/>
      <c r="T1199" s="48"/>
    </row>
    <row r="1200" spans="1:20" ht="21.6" customHeight="1" x14ac:dyDescent="0.25">
      <c r="A1200" s="46">
        <v>1199</v>
      </c>
      <c r="B1200" s="47"/>
      <c r="T1200" s="48"/>
    </row>
    <row r="1201" spans="1:20" ht="21.6" customHeight="1" x14ac:dyDescent="0.25">
      <c r="A1201" s="46">
        <v>1200</v>
      </c>
      <c r="B1201" s="47"/>
      <c r="T1201" s="48"/>
    </row>
    <row r="1202" spans="1:20" ht="21.6" customHeight="1" x14ac:dyDescent="0.25">
      <c r="A1202" s="46">
        <v>1201</v>
      </c>
      <c r="B1202" s="47"/>
      <c r="T1202" s="48"/>
    </row>
    <row r="1203" spans="1:20" ht="21.6" customHeight="1" x14ac:dyDescent="0.25">
      <c r="A1203" s="46">
        <v>1202</v>
      </c>
      <c r="B1203" s="47"/>
      <c r="T1203" s="48"/>
    </row>
    <row r="1204" spans="1:20" ht="21.6" customHeight="1" x14ac:dyDescent="0.25">
      <c r="A1204" s="46">
        <v>1203</v>
      </c>
      <c r="B1204" s="47"/>
      <c r="T1204" s="48"/>
    </row>
    <row r="1205" spans="1:20" ht="21.6" customHeight="1" x14ac:dyDescent="0.25">
      <c r="A1205" s="46">
        <v>1204</v>
      </c>
      <c r="B1205" s="47"/>
      <c r="T1205" s="48"/>
    </row>
    <row r="1206" spans="1:20" ht="21.6" customHeight="1" x14ac:dyDescent="0.25">
      <c r="A1206" s="46">
        <v>1205</v>
      </c>
      <c r="B1206" s="47"/>
      <c r="T1206" s="48"/>
    </row>
    <row r="1207" spans="1:20" ht="21.6" customHeight="1" x14ac:dyDescent="0.25">
      <c r="A1207" s="46">
        <v>1206</v>
      </c>
      <c r="B1207" s="47"/>
      <c r="T1207" s="48"/>
    </row>
    <row r="1208" spans="1:20" ht="21.6" customHeight="1" x14ac:dyDescent="0.25">
      <c r="A1208" s="46">
        <v>1207</v>
      </c>
      <c r="B1208" s="47"/>
      <c r="T1208" s="48"/>
    </row>
    <row r="1209" spans="1:20" ht="21.6" customHeight="1" x14ac:dyDescent="0.25">
      <c r="A1209" s="46">
        <v>1208</v>
      </c>
      <c r="B1209" s="47"/>
      <c r="T1209" s="48"/>
    </row>
    <row r="1210" spans="1:20" ht="21.6" customHeight="1" x14ac:dyDescent="0.25">
      <c r="A1210" s="46">
        <v>1209</v>
      </c>
      <c r="B1210" s="47"/>
      <c r="T1210" s="48"/>
    </row>
    <row r="1211" spans="1:20" ht="21.6" customHeight="1" x14ac:dyDescent="0.25">
      <c r="A1211" s="46">
        <v>1210</v>
      </c>
      <c r="B1211" s="47"/>
      <c r="T1211" s="48"/>
    </row>
    <row r="1212" spans="1:20" ht="21.6" customHeight="1" x14ac:dyDescent="0.25">
      <c r="A1212" s="46">
        <v>1211</v>
      </c>
      <c r="B1212" s="47"/>
      <c r="T1212" s="48"/>
    </row>
    <row r="1213" spans="1:20" ht="21.6" customHeight="1" x14ac:dyDescent="0.25">
      <c r="A1213" s="46">
        <v>1212</v>
      </c>
      <c r="B1213" s="47"/>
      <c r="T1213" s="48"/>
    </row>
    <row r="1214" spans="1:20" ht="21.6" customHeight="1" x14ac:dyDescent="0.25">
      <c r="A1214" s="46">
        <v>1213</v>
      </c>
      <c r="B1214" s="47"/>
      <c r="T1214" s="48"/>
    </row>
    <row r="1215" spans="1:20" ht="21.6" customHeight="1" x14ac:dyDescent="0.25">
      <c r="A1215" s="46">
        <v>1214</v>
      </c>
      <c r="B1215" s="47"/>
      <c r="T1215" s="48"/>
    </row>
    <row r="1216" spans="1:20" ht="21.6" customHeight="1" x14ac:dyDescent="0.25">
      <c r="A1216" s="46">
        <v>1215</v>
      </c>
      <c r="B1216" s="47"/>
      <c r="T1216" s="48"/>
    </row>
    <row r="1217" spans="1:20" ht="21.6" customHeight="1" x14ac:dyDescent="0.25">
      <c r="A1217" s="46">
        <v>1216</v>
      </c>
      <c r="B1217" s="47"/>
      <c r="T1217" s="48"/>
    </row>
    <row r="1218" spans="1:20" ht="21.6" customHeight="1" x14ac:dyDescent="0.25">
      <c r="A1218" s="46">
        <v>1217</v>
      </c>
      <c r="B1218" s="47"/>
      <c r="T1218" s="48"/>
    </row>
    <row r="1219" spans="1:20" ht="21.6" customHeight="1" x14ac:dyDescent="0.25">
      <c r="A1219" s="46">
        <v>1218</v>
      </c>
      <c r="B1219" s="47"/>
      <c r="T1219" s="48"/>
    </row>
    <row r="1220" spans="1:20" ht="21.6" customHeight="1" x14ac:dyDescent="0.25">
      <c r="A1220" s="46">
        <v>1219</v>
      </c>
      <c r="B1220" s="47"/>
      <c r="T1220" s="48"/>
    </row>
    <row r="1221" spans="1:20" ht="21.6" customHeight="1" x14ac:dyDescent="0.25">
      <c r="A1221" s="46">
        <v>1220</v>
      </c>
      <c r="B1221" s="47"/>
      <c r="T1221" s="48"/>
    </row>
    <row r="1222" spans="1:20" ht="21.6" customHeight="1" x14ac:dyDescent="0.25">
      <c r="A1222" s="46">
        <v>1221</v>
      </c>
      <c r="B1222" s="47"/>
      <c r="T1222" s="48"/>
    </row>
    <row r="1223" spans="1:20" ht="21.6" customHeight="1" x14ac:dyDescent="0.25">
      <c r="A1223" s="46">
        <v>1222</v>
      </c>
      <c r="B1223" s="47"/>
      <c r="T1223" s="48"/>
    </row>
    <row r="1224" spans="1:20" ht="21.6" customHeight="1" x14ac:dyDescent="0.25">
      <c r="A1224" s="46">
        <v>1223</v>
      </c>
      <c r="B1224" s="47"/>
      <c r="T1224" s="48"/>
    </row>
    <row r="1225" spans="1:20" ht="21.6" customHeight="1" x14ac:dyDescent="0.25">
      <c r="A1225" s="46">
        <v>1224</v>
      </c>
      <c r="B1225" s="47"/>
      <c r="T1225" s="48"/>
    </row>
    <row r="1226" spans="1:20" ht="21.6" customHeight="1" x14ac:dyDescent="0.25">
      <c r="A1226" s="46">
        <v>1225</v>
      </c>
      <c r="B1226" s="47"/>
      <c r="T1226" s="48"/>
    </row>
    <row r="1227" spans="1:20" ht="21.6" customHeight="1" x14ac:dyDescent="0.25">
      <c r="A1227" s="46">
        <v>1226</v>
      </c>
      <c r="B1227" s="47"/>
      <c r="T1227" s="48"/>
    </row>
    <row r="1228" spans="1:20" ht="21.6" customHeight="1" x14ac:dyDescent="0.25">
      <c r="A1228" s="46">
        <v>1227</v>
      </c>
      <c r="B1228" s="47"/>
      <c r="T1228" s="48"/>
    </row>
    <row r="1229" spans="1:20" ht="21.6" customHeight="1" x14ac:dyDescent="0.25">
      <c r="A1229" s="46">
        <v>1228</v>
      </c>
      <c r="B1229" s="47"/>
      <c r="T1229" s="48"/>
    </row>
    <row r="1230" spans="1:20" ht="21.6" customHeight="1" x14ac:dyDescent="0.25">
      <c r="A1230" s="46">
        <v>1229</v>
      </c>
      <c r="B1230" s="47"/>
      <c r="T1230" s="48"/>
    </row>
    <row r="1231" spans="1:20" ht="21.6" customHeight="1" x14ac:dyDescent="0.25">
      <c r="A1231" s="46">
        <v>1230</v>
      </c>
      <c r="B1231" s="47"/>
      <c r="T1231" s="48"/>
    </row>
    <row r="1232" spans="1:20" ht="21.6" customHeight="1" x14ac:dyDescent="0.25">
      <c r="A1232" s="46">
        <v>1231</v>
      </c>
      <c r="B1232" s="47"/>
      <c r="T1232" s="48"/>
    </row>
    <row r="1233" spans="1:20" ht="21.6" customHeight="1" x14ac:dyDescent="0.25">
      <c r="A1233" s="46">
        <v>1232</v>
      </c>
      <c r="B1233" s="47"/>
      <c r="T1233" s="48"/>
    </row>
    <row r="1234" spans="1:20" ht="21.6" customHeight="1" x14ac:dyDescent="0.25">
      <c r="A1234" s="46">
        <v>1233</v>
      </c>
      <c r="B1234" s="47"/>
      <c r="T1234" s="48"/>
    </row>
    <row r="1235" spans="1:20" ht="21.6" customHeight="1" x14ac:dyDescent="0.25">
      <c r="A1235" s="46">
        <v>1234</v>
      </c>
      <c r="B1235" s="47"/>
      <c r="T1235" s="48"/>
    </row>
    <row r="1236" spans="1:20" ht="21.6" customHeight="1" x14ac:dyDescent="0.25">
      <c r="A1236" s="46">
        <v>1235</v>
      </c>
      <c r="B1236" s="47"/>
      <c r="T1236" s="48"/>
    </row>
    <row r="1237" spans="1:20" ht="21.6" customHeight="1" x14ac:dyDescent="0.25">
      <c r="A1237" s="46">
        <v>1236</v>
      </c>
      <c r="B1237" s="47"/>
      <c r="T1237" s="48"/>
    </row>
    <row r="1238" spans="1:20" ht="21.6" customHeight="1" x14ac:dyDescent="0.25">
      <c r="A1238" s="46">
        <v>1237</v>
      </c>
      <c r="B1238" s="47"/>
      <c r="T1238" s="48"/>
    </row>
    <row r="1239" spans="1:20" ht="21.6" customHeight="1" x14ac:dyDescent="0.25">
      <c r="A1239" s="46">
        <v>1238</v>
      </c>
      <c r="B1239" s="47"/>
      <c r="T1239" s="48"/>
    </row>
    <row r="1240" spans="1:20" ht="21.6" customHeight="1" x14ac:dyDescent="0.25">
      <c r="A1240" s="46">
        <v>1239</v>
      </c>
      <c r="B1240" s="47"/>
      <c r="T1240" s="48"/>
    </row>
    <row r="1241" spans="1:20" ht="21.6" customHeight="1" x14ac:dyDescent="0.25">
      <c r="A1241" s="46">
        <v>1240</v>
      </c>
      <c r="B1241" s="47"/>
      <c r="T1241" s="48"/>
    </row>
    <row r="1242" spans="1:20" ht="21.6" customHeight="1" x14ac:dyDescent="0.25">
      <c r="A1242" s="46">
        <v>1241</v>
      </c>
      <c r="B1242" s="47"/>
      <c r="T1242" s="48"/>
    </row>
    <row r="1243" spans="1:20" ht="21.6" customHeight="1" x14ac:dyDescent="0.25">
      <c r="A1243" s="46">
        <v>1242</v>
      </c>
      <c r="B1243" s="47"/>
      <c r="T1243" s="48"/>
    </row>
    <row r="1244" spans="1:20" ht="21.6" customHeight="1" x14ac:dyDescent="0.25">
      <c r="A1244" s="46">
        <v>1243</v>
      </c>
      <c r="B1244" s="47"/>
      <c r="T1244" s="48"/>
    </row>
    <row r="1245" spans="1:20" ht="21.6" customHeight="1" x14ac:dyDescent="0.25">
      <c r="A1245" s="46">
        <v>1244</v>
      </c>
      <c r="B1245" s="47"/>
      <c r="T1245" s="48"/>
    </row>
    <row r="1246" spans="1:20" ht="21.6" customHeight="1" x14ac:dyDescent="0.25">
      <c r="A1246" s="46">
        <v>1245</v>
      </c>
      <c r="B1246" s="47"/>
      <c r="T1246" s="48"/>
    </row>
    <row r="1247" spans="1:20" ht="21.6" customHeight="1" x14ac:dyDescent="0.25">
      <c r="A1247" s="46">
        <v>1246</v>
      </c>
      <c r="B1247" s="47"/>
      <c r="T1247" s="48"/>
    </row>
    <row r="1248" spans="1:20" ht="21.6" customHeight="1" x14ac:dyDescent="0.25">
      <c r="A1248" s="46">
        <v>1247</v>
      </c>
      <c r="B1248" s="47"/>
      <c r="T1248" s="48"/>
    </row>
    <row r="1249" spans="1:20" ht="21.6" customHeight="1" x14ac:dyDescent="0.25">
      <c r="A1249" s="46">
        <v>1248</v>
      </c>
      <c r="B1249" s="47"/>
      <c r="T1249" s="48"/>
    </row>
    <row r="1250" spans="1:20" ht="21.6" customHeight="1" x14ac:dyDescent="0.25">
      <c r="A1250" s="46">
        <v>1249</v>
      </c>
      <c r="B1250" s="47"/>
      <c r="T1250" s="48"/>
    </row>
    <row r="1251" spans="1:20" ht="21.6" customHeight="1" x14ac:dyDescent="0.25">
      <c r="A1251" s="46">
        <v>1250</v>
      </c>
      <c r="B1251" s="47"/>
      <c r="T1251" s="48"/>
    </row>
    <row r="1252" spans="1:20" ht="21.6" customHeight="1" x14ac:dyDescent="0.25">
      <c r="A1252" s="46">
        <v>1251</v>
      </c>
      <c r="B1252" s="47"/>
      <c r="T1252" s="48"/>
    </row>
    <row r="1253" spans="1:20" ht="21.6" customHeight="1" x14ac:dyDescent="0.25">
      <c r="A1253" s="46">
        <v>1252</v>
      </c>
      <c r="B1253" s="47"/>
      <c r="T1253" s="48"/>
    </row>
    <row r="1254" spans="1:20" ht="21.6" customHeight="1" x14ac:dyDescent="0.25">
      <c r="A1254" s="46">
        <v>1253</v>
      </c>
      <c r="B1254" s="47"/>
      <c r="T1254" s="48"/>
    </row>
    <row r="1255" spans="1:20" ht="21.6" customHeight="1" x14ac:dyDescent="0.25">
      <c r="A1255" s="46">
        <v>1254</v>
      </c>
      <c r="B1255" s="47"/>
      <c r="T1255" s="48"/>
    </row>
    <row r="1256" spans="1:20" ht="21.6" customHeight="1" x14ac:dyDescent="0.25">
      <c r="A1256" s="46">
        <v>1255</v>
      </c>
      <c r="B1256" s="47"/>
      <c r="T1256" s="48"/>
    </row>
    <row r="1257" spans="1:20" ht="21.6" customHeight="1" x14ac:dyDescent="0.25">
      <c r="A1257" s="46">
        <v>1256</v>
      </c>
      <c r="B1257" s="47"/>
      <c r="T1257" s="48"/>
    </row>
    <row r="1258" spans="1:20" ht="21.6" customHeight="1" x14ac:dyDescent="0.25">
      <c r="A1258" s="46">
        <v>1257</v>
      </c>
      <c r="B1258" s="47"/>
      <c r="T1258" s="48"/>
    </row>
    <row r="1259" spans="1:20" ht="21.6" customHeight="1" x14ac:dyDescent="0.25">
      <c r="A1259" s="46">
        <v>1258</v>
      </c>
      <c r="B1259" s="47"/>
      <c r="T1259" s="48"/>
    </row>
    <row r="1260" spans="1:20" ht="21.6" customHeight="1" x14ac:dyDescent="0.25">
      <c r="A1260" s="46">
        <v>1259</v>
      </c>
      <c r="B1260" s="47"/>
      <c r="T1260" s="48"/>
    </row>
    <row r="1261" spans="1:20" ht="21.6" customHeight="1" x14ac:dyDescent="0.25">
      <c r="A1261" s="46">
        <v>1260</v>
      </c>
      <c r="B1261" s="47"/>
      <c r="T1261" s="48"/>
    </row>
    <row r="1262" spans="1:20" ht="21.6" customHeight="1" x14ac:dyDescent="0.25">
      <c r="A1262" s="46">
        <v>1261</v>
      </c>
      <c r="B1262" s="47"/>
      <c r="T1262" s="48"/>
    </row>
    <row r="1263" spans="1:20" ht="21.6" customHeight="1" x14ac:dyDescent="0.25">
      <c r="A1263" s="46">
        <v>1262</v>
      </c>
      <c r="B1263" s="47"/>
      <c r="T1263" s="48"/>
    </row>
    <row r="1264" spans="1:20" ht="21.6" customHeight="1" x14ac:dyDescent="0.25">
      <c r="A1264" s="46">
        <v>1263</v>
      </c>
      <c r="B1264" s="47"/>
      <c r="T1264" s="48"/>
    </row>
    <row r="1265" spans="1:20" ht="21.6" customHeight="1" x14ac:dyDescent="0.25">
      <c r="A1265" s="46">
        <v>1264</v>
      </c>
      <c r="B1265" s="47"/>
      <c r="T1265" s="48"/>
    </row>
    <row r="1266" spans="1:20" ht="21.6" customHeight="1" x14ac:dyDescent="0.25">
      <c r="A1266" s="46">
        <v>1265</v>
      </c>
      <c r="B1266" s="47"/>
      <c r="T1266" s="48"/>
    </row>
    <row r="1267" spans="1:20" ht="21.6" customHeight="1" x14ac:dyDescent="0.25">
      <c r="A1267" s="46">
        <v>1266</v>
      </c>
      <c r="B1267" s="47"/>
      <c r="T1267" s="48"/>
    </row>
    <row r="1268" spans="1:20" ht="21.6" customHeight="1" x14ac:dyDescent="0.25">
      <c r="A1268" s="46">
        <v>1267</v>
      </c>
      <c r="B1268" s="47"/>
      <c r="T1268" s="48"/>
    </row>
    <row r="1269" spans="1:20" ht="21.6" customHeight="1" x14ac:dyDescent="0.25">
      <c r="A1269" s="46">
        <v>1268</v>
      </c>
      <c r="B1269" s="47"/>
      <c r="T1269" s="48"/>
    </row>
    <row r="1270" spans="1:20" ht="21.6" customHeight="1" x14ac:dyDescent="0.25">
      <c r="A1270" s="46">
        <v>1269</v>
      </c>
      <c r="B1270" s="47"/>
      <c r="T1270" s="48"/>
    </row>
    <row r="1271" spans="1:20" ht="21.6" customHeight="1" x14ac:dyDescent="0.25">
      <c r="A1271" s="46">
        <v>1270</v>
      </c>
      <c r="B1271" s="47"/>
      <c r="T1271" s="48"/>
    </row>
    <row r="1272" spans="1:20" ht="21.6" customHeight="1" x14ac:dyDescent="0.25">
      <c r="A1272" s="46">
        <v>1271</v>
      </c>
      <c r="B1272" s="47"/>
      <c r="T1272" s="48"/>
    </row>
    <row r="1273" spans="1:20" ht="21.6" customHeight="1" x14ac:dyDescent="0.25">
      <c r="A1273" s="46">
        <v>1272</v>
      </c>
      <c r="B1273" s="47"/>
      <c r="T1273" s="48"/>
    </row>
    <row r="1274" spans="1:20" ht="21.6" customHeight="1" x14ac:dyDescent="0.25">
      <c r="A1274" s="46">
        <v>1273</v>
      </c>
      <c r="B1274" s="47"/>
      <c r="T1274" s="48"/>
    </row>
    <row r="1275" spans="1:20" ht="21.6" customHeight="1" x14ac:dyDescent="0.25">
      <c r="A1275" s="46">
        <v>1274</v>
      </c>
      <c r="B1275" s="47"/>
      <c r="T1275" s="48"/>
    </row>
    <row r="1276" spans="1:20" ht="21.6" customHeight="1" x14ac:dyDescent="0.25">
      <c r="A1276" s="46">
        <v>1275</v>
      </c>
      <c r="B1276" s="47"/>
      <c r="T1276" s="48"/>
    </row>
    <row r="1277" spans="1:20" ht="21.6" customHeight="1" x14ac:dyDescent="0.25">
      <c r="A1277" s="46">
        <v>1276</v>
      </c>
      <c r="B1277" s="47"/>
      <c r="T1277" s="48"/>
    </row>
    <row r="1278" spans="1:20" ht="21.6" customHeight="1" x14ac:dyDescent="0.25">
      <c r="A1278" s="46">
        <v>1277</v>
      </c>
      <c r="B1278" s="47"/>
      <c r="T1278" s="48"/>
    </row>
    <row r="1279" spans="1:20" ht="21.6" customHeight="1" x14ac:dyDescent="0.25">
      <c r="A1279" s="46">
        <v>1278</v>
      </c>
      <c r="B1279" s="47"/>
      <c r="T1279" s="48"/>
    </row>
    <row r="1280" spans="1:20" ht="21.6" customHeight="1" x14ac:dyDescent="0.25">
      <c r="A1280" s="46">
        <v>1279</v>
      </c>
      <c r="B1280" s="47"/>
      <c r="T1280" s="48"/>
    </row>
    <row r="1281" spans="1:20" ht="21.6" customHeight="1" x14ac:dyDescent="0.25">
      <c r="A1281" s="46">
        <v>1280</v>
      </c>
      <c r="B1281" s="47"/>
      <c r="T1281" s="48"/>
    </row>
    <row r="1282" spans="1:20" ht="21.6" customHeight="1" x14ac:dyDescent="0.25">
      <c r="A1282" s="46">
        <v>1281</v>
      </c>
      <c r="B1282" s="47"/>
      <c r="T1282" s="48"/>
    </row>
    <row r="1283" spans="1:20" ht="21.6" customHeight="1" x14ac:dyDescent="0.25">
      <c r="A1283" s="46">
        <v>1282</v>
      </c>
      <c r="B1283" s="47"/>
      <c r="T1283" s="48"/>
    </row>
    <row r="1284" spans="1:20" ht="21.6" customHeight="1" x14ac:dyDescent="0.25">
      <c r="A1284" s="46">
        <v>1283</v>
      </c>
      <c r="B1284" s="47"/>
      <c r="T1284" s="48"/>
    </row>
    <row r="1285" spans="1:20" ht="21.6" customHeight="1" x14ac:dyDescent="0.25">
      <c r="A1285" s="46">
        <v>1284</v>
      </c>
      <c r="B1285" s="47"/>
      <c r="T1285" s="48"/>
    </row>
    <row r="1286" spans="1:20" ht="21.6" customHeight="1" x14ac:dyDescent="0.25">
      <c r="A1286" s="46">
        <v>1285</v>
      </c>
      <c r="B1286" s="47"/>
      <c r="T1286" s="48"/>
    </row>
    <row r="1287" spans="1:20" ht="21.6" customHeight="1" x14ac:dyDescent="0.25">
      <c r="A1287" s="46">
        <v>1286</v>
      </c>
      <c r="B1287" s="47"/>
      <c r="T1287" s="48"/>
    </row>
    <row r="1288" spans="1:20" ht="21.6" customHeight="1" x14ac:dyDescent="0.25">
      <c r="A1288" s="46">
        <v>1287</v>
      </c>
      <c r="B1288" s="47"/>
      <c r="T1288" s="48"/>
    </row>
    <row r="1289" spans="1:20" ht="21.6" customHeight="1" x14ac:dyDescent="0.25">
      <c r="A1289" s="46">
        <v>1288</v>
      </c>
      <c r="B1289" s="47"/>
      <c r="T1289" s="48"/>
    </row>
    <row r="1290" spans="1:20" ht="21.6" customHeight="1" x14ac:dyDescent="0.25">
      <c r="A1290" s="46">
        <v>1289</v>
      </c>
      <c r="B1290" s="47"/>
      <c r="T1290" s="48"/>
    </row>
    <row r="1291" spans="1:20" ht="21.6" customHeight="1" x14ac:dyDescent="0.25">
      <c r="A1291" s="46">
        <v>1290</v>
      </c>
      <c r="B1291" s="47"/>
      <c r="T1291" s="48"/>
    </row>
    <row r="1292" spans="1:20" ht="21.6" customHeight="1" x14ac:dyDescent="0.25">
      <c r="A1292" s="46">
        <v>1291</v>
      </c>
      <c r="B1292" s="47"/>
      <c r="T1292" s="48"/>
    </row>
    <row r="1293" spans="1:20" ht="21.6" customHeight="1" x14ac:dyDescent="0.25">
      <c r="A1293" s="46">
        <v>1292</v>
      </c>
      <c r="B1293" s="47"/>
      <c r="T1293" s="48"/>
    </row>
    <row r="1294" spans="1:20" ht="21.6" customHeight="1" x14ac:dyDescent="0.25">
      <c r="A1294" s="46">
        <v>1293</v>
      </c>
      <c r="B1294" s="47"/>
      <c r="T1294" s="48"/>
    </row>
    <row r="1295" spans="1:20" ht="21.6" customHeight="1" x14ac:dyDescent="0.25">
      <c r="A1295" s="46">
        <v>1294</v>
      </c>
      <c r="B1295" s="47"/>
      <c r="T1295" s="48"/>
    </row>
    <row r="1296" spans="1:20" ht="21.6" customHeight="1" x14ac:dyDescent="0.25">
      <c r="A1296" s="46">
        <v>1295</v>
      </c>
      <c r="B1296" s="47"/>
      <c r="T1296" s="48"/>
    </row>
    <row r="1297" spans="1:20" ht="21.6" customHeight="1" x14ac:dyDescent="0.25">
      <c r="A1297" s="46">
        <v>1296</v>
      </c>
      <c r="B1297" s="47"/>
      <c r="T1297" s="48"/>
    </row>
    <row r="1298" spans="1:20" ht="21.6" customHeight="1" x14ac:dyDescent="0.25">
      <c r="A1298" s="46">
        <v>1297</v>
      </c>
      <c r="B1298" s="47"/>
      <c r="T1298" s="48"/>
    </row>
    <row r="1299" spans="1:20" ht="21.6" customHeight="1" x14ac:dyDescent="0.25">
      <c r="A1299" s="46">
        <v>1298</v>
      </c>
      <c r="B1299" s="47"/>
      <c r="T1299" s="48"/>
    </row>
    <row r="1300" spans="1:20" ht="21.6" customHeight="1" x14ac:dyDescent="0.25">
      <c r="A1300" s="46">
        <v>1299</v>
      </c>
      <c r="B1300" s="47"/>
      <c r="T1300" s="48"/>
    </row>
    <row r="1301" spans="1:20" ht="21.6" customHeight="1" x14ac:dyDescent="0.25">
      <c r="A1301" s="46">
        <v>1300</v>
      </c>
      <c r="B1301" s="47"/>
      <c r="T1301" s="48"/>
    </row>
    <row r="1302" spans="1:20" ht="21.6" customHeight="1" x14ac:dyDescent="0.25">
      <c r="A1302" s="46">
        <v>1301</v>
      </c>
      <c r="B1302" s="47"/>
      <c r="T1302" s="48"/>
    </row>
    <row r="1303" spans="1:20" ht="21.6" customHeight="1" x14ac:dyDescent="0.25">
      <c r="A1303" s="46">
        <v>1302</v>
      </c>
      <c r="B1303" s="47"/>
      <c r="T1303" s="48"/>
    </row>
    <row r="1304" spans="1:20" ht="21.6" customHeight="1" x14ac:dyDescent="0.25">
      <c r="A1304" s="46">
        <v>1303</v>
      </c>
      <c r="B1304" s="47"/>
      <c r="T1304" s="48"/>
    </row>
    <row r="1305" spans="1:20" ht="21.6" customHeight="1" x14ac:dyDescent="0.25">
      <c r="A1305" s="46">
        <v>1304</v>
      </c>
      <c r="B1305" s="47"/>
      <c r="T1305" s="48"/>
    </row>
    <row r="1306" spans="1:20" ht="21.6" customHeight="1" x14ac:dyDescent="0.25">
      <c r="A1306" s="46">
        <v>1305</v>
      </c>
      <c r="B1306" s="47"/>
      <c r="T1306" s="48"/>
    </row>
    <row r="1307" spans="1:20" ht="21.6" customHeight="1" x14ac:dyDescent="0.25">
      <c r="A1307" s="46">
        <v>1306</v>
      </c>
      <c r="B1307" s="47"/>
      <c r="T1307" s="48"/>
    </row>
    <row r="1308" spans="1:20" ht="21.6" customHeight="1" x14ac:dyDescent="0.25">
      <c r="A1308" s="46">
        <v>1307</v>
      </c>
      <c r="B1308" s="47"/>
      <c r="T1308" s="48"/>
    </row>
    <row r="1309" spans="1:20" ht="21.6" customHeight="1" x14ac:dyDescent="0.25">
      <c r="A1309" s="46">
        <v>1308</v>
      </c>
      <c r="B1309" s="47"/>
      <c r="T1309" s="48"/>
    </row>
    <row r="1310" spans="1:20" ht="21.6" customHeight="1" x14ac:dyDescent="0.25">
      <c r="A1310" s="46">
        <v>1309</v>
      </c>
      <c r="B1310" s="47"/>
      <c r="T1310" s="48"/>
    </row>
    <row r="1311" spans="1:20" ht="21.6" customHeight="1" x14ac:dyDescent="0.25">
      <c r="A1311" s="46">
        <v>1310</v>
      </c>
      <c r="B1311" s="47"/>
      <c r="T1311" s="48"/>
    </row>
    <row r="1312" spans="1:20" ht="21.6" customHeight="1" x14ac:dyDescent="0.25">
      <c r="A1312" s="46">
        <v>1311</v>
      </c>
      <c r="B1312" s="47"/>
      <c r="T1312" s="48"/>
    </row>
    <row r="1313" spans="1:20" ht="21.6" customHeight="1" x14ac:dyDescent="0.25">
      <c r="A1313" s="46">
        <v>1312</v>
      </c>
      <c r="B1313" s="47"/>
      <c r="T1313" s="48"/>
    </row>
    <row r="1314" spans="1:20" ht="21.6" customHeight="1" x14ac:dyDescent="0.25">
      <c r="A1314" s="46">
        <v>1313</v>
      </c>
      <c r="B1314" s="47"/>
      <c r="T1314" s="48"/>
    </row>
    <row r="1315" spans="1:20" ht="21.6" customHeight="1" x14ac:dyDescent="0.25">
      <c r="A1315" s="46">
        <v>1314</v>
      </c>
      <c r="B1315" s="47"/>
      <c r="T1315" s="48"/>
    </row>
    <row r="1316" spans="1:20" ht="21.6" customHeight="1" x14ac:dyDescent="0.25">
      <c r="A1316" s="46">
        <v>1315</v>
      </c>
      <c r="B1316" s="47"/>
      <c r="T1316" s="48"/>
    </row>
    <row r="1317" spans="1:20" ht="21.6" customHeight="1" x14ac:dyDescent="0.25">
      <c r="A1317" s="46">
        <v>1316</v>
      </c>
      <c r="B1317" s="47"/>
      <c r="T1317" s="48"/>
    </row>
    <row r="1318" spans="1:20" ht="21.6" customHeight="1" x14ac:dyDescent="0.25">
      <c r="A1318" s="46">
        <v>1317</v>
      </c>
      <c r="B1318" s="47"/>
      <c r="T1318" s="48"/>
    </row>
    <row r="1319" spans="1:20" ht="21.6" customHeight="1" x14ac:dyDescent="0.25">
      <c r="A1319" s="46">
        <v>1318</v>
      </c>
      <c r="B1319" s="47"/>
      <c r="T1319" s="48"/>
    </row>
    <row r="1320" spans="1:20" ht="21.6" customHeight="1" x14ac:dyDescent="0.25">
      <c r="A1320" s="46">
        <v>1319</v>
      </c>
      <c r="B1320" s="47"/>
      <c r="T1320" s="48"/>
    </row>
    <row r="1321" spans="1:20" ht="21.6" customHeight="1" x14ac:dyDescent="0.25">
      <c r="A1321" s="46">
        <v>1320</v>
      </c>
      <c r="B1321" s="47"/>
      <c r="T1321" s="48"/>
    </row>
    <row r="1322" spans="1:20" ht="21.6" customHeight="1" x14ac:dyDescent="0.25">
      <c r="A1322" s="46">
        <v>1321</v>
      </c>
      <c r="B1322" s="47"/>
      <c r="T1322" s="48"/>
    </row>
    <row r="1323" spans="1:20" ht="21.6" customHeight="1" x14ac:dyDescent="0.25">
      <c r="A1323" s="46">
        <v>1322</v>
      </c>
      <c r="B1323" s="47"/>
      <c r="T1323" s="48"/>
    </row>
    <row r="1324" spans="1:20" ht="21.6" customHeight="1" x14ac:dyDescent="0.25">
      <c r="A1324" s="46">
        <v>1323</v>
      </c>
      <c r="B1324" s="47"/>
      <c r="T1324" s="48"/>
    </row>
    <row r="1325" spans="1:20" ht="21.6" customHeight="1" x14ac:dyDescent="0.25">
      <c r="A1325" s="46">
        <v>1324</v>
      </c>
      <c r="B1325" s="47"/>
      <c r="T1325" s="48"/>
    </row>
    <row r="1326" spans="1:20" ht="21.6" customHeight="1" x14ac:dyDescent="0.25">
      <c r="A1326" s="46">
        <v>1325</v>
      </c>
      <c r="B1326" s="47"/>
      <c r="T1326" s="48"/>
    </row>
    <row r="1327" spans="1:20" ht="21.6" customHeight="1" x14ac:dyDescent="0.25">
      <c r="A1327" s="46">
        <v>1326</v>
      </c>
      <c r="B1327" s="47"/>
      <c r="T1327" s="48"/>
    </row>
    <row r="1328" spans="1:20" ht="21.6" customHeight="1" x14ac:dyDescent="0.25">
      <c r="A1328" s="46">
        <v>1327</v>
      </c>
      <c r="B1328" s="47"/>
      <c r="T1328" s="48"/>
    </row>
    <row r="1329" spans="1:20" ht="21.6" customHeight="1" x14ac:dyDescent="0.25">
      <c r="A1329" s="46">
        <v>1328</v>
      </c>
      <c r="B1329" s="47"/>
      <c r="T1329" s="48"/>
    </row>
    <row r="1330" spans="1:20" ht="21.6" customHeight="1" x14ac:dyDescent="0.25">
      <c r="A1330" s="46">
        <v>1329</v>
      </c>
      <c r="B1330" s="47"/>
      <c r="T1330" s="48"/>
    </row>
    <row r="1331" spans="1:20" ht="21.6" customHeight="1" x14ac:dyDescent="0.25">
      <c r="A1331" s="46">
        <v>1330</v>
      </c>
      <c r="B1331" s="47"/>
      <c r="T1331" s="48"/>
    </row>
    <row r="1332" spans="1:20" ht="21.6" customHeight="1" x14ac:dyDescent="0.25">
      <c r="A1332" s="46">
        <v>1331</v>
      </c>
      <c r="B1332" s="47"/>
      <c r="T1332" s="48"/>
    </row>
    <row r="1333" spans="1:20" ht="21.6" customHeight="1" x14ac:dyDescent="0.25">
      <c r="A1333" s="46">
        <v>1332</v>
      </c>
      <c r="B1333" s="47"/>
      <c r="T1333" s="48"/>
    </row>
    <row r="1334" spans="1:20" ht="21.6" customHeight="1" x14ac:dyDescent="0.25">
      <c r="A1334" s="46">
        <v>1333</v>
      </c>
      <c r="B1334" s="47"/>
      <c r="T1334" s="48"/>
    </row>
    <row r="1335" spans="1:20" ht="21.6" customHeight="1" x14ac:dyDescent="0.25">
      <c r="A1335" s="46">
        <v>1334</v>
      </c>
      <c r="B1335" s="47"/>
      <c r="T1335" s="48"/>
    </row>
    <row r="1336" spans="1:20" ht="21.6" customHeight="1" x14ac:dyDescent="0.25">
      <c r="A1336" s="46">
        <v>1335</v>
      </c>
      <c r="B1336" s="47"/>
      <c r="T1336" s="48"/>
    </row>
    <row r="1337" spans="1:20" ht="21.6" customHeight="1" x14ac:dyDescent="0.25">
      <c r="A1337" s="46">
        <v>1336</v>
      </c>
      <c r="B1337" s="47"/>
      <c r="T1337" s="48"/>
    </row>
    <row r="1338" spans="1:20" ht="21.6" customHeight="1" x14ac:dyDescent="0.25">
      <c r="A1338" s="46">
        <v>1337</v>
      </c>
      <c r="B1338" s="47"/>
      <c r="T1338" s="48"/>
    </row>
    <row r="1339" spans="1:20" ht="21.6" customHeight="1" x14ac:dyDescent="0.25">
      <c r="A1339" s="46">
        <v>1338</v>
      </c>
      <c r="B1339" s="47"/>
      <c r="T1339" s="48"/>
    </row>
    <row r="1340" spans="1:20" ht="21.6" customHeight="1" x14ac:dyDescent="0.25">
      <c r="A1340" s="46">
        <v>1339</v>
      </c>
      <c r="B1340" s="47"/>
      <c r="T1340" s="48"/>
    </row>
    <row r="1341" spans="1:20" ht="21.6" customHeight="1" x14ac:dyDescent="0.25">
      <c r="A1341" s="46">
        <v>1340</v>
      </c>
      <c r="B1341" s="47"/>
      <c r="T1341" s="48"/>
    </row>
    <row r="1342" spans="1:20" ht="21.6" customHeight="1" x14ac:dyDescent="0.25">
      <c r="A1342" s="46">
        <v>1341</v>
      </c>
      <c r="B1342" s="47"/>
      <c r="T1342" s="48"/>
    </row>
    <row r="1343" spans="1:20" ht="21.6" customHeight="1" x14ac:dyDescent="0.25">
      <c r="A1343" s="46">
        <v>1342</v>
      </c>
      <c r="B1343" s="47"/>
      <c r="T1343" s="48"/>
    </row>
    <row r="1344" spans="1:20" ht="21.6" customHeight="1" x14ac:dyDescent="0.25">
      <c r="A1344" s="46">
        <v>1343</v>
      </c>
      <c r="B1344" s="47"/>
      <c r="T1344" s="48"/>
    </row>
    <row r="1345" spans="1:20" ht="21.6" customHeight="1" x14ac:dyDescent="0.25">
      <c r="A1345" s="46">
        <v>1344</v>
      </c>
      <c r="B1345" s="47"/>
      <c r="T1345" s="48"/>
    </row>
    <row r="1346" spans="1:20" ht="21.6" customHeight="1" x14ac:dyDescent="0.25">
      <c r="A1346" s="46">
        <v>1345</v>
      </c>
      <c r="B1346" s="47"/>
      <c r="T1346" s="48"/>
    </row>
    <row r="1347" spans="1:20" ht="21.6" customHeight="1" x14ac:dyDescent="0.25">
      <c r="A1347" s="46">
        <v>1346</v>
      </c>
      <c r="B1347" s="47"/>
      <c r="T1347" s="48"/>
    </row>
    <row r="1348" spans="1:20" ht="21.6" customHeight="1" x14ac:dyDescent="0.25">
      <c r="A1348" s="46">
        <v>1347</v>
      </c>
      <c r="B1348" s="47"/>
      <c r="T1348" s="48"/>
    </row>
    <row r="1349" spans="1:20" ht="21.6" customHeight="1" x14ac:dyDescent="0.25">
      <c r="A1349" s="46">
        <v>1348</v>
      </c>
      <c r="B1349" s="47"/>
      <c r="T1349" s="48"/>
    </row>
    <row r="1350" spans="1:20" ht="21.6" customHeight="1" x14ac:dyDescent="0.25">
      <c r="A1350" s="46">
        <v>1349</v>
      </c>
      <c r="B1350" s="47"/>
      <c r="T1350" s="48"/>
    </row>
    <row r="1351" spans="1:20" ht="21.6" customHeight="1" x14ac:dyDescent="0.25">
      <c r="A1351" s="46">
        <v>1350</v>
      </c>
      <c r="B1351" s="47"/>
      <c r="T1351" s="48"/>
    </row>
    <row r="1352" spans="1:20" ht="21.6" customHeight="1" x14ac:dyDescent="0.25">
      <c r="A1352" s="46">
        <v>1351</v>
      </c>
      <c r="B1352" s="47"/>
      <c r="T1352" s="48"/>
    </row>
    <row r="1353" spans="1:20" ht="21.6" customHeight="1" x14ac:dyDescent="0.25">
      <c r="A1353" s="46">
        <v>1352</v>
      </c>
      <c r="B1353" s="47"/>
      <c r="T1353" s="48"/>
    </row>
    <row r="1354" spans="1:20" ht="21.6" customHeight="1" x14ac:dyDescent="0.25">
      <c r="A1354" s="46">
        <v>1353</v>
      </c>
      <c r="B1354" s="47"/>
      <c r="T1354" s="48"/>
    </row>
    <row r="1355" spans="1:20" ht="21.6" customHeight="1" x14ac:dyDescent="0.25">
      <c r="A1355" s="46">
        <v>1354</v>
      </c>
      <c r="B1355" s="47"/>
      <c r="T1355" s="48"/>
    </row>
    <row r="1356" spans="1:20" ht="21.6" customHeight="1" x14ac:dyDescent="0.25">
      <c r="A1356" s="46">
        <v>1355</v>
      </c>
      <c r="B1356" s="47"/>
      <c r="T1356" s="48"/>
    </row>
    <row r="1357" spans="1:20" ht="21.6" customHeight="1" x14ac:dyDescent="0.25">
      <c r="A1357" s="46">
        <v>1356</v>
      </c>
      <c r="B1357" s="47"/>
      <c r="T1357" s="48"/>
    </row>
    <row r="1358" spans="1:20" ht="21.6" customHeight="1" x14ac:dyDescent="0.25">
      <c r="A1358" s="46">
        <v>1357</v>
      </c>
      <c r="B1358" s="47"/>
      <c r="T1358" s="48"/>
    </row>
    <row r="1359" spans="1:20" ht="21.6" customHeight="1" x14ac:dyDescent="0.25">
      <c r="A1359" s="46">
        <v>1358</v>
      </c>
      <c r="B1359" s="47"/>
      <c r="T1359" s="48"/>
    </row>
    <row r="1360" spans="1:20" ht="21.6" customHeight="1" x14ac:dyDescent="0.25">
      <c r="A1360" s="46">
        <v>1359</v>
      </c>
      <c r="B1360" s="47"/>
      <c r="T1360" s="48"/>
    </row>
    <row r="1361" spans="1:20" ht="21.6" customHeight="1" x14ac:dyDescent="0.25">
      <c r="A1361" s="46">
        <v>1360</v>
      </c>
      <c r="B1361" s="47"/>
      <c r="T1361" s="48"/>
    </row>
    <row r="1362" spans="1:20" ht="21.6" customHeight="1" x14ac:dyDescent="0.25">
      <c r="A1362" s="46">
        <v>1361</v>
      </c>
      <c r="B1362" s="47"/>
      <c r="T1362" s="48"/>
    </row>
    <row r="1363" spans="1:20" ht="21.6" customHeight="1" x14ac:dyDescent="0.25">
      <c r="A1363" s="46">
        <v>1362</v>
      </c>
      <c r="B1363" s="47"/>
      <c r="T1363" s="48"/>
    </row>
    <row r="1364" spans="1:20" ht="21.6" customHeight="1" x14ac:dyDescent="0.25">
      <c r="A1364" s="46">
        <v>1363</v>
      </c>
      <c r="B1364" s="47"/>
      <c r="T1364" s="48"/>
    </row>
    <row r="1365" spans="1:20" ht="21.6" customHeight="1" x14ac:dyDescent="0.25">
      <c r="A1365" s="46">
        <v>1364</v>
      </c>
      <c r="B1365" s="47"/>
      <c r="T1365" s="48"/>
    </row>
    <row r="1366" spans="1:20" ht="21.6" customHeight="1" x14ac:dyDescent="0.25">
      <c r="A1366" s="46">
        <v>1365</v>
      </c>
      <c r="B1366" s="47"/>
      <c r="T1366" s="48"/>
    </row>
    <row r="1367" spans="1:20" ht="21.6" customHeight="1" x14ac:dyDescent="0.25">
      <c r="A1367" s="46">
        <v>1366</v>
      </c>
      <c r="B1367" s="47"/>
      <c r="T1367" s="48"/>
    </row>
    <row r="1368" spans="1:20" ht="21.6" customHeight="1" x14ac:dyDescent="0.25">
      <c r="A1368" s="46">
        <v>1367</v>
      </c>
      <c r="B1368" s="47"/>
      <c r="T1368" s="48"/>
    </row>
    <row r="1369" spans="1:20" ht="21.6" customHeight="1" x14ac:dyDescent="0.25">
      <c r="A1369" s="46">
        <v>1368</v>
      </c>
      <c r="B1369" s="47"/>
      <c r="T1369" s="48"/>
    </row>
    <row r="1370" spans="1:20" ht="21.6" customHeight="1" x14ac:dyDescent="0.25">
      <c r="A1370" s="46">
        <v>1369</v>
      </c>
      <c r="B1370" s="47"/>
      <c r="T1370" s="48"/>
    </row>
    <row r="1371" spans="1:20" ht="21.6" customHeight="1" x14ac:dyDescent="0.25">
      <c r="A1371" s="46">
        <v>1370</v>
      </c>
      <c r="B1371" s="47"/>
      <c r="T1371" s="48"/>
    </row>
    <row r="1372" spans="1:20" ht="21.6" customHeight="1" x14ac:dyDescent="0.25">
      <c r="A1372" s="46">
        <v>1371</v>
      </c>
      <c r="B1372" s="47"/>
      <c r="T1372" s="48"/>
    </row>
    <row r="1373" spans="1:20" ht="21.6" customHeight="1" x14ac:dyDescent="0.25">
      <c r="A1373" s="46">
        <v>1372</v>
      </c>
      <c r="B1373" s="47"/>
      <c r="T1373" s="48"/>
    </row>
    <row r="1374" spans="1:20" ht="21.6" customHeight="1" x14ac:dyDescent="0.25">
      <c r="A1374" s="46">
        <v>1373</v>
      </c>
      <c r="B1374" s="47"/>
      <c r="T1374" s="48"/>
    </row>
    <row r="1375" spans="1:20" ht="21.6" customHeight="1" x14ac:dyDescent="0.25">
      <c r="A1375" s="46">
        <v>1374</v>
      </c>
      <c r="B1375" s="47"/>
      <c r="T1375" s="48"/>
    </row>
    <row r="1376" spans="1:20" ht="21.6" customHeight="1" x14ac:dyDescent="0.25">
      <c r="A1376" s="46">
        <v>1375</v>
      </c>
      <c r="B1376" s="47"/>
      <c r="T1376" s="48"/>
    </row>
    <row r="1377" spans="1:20" ht="21.6" customHeight="1" x14ac:dyDescent="0.25">
      <c r="A1377" s="46">
        <v>1376</v>
      </c>
      <c r="B1377" s="47"/>
      <c r="T1377" s="48"/>
    </row>
    <row r="1378" spans="1:20" ht="21.6" customHeight="1" x14ac:dyDescent="0.25">
      <c r="A1378" s="46">
        <v>1377</v>
      </c>
      <c r="B1378" s="47"/>
      <c r="T1378" s="48"/>
    </row>
    <row r="1379" spans="1:20" ht="21.6" customHeight="1" x14ac:dyDescent="0.25">
      <c r="A1379" s="46">
        <v>1378</v>
      </c>
      <c r="B1379" s="47"/>
      <c r="T1379" s="48"/>
    </row>
    <row r="1380" spans="1:20" ht="21.6" customHeight="1" x14ac:dyDescent="0.25">
      <c r="A1380" s="46">
        <v>1379</v>
      </c>
      <c r="B1380" s="47"/>
      <c r="T1380" s="48"/>
    </row>
    <row r="1381" spans="1:20" ht="21.6" customHeight="1" x14ac:dyDescent="0.25">
      <c r="A1381" s="46">
        <v>1380</v>
      </c>
      <c r="B1381" s="47"/>
      <c r="T1381" s="48"/>
    </row>
    <row r="1382" spans="1:20" ht="21.6" customHeight="1" x14ac:dyDescent="0.25">
      <c r="A1382" s="46">
        <v>1381</v>
      </c>
      <c r="B1382" s="47"/>
      <c r="T1382" s="48"/>
    </row>
    <row r="1383" spans="1:20" ht="21.6" customHeight="1" x14ac:dyDescent="0.25">
      <c r="A1383" s="46">
        <v>1382</v>
      </c>
      <c r="B1383" s="47"/>
      <c r="T1383" s="48"/>
    </row>
    <row r="1384" spans="1:20" ht="21.6" customHeight="1" x14ac:dyDescent="0.25">
      <c r="A1384" s="46">
        <v>1383</v>
      </c>
      <c r="B1384" s="47"/>
      <c r="T1384" s="48"/>
    </row>
    <row r="1385" spans="1:20" ht="21.6" customHeight="1" x14ac:dyDescent="0.25">
      <c r="A1385" s="46">
        <v>1384</v>
      </c>
      <c r="B1385" s="47"/>
      <c r="T1385" s="48"/>
    </row>
    <row r="1386" spans="1:20" ht="21.6" customHeight="1" x14ac:dyDescent="0.25">
      <c r="A1386" s="46">
        <v>1385</v>
      </c>
      <c r="B1386" s="47"/>
      <c r="T1386" s="48"/>
    </row>
    <row r="1387" spans="1:20" ht="21.6" customHeight="1" x14ac:dyDescent="0.25">
      <c r="A1387" s="46">
        <v>1386</v>
      </c>
      <c r="B1387" s="47"/>
      <c r="T1387" s="48"/>
    </row>
    <row r="1388" spans="1:20" ht="21.6" customHeight="1" x14ac:dyDescent="0.25">
      <c r="A1388" s="46">
        <v>1387</v>
      </c>
      <c r="B1388" s="47"/>
      <c r="T1388" s="48"/>
    </row>
    <row r="1389" spans="1:20" ht="21.6" customHeight="1" x14ac:dyDescent="0.25">
      <c r="A1389" s="46">
        <v>1388</v>
      </c>
      <c r="B1389" s="47"/>
      <c r="T1389" s="48"/>
    </row>
    <row r="1390" spans="1:20" ht="21.6" customHeight="1" x14ac:dyDescent="0.25">
      <c r="A1390" s="46">
        <v>1389</v>
      </c>
      <c r="B1390" s="47"/>
      <c r="T1390" s="48"/>
    </row>
    <row r="1391" spans="1:20" ht="21.6" customHeight="1" x14ac:dyDescent="0.25">
      <c r="A1391" s="46">
        <v>1390</v>
      </c>
      <c r="B1391" s="47"/>
      <c r="T1391" s="48"/>
    </row>
    <row r="1392" spans="1:20" ht="21.6" customHeight="1" x14ac:dyDescent="0.25">
      <c r="A1392" s="46">
        <v>1391</v>
      </c>
      <c r="B1392" s="47"/>
      <c r="T1392" s="48"/>
    </row>
    <row r="1393" spans="1:20" ht="21.6" customHeight="1" x14ac:dyDescent="0.25">
      <c r="A1393" s="46">
        <v>1392</v>
      </c>
      <c r="B1393" s="47"/>
      <c r="T1393" s="48"/>
    </row>
    <row r="1394" spans="1:20" ht="21.6" customHeight="1" x14ac:dyDescent="0.25">
      <c r="A1394" s="46">
        <v>1393</v>
      </c>
      <c r="B1394" s="47"/>
      <c r="T1394" s="48"/>
    </row>
    <row r="1395" spans="1:20" ht="21.6" customHeight="1" x14ac:dyDescent="0.25">
      <c r="A1395" s="46">
        <v>1394</v>
      </c>
      <c r="B1395" s="47"/>
      <c r="T1395" s="48"/>
    </row>
    <row r="1396" spans="1:20" ht="21.6" customHeight="1" x14ac:dyDescent="0.25">
      <c r="A1396" s="46">
        <v>1395</v>
      </c>
      <c r="B1396" s="47"/>
      <c r="T1396" s="48"/>
    </row>
    <row r="1397" spans="1:20" ht="21.6" customHeight="1" x14ac:dyDescent="0.25">
      <c r="A1397" s="46">
        <v>1396</v>
      </c>
      <c r="B1397" s="47"/>
      <c r="T1397" s="48"/>
    </row>
    <row r="1398" spans="1:20" ht="21.6" customHeight="1" x14ac:dyDescent="0.25">
      <c r="A1398" s="46">
        <v>1397</v>
      </c>
      <c r="B1398" s="47"/>
      <c r="T1398" s="48"/>
    </row>
    <row r="1399" spans="1:20" ht="21.6" customHeight="1" x14ac:dyDescent="0.25">
      <c r="A1399" s="46">
        <v>1398</v>
      </c>
      <c r="B1399" s="47"/>
      <c r="T1399" s="48"/>
    </row>
    <row r="1400" spans="1:20" ht="21.6" customHeight="1" x14ac:dyDescent="0.25">
      <c r="A1400" s="46">
        <v>1399</v>
      </c>
      <c r="B1400" s="47"/>
      <c r="T1400" s="48"/>
    </row>
    <row r="1401" spans="1:20" ht="21.6" customHeight="1" x14ac:dyDescent="0.25">
      <c r="A1401" s="46">
        <v>1400</v>
      </c>
      <c r="B1401" s="47"/>
      <c r="T1401" s="48"/>
    </row>
    <row r="1402" spans="1:20" ht="21.6" customHeight="1" x14ac:dyDescent="0.25">
      <c r="A1402" s="46">
        <v>1401</v>
      </c>
      <c r="B1402" s="47"/>
      <c r="T1402" s="48"/>
    </row>
    <row r="1403" spans="1:20" ht="21.6" customHeight="1" x14ac:dyDescent="0.25">
      <c r="A1403" s="46">
        <v>1402</v>
      </c>
      <c r="B1403" s="47"/>
      <c r="T1403" s="48"/>
    </row>
    <row r="1404" spans="1:20" ht="21.6" customHeight="1" x14ac:dyDescent="0.25">
      <c r="A1404" s="46">
        <v>1403</v>
      </c>
      <c r="B1404" s="47"/>
      <c r="T1404" s="48"/>
    </row>
    <row r="1405" spans="1:20" ht="21.6" customHeight="1" x14ac:dyDescent="0.25">
      <c r="A1405" s="46">
        <v>1404</v>
      </c>
      <c r="B1405" s="47"/>
      <c r="T1405" s="48"/>
    </row>
    <row r="1406" spans="1:20" ht="21.6" customHeight="1" x14ac:dyDescent="0.25">
      <c r="A1406" s="46">
        <v>1405</v>
      </c>
      <c r="B1406" s="47"/>
      <c r="T1406" s="48"/>
    </row>
    <row r="1407" spans="1:20" ht="21.6" customHeight="1" x14ac:dyDescent="0.25">
      <c r="A1407" s="46">
        <v>1406</v>
      </c>
      <c r="B1407" s="47"/>
      <c r="T1407" s="48"/>
    </row>
    <row r="1408" spans="1:20" ht="21.6" customHeight="1" x14ac:dyDescent="0.25">
      <c r="A1408" s="46">
        <v>1407</v>
      </c>
      <c r="B1408" s="47"/>
      <c r="T1408" s="48"/>
    </row>
    <row r="1409" spans="1:20" ht="21.6" customHeight="1" x14ac:dyDescent="0.25">
      <c r="A1409" s="46">
        <v>1408</v>
      </c>
      <c r="B1409" s="47"/>
      <c r="T1409" s="48"/>
    </row>
    <row r="1410" spans="1:20" ht="21.6" customHeight="1" x14ac:dyDescent="0.25">
      <c r="A1410" s="46">
        <v>1409</v>
      </c>
      <c r="B1410" s="47"/>
      <c r="T1410" s="48"/>
    </row>
    <row r="1411" spans="1:20" ht="21.6" customHeight="1" x14ac:dyDescent="0.25">
      <c r="A1411" s="46">
        <v>1410</v>
      </c>
      <c r="B1411" s="47"/>
      <c r="T1411" s="48"/>
    </row>
    <row r="1412" spans="1:20" ht="21.6" customHeight="1" x14ac:dyDescent="0.25">
      <c r="A1412" s="46">
        <v>1411</v>
      </c>
      <c r="B1412" s="47"/>
      <c r="T1412" s="48"/>
    </row>
    <row r="1413" spans="1:20" ht="21.6" customHeight="1" x14ac:dyDescent="0.25">
      <c r="A1413" s="46">
        <v>1412</v>
      </c>
      <c r="B1413" s="47"/>
      <c r="T1413" s="48"/>
    </row>
    <row r="1414" spans="1:20" ht="21.6" customHeight="1" x14ac:dyDescent="0.25">
      <c r="A1414" s="46">
        <v>1413</v>
      </c>
      <c r="B1414" s="47"/>
      <c r="T1414" s="48"/>
    </row>
    <row r="1415" spans="1:20" ht="21.6" customHeight="1" x14ac:dyDescent="0.25">
      <c r="A1415" s="46">
        <v>1414</v>
      </c>
      <c r="B1415" s="47"/>
      <c r="T1415" s="48"/>
    </row>
    <row r="1416" spans="1:20" ht="21.6" customHeight="1" x14ac:dyDescent="0.25">
      <c r="A1416" s="46">
        <v>1415</v>
      </c>
      <c r="B1416" s="47"/>
      <c r="T1416" s="48"/>
    </row>
    <row r="1417" spans="1:20" ht="21.6" customHeight="1" x14ac:dyDescent="0.25">
      <c r="A1417" s="46">
        <v>1416</v>
      </c>
      <c r="B1417" s="47"/>
      <c r="T1417" s="48"/>
    </row>
    <row r="1418" spans="1:20" ht="21.6" customHeight="1" x14ac:dyDescent="0.25">
      <c r="A1418" s="46">
        <v>1417</v>
      </c>
      <c r="B1418" s="47"/>
      <c r="T1418" s="48"/>
    </row>
    <row r="1419" spans="1:20" ht="21.6" customHeight="1" x14ac:dyDescent="0.25">
      <c r="A1419" s="46">
        <v>1418</v>
      </c>
      <c r="B1419" s="47"/>
      <c r="T1419" s="48"/>
    </row>
    <row r="1420" spans="1:20" ht="21.6" customHeight="1" x14ac:dyDescent="0.25">
      <c r="A1420" s="46">
        <v>1419</v>
      </c>
      <c r="B1420" s="47"/>
      <c r="T1420" s="48"/>
    </row>
    <row r="1421" spans="1:20" ht="21.6" customHeight="1" x14ac:dyDescent="0.25">
      <c r="A1421" s="46">
        <v>1420</v>
      </c>
      <c r="B1421" s="47"/>
      <c r="T1421" s="48"/>
    </row>
    <row r="1422" spans="1:20" ht="21.6" customHeight="1" x14ac:dyDescent="0.25">
      <c r="A1422" s="46">
        <v>1421</v>
      </c>
      <c r="B1422" s="47"/>
      <c r="T1422" s="48"/>
    </row>
    <row r="1423" spans="1:20" ht="21.6" customHeight="1" x14ac:dyDescent="0.25">
      <c r="A1423" s="46">
        <v>1422</v>
      </c>
      <c r="B1423" s="47"/>
      <c r="T1423" s="48"/>
    </row>
    <row r="1424" spans="1:20" ht="21.6" customHeight="1" x14ac:dyDescent="0.25">
      <c r="A1424" s="46">
        <v>1423</v>
      </c>
      <c r="B1424" s="47"/>
      <c r="T1424" s="48"/>
    </row>
    <row r="1425" spans="1:20" ht="21.6" customHeight="1" x14ac:dyDescent="0.25">
      <c r="A1425" s="46">
        <v>1424</v>
      </c>
      <c r="B1425" s="47"/>
      <c r="T1425" s="48"/>
    </row>
    <row r="1426" spans="1:20" ht="21.6" customHeight="1" x14ac:dyDescent="0.25">
      <c r="A1426" s="46">
        <v>1425</v>
      </c>
      <c r="B1426" s="47"/>
      <c r="T1426" s="48"/>
    </row>
    <row r="1427" spans="1:20" ht="21.6" customHeight="1" x14ac:dyDescent="0.25">
      <c r="A1427" s="46">
        <v>1426</v>
      </c>
      <c r="B1427" s="47"/>
      <c r="T1427" s="48"/>
    </row>
    <row r="1428" spans="1:20" ht="21.6" customHeight="1" x14ac:dyDescent="0.25">
      <c r="A1428" s="46">
        <v>1427</v>
      </c>
      <c r="B1428" s="47"/>
      <c r="T1428" s="48"/>
    </row>
    <row r="1429" spans="1:20" ht="21.6" customHeight="1" x14ac:dyDescent="0.25">
      <c r="A1429" s="46">
        <v>1428</v>
      </c>
      <c r="B1429" s="47"/>
      <c r="T1429" s="48"/>
    </row>
    <row r="1430" spans="1:20" ht="21.6" customHeight="1" x14ac:dyDescent="0.25">
      <c r="A1430" s="46">
        <v>1429</v>
      </c>
      <c r="B1430" s="47"/>
      <c r="T1430" s="48"/>
    </row>
    <row r="1431" spans="1:20" ht="21.6" customHeight="1" x14ac:dyDescent="0.25">
      <c r="A1431" s="46">
        <v>1430</v>
      </c>
      <c r="B1431" s="47"/>
      <c r="T1431" s="48"/>
    </row>
    <row r="1432" spans="1:20" ht="21.6" customHeight="1" x14ac:dyDescent="0.25">
      <c r="A1432" s="46">
        <v>1431</v>
      </c>
      <c r="B1432" s="47"/>
      <c r="T1432" s="48"/>
    </row>
    <row r="1433" spans="1:20" ht="21.6" customHeight="1" x14ac:dyDescent="0.25">
      <c r="A1433" s="46">
        <v>1432</v>
      </c>
      <c r="B1433" s="47"/>
      <c r="T1433" s="48"/>
    </row>
    <row r="1434" spans="1:20" ht="21.6" customHeight="1" x14ac:dyDescent="0.25">
      <c r="A1434" s="46">
        <v>1433</v>
      </c>
      <c r="B1434" s="47"/>
      <c r="T1434" s="48"/>
    </row>
    <row r="1435" spans="1:20" ht="21.6" customHeight="1" x14ac:dyDescent="0.25">
      <c r="A1435" s="46">
        <v>1434</v>
      </c>
      <c r="B1435" s="47"/>
      <c r="T1435" s="48"/>
    </row>
    <row r="1436" spans="1:20" ht="21.6" customHeight="1" x14ac:dyDescent="0.25">
      <c r="A1436" s="46">
        <v>1435</v>
      </c>
      <c r="B1436" s="47"/>
      <c r="T1436" s="48"/>
    </row>
    <row r="1437" spans="1:20" ht="21.6" customHeight="1" x14ac:dyDescent="0.25">
      <c r="A1437" s="46">
        <v>1436</v>
      </c>
      <c r="B1437" s="47"/>
      <c r="T1437" s="48"/>
    </row>
    <row r="1438" spans="1:20" ht="21.6" customHeight="1" x14ac:dyDescent="0.25">
      <c r="A1438" s="46">
        <v>1437</v>
      </c>
      <c r="B1438" s="47"/>
      <c r="T1438" s="48"/>
    </row>
    <row r="1439" spans="1:20" ht="21.6" customHeight="1" x14ac:dyDescent="0.25">
      <c r="A1439" s="46">
        <v>1438</v>
      </c>
      <c r="B1439" s="47"/>
      <c r="T1439" s="48"/>
    </row>
    <row r="1440" spans="1:20" ht="21.6" customHeight="1" x14ac:dyDescent="0.25">
      <c r="A1440" s="46">
        <v>1439</v>
      </c>
      <c r="B1440" s="47"/>
      <c r="T1440" s="48"/>
    </row>
    <row r="1441" spans="1:20" ht="21.6" customHeight="1" x14ac:dyDescent="0.25">
      <c r="A1441" s="46">
        <v>1440</v>
      </c>
      <c r="B1441" s="47"/>
      <c r="T1441" s="48"/>
    </row>
    <row r="1442" spans="1:20" ht="21.6" customHeight="1" x14ac:dyDescent="0.25">
      <c r="A1442" s="46">
        <v>1441</v>
      </c>
      <c r="B1442" s="47"/>
      <c r="T1442" s="48"/>
    </row>
    <row r="1443" spans="1:20" ht="21.6" customHeight="1" x14ac:dyDescent="0.25">
      <c r="A1443" s="46">
        <v>1442</v>
      </c>
      <c r="B1443" s="47"/>
      <c r="T1443" s="48"/>
    </row>
    <row r="1444" spans="1:20" ht="21.6" customHeight="1" x14ac:dyDescent="0.25">
      <c r="A1444" s="46">
        <v>1443</v>
      </c>
      <c r="B1444" s="47"/>
      <c r="T1444" s="48"/>
    </row>
    <row r="1445" spans="1:20" ht="21.6" customHeight="1" x14ac:dyDescent="0.25">
      <c r="A1445" s="46">
        <v>1444</v>
      </c>
      <c r="B1445" s="47"/>
      <c r="T1445" s="48"/>
    </row>
    <row r="1446" spans="1:20" ht="21.6" customHeight="1" x14ac:dyDescent="0.25">
      <c r="A1446" s="46">
        <v>1445</v>
      </c>
      <c r="B1446" s="47"/>
      <c r="T1446" s="48"/>
    </row>
    <row r="1447" spans="1:20" ht="21.6" customHeight="1" x14ac:dyDescent="0.25">
      <c r="A1447" s="46">
        <v>1446</v>
      </c>
      <c r="B1447" s="47"/>
      <c r="T1447" s="48"/>
    </row>
    <row r="1448" spans="1:20" ht="21.6" customHeight="1" x14ac:dyDescent="0.25">
      <c r="A1448" s="46">
        <v>1447</v>
      </c>
      <c r="B1448" s="47"/>
      <c r="T1448" s="48"/>
    </row>
    <row r="1449" spans="1:20" ht="21.6" customHeight="1" x14ac:dyDescent="0.25">
      <c r="A1449" s="46">
        <v>1448</v>
      </c>
      <c r="B1449" s="47"/>
      <c r="T1449" s="48"/>
    </row>
    <row r="1450" spans="1:20" ht="21.6" customHeight="1" x14ac:dyDescent="0.25">
      <c r="A1450" s="46">
        <v>1449</v>
      </c>
      <c r="B1450" s="47"/>
      <c r="T1450" s="48"/>
    </row>
    <row r="1451" spans="1:20" ht="21.6" customHeight="1" x14ac:dyDescent="0.25">
      <c r="A1451" s="46">
        <v>1450</v>
      </c>
      <c r="B1451" s="47"/>
      <c r="T1451" s="48"/>
    </row>
    <row r="1452" spans="1:20" ht="21.6" customHeight="1" x14ac:dyDescent="0.25">
      <c r="A1452" s="46">
        <v>1451</v>
      </c>
      <c r="B1452" s="47"/>
      <c r="T1452" s="48"/>
    </row>
    <row r="1453" spans="1:20" ht="21.6" customHeight="1" x14ac:dyDescent="0.25">
      <c r="A1453" s="46">
        <v>1452</v>
      </c>
      <c r="B1453" s="47"/>
      <c r="T1453" s="48"/>
    </row>
    <row r="1454" spans="1:20" ht="21.6" customHeight="1" x14ac:dyDescent="0.25">
      <c r="A1454" s="46">
        <v>1453</v>
      </c>
      <c r="B1454" s="47"/>
      <c r="T1454" s="48"/>
    </row>
    <row r="1455" spans="1:20" ht="21.6" customHeight="1" x14ac:dyDescent="0.25">
      <c r="A1455" s="46">
        <v>1454</v>
      </c>
      <c r="B1455" s="47"/>
      <c r="T1455" s="48"/>
    </row>
    <row r="1456" spans="1:20" ht="21.6" customHeight="1" x14ac:dyDescent="0.25">
      <c r="A1456" s="46">
        <v>1455</v>
      </c>
      <c r="B1456" s="47"/>
      <c r="T1456" s="48"/>
    </row>
    <row r="1457" spans="1:20" ht="21.6" customHeight="1" x14ac:dyDescent="0.25">
      <c r="A1457" s="46">
        <v>1456</v>
      </c>
      <c r="B1457" s="47"/>
      <c r="T1457" s="48"/>
    </row>
    <row r="1458" spans="1:20" ht="21.6" customHeight="1" x14ac:dyDescent="0.25">
      <c r="A1458" s="46">
        <v>1457</v>
      </c>
      <c r="B1458" s="47"/>
      <c r="T1458" s="48"/>
    </row>
    <row r="1459" spans="1:20" ht="21.6" customHeight="1" x14ac:dyDescent="0.25">
      <c r="A1459" s="46">
        <v>1458</v>
      </c>
      <c r="B1459" s="47"/>
      <c r="T1459" s="48"/>
    </row>
    <row r="1460" spans="1:20" ht="21.6" customHeight="1" x14ac:dyDescent="0.25">
      <c r="A1460" s="46">
        <v>1459</v>
      </c>
      <c r="B1460" s="47"/>
      <c r="T1460" s="48"/>
    </row>
    <row r="1461" spans="1:20" ht="21.6" customHeight="1" x14ac:dyDescent="0.25">
      <c r="A1461" s="46">
        <v>1460</v>
      </c>
      <c r="B1461" s="47"/>
      <c r="T1461" s="48"/>
    </row>
    <row r="1462" spans="1:20" ht="21.6" customHeight="1" x14ac:dyDescent="0.25">
      <c r="A1462" s="46">
        <v>1461</v>
      </c>
      <c r="B1462" s="47"/>
      <c r="T1462" s="48"/>
    </row>
    <row r="1463" spans="1:20" ht="21.6" customHeight="1" x14ac:dyDescent="0.25">
      <c r="A1463" s="46">
        <v>1462</v>
      </c>
      <c r="B1463" s="47"/>
      <c r="T1463" s="48"/>
    </row>
    <row r="1464" spans="1:20" ht="21.6" customHeight="1" x14ac:dyDescent="0.25">
      <c r="A1464" s="46">
        <v>1463</v>
      </c>
      <c r="B1464" s="47"/>
      <c r="T1464" s="48"/>
    </row>
    <row r="1465" spans="1:20" ht="21.6" customHeight="1" x14ac:dyDescent="0.25">
      <c r="A1465" s="46">
        <v>1464</v>
      </c>
      <c r="B1465" s="47"/>
      <c r="T1465" s="48"/>
    </row>
    <row r="1466" spans="1:20" ht="21.6" customHeight="1" x14ac:dyDescent="0.25">
      <c r="A1466" s="46">
        <v>1465</v>
      </c>
      <c r="B1466" s="47"/>
      <c r="T1466" s="48"/>
    </row>
    <row r="1467" spans="1:20" ht="21.6" customHeight="1" x14ac:dyDescent="0.25">
      <c r="A1467" s="46">
        <v>1466</v>
      </c>
      <c r="B1467" s="47"/>
      <c r="T1467" s="48"/>
    </row>
    <row r="1468" spans="1:20" ht="21.6" customHeight="1" x14ac:dyDescent="0.25">
      <c r="A1468" s="46">
        <v>1467</v>
      </c>
      <c r="B1468" s="47"/>
      <c r="T1468" s="48"/>
    </row>
    <row r="1469" spans="1:20" ht="21.6" customHeight="1" x14ac:dyDescent="0.25">
      <c r="A1469" s="46">
        <v>1468</v>
      </c>
      <c r="B1469" s="47"/>
      <c r="T1469" s="48"/>
    </row>
    <row r="1470" spans="1:20" ht="21.6" customHeight="1" x14ac:dyDescent="0.25">
      <c r="A1470" s="46">
        <v>1469</v>
      </c>
      <c r="B1470" s="47"/>
      <c r="T1470" s="48"/>
    </row>
    <row r="1471" spans="1:20" ht="21.6" customHeight="1" x14ac:dyDescent="0.25">
      <c r="A1471" s="46">
        <v>1470</v>
      </c>
      <c r="B1471" s="47"/>
      <c r="T1471" s="48"/>
    </row>
    <row r="1472" spans="1:20" ht="21.6" customHeight="1" x14ac:dyDescent="0.25">
      <c r="A1472" s="46">
        <v>1471</v>
      </c>
      <c r="B1472" s="47"/>
      <c r="T1472" s="48"/>
    </row>
    <row r="1473" spans="1:20" ht="21.6" customHeight="1" x14ac:dyDescent="0.25">
      <c r="A1473" s="46">
        <v>1472</v>
      </c>
      <c r="B1473" s="47"/>
      <c r="T1473" s="48"/>
    </row>
    <row r="1474" spans="1:20" ht="21.6" customHeight="1" x14ac:dyDescent="0.25">
      <c r="A1474" s="46">
        <v>1473</v>
      </c>
      <c r="B1474" s="47"/>
      <c r="T1474" s="48"/>
    </row>
    <row r="1475" spans="1:20" ht="21.6" customHeight="1" x14ac:dyDescent="0.25">
      <c r="A1475" s="46">
        <v>1474</v>
      </c>
      <c r="B1475" s="47"/>
      <c r="T1475" s="48"/>
    </row>
    <row r="1476" spans="1:20" ht="21.6" customHeight="1" x14ac:dyDescent="0.25">
      <c r="A1476" s="46">
        <v>1475</v>
      </c>
      <c r="B1476" s="47"/>
      <c r="T1476" s="48"/>
    </row>
    <row r="1477" spans="1:20" ht="21.6" customHeight="1" x14ac:dyDescent="0.25">
      <c r="A1477" s="46">
        <v>1476</v>
      </c>
      <c r="B1477" s="47"/>
      <c r="T1477" s="48"/>
    </row>
    <row r="1478" spans="1:20" ht="21.6" customHeight="1" x14ac:dyDescent="0.25">
      <c r="A1478" s="46">
        <v>1477</v>
      </c>
      <c r="B1478" s="47"/>
      <c r="T1478" s="48"/>
    </row>
    <row r="1479" spans="1:20" ht="21.6" customHeight="1" x14ac:dyDescent="0.25">
      <c r="A1479" s="46">
        <v>1478</v>
      </c>
      <c r="B1479" s="47"/>
      <c r="T1479" s="48"/>
    </row>
    <row r="1480" spans="1:20" ht="21.6" customHeight="1" x14ac:dyDescent="0.25">
      <c r="A1480" s="46">
        <v>1479</v>
      </c>
      <c r="B1480" s="47"/>
      <c r="T1480" s="48"/>
    </row>
    <row r="1481" spans="1:20" ht="21.6" customHeight="1" x14ac:dyDescent="0.25">
      <c r="A1481" s="46">
        <v>1480</v>
      </c>
      <c r="B1481" s="47"/>
      <c r="T1481" s="48"/>
    </row>
    <row r="1482" spans="1:20" ht="21.6" customHeight="1" x14ac:dyDescent="0.25">
      <c r="A1482" s="46">
        <v>1481</v>
      </c>
      <c r="B1482" s="47"/>
      <c r="T1482" s="48"/>
    </row>
    <row r="1483" spans="1:20" ht="21.6" customHeight="1" x14ac:dyDescent="0.25">
      <c r="A1483" s="46">
        <v>1482</v>
      </c>
      <c r="B1483" s="47"/>
      <c r="T1483" s="48"/>
    </row>
    <row r="1484" spans="1:20" ht="21.6" customHeight="1" x14ac:dyDescent="0.25">
      <c r="A1484" s="46">
        <v>1483</v>
      </c>
      <c r="B1484" s="47"/>
      <c r="T1484" s="48"/>
    </row>
    <row r="1485" spans="1:20" ht="21.6" customHeight="1" x14ac:dyDescent="0.25">
      <c r="A1485" s="46">
        <v>1484</v>
      </c>
      <c r="B1485" s="47"/>
      <c r="T1485" s="48"/>
    </row>
    <row r="1486" spans="1:20" ht="21.6" customHeight="1" x14ac:dyDescent="0.25">
      <c r="A1486" s="46">
        <v>1485</v>
      </c>
      <c r="B1486" s="47"/>
      <c r="T1486" s="48"/>
    </row>
    <row r="1487" spans="1:20" ht="21.6" customHeight="1" x14ac:dyDescent="0.25">
      <c r="A1487" s="46">
        <v>1486</v>
      </c>
      <c r="B1487" s="47"/>
      <c r="T1487" s="48"/>
    </row>
    <row r="1488" spans="1:20" ht="21.6" customHeight="1" x14ac:dyDescent="0.25">
      <c r="A1488" s="46">
        <v>1487</v>
      </c>
      <c r="B1488" s="47"/>
      <c r="T1488" s="48"/>
    </row>
    <row r="1489" spans="1:20" ht="21.6" customHeight="1" x14ac:dyDescent="0.25">
      <c r="A1489" s="46">
        <v>1488</v>
      </c>
      <c r="B1489" s="47"/>
      <c r="T1489" s="48"/>
    </row>
    <row r="1490" spans="1:20" ht="21.6" customHeight="1" x14ac:dyDescent="0.25">
      <c r="A1490" s="46">
        <v>1489</v>
      </c>
      <c r="B1490" s="47"/>
      <c r="T1490" s="48"/>
    </row>
    <row r="1491" spans="1:20" ht="21.6" customHeight="1" x14ac:dyDescent="0.25">
      <c r="A1491" s="46">
        <v>1490</v>
      </c>
      <c r="B1491" s="47"/>
      <c r="T1491" s="48"/>
    </row>
    <row r="1492" spans="1:20" ht="21.6" customHeight="1" x14ac:dyDescent="0.25">
      <c r="A1492" s="46">
        <v>1491</v>
      </c>
      <c r="B1492" s="47"/>
      <c r="T1492" s="48"/>
    </row>
    <row r="1493" spans="1:20" ht="21.6" customHeight="1" x14ac:dyDescent="0.25">
      <c r="A1493" s="46">
        <v>1492</v>
      </c>
      <c r="B1493" s="47"/>
      <c r="T1493" s="48"/>
    </row>
    <row r="1494" spans="1:20" ht="21.6" customHeight="1" x14ac:dyDescent="0.25">
      <c r="A1494" s="46">
        <v>1493</v>
      </c>
      <c r="B1494" s="47"/>
      <c r="T1494" s="48"/>
    </row>
    <row r="1495" spans="1:20" ht="21.6" customHeight="1" x14ac:dyDescent="0.25">
      <c r="A1495" s="46">
        <v>1494</v>
      </c>
      <c r="B1495" s="47"/>
      <c r="T1495" s="48"/>
    </row>
    <row r="1496" spans="1:20" ht="21.6" customHeight="1" x14ac:dyDescent="0.25">
      <c r="A1496" s="46">
        <v>1495</v>
      </c>
      <c r="B1496" s="47"/>
      <c r="T1496" s="48"/>
    </row>
    <row r="1497" spans="1:20" ht="21.6" customHeight="1" x14ac:dyDescent="0.25">
      <c r="A1497" s="46">
        <v>1496</v>
      </c>
      <c r="B1497" s="47"/>
      <c r="T1497" s="48"/>
    </row>
    <row r="1498" spans="1:20" ht="21.6" customHeight="1" x14ac:dyDescent="0.25">
      <c r="A1498" s="46">
        <v>1497</v>
      </c>
      <c r="B1498" s="47"/>
      <c r="T1498" s="48"/>
    </row>
    <row r="1499" spans="1:20" ht="21.6" customHeight="1" x14ac:dyDescent="0.25">
      <c r="A1499" s="46">
        <v>1498</v>
      </c>
      <c r="B1499" s="47"/>
      <c r="T1499" s="48"/>
    </row>
    <row r="1500" spans="1:20" ht="21.6" customHeight="1" x14ac:dyDescent="0.25">
      <c r="A1500" s="46">
        <v>1499</v>
      </c>
      <c r="B1500" s="47"/>
      <c r="T1500" s="48"/>
    </row>
    <row r="1501" spans="1:20" ht="21.6" customHeight="1" x14ac:dyDescent="0.25">
      <c r="A1501" s="46">
        <v>1500</v>
      </c>
      <c r="B1501" s="47"/>
      <c r="T1501" s="48"/>
    </row>
    <row r="1502" spans="1:20" ht="21.6" customHeight="1" x14ac:dyDescent="0.25">
      <c r="A1502" s="46">
        <v>1501</v>
      </c>
      <c r="B1502" s="47"/>
      <c r="T1502" s="48"/>
    </row>
    <row r="1503" spans="1:20" ht="21.6" customHeight="1" x14ac:dyDescent="0.25">
      <c r="A1503" s="46">
        <v>1502</v>
      </c>
      <c r="B1503" s="47"/>
      <c r="T1503" s="48"/>
    </row>
    <row r="1504" spans="1:20" ht="21.6" customHeight="1" x14ac:dyDescent="0.25">
      <c r="A1504" s="46">
        <v>1503</v>
      </c>
      <c r="B1504" s="47"/>
      <c r="T1504" s="48"/>
    </row>
    <row r="1505" spans="1:20" ht="21.6" customHeight="1" x14ac:dyDescent="0.25">
      <c r="A1505" s="46">
        <v>1504</v>
      </c>
      <c r="B1505" s="47"/>
      <c r="T1505" s="48"/>
    </row>
    <row r="1506" spans="1:20" ht="21.6" customHeight="1" x14ac:dyDescent="0.25">
      <c r="A1506" s="46">
        <v>1505</v>
      </c>
      <c r="B1506" s="47"/>
      <c r="T1506" s="48"/>
    </row>
    <row r="1507" spans="1:20" ht="21.6" customHeight="1" x14ac:dyDescent="0.25">
      <c r="A1507" s="46">
        <v>1506</v>
      </c>
      <c r="B1507" s="47"/>
      <c r="T1507" s="48"/>
    </row>
    <row r="1508" spans="1:20" ht="21.6" customHeight="1" x14ac:dyDescent="0.25">
      <c r="A1508" s="46">
        <v>1507</v>
      </c>
      <c r="B1508" s="47"/>
      <c r="T1508" s="48"/>
    </row>
    <row r="1509" spans="1:20" ht="21.6" customHeight="1" x14ac:dyDescent="0.25">
      <c r="A1509" s="46">
        <v>1508</v>
      </c>
      <c r="B1509" s="47"/>
      <c r="T1509" s="48"/>
    </row>
    <row r="1510" spans="1:20" ht="21.6" customHeight="1" x14ac:dyDescent="0.25">
      <c r="A1510" s="46">
        <v>1509</v>
      </c>
      <c r="B1510" s="47"/>
      <c r="T1510" s="48"/>
    </row>
    <row r="1511" spans="1:20" ht="21.6" customHeight="1" x14ac:dyDescent="0.25">
      <c r="A1511" s="46">
        <v>1510</v>
      </c>
      <c r="B1511" s="47"/>
      <c r="T1511" s="48"/>
    </row>
    <row r="1512" spans="1:20" ht="21.6" customHeight="1" x14ac:dyDescent="0.25">
      <c r="A1512" s="46">
        <v>1511</v>
      </c>
      <c r="B1512" s="47"/>
      <c r="T1512" s="48"/>
    </row>
    <row r="1513" spans="1:20" ht="21.6" customHeight="1" x14ac:dyDescent="0.25">
      <c r="A1513" s="46">
        <v>1512</v>
      </c>
      <c r="B1513" s="47"/>
      <c r="T1513" s="48"/>
    </row>
    <row r="1514" spans="1:20" ht="21.6" customHeight="1" x14ac:dyDescent="0.25">
      <c r="A1514" s="46">
        <v>1513</v>
      </c>
      <c r="B1514" s="47"/>
      <c r="T1514" s="48"/>
    </row>
    <row r="1515" spans="1:20" ht="21.6" customHeight="1" x14ac:dyDescent="0.25">
      <c r="A1515" s="46">
        <v>1514</v>
      </c>
      <c r="B1515" s="47"/>
      <c r="T1515" s="48"/>
    </row>
    <row r="1516" spans="1:20" ht="21.6" customHeight="1" x14ac:dyDescent="0.25">
      <c r="A1516" s="46">
        <v>1515</v>
      </c>
      <c r="B1516" s="47"/>
      <c r="T1516" s="48"/>
    </row>
    <row r="1517" spans="1:20" ht="21.6" customHeight="1" x14ac:dyDescent="0.25">
      <c r="A1517" s="46">
        <v>1516</v>
      </c>
      <c r="B1517" s="47"/>
      <c r="T1517" s="48"/>
    </row>
    <row r="1518" spans="1:20" ht="21.6" customHeight="1" x14ac:dyDescent="0.25">
      <c r="A1518" s="46">
        <v>1517</v>
      </c>
      <c r="B1518" s="47"/>
      <c r="T1518" s="48"/>
    </row>
    <row r="1519" spans="1:20" ht="21.6" customHeight="1" x14ac:dyDescent="0.25">
      <c r="A1519" s="46">
        <v>1518</v>
      </c>
      <c r="B1519" s="47"/>
      <c r="T1519" s="48"/>
    </row>
    <row r="1520" spans="1:20" ht="21.6" customHeight="1" x14ac:dyDescent="0.25">
      <c r="A1520" s="46">
        <v>1519</v>
      </c>
      <c r="B1520" s="47"/>
      <c r="T1520" s="48"/>
    </row>
    <row r="1521" spans="1:20" ht="21.6" customHeight="1" x14ac:dyDescent="0.25">
      <c r="A1521" s="46">
        <v>1520</v>
      </c>
      <c r="B1521" s="47"/>
      <c r="T1521" s="48"/>
    </row>
    <row r="1522" spans="1:20" ht="21.6" customHeight="1" x14ac:dyDescent="0.25">
      <c r="A1522" s="46">
        <v>1521</v>
      </c>
      <c r="B1522" s="47"/>
      <c r="T1522" s="48"/>
    </row>
    <row r="1523" spans="1:20" ht="21.6" customHeight="1" x14ac:dyDescent="0.25">
      <c r="A1523" s="46">
        <v>1522</v>
      </c>
      <c r="B1523" s="47"/>
      <c r="T1523" s="48"/>
    </row>
    <row r="1524" spans="1:20" ht="21.6" customHeight="1" x14ac:dyDescent="0.25">
      <c r="A1524" s="46">
        <v>1523</v>
      </c>
      <c r="B1524" s="47"/>
      <c r="T1524" s="48"/>
    </row>
    <row r="1525" spans="1:20" ht="21.6" customHeight="1" x14ac:dyDescent="0.25">
      <c r="A1525" s="46">
        <v>1524</v>
      </c>
      <c r="B1525" s="47"/>
      <c r="T1525" s="48"/>
    </row>
    <row r="1526" spans="1:20" ht="21.6" customHeight="1" x14ac:dyDescent="0.25">
      <c r="A1526" s="46">
        <v>1525</v>
      </c>
      <c r="B1526" s="47"/>
      <c r="T1526" s="48"/>
    </row>
    <row r="1527" spans="1:20" ht="21.6" customHeight="1" x14ac:dyDescent="0.25">
      <c r="A1527" s="46">
        <v>1526</v>
      </c>
      <c r="B1527" s="47"/>
      <c r="T1527" s="48"/>
    </row>
    <row r="1528" spans="1:20" ht="21.6" customHeight="1" x14ac:dyDescent="0.25">
      <c r="A1528" s="46">
        <v>1527</v>
      </c>
      <c r="B1528" s="47"/>
      <c r="T1528" s="48"/>
    </row>
    <row r="1529" spans="1:20" ht="21.6" customHeight="1" x14ac:dyDescent="0.25">
      <c r="A1529" s="46">
        <v>1528</v>
      </c>
      <c r="B1529" s="47"/>
      <c r="T1529" s="48"/>
    </row>
    <row r="1530" spans="1:20" ht="21.6" customHeight="1" x14ac:dyDescent="0.25">
      <c r="A1530" s="46">
        <v>1529</v>
      </c>
      <c r="B1530" s="47"/>
      <c r="T1530" s="48"/>
    </row>
    <row r="1531" spans="1:20" ht="21.6" customHeight="1" x14ac:dyDescent="0.25">
      <c r="A1531" s="46">
        <v>1530</v>
      </c>
      <c r="B1531" s="47"/>
      <c r="T1531" s="48"/>
    </row>
    <row r="1532" spans="1:20" ht="21.6" customHeight="1" x14ac:dyDescent="0.25">
      <c r="A1532" s="46">
        <v>1531</v>
      </c>
      <c r="B1532" s="47"/>
      <c r="T1532" s="48"/>
    </row>
    <row r="1533" spans="1:20" ht="21.6" customHeight="1" x14ac:dyDescent="0.25">
      <c r="A1533" s="46">
        <v>1532</v>
      </c>
      <c r="B1533" s="47"/>
      <c r="T1533" s="48"/>
    </row>
    <row r="1534" spans="1:20" ht="21.6" customHeight="1" x14ac:dyDescent="0.25">
      <c r="A1534" s="46">
        <v>1533</v>
      </c>
      <c r="B1534" s="47"/>
      <c r="T1534" s="48"/>
    </row>
    <row r="1535" spans="1:20" ht="21.6" customHeight="1" x14ac:dyDescent="0.25">
      <c r="A1535" s="46">
        <v>1534</v>
      </c>
      <c r="B1535" s="47"/>
      <c r="T1535" s="48"/>
    </row>
    <row r="1536" spans="1:20" ht="21.6" customHeight="1" x14ac:dyDescent="0.25">
      <c r="A1536" s="46">
        <v>1535</v>
      </c>
      <c r="B1536" s="47"/>
      <c r="T1536" s="48"/>
    </row>
    <row r="1537" spans="1:20" ht="21.6" customHeight="1" x14ac:dyDescent="0.25">
      <c r="A1537" s="46">
        <v>1536</v>
      </c>
      <c r="B1537" s="47"/>
      <c r="T1537" s="48"/>
    </row>
    <row r="1538" spans="1:20" ht="21.6" customHeight="1" x14ac:dyDescent="0.25">
      <c r="A1538" s="46">
        <v>1537</v>
      </c>
      <c r="B1538" s="47"/>
      <c r="T1538" s="48"/>
    </row>
    <row r="1539" spans="1:20" ht="21.6" customHeight="1" x14ac:dyDescent="0.25">
      <c r="A1539" s="46">
        <v>1538</v>
      </c>
      <c r="B1539" s="47"/>
      <c r="T1539" s="48"/>
    </row>
    <row r="1540" spans="1:20" ht="21.6" customHeight="1" x14ac:dyDescent="0.25">
      <c r="A1540" s="46">
        <v>1539</v>
      </c>
      <c r="B1540" s="47"/>
      <c r="T1540" s="48"/>
    </row>
    <row r="1541" spans="1:20" ht="21.6" customHeight="1" x14ac:dyDescent="0.25">
      <c r="A1541" s="46">
        <v>1540</v>
      </c>
      <c r="B1541" s="47"/>
      <c r="T1541" s="48"/>
    </row>
    <row r="1542" spans="1:20" ht="21.6" customHeight="1" x14ac:dyDescent="0.25">
      <c r="A1542" s="46">
        <v>1541</v>
      </c>
      <c r="B1542" s="47"/>
      <c r="T1542" s="48"/>
    </row>
    <row r="1543" spans="1:20" ht="21.6" customHeight="1" x14ac:dyDescent="0.25">
      <c r="A1543" s="46">
        <v>1542</v>
      </c>
      <c r="B1543" s="47"/>
      <c r="T1543" s="48"/>
    </row>
    <row r="1544" spans="1:20" ht="21.6" customHeight="1" x14ac:dyDescent="0.25">
      <c r="A1544" s="46">
        <v>1543</v>
      </c>
      <c r="B1544" s="47"/>
      <c r="T1544" s="48"/>
    </row>
    <row r="1545" spans="1:20" ht="21.6" customHeight="1" x14ac:dyDescent="0.25">
      <c r="A1545" s="46">
        <v>1544</v>
      </c>
      <c r="B1545" s="47"/>
      <c r="T1545" s="48"/>
    </row>
    <row r="1546" spans="1:20" ht="21.6" customHeight="1" x14ac:dyDescent="0.25">
      <c r="A1546" s="46">
        <v>1545</v>
      </c>
      <c r="B1546" s="47"/>
      <c r="T1546" s="48"/>
    </row>
    <row r="1547" spans="1:20" ht="21.6" customHeight="1" x14ac:dyDescent="0.25">
      <c r="A1547" s="46">
        <v>1546</v>
      </c>
      <c r="B1547" s="47"/>
      <c r="T1547" s="48"/>
    </row>
    <row r="1548" spans="1:20" ht="21.6" customHeight="1" x14ac:dyDescent="0.25">
      <c r="A1548" s="46">
        <v>1547</v>
      </c>
      <c r="B1548" s="47"/>
      <c r="T1548" s="48"/>
    </row>
    <row r="1549" spans="1:20" ht="21.6" customHeight="1" x14ac:dyDescent="0.25">
      <c r="A1549" s="46">
        <v>1548</v>
      </c>
      <c r="B1549" s="47"/>
      <c r="T1549" s="48"/>
    </row>
    <row r="1550" spans="1:20" ht="21.6" customHeight="1" x14ac:dyDescent="0.25">
      <c r="A1550" s="46">
        <v>1549</v>
      </c>
      <c r="B1550" s="47"/>
      <c r="T1550" s="48"/>
    </row>
    <row r="1551" spans="1:20" ht="21.6" customHeight="1" x14ac:dyDescent="0.25">
      <c r="A1551" s="46">
        <v>1550</v>
      </c>
      <c r="B1551" s="47"/>
      <c r="T1551" s="48"/>
    </row>
    <row r="1552" spans="1:20" ht="21.6" customHeight="1" x14ac:dyDescent="0.25">
      <c r="A1552" s="46">
        <v>1551</v>
      </c>
      <c r="B1552" s="47"/>
      <c r="T1552" s="48"/>
    </row>
    <row r="1553" spans="1:20" ht="21.6" customHeight="1" x14ac:dyDescent="0.25">
      <c r="A1553" s="46">
        <v>1552</v>
      </c>
      <c r="B1553" s="47"/>
      <c r="T1553" s="48"/>
    </row>
    <row r="1554" spans="1:20" ht="21.6" customHeight="1" x14ac:dyDescent="0.25">
      <c r="A1554" s="46">
        <v>1553</v>
      </c>
      <c r="B1554" s="47"/>
      <c r="T1554" s="48"/>
    </row>
    <row r="1555" spans="1:20" ht="21.6" customHeight="1" x14ac:dyDescent="0.25">
      <c r="A1555" s="46">
        <v>1554</v>
      </c>
      <c r="B1555" s="47"/>
      <c r="T1555" s="48"/>
    </row>
    <row r="1556" spans="1:20" ht="21.6" customHeight="1" x14ac:dyDescent="0.25">
      <c r="A1556" s="46">
        <v>1555</v>
      </c>
      <c r="B1556" s="47"/>
      <c r="T1556" s="48"/>
    </row>
    <row r="1557" spans="1:20" ht="21.6" customHeight="1" x14ac:dyDescent="0.25">
      <c r="A1557" s="46">
        <v>1556</v>
      </c>
      <c r="B1557" s="47"/>
      <c r="T1557" s="48"/>
    </row>
    <row r="1558" spans="1:20" ht="21.6" customHeight="1" x14ac:dyDescent="0.25">
      <c r="A1558" s="46">
        <v>1557</v>
      </c>
      <c r="B1558" s="47"/>
      <c r="T1558" s="48"/>
    </row>
    <row r="1559" spans="1:20" ht="21.6" customHeight="1" x14ac:dyDescent="0.25">
      <c r="A1559" s="46">
        <v>1558</v>
      </c>
      <c r="B1559" s="47"/>
      <c r="T1559" s="48"/>
    </row>
    <row r="1560" spans="1:20" ht="21.6" customHeight="1" x14ac:dyDescent="0.25">
      <c r="A1560" s="46">
        <v>1559</v>
      </c>
      <c r="B1560" s="47"/>
      <c r="T1560" s="48"/>
    </row>
    <row r="1561" spans="1:20" ht="21.6" customHeight="1" x14ac:dyDescent="0.25">
      <c r="A1561" s="46">
        <v>1560</v>
      </c>
      <c r="B1561" s="47"/>
      <c r="T1561" s="48"/>
    </row>
    <row r="1562" spans="1:20" ht="21.6" customHeight="1" x14ac:dyDescent="0.25">
      <c r="A1562" s="46">
        <v>1561</v>
      </c>
      <c r="B1562" s="47"/>
      <c r="T1562" s="48"/>
    </row>
    <row r="1563" spans="1:20" ht="21.6" customHeight="1" x14ac:dyDescent="0.25">
      <c r="A1563" s="46">
        <v>1562</v>
      </c>
      <c r="B1563" s="47"/>
      <c r="T1563" s="48"/>
    </row>
    <row r="1564" spans="1:20" ht="21.6" customHeight="1" x14ac:dyDescent="0.25">
      <c r="A1564" s="46">
        <v>1563</v>
      </c>
      <c r="B1564" s="47"/>
      <c r="T1564" s="48"/>
    </row>
    <row r="1565" spans="1:20" ht="21.6" customHeight="1" x14ac:dyDescent="0.25">
      <c r="A1565" s="46">
        <v>1564</v>
      </c>
      <c r="B1565" s="47"/>
      <c r="T1565" s="48"/>
    </row>
    <row r="1566" spans="1:20" ht="21.6" customHeight="1" x14ac:dyDescent="0.25">
      <c r="A1566" s="46">
        <v>1565</v>
      </c>
      <c r="B1566" s="47"/>
      <c r="T1566" s="48"/>
    </row>
    <row r="1567" spans="1:20" ht="21.6" customHeight="1" x14ac:dyDescent="0.25">
      <c r="A1567" s="46">
        <v>1566</v>
      </c>
      <c r="B1567" s="47"/>
      <c r="T1567" s="48"/>
    </row>
    <row r="1568" spans="1:20" ht="21.6" customHeight="1" x14ac:dyDescent="0.25">
      <c r="A1568" s="46">
        <v>1567</v>
      </c>
      <c r="B1568" s="47"/>
      <c r="T1568" s="48"/>
    </row>
    <row r="1569" spans="1:20" ht="21.6" customHeight="1" x14ac:dyDescent="0.25">
      <c r="A1569" s="46">
        <v>1568</v>
      </c>
      <c r="B1569" s="47"/>
      <c r="T1569" s="48"/>
    </row>
    <row r="1570" spans="1:20" ht="21.6" customHeight="1" x14ac:dyDescent="0.25">
      <c r="A1570" s="46">
        <v>1569</v>
      </c>
      <c r="B1570" s="47"/>
      <c r="T1570" s="48"/>
    </row>
    <row r="1571" spans="1:20" ht="21.6" customHeight="1" x14ac:dyDescent="0.25">
      <c r="A1571" s="46">
        <v>1570</v>
      </c>
      <c r="B1571" s="47"/>
      <c r="T1571" s="48"/>
    </row>
    <row r="1572" spans="1:20" ht="21.6" customHeight="1" x14ac:dyDescent="0.25">
      <c r="A1572" s="46">
        <v>1571</v>
      </c>
      <c r="B1572" s="47"/>
      <c r="T1572" s="48"/>
    </row>
    <row r="1573" spans="1:20" ht="21.6" customHeight="1" x14ac:dyDescent="0.25">
      <c r="A1573" s="46">
        <v>1572</v>
      </c>
      <c r="B1573" s="47"/>
      <c r="T1573" s="48"/>
    </row>
    <row r="1574" spans="1:20" ht="21.6" customHeight="1" x14ac:dyDescent="0.25">
      <c r="A1574" s="46">
        <v>1573</v>
      </c>
      <c r="B1574" s="47"/>
      <c r="T1574" s="48"/>
    </row>
    <row r="1575" spans="1:20" ht="21.6" customHeight="1" x14ac:dyDescent="0.25">
      <c r="A1575" s="46">
        <v>1574</v>
      </c>
      <c r="B1575" s="47"/>
      <c r="T1575" s="48"/>
    </row>
    <row r="1576" spans="1:20" ht="21.6" customHeight="1" x14ac:dyDescent="0.25">
      <c r="A1576" s="46">
        <v>1575</v>
      </c>
      <c r="B1576" s="47"/>
      <c r="T1576" s="48"/>
    </row>
    <row r="1577" spans="1:20" ht="21.6" customHeight="1" x14ac:dyDescent="0.25">
      <c r="A1577" s="46">
        <v>1576</v>
      </c>
      <c r="B1577" s="47"/>
      <c r="T1577" s="48"/>
    </row>
    <row r="1578" spans="1:20" ht="21.6" customHeight="1" x14ac:dyDescent="0.25">
      <c r="A1578" s="46">
        <v>1577</v>
      </c>
      <c r="B1578" s="47"/>
      <c r="T1578" s="48"/>
    </row>
    <row r="1579" spans="1:20" ht="21.6" customHeight="1" x14ac:dyDescent="0.25">
      <c r="A1579" s="46">
        <v>1578</v>
      </c>
      <c r="B1579" s="47"/>
      <c r="T1579" s="48"/>
    </row>
    <row r="1580" spans="1:20" ht="21.6" customHeight="1" x14ac:dyDescent="0.25">
      <c r="A1580" s="46">
        <v>1579</v>
      </c>
      <c r="B1580" s="47"/>
      <c r="T1580" s="48"/>
    </row>
    <row r="1581" spans="1:20" ht="21.6" customHeight="1" x14ac:dyDescent="0.25">
      <c r="A1581" s="46">
        <v>1580</v>
      </c>
      <c r="B1581" s="47"/>
      <c r="T1581" s="48"/>
    </row>
    <row r="1582" spans="1:20" ht="21.6" customHeight="1" x14ac:dyDescent="0.25">
      <c r="A1582" s="46">
        <v>1581</v>
      </c>
      <c r="B1582" s="47"/>
      <c r="T1582" s="48"/>
    </row>
    <row r="1583" spans="1:20" ht="21.6" customHeight="1" x14ac:dyDescent="0.25">
      <c r="A1583" s="46">
        <v>1582</v>
      </c>
      <c r="B1583" s="47"/>
      <c r="T1583" s="48"/>
    </row>
    <row r="1584" spans="1:20" ht="21.6" customHeight="1" x14ac:dyDescent="0.25">
      <c r="A1584" s="46">
        <v>1583</v>
      </c>
      <c r="B1584" s="47"/>
      <c r="T1584" s="48"/>
    </row>
    <row r="1585" spans="1:20" ht="21.6" customHeight="1" x14ac:dyDescent="0.25">
      <c r="A1585" s="46">
        <v>1584</v>
      </c>
      <c r="B1585" s="47"/>
      <c r="T1585" s="48"/>
    </row>
    <row r="1586" spans="1:20" ht="21.6" customHeight="1" x14ac:dyDescent="0.25">
      <c r="A1586" s="46">
        <v>1585</v>
      </c>
      <c r="B1586" s="47"/>
      <c r="T1586" s="48"/>
    </row>
    <row r="1587" spans="1:20" ht="21.6" customHeight="1" x14ac:dyDescent="0.25">
      <c r="A1587" s="46">
        <v>1586</v>
      </c>
      <c r="B1587" s="47"/>
      <c r="T1587" s="48"/>
    </row>
    <row r="1588" spans="1:20" ht="21.6" customHeight="1" x14ac:dyDescent="0.25">
      <c r="A1588" s="46">
        <v>1587</v>
      </c>
      <c r="B1588" s="47"/>
      <c r="T1588" s="48"/>
    </row>
    <row r="1589" spans="1:20" ht="21.6" customHeight="1" x14ac:dyDescent="0.25">
      <c r="A1589" s="46">
        <v>1588</v>
      </c>
      <c r="B1589" s="47"/>
      <c r="T1589" s="48"/>
    </row>
    <row r="1590" spans="1:20" ht="21.6" customHeight="1" x14ac:dyDescent="0.25">
      <c r="A1590" s="46">
        <v>1589</v>
      </c>
      <c r="B1590" s="47"/>
      <c r="T1590" s="48"/>
    </row>
    <row r="1591" spans="1:20" ht="21.6" customHeight="1" x14ac:dyDescent="0.25">
      <c r="A1591" s="46">
        <v>1590</v>
      </c>
      <c r="B1591" s="47"/>
      <c r="T1591" s="48"/>
    </row>
    <row r="1592" spans="1:20" ht="21.6" customHeight="1" x14ac:dyDescent="0.25">
      <c r="A1592" s="46">
        <v>1591</v>
      </c>
      <c r="B1592" s="47"/>
      <c r="T1592" s="48"/>
    </row>
    <row r="1593" spans="1:20" ht="21.6" customHeight="1" x14ac:dyDescent="0.25">
      <c r="A1593" s="46">
        <v>1592</v>
      </c>
      <c r="B1593" s="47"/>
      <c r="T1593" s="48"/>
    </row>
    <row r="1594" spans="1:20" ht="21.6" customHeight="1" x14ac:dyDescent="0.25">
      <c r="A1594" s="46">
        <v>1593</v>
      </c>
      <c r="B1594" s="47"/>
      <c r="T1594" s="48"/>
    </row>
    <row r="1595" spans="1:20" ht="21.6" customHeight="1" x14ac:dyDescent="0.25">
      <c r="A1595" s="46">
        <v>1594</v>
      </c>
      <c r="B1595" s="47"/>
      <c r="T1595" s="48"/>
    </row>
    <row r="1596" spans="1:20" ht="21.6" customHeight="1" x14ac:dyDescent="0.25">
      <c r="A1596" s="46">
        <v>1595</v>
      </c>
      <c r="B1596" s="47"/>
      <c r="T1596" s="48"/>
    </row>
    <row r="1597" spans="1:20" ht="21.6" customHeight="1" x14ac:dyDescent="0.25">
      <c r="A1597" s="46">
        <v>1596</v>
      </c>
      <c r="B1597" s="47"/>
      <c r="T1597" s="48"/>
    </row>
    <row r="1598" spans="1:20" ht="21.6" customHeight="1" x14ac:dyDescent="0.25">
      <c r="A1598" s="46">
        <v>1597</v>
      </c>
      <c r="B1598" s="47"/>
      <c r="T1598" s="48"/>
    </row>
    <row r="1599" spans="1:20" ht="21.6" customHeight="1" x14ac:dyDescent="0.25">
      <c r="A1599" s="46">
        <v>1598</v>
      </c>
      <c r="B1599" s="47"/>
      <c r="T1599" s="48"/>
    </row>
    <row r="1600" spans="1:20" ht="21.6" customHeight="1" x14ac:dyDescent="0.25">
      <c r="A1600" s="46">
        <v>1599</v>
      </c>
      <c r="B1600" s="47"/>
      <c r="T1600" s="48"/>
    </row>
    <row r="1601" spans="1:20" ht="21.6" customHeight="1" x14ac:dyDescent="0.25">
      <c r="A1601" s="46">
        <v>1600</v>
      </c>
      <c r="B1601" s="47"/>
      <c r="T1601" s="48"/>
    </row>
    <row r="1602" spans="1:20" ht="21.6" customHeight="1" x14ac:dyDescent="0.25">
      <c r="A1602" s="46">
        <v>1601</v>
      </c>
      <c r="B1602" s="47"/>
      <c r="T1602" s="48"/>
    </row>
    <row r="1603" spans="1:20" ht="21.6" customHeight="1" x14ac:dyDescent="0.25">
      <c r="A1603" s="46">
        <v>1602</v>
      </c>
      <c r="B1603" s="47"/>
      <c r="T1603" s="48"/>
    </row>
    <row r="1604" spans="1:20" ht="21.6" customHeight="1" x14ac:dyDescent="0.25">
      <c r="A1604" s="46">
        <v>1603</v>
      </c>
      <c r="B1604" s="47"/>
      <c r="T1604" s="48"/>
    </row>
    <row r="1605" spans="1:20" ht="21.6" customHeight="1" x14ac:dyDescent="0.25">
      <c r="A1605" s="46">
        <v>1604</v>
      </c>
      <c r="B1605" s="47"/>
      <c r="T1605" s="48"/>
    </row>
    <row r="1606" spans="1:20" ht="21.6" customHeight="1" x14ac:dyDescent="0.25">
      <c r="A1606" s="46">
        <v>1605</v>
      </c>
      <c r="B1606" s="47"/>
      <c r="T1606" s="48"/>
    </row>
    <row r="1607" spans="1:20" ht="21.6" customHeight="1" x14ac:dyDescent="0.25">
      <c r="A1607" s="46">
        <v>1606</v>
      </c>
      <c r="B1607" s="47"/>
      <c r="T1607" s="48"/>
    </row>
    <row r="1608" spans="1:20" ht="21.6" customHeight="1" x14ac:dyDescent="0.25">
      <c r="A1608" s="46">
        <v>1607</v>
      </c>
      <c r="B1608" s="47"/>
      <c r="T1608" s="48"/>
    </row>
    <row r="1609" spans="1:20" ht="21.6" customHeight="1" x14ac:dyDescent="0.25">
      <c r="A1609" s="46">
        <v>1608</v>
      </c>
      <c r="B1609" s="47"/>
      <c r="T1609" s="48"/>
    </row>
    <row r="1610" spans="1:20" ht="21.6" customHeight="1" x14ac:dyDescent="0.25">
      <c r="A1610" s="46">
        <v>1609</v>
      </c>
      <c r="B1610" s="47"/>
      <c r="T1610" s="48"/>
    </row>
    <row r="1611" spans="1:20" ht="21.6" customHeight="1" x14ac:dyDescent="0.25">
      <c r="A1611" s="46">
        <v>1610</v>
      </c>
      <c r="B1611" s="47"/>
      <c r="T1611" s="48"/>
    </row>
    <row r="1612" spans="1:20" ht="21.6" customHeight="1" x14ac:dyDescent="0.25">
      <c r="A1612" s="46">
        <v>1611</v>
      </c>
      <c r="B1612" s="47"/>
      <c r="T1612" s="48"/>
    </row>
    <row r="1613" spans="1:20" ht="21.6" customHeight="1" x14ac:dyDescent="0.25">
      <c r="A1613" s="46">
        <v>1612</v>
      </c>
      <c r="B1613" s="47"/>
      <c r="T1613" s="48"/>
    </row>
    <row r="1614" spans="1:20" ht="21.6" customHeight="1" x14ac:dyDescent="0.25">
      <c r="A1614" s="46">
        <v>1613</v>
      </c>
      <c r="B1614" s="47"/>
      <c r="T1614" s="48"/>
    </row>
    <row r="1615" spans="1:20" ht="21.6" customHeight="1" x14ac:dyDescent="0.25">
      <c r="A1615" s="46">
        <v>1614</v>
      </c>
      <c r="B1615" s="47"/>
      <c r="T1615" s="48"/>
    </row>
    <row r="1616" spans="1:20" ht="21.6" customHeight="1" x14ac:dyDescent="0.25">
      <c r="A1616" s="46">
        <v>1615</v>
      </c>
      <c r="B1616" s="47"/>
      <c r="T1616" s="48"/>
    </row>
    <row r="1617" spans="1:20" ht="21.6" customHeight="1" x14ac:dyDescent="0.25">
      <c r="A1617" s="46">
        <v>1616</v>
      </c>
      <c r="B1617" s="47"/>
      <c r="T1617" s="48"/>
    </row>
    <row r="1618" spans="1:20" ht="21.6" customHeight="1" x14ac:dyDescent="0.25">
      <c r="A1618" s="46">
        <v>1617</v>
      </c>
      <c r="B1618" s="47"/>
      <c r="T1618" s="48"/>
    </row>
    <row r="1619" spans="1:20" ht="21.6" customHeight="1" x14ac:dyDescent="0.25">
      <c r="A1619" s="46">
        <v>1618</v>
      </c>
      <c r="B1619" s="47"/>
      <c r="T1619" s="48"/>
    </row>
    <row r="1620" spans="1:20" ht="21.6" customHeight="1" x14ac:dyDescent="0.25">
      <c r="A1620" s="46">
        <v>1619</v>
      </c>
      <c r="B1620" s="47"/>
      <c r="T1620" s="48"/>
    </row>
    <row r="1621" spans="1:20" ht="21.6" customHeight="1" x14ac:dyDescent="0.25">
      <c r="A1621" s="46">
        <v>1620</v>
      </c>
      <c r="B1621" s="47"/>
      <c r="T1621" s="48"/>
    </row>
    <row r="1622" spans="1:20" ht="21.6" customHeight="1" x14ac:dyDescent="0.25">
      <c r="A1622" s="46">
        <v>1621</v>
      </c>
      <c r="B1622" s="47"/>
      <c r="T1622" s="48"/>
    </row>
    <row r="1623" spans="1:20" ht="21.6" customHeight="1" x14ac:dyDescent="0.25">
      <c r="A1623" s="46">
        <v>1622</v>
      </c>
      <c r="B1623" s="47"/>
      <c r="T1623" s="48"/>
    </row>
    <row r="1624" spans="1:20" ht="21.6" customHeight="1" x14ac:dyDescent="0.25">
      <c r="A1624" s="46">
        <v>1623</v>
      </c>
      <c r="B1624" s="47"/>
      <c r="T1624" s="48"/>
    </row>
    <row r="1625" spans="1:20" ht="21.6" customHeight="1" x14ac:dyDescent="0.25">
      <c r="A1625" s="46">
        <v>1624</v>
      </c>
      <c r="B1625" s="47"/>
      <c r="T1625" s="48"/>
    </row>
    <row r="1626" spans="1:20" ht="21.6" customHeight="1" x14ac:dyDescent="0.25">
      <c r="A1626" s="46">
        <v>1625</v>
      </c>
      <c r="B1626" s="47"/>
      <c r="T1626" s="48"/>
    </row>
    <row r="1627" spans="1:20" ht="21.6" customHeight="1" x14ac:dyDescent="0.25">
      <c r="A1627" s="46">
        <v>1626</v>
      </c>
      <c r="B1627" s="47"/>
      <c r="T1627" s="48"/>
    </row>
    <row r="1628" spans="1:20" ht="21.6" customHeight="1" x14ac:dyDescent="0.25">
      <c r="A1628" s="46">
        <v>1627</v>
      </c>
      <c r="B1628" s="47"/>
      <c r="T1628" s="48"/>
    </row>
    <row r="1629" spans="1:20" ht="21.6" customHeight="1" x14ac:dyDescent="0.25">
      <c r="A1629" s="46">
        <v>1628</v>
      </c>
      <c r="B1629" s="47"/>
      <c r="T1629" s="48"/>
    </row>
    <row r="1630" spans="1:20" ht="21.6" customHeight="1" x14ac:dyDescent="0.25">
      <c r="A1630" s="46">
        <v>1629</v>
      </c>
      <c r="B1630" s="47"/>
      <c r="T1630" s="48"/>
    </row>
    <row r="1631" spans="1:20" ht="21.6" customHeight="1" x14ac:dyDescent="0.25">
      <c r="A1631" s="46">
        <v>1630</v>
      </c>
      <c r="B1631" s="47"/>
      <c r="T1631" s="48"/>
    </row>
    <row r="1632" spans="1:20" ht="21.6" customHeight="1" x14ac:dyDescent="0.25">
      <c r="A1632" s="46">
        <v>1631</v>
      </c>
      <c r="B1632" s="47"/>
      <c r="T1632" s="48"/>
    </row>
    <row r="1633" spans="1:20" ht="21.6" customHeight="1" x14ac:dyDescent="0.25">
      <c r="A1633" s="46">
        <v>1632</v>
      </c>
      <c r="B1633" s="47"/>
      <c r="T1633" s="48"/>
    </row>
    <row r="1634" spans="1:20" ht="21.6" customHeight="1" x14ac:dyDescent="0.25">
      <c r="A1634" s="46">
        <v>1633</v>
      </c>
      <c r="B1634" s="47"/>
      <c r="T1634" s="48"/>
    </row>
    <row r="1635" spans="1:20" ht="21.6" customHeight="1" x14ac:dyDescent="0.25">
      <c r="A1635" s="46">
        <v>1634</v>
      </c>
      <c r="B1635" s="47"/>
      <c r="T1635" s="48"/>
    </row>
    <row r="1636" spans="1:20" ht="21.6" customHeight="1" x14ac:dyDescent="0.25">
      <c r="A1636" s="46">
        <v>1635</v>
      </c>
      <c r="B1636" s="47"/>
      <c r="T1636" s="48"/>
    </row>
    <row r="1637" spans="1:20" ht="21.6" customHeight="1" x14ac:dyDescent="0.25">
      <c r="A1637" s="46">
        <v>1636</v>
      </c>
      <c r="B1637" s="47"/>
      <c r="T1637" s="48"/>
    </row>
    <row r="1638" spans="1:20" ht="21.6" customHeight="1" x14ac:dyDescent="0.25">
      <c r="A1638" s="46">
        <v>1637</v>
      </c>
      <c r="B1638" s="47"/>
      <c r="T1638" s="48"/>
    </row>
    <row r="1639" spans="1:20" ht="21.6" customHeight="1" x14ac:dyDescent="0.25">
      <c r="A1639" s="46">
        <v>1638</v>
      </c>
      <c r="B1639" s="47"/>
      <c r="T1639" s="48"/>
    </row>
    <row r="1640" spans="1:20" ht="21.6" customHeight="1" x14ac:dyDescent="0.25">
      <c r="A1640" s="46">
        <v>1639</v>
      </c>
      <c r="B1640" s="47"/>
      <c r="T1640" s="48"/>
    </row>
    <row r="1641" spans="1:20" ht="21.6" customHeight="1" x14ac:dyDescent="0.25">
      <c r="A1641" s="46">
        <v>1640</v>
      </c>
      <c r="B1641" s="47"/>
      <c r="T1641" s="48"/>
    </row>
    <row r="1642" spans="1:20" ht="21.6" customHeight="1" x14ac:dyDescent="0.25">
      <c r="A1642" s="46">
        <v>1641</v>
      </c>
      <c r="B1642" s="47"/>
      <c r="T1642" s="48"/>
    </row>
    <row r="1643" spans="1:20" ht="21.6" customHeight="1" x14ac:dyDescent="0.25">
      <c r="A1643" s="46">
        <v>1642</v>
      </c>
      <c r="B1643" s="47"/>
      <c r="T1643" s="48"/>
    </row>
    <row r="1644" spans="1:20" ht="21.6" customHeight="1" x14ac:dyDescent="0.25">
      <c r="A1644" s="46">
        <v>1643</v>
      </c>
      <c r="B1644" s="47"/>
      <c r="T1644" s="48"/>
    </row>
    <row r="1645" spans="1:20" ht="21.6" customHeight="1" x14ac:dyDescent="0.25">
      <c r="A1645" s="46">
        <v>1644</v>
      </c>
      <c r="B1645" s="47"/>
      <c r="T1645" s="48"/>
    </row>
    <row r="1646" spans="1:20" ht="21.6" customHeight="1" x14ac:dyDescent="0.25">
      <c r="A1646" s="46">
        <v>1645</v>
      </c>
      <c r="B1646" s="47"/>
      <c r="T1646" s="48"/>
    </row>
    <row r="1647" spans="1:20" ht="21.6" customHeight="1" x14ac:dyDescent="0.25">
      <c r="A1647" s="46">
        <v>1646</v>
      </c>
      <c r="B1647" s="47"/>
      <c r="T1647" s="48"/>
    </row>
    <row r="1648" spans="1:20" ht="21.6" customHeight="1" x14ac:dyDescent="0.25">
      <c r="A1648" s="46">
        <v>1647</v>
      </c>
      <c r="B1648" s="47"/>
      <c r="T1648" s="48"/>
    </row>
    <row r="1649" spans="1:20" ht="21.6" customHeight="1" x14ac:dyDescent="0.25">
      <c r="A1649" s="46">
        <v>1648</v>
      </c>
      <c r="B1649" s="47"/>
      <c r="T1649" s="48"/>
    </row>
    <row r="1650" spans="1:20" ht="21.6" customHeight="1" x14ac:dyDescent="0.25">
      <c r="A1650" s="46">
        <v>1649</v>
      </c>
      <c r="B1650" s="47"/>
      <c r="T1650" s="48"/>
    </row>
    <row r="1651" spans="1:20" ht="21.6" customHeight="1" x14ac:dyDescent="0.25">
      <c r="A1651" s="46">
        <v>1650</v>
      </c>
      <c r="B1651" s="47"/>
      <c r="T1651" s="48"/>
    </row>
    <row r="1652" spans="1:20" ht="21.6" customHeight="1" x14ac:dyDescent="0.25">
      <c r="A1652" s="46">
        <v>1651</v>
      </c>
      <c r="B1652" s="47"/>
      <c r="T1652" s="48"/>
    </row>
    <row r="1653" spans="1:20" ht="21.6" customHeight="1" x14ac:dyDescent="0.25">
      <c r="A1653" s="46">
        <v>1652</v>
      </c>
      <c r="B1653" s="47"/>
      <c r="T1653" s="48"/>
    </row>
    <row r="1654" spans="1:20" ht="21.6" customHeight="1" x14ac:dyDescent="0.25">
      <c r="A1654" s="46">
        <v>1653</v>
      </c>
      <c r="B1654" s="47"/>
      <c r="T1654" s="48"/>
    </row>
    <row r="1655" spans="1:20" ht="21.6" customHeight="1" x14ac:dyDescent="0.25">
      <c r="A1655" s="46">
        <v>1654</v>
      </c>
      <c r="B1655" s="47"/>
      <c r="T1655" s="48"/>
    </row>
    <row r="1656" spans="1:20" ht="21.6" customHeight="1" x14ac:dyDescent="0.25">
      <c r="A1656" s="46">
        <v>1655</v>
      </c>
      <c r="B1656" s="47"/>
      <c r="T1656" s="48"/>
    </row>
    <row r="1657" spans="1:20" ht="21.6" customHeight="1" x14ac:dyDescent="0.25">
      <c r="A1657" s="46">
        <v>1656</v>
      </c>
      <c r="B1657" s="47"/>
      <c r="T1657" s="48"/>
    </row>
    <row r="1658" spans="1:20" ht="21.6" customHeight="1" x14ac:dyDescent="0.25">
      <c r="A1658" s="46">
        <v>1657</v>
      </c>
      <c r="B1658" s="47"/>
      <c r="T1658" s="48"/>
    </row>
    <row r="1659" spans="1:20" ht="21.6" customHeight="1" x14ac:dyDescent="0.25">
      <c r="A1659" s="46">
        <v>1658</v>
      </c>
      <c r="B1659" s="47"/>
      <c r="T1659" s="48"/>
    </row>
    <row r="1660" spans="1:20" ht="21.6" customHeight="1" x14ac:dyDescent="0.25">
      <c r="A1660" s="46">
        <v>1659</v>
      </c>
      <c r="B1660" s="47"/>
      <c r="T1660" s="48"/>
    </row>
    <row r="1661" spans="1:20" ht="21.6" customHeight="1" x14ac:dyDescent="0.25">
      <c r="A1661" s="46">
        <v>1660</v>
      </c>
      <c r="B1661" s="47"/>
      <c r="T1661" s="48"/>
    </row>
    <row r="1662" spans="1:20" ht="21.6" customHeight="1" x14ac:dyDescent="0.25">
      <c r="A1662" s="46">
        <v>1661</v>
      </c>
      <c r="B1662" s="47"/>
      <c r="T1662" s="48"/>
    </row>
    <row r="1663" spans="1:20" ht="21.6" customHeight="1" x14ac:dyDescent="0.25">
      <c r="A1663" s="46">
        <v>1662</v>
      </c>
      <c r="B1663" s="47"/>
      <c r="T1663" s="48"/>
    </row>
    <row r="1664" spans="1:20" ht="21.6" customHeight="1" x14ac:dyDescent="0.25">
      <c r="A1664" s="46">
        <v>1663</v>
      </c>
      <c r="B1664" s="47"/>
      <c r="T1664" s="48"/>
    </row>
    <row r="1665" spans="1:20" ht="21.6" customHeight="1" x14ac:dyDescent="0.25">
      <c r="A1665" s="46">
        <v>1664</v>
      </c>
      <c r="B1665" s="47"/>
      <c r="T1665" s="48"/>
    </row>
    <row r="1666" spans="1:20" ht="21.6" customHeight="1" x14ac:dyDescent="0.25">
      <c r="A1666" s="46">
        <v>1665</v>
      </c>
      <c r="B1666" s="47"/>
      <c r="T1666" s="48"/>
    </row>
    <row r="1667" spans="1:20" ht="21.6" customHeight="1" x14ac:dyDescent="0.25">
      <c r="A1667" s="46">
        <v>1666</v>
      </c>
      <c r="B1667" s="47"/>
      <c r="T1667" s="48"/>
    </row>
    <row r="1668" spans="1:20" ht="21.6" customHeight="1" x14ac:dyDescent="0.25">
      <c r="A1668" s="46">
        <v>1667</v>
      </c>
      <c r="B1668" s="47"/>
      <c r="T1668" s="48"/>
    </row>
    <row r="1669" spans="1:20" ht="21.6" customHeight="1" x14ac:dyDescent="0.25">
      <c r="A1669" s="46">
        <v>1668</v>
      </c>
      <c r="B1669" s="47"/>
      <c r="T1669" s="48"/>
    </row>
    <row r="1670" spans="1:20" ht="21.6" customHeight="1" x14ac:dyDescent="0.25">
      <c r="A1670" s="46">
        <v>1669</v>
      </c>
      <c r="B1670" s="47"/>
      <c r="T1670" s="48"/>
    </row>
    <row r="1671" spans="1:20" ht="21.6" customHeight="1" x14ac:dyDescent="0.25">
      <c r="A1671" s="46">
        <v>1670</v>
      </c>
      <c r="B1671" s="47"/>
      <c r="T1671" s="48"/>
    </row>
    <row r="1672" spans="1:20" ht="21.6" customHeight="1" x14ac:dyDescent="0.25">
      <c r="A1672" s="46">
        <v>1671</v>
      </c>
      <c r="B1672" s="47"/>
      <c r="T1672" s="48"/>
    </row>
    <row r="1673" spans="1:20" ht="21.6" customHeight="1" x14ac:dyDescent="0.25">
      <c r="A1673" s="46">
        <v>1672</v>
      </c>
      <c r="B1673" s="47"/>
      <c r="T1673" s="48"/>
    </row>
    <row r="1674" spans="1:20" ht="21.6" customHeight="1" x14ac:dyDescent="0.25">
      <c r="A1674" s="46">
        <v>1673</v>
      </c>
      <c r="B1674" s="47"/>
      <c r="T1674" s="48"/>
    </row>
    <row r="1675" spans="1:20" ht="21.6" customHeight="1" x14ac:dyDescent="0.25">
      <c r="A1675" s="46">
        <v>1674</v>
      </c>
      <c r="B1675" s="47"/>
      <c r="T1675" s="48"/>
    </row>
    <row r="1676" spans="1:20" ht="21.6" customHeight="1" x14ac:dyDescent="0.25">
      <c r="A1676" s="46">
        <v>1675</v>
      </c>
      <c r="B1676" s="47"/>
      <c r="T1676" s="48"/>
    </row>
    <row r="1677" spans="1:20" ht="21.6" customHeight="1" x14ac:dyDescent="0.25">
      <c r="A1677" s="46">
        <v>1676</v>
      </c>
      <c r="B1677" s="47"/>
      <c r="T1677" s="48"/>
    </row>
    <row r="1678" spans="1:20" ht="21.6" customHeight="1" x14ac:dyDescent="0.25">
      <c r="A1678" s="46">
        <v>1677</v>
      </c>
      <c r="B1678" s="47"/>
      <c r="T1678" s="48"/>
    </row>
    <row r="1679" spans="1:20" ht="21.6" customHeight="1" x14ac:dyDescent="0.25">
      <c r="A1679" s="46">
        <v>1678</v>
      </c>
      <c r="B1679" s="47"/>
      <c r="T1679" s="48"/>
    </row>
    <row r="1680" spans="1:20" ht="21.6" customHeight="1" x14ac:dyDescent="0.25">
      <c r="A1680" s="46">
        <v>1679</v>
      </c>
      <c r="B1680" s="47"/>
      <c r="T1680" s="48"/>
    </row>
    <row r="1681" spans="1:20" ht="21.6" customHeight="1" x14ac:dyDescent="0.25">
      <c r="A1681" s="46">
        <v>1680</v>
      </c>
      <c r="B1681" s="47"/>
      <c r="T1681" s="48"/>
    </row>
    <row r="1682" spans="1:20" ht="21.6" customHeight="1" x14ac:dyDescent="0.25">
      <c r="A1682" s="46">
        <v>1681</v>
      </c>
      <c r="B1682" s="47"/>
      <c r="T1682" s="48"/>
    </row>
    <row r="1683" spans="1:20" ht="21.6" customHeight="1" x14ac:dyDescent="0.25">
      <c r="A1683" s="46">
        <v>1682</v>
      </c>
      <c r="B1683" s="47"/>
      <c r="T1683" s="48"/>
    </row>
    <row r="1684" spans="1:20" ht="21.6" customHeight="1" x14ac:dyDescent="0.25">
      <c r="A1684" s="46">
        <v>1683</v>
      </c>
      <c r="B1684" s="47"/>
      <c r="T1684" s="48"/>
    </row>
    <row r="1685" spans="1:20" ht="21.6" customHeight="1" x14ac:dyDescent="0.25">
      <c r="A1685" s="46">
        <v>1684</v>
      </c>
      <c r="B1685" s="47"/>
      <c r="T1685" s="48"/>
    </row>
    <row r="1686" spans="1:20" ht="21.6" customHeight="1" x14ac:dyDescent="0.25">
      <c r="A1686" s="46">
        <v>1685</v>
      </c>
      <c r="B1686" s="47"/>
      <c r="T1686" s="48"/>
    </row>
    <row r="1687" spans="1:20" ht="21.6" customHeight="1" x14ac:dyDescent="0.25">
      <c r="A1687" s="46">
        <v>1686</v>
      </c>
      <c r="B1687" s="47"/>
      <c r="T1687" s="48"/>
    </row>
    <row r="1688" spans="1:20" ht="21.6" customHeight="1" x14ac:dyDescent="0.25">
      <c r="A1688" s="46">
        <v>1687</v>
      </c>
      <c r="B1688" s="47"/>
      <c r="T1688" s="48"/>
    </row>
    <row r="1689" spans="1:20" ht="21.6" customHeight="1" x14ac:dyDescent="0.25">
      <c r="A1689" s="46">
        <v>1688</v>
      </c>
      <c r="B1689" s="47"/>
      <c r="T1689" s="48"/>
    </row>
    <row r="1690" spans="1:20" ht="21.6" customHeight="1" x14ac:dyDescent="0.25">
      <c r="A1690" s="46">
        <v>1689</v>
      </c>
      <c r="B1690" s="47"/>
      <c r="T1690" s="48"/>
    </row>
    <row r="1691" spans="1:20" ht="21.6" customHeight="1" x14ac:dyDescent="0.25">
      <c r="A1691" s="46">
        <v>1690</v>
      </c>
      <c r="B1691" s="47"/>
      <c r="T1691" s="48"/>
    </row>
    <row r="1692" spans="1:20" ht="21.6" customHeight="1" x14ac:dyDescent="0.25">
      <c r="A1692" s="46">
        <v>1691</v>
      </c>
      <c r="B1692" s="47"/>
      <c r="T1692" s="48"/>
    </row>
    <row r="1693" spans="1:20" ht="21.6" customHeight="1" x14ac:dyDescent="0.25">
      <c r="A1693" s="46">
        <v>1692</v>
      </c>
      <c r="B1693" s="47"/>
      <c r="T1693" s="48"/>
    </row>
    <row r="1694" spans="1:20" ht="21.6" customHeight="1" x14ac:dyDescent="0.25">
      <c r="A1694" s="46">
        <v>1693</v>
      </c>
      <c r="B1694" s="47"/>
      <c r="T1694" s="48"/>
    </row>
    <row r="1695" spans="1:20" ht="21.6" customHeight="1" x14ac:dyDescent="0.25">
      <c r="A1695" s="46">
        <v>1694</v>
      </c>
      <c r="B1695" s="47"/>
      <c r="T1695" s="48"/>
    </row>
    <row r="1696" spans="1:20" ht="21.6" customHeight="1" x14ac:dyDescent="0.25">
      <c r="A1696" s="46">
        <v>1695</v>
      </c>
      <c r="B1696" s="47"/>
      <c r="T1696" s="48"/>
    </row>
    <row r="1697" spans="1:20" ht="21.6" customHeight="1" x14ac:dyDescent="0.25">
      <c r="A1697" s="46">
        <v>1696</v>
      </c>
      <c r="B1697" s="47"/>
      <c r="T1697" s="48"/>
    </row>
    <row r="1698" spans="1:20" ht="21.6" customHeight="1" x14ac:dyDescent="0.25">
      <c r="A1698" s="46">
        <v>1697</v>
      </c>
      <c r="B1698" s="47"/>
      <c r="T1698" s="48"/>
    </row>
    <row r="1699" spans="1:20" ht="21.6" customHeight="1" x14ac:dyDescent="0.25">
      <c r="A1699" s="46">
        <v>1698</v>
      </c>
      <c r="B1699" s="47"/>
      <c r="T1699" s="48"/>
    </row>
    <row r="1700" spans="1:20" ht="21.6" customHeight="1" x14ac:dyDescent="0.25">
      <c r="A1700" s="46">
        <v>1699</v>
      </c>
      <c r="B1700" s="47"/>
      <c r="T1700" s="48"/>
    </row>
    <row r="1701" spans="1:20" ht="21.6" customHeight="1" x14ac:dyDescent="0.25">
      <c r="A1701" s="46">
        <v>1700</v>
      </c>
      <c r="B1701" s="47"/>
      <c r="T1701" s="48"/>
    </row>
    <row r="1702" spans="1:20" ht="21.6" customHeight="1" x14ac:dyDescent="0.25">
      <c r="A1702" s="46">
        <v>1701</v>
      </c>
      <c r="B1702" s="47"/>
      <c r="T1702" s="48"/>
    </row>
    <row r="1703" spans="1:20" ht="21.6" customHeight="1" x14ac:dyDescent="0.25">
      <c r="A1703" s="46">
        <v>1702</v>
      </c>
      <c r="B1703" s="47"/>
      <c r="T1703" s="48"/>
    </row>
    <row r="1704" spans="1:20" ht="21.6" customHeight="1" x14ac:dyDescent="0.25">
      <c r="A1704" s="46">
        <v>1703</v>
      </c>
      <c r="B1704" s="47"/>
      <c r="T1704" s="48"/>
    </row>
    <row r="1705" spans="1:20" ht="21.6" customHeight="1" x14ac:dyDescent="0.25">
      <c r="A1705" s="46">
        <v>1704</v>
      </c>
      <c r="B1705" s="47"/>
      <c r="T1705" s="48"/>
    </row>
    <row r="1706" spans="1:20" ht="21.6" customHeight="1" x14ac:dyDescent="0.25">
      <c r="A1706" s="46">
        <v>1705</v>
      </c>
      <c r="B1706" s="47"/>
      <c r="T1706" s="48"/>
    </row>
    <row r="1707" spans="1:20" ht="21.6" customHeight="1" x14ac:dyDescent="0.25">
      <c r="A1707" s="46">
        <v>1706</v>
      </c>
      <c r="B1707" s="47"/>
      <c r="T1707" s="48"/>
    </row>
    <row r="1708" spans="1:20" ht="21.6" customHeight="1" x14ac:dyDescent="0.25">
      <c r="A1708" s="46">
        <v>1707</v>
      </c>
      <c r="B1708" s="47"/>
      <c r="T1708" s="48"/>
    </row>
    <row r="1709" spans="1:20" ht="21.6" customHeight="1" x14ac:dyDescent="0.25">
      <c r="A1709" s="46">
        <v>1708</v>
      </c>
      <c r="B1709" s="47"/>
      <c r="T1709" s="48"/>
    </row>
    <row r="1710" spans="1:20" ht="21.6" customHeight="1" x14ac:dyDescent="0.25">
      <c r="A1710" s="46">
        <v>1709</v>
      </c>
      <c r="B1710" s="47"/>
      <c r="T1710" s="48"/>
    </row>
    <row r="1711" spans="1:20" ht="21.6" customHeight="1" x14ac:dyDescent="0.25">
      <c r="A1711" s="46">
        <v>1710</v>
      </c>
      <c r="B1711" s="47"/>
      <c r="T1711" s="48"/>
    </row>
    <row r="1712" spans="1:20" ht="21.6" customHeight="1" x14ac:dyDescent="0.25">
      <c r="A1712" s="46">
        <v>1711</v>
      </c>
      <c r="B1712" s="47"/>
      <c r="T1712" s="48"/>
    </row>
    <row r="1713" spans="1:20" ht="21.6" customHeight="1" x14ac:dyDescent="0.25">
      <c r="A1713" s="46">
        <v>1712</v>
      </c>
      <c r="B1713" s="47"/>
      <c r="T1713" s="48"/>
    </row>
    <row r="1714" spans="1:20" ht="21.6" customHeight="1" x14ac:dyDescent="0.25">
      <c r="A1714" s="46">
        <v>1713</v>
      </c>
      <c r="B1714" s="47"/>
      <c r="T1714" s="48"/>
    </row>
    <row r="1715" spans="1:20" ht="21.6" customHeight="1" x14ac:dyDescent="0.25">
      <c r="A1715" s="46">
        <v>1714</v>
      </c>
      <c r="B1715" s="47"/>
      <c r="T1715" s="48"/>
    </row>
    <row r="1716" spans="1:20" ht="21.6" customHeight="1" x14ac:dyDescent="0.25">
      <c r="A1716" s="46">
        <v>1715</v>
      </c>
      <c r="B1716" s="47"/>
      <c r="T1716" s="48"/>
    </row>
    <row r="1717" spans="1:20" ht="21.6" customHeight="1" x14ac:dyDescent="0.25">
      <c r="A1717" s="46">
        <v>1716</v>
      </c>
      <c r="B1717" s="47"/>
      <c r="T1717" s="48"/>
    </row>
    <row r="1718" spans="1:20" ht="21.6" customHeight="1" x14ac:dyDescent="0.25">
      <c r="A1718" s="46">
        <v>1717</v>
      </c>
      <c r="B1718" s="47"/>
      <c r="T1718" s="48"/>
    </row>
    <row r="1719" spans="1:20" ht="21.6" customHeight="1" x14ac:dyDescent="0.25">
      <c r="A1719" s="46">
        <v>1718</v>
      </c>
      <c r="B1719" s="47"/>
      <c r="T1719" s="48"/>
    </row>
    <row r="1720" spans="1:20" ht="21.6" customHeight="1" x14ac:dyDescent="0.25">
      <c r="A1720" s="46">
        <v>1719</v>
      </c>
      <c r="B1720" s="47"/>
      <c r="T1720" s="48"/>
    </row>
    <row r="1721" spans="1:20" ht="21.6" customHeight="1" x14ac:dyDescent="0.25">
      <c r="A1721" s="46">
        <v>1720</v>
      </c>
      <c r="B1721" s="47"/>
      <c r="T1721" s="48"/>
    </row>
    <row r="1722" spans="1:20" ht="21.6" customHeight="1" x14ac:dyDescent="0.25">
      <c r="A1722" s="46">
        <v>1721</v>
      </c>
      <c r="B1722" s="47"/>
      <c r="T1722" s="48"/>
    </row>
    <row r="1723" spans="1:20" ht="21.6" customHeight="1" x14ac:dyDescent="0.25">
      <c r="A1723" s="46">
        <v>1722</v>
      </c>
      <c r="B1723" s="47"/>
      <c r="T1723" s="48"/>
    </row>
    <row r="1724" spans="1:20" ht="21.6" customHeight="1" x14ac:dyDescent="0.25">
      <c r="A1724" s="46">
        <v>1723</v>
      </c>
      <c r="B1724" s="47"/>
      <c r="T1724" s="48"/>
    </row>
    <row r="1725" spans="1:20" ht="21.6" customHeight="1" x14ac:dyDescent="0.25">
      <c r="A1725" s="46">
        <v>1724</v>
      </c>
      <c r="B1725" s="47"/>
      <c r="T1725" s="48"/>
    </row>
    <row r="1726" spans="1:20" ht="21.6" customHeight="1" x14ac:dyDescent="0.25">
      <c r="A1726" s="46">
        <v>1725</v>
      </c>
      <c r="B1726" s="47"/>
      <c r="T1726" s="48"/>
    </row>
    <row r="1727" spans="1:20" ht="21.6" customHeight="1" x14ac:dyDescent="0.25">
      <c r="A1727" s="46">
        <v>1726</v>
      </c>
      <c r="B1727" s="47"/>
      <c r="T1727" s="48"/>
    </row>
    <row r="1728" spans="1:20" ht="21.6" customHeight="1" x14ac:dyDescent="0.25">
      <c r="A1728" s="46">
        <v>1727</v>
      </c>
      <c r="B1728" s="47"/>
      <c r="T1728" s="48"/>
    </row>
    <row r="1729" spans="1:20" ht="21.6" customHeight="1" x14ac:dyDescent="0.25">
      <c r="A1729" s="46">
        <v>1728</v>
      </c>
      <c r="B1729" s="47"/>
      <c r="T1729" s="48"/>
    </row>
    <row r="1730" spans="1:20" ht="21.6" customHeight="1" x14ac:dyDescent="0.25">
      <c r="A1730" s="46">
        <v>1729</v>
      </c>
      <c r="B1730" s="47"/>
      <c r="T1730" s="48"/>
    </row>
    <row r="1731" spans="1:20" ht="21.6" customHeight="1" x14ac:dyDescent="0.25">
      <c r="A1731" s="46">
        <v>1730</v>
      </c>
      <c r="B1731" s="47"/>
      <c r="T1731" s="48"/>
    </row>
    <row r="1732" spans="1:20" ht="21.6" customHeight="1" x14ac:dyDescent="0.25">
      <c r="A1732" s="46">
        <v>1731</v>
      </c>
      <c r="B1732" s="47"/>
      <c r="T1732" s="48"/>
    </row>
    <row r="1733" spans="1:20" ht="21.6" customHeight="1" x14ac:dyDescent="0.25">
      <c r="A1733" s="46">
        <v>1732</v>
      </c>
      <c r="B1733" s="47"/>
      <c r="T1733" s="48"/>
    </row>
    <row r="1734" spans="1:20" ht="21.6" customHeight="1" x14ac:dyDescent="0.25">
      <c r="A1734" s="46">
        <v>1733</v>
      </c>
      <c r="B1734" s="47"/>
      <c r="T1734" s="48"/>
    </row>
    <row r="1735" spans="1:20" ht="21.6" customHeight="1" x14ac:dyDescent="0.25">
      <c r="A1735" s="46">
        <v>1734</v>
      </c>
      <c r="B1735" s="47"/>
      <c r="T1735" s="48"/>
    </row>
    <row r="1736" spans="1:20" ht="21.6" customHeight="1" x14ac:dyDescent="0.25">
      <c r="A1736" s="46">
        <v>1735</v>
      </c>
      <c r="B1736" s="47"/>
      <c r="T1736" s="48"/>
    </row>
    <row r="1737" spans="1:20" ht="21.6" customHeight="1" x14ac:dyDescent="0.25">
      <c r="A1737" s="46">
        <v>1736</v>
      </c>
      <c r="B1737" s="47"/>
      <c r="T1737" s="48"/>
    </row>
    <row r="1738" spans="1:20" ht="21.6" customHeight="1" x14ac:dyDescent="0.25">
      <c r="A1738" s="46">
        <v>1737</v>
      </c>
      <c r="B1738" s="47"/>
      <c r="T1738" s="48"/>
    </row>
    <row r="1739" spans="1:20" ht="21.6" customHeight="1" x14ac:dyDescent="0.25">
      <c r="A1739" s="46">
        <v>1738</v>
      </c>
      <c r="B1739" s="47"/>
      <c r="T1739" s="48"/>
    </row>
    <row r="1740" spans="1:20" ht="21.6" customHeight="1" x14ac:dyDescent="0.25">
      <c r="A1740" s="46">
        <v>1739</v>
      </c>
      <c r="B1740" s="47"/>
      <c r="T1740" s="48"/>
    </row>
    <row r="1741" spans="1:20" ht="21.6" customHeight="1" x14ac:dyDescent="0.25">
      <c r="A1741" s="46">
        <v>1740</v>
      </c>
      <c r="B1741" s="47"/>
      <c r="T1741" s="48"/>
    </row>
    <row r="1742" spans="1:20" ht="21.6" customHeight="1" x14ac:dyDescent="0.25">
      <c r="A1742" s="46">
        <v>1741</v>
      </c>
      <c r="B1742" s="47"/>
      <c r="T1742" s="48"/>
    </row>
    <row r="1743" spans="1:20" ht="21.6" customHeight="1" x14ac:dyDescent="0.25">
      <c r="A1743" s="46">
        <v>1742</v>
      </c>
      <c r="B1743" s="47"/>
      <c r="T1743" s="48"/>
    </row>
    <row r="1744" spans="1:20" ht="21.6" customHeight="1" x14ac:dyDescent="0.25">
      <c r="A1744" s="46">
        <v>1743</v>
      </c>
      <c r="B1744" s="47"/>
      <c r="T1744" s="48"/>
    </row>
    <row r="1745" spans="1:20" ht="21.6" customHeight="1" x14ac:dyDescent="0.25">
      <c r="A1745" s="46">
        <v>1744</v>
      </c>
      <c r="B1745" s="47"/>
      <c r="T1745" s="48"/>
    </row>
    <row r="1746" spans="1:20" ht="21.6" customHeight="1" x14ac:dyDescent="0.25">
      <c r="A1746" s="46">
        <v>1745</v>
      </c>
      <c r="B1746" s="47"/>
      <c r="T1746" s="48"/>
    </row>
    <row r="1747" spans="1:20" ht="21.6" customHeight="1" x14ac:dyDescent="0.25">
      <c r="A1747" s="46">
        <v>1746</v>
      </c>
      <c r="B1747" s="47"/>
      <c r="T1747" s="48"/>
    </row>
    <row r="1748" spans="1:20" ht="21.6" customHeight="1" x14ac:dyDescent="0.25">
      <c r="A1748" s="46">
        <v>1747</v>
      </c>
      <c r="B1748" s="47"/>
      <c r="T1748" s="48"/>
    </row>
    <row r="1749" spans="1:20" ht="21.6" customHeight="1" x14ac:dyDescent="0.25">
      <c r="A1749" s="46">
        <v>1748</v>
      </c>
      <c r="B1749" s="47"/>
      <c r="T1749" s="48"/>
    </row>
    <row r="1750" spans="1:20" ht="21.6" customHeight="1" x14ac:dyDescent="0.25">
      <c r="A1750" s="46">
        <v>1749</v>
      </c>
      <c r="B1750" s="47"/>
      <c r="T1750" s="48"/>
    </row>
    <row r="1751" spans="1:20" ht="21.6" customHeight="1" x14ac:dyDescent="0.25">
      <c r="A1751" s="46">
        <v>1750</v>
      </c>
      <c r="B1751" s="47"/>
      <c r="T1751" s="48"/>
    </row>
    <row r="1752" spans="1:20" ht="21.6" customHeight="1" x14ac:dyDescent="0.25">
      <c r="A1752" s="46">
        <v>1751</v>
      </c>
      <c r="B1752" s="47"/>
      <c r="T1752" s="48"/>
    </row>
    <row r="1753" spans="1:20" ht="21.6" customHeight="1" x14ac:dyDescent="0.25">
      <c r="A1753" s="46">
        <v>1752</v>
      </c>
      <c r="B1753" s="47"/>
      <c r="T1753" s="48"/>
    </row>
    <row r="1754" spans="1:20" ht="21.6" customHeight="1" x14ac:dyDescent="0.25">
      <c r="A1754" s="46">
        <v>1753</v>
      </c>
      <c r="B1754" s="47"/>
      <c r="T1754" s="48"/>
    </row>
    <row r="1755" spans="1:20" ht="21.6" customHeight="1" x14ac:dyDescent="0.25">
      <c r="A1755" s="46">
        <v>1754</v>
      </c>
      <c r="B1755" s="47"/>
      <c r="T1755" s="48"/>
    </row>
    <row r="1756" spans="1:20" ht="21.6" customHeight="1" x14ac:dyDescent="0.25">
      <c r="A1756" s="46">
        <v>1755</v>
      </c>
      <c r="B1756" s="47"/>
      <c r="T1756" s="48"/>
    </row>
    <row r="1757" spans="1:20" ht="21.6" customHeight="1" x14ac:dyDescent="0.25">
      <c r="A1757" s="46">
        <v>1756</v>
      </c>
      <c r="B1757" s="47"/>
      <c r="T1757" s="48"/>
    </row>
    <row r="1758" spans="1:20" ht="21.6" customHeight="1" x14ac:dyDescent="0.25">
      <c r="A1758" s="46">
        <v>1757</v>
      </c>
      <c r="B1758" s="47"/>
      <c r="T1758" s="48"/>
    </row>
    <row r="1759" spans="1:20" ht="21.6" customHeight="1" x14ac:dyDescent="0.25">
      <c r="A1759" s="46">
        <v>1758</v>
      </c>
      <c r="B1759" s="47"/>
      <c r="T1759" s="48"/>
    </row>
    <row r="1760" spans="1:20" ht="21.6" customHeight="1" x14ac:dyDescent="0.25">
      <c r="A1760" s="46">
        <v>1759</v>
      </c>
      <c r="B1760" s="47"/>
      <c r="T1760" s="48"/>
    </row>
    <row r="1761" spans="1:21" ht="21.6" customHeight="1" x14ac:dyDescent="0.25">
      <c r="A1761" s="46">
        <v>1760</v>
      </c>
      <c r="B1761" s="47"/>
      <c r="T1761" s="48"/>
    </row>
    <row r="1762" spans="1:21" ht="21.6" customHeight="1" x14ac:dyDescent="0.25">
      <c r="A1762" s="46">
        <v>1761</v>
      </c>
      <c r="B1762" s="47"/>
      <c r="T1762" s="48"/>
    </row>
    <row r="1763" spans="1:21" ht="21.6" customHeight="1" x14ac:dyDescent="0.25">
      <c r="A1763" s="46">
        <v>1762</v>
      </c>
      <c r="B1763" s="47"/>
      <c r="T1763" s="48"/>
    </row>
    <row r="1764" spans="1:21" ht="21.6" customHeight="1" x14ac:dyDescent="0.25">
      <c r="A1764" s="46">
        <v>1763</v>
      </c>
      <c r="B1764" s="47"/>
      <c r="T1764" s="48"/>
    </row>
    <row r="1765" spans="1:21" ht="21.6" customHeight="1" x14ac:dyDescent="0.25">
      <c r="A1765" s="46">
        <v>1764</v>
      </c>
      <c r="B1765" s="47"/>
      <c r="T1765" s="48"/>
    </row>
    <row r="1766" spans="1:21" ht="21.6" customHeight="1" x14ac:dyDescent="0.25">
      <c r="A1766" s="46">
        <v>1765</v>
      </c>
      <c r="B1766" s="47"/>
      <c r="T1766" s="48"/>
    </row>
    <row r="1767" spans="1:21" ht="21.6" customHeight="1" x14ac:dyDescent="0.25">
      <c r="A1767" s="46">
        <v>1766</v>
      </c>
      <c r="B1767" s="47"/>
      <c r="T1767" s="48"/>
    </row>
    <row r="1768" spans="1:21" ht="21.6" customHeight="1" x14ac:dyDescent="0.25">
      <c r="A1768" s="46">
        <v>1767</v>
      </c>
      <c r="B1768" s="47"/>
      <c r="T1768" s="48"/>
    </row>
    <row r="1769" spans="1:21" ht="21.6" customHeight="1" x14ac:dyDescent="0.25">
      <c r="A1769" s="46">
        <v>1768</v>
      </c>
      <c r="B1769" s="47"/>
      <c r="T1769" s="48"/>
    </row>
    <row r="1770" spans="1:21" ht="21.6" customHeight="1" x14ac:dyDescent="0.25">
      <c r="A1770" s="46">
        <v>1769</v>
      </c>
      <c r="B1770" s="47"/>
      <c r="T1770" s="48"/>
    </row>
    <row r="1771" spans="1:21" ht="21.6" customHeight="1" x14ac:dyDescent="0.25">
      <c r="A1771" s="46">
        <v>1770</v>
      </c>
      <c r="B1771" s="47"/>
      <c r="T1771" s="48"/>
    </row>
    <row r="1772" spans="1:21" ht="21.6" customHeight="1" x14ac:dyDescent="0.25">
      <c r="A1772" s="46">
        <v>1771</v>
      </c>
      <c r="B1772" s="47"/>
      <c r="T1772" s="48"/>
    </row>
    <row r="1773" spans="1:21" ht="27" thickBot="1" x14ac:dyDescent="0.3">
      <c r="A1773" s="46">
        <v>1772</v>
      </c>
      <c r="M1773" s="68" t="s">
        <v>28</v>
      </c>
      <c r="N1773" s="50">
        <f t="shared" ref="N1773:T1773" si="0">SUM(N2:N1772)</f>
        <v>304.93400000000003</v>
      </c>
      <c r="O1773" s="50">
        <f t="shared" si="0"/>
        <v>29228</v>
      </c>
      <c r="P1773" s="50">
        <f t="shared" si="0"/>
        <v>438.41999999999956</v>
      </c>
      <c r="Q1773" s="50">
        <f t="shared" si="0"/>
        <v>30.689599999999999</v>
      </c>
      <c r="R1773" s="50">
        <f t="shared" si="0"/>
        <v>15</v>
      </c>
      <c r="S1773" s="50">
        <f t="shared" si="0"/>
        <v>4582</v>
      </c>
      <c r="T1773" s="85">
        <f t="shared" si="0"/>
        <v>5300.1099999999988</v>
      </c>
      <c r="U1773" s="69" t="s">
        <v>47</v>
      </c>
    </row>
    <row r="1774" spans="1:21" ht="29.4" thickTop="1" x14ac:dyDescent="0.25">
      <c r="A1774" s="46">
        <v>1773</v>
      </c>
    </row>
    <row r="1775" spans="1:21" x14ac:dyDescent="0.25">
      <c r="A1775" s="46">
        <v>1774</v>
      </c>
    </row>
    <row r="1776" spans="1:21" x14ac:dyDescent="0.25">
      <c r="A1776" s="46">
        <v>1775</v>
      </c>
    </row>
    <row r="1777" spans="1:1" x14ac:dyDescent="0.25">
      <c r="A1777" s="46">
        <v>1776</v>
      </c>
    </row>
    <row r="1778" spans="1:1" x14ac:dyDescent="0.25">
      <c r="A1778" s="46">
        <v>1777</v>
      </c>
    </row>
    <row r="1779" spans="1:1" x14ac:dyDescent="0.25">
      <c r="A1779" s="46">
        <v>1778</v>
      </c>
    </row>
    <row r="1780" spans="1:1" x14ac:dyDescent="0.25">
      <c r="A1780" s="46">
        <v>1779</v>
      </c>
    </row>
    <row r="1781" spans="1:1" x14ac:dyDescent="0.25">
      <c r="A1781" s="46">
        <v>1780</v>
      </c>
    </row>
    <row r="1782" spans="1:1" x14ac:dyDescent="0.25">
      <c r="A1782" s="46">
        <v>1781</v>
      </c>
    </row>
    <row r="1783" spans="1:1" x14ac:dyDescent="0.25">
      <c r="A1783" s="46">
        <v>1782</v>
      </c>
    </row>
    <row r="1784" spans="1:1" x14ac:dyDescent="0.25">
      <c r="A1784" s="46">
        <v>1783</v>
      </c>
    </row>
    <row r="1785" spans="1:1" x14ac:dyDescent="0.25">
      <c r="A1785" s="46">
        <v>1784</v>
      </c>
    </row>
    <row r="1786" spans="1:1" x14ac:dyDescent="0.25">
      <c r="A1786" s="46">
        <v>1785</v>
      </c>
    </row>
    <row r="1787" spans="1:1" x14ac:dyDescent="0.25">
      <c r="A1787" s="46">
        <v>1786</v>
      </c>
    </row>
    <row r="1788" spans="1:1" x14ac:dyDescent="0.25">
      <c r="A1788" s="46">
        <v>1787</v>
      </c>
    </row>
    <row r="1789" spans="1:1" x14ac:dyDescent="0.25">
      <c r="A1789" s="46">
        <v>1788</v>
      </c>
    </row>
    <row r="1790" spans="1:1" x14ac:dyDescent="0.25">
      <c r="A1790" s="46">
        <v>1789</v>
      </c>
    </row>
    <row r="1791" spans="1:1" x14ac:dyDescent="0.25">
      <c r="A1791" s="46">
        <v>1790</v>
      </c>
    </row>
    <row r="1792" spans="1:1" x14ac:dyDescent="0.25">
      <c r="A1792" s="46">
        <v>1791</v>
      </c>
    </row>
    <row r="1793" spans="1:1" x14ac:dyDescent="0.25">
      <c r="A1793" s="46">
        <v>1792</v>
      </c>
    </row>
    <row r="1794" spans="1:1" x14ac:dyDescent="0.25">
      <c r="A1794" s="46">
        <v>1793</v>
      </c>
    </row>
    <row r="1795" spans="1:1" x14ac:dyDescent="0.25">
      <c r="A1795" s="46">
        <v>1794</v>
      </c>
    </row>
    <row r="1796" spans="1:1" x14ac:dyDescent="0.25">
      <c r="A1796" s="46">
        <v>1795</v>
      </c>
    </row>
    <row r="1797" spans="1:1" x14ac:dyDescent="0.25">
      <c r="A1797" s="46">
        <v>1796</v>
      </c>
    </row>
    <row r="1798" spans="1:1" x14ac:dyDescent="0.25">
      <c r="A1798" s="46">
        <v>1797</v>
      </c>
    </row>
    <row r="1799" spans="1:1" x14ac:dyDescent="0.25">
      <c r="A1799" s="46">
        <v>1798</v>
      </c>
    </row>
    <row r="1800" spans="1:1" x14ac:dyDescent="0.25">
      <c r="A1800" s="46">
        <v>1799</v>
      </c>
    </row>
    <row r="1801" spans="1:1" x14ac:dyDescent="0.25">
      <c r="A1801" s="46">
        <v>1800</v>
      </c>
    </row>
    <row r="1802" spans="1:1" x14ac:dyDescent="0.25">
      <c r="A1802" s="46">
        <v>1801</v>
      </c>
    </row>
    <row r="1803" spans="1:1" x14ac:dyDescent="0.25">
      <c r="A1803" s="46">
        <v>1802</v>
      </c>
    </row>
    <row r="1804" spans="1:1" x14ac:dyDescent="0.25">
      <c r="A1804" s="46">
        <v>1803</v>
      </c>
    </row>
    <row r="1805" spans="1:1" x14ac:dyDescent="0.25">
      <c r="A1805" s="46">
        <v>1804</v>
      </c>
    </row>
    <row r="1806" spans="1:1" x14ac:dyDescent="0.25">
      <c r="A1806" s="46">
        <v>1805</v>
      </c>
    </row>
    <row r="1807" spans="1:1" x14ac:dyDescent="0.25">
      <c r="A1807" s="46">
        <v>1806</v>
      </c>
    </row>
    <row r="1808" spans="1:1" x14ac:dyDescent="0.25">
      <c r="A1808" s="46">
        <v>1807</v>
      </c>
    </row>
    <row r="1809" spans="1:1" x14ac:dyDescent="0.25">
      <c r="A1809" s="46">
        <v>1808</v>
      </c>
    </row>
    <row r="1810" spans="1:1" x14ac:dyDescent="0.25">
      <c r="A1810" s="46">
        <v>1809</v>
      </c>
    </row>
    <row r="1811" spans="1:1" x14ac:dyDescent="0.25">
      <c r="A1811" s="46">
        <v>1810</v>
      </c>
    </row>
    <row r="1812" spans="1:1" x14ac:dyDescent="0.25">
      <c r="A1812" s="46">
        <v>1811</v>
      </c>
    </row>
    <row r="1813" spans="1:1" x14ac:dyDescent="0.25">
      <c r="A1813" s="46">
        <v>1812</v>
      </c>
    </row>
    <row r="1814" spans="1:1" x14ac:dyDescent="0.25">
      <c r="A1814" s="46">
        <v>1813</v>
      </c>
    </row>
    <row r="1815" spans="1:1" x14ac:dyDescent="0.25">
      <c r="A1815" s="46">
        <v>1814</v>
      </c>
    </row>
    <row r="1816" spans="1:1" x14ac:dyDescent="0.25">
      <c r="A1816" s="46">
        <v>1815</v>
      </c>
    </row>
    <row r="1817" spans="1:1" x14ac:dyDescent="0.25">
      <c r="A1817" s="46">
        <v>1816</v>
      </c>
    </row>
    <row r="1818" spans="1:1" x14ac:dyDescent="0.25">
      <c r="A1818" s="46">
        <v>1817</v>
      </c>
    </row>
    <row r="1819" spans="1:1" x14ac:dyDescent="0.25">
      <c r="A1819" s="46">
        <v>1818</v>
      </c>
    </row>
    <row r="1820" spans="1:1" x14ac:dyDescent="0.25">
      <c r="A1820" s="46">
        <v>1819</v>
      </c>
    </row>
    <row r="1821" spans="1:1" x14ac:dyDescent="0.25">
      <c r="A1821" s="46">
        <v>1820</v>
      </c>
    </row>
    <row r="1822" spans="1:1" x14ac:dyDescent="0.25">
      <c r="A1822" s="46">
        <v>1821</v>
      </c>
    </row>
    <row r="1823" spans="1:1" x14ac:dyDescent="0.25">
      <c r="A1823" s="46">
        <v>1822</v>
      </c>
    </row>
    <row r="1824" spans="1:1" x14ac:dyDescent="0.25">
      <c r="A1824" s="46">
        <v>1823</v>
      </c>
    </row>
    <row r="1825" spans="1:1" x14ac:dyDescent="0.25">
      <c r="A1825" s="46">
        <v>1824</v>
      </c>
    </row>
    <row r="1826" spans="1:1" x14ac:dyDescent="0.25">
      <c r="A1826" s="46">
        <v>1825</v>
      </c>
    </row>
    <row r="1827" spans="1:1" x14ac:dyDescent="0.25">
      <c r="A1827" s="46">
        <v>1826</v>
      </c>
    </row>
    <row r="1828" spans="1:1" x14ac:dyDescent="0.25">
      <c r="A1828" s="46">
        <v>1827</v>
      </c>
    </row>
    <row r="1829" spans="1:1" x14ac:dyDescent="0.25">
      <c r="A1829" s="46">
        <v>1828</v>
      </c>
    </row>
    <row r="1830" spans="1:1" x14ac:dyDescent="0.25">
      <c r="A1830" s="46">
        <v>1829</v>
      </c>
    </row>
    <row r="1831" spans="1:1" x14ac:dyDescent="0.25">
      <c r="A1831" s="46">
        <v>1830</v>
      </c>
    </row>
  </sheetData>
  <autoFilter ref="A1:AP1772" xr:uid="{00000000-0001-0000-0000-000000000000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572D-097F-4FA2-A7B8-EC0D48745027}">
  <sheetPr>
    <tabColor rgb="FFFF99FF"/>
  </sheetPr>
  <dimension ref="A1:T2410"/>
  <sheetViews>
    <sheetView zoomScale="70" zoomScaleNormal="70" workbookViewId="0">
      <pane xSplit="7" ySplit="1" topLeftCell="M610" activePane="bottomRight" state="frozen"/>
      <selection activeCell="V2412" sqref="V2412"/>
      <selection pane="topRight" activeCell="V2412" sqref="V2412"/>
      <selection pane="bottomLeft" activeCell="V2412" sqref="V2412"/>
      <selection pane="bottomRight" activeCell="M626" sqref="M626"/>
    </sheetView>
  </sheetViews>
  <sheetFormatPr defaultColWidth="9.8984375" defaultRowHeight="28.8" x14ac:dyDescent="0.25"/>
  <cols>
    <col min="1" max="1" width="6.796875" style="46" bestFit="1" customWidth="1"/>
    <col min="2" max="2" width="10.09765625" style="46" bestFit="1" customWidth="1"/>
    <col min="3" max="3" width="23.296875" style="46" customWidth="1"/>
    <col min="4" max="4" width="11.09765625" style="46" customWidth="1"/>
    <col min="5" max="5" width="18.8984375" style="46" customWidth="1"/>
    <col min="6" max="6" width="11.69921875" style="49" bestFit="1" customWidth="1"/>
    <col min="7" max="7" width="16.296875" style="46" customWidth="1"/>
    <col min="8" max="8" width="12.296875" style="46" customWidth="1"/>
    <col min="9" max="9" width="20" style="46" bestFit="1" customWidth="1"/>
    <col min="10" max="10" width="50.3984375" style="46" customWidth="1"/>
    <col min="11" max="11" width="21.09765625" style="46" customWidth="1"/>
    <col min="12" max="12" width="212.09765625" style="49" bestFit="1" customWidth="1"/>
    <col min="13" max="13" width="16.59765625" style="46" customWidth="1"/>
    <col min="14" max="14" width="21.09765625" style="46" customWidth="1"/>
    <col min="15" max="15" width="18.59765625" style="46" customWidth="1"/>
    <col min="16" max="16" width="20.796875" style="46" customWidth="1"/>
    <col min="17" max="17" width="22.19921875" style="46" customWidth="1"/>
    <col min="18" max="18" width="21.796875" style="46" customWidth="1"/>
    <col min="19" max="19" width="14.3984375" style="46" customWidth="1"/>
    <col min="20" max="20" width="21.09765625" style="51" bestFit="1" customWidth="1"/>
    <col min="21" max="16384" width="9.8984375" style="49"/>
  </cols>
  <sheetData>
    <row r="1" spans="1:20" s="91" customFormat="1" ht="52.8" x14ac:dyDescent="0.25">
      <c r="A1" s="43" t="s">
        <v>18</v>
      </c>
      <c r="B1" s="43" t="s">
        <v>96</v>
      </c>
      <c r="C1" s="43" t="s">
        <v>97</v>
      </c>
      <c r="D1" s="43" t="s">
        <v>98</v>
      </c>
      <c r="E1" s="43" t="s">
        <v>99</v>
      </c>
      <c r="F1" s="43" t="s">
        <v>4</v>
      </c>
      <c r="G1" s="44" t="s">
        <v>100</v>
      </c>
      <c r="H1" s="43" t="s">
        <v>101</v>
      </c>
      <c r="I1" s="43" t="s">
        <v>102</v>
      </c>
      <c r="J1" s="43" t="s">
        <v>103</v>
      </c>
      <c r="K1" s="43" t="s">
        <v>104</v>
      </c>
      <c r="L1" s="91" t="s">
        <v>105</v>
      </c>
      <c r="M1" s="43" t="s">
        <v>106</v>
      </c>
      <c r="N1" s="43" t="s">
        <v>107</v>
      </c>
      <c r="O1" s="43" t="s">
        <v>108</v>
      </c>
      <c r="P1" s="43" t="s">
        <v>109</v>
      </c>
      <c r="Q1" s="43" t="s">
        <v>110</v>
      </c>
      <c r="R1" s="43" t="s">
        <v>111</v>
      </c>
      <c r="S1" s="43" t="s">
        <v>112</v>
      </c>
      <c r="T1" s="45" t="s">
        <v>113</v>
      </c>
    </row>
    <row r="2" spans="1:20" ht="23.4" x14ac:dyDescent="0.25">
      <c r="A2" s="46">
        <v>1</v>
      </c>
      <c r="B2" s="47">
        <v>243984</v>
      </c>
      <c r="C2" s="46" t="s">
        <v>114</v>
      </c>
      <c r="D2" s="46" t="s">
        <v>115</v>
      </c>
      <c r="E2" s="46" t="s">
        <v>116</v>
      </c>
      <c r="F2" s="46" t="s">
        <v>149</v>
      </c>
      <c r="G2" s="46">
        <v>2</v>
      </c>
      <c r="H2" s="46" t="s">
        <v>117</v>
      </c>
      <c r="I2" s="46" t="s">
        <v>1232</v>
      </c>
      <c r="J2" s="46" t="s">
        <v>1233</v>
      </c>
      <c r="K2" s="46" t="s">
        <v>1234</v>
      </c>
      <c r="L2" s="49" t="s">
        <v>1235</v>
      </c>
      <c r="M2" s="46" t="s">
        <v>118</v>
      </c>
      <c r="N2" s="46">
        <v>1.27</v>
      </c>
      <c r="O2" s="46" t="s">
        <v>1236</v>
      </c>
      <c r="P2" s="49">
        <v>0</v>
      </c>
      <c r="Q2" s="46">
        <v>0</v>
      </c>
      <c r="R2" s="46">
        <v>0</v>
      </c>
      <c r="S2" s="46">
        <v>74</v>
      </c>
      <c r="T2" s="48">
        <v>74</v>
      </c>
    </row>
    <row r="3" spans="1:20" ht="23.4" x14ac:dyDescent="0.25">
      <c r="A3" s="46">
        <v>2</v>
      </c>
      <c r="B3" s="47">
        <v>243984</v>
      </c>
      <c r="C3" s="46" t="s">
        <v>114</v>
      </c>
      <c r="D3" s="46" t="s">
        <v>115</v>
      </c>
      <c r="E3" s="46" t="s">
        <v>116</v>
      </c>
      <c r="F3" s="46" t="s">
        <v>149</v>
      </c>
      <c r="G3" s="46">
        <v>2</v>
      </c>
      <c r="H3" s="46" t="s">
        <v>117</v>
      </c>
      <c r="I3" s="46" t="s">
        <v>1237</v>
      </c>
      <c r="J3" s="46" t="s">
        <v>1238</v>
      </c>
      <c r="K3" s="46" t="s">
        <v>1239</v>
      </c>
      <c r="L3" s="49" t="s">
        <v>1240</v>
      </c>
      <c r="M3" s="46" t="s">
        <v>118</v>
      </c>
      <c r="N3" s="46">
        <v>5.73</v>
      </c>
      <c r="O3" s="46" t="s">
        <v>1241</v>
      </c>
      <c r="P3" s="49">
        <v>0</v>
      </c>
      <c r="Q3" s="46">
        <v>0</v>
      </c>
      <c r="R3" s="46">
        <v>0</v>
      </c>
      <c r="S3" s="46">
        <v>125</v>
      </c>
      <c r="T3" s="48">
        <v>125</v>
      </c>
    </row>
    <row r="4" spans="1:20" ht="23.4" x14ac:dyDescent="0.25">
      <c r="A4" s="46">
        <v>3</v>
      </c>
      <c r="B4" s="47">
        <v>243984</v>
      </c>
      <c r="C4" s="46" t="s">
        <v>114</v>
      </c>
      <c r="D4" s="46" t="s">
        <v>115</v>
      </c>
      <c r="E4" s="46" t="s">
        <v>116</v>
      </c>
      <c r="F4" s="46" t="s">
        <v>149</v>
      </c>
      <c r="G4" s="46">
        <v>2</v>
      </c>
      <c r="H4" s="46" t="s">
        <v>117</v>
      </c>
      <c r="I4" s="46" t="s">
        <v>1242</v>
      </c>
      <c r="J4" s="46" t="s">
        <v>1243</v>
      </c>
      <c r="K4" s="46" t="s">
        <v>1244</v>
      </c>
      <c r="L4" s="49" t="s">
        <v>1245</v>
      </c>
      <c r="M4" s="46" t="s">
        <v>118</v>
      </c>
      <c r="N4" s="46">
        <v>3.86</v>
      </c>
      <c r="O4" s="46" t="s">
        <v>1246</v>
      </c>
      <c r="P4" s="49">
        <v>930</v>
      </c>
      <c r="Q4" s="46">
        <v>18.600000000000001</v>
      </c>
      <c r="R4" s="46">
        <v>1.3</v>
      </c>
      <c r="S4" s="46">
        <v>100</v>
      </c>
      <c r="T4" s="48">
        <v>119.9</v>
      </c>
    </row>
    <row r="5" spans="1:20" ht="23.4" x14ac:dyDescent="0.25">
      <c r="A5" s="46">
        <v>4</v>
      </c>
      <c r="B5" s="47">
        <v>243984</v>
      </c>
      <c r="C5" s="46" t="s">
        <v>114</v>
      </c>
      <c r="D5" s="46" t="s">
        <v>115</v>
      </c>
      <c r="E5" s="46" t="s">
        <v>116</v>
      </c>
      <c r="F5" s="46" t="s">
        <v>149</v>
      </c>
      <c r="G5" s="46">
        <v>2</v>
      </c>
      <c r="H5" s="46" t="s">
        <v>117</v>
      </c>
      <c r="I5" s="46" t="s">
        <v>1247</v>
      </c>
      <c r="J5" s="46" t="s">
        <v>1248</v>
      </c>
      <c r="K5" s="46" t="s">
        <v>1249</v>
      </c>
      <c r="L5" s="49" t="s">
        <v>1250</v>
      </c>
      <c r="M5" s="46" t="s">
        <v>118</v>
      </c>
      <c r="N5" s="46">
        <v>3.53</v>
      </c>
      <c r="O5" s="46" t="s">
        <v>1246</v>
      </c>
      <c r="P5" s="49">
        <v>0</v>
      </c>
      <c r="Q5" s="46">
        <v>0</v>
      </c>
      <c r="R5" s="46">
        <v>0</v>
      </c>
      <c r="S5" s="46">
        <v>100</v>
      </c>
      <c r="T5" s="48">
        <v>100</v>
      </c>
    </row>
    <row r="6" spans="1:20" ht="23.4" x14ac:dyDescent="0.25">
      <c r="A6" s="46">
        <v>5</v>
      </c>
      <c r="B6" s="47">
        <v>243984</v>
      </c>
      <c r="C6" s="46" t="s">
        <v>114</v>
      </c>
      <c r="D6" s="46" t="s">
        <v>115</v>
      </c>
      <c r="E6" s="46" t="s">
        <v>116</v>
      </c>
      <c r="F6" s="46" t="s">
        <v>149</v>
      </c>
      <c r="G6" s="46">
        <v>2</v>
      </c>
      <c r="H6" s="46" t="s">
        <v>117</v>
      </c>
      <c r="I6" s="46" t="s">
        <v>1251</v>
      </c>
      <c r="J6" s="46" t="s">
        <v>1252</v>
      </c>
      <c r="K6" s="46" t="s">
        <v>1253</v>
      </c>
      <c r="L6" s="49" t="s">
        <v>1254</v>
      </c>
      <c r="M6" s="46" t="s">
        <v>118</v>
      </c>
      <c r="N6" s="46">
        <v>3.48</v>
      </c>
      <c r="O6" s="46" t="s">
        <v>1246</v>
      </c>
      <c r="P6" s="49">
        <v>780</v>
      </c>
      <c r="Q6" s="46">
        <v>15.6</v>
      </c>
      <c r="R6" s="46">
        <v>1.0900000000000001</v>
      </c>
      <c r="S6" s="46">
        <v>66</v>
      </c>
      <c r="T6" s="48">
        <v>82.69</v>
      </c>
    </row>
    <row r="7" spans="1:20" ht="23.4" x14ac:dyDescent="0.25">
      <c r="A7" s="46">
        <v>6</v>
      </c>
      <c r="B7" s="47">
        <v>243984</v>
      </c>
      <c r="C7" s="46" t="s">
        <v>114</v>
      </c>
      <c r="D7" s="46" t="s">
        <v>115</v>
      </c>
      <c r="E7" s="46" t="s">
        <v>116</v>
      </c>
      <c r="F7" s="46" t="s">
        <v>149</v>
      </c>
      <c r="G7" s="46">
        <v>2</v>
      </c>
      <c r="H7" s="46" t="s">
        <v>117</v>
      </c>
      <c r="I7" s="46" t="s">
        <v>1255</v>
      </c>
      <c r="J7" s="46" t="s">
        <v>1256</v>
      </c>
      <c r="K7" s="46" t="s">
        <v>1257</v>
      </c>
      <c r="L7" s="49" t="s">
        <v>1258</v>
      </c>
      <c r="M7" s="46" t="s">
        <v>118</v>
      </c>
      <c r="N7" s="46">
        <v>3.47</v>
      </c>
      <c r="O7" s="46" t="s">
        <v>1259</v>
      </c>
      <c r="P7" s="49">
        <v>780</v>
      </c>
      <c r="Q7" s="46">
        <v>15.6</v>
      </c>
      <c r="R7" s="46">
        <v>1.0900000000000001</v>
      </c>
      <c r="S7" s="46">
        <v>104</v>
      </c>
      <c r="T7" s="48">
        <v>120.69</v>
      </c>
    </row>
    <row r="8" spans="1:20" ht="23.4" x14ac:dyDescent="0.25">
      <c r="A8" s="46">
        <v>7</v>
      </c>
      <c r="B8" s="47">
        <v>243984</v>
      </c>
      <c r="C8" s="46" t="s">
        <v>114</v>
      </c>
      <c r="D8" s="46" t="s">
        <v>115</v>
      </c>
      <c r="E8" s="46" t="s">
        <v>116</v>
      </c>
      <c r="F8" s="46" t="s">
        <v>149</v>
      </c>
      <c r="G8" s="46">
        <v>2</v>
      </c>
      <c r="H8" s="46" t="s">
        <v>117</v>
      </c>
      <c r="I8" s="46" t="s">
        <v>1260</v>
      </c>
      <c r="J8" s="46" t="s">
        <v>1261</v>
      </c>
      <c r="K8" s="46" t="s">
        <v>1262</v>
      </c>
      <c r="L8" s="49" t="s">
        <v>1263</v>
      </c>
      <c r="M8" s="46" t="s">
        <v>118</v>
      </c>
      <c r="N8" s="46">
        <v>1.32</v>
      </c>
      <c r="O8" s="46" t="s">
        <v>1236</v>
      </c>
      <c r="P8" s="49">
        <v>0</v>
      </c>
      <c r="Q8" s="46">
        <v>0</v>
      </c>
      <c r="R8" s="46">
        <v>0</v>
      </c>
      <c r="S8" s="46">
        <v>24</v>
      </c>
      <c r="T8" s="48">
        <v>24</v>
      </c>
    </row>
    <row r="9" spans="1:20" ht="23.4" x14ac:dyDescent="0.25">
      <c r="A9" s="46">
        <v>8</v>
      </c>
      <c r="B9" s="47">
        <v>243984</v>
      </c>
      <c r="C9" s="46" t="s">
        <v>114</v>
      </c>
      <c r="D9" s="46" t="s">
        <v>115</v>
      </c>
      <c r="E9" s="46" t="s">
        <v>116</v>
      </c>
      <c r="F9" s="46" t="s">
        <v>149</v>
      </c>
      <c r="G9" s="46">
        <v>2</v>
      </c>
      <c r="H9" s="46" t="s">
        <v>117</v>
      </c>
      <c r="I9" s="46" t="s">
        <v>1264</v>
      </c>
      <c r="J9" s="46" t="s">
        <v>1265</v>
      </c>
      <c r="K9" s="46" t="s">
        <v>1266</v>
      </c>
      <c r="L9" s="49" t="s">
        <v>1267</v>
      </c>
      <c r="M9" s="46" t="s">
        <v>118</v>
      </c>
      <c r="N9" s="46">
        <v>6.04</v>
      </c>
      <c r="O9" s="46" t="s">
        <v>1268</v>
      </c>
      <c r="P9" s="49">
        <v>1130</v>
      </c>
      <c r="Q9" s="46">
        <v>22.6</v>
      </c>
      <c r="R9" s="46">
        <v>1.58</v>
      </c>
      <c r="S9" s="46">
        <v>117</v>
      </c>
      <c r="T9" s="48">
        <v>141.18</v>
      </c>
    </row>
    <row r="10" spans="1:20" ht="23.4" x14ac:dyDescent="0.25">
      <c r="A10" s="46">
        <v>9</v>
      </c>
      <c r="B10" s="47">
        <v>243984</v>
      </c>
      <c r="C10" s="46" t="s">
        <v>114</v>
      </c>
      <c r="D10" s="46" t="s">
        <v>115</v>
      </c>
      <c r="E10" s="46" t="s">
        <v>116</v>
      </c>
      <c r="F10" s="46" t="s">
        <v>149</v>
      </c>
      <c r="G10" s="46">
        <v>2</v>
      </c>
      <c r="H10" s="46" t="s">
        <v>117</v>
      </c>
      <c r="I10" s="46" t="s">
        <v>1269</v>
      </c>
      <c r="J10" s="46" t="s">
        <v>1270</v>
      </c>
      <c r="K10" s="46" t="s">
        <v>1271</v>
      </c>
      <c r="L10" s="49" t="s">
        <v>1272</v>
      </c>
      <c r="M10" s="46" t="s">
        <v>118</v>
      </c>
      <c r="N10" s="46">
        <v>5.53</v>
      </c>
      <c r="O10" s="46" t="s">
        <v>1241</v>
      </c>
      <c r="P10" s="49">
        <v>1250</v>
      </c>
      <c r="Q10" s="46">
        <v>25</v>
      </c>
      <c r="R10" s="46">
        <v>1.75</v>
      </c>
      <c r="S10" s="46">
        <v>125</v>
      </c>
      <c r="T10" s="48">
        <v>151.75</v>
      </c>
    </row>
    <row r="11" spans="1:20" ht="23.4" x14ac:dyDescent="0.25">
      <c r="A11" s="46">
        <v>10</v>
      </c>
      <c r="B11" s="47">
        <v>243984</v>
      </c>
      <c r="C11" s="46" t="s">
        <v>114</v>
      </c>
      <c r="D11" s="46" t="s">
        <v>115</v>
      </c>
      <c r="E11" s="46" t="s">
        <v>116</v>
      </c>
      <c r="F11" s="46" t="s">
        <v>149</v>
      </c>
      <c r="G11" s="46">
        <v>2</v>
      </c>
      <c r="H11" s="46" t="s">
        <v>117</v>
      </c>
      <c r="I11" s="46" t="s">
        <v>1273</v>
      </c>
      <c r="J11" s="46" t="s">
        <v>1274</v>
      </c>
      <c r="K11" s="46" t="s">
        <v>1275</v>
      </c>
      <c r="L11" s="49" t="s">
        <v>1276</v>
      </c>
      <c r="M11" s="46" t="s">
        <v>118</v>
      </c>
      <c r="N11" s="46">
        <v>2.5</v>
      </c>
      <c r="O11" s="46" t="s">
        <v>1246</v>
      </c>
      <c r="P11" s="49">
        <v>530</v>
      </c>
      <c r="Q11" s="46">
        <v>10.6</v>
      </c>
      <c r="R11" s="46">
        <v>0.74</v>
      </c>
      <c r="S11" s="46">
        <v>100</v>
      </c>
      <c r="T11" s="48">
        <v>111.34</v>
      </c>
    </row>
    <row r="12" spans="1:20" ht="23.4" x14ac:dyDescent="0.25">
      <c r="A12" s="46">
        <v>11</v>
      </c>
      <c r="B12" s="47">
        <v>243984</v>
      </c>
      <c r="C12" s="46" t="s">
        <v>114</v>
      </c>
      <c r="D12" s="46" t="s">
        <v>115</v>
      </c>
      <c r="E12" s="46" t="s">
        <v>116</v>
      </c>
      <c r="F12" s="46" t="s">
        <v>149</v>
      </c>
      <c r="G12" s="46">
        <v>2</v>
      </c>
      <c r="H12" s="46" t="s">
        <v>117</v>
      </c>
      <c r="I12" s="46" t="s">
        <v>1277</v>
      </c>
      <c r="J12" s="46" t="s">
        <v>1278</v>
      </c>
      <c r="K12" s="46" t="s">
        <v>1279</v>
      </c>
      <c r="L12" s="49" t="s">
        <v>1280</v>
      </c>
      <c r="M12" s="46" t="s">
        <v>118</v>
      </c>
      <c r="N12" s="46">
        <v>3.1</v>
      </c>
      <c r="O12" s="46" t="s">
        <v>1246</v>
      </c>
      <c r="P12" s="49">
        <v>0</v>
      </c>
      <c r="Q12" s="46">
        <v>0</v>
      </c>
      <c r="R12" s="46">
        <v>0</v>
      </c>
      <c r="S12" s="46">
        <v>100</v>
      </c>
      <c r="T12" s="48">
        <v>100</v>
      </c>
    </row>
    <row r="13" spans="1:20" ht="23.4" x14ac:dyDescent="0.25">
      <c r="A13" s="46">
        <v>12</v>
      </c>
      <c r="B13" s="47">
        <v>243984</v>
      </c>
      <c r="C13" s="46" t="s">
        <v>114</v>
      </c>
      <c r="D13" s="46" t="s">
        <v>115</v>
      </c>
      <c r="E13" s="46" t="s">
        <v>116</v>
      </c>
      <c r="F13" s="46" t="s">
        <v>149</v>
      </c>
      <c r="G13" s="46">
        <v>2</v>
      </c>
      <c r="H13" s="46" t="s">
        <v>117</v>
      </c>
      <c r="I13" s="46" t="s">
        <v>1281</v>
      </c>
      <c r="J13" s="46" t="s">
        <v>1282</v>
      </c>
      <c r="K13" s="46" t="s">
        <v>1283</v>
      </c>
      <c r="L13" s="49" t="s">
        <v>1284</v>
      </c>
      <c r="M13" s="46" t="s">
        <v>118</v>
      </c>
      <c r="N13" s="46">
        <v>2.15</v>
      </c>
      <c r="O13" s="46" t="s">
        <v>1285</v>
      </c>
      <c r="P13" s="49">
        <v>0</v>
      </c>
      <c r="Q13" s="46">
        <v>0</v>
      </c>
      <c r="R13" s="46">
        <v>0</v>
      </c>
      <c r="S13" s="46">
        <v>104</v>
      </c>
      <c r="T13" s="48">
        <v>104</v>
      </c>
    </row>
    <row r="14" spans="1:20" ht="23.4" x14ac:dyDescent="0.25">
      <c r="A14" s="46">
        <v>13</v>
      </c>
      <c r="B14" s="47">
        <v>243984</v>
      </c>
      <c r="C14" s="46" t="s">
        <v>114</v>
      </c>
      <c r="D14" s="46" t="s">
        <v>115</v>
      </c>
      <c r="E14" s="46" t="s">
        <v>116</v>
      </c>
      <c r="F14" s="46" t="s">
        <v>149</v>
      </c>
      <c r="G14" s="46">
        <v>2</v>
      </c>
      <c r="H14" s="46" t="s">
        <v>117</v>
      </c>
      <c r="I14" s="46" t="s">
        <v>1286</v>
      </c>
      <c r="J14" s="46" t="s">
        <v>1287</v>
      </c>
      <c r="K14" s="46" t="s">
        <v>1288</v>
      </c>
      <c r="L14" s="49" t="s">
        <v>1289</v>
      </c>
      <c r="M14" s="46" t="s">
        <v>118</v>
      </c>
      <c r="N14" s="46">
        <v>3</v>
      </c>
      <c r="O14" s="46" t="s">
        <v>1236</v>
      </c>
      <c r="P14" s="49">
        <v>630</v>
      </c>
      <c r="Q14" s="46">
        <v>12.6</v>
      </c>
      <c r="R14" s="46">
        <v>0.88</v>
      </c>
      <c r="S14" s="46">
        <v>29</v>
      </c>
      <c r="T14" s="48">
        <v>42.48</v>
      </c>
    </row>
    <row r="15" spans="1:20" ht="23.4" x14ac:dyDescent="0.25">
      <c r="A15" s="46">
        <v>14</v>
      </c>
      <c r="B15" s="47">
        <v>243984</v>
      </c>
      <c r="C15" s="46" t="s">
        <v>114</v>
      </c>
      <c r="D15" s="46" t="s">
        <v>115</v>
      </c>
      <c r="E15" s="46" t="s">
        <v>116</v>
      </c>
      <c r="F15" s="46" t="s">
        <v>149</v>
      </c>
      <c r="G15" s="46">
        <v>2</v>
      </c>
      <c r="H15" s="46" t="s">
        <v>117</v>
      </c>
      <c r="I15" s="46" t="s">
        <v>1290</v>
      </c>
      <c r="J15" s="46" t="s">
        <v>1291</v>
      </c>
      <c r="K15" s="46" t="s">
        <v>1292</v>
      </c>
      <c r="L15" s="49" t="s">
        <v>1293</v>
      </c>
      <c r="M15" s="46" t="s">
        <v>118</v>
      </c>
      <c r="N15" s="46">
        <v>1.73</v>
      </c>
      <c r="O15" s="46" t="s">
        <v>1294</v>
      </c>
      <c r="P15" s="49">
        <v>430</v>
      </c>
      <c r="Q15" s="46">
        <v>8.6</v>
      </c>
      <c r="R15" s="46">
        <v>0.6</v>
      </c>
      <c r="S15" s="46">
        <v>24</v>
      </c>
      <c r="T15" s="48">
        <v>33.200000000000003</v>
      </c>
    </row>
    <row r="16" spans="1:20" ht="23.4" x14ac:dyDescent="0.25">
      <c r="A16" s="46">
        <v>15</v>
      </c>
      <c r="B16" s="47">
        <v>243984</v>
      </c>
      <c r="C16" s="46" t="s">
        <v>114</v>
      </c>
      <c r="D16" s="46" t="s">
        <v>115</v>
      </c>
      <c r="E16" s="46" t="s">
        <v>116</v>
      </c>
      <c r="F16" s="46" t="s">
        <v>149</v>
      </c>
      <c r="G16" s="46">
        <v>2</v>
      </c>
      <c r="H16" s="46" t="s">
        <v>117</v>
      </c>
      <c r="I16" s="46" t="s">
        <v>1295</v>
      </c>
      <c r="J16" s="46" t="s">
        <v>1296</v>
      </c>
      <c r="K16" s="46" t="s">
        <v>1297</v>
      </c>
      <c r="L16" s="49" t="s">
        <v>1298</v>
      </c>
      <c r="M16" s="46" t="s">
        <v>118</v>
      </c>
      <c r="N16" s="46">
        <v>2.0099999999999998</v>
      </c>
      <c r="O16" s="46" t="s">
        <v>1294</v>
      </c>
      <c r="P16" s="49">
        <v>480</v>
      </c>
      <c r="Q16" s="46">
        <v>9.6</v>
      </c>
      <c r="R16" s="46">
        <v>0.67</v>
      </c>
      <c r="S16" s="46">
        <v>27</v>
      </c>
      <c r="T16" s="48">
        <v>37.270000000000003</v>
      </c>
    </row>
    <row r="17" spans="1:20" ht="23.4" x14ac:dyDescent="0.25">
      <c r="A17" s="46">
        <v>16</v>
      </c>
      <c r="B17" s="47">
        <v>243984</v>
      </c>
      <c r="C17" s="46" t="s">
        <v>114</v>
      </c>
      <c r="D17" s="46" t="s">
        <v>115</v>
      </c>
      <c r="E17" s="46" t="s">
        <v>116</v>
      </c>
      <c r="F17" s="46" t="s">
        <v>149</v>
      </c>
      <c r="G17" s="46">
        <v>2</v>
      </c>
      <c r="H17" s="46" t="s">
        <v>117</v>
      </c>
      <c r="I17" s="46" t="s">
        <v>1299</v>
      </c>
      <c r="J17" s="46" t="s">
        <v>1300</v>
      </c>
      <c r="K17" s="46" t="s">
        <v>1301</v>
      </c>
      <c r="L17" s="49" t="s">
        <v>1302</v>
      </c>
      <c r="M17" s="46" t="s">
        <v>118</v>
      </c>
      <c r="N17" s="46">
        <v>0.56999999999999995</v>
      </c>
      <c r="O17" s="46" t="s">
        <v>1303</v>
      </c>
      <c r="P17" s="49">
        <v>0</v>
      </c>
      <c r="Q17" s="46">
        <v>0</v>
      </c>
      <c r="R17" s="46">
        <v>0</v>
      </c>
      <c r="S17" s="46">
        <v>18</v>
      </c>
      <c r="T17" s="48">
        <v>18</v>
      </c>
    </row>
    <row r="18" spans="1:20" ht="23.4" x14ac:dyDescent="0.25">
      <c r="A18" s="46">
        <v>17</v>
      </c>
      <c r="B18" s="47">
        <v>243984</v>
      </c>
      <c r="C18" s="46" t="s">
        <v>114</v>
      </c>
      <c r="D18" s="46" t="s">
        <v>115</v>
      </c>
      <c r="E18" s="46" t="s">
        <v>116</v>
      </c>
      <c r="F18" s="46" t="s">
        <v>149</v>
      </c>
      <c r="G18" s="46">
        <v>2</v>
      </c>
      <c r="H18" s="46" t="s">
        <v>117</v>
      </c>
      <c r="I18" s="46" t="s">
        <v>1304</v>
      </c>
      <c r="J18" s="46" t="s">
        <v>1305</v>
      </c>
      <c r="K18" s="46" t="s">
        <v>1306</v>
      </c>
      <c r="L18" s="49" t="s">
        <v>1307</v>
      </c>
      <c r="M18" s="46" t="s">
        <v>118</v>
      </c>
      <c r="N18" s="46">
        <v>1.78</v>
      </c>
      <c r="O18" s="46" t="s">
        <v>1294</v>
      </c>
      <c r="P18" s="49">
        <v>430</v>
      </c>
      <c r="Q18" s="46">
        <v>8.6</v>
      </c>
      <c r="R18" s="46">
        <v>0.6</v>
      </c>
      <c r="S18" s="46">
        <v>22</v>
      </c>
      <c r="T18" s="48">
        <v>31.2</v>
      </c>
    </row>
    <row r="19" spans="1:20" ht="23.4" x14ac:dyDescent="0.25">
      <c r="A19" s="46">
        <v>18</v>
      </c>
      <c r="B19" s="47">
        <v>243984</v>
      </c>
      <c r="C19" s="46" t="s">
        <v>114</v>
      </c>
      <c r="D19" s="46" t="s">
        <v>115</v>
      </c>
      <c r="E19" s="46" t="s">
        <v>116</v>
      </c>
      <c r="F19" s="46" t="s">
        <v>149</v>
      </c>
      <c r="G19" s="46">
        <v>2</v>
      </c>
      <c r="H19" s="46" t="s">
        <v>117</v>
      </c>
      <c r="I19" s="46" t="s">
        <v>1308</v>
      </c>
      <c r="J19" s="46" t="s">
        <v>1309</v>
      </c>
      <c r="K19" s="46" t="s">
        <v>1310</v>
      </c>
      <c r="L19" s="49" t="s">
        <v>1311</v>
      </c>
      <c r="M19" s="46" t="s">
        <v>118</v>
      </c>
      <c r="N19" s="46">
        <v>1.78</v>
      </c>
      <c r="O19" s="46" t="s">
        <v>1294</v>
      </c>
      <c r="P19" s="49">
        <v>430</v>
      </c>
      <c r="Q19" s="46">
        <v>8.6</v>
      </c>
      <c r="R19" s="46">
        <v>0.6</v>
      </c>
      <c r="S19" s="46">
        <v>84</v>
      </c>
      <c r="T19" s="48">
        <v>93.2</v>
      </c>
    </row>
    <row r="20" spans="1:20" ht="23.4" x14ac:dyDescent="0.25">
      <c r="A20" s="46">
        <v>19</v>
      </c>
      <c r="B20" s="47">
        <v>243984</v>
      </c>
      <c r="C20" s="46" t="s">
        <v>114</v>
      </c>
      <c r="D20" s="46" t="s">
        <v>115</v>
      </c>
      <c r="E20" s="46" t="s">
        <v>116</v>
      </c>
      <c r="F20" s="46" t="s">
        <v>149</v>
      </c>
      <c r="G20" s="46">
        <v>2</v>
      </c>
      <c r="H20" s="46" t="s">
        <v>117</v>
      </c>
      <c r="I20" s="46" t="s">
        <v>1312</v>
      </c>
      <c r="J20" s="46" t="s">
        <v>1313</v>
      </c>
      <c r="K20" s="46" t="s">
        <v>1314</v>
      </c>
      <c r="L20" s="49" t="s">
        <v>1315</v>
      </c>
      <c r="M20" s="46" t="s">
        <v>118</v>
      </c>
      <c r="N20" s="46">
        <v>1.77</v>
      </c>
      <c r="O20" s="46" t="s">
        <v>1294</v>
      </c>
      <c r="P20" s="49">
        <v>430</v>
      </c>
      <c r="Q20" s="46">
        <v>8.6</v>
      </c>
      <c r="R20" s="46">
        <v>0.6</v>
      </c>
      <c r="S20" s="46">
        <v>22</v>
      </c>
      <c r="T20" s="48">
        <v>31.2</v>
      </c>
    </row>
    <row r="21" spans="1:20" ht="23.4" x14ac:dyDescent="0.25">
      <c r="A21" s="46">
        <v>20</v>
      </c>
      <c r="B21" s="47">
        <v>243984</v>
      </c>
      <c r="C21" s="46" t="s">
        <v>114</v>
      </c>
      <c r="D21" s="46" t="s">
        <v>115</v>
      </c>
      <c r="E21" s="46" t="s">
        <v>116</v>
      </c>
      <c r="F21" s="46" t="s">
        <v>149</v>
      </c>
      <c r="G21" s="46">
        <v>2</v>
      </c>
      <c r="H21" s="46" t="s">
        <v>117</v>
      </c>
      <c r="I21" s="46" t="s">
        <v>1316</v>
      </c>
      <c r="J21" s="46" t="s">
        <v>1317</v>
      </c>
      <c r="K21" s="46" t="s">
        <v>1318</v>
      </c>
      <c r="L21" s="49" t="s">
        <v>1319</v>
      </c>
      <c r="M21" s="46" t="s">
        <v>118</v>
      </c>
      <c r="N21" s="46">
        <v>1.77</v>
      </c>
      <c r="O21" s="46" t="s">
        <v>1294</v>
      </c>
      <c r="P21" s="49">
        <v>0</v>
      </c>
      <c r="Q21" s="46">
        <v>0</v>
      </c>
      <c r="R21" s="46">
        <v>0</v>
      </c>
      <c r="S21" s="46">
        <v>24</v>
      </c>
      <c r="T21" s="48">
        <v>24</v>
      </c>
    </row>
    <row r="22" spans="1:20" ht="23.4" x14ac:dyDescent="0.25">
      <c r="A22" s="46">
        <v>21</v>
      </c>
      <c r="B22" s="47">
        <v>243984</v>
      </c>
      <c r="C22" s="46" t="s">
        <v>114</v>
      </c>
      <c r="D22" s="46" t="s">
        <v>115</v>
      </c>
      <c r="E22" s="46" t="s">
        <v>116</v>
      </c>
      <c r="F22" s="46" t="s">
        <v>149</v>
      </c>
      <c r="G22" s="46">
        <v>2</v>
      </c>
      <c r="H22" s="46" t="s">
        <v>117</v>
      </c>
      <c r="I22" s="46" t="s">
        <v>1320</v>
      </c>
      <c r="J22" s="46" t="s">
        <v>1321</v>
      </c>
      <c r="K22" s="46" t="s">
        <v>1322</v>
      </c>
      <c r="L22" s="49" t="s">
        <v>1323</v>
      </c>
      <c r="M22" s="46" t="s">
        <v>118</v>
      </c>
      <c r="N22" s="46">
        <v>1.76</v>
      </c>
      <c r="O22" s="46" t="s">
        <v>1294</v>
      </c>
      <c r="P22" s="49">
        <v>430</v>
      </c>
      <c r="Q22" s="46">
        <v>8.6</v>
      </c>
      <c r="R22" s="46">
        <v>0.6</v>
      </c>
      <c r="S22" s="46">
        <v>24</v>
      </c>
      <c r="T22" s="48">
        <v>33.200000000000003</v>
      </c>
    </row>
    <row r="23" spans="1:20" ht="23.4" x14ac:dyDescent="0.25">
      <c r="A23" s="46">
        <v>22</v>
      </c>
      <c r="B23" s="47">
        <v>243984</v>
      </c>
      <c r="C23" s="46" t="s">
        <v>114</v>
      </c>
      <c r="D23" s="46" t="s">
        <v>115</v>
      </c>
      <c r="E23" s="46" t="s">
        <v>116</v>
      </c>
      <c r="F23" s="46" t="s">
        <v>149</v>
      </c>
      <c r="G23" s="46">
        <v>2</v>
      </c>
      <c r="H23" s="46" t="s">
        <v>117</v>
      </c>
      <c r="I23" s="46" t="s">
        <v>1324</v>
      </c>
      <c r="J23" s="46" t="s">
        <v>1325</v>
      </c>
      <c r="K23" s="46" t="s">
        <v>1326</v>
      </c>
      <c r="L23" s="49" t="s">
        <v>1327</v>
      </c>
      <c r="M23" s="46" t="s">
        <v>118</v>
      </c>
      <c r="N23" s="46">
        <v>1.8</v>
      </c>
      <c r="O23" s="46" t="s">
        <v>1236</v>
      </c>
      <c r="P23" s="49">
        <v>430</v>
      </c>
      <c r="Q23" s="46">
        <v>8.6</v>
      </c>
      <c r="R23" s="46">
        <v>0.6</v>
      </c>
      <c r="S23" s="46">
        <v>22</v>
      </c>
      <c r="T23" s="48">
        <v>31.2</v>
      </c>
    </row>
    <row r="24" spans="1:20" ht="23.4" x14ac:dyDescent="0.25">
      <c r="A24" s="46">
        <v>23</v>
      </c>
      <c r="B24" s="47">
        <v>243984</v>
      </c>
      <c r="C24" s="46" t="s">
        <v>114</v>
      </c>
      <c r="D24" s="46" t="s">
        <v>115</v>
      </c>
      <c r="E24" s="46" t="s">
        <v>116</v>
      </c>
      <c r="F24" s="46" t="s">
        <v>149</v>
      </c>
      <c r="G24" s="46">
        <v>2</v>
      </c>
      <c r="H24" s="46" t="s">
        <v>117</v>
      </c>
      <c r="I24" s="46" t="s">
        <v>1328</v>
      </c>
      <c r="J24" s="46" t="s">
        <v>1329</v>
      </c>
      <c r="K24" s="46" t="s">
        <v>1330</v>
      </c>
      <c r="L24" s="49" t="s">
        <v>1331</v>
      </c>
      <c r="M24" s="46" t="s">
        <v>118</v>
      </c>
      <c r="N24" s="46">
        <v>3.79</v>
      </c>
      <c r="O24" s="46" t="s">
        <v>1246</v>
      </c>
      <c r="P24" s="49">
        <v>930</v>
      </c>
      <c r="Q24" s="46">
        <v>18.600000000000001</v>
      </c>
      <c r="R24" s="46">
        <v>1.3</v>
      </c>
      <c r="S24" s="46">
        <v>100</v>
      </c>
      <c r="T24" s="48">
        <v>119.9</v>
      </c>
    </row>
    <row r="25" spans="1:20" ht="23.4" x14ac:dyDescent="0.25">
      <c r="A25" s="46">
        <v>24</v>
      </c>
      <c r="B25" s="47">
        <v>243984</v>
      </c>
      <c r="C25" s="46" t="s">
        <v>114</v>
      </c>
      <c r="D25" s="46" t="s">
        <v>115</v>
      </c>
      <c r="E25" s="46" t="s">
        <v>116</v>
      </c>
      <c r="F25" s="46" t="s">
        <v>149</v>
      </c>
      <c r="G25" s="46">
        <v>2</v>
      </c>
      <c r="H25" s="46" t="s">
        <v>117</v>
      </c>
      <c r="I25" s="46" t="s">
        <v>1332</v>
      </c>
      <c r="J25" s="46" t="s">
        <v>1333</v>
      </c>
      <c r="K25" s="46" t="s">
        <v>1334</v>
      </c>
      <c r="L25" s="49" t="s">
        <v>1335</v>
      </c>
      <c r="M25" s="46" t="s">
        <v>118</v>
      </c>
      <c r="N25" s="46">
        <v>0.78</v>
      </c>
      <c r="O25" s="46" t="s">
        <v>1336</v>
      </c>
      <c r="P25" s="49">
        <v>0</v>
      </c>
      <c r="Q25" s="46">
        <v>0</v>
      </c>
      <c r="R25" s="46">
        <v>0</v>
      </c>
      <c r="S25" s="46">
        <v>20</v>
      </c>
      <c r="T25" s="48">
        <v>20</v>
      </c>
    </row>
    <row r="26" spans="1:20" ht="23.4" x14ac:dyDescent="0.25">
      <c r="A26" s="46">
        <v>25</v>
      </c>
      <c r="B26" s="47">
        <v>243984</v>
      </c>
      <c r="C26" s="46" t="s">
        <v>114</v>
      </c>
      <c r="D26" s="46" t="s">
        <v>115</v>
      </c>
      <c r="E26" s="46" t="s">
        <v>116</v>
      </c>
      <c r="F26" s="46" t="s">
        <v>149</v>
      </c>
      <c r="G26" s="46">
        <v>2</v>
      </c>
      <c r="H26" s="46" t="s">
        <v>117</v>
      </c>
      <c r="I26" s="46" t="s">
        <v>1337</v>
      </c>
      <c r="J26" s="46" t="s">
        <v>1338</v>
      </c>
      <c r="K26" s="46" t="s">
        <v>1339</v>
      </c>
      <c r="L26" s="49" t="s">
        <v>1340</v>
      </c>
      <c r="M26" s="46" t="s">
        <v>118</v>
      </c>
      <c r="N26" s="46">
        <v>0.52</v>
      </c>
      <c r="O26" s="46" t="s">
        <v>1341</v>
      </c>
      <c r="P26" s="49">
        <v>0</v>
      </c>
      <c r="Q26" s="46">
        <v>0</v>
      </c>
      <c r="R26" s="46">
        <v>0</v>
      </c>
      <c r="S26" s="46">
        <v>20</v>
      </c>
      <c r="T26" s="48">
        <v>20</v>
      </c>
    </row>
    <row r="27" spans="1:20" ht="23.4" x14ac:dyDescent="0.25">
      <c r="A27" s="46">
        <v>26</v>
      </c>
      <c r="B27" s="47">
        <v>243984</v>
      </c>
      <c r="C27" s="46" t="s">
        <v>114</v>
      </c>
      <c r="D27" s="46" t="s">
        <v>115</v>
      </c>
      <c r="E27" s="46" t="s">
        <v>116</v>
      </c>
      <c r="F27" s="46" t="s">
        <v>149</v>
      </c>
      <c r="G27" s="46">
        <v>2</v>
      </c>
      <c r="H27" s="46" t="s">
        <v>117</v>
      </c>
      <c r="I27" s="46" t="s">
        <v>1342</v>
      </c>
      <c r="J27" s="46" t="s">
        <v>1343</v>
      </c>
      <c r="K27" s="46" t="s">
        <v>1344</v>
      </c>
      <c r="L27" s="49" t="s">
        <v>1345</v>
      </c>
      <c r="M27" s="46" t="s">
        <v>118</v>
      </c>
      <c r="N27" s="46">
        <v>1.81</v>
      </c>
      <c r="O27" s="46" t="s">
        <v>1346</v>
      </c>
      <c r="P27" s="49">
        <v>0</v>
      </c>
      <c r="Q27" s="46">
        <v>0</v>
      </c>
      <c r="R27" s="46">
        <v>0</v>
      </c>
      <c r="S27" s="46">
        <v>24</v>
      </c>
      <c r="T27" s="48">
        <v>24</v>
      </c>
    </row>
    <row r="28" spans="1:20" ht="23.4" x14ac:dyDescent="0.25">
      <c r="A28" s="46">
        <v>27</v>
      </c>
      <c r="B28" s="47">
        <v>243984</v>
      </c>
      <c r="C28" s="46" t="s">
        <v>114</v>
      </c>
      <c r="D28" s="46" t="s">
        <v>115</v>
      </c>
      <c r="E28" s="46" t="s">
        <v>116</v>
      </c>
      <c r="F28" s="46" t="s">
        <v>149</v>
      </c>
      <c r="G28" s="46">
        <v>2</v>
      </c>
      <c r="H28" s="46" t="s">
        <v>117</v>
      </c>
      <c r="I28" s="46" t="s">
        <v>1347</v>
      </c>
      <c r="J28" s="46" t="s">
        <v>1348</v>
      </c>
      <c r="K28" s="46" t="s">
        <v>1349</v>
      </c>
      <c r="L28" s="49" t="s">
        <v>1350</v>
      </c>
      <c r="M28" s="46" t="s">
        <v>118</v>
      </c>
      <c r="N28" s="46">
        <v>1.45</v>
      </c>
      <c r="O28" s="46" t="s">
        <v>1294</v>
      </c>
      <c r="P28" s="49">
        <v>410</v>
      </c>
      <c r="Q28" s="46">
        <v>8.1999999999999993</v>
      </c>
      <c r="R28" s="46">
        <v>0.56999999999999995</v>
      </c>
      <c r="S28" s="46">
        <v>22</v>
      </c>
      <c r="T28" s="48">
        <v>30.77</v>
      </c>
    </row>
    <row r="29" spans="1:20" ht="23.4" x14ac:dyDescent="0.25">
      <c r="A29" s="46">
        <v>28</v>
      </c>
      <c r="B29" s="47">
        <v>243984</v>
      </c>
      <c r="C29" s="46" t="s">
        <v>114</v>
      </c>
      <c r="D29" s="46" t="s">
        <v>115</v>
      </c>
      <c r="E29" s="46" t="s">
        <v>116</v>
      </c>
      <c r="F29" s="46" t="s">
        <v>149</v>
      </c>
      <c r="G29" s="46">
        <v>2</v>
      </c>
      <c r="H29" s="46" t="s">
        <v>117</v>
      </c>
      <c r="I29" s="46" t="s">
        <v>1351</v>
      </c>
      <c r="J29" s="46" t="s">
        <v>1352</v>
      </c>
      <c r="K29" s="46" t="s">
        <v>1353</v>
      </c>
      <c r="L29" s="49" t="s">
        <v>1354</v>
      </c>
      <c r="M29" s="46" t="s">
        <v>118</v>
      </c>
      <c r="N29" s="46">
        <v>1.22</v>
      </c>
      <c r="O29" s="46" t="s">
        <v>1341</v>
      </c>
      <c r="P29" s="49">
        <v>330</v>
      </c>
      <c r="Q29" s="46">
        <v>6.6</v>
      </c>
      <c r="R29" s="46">
        <v>0.46</v>
      </c>
      <c r="S29" s="46">
        <v>24</v>
      </c>
      <c r="T29" s="48">
        <v>31.06</v>
      </c>
    </row>
    <row r="30" spans="1:20" ht="23.4" x14ac:dyDescent="0.25">
      <c r="A30" s="46">
        <v>29</v>
      </c>
      <c r="B30" s="47">
        <v>243984</v>
      </c>
      <c r="C30" s="46" t="s">
        <v>114</v>
      </c>
      <c r="D30" s="46" t="s">
        <v>115</v>
      </c>
      <c r="E30" s="46" t="s">
        <v>116</v>
      </c>
      <c r="F30" s="46" t="s">
        <v>149</v>
      </c>
      <c r="G30" s="46">
        <v>2</v>
      </c>
      <c r="H30" s="46" t="s">
        <v>117</v>
      </c>
      <c r="I30" s="46" t="s">
        <v>1355</v>
      </c>
      <c r="J30" s="46" t="s">
        <v>1356</v>
      </c>
      <c r="K30" s="46" t="s">
        <v>1357</v>
      </c>
      <c r="L30" s="49" t="s">
        <v>1358</v>
      </c>
      <c r="M30" s="46" t="s">
        <v>118</v>
      </c>
      <c r="N30" s="46">
        <v>1.99</v>
      </c>
      <c r="O30" s="46" t="s">
        <v>1294</v>
      </c>
      <c r="P30" s="49">
        <v>480</v>
      </c>
      <c r="Q30" s="46">
        <v>9.6</v>
      </c>
      <c r="R30" s="46">
        <v>0.67</v>
      </c>
      <c r="S30" s="46">
        <v>24</v>
      </c>
      <c r="T30" s="48">
        <v>34.270000000000003</v>
      </c>
    </row>
    <row r="31" spans="1:20" ht="23.4" x14ac:dyDescent="0.25">
      <c r="A31" s="46">
        <v>30</v>
      </c>
      <c r="B31" s="47">
        <v>243984</v>
      </c>
      <c r="C31" s="46" t="s">
        <v>114</v>
      </c>
      <c r="D31" s="46" t="s">
        <v>115</v>
      </c>
      <c r="E31" s="46" t="s">
        <v>116</v>
      </c>
      <c r="F31" s="46" t="s">
        <v>149</v>
      </c>
      <c r="G31" s="46">
        <v>2</v>
      </c>
      <c r="H31" s="46" t="s">
        <v>117</v>
      </c>
      <c r="I31" s="46" t="s">
        <v>1359</v>
      </c>
      <c r="J31" s="46" t="s">
        <v>1360</v>
      </c>
      <c r="K31" s="46" t="s">
        <v>1361</v>
      </c>
      <c r="L31" s="49" t="s">
        <v>1362</v>
      </c>
      <c r="M31" s="46" t="s">
        <v>118</v>
      </c>
      <c r="N31" s="46">
        <v>1.76</v>
      </c>
      <c r="O31" s="46" t="s">
        <v>1294</v>
      </c>
      <c r="P31" s="49">
        <v>430</v>
      </c>
      <c r="Q31" s="46">
        <v>8.6</v>
      </c>
      <c r="R31" s="46">
        <v>0.6</v>
      </c>
      <c r="S31" s="46">
        <v>24</v>
      </c>
      <c r="T31" s="48">
        <v>33.200000000000003</v>
      </c>
    </row>
    <row r="32" spans="1:20" ht="23.4" x14ac:dyDescent="0.25">
      <c r="A32" s="46">
        <v>31</v>
      </c>
      <c r="B32" s="47">
        <v>243984</v>
      </c>
      <c r="C32" s="46" t="s">
        <v>114</v>
      </c>
      <c r="D32" s="46" t="s">
        <v>115</v>
      </c>
      <c r="E32" s="46" t="s">
        <v>116</v>
      </c>
      <c r="F32" s="46" t="s">
        <v>149</v>
      </c>
      <c r="G32" s="46">
        <v>2</v>
      </c>
      <c r="H32" s="46" t="s">
        <v>117</v>
      </c>
      <c r="I32" s="46" t="s">
        <v>1363</v>
      </c>
      <c r="J32" s="46" t="s">
        <v>1364</v>
      </c>
      <c r="K32" s="46" t="s">
        <v>1365</v>
      </c>
      <c r="L32" s="49" t="s">
        <v>1366</v>
      </c>
      <c r="M32" s="46" t="s">
        <v>118</v>
      </c>
      <c r="N32" s="46">
        <v>2</v>
      </c>
      <c r="O32" s="46" t="s">
        <v>1367</v>
      </c>
      <c r="P32" s="49">
        <v>480</v>
      </c>
      <c r="Q32" s="46">
        <v>9.6</v>
      </c>
      <c r="R32" s="46">
        <v>0.67</v>
      </c>
      <c r="S32" s="46">
        <v>22</v>
      </c>
      <c r="T32" s="48">
        <v>32.270000000000003</v>
      </c>
    </row>
    <row r="33" spans="1:20" ht="23.4" x14ac:dyDescent="0.25">
      <c r="A33" s="46">
        <v>32</v>
      </c>
      <c r="B33" s="47">
        <v>243984</v>
      </c>
      <c r="C33" s="46" t="s">
        <v>114</v>
      </c>
      <c r="D33" s="46" t="s">
        <v>115</v>
      </c>
      <c r="E33" s="46" t="s">
        <v>116</v>
      </c>
      <c r="F33" s="46" t="s">
        <v>149</v>
      </c>
      <c r="G33" s="46">
        <v>2</v>
      </c>
      <c r="H33" s="46" t="s">
        <v>117</v>
      </c>
      <c r="I33" s="46" t="s">
        <v>1368</v>
      </c>
      <c r="J33" s="46" t="s">
        <v>1369</v>
      </c>
      <c r="K33" s="46" t="s">
        <v>1370</v>
      </c>
      <c r="L33" s="49" t="s">
        <v>1371</v>
      </c>
      <c r="M33" s="46" t="s">
        <v>118</v>
      </c>
      <c r="N33" s="46">
        <v>1.77</v>
      </c>
      <c r="O33" s="46" t="s">
        <v>1236</v>
      </c>
      <c r="P33" s="49">
        <v>430</v>
      </c>
      <c r="Q33" s="46">
        <v>8.6</v>
      </c>
      <c r="R33" s="46">
        <v>0.6</v>
      </c>
      <c r="S33" s="46">
        <v>24</v>
      </c>
      <c r="T33" s="48">
        <v>33.200000000000003</v>
      </c>
    </row>
    <row r="34" spans="1:20" ht="23.4" x14ac:dyDescent="0.25">
      <c r="A34" s="46">
        <v>33</v>
      </c>
      <c r="B34" s="47">
        <v>243984</v>
      </c>
      <c r="C34" s="46" t="s">
        <v>114</v>
      </c>
      <c r="D34" s="46" t="s">
        <v>115</v>
      </c>
      <c r="E34" s="46" t="s">
        <v>116</v>
      </c>
      <c r="F34" s="46" t="s">
        <v>149</v>
      </c>
      <c r="G34" s="46">
        <v>2</v>
      </c>
      <c r="H34" s="46" t="s">
        <v>117</v>
      </c>
      <c r="I34" s="46" t="s">
        <v>1372</v>
      </c>
      <c r="J34" s="46" t="s">
        <v>1373</v>
      </c>
      <c r="K34" s="46" t="s">
        <v>1374</v>
      </c>
      <c r="L34" s="49" t="s">
        <v>1375</v>
      </c>
      <c r="M34" s="46" t="s">
        <v>118</v>
      </c>
      <c r="N34" s="46">
        <v>3.31</v>
      </c>
      <c r="O34" s="46" t="s">
        <v>1376</v>
      </c>
      <c r="P34" s="49">
        <v>830</v>
      </c>
      <c r="Q34" s="46">
        <v>16.600000000000001</v>
      </c>
      <c r="R34" s="46">
        <v>1.1599999999999999</v>
      </c>
      <c r="S34" s="46">
        <v>100</v>
      </c>
      <c r="T34" s="48">
        <v>117.76</v>
      </c>
    </row>
    <row r="35" spans="1:20" ht="23.4" x14ac:dyDescent="0.25">
      <c r="A35" s="46">
        <v>34</v>
      </c>
      <c r="B35" s="47">
        <v>243984</v>
      </c>
      <c r="C35" s="46" t="s">
        <v>114</v>
      </c>
      <c r="D35" s="46" t="s">
        <v>115</v>
      </c>
      <c r="E35" s="46" t="s">
        <v>116</v>
      </c>
      <c r="F35" s="46" t="s">
        <v>149</v>
      </c>
      <c r="G35" s="46">
        <v>2</v>
      </c>
      <c r="H35" s="46" t="s">
        <v>117</v>
      </c>
      <c r="I35" s="46" t="s">
        <v>1377</v>
      </c>
      <c r="J35" s="46" t="s">
        <v>1378</v>
      </c>
      <c r="K35" s="46" t="s">
        <v>1379</v>
      </c>
      <c r="L35" s="49" t="s">
        <v>1380</v>
      </c>
      <c r="M35" s="46" t="s">
        <v>118</v>
      </c>
      <c r="N35" s="46">
        <v>1.7</v>
      </c>
      <c r="O35" s="46" t="s">
        <v>1236</v>
      </c>
      <c r="P35" s="49">
        <v>0</v>
      </c>
      <c r="Q35" s="46">
        <v>0</v>
      </c>
      <c r="R35" s="46">
        <v>0</v>
      </c>
      <c r="S35" s="46">
        <v>22</v>
      </c>
      <c r="T35" s="48">
        <v>22</v>
      </c>
    </row>
    <row r="36" spans="1:20" ht="23.4" x14ac:dyDescent="0.25">
      <c r="A36" s="46">
        <v>35</v>
      </c>
      <c r="B36" s="47">
        <v>243984</v>
      </c>
      <c r="C36" s="46" t="s">
        <v>114</v>
      </c>
      <c r="D36" s="46" t="s">
        <v>115</v>
      </c>
      <c r="E36" s="46" t="s">
        <v>116</v>
      </c>
      <c r="F36" s="46" t="s">
        <v>149</v>
      </c>
      <c r="G36" s="46">
        <v>2</v>
      </c>
      <c r="H36" s="46" t="s">
        <v>117</v>
      </c>
      <c r="I36" s="46" t="s">
        <v>1381</v>
      </c>
      <c r="J36" s="46" t="s">
        <v>1382</v>
      </c>
      <c r="K36" s="46" t="s">
        <v>1383</v>
      </c>
      <c r="L36" s="49" t="s">
        <v>1384</v>
      </c>
      <c r="M36" s="46" t="s">
        <v>118</v>
      </c>
      <c r="N36" s="46">
        <v>0.8</v>
      </c>
      <c r="O36" s="46" t="s">
        <v>1385</v>
      </c>
      <c r="P36" s="49">
        <v>0</v>
      </c>
      <c r="Q36" s="46">
        <v>0</v>
      </c>
      <c r="R36" s="46">
        <v>0</v>
      </c>
      <c r="S36" s="46">
        <v>20</v>
      </c>
      <c r="T36" s="48">
        <v>20</v>
      </c>
    </row>
    <row r="37" spans="1:20" ht="23.4" x14ac:dyDescent="0.25">
      <c r="A37" s="46">
        <v>36</v>
      </c>
      <c r="B37" s="47">
        <v>243984</v>
      </c>
      <c r="C37" s="46" t="s">
        <v>114</v>
      </c>
      <c r="D37" s="46" t="s">
        <v>115</v>
      </c>
      <c r="E37" s="46" t="s">
        <v>116</v>
      </c>
      <c r="F37" s="46" t="s">
        <v>149</v>
      </c>
      <c r="G37" s="46">
        <v>2</v>
      </c>
      <c r="H37" s="46" t="s">
        <v>117</v>
      </c>
      <c r="I37" s="46" t="s">
        <v>1386</v>
      </c>
      <c r="J37" s="46" t="s">
        <v>1387</v>
      </c>
      <c r="K37" s="46" t="s">
        <v>1388</v>
      </c>
      <c r="L37" s="49" t="s">
        <v>1389</v>
      </c>
      <c r="M37" s="46" t="s">
        <v>118</v>
      </c>
      <c r="N37" s="46">
        <v>0.81</v>
      </c>
      <c r="O37" s="46" t="s">
        <v>1385</v>
      </c>
      <c r="P37" s="49">
        <v>0</v>
      </c>
      <c r="Q37" s="46">
        <v>0</v>
      </c>
      <c r="R37" s="46">
        <v>0</v>
      </c>
      <c r="S37" s="46">
        <v>18</v>
      </c>
      <c r="T37" s="48">
        <v>18</v>
      </c>
    </row>
    <row r="38" spans="1:20" ht="23.4" x14ac:dyDescent="0.25">
      <c r="A38" s="46">
        <v>37</v>
      </c>
      <c r="B38" s="47">
        <v>243984</v>
      </c>
      <c r="C38" s="46" t="s">
        <v>114</v>
      </c>
      <c r="D38" s="46" t="s">
        <v>115</v>
      </c>
      <c r="E38" s="46" t="s">
        <v>116</v>
      </c>
      <c r="F38" s="46" t="s">
        <v>149</v>
      </c>
      <c r="G38" s="46">
        <v>2</v>
      </c>
      <c r="H38" s="46" t="s">
        <v>117</v>
      </c>
      <c r="I38" s="46" t="s">
        <v>1390</v>
      </c>
      <c r="J38" s="46" t="s">
        <v>1391</v>
      </c>
      <c r="K38" s="46" t="s">
        <v>134</v>
      </c>
      <c r="L38" s="49" t="s">
        <v>1392</v>
      </c>
      <c r="M38" s="46" t="s">
        <v>118</v>
      </c>
      <c r="N38" s="46">
        <v>0.1</v>
      </c>
      <c r="O38" s="46" t="s">
        <v>1393</v>
      </c>
      <c r="P38" s="49">
        <v>0</v>
      </c>
      <c r="Q38" s="46">
        <v>0</v>
      </c>
      <c r="R38" s="46">
        <v>0</v>
      </c>
      <c r="S38" s="46">
        <v>18</v>
      </c>
      <c r="T38" s="48">
        <v>18</v>
      </c>
    </row>
    <row r="39" spans="1:20" ht="23.4" x14ac:dyDescent="0.25">
      <c r="A39" s="46">
        <v>38</v>
      </c>
      <c r="B39" s="47">
        <v>243984</v>
      </c>
      <c r="C39" s="46" t="s">
        <v>114</v>
      </c>
      <c r="D39" s="46" t="s">
        <v>115</v>
      </c>
      <c r="E39" s="46" t="s">
        <v>116</v>
      </c>
      <c r="F39" s="46" t="s">
        <v>149</v>
      </c>
      <c r="G39" s="46">
        <v>2</v>
      </c>
      <c r="H39" s="46" t="s">
        <v>117</v>
      </c>
      <c r="I39" s="46" t="s">
        <v>1394</v>
      </c>
      <c r="J39" s="46" t="s">
        <v>1395</v>
      </c>
      <c r="K39" s="46" t="s">
        <v>1396</v>
      </c>
      <c r="L39" s="49" t="s">
        <v>1397</v>
      </c>
      <c r="M39" s="46" t="s">
        <v>118</v>
      </c>
      <c r="N39" s="46">
        <v>1.73</v>
      </c>
      <c r="O39" s="46" t="s">
        <v>1236</v>
      </c>
      <c r="P39" s="49">
        <v>430</v>
      </c>
      <c r="Q39" s="46">
        <v>8.6</v>
      </c>
      <c r="R39" s="46">
        <v>0.6</v>
      </c>
      <c r="S39" s="46">
        <v>24</v>
      </c>
      <c r="T39" s="48">
        <v>33.200000000000003</v>
      </c>
    </row>
    <row r="40" spans="1:20" ht="23.4" x14ac:dyDescent="0.25">
      <c r="A40" s="46">
        <v>39</v>
      </c>
      <c r="B40" s="47">
        <v>243984</v>
      </c>
      <c r="C40" s="46" t="s">
        <v>114</v>
      </c>
      <c r="D40" s="46" t="s">
        <v>115</v>
      </c>
      <c r="E40" s="46" t="s">
        <v>116</v>
      </c>
      <c r="F40" s="46" t="s">
        <v>149</v>
      </c>
      <c r="G40" s="46">
        <v>2</v>
      </c>
      <c r="H40" s="46" t="s">
        <v>117</v>
      </c>
      <c r="I40" s="46" t="s">
        <v>1398</v>
      </c>
      <c r="J40" s="46" t="s">
        <v>1399</v>
      </c>
      <c r="K40" s="46" t="s">
        <v>1400</v>
      </c>
      <c r="L40" s="49" t="s">
        <v>1401</v>
      </c>
      <c r="M40" s="46" t="s">
        <v>118</v>
      </c>
      <c r="N40" s="46">
        <v>1.78</v>
      </c>
      <c r="O40" s="46" t="s">
        <v>1294</v>
      </c>
      <c r="P40" s="49">
        <v>430</v>
      </c>
      <c r="Q40" s="46">
        <v>8.6</v>
      </c>
      <c r="R40" s="46">
        <v>0.6</v>
      </c>
      <c r="S40" s="46">
        <v>24</v>
      </c>
      <c r="T40" s="48">
        <v>33.200000000000003</v>
      </c>
    </row>
    <row r="41" spans="1:20" ht="23.4" x14ac:dyDescent="0.25">
      <c r="A41" s="46">
        <v>40</v>
      </c>
      <c r="B41" s="47">
        <v>243984</v>
      </c>
      <c r="C41" s="46" t="s">
        <v>114</v>
      </c>
      <c r="D41" s="46" t="s">
        <v>115</v>
      </c>
      <c r="E41" s="46" t="s">
        <v>116</v>
      </c>
      <c r="F41" s="46" t="s">
        <v>149</v>
      </c>
      <c r="G41" s="46">
        <v>2</v>
      </c>
      <c r="H41" s="46" t="s">
        <v>117</v>
      </c>
      <c r="I41" s="46" t="s">
        <v>1402</v>
      </c>
      <c r="J41" s="46" t="s">
        <v>1403</v>
      </c>
      <c r="K41" s="46" t="s">
        <v>1404</v>
      </c>
      <c r="L41" s="49" t="s">
        <v>1405</v>
      </c>
      <c r="M41" s="46" t="s">
        <v>118</v>
      </c>
      <c r="N41" s="46">
        <v>1.93</v>
      </c>
      <c r="O41" s="46" t="s">
        <v>1236</v>
      </c>
      <c r="P41" s="49">
        <v>447</v>
      </c>
      <c r="Q41" s="46">
        <v>8.94</v>
      </c>
      <c r="R41" s="46">
        <v>0.63</v>
      </c>
      <c r="S41" s="46">
        <v>24</v>
      </c>
      <c r="T41" s="48">
        <v>33.57</v>
      </c>
    </row>
    <row r="42" spans="1:20" ht="23.4" x14ac:dyDescent="0.25">
      <c r="A42" s="46">
        <v>41</v>
      </c>
      <c r="B42" s="47">
        <v>243984</v>
      </c>
      <c r="C42" s="46" t="s">
        <v>114</v>
      </c>
      <c r="D42" s="46" t="s">
        <v>115</v>
      </c>
      <c r="E42" s="46" t="s">
        <v>116</v>
      </c>
      <c r="F42" s="46" t="s">
        <v>149</v>
      </c>
      <c r="G42" s="46">
        <v>2</v>
      </c>
      <c r="H42" s="46" t="s">
        <v>117</v>
      </c>
      <c r="I42" s="46" t="s">
        <v>1406</v>
      </c>
      <c r="J42" s="46" t="s">
        <v>1407</v>
      </c>
      <c r="K42" s="46" t="s">
        <v>1408</v>
      </c>
      <c r="L42" s="49" t="s">
        <v>1409</v>
      </c>
      <c r="M42" s="46" t="s">
        <v>118</v>
      </c>
      <c r="N42" s="46">
        <v>1.86</v>
      </c>
      <c r="O42" s="46" t="s">
        <v>1236</v>
      </c>
      <c r="P42" s="49">
        <v>448</v>
      </c>
      <c r="Q42" s="46">
        <v>8.9600000000000009</v>
      </c>
      <c r="R42" s="46">
        <v>0.63</v>
      </c>
      <c r="S42" s="46">
        <v>24</v>
      </c>
      <c r="T42" s="48">
        <v>33.590000000000003</v>
      </c>
    </row>
    <row r="43" spans="1:20" ht="23.4" x14ac:dyDescent="0.25">
      <c r="A43" s="46">
        <v>42</v>
      </c>
      <c r="B43" s="47">
        <v>243984</v>
      </c>
      <c r="C43" s="46" t="s">
        <v>114</v>
      </c>
      <c r="D43" s="46" t="s">
        <v>115</v>
      </c>
      <c r="E43" s="46" t="s">
        <v>116</v>
      </c>
      <c r="F43" s="46" t="s">
        <v>149</v>
      </c>
      <c r="G43" s="46">
        <v>2</v>
      </c>
      <c r="H43" s="46" t="s">
        <v>117</v>
      </c>
      <c r="I43" s="46" t="s">
        <v>1410</v>
      </c>
      <c r="J43" s="46" t="s">
        <v>1411</v>
      </c>
      <c r="K43" s="46" t="s">
        <v>1412</v>
      </c>
      <c r="L43" s="49" t="s">
        <v>1413</v>
      </c>
      <c r="M43" s="46" t="s">
        <v>118</v>
      </c>
      <c r="N43" s="46">
        <v>1.19</v>
      </c>
      <c r="O43" s="46" t="s">
        <v>1385</v>
      </c>
      <c r="P43" s="49">
        <v>0</v>
      </c>
      <c r="Q43" s="46">
        <v>0</v>
      </c>
      <c r="R43" s="46">
        <v>0</v>
      </c>
      <c r="S43" s="46">
        <v>24</v>
      </c>
      <c r="T43" s="48">
        <v>24</v>
      </c>
    </row>
    <row r="44" spans="1:20" ht="23.4" x14ac:dyDescent="0.25">
      <c r="A44" s="46">
        <v>43</v>
      </c>
      <c r="B44" s="47">
        <v>243984</v>
      </c>
      <c r="C44" s="46" t="s">
        <v>114</v>
      </c>
      <c r="D44" s="46" t="s">
        <v>115</v>
      </c>
      <c r="E44" s="46" t="s">
        <v>116</v>
      </c>
      <c r="F44" s="46" t="s">
        <v>149</v>
      </c>
      <c r="G44" s="46">
        <v>2</v>
      </c>
      <c r="H44" s="46" t="s">
        <v>117</v>
      </c>
      <c r="I44" s="46" t="s">
        <v>1414</v>
      </c>
      <c r="J44" s="46" t="s">
        <v>1415</v>
      </c>
      <c r="K44" s="46" t="s">
        <v>1416</v>
      </c>
      <c r="L44" s="49" t="s">
        <v>1417</v>
      </c>
      <c r="M44" s="46" t="s">
        <v>118</v>
      </c>
      <c r="N44" s="46">
        <v>1.78</v>
      </c>
      <c r="O44" s="46" t="s">
        <v>1294</v>
      </c>
      <c r="P44" s="49">
        <v>480</v>
      </c>
      <c r="Q44" s="46">
        <v>9.6</v>
      </c>
      <c r="R44" s="46">
        <v>0.67</v>
      </c>
      <c r="S44" s="46">
        <v>24</v>
      </c>
      <c r="T44" s="48">
        <v>34.270000000000003</v>
      </c>
    </row>
    <row r="45" spans="1:20" ht="23.4" x14ac:dyDescent="0.25">
      <c r="A45" s="46">
        <v>44</v>
      </c>
      <c r="B45" s="47">
        <v>243984</v>
      </c>
      <c r="C45" s="46" t="s">
        <v>114</v>
      </c>
      <c r="D45" s="46" t="s">
        <v>115</v>
      </c>
      <c r="E45" s="46" t="s">
        <v>116</v>
      </c>
      <c r="F45" s="46" t="s">
        <v>149</v>
      </c>
      <c r="G45" s="46">
        <v>2</v>
      </c>
      <c r="H45" s="46" t="s">
        <v>117</v>
      </c>
      <c r="I45" s="46" t="s">
        <v>1418</v>
      </c>
      <c r="J45" s="46" t="s">
        <v>1419</v>
      </c>
      <c r="K45" s="46" t="s">
        <v>1420</v>
      </c>
      <c r="L45" s="49" t="s">
        <v>1421</v>
      </c>
      <c r="M45" s="46" t="s">
        <v>118</v>
      </c>
      <c r="N45" s="46">
        <v>0.48</v>
      </c>
      <c r="O45" s="46" t="s">
        <v>1422</v>
      </c>
      <c r="P45" s="49">
        <v>0</v>
      </c>
      <c r="Q45" s="46">
        <v>0</v>
      </c>
      <c r="R45" s="46">
        <v>0</v>
      </c>
      <c r="S45" s="46">
        <v>20</v>
      </c>
      <c r="T45" s="48">
        <v>20</v>
      </c>
    </row>
    <row r="46" spans="1:20" ht="23.4" x14ac:dyDescent="0.25">
      <c r="A46" s="46">
        <v>45</v>
      </c>
      <c r="B46" s="47">
        <v>243984</v>
      </c>
      <c r="C46" s="46" t="s">
        <v>114</v>
      </c>
      <c r="D46" s="46" t="s">
        <v>115</v>
      </c>
      <c r="E46" s="46" t="s">
        <v>116</v>
      </c>
      <c r="F46" s="46" t="s">
        <v>149</v>
      </c>
      <c r="G46" s="46">
        <v>2</v>
      </c>
      <c r="H46" s="46" t="s">
        <v>117</v>
      </c>
      <c r="I46" s="46" t="s">
        <v>1423</v>
      </c>
      <c r="J46" s="46" t="s">
        <v>1424</v>
      </c>
      <c r="K46" s="46" t="s">
        <v>1425</v>
      </c>
      <c r="L46" s="49" t="s">
        <v>1426</v>
      </c>
      <c r="M46" s="46" t="s">
        <v>118</v>
      </c>
      <c r="N46" s="46">
        <v>4.67</v>
      </c>
      <c r="O46" s="46" t="s">
        <v>1427</v>
      </c>
      <c r="P46" s="49">
        <v>603</v>
      </c>
      <c r="Q46" s="46">
        <v>12.06</v>
      </c>
      <c r="R46" s="46">
        <v>0.84</v>
      </c>
      <c r="S46" s="46">
        <v>184</v>
      </c>
      <c r="T46" s="48">
        <v>196.9</v>
      </c>
    </row>
    <row r="47" spans="1:20" ht="23.4" x14ac:dyDescent="0.25">
      <c r="A47" s="46">
        <v>46</v>
      </c>
      <c r="B47" s="47">
        <v>243984</v>
      </c>
      <c r="C47" s="46" t="s">
        <v>114</v>
      </c>
      <c r="D47" s="46" t="s">
        <v>115</v>
      </c>
      <c r="E47" s="46" t="s">
        <v>116</v>
      </c>
      <c r="F47" s="46" t="s">
        <v>149</v>
      </c>
      <c r="G47" s="46">
        <v>2</v>
      </c>
      <c r="H47" s="46" t="s">
        <v>117</v>
      </c>
      <c r="I47" s="46" t="s">
        <v>1428</v>
      </c>
      <c r="J47" s="46" t="s">
        <v>1429</v>
      </c>
      <c r="K47" s="46" t="s">
        <v>1430</v>
      </c>
      <c r="L47" s="49" t="s">
        <v>1431</v>
      </c>
      <c r="M47" s="46" t="s">
        <v>118</v>
      </c>
      <c r="N47" s="46">
        <v>6.52</v>
      </c>
      <c r="O47" s="46" t="s">
        <v>1432</v>
      </c>
      <c r="P47" s="49">
        <v>0</v>
      </c>
      <c r="Q47" s="46">
        <v>0</v>
      </c>
      <c r="R47" s="46">
        <v>0</v>
      </c>
      <c r="S47" s="46">
        <v>125</v>
      </c>
      <c r="T47" s="48">
        <v>125</v>
      </c>
    </row>
    <row r="48" spans="1:20" ht="23.4" x14ac:dyDescent="0.25">
      <c r="A48" s="46">
        <v>47</v>
      </c>
      <c r="B48" s="47">
        <v>243984</v>
      </c>
      <c r="C48" s="46" t="s">
        <v>114</v>
      </c>
      <c r="D48" s="46" t="s">
        <v>115</v>
      </c>
      <c r="E48" s="46" t="s">
        <v>116</v>
      </c>
      <c r="F48" s="46" t="s">
        <v>149</v>
      </c>
      <c r="G48" s="46">
        <v>2</v>
      </c>
      <c r="H48" s="46" t="s">
        <v>117</v>
      </c>
      <c r="I48" s="46" t="s">
        <v>1433</v>
      </c>
      <c r="J48" s="46" t="s">
        <v>1434</v>
      </c>
      <c r="K48" s="46" t="s">
        <v>1435</v>
      </c>
      <c r="L48" s="49" t="s">
        <v>1436</v>
      </c>
      <c r="M48" s="46" t="s">
        <v>118</v>
      </c>
      <c r="N48" s="46">
        <v>2.89</v>
      </c>
      <c r="O48" s="46" t="s">
        <v>1246</v>
      </c>
      <c r="P48" s="49">
        <v>680</v>
      </c>
      <c r="Q48" s="46">
        <v>13.6</v>
      </c>
      <c r="R48" s="46">
        <v>0.95</v>
      </c>
      <c r="S48" s="46">
        <v>100</v>
      </c>
      <c r="T48" s="48">
        <v>114.55</v>
      </c>
    </row>
    <row r="49" spans="1:20" ht="23.4" x14ac:dyDescent="0.25">
      <c r="A49" s="46">
        <v>48</v>
      </c>
      <c r="B49" s="47">
        <v>243984</v>
      </c>
      <c r="C49" s="46" t="s">
        <v>114</v>
      </c>
      <c r="D49" s="46" t="s">
        <v>115</v>
      </c>
      <c r="E49" s="46" t="s">
        <v>116</v>
      </c>
      <c r="F49" s="46" t="s">
        <v>149</v>
      </c>
      <c r="G49" s="46">
        <v>2</v>
      </c>
      <c r="H49" s="46" t="s">
        <v>117</v>
      </c>
      <c r="I49" s="46" t="s">
        <v>1437</v>
      </c>
      <c r="J49" s="46" t="s">
        <v>1438</v>
      </c>
      <c r="K49" s="46" t="s">
        <v>1439</v>
      </c>
      <c r="L49" s="49" t="s">
        <v>1440</v>
      </c>
      <c r="M49" s="46" t="s">
        <v>118</v>
      </c>
      <c r="N49" s="46">
        <v>3.6</v>
      </c>
      <c r="O49" s="46" t="s">
        <v>1259</v>
      </c>
      <c r="P49" s="49">
        <v>0</v>
      </c>
      <c r="Q49" s="46">
        <v>0</v>
      </c>
      <c r="R49" s="46">
        <v>0</v>
      </c>
      <c r="S49" s="46">
        <v>100</v>
      </c>
      <c r="T49" s="48">
        <v>100</v>
      </c>
    </row>
    <row r="50" spans="1:20" ht="23.4" x14ac:dyDescent="0.25">
      <c r="A50" s="46">
        <v>49</v>
      </c>
      <c r="B50" s="47">
        <v>243984</v>
      </c>
      <c r="C50" s="46" t="s">
        <v>114</v>
      </c>
      <c r="D50" s="46" t="s">
        <v>115</v>
      </c>
      <c r="E50" s="46" t="s">
        <v>116</v>
      </c>
      <c r="F50" s="46" t="s">
        <v>149</v>
      </c>
      <c r="G50" s="46">
        <v>2</v>
      </c>
      <c r="H50" s="46" t="s">
        <v>117</v>
      </c>
      <c r="I50" s="46" t="s">
        <v>1441</v>
      </c>
      <c r="J50" s="46" t="s">
        <v>1442</v>
      </c>
      <c r="K50" s="46" t="s">
        <v>1443</v>
      </c>
      <c r="L50" s="49" t="s">
        <v>1444</v>
      </c>
      <c r="M50" s="46" t="s">
        <v>118</v>
      </c>
      <c r="N50" s="46">
        <v>2.88</v>
      </c>
      <c r="O50" s="46" t="s">
        <v>1445</v>
      </c>
      <c r="P50" s="49">
        <v>0</v>
      </c>
      <c r="Q50" s="46">
        <v>0</v>
      </c>
      <c r="R50" s="46">
        <v>0</v>
      </c>
      <c r="S50" s="46">
        <v>117</v>
      </c>
      <c r="T50" s="48">
        <v>117</v>
      </c>
    </row>
    <row r="51" spans="1:20" ht="23.4" x14ac:dyDescent="0.25">
      <c r="A51" s="46">
        <v>50</v>
      </c>
      <c r="B51" s="47">
        <v>243984</v>
      </c>
      <c r="C51" s="46" t="s">
        <v>114</v>
      </c>
      <c r="D51" s="46" t="s">
        <v>115</v>
      </c>
      <c r="E51" s="46" t="s">
        <v>116</v>
      </c>
      <c r="F51" s="46" t="s">
        <v>149</v>
      </c>
      <c r="G51" s="46">
        <v>2</v>
      </c>
      <c r="H51" s="46" t="s">
        <v>117</v>
      </c>
      <c r="I51" s="46" t="s">
        <v>1446</v>
      </c>
      <c r="J51" s="46" t="s">
        <v>1447</v>
      </c>
      <c r="K51" s="46" t="s">
        <v>1448</v>
      </c>
      <c r="L51" s="49" t="s">
        <v>1449</v>
      </c>
      <c r="M51" s="46" t="s">
        <v>118</v>
      </c>
      <c r="N51" s="46">
        <v>2.4</v>
      </c>
      <c r="O51" s="46" t="s">
        <v>1259</v>
      </c>
      <c r="P51" s="49">
        <v>0</v>
      </c>
      <c r="Q51" s="46">
        <v>0</v>
      </c>
      <c r="R51" s="46">
        <v>0</v>
      </c>
      <c r="S51" s="46">
        <v>100</v>
      </c>
      <c r="T51" s="48">
        <v>100</v>
      </c>
    </row>
    <row r="52" spans="1:20" ht="23.4" x14ac:dyDescent="0.25">
      <c r="A52" s="46">
        <v>51</v>
      </c>
      <c r="B52" s="47">
        <v>243984</v>
      </c>
      <c r="C52" s="46" t="s">
        <v>114</v>
      </c>
      <c r="D52" s="46" t="s">
        <v>115</v>
      </c>
      <c r="E52" s="46" t="s">
        <v>116</v>
      </c>
      <c r="F52" s="46" t="s">
        <v>149</v>
      </c>
      <c r="G52" s="46">
        <v>2</v>
      </c>
      <c r="H52" s="46" t="s">
        <v>117</v>
      </c>
      <c r="I52" s="46" t="s">
        <v>1450</v>
      </c>
      <c r="J52" s="46" t="s">
        <v>1451</v>
      </c>
      <c r="K52" s="46" t="s">
        <v>1452</v>
      </c>
      <c r="L52" s="49" t="s">
        <v>1453</v>
      </c>
      <c r="M52" s="46" t="s">
        <v>118</v>
      </c>
      <c r="N52" s="46">
        <v>2.5099999999999998</v>
      </c>
      <c r="O52" s="46" t="s">
        <v>1246</v>
      </c>
      <c r="P52" s="49">
        <v>0</v>
      </c>
      <c r="Q52" s="46">
        <v>0</v>
      </c>
      <c r="R52" s="46">
        <v>0</v>
      </c>
      <c r="S52" s="46">
        <v>100</v>
      </c>
      <c r="T52" s="48">
        <v>100</v>
      </c>
    </row>
    <row r="53" spans="1:20" ht="23.4" x14ac:dyDescent="0.25">
      <c r="A53" s="46">
        <v>52</v>
      </c>
      <c r="B53" s="47">
        <v>243985</v>
      </c>
      <c r="C53" s="46" t="s">
        <v>114</v>
      </c>
      <c r="D53" s="46" t="s">
        <v>115</v>
      </c>
      <c r="E53" s="46" t="s">
        <v>116</v>
      </c>
      <c r="F53" s="46" t="s">
        <v>149</v>
      </c>
      <c r="G53" s="46">
        <v>2</v>
      </c>
      <c r="H53" s="46" t="s">
        <v>117</v>
      </c>
      <c r="I53" s="46" t="s">
        <v>1454</v>
      </c>
      <c r="J53" s="46" t="s">
        <v>1455</v>
      </c>
      <c r="K53" s="46" t="s">
        <v>1456</v>
      </c>
      <c r="L53" s="49" t="s">
        <v>1457</v>
      </c>
      <c r="M53" s="46" t="s">
        <v>118</v>
      </c>
      <c r="N53" s="46">
        <v>8.31</v>
      </c>
      <c r="O53" s="46" t="s">
        <v>1458</v>
      </c>
      <c r="P53" s="49">
        <v>0</v>
      </c>
      <c r="Q53" s="46">
        <v>0</v>
      </c>
      <c r="R53" s="46">
        <v>0</v>
      </c>
      <c r="S53" s="46">
        <v>168</v>
      </c>
      <c r="T53" s="48">
        <v>168</v>
      </c>
    </row>
    <row r="54" spans="1:20" ht="23.4" x14ac:dyDescent="0.25">
      <c r="A54" s="46">
        <v>53</v>
      </c>
      <c r="B54" s="47">
        <v>243985</v>
      </c>
      <c r="C54" s="46" t="s">
        <v>114</v>
      </c>
      <c r="D54" s="46" t="s">
        <v>115</v>
      </c>
      <c r="E54" s="46" t="s">
        <v>116</v>
      </c>
      <c r="F54" s="46" t="s">
        <v>149</v>
      </c>
      <c r="G54" s="46">
        <v>2</v>
      </c>
      <c r="H54" s="46" t="s">
        <v>117</v>
      </c>
      <c r="I54" s="46" t="s">
        <v>1459</v>
      </c>
      <c r="J54" s="46" t="s">
        <v>1460</v>
      </c>
      <c r="K54" s="46" t="s">
        <v>1461</v>
      </c>
      <c r="L54" s="49" t="s">
        <v>1462</v>
      </c>
      <c r="M54" s="46" t="s">
        <v>118</v>
      </c>
      <c r="N54" s="46">
        <v>6.51</v>
      </c>
      <c r="O54" s="46" t="s">
        <v>1463</v>
      </c>
      <c r="P54" s="49">
        <v>430</v>
      </c>
      <c r="Q54" s="46">
        <v>8.6</v>
      </c>
      <c r="R54" s="46">
        <v>0.6</v>
      </c>
      <c r="S54" s="46">
        <v>100</v>
      </c>
      <c r="T54" s="48">
        <v>109.2</v>
      </c>
    </row>
    <row r="55" spans="1:20" ht="23.4" x14ac:dyDescent="0.25">
      <c r="A55" s="46">
        <v>54</v>
      </c>
      <c r="B55" s="47">
        <v>243985</v>
      </c>
      <c r="C55" s="46" t="s">
        <v>114</v>
      </c>
      <c r="D55" s="46" t="s">
        <v>115</v>
      </c>
      <c r="E55" s="46" t="s">
        <v>116</v>
      </c>
      <c r="F55" s="46" t="s">
        <v>149</v>
      </c>
      <c r="G55" s="46">
        <v>2</v>
      </c>
      <c r="H55" s="46" t="s">
        <v>117</v>
      </c>
      <c r="I55" s="46" t="s">
        <v>1464</v>
      </c>
      <c r="J55" s="46" t="s">
        <v>1465</v>
      </c>
      <c r="K55" s="46" t="s">
        <v>1466</v>
      </c>
      <c r="L55" s="49" t="s">
        <v>1467</v>
      </c>
      <c r="M55" s="46" t="s">
        <v>118</v>
      </c>
      <c r="N55" s="46">
        <v>6.13</v>
      </c>
      <c r="O55" s="46" t="s">
        <v>1468</v>
      </c>
      <c r="P55" s="49">
        <v>0</v>
      </c>
      <c r="Q55" s="46">
        <v>0</v>
      </c>
      <c r="R55" s="46">
        <v>0</v>
      </c>
      <c r="S55" s="46">
        <v>134</v>
      </c>
      <c r="T55" s="48">
        <v>134</v>
      </c>
    </row>
    <row r="56" spans="1:20" ht="23.4" x14ac:dyDescent="0.25">
      <c r="A56" s="46">
        <v>55</v>
      </c>
      <c r="B56" s="47">
        <v>243985</v>
      </c>
      <c r="C56" s="46" t="s">
        <v>114</v>
      </c>
      <c r="D56" s="46" t="s">
        <v>115</v>
      </c>
      <c r="E56" s="46" t="s">
        <v>116</v>
      </c>
      <c r="F56" s="46" t="s">
        <v>149</v>
      </c>
      <c r="G56" s="46">
        <v>2</v>
      </c>
      <c r="H56" s="46" t="s">
        <v>117</v>
      </c>
      <c r="I56" s="46" t="s">
        <v>1469</v>
      </c>
      <c r="J56" s="46" t="s">
        <v>1470</v>
      </c>
      <c r="K56" s="46" t="s">
        <v>1471</v>
      </c>
      <c r="L56" s="49" t="s">
        <v>1472</v>
      </c>
      <c r="M56" s="46" t="s">
        <v>118</v>
      </c>
      <c r="N56" s="46">
        <v>5.85</v>
      </c>
      <c r="O56" s="46" t="s">
        <v>1473</v>
      </c>
      <c r="P56" s="49">
        <v>0</v>
      </c>
      <c r="Q56" s="46">
        <v>0</v>
      </c>
      <c r="R56" s="46">
        <v>0</v>
      </c>
      <c r="S56" s="46">
        <v>134</v>
      </c>
      <c r="T56" s="48">
        <v>134</v>
      </c>
    </row>
    <row r="57" spans="1:20" ht="23.4" x14ac:dyDescent="0.25">
      <c r="A57" s="46">
        <v>56</v>
      </c>
      <c r="B57" s="47">
        <v>243985</v>
      </c>
      <c r="C57" s="46" t="s">
        <v>114</v>
      </c>
      <c r="D57" s="46" t="s">
        <v>115</v>
      </c>
      <c r="E57" s="46" t="s">
        <v>116</v>
      </c>
      <c r="F57" s="46" t="s">
        <v>149</v>
      </c>
      <c r="G57" s="46">
        <v>2</v>
      </c>
      <c r="H57" s="46" t="s">
        <v>117</v>
      </c>
      <c r="I57" s="46" t="s">
        <v>1474</v>
      </c>
      <c r="J57" s="46" t="s">
        <v>1475</v>
      </c>
      <c r="K57" s="46" t="s">
        <v>1476</v>
      </c>
      <c r="L57" s="49" t="s">
        <v>1477</v>
      </c>
      <c r="M57" s="46" t="s">
        <v>118</v>
      </c>
      <c r="N57" s="46">
        <v>5.43</v>
      </c>
      <c r="O57" s="46" t="s">
        <v>1473</v>
      </c>
      <c r="P57" s="49">
        <v>0</v>
      </c>
      <c r="Q57" s="46">
        <v>0</v>
      </c>
      <c r="R57" s="46">
        <v>0</v>
      </c>
      <c r="S57" s="46">
        <v>134</v>
      </c>
      <c r="T57" s="48">
        <v>134</v>
      </c>
    </row>
    <row r="58" spans="1:20" ht="23.4" x14ac:dyDescent="0.25">
      <c r="A58" s="46">
        <v>57</v>
      </c>
      <c r="B58" s="47">
        <v>243985</v>
      </c>
      <c r="C58" s="46" t="s">
        <v>114</v>
      </c>
      <c r="D58" s="46" t="s">
        <v>115</v>
      </c>
      <c r="E58" s="46" t="s">
        <v>116</v>
      </c>
      <c r="F58" s="46" t="s">
        <v>149</v>
      </c>
      <c r="G58" s="46">
        <v>2</v>
      </c>
      <c r="H58" s="46" t="s">
        <v>117</v>
      </c>
      <c r="I58" s="46" t="s">
        <v>1478</v>
      </c>
      <c r="J58" s="46" t="s">
        <v>1470</v>
      </c>
      <c r="K58" s="46" t="s">
        <v>1471</v>
      </c>
      <c r="L58" s="49" t="s">
        <v>1472</v>
      </c>
      <c r="M58" s="46" t="s">
        <v>118</v>
      </c>
      <c r="N58" s="46">
        <v>12.5</v>
      </c>
      <c r="O58" s="46" t="s">
        <v>1479</v>
      </c>
      <c r="P58" s="49">
        <v>0</v>
      </c>
      <c r="Q58" s="46">
        <v>0</v>
      </c>
      <c r="R58" s="46">
        <v>0</v>
      </c>
      <c r="S58" s="46">
        <v>168</v>
      </c>
      <c r="T58" s="48">
        <v>168</v>
      </c>
    </row>
    <row r="59" spans="1:20" ht="23.4" x14ac:dyDescent="0.25">
      <c r="A59" s="46">
        <v>58</v>
      </c>
      <c r="B59" s="47">
        <v>243985</v>
      </c>
      <c r="C59" s="46" t="s">
        <v>114</v>
      </c>
      <c r="D59" s="46" t="s">
        <v>115</v>
      </c>
      <c r="E59" s="46" t="s">
        <v>116</v>
      </c>
      <c r="F59" s="46" t="s">
        <v>149</v>
      </c>
      <c r="G59" s="46">
        <v>2</v>
      </c>
      <c r="H59" s="46" t="s">
        <v>117</v>
      </c>
      <c r="I59" s="46" t="s">
        <v>1480</v>
      </c>
      <c r="J59" s="46" t="s">
        <v>1481</v>
      </c>
      <c r="K59" s="46" t="s">
        <v>1482</v>
      </c>
      <c r="L59" s="49" t="s">
        <v>1483</v>
      </c>
      <c r="M59" s="46" t="s">
        <v>118</v>
      </c>
      <c r="N59" s="46">
        <v>10.66</v>
      </c>
      <c r="O59" s="46" t="s">
        <v>1484</v>
      </c>
      <c r="P59" s="49">
        <v>0</v>
      </c>
      <c r="Q59" s="46">
        <v>0</v>
      </c>
      <c r="R59" s="46">
        <v>0</v>
      </c>
      <c r="S59" s="46">
        <v>176</v>
      </c>
      <c r="T59" s="48">
        <v>176</v>
      </c>
    </row>
    <row r="60" spans="1:20" ht="23.4" x14ac:dyDescent="0.25">
      <c r="A60" s="46">
        <v>59</v>
      </c>
      <c r="B60" s="47">
        <v>243985</v>
      </c>
      <c r="C60" s="46" t="s">
        <v>114</v>
      </c>
      <c r="D60" s="46" t="s">
        <v>115</v>
      </c>
      <c r="E60" s="46" t="s">
        <v>116</v>
      </c>
      <c r="F60" s="46" t="s">
        <v>149</v>
      </c>
      <c r="G60" s="46">
        <v>2</v>
      </c>
      <c r="H60" s="46" t="s">
        <v>117</v>
      </c>
      <c r="I60" s="46" t="s">
        <v>1485</v>
      </c>
      <c r="J60" s="46" t="s">
        <v>1486</v>
      </c>
      <c r="K60" s="46" t="s">
        <v>1482</v>
      </c>
      <c r="L60" s="49" t="s">
        <v>1483</v>
      </c>
      <c r="M60" s="46" t="s">
        <v>118</v>
      </c>
      <c r="N60" s="46">
        <v>11.02</v>
      </c>
      <c r="O60" s="46" t="s">
        <v>1487</v>
      </c>
      <c r="P60" s="49">
        <v>0</v>
      </c>
      <c r="Q60" s="46">
        <v>0</v>
      </c>
      <c r="R60" s="46">
        <v>0</v>
      </c>
      <c r="S60" s="46">
        <v>168</v>
      </c>
      <c r="T60" s="48">
        <v>168</v>
      </c>
    </row>
    <row r="61" spans="1:20" ht="23.4" x14ac:dyDescent="0.25">
      <c r="A61" s="46">
        <v>60</v>
      </c>
      <c r="B61" s="47">
        <v>243985</v>
      </c>
      <c r="C61" s="46" t="s">
        <v>114</v>
      </c>
      <c r="D61" s="46" t="s">
        <v>115</v>
      </c>
      <c r="E61" s="46" t="s">
        <v>116</v>
      </c>
      <c r="F61" s="46" t="s">
        <v>149</v>
      </c>
      <c r="G61" s="46">
        <v>2</v>
      </c>
      <c r="H61" s="46" t="s">
        <v>117</v>
      </c>
      <c r="I61" s="46" t="s">
        <v>1488</v>
      </c>
      <c r="J61" s="46" t="s">
        <v>1489</v>
      </c>
      <c r="K61" s="46" t="s">
        <v>1482</v>
      </c>
      <c r="L61" s="49" t="s">
        <v>1483</v>
      </c>
      <c r="M61" s="46" t="s">
        <v>118</v>
      </c>
      <c r="N61" s="46">
        <v>11.04</v>
      </c>
      <c r="O61" s="46" t="s">
        <v>1490</v>
      </c>
      <c r="P61" s="49">
        <v>0</v>
      </c>
      <c r="Q61" s="46">
        <v>0</v>
      </c>
      <c r="R61" s="46">
        <v>0</v>
      </c>
      <c r="S61" s="46">
        <v>168</v>
      </c>
      <c r="T61" s="48">
        <v>168</v>
      </c>
    </row>
    <row r="62" spans="1:20" ht="23.4" x14ac:dyDescent="0.25">
      <c r="A62" s="46">
        <v>61</v>
      </c>
      <c r="B62" s="47">
        <v>243985</v>
      </c>
      <c r="C62" s="46" t="s">
        <v>114</v>
      </c>
      <c r="D62" s="46" t="s">
        <v>115</v>
      </c>
      <c r="E62" s="46" t="s">
        <v>116</v>
      </c>
      <c r="F62" s="46" t="s">
        <v>149</v>
      </c>
      <c r="G62" s="46">
        <v>2</v>
      </c>
      <c r="H62" s="46" t="s">
        <v>117</v>
      </c>
      <c r="I62" s="46" t="s">
        <v>1491</v>
      </c>
      <c r="J62" s="46" t="s">
        <v>123</v>
      </c>
      <c r="K62" s="46" t="s">
        <v>124</v>
      </c>
      <c r="L62" s="49" t="s">
        <v>1492</v>
      </c>
      <c r="M62" s="46" t="s">
        <v>118</v>
      </c>
      <c r="N62" s="46">
        <v>0.18</v>
      </c>
      <c r="O62" s="46" t="s">
        <v>1393</v>
      </c>
      <c r="P62" s="49">
        <v>0</v>
      </c>
      <c r="Q62" s="46">
        <v>0</v>
      </c>
      <c r="R62" s="46">
        <v>0</v>
      </c>
      <c r="S62" s="46">
        <v>18</v>
      </c>
      <c r="T62" s="48">
        <v>18</v>
      </c>
    </row>
    <row r="63" spans="1:20" ht="23.4" x14ac:dyDescent="0.25">
      <c r="A63" s="46">
        <v>62</v>
      </c>
      <c r="B63" s="47">
        <v>243985</v>
      </c>
      <c r="C63" s="46" t="s">
        <v>114</v>
      </c>
      <c r="D63" s="46" t="s">
        <v>115</v>
      </c>
      <c r="E63" s="46" t="s">
        <v>116</v>
      </c>
      <c r="F63" s="46" t="s">
        <v>149</v>
      </c>
      <c r="G63" s="46">
        <v>2</v>
      </c>
      <c r="H63" s="46" t="s">
        <v>117</v>
      </c>
      <c r="I63" s="46" t="s">
        <v>1493</v>
      </c>
      <c r="J63" s="46" t="s">
        <v>1494</v>
      </c>
      <c r="K63" s="46" t="s">
        <v>1495</v>
      </c>
      <c r="L63" s="49" t="s">
        <v>1496</v>
      </c>
      <c r="M63" s="46" t="s">
        <v>118</v>
      </c>
      <c r="N63" s="46">
        <v>2.4300000000000002</v>
      </c>
      <c r="O63" s="46" t="s">
        <v>1376</v>
      </c>
      <c r="P63" s="49">
        <v>0</v>
      </c>
      <c r="Q63" s="46">
        <v>0</v>
      </c>
      <c r="R63" s="46">
        <v>0</v>
      </c>
      <c r="S63" s="46">
        <v>100</v>
      </c>
      <c r="T63" s="48">
        <v>100</v>
      </c>
    </row>
    <row r="64" spans="1:20" ht="23.4" x14ac:dyDescent="0.25">
      <c r="A64" s="46">
        <v>63</v>
      </c>
      <c r="B64" s="47">
        <v>243985</v>
      </c>
      <c r="C64" s="46" t="s">
        <v>114</v>
      </c>
      <c r="D64" s="46" t="s">
        <v>115</v>
      </c>
      <c r="E64" s="46" t="s">
        <v>116</v>
      </c>
      <c r="F64" s="46" t="s">
        <v>149</v>
      </c>
      <c r="G64" s="46">
        <v>2</v>
      </c>
      <c r="H64" s="46" t="s">
        <v>117</v>
      </c>
      <c r="I64" s="46" t="s">
        <v>1497</v>
      </c>
      <c r="J64" s="46" t="s">
        <v>1498</v>
      </c>
      <c r="K64" s="46" t="s">
        <v>1499</v>
      </c>
      <c r="L64" s="49" t="s">
        <v>1500</v>
      </c>
      <c r="M64" s="46" t="s">
        <v>118</v>
      </c>
      <c r="N64" s="46">
        <v>2.35</v>
      </c>
      <c r="O64" s="46" t="s">
        <v>1501</v>
      </c>
      <c r="P64" s="49">
        <v>0</v>
      </c>
      <c r="Q64" s="46">
        <v>0</v>
      </c>
      <c r="R64" s="46">
        <v>0</v>
      </c>
      <c r="S64" s="46">
        <v>100</v>
      </c>
      <c r="T64" s="48">
        <v>100</v>
      </c>
    </row>
    <row r="65" spans="1:20" ht="23.4" x14ac:dyDescent="0.25">
      <c r="A65" s="46">
        <v>64</v>
      </c>
      <c r="B65" s="47">
        <v>243985</v>
      </c>
      <c r="C65" s="46" t="s">
        <v>114</v>
      </c>
      <c r="D65" s="46" t="s">
        <v>115</v>
      </c>
      <c r="E65" s="46" t="s">
        <v>116</v>
      </c>
      <c r="F65" s="46" t="s">
        <v>149</v>
      </c>
      <c r="G65" s="46">
        <v>2</v>
      </c>
      <c r="H65" s="46" t="s">
        <v>117</v>
      </c>
      <c r="I65" s="46" t="s">
        <v>1502</v>
      </c>
      <c r="J65" s="46" t="s">
        <v>1503</v>
      </c>
      <c r="K65" s="46" t="s">
        <v>1504</v>
      </c>
      <c r="L65" s="49" t="s">
        <v>1505</v>
      </c>
      <c r="M65" s="46" t="s">
        <v>118</v>
      </c>
      <c r="N65" s="46">
        <v>2.42</v>
      </c>
      <c r="O65" s="46" t="s">
        <v>1501</v>
      </c>
      <c r="P65" s="49">
        <v>0</v>
      </c>
      <c r="Q65" s="46">
        <v>0</v>
      </c>
      <c r="R65" s="46">
        <v>0</v>
      </c>
      <c r="S65" s="46">
        <v>100</v>
      </c>
      <c r="T65" s="48">
        <v>100</v>
      </c>
    </row>
    <row r="66" spans="1:20" ht="23.4" x14ac:dyDescent="0.25">
      <c r="A66" s="46">
        <v>65</v>
      </c>
      <c r="B66" s="47">
        <v>243985</v>
      </c>
      <c r="C66" s="46" t="s">
        <v>114</v>
      </c>
      <c r="D66" s="46" t="s">
        <v>115</v>
      </c>
      <c r="E66" s="46" t="s">
        <v>116</v>
      </c>
      <c r="F66" s="46" t="s">
        <v>149</v>
      </c>
      <c r="G66" s="46">
        <v>2</v>
      </c>
      <c r="H66" s="46" t="s">
        <v>117</v>
      </c>
      <c r="I66" s="46" t="s">
        <v>1506</v>
      </c>
      <c r="J66" s="46" t="s">
        <v>1507</v>
      </c>
      <c r="K66" s="46" t="s">
        <v>1508</v>
      </c>
      <c r="L66" s="49" t="s">
        <v>1509</v>
      </c>
      <c r="M66" s="46" t="s">
        <v>118</v>
      </c>
      <c r="N66" s="46">
        <v>2.4</v>
      </c>
      <c r="O66" s="46" t="s">
        <v>1510</v>
      </c>
      <c r="P66" s="49">
        <v>0</v>
      </c>
      <c r="Q66" s="46">
        <v>0</v>
      </c>
      <c r="R66" s="46">
        <v>0</v>
      </c>
      <c r="S66" s="46">
        <v>100</v>
      </c>
      <c r="T66" s="48">
        <v>100</v>
      </c>
    </row>
    <row r="67" spans="1:20" ht="23.4" x14ac:dyDescent="0.25">
      <c r="A67" s="46">
        <v>66</v>
      </c>
      <c r="B67" s="47">
        <v>243985</v>
      </c>
      <c r="C67" s="46" t="s">
        <v>114</v>
      </c>
      <c r="D67" s="46" t="s">
        <v>115</v>
      </c>
      <c r="E67" s="46" t="s">
        <v>116</v>
      </c>
      <c r="F67" s="46" t="s">
        <v>149</v>
      </c>
      <c r="G67" s="46">
        <v>2</v>
      </c>
      <c r="H67" s="46" t="s">
        <v>117</v>
      </c>
      <c r="I67" s="46" t="s">
        <v>1511</v>
      </c>
      <c r="J67" s="46" t="s">
        <v>1512</v>
      </c>
      <c r="K67" s="46" t="s">
        <v>1513</v>
      </c>
      <c r="L67" s="49" t="s">
        <v>1514</v>
      </c>
      <c r="M67" s="46" t="s">
        <v>118</v>
      </c>
      <c r="N67" s="46">
        <v>2.39</v>
      </c>
      <c r="O67" s="46" t="s">
        <v>1376</v>
      </c>
      <c r="P67" s="49">
        <v>530</v>
      </c>
      <c r="Q67" s="46">
        <v>10.6</v>
      </c>
      <c r="R67" s="46">
        <v>0.74</v>
      </c>
      <c r="S67" s="46">
        <v>100</v>
      </c>
      <c r="T67" s="48">
        <v>111.34</v>
      </c>
    </row>
    <row r="68" spans="1:20" ht="23.4" x14ac:dyDescent="0.25">
      <c r="A68" s="46">
        <v>67</v>
      </c>
      <c r="B68" s="47">
        <v>243985</v>
      </c>
      <c r="C68" s="46" t="s">
        <v>114</v>
      </c>
      <c r="D68" s="46" t="s">
        <v>115</v>
      </c>
      <c r="E68" s="46" t="s">
        <v>116</v>
      </c>
      <c r="F68" s="46" t="s">
        <v>149</v>
      </c>
      <c r="G68" s="46">
        <v>2</v>
      </c>
      <c r="H68" s="46" t="s">
        <v>117</v>
      </c>
      <c r="I68" s="46" t="s">
        <v>1515</v>
      </c>
      <c r="J68" s="46" t="s">
        <v>1516</v>
      </c>
      <c r="K68" s="46" t="s">
        <v>1517</v>
      </c>
      <c r="L68" s="49" t="s">
        <v>1518</v>
      </c>
      <c r="M68" s="46" t="s">
        <v>118</v>
      </c>
      <c r="N68" s="46">
        <v>2.41</v>
      </c>
      <c r="O68" s="46" t="s">
        <v>1285</v>
      </c>
      <c r="P68" s="49">
        <v>0</v>
      </c>
      <c r="Q68" s="46">
        <v>0</v>
      </c>
      <c r="R68" s="46">
        <v>0</v>
      </c>
      <c r="S68" s="46">
        <v>100</v>
      </c>
      <c r="T68" s="48">
        <v>100</v>
      </c>
    </row>
    <row r="69" spans="1:20" ht="23.4" x14ac:dyDescent="0.25">
      <c r="A69" s="46">
        <v>68</v>
      </c>
      <c r="B69" s="47">
        <v>243985</v>
      </c>
      <c r="C69" s="46" t="s">
        <v>114</v>
      </c>
      <c r="D69" s="46" t="s">
        <v>115</v>
      </c>
      <c r="E69" s="46" t="s">
        <v>116</v>
      </c>
      <c r="F69" s="46" t="s">
        <v>149</v>
      </c>
      <c r="G69" s="46">
        <v>2</v>
      </c>
      <c r="H69" s="46" t="s">
        <v>117</v>
      </c>
      <c r="I69" s="46" t="s">
        <v>1519</v>
      </c>
      <c r="J69" s="46" t="s">
        <v>1520</v>
      </c>
      <c r="K69" s="46" t="s">
        <v>1521</v>
      </c>
      <c r="L69" s="49" t="s">
        <v>1522</v>
      </c>
      <c r="M69" s="46" t="s">
        <v>118</v>
      </c>
      <c r="N69" s="46">
        <v>5.87</v>
      </c>
      <c r="O69" s="46" t="s">
        <v>1285</v>
      </c>
      <c r="P69" s="49">
        <v>0</v>
      </c>
      <c r="Q69" s="46">
        <v>0</v>
      </c>
      <c r="R69" s="46">
        <v>0</v>
      </c>
      <c r="S69" s="46">
        <v>104</v>
      </c>
      <c r="T69" s="48">
        <v>104</v>
      </c>
    </row>
    <row r="70" spans="1:20" ht="23.4" x14ac:dyDescent="0.25">
      <c r="A70" s="46">
        <v>69</v>
      </c>
      <c r="B70" s="47">
        <v>243985</v>
      </c>
      <c r="C70" s="46" t="s">
        <v>114</v>
      </c>
      <c r="D70" s="46" t="s">
        <v>115</v>
      </c>
      <c r="E70" s="46" t="s">
        <v>116</v>
      </c>
      <c r="F70" s="46" t="s">
        <v>149</v>
      </c>
      <c r="G70" s="46">
        <v>2</v>
      </c>
      <c r="H70" s="46" t="s">
        <v>117</v>
      </c>
      <c r="I70" s="46" t="s">
        <v>1523</v>
      </c>
      <c r="J70" s="46" t="s">
        <v>1524</v>
      </c>
      <c r="K70" s="46" t="s">
        <v>1525</v>
      </c>
      <c r="L70" s="49" t="s">
        <v>1526</v>
      </c>
      <c r="M70" s="46" t="s">
        <v>118</v>
      </c>
      <c r="N70" s="46">
        <v>2.41</v>
      </c>
      <c r="O70" s="46" t="s">
        <v>1527</v>
      </c>
      <c r="P70" s="49">
        <v>0</v>
      </c>
      <c r="Q70" s="46">
        <v>0</v>
      </c>
      <c r="R70" s="46">
        <v>0</v>
      </c>
      <c r="S70" s="46">
        <v>108</v>
      </c>
      <c r="T70" s="48">
        <v>108</v>
      </c>
    </row>
    <row r="71" spans="1:20" ht="23.4" x14ac:dyDescent="0.25">
      <c r="A71" s="46">
        <v>70</v>
      </c>
      <c r="B71" s="47">
        <v>243985</v>
      </c>
      <c r="C71" s="46" t="s">
        <v>114</v>
      </c>
      <c r="D71" s="46" t="s">
        <v>115</v>
      </c>
      <c r="E71" s="46" t="s">
        <v>116</v>
      </c>
      <c r="F71" s="46" t="s">
        <v>149</v>
      </c>
      <c r="G71" s="46">
        <v>2</v>
      </c>
      <c r="H71" s="46" t="s">
        <v>117</v>
      </c>
      <c r="I71" s="46" t="s">
        <v>1528</v>
      </c>
      <c r="J71" s="46" t="s">
        <v>1529</v>
      </c>
      <c r="K71" s="46" t="s">
        <v>1530</v>
      </c>
      <c r="L71" s="49" t="s">
        <v>1531</v>
      </c>
      <c r="M71" s="46" t="s">
        <v>118</v>
      </c>
      <c r="N71" s="46">
        <v>2.46</v>
      </c>
      <c r="O71" s="46" t="s">
        <v>1285</v>
      </c>
      <c r="P71" s="49">
        <v>0</v>
      </c>
      <c r="Q71" s="46">
        <v>0</v>
      </c>
      <c r="R71" s="46">
        <v>0</v>
      </c>
      <c r="S71" s="46">
        <v>100</v>
      </c>
      <c r="T71" s="48">
        <v>100</v>
      </c>
    </row>
    <row r="72" spans="1:20" ht="23.4" x14ac:dyDescent="0.25">
      <c r="A72" s="46">
        <v>71</v>
      </c>
      <c r="B72" s="47">
        <v>243985</v>
      </c>
      <c r="C72" s="46" t="s">
        <v>114</v>
      </c>
      <c r="D72" s="46" t="s">
        <v>115</v>
      </c>
      <c r="E72" s="46" t="s">
        <v>116</v>
      </c>
      <c r="F72" s="46" t="s">
        <v>149</v>
      </c>
      <c r="G72" s="46">
        <v>2</v>
      </c>
      <c r="H72" s="46" t="s">
        <v>117</v>
      </c>
      <c r="I72" s="46" t="s">
        <v>1532</v>
      </c>
      <c r="J72" s="46" t="s">
        <v>1533</v>
      </c>
      <c r="K72" s="46" t="s">
        <v>1482</v>
      </c>
      <c r="L72" s="49" t="s">
        <v>1483</v>
      </c>
      <c r="M72" s="46" t="s">
        <v>118</v>
      </c>
      <c r="N72" s="46">
        <v>3.99</v>
      </c>
      <c r="O72" s="46" t="s">
        <v>1527</v>
      </c>
      <c r="P72" s="49">
        <v>0</v>
      </c>
      <c r="Q72" s="46">
        <v>0</v>
      </c>
      <c r="R72" s="46">
        <v>0</v>
      </c>
      <c r="S72" s="46">
        <v>108</v>
      </c>
      <c r="T72" s="48">
        <v>108</v>
      </c>
    </row>
    <row r="73" spans="1:20" ht="23.4" x14ac:dyDescent="0.25">
      <c r="A73" s="46">
        <v>72</v>
      </c>
      <c r="B73" s="47">
        <v>243985</v>
      </c>
      <c r="C73" s="46" t="s">
        <v>114</v>
      </c>
      <c r="D73" s="46" t="s">
        <v>115</v>
      </c>
      <c r="E73" s="46" t="s">
        <v>116</v>
      </c>
      <c r="F73" s="46" t="s">
        <v>149</v>
      </c>
      <c r="G73" s="46">
        <v>2</v>
      </c>
      <c r="H73" s="46" t="s">
        <v>117</v>
      </c>
      <c r="I73" s="46" t="s">
        <v>1534</v>
      </c>
      <c r="J73" s="46" t="s">
        <v>1535</v>
      </c>
      <c r="K73" s="46" t="s">
        <v>1536</v>
      </c>
      <c r="L73" s="49" t="s">
        <v>1537</v>
      </c>
      <c r="M73" s="46" t="s">
        <v>118</v>
      </c>
      <c r="N73" s="46">
        <v>3.43</v>
      </c>
      <c r="O73" s="46" t="s">
        <v>1285</v>
      </c>
      <c r="P73" s="49">
        <v>0</v>
      </c>
      <c r="Q73" s="46">
        <v>0</v>
      </c>
      <c r="R73" s="46">
        <v>0</v>
      </c>
      <c r="S73" s="46">
        <v>100</v>
      </c>
      <c r="T73" s="48">
        <v>100</v>
      </c>
    </row>
    <row r="74" spans="1:20" ht="23.4" x14ac:dyDescent="0.25">
      <c r="A74" s="46">
        <v>73</v>
      </c>
      <c r="B74" s="47">
        <v>243985</v>
      </c>
      <c r="C74" s="46" t="s">
        <v>114</v>
      </c>
      <c r="D74" s="46" t="s">
        <v>115</v>
      </c>
      <c r="E74" s="46" t="s">
        <v>116</v>
      </c>
      <c r="F74" s="46" t="s">
        <v>149</v>
      </c>
      <c r="G74" s="46">
        <v>2</v>
      </c>
      <c r="H74" s="46" t="s">
        <v>117</v>
      </c>
      <c r="I74" s="46" t="s">
        <v>1538</v>
      </c>
      <c r="J74" s="46" t="s">
        <v>1539</v>
      </c>
      <c r="K74" s="46" t="s">
        <v>1540</v>
      </c>
      <c r="L74" s="49" t="s">
        <v>1541</v>
      </c>
      <c r="M74" s="46" t="s">
        <v>118</v>
      </c>
      <c r="N74" s="46">
        <v>2.58</v>
      </c>
      <c r="O74" s="46" t="s">
        <v>1510</v>
      </c>
      <c r="P74" s="49">
        <v>0</v>
      </c>
      <c r="Q74" s="46">
        <v>0</v>
      </c>
      <c r="R74" s="46">
        <v>0</v>
      </c>
      <c r="S74" s="46">
        <v>100</v>
      </c>
      <c r="T74" s="48">
        <v>100</v>
      </c>
    </row>
    <row r="75" spans="1:20" ht="23.4" x14ac:dyDescent="0.25">
      <c r="A75" s="46">
        <v>74</v>
      </c>
      <c r="B75" s="47">
        <v>243985</v>
      </c>
      <c r="C75" s="46" t="s">
        <v>114</v>
      </c>
      <c r="D75" s="46" t="s">
        <v>115</v>
      </c>
      <c r="E75" s="46" t="s">
        <v>116</v>
      </c>
      <c r="F75" s="46" t="s">
        <v>149</v>
      </c>
      <c r="G75" s="46">
        <v>2</v>
      </c>
      <c r="H75" s="46" t="s">
        <v>117</v>
      </c>
      <c r="I75" s="46" t="s">
        <v>1542</v>
      </c>
      <c r="J75" s="46" t="s">
        <v>1543</v>
      </c>
      <c r="K75" s="46" t="s">
        <v>1544</v>
      </c>
      <c r="L75" s="49" t="s">
        <v>1545</v>
      </c>
      <c r="M75" s="46" t="s">
        <v>118</v>
      </c>
      <c r="N75" s="46">
        <v>3.6</v>
      </c>
      <c r="O75" s="46" t="s">
        <v>1285</v>
      </c>
      <c r="P75" s="49">
        <v>830</v>
      </c>
      <c r="Q75" s="46">
        <v>16.600000000000001</v>
      </c>
      <c r="R75" s="46">
        <v>1.1599999999999999</v>
      </c>
      <c r="S75" s="46">
        <v>100</v>
      </c>
      <c r="T75" s="48">
        <v>117.76</v>
      </c>
    </row>
    <row r="76" spans="1:20" ht="23.4" x14ac:dyDescent="0.25">
      <c r="A76" s="46">
        <v>75</v>
      </c>
      <c r="B76" s="47">
        <v>243985</v>
      </c>
      <c r="C76" s="46" t="s">
        <v>114</v>
      </c>
      <c r="D76" s="46" t="s">
        <v>115</v>
      </c>
      <c r="E76" s="46" t="s">
        <v>116</v>
      </c>
      <c r="F76" s="46" t="s">
        <v>149</v>
      </c>
      <c r="G76" s="46">
        <v>2</v>
      </c>
      <c r="H76" s="46" t="s">
        <v>117</v>
      </c>
      <c r="I76" s="46" t="s">
        <v>1546</v>
      </c>
      <c r="J76" s="46" t="s">
        <v>1547</v>
      </c>
      <c r="K76" s="46" t="s">
        <v>1548</v>
      </c>
      <c r="L76" s="49" t="s">
        <v>1549</v>
      </c>
      <c r="M76" s="46" t="s">
        <v>118</v>
      </c>
      <c r="N76" s="46">
        <v>3.34</v>
      </c>
      <c r="O76" s="46" t="s">
        <v>1285</v>
      </c>
      <c r="P76" s="49">
        <v>830</v>
      </c>
      <c r="Q76" s="46">
        <v>16.600000000000001</v>
      </c>
      <c r="R76" s="46">
        <v>1.1599999999999999</v>
      </c>
      <c r="S76" s="46">
        <v>100</v>
      </c>
      <c r="T76" s="48">
        <v>117.76</v>
      </c>
    </row>
    <row r="77" spans="1:20" ht="23.4" x14ac:dyDescent="0.25">
      <c r="A77" s="46">
        <v>76</v>
      </c>
      <c r="B77" s="47">
        <v>243985</v>
      </c>
      <c r="C77" s="46" t="s">
        <v>114</v>
      </c>
      <c r="D77" s="46" t="s">
        <v>115</v>
      </c>
      <c r="E77" s="46" t="s">
        <v>116</v>
      </c>
      <c r="F77" s="46" t="s">
        <v>149</v>
      </c>
      <c r="G77" s="46">
        <v>2</v>
      </c>
      <c r="H77" s="46" t="s">
        <v>117</v>
      </c>
      <c r="I77" s="46" t="s">
        <v>1550</v>
      </c>
      <c r="J77" s="46" t="s">
        <v>1551</v>
      </c>
      <c r="K77" s="46" t="s">
        <v>1552</v>
      </c>
      <c r="L77" s="49" t="s">
        <v>1553</v>
      </c>
      <c r="M77" s="46" t="s">
        <v>118</v>
      </c>
      <c r="N77" s="46">
        <v>2.98</v>
      </c>
      <c r="O77" s="46" t="s">
        <v>1285</v>
      </c>
      <c r="P77" s="49">
        <v>708</v>
      </c>
      <c r="Q77" s="46">
        <v>14.16</v>
      </c>
      <c r="R77" s="46">
        <v>0.99</v>
      </c>
      <c r="S77" s="46">
        <v>100</v>
      </c>
      <c r="T77" s="48">
        <v>115.15</v>
      </c>
    </row>
    <row r="78" spans="1:20" ht="23.4" x14ac:dyDescent="0.25">
      <c r="A78" s="46">
        <v>77</v>
      </c>
      <c r="B78" s="47">
        <v>243985</v>
      </c>
      <c r="C78" s="46" t="s">
        <v>114</v>
      </c>
      <c r="D78" s="46" t="s">
        <v>115</v>
      </c>
      <c r="E78" s="46" t="s">
        <v>116</v>
      </c>
      <c r="F78" s="46" t="s">
        <v>149</v>
      </c>
      <c r="G78" s="46">
        <v>2</v>
      </c>
      <c r="H78" s="46" t="s">
        <v>117</v>
      </c>
      <c r="I78" s="46" t="s">
        <v>1554</v>
      </c>
      <c r="J78" s="46" t="s">
        <v>1555</v>
      </c>
      <c r="K78" s="46" t="s">
        <v>1556</v>
      </c>
      <c r="L78" s="49" t="s">
        <v>1557</v>
      </c>
      <c r="M78" s="46" t="s">
        <v>118</v>
      </c>
      <c r="N78" s="46">
        <v>2.4300000000000002</v>
      </c>
      <c r="O78" s="46" t="s">
        <v>1285</v>
      </c>
      <c r="P78" s="49">
        <v>530</v>
      </c>
      <c r="Q78" s="46">
        <v>10.6</v>
      </c>
      <c r="R78" s="46">
        <v>0.74</v>
      </c>
      <c r="S78" s="46">
        <v>104</v>
      </c>
      <c r="T78" s="48">
        <v>115.34</v>
      </c>
    </row>
    <row r="79" spans="1:20" ht="23.4" x14ac:dyDescent="0.25">
      <c r="A79" s="46">
        <v>78</v>
      </c>
      <c r="B79" s="47">
        <v>243985</v>
      </c>
      <c r="C79" s="46" t="s">
        <v>114</v>
      </c>
      <c r="D79" s="46" t="s">
        <v>115</v>
      </c>
      <c r="E79" s="46" t="s">
        <v>116</v>
      </c>
      <c r="F79" s="46" t="s">
        <v>149</v>
      </c>
      <c r="G79" s="46">
        <v>2</v>
      </c>
      <c r="H79" s="46" t="s">
        <v>117</v>
      </c>
      <c r="I79" s="46" t="s">
        <v>1558</v>
      </c>
      <c r="J79" s="46" t="s">
        <v>1559</v>
      </c>
      <c r="K79" s="46" t="s">
        <v>1560</v>
      </c>
      <c r="L79" s="49" t="s">
        <v>1561</v>
      </c>
      <c r="M79" s="46" t="s">
        <v>118</v>
      </c>
      <c r="N79" s="46">
        <v>1.79</v>
      </c>
      <c r="O79" s="46" t="s">
        <v>1562</v>
      </c>
      <c r="P79" s="49">
        <v>0</v>
      </c>
      <c r="Q79" s="46">
        <v>0</v>
      </c>
      <c r="R79" s="46">
        <v>0</v>
      </c>
      <c r="S79" s="46">
        <v>22</v>
      </c>
      <c r="T79" s="48">
        <v>22</v>
      </c>
    </row>
    <row r="80" spans="1:20" ht="23.4" x14ac:dyDescent="0.25">
      <c r="A80" s="46">
        <v>79</v>
      </c>
      <c r="B80" s="47">
        <v>243985</v>
      </c>
      <c r="C80" s="46" t="s">
        <v>114</v>
      </c>
      <c r="D80" s="46" t="s">
        <v>115</v>
      </c>
      <c r="E80" s="46" t="s">
        <v>116</v>
      </c>
      <c r="F80" s="46" t="s">
        <v>149</v>
      </c>
      <c r="G80" s="46">
        <v>2</v>
      </c>
      <c r="H80" s="46" t="s">
        <v>117</v>
      </c>
      <c r="I80" s="46" t="s">
        <v>1563</v>
      </c>
      <c r="J80" s="46" t="s">
        <v>1564</v>
      </c>
      <c r="K80" s="46" t="s">
        <v>1565</v>
      </c>
      <c r="L80" s="49" t="s">
        <v>1566</v>
      </c>
      <c r="M80" s="46" t="s">
        <v>118</v>
      </c>
      <c r="N80" s="46">
        <v>1.79</v>
      </c>
      <c r="O80" s="46" t="s">
        <v>1567</v>
      </c>
      <c r="P80" s="49">
        <v>430</v>
      </c>
      <c r="Q80" s="46">
        <v>8.6</v>
      </c>
      <c r="R80" s="46">
        <v>0.6</v>
      </c>
      <c r="S80" s="46">
        <v>22</v>
      </c>
      <c r="T80" s="48">
        <v>31.2</v>
      </c>
    </row>
    <row r="81" spans="1:20" ht="23.4" x14ac:dyDescent="0.25">
      <c r="A81" s="46">
        <v>80</v>
      </c>
      <c r="B81" s="47">
        <v>243985</v>
      </c>
      <c r="C81" s="46" t="s">
        <v>114</v>
      </c>
      <c r="D81" s="46" t="s">
        <v>115</v>
      </c>
      <c r="E81" s="46" t="s">
        <v>116</v>
      </c>
      <c r="F81" s="46" t="s">
        <v>149</v>
      </c>
      <c r="G81" s="46">
        <v>2</v>
      </c>
      <c r="H81" s="46" t="s">
        <v>117</v>
      </c>
      <c r="I81" s="46" t="s">
        <v>1568</v>
      </c>
      <c r="J81" s="46" t="s">
        <v>1569</v>
      </c>
      <c r="K81" s="46" t="s">
        <v>1570</v>
      </c>
      <c r="L81" s="49" t="s">
        <v>1571</v>
      </c>
      <c r="M81" s="46" t="s">
        <v>118</v>
      </c>
      <c r="N81" s="46">
        <v>1.81</v>
      </c>
      <c r="O81" s="46" t="s">
        <v>1572</v>
      </c>
      <c r="P81" s="49">
        <v>0</v>
      </c>
      <c r="Q81" s="46">
        <v>0</v>
      </c>
      <c r="R81" s="46">
        <v>0</v>
      </c>
      <c r="S81" s="46">
        <v>24</v>
      </c>
      <c r="T81" s="48">
        <v>24</v>
      </c>
    </row>
    <row r="82" spans="1:20" ht="23.4" x14ac:dyDescent="0.25">
      <c r="A82" s="46">
        <v>81</v>
      </c>
      <c r="B82" s="47">
        <v>243985</v>
      </c>
      <c r="C82" s="46" t="s">
        <v>114</v>
      </c>
      <c r="D82" s="46" t="s">
        <v>115</v>
      </c>
      <c r="E82" s="46" t="s">
        <v>116</v>
      </c>
      <c r="F82" s="46" t="s">
        <v>149</v>
      </c>
      <c r="G82" s="46">
        <v>2</v>
      </c>
      <c r="H82" s="46" t="s">
        <v>117</v>
      </c>
      <c r="I82" s="46" t="s">
        <v>1573</v>
      </c>
      <c r="J82" s="46" t="s">
        <v>1574</v>
      </c>
      <c r="K82" s="46" t="s">
        <v>1575</v>
      </c>
      <c r="L82" s="49" t="s">
        <v>1576</v>
      </c>
      <c r="M82" s="46" t="s">
        <v>118</v>
      </c>
      <c r="N82" s="46">
        <v>1.74</v>
      </c>
      <c r="O82" s="46" t="s">
        <v>1562</v>
      </c>
      <c r="P82" s="49">
        <v>0</v>
      </c>
      <c r="Q82" s="46">
        <v>0</v>
      </c>
      <c r="R82" s="46">
        <v>0</v>
      </c>
      <c r="S82" s="46">
        <v>24</v>
      </c>
      <c r="T82" s="48">
        <v>24</v>
      </c>
    </row>
    <row r="83" spans="1:20" ht="23.4" x14ac:dyDescent="0.25">
      <c r="A83" s="46">
        <v>82</v>
      </c>
      <c r="B83" s="47">
        <v>243985</v>
      </c>
      <c r="C83" s="46" t="s">
        <v>114</v>
      </c>
      <c r="D83" s="46" t="s">
        <v>115</v>
      </c>
      <c r="E83" s="46" t="s">
        <v>116</v>
      </c>
      <c r="F83" s="46" t="s">
        <v>149</v>
      </c>
      <c r="G83" s="46">
        <v>2</v>
      </c>
      <c r="H83" s="46" t="s">
        <v>117</v>
      </c>
      <c r="I83" s="46" t="s">
        <v>1577</v>
      </c>
      <c r="J83" s="46" t="s">
        <v>1578</v>
      </c>
      <c r="K83" s="46" t="s">
        <v>1579</v>
      </c>
      <c r="L83" s="49" t="s">
        <v>1580</v>
      </c>
      <c r="M83" s="46" t="s">
        <v>118</v>
      </c>
      <c r="N83" s="46">
        <v>1.73</v>
      </c>
      <c r="O83" s="46" t="s">
        <v>1562</v>
      </c>
      <c r="P83" s="49">
        <v>0</v>
      </c>
      <c r="Q83" s="46">
        <v>0</v>
      </c>
      <c r="R83" s="46">
        <v>0</v>
      </c>
      <c r="S83" s="46">
        <v>24</v>
      </c>
      <c r="T83" s="48">
        <v>24</v>
      </c>
    </row>
    <row r="84" spans="1:20" ht="23.4" x14ac:dyDescent="0.25">
      <c r="A84" s="46">
        <v>83</v>
      </c>
      <c r="B84" s="47">
        <v>243985</v>
      </c>
      <c r="C84" s="46" t="s">
        <v>114</v>
      </c>
      <c r="D84" s="46" t="s">
        <v>115</v>
      </c>
      <c r="E84" s="46" t="s">
        <v>116</v>
      </c>
      <c r="F84" s="46" t="s">
        <v>149</v>
      </c>
      <c r="G84" s="46">
        <v>2</v>
      </c>
      <c r="H84" s="46" t="s">
        <v>117</v>
      </c>
      <c r="I84" s="46" t="s">
        <v>1581</v>
      </c>
      <c r="J84" s="46" t="s">
        <v>1582</v>
      </c>
      <c r="K84" s="46" t="s">
        <v>1583</v>
      </c>
      <c r="L84" s="49" t="s">
        <v>1584</v>
      </c>
      <c r="M84" s="46" t="s">
        <v>118</v>
      </c>
      <c r="N84" s="46">
        <v>1.37</v>
      </c>
      <c r="O84" s="46" t="s">
        <v>1585</v>
      </c>
      <c r="P84" s="49">
        <v>369</v>
      </c>
      <c r="Q84" s="46">
        <v>7.38</v>
      </c>
      <c r="R84" s="46">
        <v>0.52</v>
      </c>
      <c r="S84" s="46">
        <v>24</v>
      </c>
      <c r="T84" s="48">
        <v>31.9</v>
      </c>
    </row>
    <row r="85" spans="1:20" ht="23.4" x14ac:dyDescent="0.25">
      <c r="A85" s="46">
        <v>84</v>
      </c>
      <c r="B85" s="47">
        <v>243985</v>
      </c>
      <c r="C85" s="46" t="s">
        <v>114</v>
      </c>
      <c r="D85" s="46" t="s">
        <v>115</v>
      </c>
      <c r="E85" s="46" t="s">
        <v>116</v>
      </c>
      <c r="F85" s="46" t="s">
        <v>149</v>
      </c>
      <c r="G85" s="46">
        <v>2</v>
      </c>
      <c r="H85" s="46" t="s">
        <v>117</v>
      </c>
      <c r="I85" s="46" t="s">
        <v>1586</v>
      </c>
      <c r="J85" s="46" t="s">
        <v>1587</v>
      </c>
      <c r="K85" s="46" t="s">
        <v>1588</v>
      </c>
      <c r="L85" s="49" t="s">
        <v>1589</v>
      </c>
      <c r="M85" s="46" t="s">
        <v>118</v>
      </c>
      <c r="N85" s="46">
        <v>1.76</v>
      </c>
      <c r="O85" s="46" t="s">
        <v>1590</v>
      </c>
      <c r="P85" s="49">
        <v>430</v>
      </c>
      <c r="Q85" s="46">
        <v>8.6</v>
      </c>
      <c r="R85" s="46">
        <v>0.6</v>
      </c>
      <c r="S85" s="46">
        <v>22</v>
      </c>
      <c r="T85" s="48">
        <v>31.2</v>
      </c>
    </row>
    <row r="86" spans="1:20" ht="23.4" x14ac:dyDescent="0.25">
      <c r="A86" s="46">
        <v>85</v>
      </c>
      <c r="B86" s="47">
        <v>243985</v>
      </c>
      <c r="C86" s="46" t="s">
        <v>114</v>
      </c>
      <c r="D86" s="46" t="s">
        <v>115</v>
      </c>
      <c r="E86" s="46" t="s">
        <v>116</v>
      </c>
      <c r="F86" s="46" t="s">
        <v>149</v>
      </c>
      <c r="G86" s="46">
        <v>2</v>
      </c>
      <c r="H86" s="46" t="s">
        <v>117</v>
      </c>
      <c r="I86" s="46" t="s">
        <v>1591</v>
      </c>
      <c r="J86" s="46" t="s">
        <v>1592</v>
      </c>
      <c r="K86" s="46" t="s">
        <v>1593</v>
      </c>
      <c r="L86" s="49" t="s">
        <v>1594</v>
      </c>
      <c r="M86" s="46" t="s">
        <v>118</v>
      </c>
      <c r="N86" s="46">
        <v>1.75</v>
      </c>
      <c r="O86" s="46" t="s">
        <v>1562</v>
      </c>
      <c r="P86" s="49">
        <v>430</v>
      </c>
      <c r="Q86" s="46">
        <v>8.6</v>
      </c>
      <c r="R86" s="46">
        <v>0.6</v>
      </c>
      <c r="S86" s="46">
        <v>22</v>
      </c>
      <c r="T86" s="48">
        <v>31.2</v>
      </c>
    </row>
    <row r="87" spans="1:20" ht="23.4" x14ac:dyDescent="0.25">
      <c r="A87" s="46">
        <v>86</v>
      </c>
      <c r="B87" s="47">
        <v>243985</v>
      </c>
      <c r="C87" s="46" t="s">
        <v>114</v>
      </c>
      <c r="D87" s="46" t="s">
        <v>115</v>
      </c>
      <c r="E87" s="46" t="s">
        <v>116</v>
      </c>
      <c r="F87" s="46" t="s">
        <v>149</v>
      </c>
      <c r="G87" s="46">
        <v>2</v>
      </c>
      <c r="H87" s="46" t="s">
        <v>117</v>
      </c>
      <c r="I87" s="46" t="s">
        <v>1595</v>
      </c>
      <c r="J87" s="46" t="s">
        <v>1596</v>
      </c>
      <c r="K87" s="46" t="s">
        <v>1597</v>
      </c>
      <c r="L87" s="49" t="s">
        <v>1598</v>
      </c>
      <c r="M87" s="46" t="s">
        <v>118</v>
      </c>
      <c r="N87" s="46">
        <v>1.72</v>
      </c>
      <c r="O87" s="46" t="s">
        <v>1562</v>
      </c>
      <c r="P87" s="49">
        <v>430</v>
      </c>
      <c r="Q87" s="46">
        <v>8.6</v>
      </c>
      <c r="R87" s="46">
        <v>0.6</v>
      </c>
      <c r="S87" s="46">
        <v>24</v>
      </c>
      <c r="T87" s="48">
        <v>33.200000000000003</v>
      </c>
    </row>
    <row r="88" spans="1:20" ht="23.4" x14ac:dyDescent="0.25">
      <c r="A88" s="46">
        <v>87</v>
      </c>
      <c r="B88" s="47">
        <v>243985</v>
      </c>
      <c r="C88" s="46" t="s">
        <v>114</v>
      </c>
      <c r="D88" s="46" t="s">
        <v>115</v>
      </c>
      <c r="E88" s="46" t="s">
        <v>116</v>
      </c>
      <c r="F88" s="46" t="s">
        <v>149</v>
      </c>
      <c r="G88" s="46">
        <v>2</v>
      </c>
      <c r="H88" s="46" t="s">
        <v>117</v>
      </c>
      <c r="I88" s="46" t="s">
        <v>1599</v>
      </c>
      <c r="J88" s="46" t="s">
        <v>1600</v>
      </c>
      <c r="K88" s="46" t="s">
        <v>1601</v>
      </c>
      <c r="L88" s="49" t="s">
        <v>1602</v>
      </c>
      <c r="M88" s="46" t="s">
        <v>118</v>
      </c>
      <c r="N88" s="46">
        <v>1.72</v>
      </c>
      <c r="O88" s="46" t="s">
        <v>1562</v>
      </c>
      <c r="P88" s="49">
        <v>430</v>
      </c>
      <c r="Q88" s="46">
        <v>8.6</v>
      </c>
      <c r="R88" s="46">
        <v>0.6</v>
      </c>
      <c r="S88" s="46">
        <v>24</v>
      </c>
      <c r="T88" s="48">
        <v>33.200000000000003</v>
      </c>
    </row>
    <row r="89" spans="1:20" ht="23.4" x14ac:dyDescent="0.25">
      <c r="A89" s="46">
        <v>88</v>
      </c>
      <c r="B89" s="47">
        <v>243985</v>
      </c>
      <c r="C89" s="46" t="s">
        <v>114</v>
      </c>
      <c r="D89" s="46" t="s">
        <v>115</v>
      </c>
      <c r="E89" s="46" t="s">
        <v>116</v>
      </c>
      <c r="F89" s="46" t="s">
        <v>149</v>
      </c>
      <c r="G89" s="46">
        <v>2</v>
      </c>
      <c r="H89" s="46" t="s">
        <v>117</v>
      </c>
      <c r="I89" s="46" t="s">
        <v>1603</v>
      </c>
      <c r="J89" s="46" t="s">
        <v>1604</v>
      </c>
      <c r="K89" s="46" t="s">
        <v>1605</v>
      </c>
      <c r="L89" s="49" t="s">
        <v>1606</v>
      </c>
      <c r="M89" s="46" t="s">
        <v>118</v>
      </c>
      <c r="N89" s="46">
        <v>1.8</v>
      </c>
      <c r="O89" s="46" t="s">
        <v>1585</v>
      </c>
      <c r="P89" s="49">
        <v>430</v>
      </c>
      <c r="Q89" s="46">
        <v>8.6</v>
      </c>
      <c r="R89" s="46">
        <v>0.6</v>
      </c>
      <c r="S89" s="46">
        <v>22</v>
      </c>
      <c r="T89" s="48">
        <v>31.2</v>
      </c>
    </row>
    <row r="90" spans="1:20" ht="23.4" x14ac:dyDescent="0.25">
      <c r="A90" s="46">
        <v>89</v>
      </c>
      <c r="B90" s="47">
        <v>243985</v>
      </c>
      <c r="C90" s="46" t="s">
        <v>114</v>
      </c>
      <c r="D90" s="46" t="s">
        <v>115</v>
      </c>
      <c r="E90" s="46" t="s">
        <v>116</v>
      </c>
      <c r="F90" s="46" t="s">
        <v>149</v>
      </c>
      <c r="G90" s="46">
        <v>2</v>
      </c>
      <c r="H90" s="46" t="s">
        <v>117</v>
      </c>
      <c r="I90" s="46" t="s">
        <v>1607</v>
      </c>
      <c r="J90" s="46" t="s">
        <v>1608</v>
      </c>
      <c r="K90" s="46" t="s">
        <v>1609</v>
      </c>
      <c r="L90" s="49" t="s">
        <v>1610</v>
      </c>
      <c r="M90" s="46" t="s">
        <v>118</v>
      </c>
      <c r="N90" s="46">
        <v>1.76</v>
      </c>
      <c r="O90" s="46" t="s">
        <v>1562</v>
      </c>
      <c r="P90" s="49">
        <v>0</v>
      </c>
      <c r="Q90" s="46">
        <v>0</v>
      </c>
      <c r="R90" s="46">
        <v>0</v>
      </c>
      <c r="S90" s="46">
        <v>22</v>
      </c>
      <c r="T90" s="48">
        <v>22</v>
      </c>
    </row>
    <row r="91" spans="1:20" ht="23.4" x14ac:dyDescent="0.25">
      <c r="A91" s="46">
        <v>90</v>
      </c>
      <c r="B91" s="47">
        <v>243985</v>
      </c>
      <c r="C91" s="46" t="s">
        <v>114</v>
      </c>
      <c r="D91" s="46" t="s">
        <v>115</v>
      </c>
      <c r="E91" s="46" t="s">
        <v>116</v>
      </c>
      <c r="F91" s="46" t="s">
        <v>149</v>
      </c>
      <c r="G91" s="46">
        <v>2</v>
      </c>
      <c r="H91" s="46" t="s">
        <v>117</v>
      </c>
      <c r="I91" s="46" t="s">
        <v>1611</v>
      </c>
      <c r="J91" s="46" t="s">
        <v>1612</v>
      </c>
      <c r="K91" s="46" t="s">
        <v>1613</v>
      </c>
      <c r="L91" s="49" t="s">
        <v>1614</v>
      </c>
      <c r="M91" s="46" t="s">
        <v>118</v>
      </c>
      <c r="N91" s="46">
        <v>1.69</v>
      </c>
      <c r="O91" s="46" t="s">
        <v>1572</v>
      </c>
      <c r="P91" s="49">
        <v>0</v>
      </c>
      <c r="Q91" s="46">
        <v>0</v>
      </c>
      <c r="R91" s="46">
        <v>0</v>
      </c>
      <c r="S91" s="46">
        <v>24</v>
      </c>
      <c r="T91" s="48">
        <v>24</v>
      </c>
    </row>
    <row r="92" spans="1:20" ht="23.4" x14ac:dyDescent="0.25">
      <c r="A92" s="46">
        <v>91</v>
      </c>
      <c r="B92" s="47">
        <v>243985</v>
      </c>
      <c r="C92" s="46" t="s">
        <v>114</v>
      </c>
      <c r="D92" s="46" t="s">
        <v>115</v>
      </c>
      <c r="E92" s="46" t="s">
        <v>116</v>
      </c>
      <c r="F92" s="46" t="s">
        <v>149</v>
      </c>
      <c r="G92" s="46">
        <v>2</v>
      </c>
      <c r="H92" s="46" t="s">
        <v>117</v>
      </c>
      <c r="I92" s="46" t="s">
        <v>1615</v>
      </c>
      <c r="J92" s="46" t="s">
        <v>1616</v>
      </c>
      <c r="K92" s="46" t="s">
        <v>1617</v>
      </c>
      <c r="L92" s="49" t="s">
        <v>1618</v>
      </c>
      <c r="M92" s="46" t="s">
        <v>118</v>
      </c>
      <c r="N92" s="46">
        <v>1.72</v>
      </c>
      <c r="O92" s="46" t="s">
        <v>1572</v>
      </c>
      <c r="P92" s="49">
        <v>0</v>
      </c>
      <c r="Q92" s="46">
        <v>0</v>
      </c>
      <c r="R92" s="46">
        <v>0</v>
      </c>
      <c r="S92" s="46">
        <v>24</v>
      </c>
      <c r="T92" s="48">
        <v>24</v>
      </c>
    </row>
    <row r="93" spans="1:20" ht="23.4" x14ac:dyDescent="0.25">
      <c r="A93" s="46">
        <v>92</v>
      </c>
      <c r="B93" s="47">
        <v>243985</v>
      </c>
      <c r="C93" s="46" t="s">
        <v>114</v>
      </c>
      <c r="D93" s="46" t="s">
        <v>115</v>
      </c>
      <c r="E93" s="46" t="s">
        <v>116</v>
      </c>
      <c r="F93" s="46" t="s">
        <v>149</v>
      </c>
      <c r="G93" s="46">
        <v>2</v>
      </c>
      <c r="H93" s="46" t="s">
        <v>117</v>
      </c>
      <c r="I93" s="46" t="s">
        <v>1619</v>
      </c>
      <c r="J93" s="46" t="s">
        <v>1620</v>
      </c>
      <c r="K93" s="46" t="s">
        <v>1621</v>
      </c>
      <c r="L93" s="49" t="s">
        <v>1622</v>
      </c>
      <c r="M93" s="46" t="s">
        <v>118</v>
      </c>
      <c r="N93" s="46">
        <v>1.75</v>
      </c>
      <c r="O93" s="46" t="s">
        <v>1623</v>
      </c>
      <c r="P93" s="49">
        <v>0</v>
      </c>
      <c r="Q93" s="46">
        <v>0</v>
      </c>
      <c r="R93" s="46">
        <v>0</v>
      </c>
      <c r="S93" s="46">
        <v>24</v>
      </c>
      <c r="T93" s="48">
        <v>24</v>
      </c>
    </row>
    <row r="94" spans="1:20" ht="23.4" x14ac:dyDescent="0.25">
      <c r="A94" s="46">
        <v>93</v>
      </c>
      <c r="B94" s="47">
        <v>243985</v>
      </c>
      <c r="C94" s="46" t="s">
        <v>114</v>
      </c>
      <c r="D94" s="46" t="s">
        <v>115</v>
      </c>
      <c r="E94" s="46" t="s">
        <v>116</v>
      </c>
      <c r="F94" s="46" t="s">
        <v>149</v>
      </c>
      <c r="G94" s="46">
        <v>2</v>
      </c>
      <c r="H94" s="46" t="s">
        <v>117</v>
      </c>
      <c r="I94" s="46" t="s">
        <v>1624</v>
      </c>
      <c r="J94" s="46" t="s">
        <v>1625</v>
      </c>
      <c r="K94" s="46" t="s">
        <v>1626</v>
      </c>
      <c r="L94" s="49" t="s">
        <v>1627</v>
      </c>
      <c r="M94" s="46" t="s">
        <v>118</v>
      </c>
      <c r="N94" s="46">
        <v>1.17</v>
      </c>
      <c r="O94" s="46" t="s">
        <v>1562</v>
      </c>
      <c r="P94" s="49">
        <v>0</v>
      </c>
      <c r="Q94" s="46">
        <v>0</v>
      </c>
      <c r="R94" s="46">
        <v>0</v>
      </c>
      <c r="S94" s="46">
        <v>22</v>
      </c>
      <c r="T94" s="48">
        <v>22</v>
      </c>
    </row>
    <row r="95" spans="1:20" ht="23.4" x14ac:dyDescent="0.25">
      <c r="A95" s="46">
        <v>94</v>
      </c>
      <c r="B95" s="47">
        <v>243985</v>
      </c>
      <c r="C95" s="46" t="s">
        <v>114</v>
      </c>
      <c r="D95" s="46" t="s">
        <v>115</v>
      </c>
      <c r="E95" s="46" t="s">
        <v>116</v>
      </c>
      <c r="F95" s="46" t="s">
        <v>149</v>
      </c>
      <c r="G95" s="46">
        <v>2</v>
      </c>
      <c r="H95" s="46" t="s">
        <v>117</v>
      </c>
      <c r="I95" s="46" t="s">
        <v>1628</v>
      </c>
      <c r="J95" s="46" t="s">
        <v>1629</v>
      </c>
      <c r="K95" s="46" t="s">
        <v>1630</v>
      </c>
      <c r="L95" s="49" t="s">
        <v>1631</v>
      </c>
      <c r="M95" s="46" t="s">
        <v>118</v>
      </c>
      <c r="N95" s="46">
        <v>1.73</v>
      </c>
      <c r="O95" s="46" t="s">
        <v>1572</v>
      </c>
      <c r="P95" s="49">
        <v>430</v>
      </c>
      <c r="Q95" s="46">
        <v>8.6</v>
      </c>
      <c r="R95" s="46">
        <v>0.6</v>
      </c>
      <c r="S95" s="46">
        <v>24</v>
      </c>
      <c r="T95" s="48">
        <v>33.200000000000003</v>
      </c>
    </row>
    <row r="96" spans="1:20" ht="23.4" x14ac:dyDescent="0.25">
      <c r="A96" s="46">
        <v>95</v>
      </c>
      <c r="B96" s="47">
        <v>243985</v>
      </c>
      <c r="C96" s="46" t="s">
        <v>114</v>
      </c>
      <c r="D96" s="46" t="s">
        <v>115</v>
      </c>
      <c r="E96" s="46" t="s">
        <v>116</v>
      </c>
      <c r="F96" s="46" t="s">
        <v>149</v>
      </c>
      <c r="G96" s="46">
        <v>2</v>
      </c>
      <c r="H96" s="46" t="s">
        <v>117</v>
      </c>
      <c r="I96" s="46" t="s">
        <v>1632</v>
      </c>
      <c r="J96" s="46" t="s">
        <v>1633</v>
      </c>
      <c r="K96" s="46" t="s">
        <v>1634</v>
      </c>
      <c r="L96" s="49" t="s">
        <v>1635</v>
      </c>
      <c r="M96" s="46" t="s">
        <v>118</v>
      </c>
      <c r="N96" s="46">
        <v>1.97</v>
      </c>
      <c r="O96" s="46" t="s">
        <v>1367</v>
      </c>
      <c r="P96" s="49">
        <v>0</v>
      </c>
      <c r="Q96" s="46">
        <v>0</v>
      </c>
      <c r="R96" s="46">
        <v>0</v>
      </c>
      <c r="S96" s="46">
        <v>24</v>
      </c>
      <c r="T96" s="48">
        <v>24</v>
      </c>
    </row>
    <row r="97" spans="1:20" ht="23.4" x14ac:dyDescent="0.25">
      <c r="A97" s="46">
        <v>96</v>
      </c>
      <c r="B97" s="47">
        <v>243985</v>
      </c>
      <c r="C97" s="46" t="s">
        <v>114</v>
      </c>
      <c r="D97" s="46" t="s">
        <v>115</v>
      </c>
      <c r="E97" s="46" t="s">
        <v>116</v>
      </c>
      <c r="F97" s="46" t="s">
        <v>149</v>
      </c>
      <c r="G97" s="46">
        <v>2</v>
      </c>
      <c r="H97" s="46" t="s">
        <v>117</v>
      </c>
      <c r="I97" s="46" t="s">
        <v>1636</v>
      </c>
      <c r="J97" s="46" t="s">
        <v>1637</v>
      </c>
      <c r="K97" s="46" t="s">
        <v>1638</v>
      </c>
      <c r="L97" s="49" t="s">
        <v>1639</v>
      </c>
      <c r="M97" s="46" t="s">
        <v>118</v>
      </c>
      <c r="N97" s="46">
        <v>1.77</v>
      </c>
      <c r="O97" s="46" t="s">
        <v>1562</v>
      </c>
      <c r="P97" s="49">
        <v>430</v>
      </c>
      <c r="Q97" s="46">
        <v>8.6</v>
      </c>
      <c r="R97" s="46">
        <v>0.6</v>
      </c>
      <c r="S97" s="46">
        <v>24</v>
      </c>
      <c r="T97" s="48">
        <v>33.200000000000003</v>
      </c>
    </row>
    <row r="98" spans="1:20" ht="23.4" x14ac:dyDescent="0.25">
      <c r="A98" s="46">
        <v>97</v>
      </c>
      <c r="B98" s="47">
        <v>243985</v>
      </c>
      <c r="C98" s="46" t="s">
        <v>114</v>
      </c>
      <c r="D98" s="46" t="s">
        <v>115</v>
      </c>
      <c r="E98" s="46" t="s">
        <v>116</v>
      </c>
      <c r="F98" s="46" t="s">
        <v>149</v>
      </c>
      <c r="G98" s="46">
        <v>2</v>
      </c>
      <c r="H98" s="46" t="s">
        <v>117</v>
      </c>
      <c r="I98" s="46" t="s">
        <v>1640</v>
      </c>
      <c r="J98" s="46" t="s">
        <v>1641</v>
      </c>
      <c r="K98" s="46" t="s">
        <v>1642</v>
      </c>
      <c r="L98" s="49" t="s">
        <v>1643</v>
      </c>
      <c r="M98" s="46" t="s">
        <v>118</v>
      </c>
      <c r="N98" s="46">
        <v>1.97</v>
      </c>
      <c r="O98" s="46" t="s">
        <v>1644</v>
      </c>
      <c r="P98" s="49">
        <v>480</v>
      </c>
      <c r="Q98" s="46">
        <v>9.6</v>
      </c>
      <c r="R98" s="46">
        <v>0.67</v>
      </c>
      <c r="S98" s="46">
        <v>84</v>
      </c>
      <c r="T98" s="48">
        <v>94.27</v>
      </c>
    </row>
    <row r="99" spans="1:20" ht="23.4" x14ac:dyDescent="0.25">
      <c r="A99" s="46">
        <v>98</v>
      </c>
      <c r="B99" s="47">
        <v>243985</v>
      </c>
      <c r="C99" s="46" t="s">
        <v>114</v>
      </c>
      <c r="D99" s="46" t="s">
        <v>115</v>
      </c>
      <c r="E99" s="46" t="s">
        <v>116</v>
      </c>
      <c r="F99" s="46" t="s">
        <v>149</v>
      </c>
      <c r="G99" s="46">
        <v>2</v>
      </c>
      <c r="H99" s="46" t="s">
        <v>117</v>
      </c>
      <c r="I99" s="46" t="s">
        <v>1645</v>
      </c>
      <c r="J99" s="46" t="s">
        <v>1646</v>
      </c>
      <c r="K99" s="46" t="s">
        <v>1647</v>
      </c>
      <c r="L99" s="49" t="s">
        <v>1648</v>
      </c>
      <c r="M99" s="46" t="s">
        <v>118</v>
      </c>
      <c r="N99" s="46">
        <v>0.67</v>
      </c>
      <c r="O99" s="46" t="s">
        <v>1649</v>
      </c>
      <c r="P99" s="49">
        <v>169</v>
      </c>
      <c r="Q99" s="46">
        <v>3.38</v>
      </c>
      <c r="R99" s="46">
        <v>0.24</v>
      </c>
      <c r="S99" s="46">
        <v>20</v>
      </c>
      <c r="T99" s="48">
        <v>23.62</v>
      </c>
    </row>
    <row r="100" spans="1:20" ht="23.4" x14ac:dyDescent="0.25">
      <c r="A100" s="46">
        <v>99</v>
      </c>
      <c r="B100" s="47">
        <v>243985</v>
      </c>
      <c r="C100" s="46" t="s">
        <v>114</v>
      </c>
      <c r="D100" s="46" t="s">
        <v>115</v>
      </c>
      <c r="E100" s="46" t="s">
        <v>116</v>
      </c>
      <c r="F100" s="46" t="s">
        <v>149</v>
      </c>
      <c r="G100" s="46">
        <v>2</v>
      </c>
      <c r="H100" s="46" t="s">
        <v>117</v>
      </c>
      <c r="I100" s="46" t="s">
        <v>1650</v>
      </c>
      <c r="J100" s="46" t="s">
        <v>1651</v>
      </c>
      <c r="K100" s="46" t="s">
        <v>1652</v>
      </c>
      <c r="L100" s="49" t="s">
        <v>1653</v>
      </c>
      <c r="M100" s="46" t="s">
        <v>118</v>
      </c>
      <c r="N100" s="46">
        <v>0.42</v>
      </c>
      <c r="O100" s="46" t="s">
        <v>1654</v>
      </c>
      <c r="P100" s="49">
        <v>0</v>
      </c>
      <c r="Q100" s="46">
        <v>0</v>
      </c>
      <c r="R100" s="46">
        <v>0</v>
      </c>
      <c r="S100" s="46">
        <v>20</v>
      </c>
      <c r="T100" s="48">
        <v>20</v>
      </c>
    </row>
    <row r="101" spans="1:20" ht="23.4" x14ac:dyDescent="0.25">
      <c r="A101" s="46">
        <v>100</v>
      </c>
      <c r="B101" s="47">
        <v>243985</v>
      </c>
      <c r="C101" s="46" t="s">
        <v>114</v>
      </c>
      <c r="D101" s="46" t="s">
        <v>115</v>
      </c>
      <c r="E101" s="46" t="s">
        <v>116</v>
      </c>
      <c r="F101" s="46" t="s">
        <v>149</v>
      </c>
      <c r="G101" s="46">
        <v>2</v>
      </c>
      <c r="H101" s="46" t="s">
        <v>117</v>
      </c>
      <c r="I101" s="46" t="s">
        <v>1655</v>
      </c>
      <c r="J101" s="46" t="s">
        <v>1656</v>
      </c>
      <c r="K101" s="46" t="s">
        <v>1657</v>
      </c>
      <c r="L101" s="49" t="s">
        <v>1658</v>
      </c>
      <c r="M101" s="46" t="s">
        <v>118</v>
      </c>
      <c r="N101" s="46">
        <v>1.27</v>
      </c>
      <c r="O101" s="46" t="s">
        <v>1649</v>
      </c>
      <c r="P101" s="49">
        <v>0</v>
      </c>
      <c r="Q101" s="46">
        <v>0</v>
      </c>
      <c r="R101" s="46">
        <v>0</v>
      </c>
      <c r="S101" s="46">
        <v>24</v>
      </c>
      <c r="T101" s="48">
        <v>24</v>
      </c>
    </row>
    <row r="102" spans="1:20" ht="23.4" x14ac:dyDescent="0.25">
      <c r="A102" s="46">
        <v>101</v>
      </c>
      <c r="B102" s="47">
        <v>243985</v>
      </c>
      <c r="C102" s="46" t="s">
        <v>114</v>
      </c>
      <c r="D102" s="46" t="s">
        <v>115</v>
      </c>
      <c r="E102" s="46" t="s">
        <v>116</v>
      </c>
      <c r="F102" s="46" t="s">
        <v>149</v>
      </c>
      <c r="G102" s="46">
        <v>2</v>
      </c>
      <c r="H102" s="46" t="s">
        <v>117</v>
      </c>
      <c r="I102" s="46" t="s">
        <v>1659</v>
      </c>
      <c r="J102" s="46" t="s">
        <v>1660</v>
      </c>
      <c r="K102" s="46" t="s">
        <v>1661</v>
      </c>
      <c r="L102" s="49" t="s">
        <v>1662</v>
      </c>
      <c r="M102" s="46" t="s">
        <v>118</v>
      </c>
      <c r="N102" s="46">
        <v>1.2</v>
      </c>
      <c r="O102" s="46" t="s">
        <v>1663</v>
      </c>
      <c r="P102" s="49">
        <v>0</v>
      </c>
      <c r="Q102" s="46">
        <v>0</v>
      </c>
      <c r="R102" s="46">
        <v>0</v>
      </c>
      <c r="S102" s="46">
        <v>24</v>
      </c>
      <c r="T102" s="48">
        <v>24</v>
      </c>
    </row>
    <row r="103" spans="1:20" ht="23.4" x14ac:dyDescent="0.25">
      <c r="A103" s="46">
        <v>102</v>
      </c>
      <c r="B103" s="47">
        <v>243985</v>
      </c>
      <c r="C103" s="46" t="s">
        <v>114</v>
      </c>
      <c r="D103" s="46" t="s">
        <v>115</v>
      </c>
      <c r="E103" s="46" t="s">
        <v>116</v>
      </c>
      <c r="F103" s="46" t="s">
        <v>149</v>
      </c>
      <c r="G103" s="46">
        <v>2</v>
      </c>
      <c r="H103" s="46" t="s">
        <v>117</v>
      </c>
      <c r="I103" s="46" t="s">
        <v>1664</v>
      </c>
      <c r="J103" s="46" t="s">
        <v>1665</v>
      </c>
      <c r="K103" s="46" t="s">
        <v>1666</v>
      </c>
      <c r="L103" s="49" t="s">
        <v>1667</v>
      </c>
      <c r="M103" s="46" t="s">
        <v>118</v>
      </c>
      <c r="N103" s="46">
        <v>1.18</v>
      </c>
      <c r="O103" s="46" t="s">
        <v>1654</v>
      </c>
      <c r="P103" s="49">
        <v>0</v>
      </c>
      <c r="Q103" s="46">
        <v>0</v>
      </c>
      <c r="R103" s="46">
        <v>0</v>
      </c>
      <c r="S103" s="46">
        <v>24</v>
      </c>
      <c r="T103" s="48">
        <v>24</v>
      </c>
    </row>
    <row r="104" spans="1:20" ht="23.4" x14ac:dyDescent="0.25">
      <c r="A104" s="46">
        <v>103</v>
      </c>
      <c r="B104" s="47">
        <v>243985</v>
      </c>
      <c r="C104" s="46" t="s">
        <v>114</v>
      </c>
      <c r="D104" s="46" t="s">
        <v>115</v>
      </c>
      <c r="E104" s="46" t="s">
        <v>116</v>
      </c>
      <c r="F104" s="46" t="s">
        <v>149</v>
      </c>
      <c r="G104" s="46">
        <v>2</v>
      </c>
      <c r="H104" s="46" t="s">
        <v>117</v>
      </c>
      <c r="I104" s="46" t="s">
        <v>1668</v>
      </c>
      <c r="J104" s="46" t="s">
        <v>1669</v>
      </c>
      <c r="K104" s="46" t="s">
        <v>1670</v>
      </c>
      <c r="L104" s="49" t="s">
        <v>1671</v>
      </c>
      <c r="M104" s="46" t="s">
        <v>118</v>
      </c>
      <c r="N104" s="46">
        <v>1.17</v>
      </c>
      <c r="O104" s="46" t="s">
        <v>1663</v>
      </c>
      <c r="P104" s="49">
        <v>0</v>
      </c>
      <c r="Q104" s="46">
        <v>0</v>
      </c>
      <c r="R104" s="46">
        <v>0</v>
      </c>
      <c r="S104" s="46">
        <v>24</v>
      </c>
      <c r="T104" s="48">
        <v>24</v>
      </c>
    </row>
    <row r="105" spans="1:20" ht="23.4" x14ac:dyDescent="0.25">
      <c r="A105" s="46">
        <v>104</v>
      </c>
      <c r="B105" s="47">
        <v>243985</v>
      </c>
      <c r="C105" s="46" t="s">
        <v>114</v>
      </c>
      <c r="D105" s="46" t="s">
        <v>115</v>
      </c>
      <c r="E105" s="46" t="s">
        <v>116</v>
      </c>
      <c r="F105" s="46" t="s">
        <v>149</v>
      </c>
      <c r="G105" s="46">
        <v>2</v>
      </c>
      <c r="H105" s="46" t="s">
        <v>117</v>
      </c>
      <c r="I105" s="46" t="s">
        <v>1672</v>
      </c>
      <c r="J105" s="46" t="s">
        <v>1673</v>
      </c>
      <c r="K105" s="46" t="s">
        <v>1674</v>
      </c>
      <c r="L105" s="49" t="s">
        <v>1675</v>
      </c>
      <c r="M105" s="46" t="s">
        <v>118</v>
      </c>
      <c r="N105" s="46">
        <v>1.21</v>
      </c>
      <c r="O105" s="46" t="s">
        <v>1676</v>
      </c>
      <c r="P105" s="49">
        <v>0</v>
      </c>
      <c r="Q105" s="46">
        <v>0</v>
      </c>
      <c r="R105" s="46">
        <v>0</v>
      </c>
      <c r="S105" s="46">
        <v>24</v>
      </c>
      <c r="T105" s="48">
        <v>24</v>
      </c>
    </row>
    <row r="106" spans="1:20" ht="23.4" x14ac:dyDescent="0.25">
      <c r="A106" s="46">
        <v>105</v>
      </c>
      <c r="B106" s="47">
        <v>243985</v>
      </c>
      <c r="C106" s="46" t="s">
        <v>114</v>
      </c>
      <c r="D106" s="46" t="s">
        <v>115</v>
      </c>
      <c r="E106" s="46" t="s">
        <v>116</v>
      </c>
      <c r="F106" s="46" t="s">
        <v>149</v>
      </c>
      <c r="G106" s="46">
        <v>2</v>
      </c>
      <c r="H106" s="46" t="s">
        <v>117</v>
      </c>
      <c r="I106" s="46" t="s">
        <v>1677</v>
      </c>
      <c r="J106" s="46" t="s">
        <v>1678</v>
      </c>
      <c r="K106" s="46" t="s">
        <v>1679</v>
      </c>
      <c r="L106" s="49" t="s">
        <v>1680</v>
      </c>
      <c r="M106" s="46" t="s">
        <v>118</v>
      </c>
      <c r="N106" s="46">
        <v>1.1000000000000001</v>
      </c>
      <c r="O106" s="46" t="s">
        <v>1663</v>
      </c>
      <c r="P106" s="49">
        <v>290</v>
      </c>
      <c r="Q106" s="46">
        <v>5.8</v>
      </c>
      <c r="R106" s="46">
        <v>0.41</v>
      </c>
      <c r="S106" s="46">
        <v>24</v>
      </c>
      <c r="T106" s="48">
        <v>30.21</v>
      </c>
    </row>
    <row r="107" spans="1:20" ht="23.4" x14ac:dyDescent="0.25">
      <c r="A107" s="46">
        <v>106</v>
      </c>
      <c r="B107" s="47">
        <v>243985</v>
      </c>
      <c r="C107" s="46" t="s">
        <v>114</v>
      </c>
      <c r="D107" s="46" t="s">
        <v>115</v>
      </c>
      <c r="E107" s="46" t="s">
        <v>116</v>
      </c>
      <c r="F107" s="46" t="s">
        <v>149</v>
      </c>
      <c r="G107" s="46">
        <v>2</v>
      </c>
      <c r="H107" s="46" t="s">
        <v>117</v>
      </c>
      <c r="I107" s="46" t="s">
        <v>1681</v>
      </c>
      <c r="J107" s="46" t="s">
        <v>1682</v>
      </c>
      <c r="K107" s="46" t="s">
        <v>1683</v>
      </c>
      <c r="L107" s="49" t="s">
        <v>1684</v>
      </c>
      <c r="M107" s="46" t="s">
        <v>118</v>
      </c>
      <c r="N107" s="46">
        <v>1.22</v>
      </c>
      <c r="O107" s="46" t="s">
        <v>1663</v>
      </c>
      <c r="P107" s="49">
        <v>280</v>
      </c>
      <c r="Q107" s="46">
        <v>5.6</v>
      </c>
      <c r="R107" s="46">
        <v>0.39</v>
      </c>
      <c r="S107" s="46">
        <v>24</v>
      </c>
      <c r="T107" s="48">
        <v>29.99</v>
      </c>
    </row>
    <row r="108" spans="1:20" ht="23.4" x14ac:dyDescent="0.25">
      <c r="A108" s="46">
        <v>107</v>
      </c>
      <c r="B108" s="47">
        <v>243985</v>
      </c>
      <c r="C108" s="46" t="s">
        <v>114</v>
      </c>
      <c r="D108" s="46" t="s">
        <v>115</v>
      </c>
      <c r="E108" s="46" t="s">
        <v>116</v>
      </c>
      <c r="F108" s="46" t="s">
        <v>149</v>
      </c>
      <c r="G108" s="46">
        <v>2</v>
      </c>
      <c r="H108" s="46" t="s">
        <v>117</v>
      </c>
      <c r="I108" s="46" t="s">
        <v>1685</v>
      </c>
      <c r="J108" s="46" t="s">
        <v>1686</v>
      </c>
      <c r="K108" s="46" t="s">
        <v>1687</v>
      </c>
      <c r="L108" s="49" t="s">
        <v>1688</v>
      </c>
      <c r="M108" s="46" t="s">
        <v>118</v>
      </c>
      <c r="N108" s="46">
        <v>1.18</v>
      </c>
      <c r="O108" s="46" t="s">
        <v>1654</v>
      </c>
      <c r="P108" s="49">
        <v>0</v>
      </c>
      <c r="Q108" s="46">
        <v>0</v>
      </c>
      <c r="R108" s="46">
        <v>0</v>
      </c>
      <c r="S108" s="46">
        <v>24</v>
      </c>
      <c r="T108" s="48">
        <v>24</v>
      </c>
    </row>
    <row r="109" spans="1:20" ht="23.4" x14ac:dyDescent="0.25">
      <c r="A109" s="46">
        <v>108</v>
      </c>
      <c r="B109" s="47">
        <v>243985</v>
      </c>
      <c r="C109" s="46" t="s">
        <v>114</v>
      </c>
      <c r="D109" s="46" t="s">
        <v>115</v>
      </c>
      <c r="E109" s="46" t="s">
        <v>116</v>
      </c>
      <c r="F109" s="46" t="s">
        <v>149</v>
      </c>
      <c r="G109" s="46">
        <v>2</v>
      </c>
      <c r="H109" s="46" t="s">
        <v>117</v>
      </c>
      <c r="I109" s="46" t="s">
        <v>1689</v>
      </c>
      <c r="J109" s="46" t="s">
        <v>1690</v>
      </c>
      <c r="K109" s="46" t="s">
        <v>1691</v>
      </c>
      <c r="L109" s="49" t="s">
        <v>1692</v>
      </c>
      <c r="M109" s="46" t="s">
        <v>118</v>
      </c>
      <c r="N109" s="46">
        <v>0.55000000000000004</v>
      </c>
      <c r="O109" s="46" t="s">
        <v>1663</v>
      </c>
      <c r="P109" s="49">
        <v>0</v>
      </c>
      <c r="Q109" s="46">
        <v>0</v>
      </c>
      <c r="R109" s="46">
        <v>0</v>
      </c>
      <c r="S109" s="46">
        <v>20</v>
      </c>
      <c r="T109" s="48">
        <v>20</v>
      </c>
    </row>
    <row r="110" spans="1:20" ht="23.4" x14ac:dyDescent="0.25">
      <c r="A110" s="46">
        <v>109</v>
      </c>
      <c r="B110" s="47">
        <v>243985</v>
      </c>
      <c r="C110" s="46" t="s">
        <v>114</v>
      </c>
      <c r="D110" s="46" t="s">
        <v>115</v>
      </c>
      <c r="E110" s="46" t="s">
        <v>116</v>
      </c>
      <c r="F110" s="46" t="s">
        <v>149</v>
      </c>
      <c r="G110" s="46">
        <v>2</v>
      </c>
      <c r="H110" s="46" t="s">
        <v>117</v>
      </c>
      <c r="I110" s="46" t="s">
        <v>1693</v>
      </c>
      <c r="J110" s="46" t="s">
        <v>1694</v>
      </c>
      <c r="K110" s="46" t="s">
        <v>1695</v>
      </c>
      <c r="L110" s="49" t="s">
        <v>1696</v>
      </c>
      <c r="M110" s="46" t="s">
        <v>118</v>
      </c>
      <c r="N110" s="46">
        <v>0.56000000000000005</v>
      </c>
      <c r="O110" s="46" t="s">
        <v>1654</v>
      </c>
      <c r="P110" s="49">
        <v>0</v>
      </c>
      <c r="Q110" s="46">
        <v>0</v>
      </c>
      <c r="R110" s="46">
        <v>0</v>
      </c>
      <c r="S110" s="46">
        <v>20</v>
      </c>
      <c r="T110" s="48">
        <v>20</v>
      </c>
    </row>
    <row r="111" spans="1:20" ht="23.4" x14ac:dyDescent="0.25">
      <c r="A111" s="46">
        <v>110</v>
      </c>
      <c r="B111" s="47">
        <v>243985</v>
      </c>
      <c r="C111" s="46" t="s">
        <v>114</v>
      </c>
      <c r="D111" s="46" t="s">
        <v>115</v>
      </c>
      <c r="E111" s="46" t="s">
        <v>116</v>
      </c>
      <c r="F111" s="46" t="s">
        <v>149</v>
      </c>
      <c r="G111" s="46">
        <v>2</v>
      </c>
      <c r="H111" s="46" t="s">
        <v>117</v>
      </c>
      <c r="I111" s="46" t="s">
        <v>1697</v>
      </c>
      <c r="J111" s="46" t="s">
        <v>1698</v>
      </c>
      <c r="K111" s="46" t="s">
        <v>1699</v>
      </c>
      <c r="L111" s="49" t="s">
        <v>1700</v>
      </c>
      <c r="M111" s="46" t="s">
        <v>118</v>
      </c>
      <c r="N111" s="46">
        <v>1.21</v>
      </c>
      <c r="O111" s="46" t="s">
        <v>1654</v>
      </c>
      <c r="P111" s="49">
        <v>0</v>
      </c>
      <c r="Q111" s="46">
        <v>0</v>
      </c>
      <c r="R111" s="46">
        <v>0</v>
      </c>
      <c r="S111" s="46">
        <v>24</v>
      </c>
      <c r="T111" s="48">
        <v>24</v>
      </c>
    </row>
    <row r="112" spans="1:20" ht="23.4" x14ac:dyDescent="0.25">
      <c r="A112" s="46">
        <v>111</v>
      </c>
      <c r="B112" s="47">
        <v>243985</v>
      </c>
      <c r="C112" s="46" t="s">
        <v>114</v>
      </c>
      <c r="D112" s="46" t="s">
        <v>115</v>
      </c>
      <c r="E112" s="46" t="s">
        <v>116</v>
      </c>
      <c r="F112" s="46" t="s">
        <v>149</v>
      </c>
      <c r="G112" s="46">
        <v>2</v>
      </c>
      <c r="H112" s="46" t="s">
        <v>117</v>
      </c>
      <c r="I112" s="46" t="s">
        <v>1701</v>
      </c>
      <c r="J112" s="46" t="s">
        <v>1702</v>
      </c>
      <c r="K112" s="46" t="s">
        <v>1703</v>
      </c>
      <c r="L112" s="49" t="s">
        <v>1704</v>
      </c>
      <c r="M112" s="46" t="s">
        <v>118</v>
      </c>
      <c r="N112" s="46">
        <v>0.56000000000000005</v>
      </c>
      <c r="O112" s="46" t="s">
        <v>1676</v>
      </c>
      <c r="P112" s="49">
        <v>0</v>
      </c>
      <c r="Q112" s="46">
        <v>0</v>
      </c>
      <c r="R112" s="46">
        <v>0</v>
      </c>
      <c r="S112" s="46">
        <v>20</v>
      </c>
      <c r="T112" s="48">
        <v>20</v>
      </c>
    </row>
    <row r="113" spans="1:20" ht="23.4" x14ac:dyDescent="0.25">
      <c r="A113" s="46">
        <v>112</v>
      </c>
      <c r="B113" s="47">
        <v>243985</v>
      </c>
      <c r="C113" s="46" t="s">
        <v>114</v>
      </c>
      <c r="D113" s="46" t="s">
        <v>115</v>
      </c>
      <c r="E113" s="46" t="s">
        <v>116</v>
      </c>
      <c r="F113" s="46" t="s">
        <v>149</v>
      </c>
      <c r="G113" s="46">
        <v>2</v>
      </c>
      <c r="H113" s="46" t="s">
        <v>117</v>
      </c>
      <c r="I113" s="46" t="s">
        <v>1705</v>
      </c>
      <c r="J113" s="46" t="s">
        <v>1706</v>
      </c>
      <c r="K113" s="46" t="s">
        <v>1642</v>
      </c>
      <c r="L113" s="49" t="s">
        <v>1707</v>
      </c>
      <c r="M113" s="46" t="s">
        <v>118</v>
      </c>
      <c r="N113" s="46">
        <v>1.02</v>
      </c>
      <c r="O113" s="46" t="s">
        <v>1654</v>
      </c>
      <c r="P113" s="49">
        <v>255</v>
      </c>
      <c r="Q113" s="46">
        <v>5.0999999999999996</v>
      </c>
      <c r="R113" s="46">
        <v>0.36</v>
      </c>
      <c r="S113" s="46">
        <v>24</v>
      </c>
      <c r="T113" s="48">
        <v>29.46</v>
      </c>
    </row>
    <row r="114" spans="1:20" ht="23.4" x14ac:dyDescent="0.25">
      <c r="A114" s="46">
        <v>113</v>
      </c>
      <c r="B114" s="47">
        <v>243985</v>
      </c>
      <c r="C114" s="46" t="s">
        <v>114</v>
      </c>
      <c r="D114" s="46" t="s">
        <v>115</v>
      </c>
      <c r="E114" s="46" t="s">
        <v>116</v>
      </c>
      <c r="F114" s="46" t="s">
        <v>149</v>
      </c>
      <c r="G114" s="46">
        <v>2</v>
      </c>
      <c r="H114" s="46" t="s">
        <v>117</v>
      </c>
      <c r="I114" s="46" t="s">
        <v>1708</v>
      </c>
      <c r="J114" s="46" t="s">
        <v>1709</v>
      </c>
      <c r="K114" s="46" t="s">
        <v>1710</v>
      </c>
      <c r="L114" s="49" t="s">
        <v>1711</v>
      </c>
      <c r="M114" s="46" t="s">
        <v>118</v>
      </c>
      <c r="N114" s="46">
        <v>1.18</v>
      </c>
      <c r="O114" s="46" t="s">
        <v>1676</v>
      </c>
      <c r="P114" s="49">
        <v>280</v>
      </c>
      <c r="Q114" s="46">
        <v>5.6</v>
      </c>
      <c r="R114" s="46">
        <v>0.39</v>
      </c>
      <c r="S114" s="46">
        <v>24</v>
      </c>
      <c r="T114" s="48">
        <v>29.99</v>
      </c>
    </row>
    <row r="115" spans="1:20" ht="23.4" x14ac:dyDescent="0.25">
      <c r="A115" s="46">
        <v>114</v>
      </c>
      <c r="B115" s="47">
        <v>243985</v>
      </c>
      <c r="C115" s="46" t="s">
        <v>114</v>
      </c>
      <c r="D115" s="46" t="s">
        <v>115</v>
      </c>
      <c r="E115" s="46" t="s">
        <v>116</v>
      </c>
      <c r="F115" s="46" t="s">
        <v>149</v>
      </c>
      <c r="G115" s="46">
        <v>2</v>
      </c>
      <c r="H115" s="46" t="s">
        <v>117</v>
      </c>
      <c r="I115" s="46" t="s">
        <v>1712</v>
      </c>
      <c r="J115" s="46" t="s">
        <v>1713</v>
      </c>
      <c r="K115" s="46" t="s">
        <v>1714</v>
      </c>
      <c r="L115" s="49" t="s">
        <v>1715</v>
      </c>
      <c r="M115" s="46" t="s">
        <v>118</v>
      </c>
      <c r="N115" s="46">
        <v>1.38</v>
      </c>
      <c r="O115" s="46" t="s">
        <v>1663</v>
      </c>
      <c r="P115" s="49">
        <v>0</v>
      </c>
      <c r="Q115" s="46">
        <v>0</v>
      </c>
      <c r="R115" s="46">
        <v>0</v>
      </c>
      <c r="S115" s="46">
        <v>24</v>
      </c>
      <c r="T115" s="48">
        <v>24</v>
      </c>
    </row>
    <row r="116" spans="1:20" ht="23.4" x14ac:dyDescent="0.25">
      <c r="A116" s="46">
        <v>115</v>
      </c>
      <c r="B116" s="47">
        <v>243985</v>
      </c>
      <c r="C116" s="46" t="s">
        <v>114</v>
      </c>
      <c r="D116" s="46" t="s">
        <v>115</v>
      </c>
      <c r="E116" s="46" t="s">
        <v>116</v>
      </c>
      <c r="F116" s="46" t="s">
        <v>149</v>
      </c>
      <c r="G116" s="46">
        <v>2</v>
      </c>
      <c r="H116" s="46" t="s">
        <v>117</v>
      </c>
      <c r="I116" s="46" t="s">
        <v>1716</v>
      </c>
      <c r="J116" s="46" t="s">
        <v>1717</v>
      </c>
      <c r="K116" s="46" t="s">
        <v>1718</v>
      </c>
      <c r="L116" s="49" t="s">
        <v>1719</v>
      </c>
      <c r="M116" s="46" t="s">
        <v>118</v>
      </c>
      <c r="N116" s="46">
        <v>0.53</v>
      </c>
      <c r="O116" s="46" t="s">
        <v>1676</v>
      </c>
      <c r="P116" s="49">
        <v>0</v>
      </c>
      <c r="Q116" s="46">
        <v>0</v>
      </c>
      <c r="R116" s="46">
        <v>0</v>
      </c>
      <c r="S116" s="46">
        <v>20</v>
      </c>
      <c r="T116" s="48">
        <v>20</v>
      </c>
    </row>
    <row r="117" spans="1:20" ht="23.4" x14ac:dyDescent="0.25">
      <c r="A117" s="46">
        <v>116</v>
      </c>
      <c r="B117" s="47">
        <v>243985</v>
      </c>
      <c r="C117" s="46" t="s">
        <v>114</v>
      </c>
      <c r="D117" s="46" t="s">
        <v>115</v>
      </c>
      <c r="E117" s="46" t="s">
        <v>116</v>
      </c>
      <c r="F117" s="46" t="s">
        <v>149</v>
      </c>
      <c r="G117" s="46">
        <v>2</v>
      </c>
      <c r="H117" s="46" t="s">
        <v>117</v>
      </c>
      <c r="I117" s="46" t="s">
        <v>1720</v>
      </c>
      <c r="J117" s="46" t="s">
        <v>1721</v>
      </c>
      <c r="K117" s="46" t="s">
        <v>1722</v>
      </c>
      <c r="L117" s="49" t="s">
        <v>1723</v>
      </c>
      <c r="M117" s="46" t="s">
        <v>118</v>
      </c>
      <c r="N117" s="46">
        <v>1.19</v>
      </c>
      <c r="O117" s="46" t="s">
        <v>1654</v>
      </c>
      <c r="P117" s="49">
        <v>0</v>
      </c>
      <c r="Q117" s="46">
        <v>0</v>
      </c>
      <c r="R117" s="46">
        <v>0</v>
      </c>
      <c r="S117" s="46">
        <v>24</v>
      </c>
      <c r="T117" s="48">
        <v>24</v>
      </c>
    </row>
    <row r="118" spans="1:20" ht="23.4" x14ac:dyDescent="0.25">
      <c r="A118" s="46">
        <v>117</v>
      </c>
      <c r="B118" s="47">
        <v>243985</v>
      </c>
      <c r="C118" s="46" t="s">
        <v>114</v>
      </c>
      <c r="D118" s="46" t="s">
        <v>115</v>
      </c>
      <c r="E118" s="46" t="s">
        <v>116</v>
      </c>
      <c r="F118" s="46" t="s">
        <v>149</v>
      </c>
      <c r="G118" s="46">
        <v>2</v>
      </c>
      <c r="H118" s="46" t="s">
        <v>117</v>
      </c>
      <c r="I118" s="46" t="s">
        <v>1724</v>
      </c>
      <c r="J118" s="46" t="s">
        <v>1725</v>
      </c>
      <c r="K118" s="46" t="s">
        <v>1726</v>
      </c>
      <c r="L118" s="49" t="s">
        <v>1727</v>
      </c>
      <c r="M118" s="46" t="s">
        <v>118</v>
      </c>
      <c r="N118" s="46">
        <v>0.93</v>
      </c>
      <c r="O118" s="46" t="s">
        <v>1663</v>
      </c>
      <c r="P118" s="49">
        <v>0</v>
      </c>
      <c r="Q118" s="46">
        <v>0</v>
      </c>
      <c r="R118" s="46">
        <v>0</v>
      </c>
      <c r="S118" s="46">
        <v>18</v>
      </c>
      <c r="T118" s="48">
        <v>18</v>
      </c>
    </row>
    <row r="119" spans="1:20" ht="23.4" x14ac:dyDescent="0.25">
      <c r="A119" s="46">
        <v>118</v>
      </c>
      <c r="B119" s="47">
        <v>243985</v>
      </c>
      <c r="C119" s="46" t="s">
        <v>114</v>
      </c>
      <c r="D119" s="46" t="s">
        <v>115</v>
      </c>
      <c r="E119" s="46" t="s">
        <v>116</v>
      </c>
      <c r="F119" s="46" t="s">
        <v>149</v>
      </c>
      <c r="G119" s="46">
        <v>2</v>
      </c>
      <c r="H119" s="46" t="s">
        <v>117</v>
      </c>
      <c r="I119" s="46" t="s">
        <v>1728</v>
      </c>
      <c r="J119" s="46" t="s">
        <v>190</v>
      </c>
      <c r="K119" s="46" t="s">
        <v>191</v>
      </c>
      <c r="L119" s="49" t="s">
        <v>1729</v>
      </c>
      <c r="M119" s="46" t="s">
        <v>118</v>
      </c>
      <c r="N119" s="46">
        <v>1.17</v>
      </c>
      <c r="O119" s="46" t="s">
        <v>1663</v>
      </c>
      <c r="P119" s="49">
        <v>280</v>
      </c>
      <c r="Q119" s="46">
        <v>5.6</v>
      </c>
      <c r="R119" s="46">
        <v>0.39</v>
      </c>
      <c r="S119" s="46">
        <v>22</v>
      </c>
      <c r="T119" s="48">
        <v>27.99</v>
      </c>
    </row>
    <row r="120" spans="1:20" ht="23.4" x14ac:dyDescent="0.25">
      <c r="A120" s="46">
        <v>119</v>
      </c>
      <c r="B120" s="47">
        <v>243985</v>
      </c>
      <c r="C120" s="46" t="s">
        <v>114</v>
      </c>
      <c r="D120" s="46" t="s">
        <v>115</v>
      </c>
      <c r="E120" s="46" t="s">
        <v>116</v>
      </c>
      <c r="F120" s="46" t="s">
        <v>149</v>
      </c>
      <c r="G120" s="46">
        <v>2</v>
      </c>
      <c r="H120" s="46" t="s">
        <v>117</v>
      </c>
      <c r="I120" s="46" t="s">
        <v>1730</v>
      </c>
      <c r="J120" s="46" t="s">
        <v>1731</v>
      </c>
      <c r="K120" s="46" t="s">
        <v>1732</v>
      </c>
      <c r="L120" s="49" t="s">
        <v>1733</v>
      </c>
      <c r="M120" s="46" t="s">
        <v>118</v>
      </c>
      <c r="N120" s="46">
        <v>1.19</v>
      </c>
      <c r="O120" s="46" t="s">
        <v>1663</v>
      </c>
      <c r="P120" s="49">
        <v>280</v>
      </c>
      <c r="Q120" s="46">
        <v>5.6</v>
      </c>
      <c r="R120" s="46">
        <v>0.39</v>
      </c>
      <c r="S120" s="46">
        <v>22</v>
      </c>
      <c r="T120" s="48">
        <v>27.99</v>
      </c>
    </row>
    <row r="121" spans="1:20" ht="23.4" x14ac:dyDescent="0.25">
      <c r="A121" s="46">
        <v>120</v>
      </c>
      <c r="B121" s="47">
        <v>243985</v>
      </c>
      <c r="C121" s="46" t="s">
        <v>114</v>
      </c>
      <c r="D121" s="46" t="s">
        <v>115</v>
      </c>
      <c r="E121" s="46" t="s">
        <v>116</v>
      </c>
      <c r="F121" s="46" t="s">
        <v>149</v>
      </c>
      <c r="G121" s="46">
        <v>2</v>
      </c>
      <c r="H121" s="46" t="s">
        <v>117</v>
      </c>
      <c r="I121" s="46" t="s">
        <v>1734</v>
      </c>
      <c r="J121" s="46" t="s">
        <v>145</v>
      </c>
      <c r="K121" s="46" t="s">
        <v>146</v>
      </c>
      <c r="L121" s="49" t="s">
        <v>1735</v>
      </c>
      <c r="M121" s="46" t="s">
        <v>118</v>
      </c>
      <c r="N121" s="46">
        <v>1.2</v>
      </c>
      <c r="O121" s="46" t="s">
        <v>1676</v>
      </c>
      <c r="P121" s="49">
        <v>280</v>
      </c>
      <c r="Q121" s="46">
        <v>5.6</v>
      </c>
      <c r="R121" s="46">
        <v>0.39</v>
      </c>
      <c r="S121" s="46">
        <v>22</v>
      </c>
      <c r="T121" s="48">
        <v>27.99</v>
      </c>
    </row>
    <row r="122" spans="1:20" ht="23.4" x14ac:dyDescent="0.25">
      <c r="A122" s="46">
        <v>121</v>
      </c>
      <c r="B122" s="47">
        <v>243985</v>
      </c>
      <c r="C122" s="46" t="s">
        <v>114</v>
      </c>
      <c r="D122" s="46" t="s">
        <v>115</v>
      </c>
      <c r="E122" s="46" t="s">
        <v>116</v>
      </c>
      <c r="F122" s="46" t="s">
        <v>149</v>
      </c>
      <c r="G122" s="46">
        <v>2</v>
      </c>
      <c r="H122" s="46" t="s">
        <v>117</v>
      </c>
      <c r="I122" s="46" t="s">
        <v>1736</v>
      </c>
      <c r="J122" s="46" t="s">
        <v>1737</v>
      </c>
      <c r="K122" s="46" t="s">
        <v>1738</v>
      </c>
      <c r="L122" s="49" t="s">
        <v>1739</v>
      </c>
      <c r="M122" s="46" t="s">
        <v>118</v>
      </c>
      <c r="N122" s="46">
        <v>1.18</v>
      </c>
      <c r="O122" s="46" t="s">
        <v>1663</v>
      </c>
      <c r="P122" s="49">
        <v>0</v>
      </c>
      <c r="Q122" s="46">
        <v>0</v>
      </c>
      <c r="R122" s="46">
        <v>0</v>
      </c>
      <c r="S122" s="46">
        <v>24</v>
      </c>
      <c r="T122" s="48">
        <v>24</v>
      </c>
    </row>
    <row r="123" spans="1:20" ht="23.4" x14ac:dyDescent="0.25">
      <c r="A123" s="46">
        <v>122</v>
      </c>
      <c r="B123" s="47">
        <v>243985</v>
      </c>
      <c r="C123" s="46" t="s">
        <v>114</v>
      </c>
      <c r="D123" s="46" t="s">
        <v>115</v>
      </c>
      <c r="E123" s="46" t="s">
        <v>116</v>
      </c>
      <c r="F123" s="46" t="s">
        <v>149</v>
      </c>
      <c r="G123" s="46">
        <v>2</v>
      </c>
      <c r="H123" s="46" t="s">
        <v>117</v>
      </c>
      <c r="I123" s="46" t="s">
        <v>1740</v>
      </c>
      <c r="J123" s="46" t="s">
        <v>1741</v>
      </c>
      <c r="K123" s="46" t="s">
        <v>1742</v>
      </c>
      <c r="L123" s="49" t="s">
        <v>1743</v>
      </c>
      <c r="M123" s="46" t="s">
        <v>118</v>
      </c>
      <c r="N123" s="46">
        <v>0.52</v>
      </c>
      <c r="O123" s="46" t="s">
        <v>1676</v>
      </c>
      <c r="P123" s="49">
        <v>0</v>
      </c>
      <c r="Q123" s="46">
        <v>0</v>
      </c>
      <c r="R123" s="46">
        <v>0</v>
      </c>
      <c r="S123" s="46">
        <v>20</v>
      </c>
      <c r="T123" s="48">
        <v>20</v>
      </c>
    </row>
    <row r="124" spans="1:20" ht="23.4" x14ac:dyDescent="0.25">
      <c r="A124" s="46">
        <v>123</v>
      </c>
      <c r="B124" s="47">
        <v>243985</v>
      </c>
      <c r="C124" s="46" t="s">
        <v>114</v>
      </c>
      <c r="D124" s="46" t="s">
        <v>115</v>
      </c>
      <c r="E124" s="46" t="s">
        <v>116</v>
      </c>
      <c r="F124" s="46" t="s">
        <v>149</v>
      </c>
      <c r="G124" s="46">
        <v>2</v>
      </c>
      <c r="H124" s="46" t="s">
        <v>117</v>
      </c>
      <c r="I124" s="46" t="s">
        <v>1744</v>
      </c>
      <c r="J124" s="46" t="s">
        <v>1745</v>
      </c>
      <c r="K124" s="46" t="s">
        <v>1746</v>
      </c>
      <c r="L124" s="49" t="s">
        <v>1747</v>
      </c>
      <c r="M124" s="46" t="s">
        <v>118</v>
      </c>
      <c r="N124" s="46">
        <v>0.94</v>
      </c>
      <c r="O124" s="46" t="s">
        <v>1748</v>
      </c>
      <c r="P124" s="49">
        <v>0</v>
      </c>
      <c r="Q124" s="46">
        <v>0</v>
      </c>
      <c r="R124" s="46">
        <v>0</v>
      </c>
      <c r="S124" s="46">
        <v>20</v>
      </c>
      <c r="T124" s="48">
        <v>20</v>
      </c>
    </row>
    <row r="125" spans="1:20" ht="23.4" x14ac:dyDescent="0.25">
      <c r="A125" s="46">
        <v>124</v>
      </c>
      <c r="B125" s="47">
        <v>243985</v>
      </c>
      <c r="C125" s="46" t="s">
        <v>114</v>
      </c>
      <c r="D125" s="46" t="s">
        <v>115</v>
      </c>
      <c r="E125" s="46" t="s">
        <v>116</v>
      </c>
      <c r="F125" s="46" t="s">
        <v>149</v>
      </c>
      <c r="G125" s="46">
        <v>2</v>
      </c>
      <c r="H125" s="46" t="s">
        <v>117</v>
      </c>
      <c r="I125" s="46" t="s">
        <v>1749</v>
      </c>
      <c r="J125" s="46" t="s">
        <v>1750</v>
      </c>
      <c r="K125" s="46" t="s">
        <v>1751</v>
      </c>
      <c r="L125" s="49" t="s">
        <v>1752</v>
      </c>
      <c r="M125" s="46" t="s">
        <v>118</v>
      </c>
      <c r="N125" s="46">
        <v>0.52</v>
      </c>
      <c r="O125" s="46" t="s">
        <v>1649</v>
      </c>
      <c r="P125" s="49">
        <v>0</v>
      </c>
      <c r="Q125" s="46">
        <v>0</v>
      </c>
      <c r="R125" s="46">
        <v>0</v>
      </c>
      <c r="S125" s="46">
        <v>18</v>
      </c>
      <c r="T125" s="48">
        <v>18</v>
      </c>
    </row>
    <row r="126" spans="1:20" ht="23.4" x14ac:dyDescent="0.25">
      <c r="A126" s="46">
        <v>125</v>
      </c>
      <c r="B126" s="47">
        <v>243985</v>
      </c>
      <c r="C126" s="46" t="s">
        <v>114</v>
      </c>
      <c r="D126" s="46" t="s">
        <v>115</v>
      </c>
      <c r="E126" s="46" t="s">
        <v>116</v>
      </c>
      <c r="F126" s="46" t="s">
        <v>149</v>
      </c>
      <c r="G126" s="46">
        <v>2</v>
      </c>
      <c r="H126" s="46" t="s">
        <v>117</v>
      </c>
      <c r="I126" s="46" t="s">
        <v>1753</v>
      </c>
      <c r="J126" s="46" t="s">
        <v>1754</v>
      </c>
      <c r="K126" s="46" t="s">
        <v>1755</v>
      </c>
      <c r="L126" s="49" t="s">
        <v>1756</v>
      </c>
      <c r="M126" s="46" t="s">
        <v>118</v>
      </c>
      <c r="N126" s="46">
        <v>1.19</v>
      </c>
      <c r="O126" s="46" t="s">
        <v>1663</v>
      </c>
      <c r="P126" s="49">
        <v>280</v>
      </c>
      <c r="Q126" s="46">
        <v>5.6</v>
      </c>
      <c r="R126" s="46">
        <v>0.39</v>
      </c>
      <c r="S126" s="46">
        <v>24</v>
      </c>
      <c r="T126" s="48">
        <v>29.99</v>
      </c>
    </row>
    <row r="127" spans="1:20" ht="23.4" x14ac:dyDescent="0.25">
      <c r="A127" s="46">
        <v>126</v>
      </c>
      <c r="B127" s="47">
        <v>243985</v>
      </c>
      <c r="C127" s="46" t="s">
        <v>114</v>
      </c>
      <c r="D127" s="46" t="s">
        <v>115</v>
      </c>
      <c r="E127" s="46" t="s">
        <v>116</v>
      </c>
      <c r="F127" s="46" t="s">
        <v>149</v>
      </c>
      <c r="G127" s="46">
        <v>2</v>
      </c>
      <c r="H127" s="46" t="s">
        <v>117</v>
      </c>
      <c r="I127" s="46" t="s">
        <v>1757</v>
      </c>
      <c r="J127" s="46" t="s">
        <v>1758</v>
      </c>
      <c r="K127" s="46" t="s">
        <v>1759</v>
      </c>
      <c r="L127" s="49" t="s">
        <v>1760</v>
      </c>
      <c r="M127" s="46" t="s">
        <v>118</v>
      </c>
      <c r="N127" s="46">
        <v>1.25</v>
      </c>
      <c r="O127" s="46" t="s">
        <v>1654</v>
      </c>
      <c r="P127" s="49">
        <v>0</v>
      </c>
      <c r="Q127" s="46">
        <v>0</v>
      </c>
      <c r="R127" s="46">
        <v>0</v>
      </c>
      <c r="S127" s="46">
        <v>24</v>
      </c>
      <c r="T127" s="48">
        <v>24</v>
      </c>
    </row>
    <row r="128" spans="1:20" ht="23.4" x14ac:dyDescent="0.25">
      <c r="A128" s="46">
        <v>127</v>
      </c>
      <c r="B128" s="47">
        <v>243985</v>
      </c>
      <c r="C128" s="46" t="s">
        <v>114</v>
      </c>
      <c r="D128" s="46" t="s">
        <v>115</v>
      </c>
      <c r="E128" s="46" t="s">
        <v>116</v>
      </c>
      <c r="F128" s="46" t="s">
        <v>149</v>
      </c>
      <c r="G128" s="46">
        <v>2</v>
      </c>
      <c r="H128" s="46" t="s">
        <v>117</v>
      </c>
      <c r="I128" s="46" t="s">
        <v>1761</v>
      </c>
      <c r="J128" s="46" t="s">
        <v>169</v>
      </c>
      <c r="K128" s="46" t="s">
        <v>131</v>
      </c>
      <c r="L128" s="49" t="s">
        <v>1762</v>
      </c>
      <c r="M128" s="46" t="s">
        <v>118</v>
      </c>
      <c r="N128" s="46">
        <v>1.22</v>
      </c>
      <c r="O128" s="46" t="s">
        <v>1663</v>
      </c>
      <c r="P128" s="49">
        <v>0</v>
      </c>
      <c r="Q128" s="46">
        <v>0</v>
      </c>
      <c r="R128" s="46">
        <v>0</v>
      </c>
      <c r="S128" s="46">
        <v>22</v>
      </c>
      <c r="T128" s="48">
        <v>22</v>
      </c>
    </row>
    <row r="129" spans="1:20" ht="23.4" x14ac:dyDescent="0.25">
      <c r="A129" s="46">
        <v>128</v>
      </c>
      <c r="B129" s="47">
        <v>243985</v>
      </c>
      <c r="C129" s="46" t="s">
        <v>114</v>
      </c>
      <c r="D129" s="46" t="s">
        <v>115</v>
      </c>
      <c r="E129" s="46" t="s">
        <v>116</v>
      </c>
      <c r="F129" s="46" t="s">
        <v>149</v>
      </c>
      <c r="G129" s="46">
        <v>2</v>
      </c>
      <c r="H129" s="46" t="s">
        <v>117</v>
      </c>
      <c r="I129" s="46" t="s">
        <v>1763</v>
      </c>
      <c r="J129" s="46" t="s">
        <v>1764</v>
      </c>
      <c r="K129" s="46" t="s">
        <v>1765</v>
      </c>
      <c r="L129" s="49" t="s">
        <v>1766</v>
      </c>
      <c r="M129" s="46" t="s">
        <v>118</v>
      </c>
      <c r="N129" s="46">
        <v>1.05</v>
      </c>
      <c r="O129" s="46" t="s">
        <v>1676</v>
      </c>
      <c r="P129" s="49">
        <v>255</v>
      </c>
      <c r="Q129" s="46">
        <v>5.0999999999999996</v>
      </c>
      <c r="R129" s="46">
        <v>0.36</v>
      </c>
      <c r="S129" s="46">
        <v>24</v>
      </c>
      <c r="T129" s="48">
        <v>29.46</v>
      </c>
    </row>
    <row r="130" spans="1:20" ht="23.4" x14ac:dyDescent="0.25">
      <c r="A130" s="46">
        <v>129</v>
      </c>
      <c r="B130" s="47">
        <v>243985</v>
      </c>
      <c r="C130" s="46" t="s">
        <v>114</v>
      </c>
      <c r="D130" s="46" t="s">
        <v>115</v>
      </c>
      <c r="E130" s="46" t="s">
        <v>116</v>
      </c>
      <c r="F130" s="46" t="s">
        <v>149</v>
      </c>
      <c r="G130" s="46">
        <v>2</v>
      </c>
      <c r="H130" s="46" t="s">
        <v>117</v>
      </c>
      <c r="I130" s="46" t="s">
        <v>1767</v>
      </c>
      <c r="J130" s="46" t="s">
        <v>1768</v>
      </c>
      <c r="K130" s="46" t="s">
        <v>1769</v>
      </c>
      <c r="L130" s="49" t="s">
        <v>1770</v>
      </c>
      <c r="M130" s="46" t="s">
        <v>118</v>
      </c>
      <c r="N130" s="46">
        <v>1.17</v>
      </c>
      <c r="O130" s="46" t="s">
        <v>1663</v>
      </c>
      <c r="P130" s="49">
        <v>280</v>
      </c>
      <c r="Q130" s="46">
        <v>5.6</v>
      </c>
      <c r="R130" s="46">
        <v>0.39</v>
      </c>
      <c r="S130" s="46">
        <v>24</v>
      </c>
      <c r="T130" s="48">
        <v>29.99</v>
      </c>
    </row>
    <row r="131" spans="1:20" ht="23.4" x14ac:dyDescent="0.25">
      <c r="A131" s="46">
        <v>130</v>
      </c>
      <c r="B131" s="47">
        <v>243987</v>
      </c>
      <c r="C131" s="46" t="s">
        <v>114</v>
      </c>
      <c r="D131" s="46" t="s">
        <v>115</v>
      </c>
      <c r="E131" s="46" t="s">
        <v>116</v>
      </c>
      <c r="F131" s="46" t="s">
        <v>119</v>
      </c>
      <c r="G131" s="46">
        <v>2</v>
      </c>
      <c r="H131" s="46" t="s">
        <v>117</v>
      </c>
      <c r="I131" s="46" t="s">
        <v>1771</v>
      </c>
      <c r="J131" s="46" t="s">
        <v>1772</v>
      </c>
      <c r="K131" s="46" t="s">
        <v>1773</v>
      </c>
      <c r="L131" s="49" t="s">
        <v>1774</v>
      </c>
      <c r="N131" s="46">
        <v>1.9139999999999999</v>
      </c>
      <c r="O131" s="46">
        <v>520</v>
      </c>
      <c r="P131" s="49">
        <v>7.8</v>
      </c>
      <c r="Q131" s="46">
        <v>0.54600000000000004</v>
      </c>
      <c r="R131" s="46">
        <v>0</v>
      </c>
      <c r="S131" s="46">
        <v>22</v>
      </c>
      <c r="T131" s="48">
        <v>30.35</v>
      </c>
    </row>
    <row r="132" spans="1:20" ht="23.4" x14ac:dyDescent="0.25">
      <c r="A132" s="46">
        <v>131</v>
      </c>
      <c r="B132" s="47">
        <v>243987</v>
      </c>
      <c r="C132" s="46" t="s">
        <v>114</v>
      </c>
      <c r="D132" s="46" t="s">
        <v>115</v>
      </c>
      <c r="E132" s="46" t="s">
        <v>116</v>
      </c>
      <c r="F132" s="46" t="s">
        <v>119</v>
      </c>
      <c r="G132" s="46">
        <v>2</v>
      </c>
      <c r="H132" s="46" t="s">
        <v>117</v>
      </c>
      <c r="I132" s="46" t="s">
        <v>1775</v>
      </c>
      <c r="J132" s="46" t="s">
        <v>1776</v>
      </c>
      <c r="K132" s="46" t="s">
        <v>1777</v>
      </c>
      <c r="L132" s="49" t="s">
        <v>1778</v>
      </c>
      <c r="N132" s="46">
        <v>1.0960000000000001</v>
      </c>
      <c r="O132" s="46">
        <v>290</v>
      </c>
      <c r="P132" s="49">
        <v>4.3499999999999996</v>
      </c>
      <c r="Q132" s="46">
        <v>0.30449999999999999</v>
      </c>
      <c r="R132" s="46">
        <v>0</v>
      </c>
      <c r="S132" s="46">
        <v>22</v>
      </c>
      <c r="T132" s="48">
        <v>26.65</v>
      </c>
    </row>
    <row r="133" spans="1:20" ht="23.4" x14ac:dyDescent="0.25">
      <c r="A133" s="46">
        <v>132</v>
      </c>
      <c r="B133" s="47">
        <v>243987</v>
      </c>
      <c r="C133" s="46" t="s">
        <v>114</v>
      </c>
      <c r="D133" s="46" t="s">
        <v>115</v>
      </c>
      <c r="E133" s="46" t="s">
        <v>116</v>
      </c>
      <c r="F133" s="46" t="s">
        <v>119</v>
      </c>
      <c r="G133" s="46">
        <v>2</v>
      </c>
      <c r="H133" s="46" t="s">
        <v>117</v>
      </c>
      <c r="I133" s="46" t="s">
        <v>1779</v>
      </c>
      <c r="J133" s="46" t="s">
        <v>1780</v>
      </c>
      <c r="K133" s="46" t="s">
        <v>1781</v>
      </c>
      <c r="L133" s="49" t="s">
        <v>1782</v>
      </c>
      <c r="N133" s="46">
        <v>1.786</v>
      </c>
      <c r="O133" s="46">
        <v>430</v>
      </c>
      <c r="P133" s="49">
        <v>6.45</v>
      </c>
      <c r="Q133" s="46">
        <v>0.45150000000000001</v>
      </c>
      <c r="R133" s="46">
        <v>0</v>
      </c>
      <c r="S133" s="46">
        <v>22</v>
      </c>
      <c r="T133" s="48">
        <v>28.9</v>
      </c>
    </row>
    <row r="134" spans="1:20" ht="23.4" x14ac:dyDescent="0.25">
      <c r="A134" s="46">
        <v>133</v>
      </c>
      <c r="B134" s="47">
        <v>243987</v>
      </c>
      <c r="C134" s="46" t="s">
        <v>114</v>
      </c>
      <c r="D134" s="46" t="s">
        <v>115</v>
      </c>
      <c r="E134" s="46" t="s">
        <v>116</v>
      </c>
      <c r="F134" s="46" t="s">
        <v>119</v>
      </c>
      <c r="G134" s="46">
        <v>2</v>
      </c>
      <c r="H134" s="46" t="s">
        <v>117</v>
      </c>
      <c r="I134" s="46" t="s">
        <v>1783</v>
      </c>
      <c r="J134" s="46" t="s">
        <v>1780</v>
      </c>
      <c r="K134" s="46" t="s">
        <v>1781</v>
      </c>
      <c r="L134" s="49" t="s">
        <v>1782</v>
      </c>
      <c r="N134" s="46">
        <v>2.214</v>
      </c>
      <c r="O134" s="46">
        <v>550</v>
      </c>
      <c r="P134" s="49">
        <v>8.25</v>
      </c>
      <c r="Q134" s="46">
        <v>0.57750000000000001</v>
      </c>
      <c r="R134" s="46">
        <v>0</v>
      </c>
      <c r="S134" s="46">
        <v>33</v>
      </c>
      <c r="T134" s="48">
        <v>41.83</v>
      </c>
    </row>
    <row r="135" spans="1:20" ht="23.4" x14ac:dyDescent="0.25">
      <c r="A135" s="46">
        <v>134</v>
      </c>
      <c r="B135" s="47">
        <v>243987</v>
      </c>
      <c r="C135" s="46" t="s">
        <v>114</v>
      </c>
      <c r="D135" s="46" t="s">
        <v>115</v>
      </c>
      <c r="E135" s="46" t="s">
        <v>116</v>
      </c>
      <c r="F135" s="46" t="s">
        <v>119</v>
      </c>
      <c r="G135" s="46">
        <v>2</v>
      </c>
      <c r="H135" s="46" t="s">
        <v>117</v>
      </c>
      <c r="I135" s="46" t="s">
        <v>1784</v>
      </c>
      <c r="J135" s="46" t="s">
        <v>1785</v>
      </c>
      <c r="K135" s="46" t="s">
        <v>1786</v>
      </c>
      <c r="L135" s="49" t="s">
        <v>1787</v>
      </c>
      <c r="N135" s="46">
        <v>1.212</v>
      </c>
      <c r="O135" s="46">
        <v>280</v>
      </c>
      <c r="P135" s="49">
        <v>4.2</v>
      </c>
      <c r="Q135" s="46">
        <v>0.29399999999999998</v>
      </c>
      <c r="R135" s="46">
        <v>0</v>
      </c>
      <c r="S135" s="46">
        <v>22</v>
      </c>
      <c r="T135" s="48">
        <v>26.49</v>
      </c>
    </row>
    <row r="136" spans="1:20" ht="23.4" x14ac:dyDescent="0.25">
      <c r="A136" s="46">
        <v>135</v>
      </c>
      <c r="B136" s="47">
        <v>243987</v>
      </c>
      <c r="C136" s="46" t="s">
        <v>114</v>
      </c>
      <c r="D136" s="46" t="s">
        <v>115</v>
      </c>
      <c r="E136" s="46" t="s">
        <v>116</v>
      </c>
      <c r="F136" s="46" t="s">
        <v>119</v>
      </c>
      <c r="G136" s="46">
        <v>2</v>
      </c>
      <c r="H136" s="46" t="s">
        <v>117</v>
      </c>
      <c r="I136" s="46" t="s">
        <v>1788</v>
      </c>
      <c r="J136" s="46" t="s">
        <v>1789</v>
      </c>
      <c r="K136" s="46" t="s">
        <v>1790</v>
      </c>
      <c r="L136" s="49" t="s">
        <v>1791</v>
      </c>
      <c r="N136" s="46">
        <v>16.995000000000001</v>
      </c>
      <c r="O136" s="46">
        <v>1020</v>
      </c>
      <c r="P136" s="49">
        <v>15.3</v>
      </c>
      <c r="Q136" s="46">
        <v>1.071</v>
      </c>
      <c r="R136" s="46">
        <v>0</v>
      </c>
      <c r="S136" s="46">
        <v>180</v>
      </c>
      <c r="T136" s="48">
        <v>196.37</v>
      </c>
    </row>
    <row r="137" spans="1:20" ht="23.4" x14ac:dyDescent="0.25">
      <c r="A137" s="46">
        <v>136</v>
      </c>
      <c r="B137" s="47">
        <v>243987</v>
      </c>
      <c r="C137" s="46" t="s">
        <v>114</v>
      </c>
      <c r="D137" s="46" t="s">
        <v>115</v>
      </c>
      <c r="E137" s="46" t="s">
        <v>116</v>
      </c>
      <c r="F137" s="46" t="s">
        <v>119</v>
      </c>
      <c r="G137" s="46">
        <v>2</v>
      </c>
      <c r="H137" s="46" t="s">
        <v>117</v>
      </c>
      <c r="I137" s="46" t="s">
        <v>1792</v>
      </c>
      <c r="J137" s="46" t="s">
        <v>120</v>
      </c>
      <c r="K137" s="46" t="s">
        <v>121</v>
      </c>
      <c r="L137" s="49" t="s">
        <v>122</v>
      </c>
      <c r="N137" s="46">
        <v>1.208</v>
      </c>
      <c r="O137" s="46">
        <v>0</v>
      </c>
      <c r="P137" s="49">
        <v>0</v>
      </c>
      <c r="Q137" s="46">
        <v>0</v>
      </c>
      <c r="R137" s="46">
        <v>0</v>
      </c>
      <c r="S137" s="46">
        <v>22</v>
      </c>
      <c r="T137" s="48">
        <v>22</v>
      </c>
    </row>
    <row r="138" spans="1:20" ht="23.4" x14ac:dyDescent="0.25">
      <c r="A138" s="46">
        <v>137</v>
      </c>
      <c r="B138" s="47">
        <v>243987</v>
      </c>
      <c r="C138" s="46" t="s">
        <v>114</v>
      </c>
      <c r="D138" s="46" t="s">
        <v>115</v>
      </c>
      <c r="E138" s="46" t="s">
        <v>116</v>
      </c>
      <c r="F138" s="46" t="s">
        <v>119</v>
      </c>
      <c r="G138" s="46">
        <v>2</v>
      </c>
      <c r="H138" s="46" t="s">
        <v>117</v>
      </c>
      <c r="I138" s="46" t="s">
        <v>1793</v>
      </c>
      <c r="J138" s="46" t="s">
        <v>1794</v>
      </c>
      <c r="K138" s="46" t="s">
        <v>1795</v>
      </c>
      <c r="L138" s="49" t="s">
        <v>1796</v>
      </c>
      <c r="N138" s="46">
        <v>1.804</v>
      </c>
      <c r="O138" s="46">
        <v>430</v>
      </c>
      <c r="P138" s="49">
        <v>6.45</v>
      </c>
      <c r="Q138" s="46">
        <v>0.45150000000000001</v>
      </c>
      <c r="R138" s="46">
        <v>0</v>
      </c>
      <c r="S138" s="46">
        <v>22</v>
      </c>
      <c r="T138" s="48">
        <v>28.9</v>
      </c>
    </row>
    <row r="139" spans="1:20" ht="23.4" x14ac:dyDescent="0.25">
      <c r="A139" s="46">
        <v>138</v>
      </c>
      <c r="B139" s="47">
        <v>243987</v>
      </c>
      <c r="C139" s="46" t="s">
        <v>114</v>
      </c>
      <c r="D139" s="46" t="s">
        <v>115</v>
      </c>
      <c r="E139" s="46" t="s">
        <v>116</v>
      </c>
      <c r="F139" s="46" t="s">
        <v>119</v>
      </c>
      <c r="G139" s="46">
        <v>2</v>
      </c>
      <c r="H139" s="46" t="s">
        <v>117</v>
      </c>
      <c r="I139" s="46" t="s">
        <v>1797</v>
      </c>
      <c r="J139" s="46" t="s">
        <v>1798</v>
      </c>
      <c r="K139" s="46" t="s">
        <v>1799</v>
      </c>
      <c r="L139" s="49" t="s">
        <v>1800</v>
      </c>
      <c r="N139" s="46">
        <v>1.0920000000000001</v>
      </c>
      <c r="O139" s="46">
        <v>290</v>
      </c>
      <c r="P139" s="49">
        <v>4.3499999999999996</v>
      </c>
      <c r="Q139" s="46">
        <v>0.30449999999999999</v>
      </c>
      <c r="R139" s="46">
        <v>0</v>
      </c>
      <c r="S139" s="46">
        <v>22</v>
      </c>
      <c r="T139" s="48">
        <v>26.65</v>
      </c>
    </row>
    <row r="140" spans="1:20" ht="23.4" x14ac:dyDescent="0.25">
      <c r="A140" s="46">
        <v>139</v>
      </c>
      <c r="B140" s="47">
        <v>243987</v>
      </c>
      <c r="C140" s="46" t="s">
        <v>114</v>
      </c>
      <c r="D140" s="46" t="s">
        <v>115</v>
      </c>
      <c r="E140" s="46" t="s">
        <v>116</v>
      </c>
      <c r="F140" s="46" t="s">
        <v>119</v>
      </c>
      <c r="G140" s="46">
        <v>2</v>
      </c>
      <c r="H140" s="46" t="s">
        <v>117</v>
      </c>
      <c r="I140" s="46" t="s">
        <v>1801</v>
      </c>
      <c r="J140" s="46" t="s">
        <v>1802</v>
      </c>
      <c r="K140" s="46" t="s">
        <v>1803</v>
      </c>
      <c r="L140" s="49" t="s">
        <v>1804</v>
      </c>
      <c r="N140" s="46">
        <v>2.464</v>
      </c>
      <c r="O140" s="46">
        <v>0</v>
      </c>
      <c r="P140" s="49">
        <v>0</v>
      </c>
      <c r="Q140" s="46">
        <v>0</v>
      </c>
      <c r="R140" s="46">
        <v>0</v>
      </c>
      <c r="S140" s="46">
        <v>33</v>
      </c>
      <c r="T140" s="48">
        <v>33</v>
      </c>
    </row>
    <row r="141" spans="1:20" ht="23.4" x14ac:dyDescent="0.25">
      <c r="A141" s="46">
        <v>140</v>
      </c>
      <c r="B141" s="47">
        <v>243987</v>
      </c>
      <c r="C141" s="46" t="s">
        <v>114</v>
      </c>
      <c r="D141" s="46" t="s">
        <v>115</v>
      </c>
      <c r="E141" s="46" t="s">
        <v>116</v>
      </c>
      <c r="F141" s="46" t="s">
        <v>119</v>
      </c>
      <c r="G141" s="46">
        <v>2</v>
      </c>
      <c r="H141" s="46" t="s">
        <v>117</v>
      </c>
      <c r="I141" s="46" t="s">
        <v>1805</v>
      </c>
      <c r="J141" s="46" t="s">
        <v>1806</v>
      </c>
      <c r="K141" s="46" t="s">
        <v>1807</v>
      </c>
      <c r="L141" s="49" t="s">
        <v>1808</v>
      </c>
      <c r="N141" s="46">
        <v>1.776</v>
      </c>
      <c r="O141" s="46">
        <v>430</v>
      </c>
      <c r="P141" s="49">
        <v>6.45</v>
      </c>
      <c r="Q141" s="46">
        <v>0.45150000000000001</v>
      </c>
      <c r="R141" s="46">
        <v>0</v>
      </c>
      <c r="S141" s="46">
        <v>22</v>
      </c>
      <c r="T141" s="48">
        <v>28.9</v>
      </c>
    </row>
    <row r="142" spans="1:20" ht="23.4" x14ac:dyDescent="0.25">
      <c r="A142" s="46">
        <v>141</v>
      </c>
      <c r="B142" s="47">
        <v>243987</v>
      </c>
      <c r="C142" s="46" t="s">
        <v>114</v>
      </c>
      <c r="D142" s="46" t="s">
        <v>115</v>
      </c>
      <c r="E142" s="46" t="s">
        <v>116</v>
      </c>
      <c r="F142" s="46" t="s">
        <v>119</v>
      </c>
      <c r="G142" s="46">
        <v>2</v>
      </c>
      <c r="H142" s="46" t="s">
        <v>117</v>
      </c>
      <c r="I142" s="46" t="s">
        <v>1809</v>
      </c>
      <c r="J142" s="46" t="s">
        <v>1810</v>
      </c>
      <c r="K142" s="46" t="s">
        <v>1811</v>
      </c>
      <c r="L142" s="49" t="s">
        <v>1812</v>
      </c>
      <c r="N142" s="46">
        <v>5.0199999999999996</v>
      </c>
      <c r="O142" s="46">
        <v>0</v>
      </c>
      <c r="P142" s="49">
        <v>0</v>
      </c>
      <c r="Q142" s="46">
        <v>0</v>
      </c>
      <c r="R142" s="46">
        <v>0</v>
      </c>
      <c r="S142" s="46">
        <v>70</v>
      </c>
      <c r="T142" s="48">
        <v>70</v>
      </c>
    </row>
    <row r="143" spans="1:20" ht="23.4" x14ac:dyDescent="0.25">
      <c r="A143" s="46">
        <v>142</v>
      </c>
      <c r="B143" s="47">
        <v>243987</v>
      </c>
      <c r="C143" s="46" t="s">
        <v>114</v>
      </c>
      <c r="D143" s="46" t="s">
        <v>115</v>
      </c>
      <c r="E143" s="46" t="s">
        <v>116</v>
      </c>
      <c r="F143" s="46" t="s">
        <v>119</v>
      </c>
      <c r="G143" s="46">
        <v>2</v>
      </c>
      <c r="H143" s="46" t="s">
        <v>117</v>
      </c>
      <c r="I143" s="46" t="s">
        <v>1813</v>
      </c>
      <c r="J143" s="46" t="s">
        <v>1814</v>
      </c>
      <c r="K143" s="46" t="s">
        <v>1815</v>
      </c>
      <c r="L143" s="49" t="s">
        <v>1816</v>
      </c>
      <c r="N143" s="46">
        <v>1.776</v>
      </c>
      <c r="O143" s="46">
        <v>430</v>
      </c>
      <c r="P143" s="49">
        <v>6.45</v>
      </c>
      <c r="Q143" s="46">
        <v>0.45150000000000001</v>
      </c>
      <c r="R143" s="46">
        <v>0</v>
      </c>
      <c r="S143" s="46">
        <v>22</v>
      </c>
      <c r="T143" s="48">
        <v>28.9</v>
      </c>
    </row>
    <row r="144" spans="1:20" ht="23.4" x14ac:dyDescent="0.25">
      <c r="A144" s="46">
        <v>143</v>
      </c>
      <c r="B144" s="47">
        <v>243987</v>
      </c>
      <c r="C144" s="46" t="s">
        <v>114</v>
      </c>
      <c r="D144" s="46" t="s">
        <v>115</v>
      </c>
      <c r="E144" s="46" t="s">
        <v>116</v>
      </c>
      <c r="F144" s="46" t="s">
        <v>119</v>
      </c>
      <c r="G144" s="46">
        <v>2</v>
      </c>
      <c r="H144" s="46" t="s">
        <v>117</v>
      </c>
      <c r="I144" s="46" t="s">
        <v>1817</v>
      </c>
      <c r="J144" s="46" t="s">
        <v>1818</v>
      </c>
      <c r="K144" s="46" t="s">
        <v>1819</v>
      </c>
      <c r="L144" s="49" t="s">
        <v>1820</v>
      </c>
      <c r="N144" s="46">
        <v>1.232</v>
      </c>
      <c r="O144" s="46">
        <v>280</v>
      </c>
      <c r="P144" s="49">
        <v>4.2</v>
      </c>
      <c r="Q144" s="46">
        <v>0.29399999999999998</v>
      </c>
      <c r="R144" s="46">
        <v>0</v>
      </c>
      <c r="S144" s="46">
        <v>22</v>
      </c>
      <c r="T144" s="48">
        <v>26.49</v>
      </c>
    </row>
    <row r="145" spans="1:20" ht="23.4" x14ac:dyDescent="0.25">
      <c r="A145" s="46">
        <v>144</v>
      </c>
      <c r="B145" s="47">
        <v>243987</v>
      </c>
      <c r="C145" s="46" t="s">
        <v>114</v>
      </c>
      <c r="D145" s="46" t="s">
        <v>115</v>
      </c>
      <c r="E145" s="46" t="s">
        <v>116</v>
      </c>
      <c r="F145" s="46" t="s">
        <v>119</v>
      </c>
      <c r="G145" s="46">
        <v>2</v>
      </c>
      <c r="H145" s="46" t="s">
        <v>117</v>
      </c>
      <c r="I145" s="46" t="s">
        <v>1821</v>
      </c>
      <c r="J145" s="46" t="s">
        <v>1822</v>
      </c>
      <c r="K145" s="46" t="s">
        <v>1823</v>
      </c>
      <c r="L145" s="49" t="s">
        <v>1824</v>
      </c>
      <c r="N145" s="46">
        <v>1.266</v>
      </c>
      <c r="O145" s="46">
        <v>248</v>
      </c>
      <c r="P145" s="49">
        <v>3.72</v>
      </c>
      <c r="Q145" s="46">
        <v>0.26040000000000002</v>
      </c>
      <c r="R145" s="46">
        <v>0</v>
      </c>
      <c r="S145" s="46">
        <v>22</v>
      </c>
      <c r="T145" s="48">
        <v>25.98</v>
      </c>
    </row>
    <row r="146" spans="1:20" ht="23.4" x14ac:dyDescent="0.25">
      <c r="A146" s="46">
        <v>145</v>
      </c>
      <c r="B146" s="47">
        <v>243987</v>
      </c>
      <c r="C146" s="46" t="s">
        <v>114</v>
      </c>
      <c r="D146" s="46" t="s">
        <v>115</v>
      </c>
      <c r="E146" s="46" t="s">
        <v>116</v>
      </c>
      <c r="F146" s="46" t="s">
        <v>119</v>
      </c>
      <c r="G146" s="46">
        <v>2</v>
      </c>
      <c r="H146" s="46" t="s">
        <v>117</v>
      </c>
      <c r="I146" s="46" t="s">
        <v>1825</v>
      </c>
      <c r="J146" s="46" t="s">
        <v>1826</v>
      </c>
      <c r="K146" s="46" t="s">
        <v>1827</v>
      </c>
      <c r="L146" s="49" t="s">
        <v>1828</v>
      </c>
      <c r="N146" s="46">
        <v>2.1920000000000002</v>
      </c>
      <c r="O146" s="46">
        <v>0</v>
      </c>
      <c r="P146" s="49">
        <v>0</v>
      </c>
      <c r="Q146" s="46">
        <v>0</v>
      </c>
      <c r="R146" s="46">
        <v>0</v>
      </c>
      <c r="S146" s="46">
        <v>33</v>
      </c>
      <c r="T146" s="48">
        <v>33</v>
      </c>
    </row>
    <row r="147" spans="1:20" ht="23.4" x14ac:dyDescent="0.25">
      <c r="A147" s="46">
        <v>146</v>
      </c>
      <c r="B147" s="47">
        <v>243987</v>
      </c>
      <c r="C147" s="46" t="s">
        <v>114</v>
      </c>
      <c r="D147" s="46" t="s">
        <v>115</v>
      </c>
      <c r="E147" s="46" t="s">
        <v>116</v>
      </c>
      <c r="F147" s="46" t="s">
        <v>119</v>
      </c>
      <c r="G147" s="46">
        <v>2</v>
      </c>
      <c r="H147" s="46" t="s">
        <v>117</v>
      </c>
      <c r="I147" s="46" t="s">
        <v>1829</v>
      </c>
      <c r="J147" s="46" t="s">
        <v>1830</v>
      </c>
      <c r="K147" s="46" t="s">
        <v>1831</v>
      </c>
      <c r="L147" s="49" t="s">
        <v>1832</v>
      </c>
      <c r="N147" s="46">
        <v>10.666</v>
      </c>
      <c r="O147" s="46">
        <v>0</v>
      </c>
      <c r="P147" s="49">
        <v>0</v>
      </c>
      <c r="Q147" s="46">
        <v>0</v>
      </c>
      <c r="R147" s="46">
        <v>0</v>
      </c>
      <c r="S147" s="46">
        <v>120</v>
      </c>
      <c r="T147" s="48">
        <v>120</v>
      </c>
    </row>
    <row r="148" spans="1:20" ht="23.4" x14ac:dyDescent="0.25">
      <c r="A148" s="46">
        <v>147</v>
      </c>
      <c r="B148" s="47">
        <v>243987</v>
      </c>
      <c r="C148" s="46" t="s">
        <v>114</v>
      </c>
      <c r="D148" s="46" t="s">
        <v>115</v>
      </c>
      <c r="E148" s="46" t="s">
        <v>116</v>
      </c>
      <c r="F148" s="46" t="s">
        <v>119</v>
      </c>
      <c r="G148" s="46">
        <v>2</v>
      </c>
      <c r="H148" s="46" t="s">
        <v>117</v>
      </c>
      <c r="I148" s="46" t="s">
        <v>1833</v>
      </c>
      <c r="J148" s="46" t="s">
        <v>1834</v>
      </c>
      <c r="K148" s="46" t="s">
        <v>1835</v>
      </c>
      <c r="L148" s="49" t="s">
        <v>1836</v>
      </c>
      <c r="N148" s="46">
        <v>1.792</v>
      </c>
      <c r="O148" s="46">
        <v>0</v>
      </c>
      <c r="P148" s="49">
        <v>0</v>
      </c>
      <c r="Q148" s="46">
        <v>0</v>
      </c>
      <c r="R148" s="46">
        <v>0</v>
      </c>
      <c r="S148" s="46">
        <v>22</v>
      </c>
      <c r="T148" s="48">
        <v>22</v>
      </c>
    </row>
    <row r="149" spans="1:20" ht="23.4" x14ac:dyDescent="0.25">
      <c r="A149" s="46">
        <v>148</v>
      </c>
      <c r="B149" s="47">
        <v>243987</v>
      </c>
      <c r="C149" s="46" t="s">
        <v>114</v>
      </c>
      <c r="D149" s="46" t="s">
        <v>115</v>
      </c>
      <c r="E149" s="46" t="s">
        <v>116</v>
      </c>
      <c r="F149" s="46" t="s">
        <v>119</v>
      </c>
      <c r="G149" s="46">
        <v>2</v>
      </c>
      <c r="H149" s="46" t="s">
        <v>117</v>
      </c>
      <c r="I149" s="46" t="s">
        <v>1837</v>
      </c>
      <c r="J149" s="46" t="s">
        <v>1838</v>
      </c>
      <c r="K149" s="46" t="s">
        <v>1839</v>
      </c>
      <c r="L149" s="49" t="s">
        <v>1840</v>
      </c>
      <c r="N149" s="46">
        <v>1.202</v>
      </c>
      <c r="O149" s="46">
        <v>280</v>
      </c>
      <c r="P149" s="49">
        <v>4.2</v>
      </c>
      <c r="Q149" s="46">
        <v>0.29399999999999998</v>
      </c>
      <c r="R149" s="46">
        <v>0</v>
      </c>
      <c r="S149" s="46">
        <v>22</v>
      </c>
      <c r="T149" s="48">
        <v>26.49</v>
      </c>
    </row>
    <row r="150" spans="1:20" ht="23.4" x14ac:dyDescent="0.25">
      <c r="A150" s="46">
        <v>149</v>
      </c>
      <c r="B150" s="47">
        <v>243987</v>
      </c>
      <c r="C150" s="46" t="s">
        <v>114</v>
      </c>
      <c r="D150" s="46" t="s">
        <v>115</v>
      </c>
      <c r="E150" s="46" t="s">
        <v>116</v>
      </c>
      <c r="F150" s="46" t="s">
        <v>119</v>
      </c>
      <c r="G150" s="46">
        <v>2</v>
      </c>
      <c r="H150" s="46" t="s">
        <v>117</v>
      </c>
      <c r="I150" s="46" t="s">
        <v>1841</v>
      </c>
      <c r="J150" s="46" t="s">
        <v>1842</v>
      </c>
      <c r="K150" s="46" t="s">
        <v>1843</v>
      </c>
      <c r="L150" s="49" t="s">
        <v>1844</v>
      </c>
      <c r="N150" s="46">
        <v>16.995000000000001</v>
      </c>
      <c r="O150" s="46">
        <v>0</v>
      </c>
      <c r="P150" s="49">
        <v>0</v>
      </c>
      <c r="Q150" s="46">
        <v>0</v>
      </c>
      <c r="R150" s="46">
        <v>0</v>
      </c>
      <c r="S150" s="46">
        <v>180</v>
      </c>
      <c r="T150" s="48">
        <v>180</v>
      </c>
    </row>
    <row r="151" spans="1:20" ht="23.4" x14ac:dyDescent="0.25">
      <c r="A151" s="46">
        <v>150</v>
      </c>
      <c r="B151" s="47">
        <v>243987</v>
      </c>
      <c r="C151" s="46" t="s">
        <v>114</v>
      </c>
      <c r="D151" s="46" t="s">
        <v>115</v>
      </c>
      <c r="E151" s="46" t="s">
        <v>116</v>
      </c>
      <c r="F151" s="46" t="s">
        <v>119</v>
      </c>
      <c r="G151" s="46">
        <v>2</v>
      </c>
      <c r="H151" s="46" t="s">
        <v>117</v>
      </c>
      <c r="I151" s="46" t="s">
        <v>1845</v>
      </c>
      <c r="J151" s="46" t="s">
        <v>1846</v>
      </c>
      <c r="K151" s="46" t="s">
        <v>1847</v>
      </c>
      <c r="L151" s="49" t="s">
        <v>1848</v>
      </c>
      <c r="N151" s="46">
        <v>3.7</v>
      </c>
      <c r="O151" s="46">
        <v>0</v>
      </c>
      <c r="P151" s="49">
        <v>0</v>
      </c>
      <c r="Q151" s="46">
        <v>0</v>
      </c>
      <c r="R151" s="46">
        <v>0</v>
      </c>
      <c r="S151" s="46">
        <v>43</v>
      </c>
      <c r="T151" s="48">
        <v>43</v>
      </c>
    </row>
    <row r="152" spans="1:20" ht="23.4" x14ac:dyDescent="0.25">
      <c r="A152" s="46">
        <v>151</v>
      </c>
      <c r="B152" s="47">
        <v>243987</v>
      </c>
      <c r="C152" s="46" t="s">
        <v>114</v>
      </c>
      <c r="D152" s="46" t="s">
        <v>115</v>
      </c>
      <c r="E152" s="46" t="s">
        <v>116</v>
      </c>
      <c r="F152" s="46" t="s">
        <v>119</v>
      </c>
      <c r="G152" s="46">
        <v>2</v>
      </c>
      <c r="H152" s="46" t="s">
        <v>117</v>
      </c>
      <c r="I152" s="46" t="s">
        <v>1849</v>
      </c>
      <c r="J152" s="46" t="s">
        <v>1758</v>
      </c>
      <c r="K152" s="46" t="s">
        <v>1759</v>
      </c>
      <c r="L152" s="49" t="s">
        <v>1850</v>
      </c>
      <c r="N152" s="46">
        <v>1.246</v>
      </c>
      <c r="O152" s="46">
        <v>0</v>
      </c>
      <c r="P152" s="49">
        <v>0</v>
      </c>
      <c r="Q152" s="46">
        <v>0</v>
      </c>
      <c r="R152" s="46">
        <v>0</v>
      </c>
      <c r="S152" s="46">
        <v>22</v>
      </c>
      <c r="T152" s="48">
        <v>22</v>
      </c>
    </row>
    <row r="153" spans="1:20" ht="23.4" x14ac:dyDescent="0.25">
      <c r="A153" s="46">
        <v>152</v>
      </c>
      <c r="B153" s="47">
        <v>243987</v>
      </c>
      <c r="C153" s="46" t="s">
        <v>114</v>
      </c>
      <c r="D153" s="46" t="s">
        <v>115</v>
      </c>
      <c r="E153" s="46" t="s">
        <v>116</v>
      </c>
      <c r="F153" s="46" t="s">
        <v>119</v>
      </c>
      <c r="G153" s="46">
        <v>2</v>
      </c>
      <c r="H153" s="46" t="s">
        <v>117</v>
      </c>
      <c r="I153" s="46" t="s">
        <v>1851</v>
      </c>
      <c r="J153" s="46" t="s">
        <v>1852</v>
      </c>
      <c r="K153" s="46" t="s">
        <v>1853</v>
      </c>
      <c r="L153" s="49" t="s">
        <v>1854</v>
      </c>
      <c r="N153" s="46">
        <v>1.216</v>
      </c>
      <c r="O153" s="46">
        <v>0</v>
      </c>
      <c r="P153" s="49">
        <v>0</v>
      </c>
      <c r="Q153" s="46">
        <v>0</v>
      </c>
      <c r="R153" s="46">
        <v>0</v>
      </c>
      <c r="S153" s="46">
        <v>22</v>
      </c>
      <c r="T153" s="48">
        <v>22</v>
      </c>
    </row>
    <row r="154" spans="1:20" ht="23.4" x14ac:dyDescent="0.25">
      <c r="A154" s="46">
        <v>153</v>
      </c>
      <c r="B154" s="47">
        <v>243987</v>
      </c>
      <c r="C154" s="46" t="s">
        <v>114</v>
      </c>
      <c r="D154" s="46" t="s">
        <v>115</v>
      </c>
      <c r="E154" s="46" t="s">
        <v>116</v>
      </c>
      <c r="F154" s="46" t="s">
        <v>119</v>
      </c>
      <c r="G154" s="46">
        <v>2</v>
      </c>
      <c r="H154" s="46" t="s">
        <v>117</v>
      </c>
      <c r="I154" s="46" t="s">
        <v>1855</v>
      </c>
      <c r="J154" s="46" t="s">
        <v>1856</v>
      </c>
      <c r="K154" s="46" t="s">
        <v>1857</v>
      </c>
      <c r="L154" s="49" t="s">
        <v>1858</v>
      </c>
      <c r="N154" s="46">
        <v>6.26</v>
      </c>
      <c r="O154" s="46">
        <v>0</v>
      </c>
      <c r="P154" s="49">
        <v>0</v>
      </c>
      <c r="Q154" s="46">
        <v>0</v>
      </c>
      <c r="R154" s="46">
        <v>0</v>
      </c>
      <c r="S154" s="46">
        <v>80</v>
      </c>
      <c r="T154" s="48">
        <v>80</v>
      </c>
    </row>
    <row r="155" spans="1:20" ht="23.4" x14ac:dyDescent="0.25">
      <c r="A155" s="46">
        <v>154</v>
      </c>
      <c r="B155" s="47">
        <v>243988</v>
      </c>
      <c r="C155" s="46" t="s">
        <v>114</v>
      </c>
      <c r="D155" s="46" t="s">
        <v>115</v>
      </c>
      <c r="E155" s="46" t="s">
        <v>116</v>
      </c>
      <c r="F155" s="46" t="s">
        <v>119</v>
      </c>
      <c r="G155" s="46">
        <v>2</v>
      </c>
      <c r="H155" s="46" t="s">
        <v>117</v>
      </c>
      <c r="I155" s="46" t="s">
        <v>1859</v>
      </c>
      <c r="J155" s="46" t="s">
        <v>1860</v>
      </c>
      <c r="K155" s="46" t="s">
        <v>1790</v>
      </c>
      <c r="L155" s="49" t="s">
        <v>1791</v>
      </c>
      <c r="N155" s="46">
        <v>16.96</v>
      </c>
      <c r="O155" s="46">
        <v>1020</v>
      </c>
      <c r="P155" s="49">
        <v>15.3</v>
      </c>
      <c r="Q155" s="46">
        <v>1.071</v>
      </c>
      <c r="R155" s="46">
        <v>0</v>
      </c>
      <c r="S155" s="46">
        <v>180</v>
      </c>
      <c r="T155" s="48">
        <v>196.37</v>
      </c>
    </row>
    <row r="156" spans="1:20" ht="23.4" x14ac:dyDescent="0.25">
      <c r="A156" s="46">
        <v>155</v>
      </c>
      <c r="B156" s="47">
        <v>243988</v>
      </c>
      <c r="C156" s="46" t="s">
        <v>114</v>
      </c>
      <c r="D156" s="46" t="s">
        <v>115</v>
      </c>
      <c r="E156" s="46" t="s">
        <v>116</v>
      </c>
      <c r="F156" s="46" t="s">
        <v>119</v>
      </c>
      <c r="G156" s="46">
        <v>2</v>
      </c>
      <c r="H156" s="46" t="s">
        <v>117</v>
      </c>
      <c r="I156" s="46" t="s">
        <v>1861</v>
      </c>
      <c r="J156" s="46" t="s">
        <v>1862</v>
      </c>
      <c r="K156" s="46" t="s">
        <v>1863</v>
      </c>
      <c r="L156" s="49" t="s">
        <v>1864</v>
      </c>
      <c r="N156" s="46">
        <v>0.73</v>
      </c>
      <c r="O156" s="46">
        <v>230</v>
      </c>
      <c r="P156" s="49">
        <v>3.45</v>
      </c>
      <c r="Q156" s="46">
        <v>0.24149999999999999</v>
      </c>
      <c r="R156" s="46">
        <v>0</v>
      </c>
      <c r="S156" s="46">
        <v>17</v>
      </c>
      <c r="T156" s="48">
        <v>20.69</v>
      </c>
    </row>
    <row r="157" spans="1:20" ht="23.4" x14ac:dyDescent="0.25">
      <c r="A157" s="46">
        <v>156</v>
      </c>
      <c r="B157" s="47">
        <v>243988</v>
      </c>
      <c r="C157" s="46" t="s">
        <v>114</v>
      </c>
      <c r="D157" s="46" t="s">
        <v>115</v>
      </c>
      <c r="E157" s="46" t="s">
        <v>116</v>
      </c>
      <c r="F157" s="46" t="s">
        <v>119</v>
      </c>
      <c r="G157" s="46">
        <v>2</v>
      </c>
      <c r="H157" s="46" t="s">
        <v>117</v>
      </c>
      <c r="I157" s="46" t="s">
        <v>1865</v>
      </c>
      <c r="J157" s="46" t="s">
        <v>1866</v>
      </c>
      <c r="K157" s="46" t="s">
        <v>1867</v>
      </c>
      <c r="L157" s="49" t="s">
        <v>1868</v>
      </c>
      <c r="N157" s="46">
        <v>0.74199999999999999</v>
      </c>
      <c r="O157" s="46">
        <v>0</v>
      </c>
      <c r="P157" s="49">
        <v>0</v>
      </c>
      <c r="Q157" s="46">
        <v>0</v>
      </c>
      <c r="R157" s="46">
        <v>0</v>
      </c>
      <c r="S157" s="46">
        <v>17</v>
      </c>
      <c r="T157" s="48">
        <v>17</v>
      </c>
    </row>
    <row r="158" spans="1:20" ht="23.4" x14ac:dyDescent="0.25">
      <c r="A158" s="46">
        <v>157</v>
      </c>
      <c r="B158" s="47">
        <v>243988</v>
      </c>
      <c r="C158" s="46" t="s">
        <v>114</v>
      </c>
      <c r="D158" s="46" t="s">
        <v>115</v>
      </c>
      <c r="E158" s="46" t="s">
        <v>116</v>
      </c>
      <c r="F158" s="46" t="s">
        <v>119</v>
      </c>
      <c r="G158" s="46">
        <v>2</v>
      </c>
      <c r="H158" s="46" t="s">
        <v>117</v>
      </c>
      <c r="I158" s="46" t="s">
        <v>1869</v>
      </c>
      <c r="J158" s="46" t="s">
        <v>1870</v>
      </c>
      <c r="K158" s="46" t="s">
        <v>1871</v>
      </c>
      <c r="L158" s="49" t="s">
        <v>1872</v>
      </c>
      <c r="N158" s="46">
        <v>1.2E-2</v>
      </c>
      <c r="O158" s="46">
        <v>0</v>
      </c>
      <c r="P158" s="49">
        <v>0</v>
      </c>
      <c r="Q158" s="46">
        <v>0</v>
      </c>
      <c r="R158" s="46">
        <v>0</v>
      </c>
      <c r="S158" s="46">
        <v>17</v>
      </c>
      <c r="T158" s="48">
        <v>17</v>
      </c>
    </row>
    <row r="159" spans="1:20" ht="23.4" x14ac:dyDescent="0.25">
      <c r="A159" s="46">
        <v>158</v>
      </c>
      <c r="B159" s="47">
        <v>243988</v>
      </c>
      <c r="C159" s="46" t="s">
        <v>114</v>
      </c>
      <c r="D159" s="46" t="s">
        <v>115</v>
      </c>
      <c r="E159" s="46" t="s">
        <v>116</v>
      </c>
      <c r="F159" s="46" t="s">
        <v>119</v>
      </c>
      <c r="G159" s="46">
        <v>2</v>
      </c>
      <c r="H159" s="46" t="s">
        <v>117</v>
      </c>
      <c r="I159" s="46" t="s">
        <v>1873</v>
      </c>
      <c r="J159" s="46" t="s">
        <v>1874</v>
      </c>
      <c r="K159" s="46" t="s">
        <v>1875</v>
      </c>
      <c r="L159" s="49" t="s">
        <v>1876</v>
      </c>
      <c r="N159" s="46">
        <v>1.2E-2</v>
      </c>
      <c r="O159" s="46">
        <v>0</v>
      </c>
      <c r="P159" s="49">
        <v>0</v>
      </c>
      <c r="Q159" s="46">
        <v>0</v>
      </c>
      <c r="R159" s="46">
        <v>0</v>
      </c>
      <c r="S159" s="46">
        <v>17</v>
      </c>
      <c r="T159" s="48">
        <v>17</v>
      </c>
    </row>
    <row r="160" spans="1:20" ht="23.4" x14ac:dyDescent="0.25">
      <c r="A160" s="46">
        <v>159</v>
      </c>
      <c r="B160" s="47">
        <v>243988</v>
      </c>
      <c r="C160" s="46" t="s">
        <v>114</v>
      </c>
      <c r="D160" s="46" t="s">
        <v>115</v>
      </c>
      <c r="E160" s="46" t="s">
        <v>116</v>
      </c>
      <c r="F160" s="46" t="s">
        <v>119</v>
      </c>
      <c r="G160" s="46">
        <v>2</v>
      </c>
      <c r="H160" s="46" t="s">
        <v>117</v>
      </c>
      <c r="I160" s="46" t="s">
        <v>1877</v>
      </c>
      <c r="J160" s="46" t="s">
        <v>1878</v>
      </c>
      <c r="K160" s="46" t="s">
        <v>1879</v>
      </c>
      <c r="L160" s="49" t="s">
        <v>1880</v>
      </c>
      <c r="N160" s="46">
        <v>1.2E-2</v>
      </c>
      <c r="O160" s="46">
        <v>0</v>
      </c>
      <c r="P160" s="49">
        <v>0</v>
      </c>
      <c r="Q160" s="46">
        <v>0</v>
      </c>
      <c r="R160" s="46">
        <v>0</v>
      </c>
      <c r="S160" s="46">
        <v>17</v>
      </c>
      <c r="T160" s="48">
        <v>17</v>
      </c>
    </row>
    <row r="161" spans="1:20" ht="23.4" x14ac:dyDescent="0.25">
      <c r="A161" s="46">
        <v>160</v>
      </c>
      <c r="B161" s="47">
        <v>243988</v>
      </c>
      <c r="C161" s="46" t="s">
        <v>114</v>
      </c>
      <c r="D161" s="46" t="s">
        <v>115</v>
      </c>
      <c r="E161" s="46" t="s">
        <v>116</v>
      </c>
      <c r="F161" s="46" t="s">
        <v>119</v>
      </c>
      <c r="G161" s="46">
        <v>2</v>
      </c>
      <c r="H161" s="46" t="s">
        <v>117</v>
      </c>
      <c r="I161" s="46" t="s">
        <v>967</v>
      </c>
      <c r="J161" s="46" t="s">
        <v>1881</v>
      </c>
      <c r="K161" s="46" t="s">
        <v>1882</v>
      </c>
      <c r="L161" s="49" t="s">
        <v>1883</v>
      </c>
      <c r="N161" s="46">
        <v>1.694</v>
      </c>
      <c r="O161" s="46">
        <v>0</v>
      </c>
      <c r="P161" s="49">
        <v>0</v>
      </c>
      <c r="Q161" s="46">
        <v>0</v>
      </c>
      <c r="R161" s="46">
        <v>0</v>
      </c>
      <c r="S161" s="46">
        <v>22</v>
      </c>
      <c r="T161" s="48">
        <v>22</v>
      </c>
    </row>
    <row r="162" spans="1:20" ht="23.4" x14ac:dyDescent="0.25">
      <c r="A162" s="46">
        <v>161</v>
      </c>
      <c r="B162" s="47">
        <v>243988</v>
      </c>
      <c r="C162" s="46" t="s">
        <v>114</v>
      </c>
      <c r="D162" s="46" t="s">
        <v>115</v>
      </c>
      <c r="E162" s="46" t="s">
        <v>116</v>
      </c>
      <c r="F162" s="46" t="s">
        <v>119</v>
      </c>
      <c r="G162" s="46">
        <v>2</v>
      </c>
      <c r="H162" s="46" t="s">
        <v>117</v>
      </c>
      <c r="I162" s="46" t="s">
        <v>1884</v>
      </c>
      <c r="J162" s="46" t="s">
        <v>1248</v>
      </c>
      <c r="K162" s="46" t="s">
        <v>1249</v>
      </c>
      <c r="L162" s="49" t="s">
        <v>1885</v>
      </c>
      <c r="N162" s="46">
        <v>1.21</v>
      </c>
      <c r="O162" s="46">
        <v>0</v>
      </c>
      <c r="P162" s="49">
        <v>0</v>
      </c>
      <c r="Q162" s="46">
        <v>0</v>
      </c>
      <c r="R162" s="46">
        <v>0</v>
      </c>
      <c r="S162" s="46">
        <v>22</v>
      </c>
      <c r="T162" s="48">
        <v>22</v>
      </c>
    </row>
    <row r="163" spans="1:20" ht="23.4" x14ac:dyDescent="0.25">
      <c r="A163" s="46">
        <v>162</v>
      </c>
      <c r="B163" s="47">
        <v>243988</v>
      </c>
      <c r="C163" s="46" t="s">
        <v>114</v>
      </c>
      <c r="D163" s="46" t="s">
        <v>115</v>
      </c>
      <c r="E163" s="46" t="s">
        <v>116</v>
      </c>
      <c r="F163" s="46" t="s">
        <v>119</v>
      </c>
      <c r="G163" s="46">
        <v>2</v>
      </c>
      <c r="H163" s="46" t="s">
        <v>117</v>
      </c>
      <c r="I163" s="46" t="s">
        <v>1886</v>
      </c>
      <c r="J163" s="46" t="s">
        <v>1887</v>
      </c>
      <c r="K163" s="46" t="s">
        <v>1888</v>
      </c>
      <c r="L163" s="49" t="s">
        <v>1889</v>
      </c>
      <c r="N163" s="46">
        <v>1.1819999999999999</v>
      </c>
      <c r="O163" s="46">
        <v>0</v>
      </c>
      <c r="P163" s="49">
        <v>0</v>
      </c>
      <c r="Q163" s="46">
        <v>0</v>
      </c>
      <c r="R163" s="46">
        <v>0</v>
      </c>
      <c r="S163" s="46">
        <v>22</v>
      </c>
      <c r="T163" s="48">
        <v>22</v>
      </c>
    </row>
    <row r="164" spans="1:20" ht="23.4" x14ac:dyDescent="0.25">
      <c r="A164" s="46">
        <v>163</v>
      </c>
      <c r="B164" s="47">
        <v>243988</v>
      </c>
      <c r="C164" s="46" t="s">
        <v>114</v>
      </c>
      <c r="D164" s="46" t="s">
        <v>115</v>
      </c>
      <c r="E164" s="46" t="s">
        <v>116</v>
      </c>
      <c r="F164" s="46" t="s">
        <v>119</v>
      </c>
      <c r="G164" s="46">
        <v>2</v>
      </c>
      <c r="H164" s="46" t="s">
        <v>117</v>
      </c>
      <c r="I164" s="46" t="s">
        <v>1890</v>
      </c>
      <c r="J164" s="46" t="s">
        <v>1891</v>
      </c>
      <c r="K164" s="46" t="s">
        <v>1892</v>
      </c>
      <c r="L164" s="49" t="s">
        <v>1893</v>
      </c>
      <c r="N164" s="46">
        <v>2.42</v>
      </c>
      <c r="O164" s="46">
        <v>530</v>
      </c>
      <c r="P164" s="49">
        <v>7.95</v>
      </c>
      <c r="Q164" s="46">
        <v>0.55649999999999999</v>
      </c>
      <c r="R164" s="46">
        <v>0</v>
      </c>
      <c r="S164" s="46">
        <v>33</v>
      </c>
      <c r="T164" s="48">
        <v>41.51</v>
      </c>
    </row>
    <row r="165" spans="1:20" ht="23.4" x14ac:dyDescent="0.25">
      <c r="A165" s="46">
        <v>164</v>
      </c>
      <c r="B165" s="47">
        <v>243988</v>
      </c>
      <c r="C165" s="46" t="s">
        <v>114</v>
      </c>
      <c r="D165" s="46" t="s">
        <v>115</v>
      </c>
      <c r="E165" s="46" t="s">
        <v>116</v>
      </c>
      <c r="F165" s="46" t="s">
        <v>119</v>
      </c>
      <c r="G165" s="46">
        <v>2</v>
      </c>
      <c r="H165" s="46" t="s">
        <v>117</v>
      </c>
      <c r="I165" s="46" t="s">
        <v>963</v>
      </c>
      <c r="J165" s="46" t="s">
        <v>1894</v>
      </c>
      <c r="K165" s="46" t="s">
        <v>1895</v>
      </c>
      <c r="L165" s="49" t="s">
        <v>1896</v>
      </c>
      <c r="N165" s="46">
        <v>1.3740000000000001</v>
      </c>
      <c r="O165" s="46">
        <v>0</v>
      </c>
      <c r="P165" s="49">
        <v>0</v>
      </c>
      <c r="Q165" s="46">
        <v>0</v>
      </c>
      <c r="R165" s="46">
        <v>0</v>
      </c>
      <c r="S165" s="46">
        <v>22</v>
      </c>
      <c r="T165" s="48">
        <v>22</v>
      </c>
    </row>
    <row r="166" spans="1:20" ht="23.4" x14ac:dyDescent="0.25">
      <c r="A166" s="46">
        <v>165</v>
      </c>
      <c r="B166" s="47">
        <v>243988</v>
      </c>
      <c r="C166" s="46" t="s">
        <v>114</v>
      </c>
      <c r="D166" s="46" t="s">
        <v>115</v>
      </c>
      <c r="E166" s="46" t="s">
        <v>116</v>
      </c>
      <c r="F166" s="46" t="s">
        <v>119</v>
      </c>
      <c r="G166" s="46">
        <v>2</v>
      </c>
      <c r="H166" s="46" t="s">
        <v>117</v>
      </c>
      <c r="I166" s="46" t="s">
        <v>1897</v>
      </c>
      <c r="J166" s="46" t="s">
        <v>1898</v>
      </c>
      <c r="K166" s="46" t="s">
        <v>1899</v>
      </c>
      <c r="L166" s="49" t="s">
        <v>1900</v>
      </c>
      <c r="N166" s="46">
        <v>3.4620000000000002</v>
      </c>
      <c r="O166" s="46">
        <v>830</v>
      </c>
      <c r="P166" s="49">
        <v>12.45</v>
      </c>
      <c r="Q166" s="46">
        <v>0.87150000000000005</v>
      </c>
      <c r="R166" s="46">
        <v>0</v>
      </c>
      <c r="S166" s="46">
        <v>43</v>
      </c>
      <c r="T166" s="48">
        <v>56.32</v>
      </c>
    </row>
    <row r="167" spans="1:20" ht="23.4" x14ac:dyDescent="0.25">
      <c r="A167" s="46">
        <v>166</v>
      </c>
      <c r="B167" s="47">
        <v>243988</v>
      </c>
      <c r="C167" s="46" t="s">
        <v>114</v>
      </c>
      <c r="D167" s="46" t="s">
        <v>115</v>
      </c>
      <c r="E167" s="46" t="s">
        <v>116</v>
      </c>
      <c r="F167" s="46" t="s">
        <v>119</v>
      </c>
      <c r="G167" s="46">
        <v>2</v>
      </c>
      <c r="H167" s="46" t="s">
        <v>117</v>
      </c>
      <c r="I167" s="46" t="s">
        <v>1901</v>
      </c>
      <c r="J167" s="46" t="s">
        <v>1902</v>
      </c>
      <c r="K167" s="46" t="s">
        <v>1903</v>
      </c>
      <c r="L167" s="49" t="s">
        <v>1904</v>
      </c>
      <c r="N167" s="46">
        <v>1.1779999999999999</v>
      </c>
      <c r="O167" s="46">
        <v>280</v>
      </c>
      <c r="P167" s="49">
        <v>4.2</v>
      </c>
      <c r="Q167" s="46">
        <v>0.29399999999999998</v>
      </c>
      <c r="R167" s="46">
        <v>0</v>
      </c>
      <c r="S167" s="46">
        <v>22</v>
      </c>
      <c r="T167" s="48">
        <v>26.49</v>
      </c>
    </row>
    <row r="168" spans="1:20" ht="23.4" x14ac:dyDescent="0.25">
      <c r="A168" s="46">
        <v>167</v>
      </c>
      <c r="B168" s="47">
        <v>243988</v>
      </c>
      <c r="C168" s="46" t="s">
        <v>114</v>
      </c>
      <c r="D168" s="46" t="s">
        <v>115</v>
      </c>
      <c r="E168" s="46" t="s">
        <v>116</v>
      </c>
      <c r="F168" s="46" t="s">
        <v>119</v>
      </c>
      <c r="G168" s="46">
        <v>2</v>
      </c>
      <c r="H168" s="46" t="s">
        <v>117</v>
      </c>
      <c r="I168" s="46" t="s">
        <v>1905</v>
      </c>
      <c r="J168" s="46" t="s">
        <v>1906</v>
      </c>
      <c r="K168" s="46" t="s">
        <v>1907</v>
      </c>
      <c r="L168" s="49" t="s">
        <v>1908</v>
      </c>
      <c r="N168" s="46">
        <v>3.5680000000000001</v>
      </c>
      <c r="O168" s="46">
        <v>830</v>
      </c>
      <c r="P168" s="49">
        <v>12.45</v>
      </c>
      <c r="Q168" s="46">
        <v>0.87150000000000005</v>
      </c>
      <c r="R168" s="46">
        <v>0</v>
      </c>
      <c r="S168" s="46">
        <v>43</v>
      </c>
      <c r="T168" s="48">
        <v>56.32</v>
      </c>
    </row>
    <row r="169" spans="1:20" ht="23.4" x14ac:dyDescent="0.25">
      <c r="A169" s="46">
        <v>168</v>
      </c>
      <c r="B169" s="47">
        <v>243988</v>
      </c>
      <c r="C169" s="46" t="s">
        <v>114</v>
      </c>
      <c r="D169" s="46" t="s">
        <v>115</v>
      </c>
      <c r="E169" s="46" t="s">
        <v>116</v>
      </c>
      <c r="F169" s="46" t="s">
        <v>119</v>
      </c>
      <c r="G169" s="46">
        <v>2</v>
      </c>
      <c r="H169" s="46" t="s">
        <v>117</v>
      </c>
      <c r="I169" s="46" t="s">
        <v>959</v>
      </c>
      <c r="J169" s="46" t="s">
        <v>1909</v>
      </c>
      <c r="K169" s="46" t="s">
        <v>1910</v>
      </c>
      <c r="L169" s="49" t="s">
        <v>1911</v>
      </c>
      <c r="N169" s="46">
        <v>1.0880000000000001</v>
      </c>
      <c r="O169" s="46">
        <v>0</v>
      </c>
      <c r="P169" s="49">
        <v>0</v>
      </c>
      <c r="Q169" s="46">
        <v>0</v>
      </c>
      <c r="R169" s="46">
        <v>15</v>
      </c>
      <c r="S169" s="46">
        <v>37</v>
      </c>
      <c r="T169" s="48">
        <v>37</v>
      </c>
    </row>
    <row r="170" spans="1:20" ht="23.4" x14ac:dyDescent="0.25">
      <c r="A170" s="46">
        <v>169</v>
      </c>
      <c r="B170" s="47">
        <v>243988</v>
      </c>
      <c r="C170" s="46" t="s">
        <v>114</v>
      </c>
      <c r="D170" s="46" t="s">
        <v>115</v>
      </c>
      <c r="E170" s="46" t="s">
        <v>116</v>
      </c>
      <c r="F170" s="46" t="s">
        <v>119</v>
      </c>
      <c r="G170" s="46">
        <v>2</v>
      </c>
      <c r="H170" s="46" t="s">
        <v>117</v>
      </c>
      <c r="I170" s="46" t="s">
        <v>952</v>
      </c>
      <c r="J170" s="46" t="s">
        <v>950</v>
      </c>
      <c r="K170" s="46" t="s">
        <v>1912</v>
      </c>
      <c r="L170" s="49" t="s">
        <v>1913</v>
      </c>
      <c r="N170" s="46">
        <v>1.32</v>
      </c>
      <c r="O170" s="46">
        <v>0</v>
      </c>
      <c r="P170" s="49">
        <v>0</v>
      </c>
      <c r="Q170" s="46">
        <v>0</v>
      </c>
      <c r="R170" s="46">
        <v>0</v>
      </c>
      <c r="S170" s="46">
        <v>22</v>
      </c>
      <c r="T170" s="48">
        <v>22</v>
      </c>
    </row>
    <row r="171" spans="1:20" ht="23.4" x14ac:dyDescent="0.25">
      <c r="A171" s="46">
        <v>170</v>
      </c>
      <c r="B171" s="47">
        <v>243988</v>
      </c>
      <c r="C171" s="46" t="s">
        <v>114</v>
      </c>
      <c r="D171" s="46" t="s">
        <v>115</v>
      </c>
      <c r="E171" s="46" t="s">
        <v>116</v>
      </c>
      <c r="F171" s="46" t="s">
        <v>119</v>
      </c>
      <c r="G171" s="46">
        <v>2</v>
      </c>
      <c r="H171" s="46" t="s">
        <v>117</v>
      </c>
      <c r="I171" s="46" t="s">
        <v>955</v>
      </c>
      <c r="J171" s="46" t="s">
        <v>1914</v>
      </c>
      <c r="K171" s="46" t="s">
        <v>1915</v>
      </c>
      <c r="L171" s="49" t="s">
        <v>1916</v>
      </c>
      <c r="N171" s="46">
        <v>0.69599999999999995</v>
      </c>
      <c r="O171" s="46">
        <v>0</v>
      </c>
      <c r="P171" s="49">
        <v>0</v>
      </c>
      <c r="Q171" s="46">
        <v>0</v>
      </c>
      <c r="R171" s="46">
        <v>0</v>
      </c>
      <c r="S171" s="46">
        <v>17</v>
      </c>
      <c r="T171" s="48">
        <v>17</v>
      </c>
    </row>
    <row r="172" spans="1:20" ht="23.4" x14ac:dyDescent="0.25">
      <c r="A172" s="46">
        <v>171</v>
      </c>
      <c r="B172" s="47">
        <v>243988</v>
      </c>
      <c r="C172" s="46" t="s">
        <v>114</v>
      </c>
      <c r="D172" s="46" t="s">
        <v>115</v>
      </c>
      <c r="E172" s="46" t="s">
        <v>116</v>
      </c>
      <c r="F172" s="46" t="s">
        <v>119</v>
      </c>
      <c r="G172" s="46">
        <v>2</v>
      </c>
      <c r="H172" s="46" t="s">
        <v>117</v>
      </c>
      <c r="I172" s="46" t="s">
        <v>948</v>
      </c>
      <c r="J172" s="46" t="s">
        <v>1917</v>
      </c>
      <c r="K172" s="46" t="s">
        <v>1918</v>
      </c>
      <c r="L172" s="49" t="s">
        <v>1919</v>
      </c>
      <c r="N172" s="46">
        <v>0.55200000000000005</v>
      </c>
      <c r="O172" s="46">
        <v>0</v>
      </c>
      <c r="P172" s="49">
        <v>0</v>
      </c>
      <c r="Q172" s="46">
        <v>0</v>
      </c>
      <c r="R172" s="46">
        <v>0</v>
      </c>
      <c r="S172" s="46">
        <v>17</v>
      </c>
      <c r="T172" s="48">
        <v>17</v>
      </c>
    </row>
    <row r="173" spans="1:20" ht="23.4" x14ac:dyDescent="0.25">
      <c r="A173" s="46">
        <v>172</v>
      </c>
      <c r="B173" s="47">
        <v>243988</v>
      </c>
      <c r="C173" s="46" t="s">
        <v>114</v>
      </c>
      <c r="D173" s="46" t="s">
        <v>115</v>
      </c>
      <c r="E173" s="46" t="s">
        <v>116</v>
      </c>
      <c r="F173" s="46" t="s">
        <v>119</v>
      </c>
      <c r="G173" s="46">
        <v>2</v>
      </c>
      <c r="H173" s="46" t="s">
        <v>117</v>
      </c>
      <c r="I173" s="46" t="s">
        <v>1920</v>
      </c>
      <c r="J173" s="46" t="s">
        <v>1256</v>
      </c>
      <c r="K173" s="46" t="s">
        <v>1257</v>
      </c>
      <c r="L173" s="49" t="s">
        <v>1921</v>
      </c>
      <c r="N173" s="46">
        <v>1.1719999999999999</v>
      </c>
      <c r="O173" s="46">
        <v>280</v>
      </c>
      <c r="P173" s="49">
        <v>4.2</v>
      </c>
      <c r="Q173" s="46">
        <v>0.29399999999999998</v>
      </c>
      <c r="R173" s="46">
        <v>0</v>
      </c>
      <c r="S173" s="46">
        <v>22</v>
      </c>
      <c r="T173" s="48">
        <v>26.49</v>
      </c>
    </row>
    <row r="174" spans="1:20" ht="23.4" x14ac:dyDescent="0.25">
      <c r="A174" s="46">
        <v>173</v>
      </c>
      <c r="B174" s="47">
        <v>243988</v>
      </c>
      <c r="C174" s="46" t="s">
        <v>114</v>
      </c>
      <c r="D174" s="46" t="s">
        <v>115</v>
      </c>
      <c r="E174" s="46" t="s">
        <v>116</v>
      </c>
      <c r="F174" s="46" t="s">
        <v>119</v>
      </c>
      <c r="G174" s="46">
        <v>2</v>
      </c>
      <c r="H174" s="46" t="s">
        <v>117</v>
      </c>
      <c r="I174" s="46" t="s">
        <v>1922</v>
      </c>
      <c r="J174" s="46" t="s">
        <v>1923</v>
      </c>
      <c r="K174" s="46" t="s">
        <v>1924</v>
      </c>
      <c r="L174" s="49" t="s">
        <v>1925</v>
      </c>
      <c r="N174" s="46">
        <v>1.1639999999999999</v>
      </c>
      <c r="O174" s="46">
        <v>280</v>
      </c>
      <c r="P174" s="49">
        <v>4.2</v>
      </c>
      <c r="Q174" s="46">
        <v>0.29399999999999998</v>
      </c>
      <c r="R174" s="46">
        <v>0</v>
      </c>
      <c r="S174" s="46">
        <v>22</v>
      </c>
      <c r="T174" s="48">
        <v>26.49</v>
      </c>
    </row>
    <row r="175" spans="1:20" ht="23.4" x14ac:dyDescent="0.25">
      <c r="A175" s="46">
        <v>174</v>
      </c>
      <c r="B175" s="47">
        <v>243988</v>
      </c>
      <c r="C175" s="46" t="s">
        <v>114</v>
      </c>
      <c r="D175" s="46" t="s">
        <v>115</v>
      </c>
      <c r="E175" s="46" t="s">
        <v>116</v>
      </c>
      <c r="F175" s="46" t="s">
        <v>119</v>
      </c>
      <c r="G175" s="46">
        <v>2</v>
      </c>
      <c r="H175" s="46" t="s">
        <v>117</v>
      </c>
      <c r="I175" s="46" t="s">
        <v>1926</v>
      </c>
      <c r="J175" s="46" t="s">
        <v>1927</v>
      </c>
      <c r="K175" s="46" t="s">
        <v>1928</v>
      </c>
      <c r="L175" s="49" t="s">
        <v>1929</v>
      </c>
      <c r="N175" s="46">
        <v>1.196</v>
      </c>
      <c r="O175" s="46">
        <v>280</v>
      </c>
      <c r="P175" s="49">
        <v>4.2</v>
      </c>
      <c r="Q175" s="46">
        <v>0.29399999999999998</v>
      </c>
      <c r="R175" s="46">
        <v>0</v>
      </c>
      <c r="S175" s="46">
        <v>22</v>
      </c>
      <c r="T175" s="48">
        <v>26.49</v>
      </c>
    </row>
    <row r="176" spans="1:20" ht="23.4" x14ac:dyDescent="0.25">
      <c r="A176" s="46">
        <v>175</v>
      </c>
      <c r="B176" s="47">
        <v>243988</v>
      </c>
      <c r="C176" s="46" t="s">
        <v>114</v>
      </c>
      <c r="D176" s="46" t="s">
        <v>115</v>
      </c>
      <c r="E176" s="46" t="s">
        <v>116</v>
      </c>
      <c r="F176" s="46" t="s">
        <v>119</v>
      </c>
      <c r="G176" s="46">
        <v>2</v>
      </c>
      <c r="H176" s="46" t="s">
        <v>117</v>
      </c>
      <c r="I176" s="46" t="s">
        <v>1930</v>
      </c>
      <c r="J176" s="46" t="s">
        <v>1931</v>
      </c>
      <c r="K176" s="46" t="s">
        <v>1932</v>
      </c>
      <c r="L176" s="49" t="s">
        <v>1933</v>
      </c>
      <c r="N176" s="46">
        <v>1.996</v>
      </c>
      <c r="O176" s="46">
        <v>480</v>
      </c>
      <c r="P176" s="49">
        <v>7.2</v>
      </c>
      <c r="Q176" s="46">
        <v>0.504</v>
      </c>
      <c r="R176" s="46">
        <v>0</v>
      </c>
      <c r="S176" s="46">
        <v>22</v>
      </c>
      <c r="T176" s="48">
        <v>29.7</v>
      </c>
    </row>
    <row r="177" spans="1:20" ht="23.4" x14ac:dyDescent="0.25">
      <c r="A177" s="46">
        <v>176</v>
      </c>
      <c r="B177" s="47">
        <v>243988</v>
      </c>
      <c r="C177" s="46" t="s">
        <v>114</v>
      </c>
      <c r="D177" s="46" t="s">
        <v>115</v>
      </c>
      <c r="E177" s="46" t="s">
        <v>116</v>
      </c>
      <c r="F177" s="46" t="s">
        <v>119</v>
      </c>
      <c r="G177" s="46">
        <v>2</v>
      </c>
      <c r="H177" s="46" t="s">
        <v>117</v>
      </c>
      <c r="I177" s="46" t="s">
        <v>1934</v>
      </c>
      <c r="J177" s="46" t="s">
        <v>1935</v>
      </c>
      <c r="K177" s="46" t="s">
        <v>1936</v>
      </c>
      <c r="L177" s="49" t="s">
        <v>1937</v>
      </c>
      <c r="N177" s="46">
        <v>16.96</v>
      </c>
      <c r="O177" s="46">
        <v>930</v>
      </c>
      <c r="P177" s="49">
        <v>13.95</v>
      </c>
      <c r="Q177" s="46">
        <v>0.97650000000000003</v>
      </c>
      <c r="R177" s="46">
        <v>0</v>
      </c>
      <c r="S177" s="46">
        <v>180</v>
      </c>
      <c r="T177" s="48">
        <v>194.93</v>
      </c>
    </row>
    <row r="178" spans="1:20" ht="23.4" x14ac:dyDescent="0.25">
      <c r="A178" s="46">
        <v>177</v>
      </c>
      <c r="B178" s="47">
        <v>243988</v>
      </c>
      <c r="C178" s="46" t="s">
        <v>114</v>
      </c>
      <c r="D178" s="46" t="s">
        <v>115</v>
      </c>
      <c r="E178" s="46" t="s">
        <v>116</v>
      </c>
      <c r="F178" s="46" t="s">
        <v>119</v>
      </c>
      <c r="G178" s="46">
        <v>2</v>
      </c>
      <c r="H178" s="46" t="s">
        <v>117</v>
      </c>
      <c r="I178" s="46" t="s">
        <v>1938</v>
      </c>
      <c r="J178" s="46" t="s">
        <v>1939</v>
      </c>
      <c r="K178" s="46" t="s">
        <v>1940</v>
      </c>
      <c r="L178" s="49" t="s">
        <v>1941</v>
      </c>
      <c r="N178" s="46">
        <v>1.216</v>
      </c>
      <c r="O178" s="46">
        <v>280</v>
      </c>
      <c r="P178" s="49">
        <v>4.2</v>
      </c>
      <c r="Q178" s="46">
        <v>0.29399999999999998</v>
      </c>
      <c r="R178" s="46">
        <v>0</v>
      </c>
      <c r="S178" s="46">
        <v>22</v>
      </c>
      <c r="T178" s="48">
        <v>26.49</v>
      </c>
    </row>
    <row r="179" spans="1:20" ht="23.4" x14ac:dyDescent="0.25">
      <c r="A179" s="46">
        <v>178</v>
      </c>
      <c r="B179" s="47">
        <v>243988</v>
      </c>
      <c r="C179" s="46" t="s">
        <v>114</v>
      </c>
      <c r="D179" s="46" t="s">
        <v>115</v>
      </c>
      <c r="E179" s="46" t="s">
        <v>116</v>
      </c>
      <c r="F179" s="46" t="s">
        <v>119</v>
      </c>
      <c r="G179" s="46">
        <v>2</v>
      </c>
      <c r="H179" s="46" t="s">
        <v>117</v>
      </c>
      <c r="I179" s="46" t="s">
        <v>1942</v>
      </c>
      <c r="J179" s="46" t="s">
        <v>1943</v>
      </c>
      <c r="K179" s="46" t="s">
        <v>1944</v>
      </c>
      <c r="L179" s="49" t="s">
        <v>1945</v>
      </c>
      <c r="N179" s="46">
        <v>3.98</v>
      </c>
      <c r="O179" s="46">
        <v>0</v>
      </c>
      <c r="P179" s="49">
        <v>0</v>
      </c>
      <c r="Q179" s="46">
        <v>0</v>
      </c>
      <c r="R179" s="46">
        <v>0</v>
      </c>
      <c r="S179" s="46">
        <v>43</v>
      </c>
      <c r="T179" s="48">
        <v>43</v>
      </c>
    </row>
    <row r="180" spans="1:20" ht="23.4" x14ac:dyDescent="0.25">
      <c r="A180" s="46">
        <v>179</v>
      </c>
      <c r="B180" s="47">
        <v>243988</v>
      </c>
      <c r="C180" s="46" t="s">
        <v>114</v>
      </c>
      <c r="D180" s="46" t="s">
        <v>115</v>
      </c>
      <c r="E180" s="46" t="s">
        <v>116</v>
      </c>
      <c r="F180" s="46" t="s">
        <v>119</v>
      </c>
      <c r="G180" s="46">
        <v>2</v>
      </c>
      <c r="H180" s="46" t="s">
        <v>117</v>
      </c>
      <c r="I180" s="46" t="s">
        <v>1946</v>
      </c>
      <c r="J180" s="46" t="s">
        <v>1947</v>
      </c>
      <c r="K180" s="46" t="s">
        <v>1948</v>
      </c>
      <c r="L180" s="49" t="s">
        <v>1949</v>
      </c>
      <c r="N180" s="46">
        <v>2.484</v>
      </c>
      <c r="O180" s="46">
        <v>530</v>
      </c>
      <c r="P180" s="49">
        <v>7.95</v>
      </c>
      <c r="Q180" s="46">
        <v>0.55649999999999999</v>
      </c>
      <c r="R180" s="46">
        <v>0</v>
      </c>
      <c r="S180" s="46">
        <v>33</v>
      </c>
      <c r="T180" s="48">
        <v>41.51</v>
      </c>
    </row>
    <row r="181" spans="1:20" ht="23.4" x14ac:dyDescent="0.25">
      <c r="A181" s="46">
        <v>180</v>
      </c>
      <c r="B181" s="47">
        <v>243988</v>
      </c>
      <c r="C181" s="46" t="s">
        <v>114</v>
      </c>
      <c r="D181" s="46" t="s">
        <v>115</v>
      </c>
      <c r="E181" s="46" t="s">
        <v>116</v>
      </c>
      <c r="F181" s="46" t="s">
        <v>119</v>
      </c>
      <c r="G181" s="46">
        <v>2</v>
      </c>
      <c r="H181" s="46" t="s">
        <v>117</v>
      </c>
      <c r="I181" s="46" t="s">
        <v>1950</v>
      </c>
      <c r="J181" s="46" t="s">
        <v>1951</v>
      </c>
      <c r="K181" s="46" t="s">
        <v>1952</v>
      </c>
      <c r="L181" s="49" t="s">
        <v>1953</v>
      </c>
      <c r="N181" s="46">
        <v>5.3</v>
      </c>
      <c r="O181" s="46">
        <v>0</v>
      </c>
      <c r="P181" s="49">
        <v>0</v>
      </c>
      <c r="Q181" s="46">
        <v>0</v>
      </c>
      <c r="R181" s="46">
        <v>0</v>
      </c>
      <c r="S181" s="46">
        <v>70</v>
      </c>
      <c r="T181" s="48">
        <v>70</v>
      </c>
    </row>
    <row r="182" spans="1:20" ht="23.4" x14ac:dyDescent="0.25">
      <c r="A182" s="46">
        <v>181</v>
      </c>
      <c r="B182" s="47">
        <v>243988</v>
      </c>
      <c r="C182" s="46" t="s">
        <v>114</v>
      </c>
      <c r="D182" s="46" t="s">
        <v>115</v>
      </c>
      <c r="E182" s="46" t="s">
        <v>116</v>
      </c>
      <c r="F182" s="46" t="s">
        <v>119</v>
      </c>
      <c r="G182" s="46">
        <v>2</v>
      </c>
      <c r="H182" s="46" t="s">
        <v>117</v>
      </c>
      <c r="I182" s="46" t="s">
        <v>1954</v>
      </c>
      <c r="J182" s="46" t="s">
        <v>1955</v>
      </c>
      <c r="K182" s="46" t="s">
        <v>242</v>
      </c>
      <c r="L182" s="49" t="s">
        <v>1956</v>
      </c>
      <c r="N182" s="46">
        <v>1.216</v>
      </c>
      <c r="O182" s="46">
        <v>0</v>
      </c>
      <c r="P182" s="49">
        <v>0</v>
      </c>
      <c r="Q182" s="46">
        <v>0</v>
      </c>
      <c r="R182" s="46">
        <v>0</v>
      </c>
      <c r="S182" s="46">
        <v>22</v>
      </c>
      <c r="T182" s="48">
        <v>22</v>
      </c>
    </row>
    <row r="183" spans="1:20" ht="23.4" x14ac:dyDescent="0.25">
      <c r="A183" s="46">
        <v>182</v>
      </c>
      <c r="B183" s="47">
        <v>243988</v>
      </c>
      <c r="C183" s="46" t="s">
        <v>114</v>
      </c>
      <c r="D183" s="46" t="s">
        <v>115</v>
      </c>
      <c r="E183" s="46" t="s">
        <v>116</v>
      </c>
      <c r="F183" s="46" t="s">
        <v>119</v>
      </c>
      <c r="G183" s="46">
        <v>2</v>
      </c>
      <c r="H183" s="46" t="s">
        <v>117</v>
      </c>
      <c r="I183" s="46" t="s">
        <v>1957</v>
      </c>
      <c r="J183" s="46" t="s">
        <v>1958</v>
      </c>
      <c r="K183" s="46" t="s">
        <v>1959</v>
      </c>
      <c r="L183" s="49" t="s">
        <v>1960</v>
      </c>
      <c r="N183" s="46">
        <v>1.798</v>
      </c>
      <c r="O183" s="46">
        <v>430</v>
      </c>
      <c r="P183" s="49">
        <v>6.45</v>
      </c>
      <c r="Q183" s="46">
        <v>0.45150000000000001</v>
      </c>
      <c r="R183" s="46">
        <v>0</v>
      </c>
      <c r="S183" s="46">
        <v>22</v>
      </c>
      <c r="T183" s="48">
        <v>28.9</v>
      </c>
    </row>
    <row r="184" spans="1:20" ht="23.4" x14ac:dyDescent="0.25">
      <c r="A184" s="46">
        <v>183</v>
      </c>
      <c r="B184" s="47">
        <v>243988</v>
      </c>
      <c r="C184" s="46" t="s">
        <v>114</v>
      </c>
      <c r="D184" s="46" t="s">
        <v>115</v>
      </c>
      <c r="E184" s="46" t="s">
        <v>116</v>
      </c>
      <c r="F184" s="46" t="s">
        <v>119</v>
      </c>
      <c r="G184" s="46">
        <v>2</v>
      </c>
      <c r="H184" s="46" t="s">
        <v>117</v>
      </c>
      <c r="I184" s="46" t="s">
        <v>1961</v>
      </c>
      <c r="J184" s="46" t="s">
        <v>1962</v>
      </c>
      <c r="K184" s="46" t="s">
        <v>1963</v>
      </c>
      <c r="L184" s="49" t="s">
        <v>1964</v>
      </c>
      <c r="N184" s="46">
        <v>1.236</v>
      </c>
      <c r="O184" s="46">
        <v>280</v>
      </c>
      <c r="P184" s="49">
        <v>4.2</v>
      </c>
      <c r="Q184" s="46">
        <v>0.29399999999999998</v>
      </c>
      <c r="R184" s="46">
        <v>0</v>
      </c>
      <c r="S184" s="46">
        <v>22</v>
      </c>
      <c r="T184" s="48">
        <v>26.49</v>
      </c>
    </row>
    <row r="185" spans="1:20" ht="23.4" x14ac:dyDescent="0.25">
      <c r="A185" s="46">
        <v>184</v>
      </c>
      <c r="B185" s="47">
        <v>243988</v>
      </c>
      <c r="C185" s="46" t="s">
        <v>114</v>
      </c>
      <c r="D185" s="46" t="s">
        <v>115</v>
      </c>
      <c r="E185" s="46" t="s">
        <v>116</v>
      </c>
      <c r="F185" s="46" t="s">
        <v>119</v>
      </c>
      <c r="G185" s="46">
        <v>2</v>
      </c>
      <c r="H185" s="46" t="s">
        <v>117</v>
      </c>
      <c r="I185" s="46" t="s">
        <v>1965</v>
      </c>
      <c r="J185" s="46" t="s">
        <v>123</v>
      </c>
      <c r="K185" s="46" t="s">
        <v>124</v>
      </c>
      <c r="L185" s="49" t="s">
        <v>1966</v>
      </c>
      <c r="N185" s="46">
        <v>3.7999999999999999E-2</v>
      </c>
      <c r="O185" s="46">
        <v>0</v>
      </c>
      <c r="P185" s="49">
        <v>0</v>
      </c>
      <c r="Q185" s="46">
        <v>0</v>
      </c>
      <c r="R185" s="46">
        <v>0</v>
      </c>
      <c r="S185" s="46">
        <v>17</v>
      </c>
      <c r="T185" s="48">
        <v>17</v>
      </c>
    </row>
    <row r="186" spans="1:20" ht="23.4" x14ac:dyDescent="0.25">
      <c r="A186" s="46">
        <v>185</v>
      </c>
      <c r="B186" s="47">
        <v>243988</v>
      </c>
      <c r="C186" s="46" t="s">
        <v>114</v>
      </c>
      <c r="D186" s="46" t="s">
        <v>115</v>
      </c>
      <c r="E186" s="46" t="s">
        <v>116</v>
      </c>
      <c r="F186" s="46" t="s">
        <v>119</v>
      </c>
      <c r="G186" s="46">
        <v>2</v>
      </c>
      <c r="H186" s="46" t="s">
        <v>117</v>
      </c>
      <c r="I186" s="46" t="s">
        <v>1967</v>
      </c>
      <c r="J186" s="46" t="s">
        <v>718</v>
      </c>
      <c r="K186" s="46" t="s">
        <v>126</v>
      </c>
      <c r="L186" s="49" t="s">
        <v>1968</v>
      </c>
      <c r="N186" s="46">
        <v>0.126</v>
      </c>
      <c r="O186" s="46">
        <v>0</v>
      </c>
      <c r="P186" s="49">
        <v>0</v>
      </c>
      <c r="Q186" s="46">
        <v>0</v>
      </c>
      <c r="R186" s="46">
        <v>0</v>
      </c>
      <c r="S186" s="46">
        <v>17</v>
      </c>
      <c r="T186" s="48">
        <v>17</v>
      </c>
    </row>
    <row r="187" spans="1:20" ht="23.4" x14ac:dyDescent="0.25">
      <c r="A187" s="46">
        <v>186</v>
      </c>
      <c r="B187" s="47">
        <v>243988</v>
      </c>
      <c r="C187" s="46" t="s">
        <v>114</v>
      </c>
      <c r="D187" s="46" t="s">
        <v>115</v>
      </c>
      <c r="E187" s="46" t="s">
        <v>116</v>
      </c>
      <c r="F187" s="46" t="s">
        <v>119</v>
      </c>
      <c r="G187" s="46">
        <v>2</v>
      </c>
      <c r="H187" s="46" t="s">
        <v>117</v>
      </c>
      <c r="I187" s="46" t="s">
        <v>1969</v>
      </c>
      <c r="J187" s="46" t="s">
        <v>1970</v>
      </c>
      <c r="K187" s="46" t="s">
        <v>1971</v>
      </c>
      <c r="L187" s="49" t="s">
        <v>1972</v>
      </c>
      <c r="N187" s="46">
        <v>0.78200000000000003</v>
      </c>
      <c r="O187" s="46">
        <v>0</v>
      </c>
      <c r="P187" s="49">
        <v>0</v>
      </c>
      <c r="Q187" s="46">
        <v>0</v>
      </c>
      <c r="R187" s="46">
        <v>0</v>
      </c>
      <c r="S187" s="46">
        <v>17</v>
      </c>
      <c r="T187" s="48">
        <v>17</v>
      </c>
    </row>
    <row r="188" spans="1:20" ht="23.4" x14ac:dyDescent="0.25">
      <c r="A188" s="46">
        <v>187</v>
      </c>
      <c r="B188" s="47">
        <v>243988</v>
      </c>
      <c r="C188" s="46" t="s">
        <v>114</v>
      </c>
      <c r="D188" s="46" t="s">
        <v>115</v>
      </c>
      <c r="E188" s="46" t="s">
        <v>116</v>
      </c>
      <c r="F188" s="46" t="s">
        <v>119</v>
      </c>
      <c r="G188" s="46">
        <v>2</v>
      </c>
      <c r="H188" s="46" t="s">
        <v>117</v>
      </c>
      <c r="I188" s="46" t="s">
        <v>1973</v>
      </c>
      <c r="J188" s="46" t="s">
        <v>1970</v>
      </c>
      <c r="K188" s="46" t="s">
        <v>1971</v>
      </c>
      <c r="L188" s="49" t="s">
        <v>1972</v>
      </c>
      <c r="N188" s="46">
        <v>0.75600000000000001</v>
      </c>
      <c r="O188" s="46">
        <v>0</v>
      </c>
      <c r="P188" s="49">
        <v>0</v>
      </c>
      <c r="Q188" s="46">
        <v>0</v>
      </c>
      <c r="R188" s="46">
        <v>0</v>
      </c>
      <c r="S188" s="46">
        <v>17</v>
      </c>
      <c r="T188" s="48">
        <v>17</v>
      </c>
    </row>
    <row r="189" spans="1:20" ht="23.4" x14ac:dyDescent="0.25">
      <c r="A189" s="46">
        <v>188</v>
      </c>
      <c r="B189" s="47">
        <v>243990</v>
      </c>
      <c r="C189" s="46" t="s">
        <v>114</v>
      </c>
      <c r="D189" s="46" t="s">
        <v>115</v>
      </c>
      <c r="E189" s="46" t="s">
        <v>116</v>
      </c>
      <c r="F189" s="46" t="s">
        <v>119</v>
      </c>
      <c r="G189" s="46">
        <v>2</v>
      </c>
      <c r="H189" s="46" t="s">
        <v>117</v>
      </c>
      <c r="I189" s="46" t="s">
        <v>978</v>
      </c>
      <c r="J189" s="46" t="s">
        <v>976</v>
      </c>
      <c r="K189" s="46" t="s">
        <v>1974</v>
      </c>
      <c r="L189" s="49" t="s">
        <v>1975</v>
      </c>
      <c r="N189" s="46">
        <v>1.34</v>
      </c>
      <c r="O189" s="46">
        <v>0</v>
      </c>
      <c r="P189" s="49">
        <v>0</v>
      </c>
      <c r="Q189" s="46">
        <v>0</v>
      </c>
      <c r="R189" s="46">
        <v>0</v>
      </c>
      <c r="S189" s="46">
        <v>22</v>
      </c>
      <c r="T189" s="48">
        <v>22</v>
      </c>
    </row>
    <row r="190" spans="1:20" ht="23.4" x14ac:dyDescent="0.25">
      <c r="A190" s="46">
        <v>189</v>
      </c>
      <c r="B190" s="47">
        <v>243990</v>
      </c>
      <c r="C190" s="46" t="s">
        <v>114</v>
      </c>
      <c r="D190" s="46" t="s">
        <v>115</v>
      </c>
      <c r="E190" s="46" t="s">
        <v>116</v>
      </c>
      <c r="F190" s="46" t="s">
        <v>119</v>
      </c>
      <c r="G190" s="46">
        <v>2</v>
      </c>
      <c r="H190" s="46" t="s">
        <v>117</v>
      </c>
      <c r="I190" s="46" t="s">
        <v>1976</v>
      </c>
      <c r="J190" s="46" t="s">
        <v>1977</v>
      </c>
      <c r="K190" s="46" t="s">
        <v>1978</v>
      </c>
      <c r="L190" s="49" t="s">
        <v>1979</v>
      </c>
      <c r="N190" s="46">
        <v>1.006</v>
      </c>
      <c r="O190" s="46">
        <v>0</v>
      </c>
      <c r="P190" s="49">
        <v>0</v>
      </c>
      <c r="Q190" s="46">
        <v>0</v>
      </c>
      <c r="R190" s="46">
        <v>0</v>
      </c>
      <c r="S190" s="46">
        <v>22</v>
      </c>
      <c r="T190" s="48">
        <v>22</v>
      </c>
    </row>
    <row r="191" spans="1:20" ht="23.4" x14ac:dyDescent="0.25">
      <c r="A191" s="46">
        <v>190</v>
      </c>
      <c r="B191" s="47">
        <v>243990</v>
      </c>
      <c r="C191" s="46" t="s">
        <v>114</v>
      </c>
      <c r="D191" s="46" t="s">
        <v>115</v>
      </c>
      <c r="E191" s="46" t="s">
        <v>116</v>
      </c>
      <c r="F191" s="46" t="s">
        <v>119</v>
      </c>
      <c r="G191" s="46">
        <v>2</v>
      </c>
      <c r="H191" s="46" t="s">
        <v>117</v>
      </c>
      <c r="I191" s="46" t="s">
        <v>1980</v>
      </c>
      <c r="J191" s="46" t="s">
        <v>1981</v>
      </c>
      <c r="K191" s="46" t="s">
        <v>1982</v>
      </c>
      <c r="L191" s="49" t="s">
        <v>1983</v>
      </c>
      <c r="N191" s="46">
        <v>2.464</v>
      </c>
      <c r="O191" s="46">
        <v>0</v>
      </c>
      <c r="P191" s="49">
        <v>0</v>
      </c>
      <c r="Q191" s="46">
        <v>0</v>
      </c>
      <c r="R191" s="46">
        <v>0</v>
      </c>
      <c r="S191" s="46">
        <v>33</v>
      </c>
      <c r="T191" s="48">
        <v>33</v>
      </c>
    </row>
    <row r="192" spans="1:20" ht="23.4" x14ac:dyDescent="0.25">
      <c r="A192" s="46">
        <v>191</v>
      </c>
      <c r="B192" s="47">
        <v>243990</v>
      </c>
      <c r="C192" s="46" t="s">
        <v>114</v>
      </c>
      <c r="D192" s="46" t="s">
        <v>115</v>
      </c>
      <c r="E192" s="46" t="s">
        <v>116</v>
      </c>
      <c r="F192" s="46" t="s">
        <v>119</v>
      </c>
      <c r="G192" s="46">
        <v>2</v>
      </c>
      <c r="H192" s="46" t="s">
        <v>117</v>
      </c>
      <c r="I192" s="46" t="s">
        <v>1984</v>
      </c>
      <c r="J192" s="46" t="s">
        <v>1985</v>
      </c>
      <c r="K192" s="46" t="s">
        <v>1986</v>
      </c>
      <c r="L192" s="49" t="s">
        <v>1987</v>
      </c>
      <c r="N192" s="46">
        <v>1.1679999999999999</v>
      </c>
      <c r="O192" s="46">
        <v>0</v>
      </c>
      <c r="P192" s="49">
        <v>0</v>
      </c>
      <c r="Q192" s="46">
        <v>0</v>
      </c>
      <c r="R192" s="46">
        <v>0</v>
      </c>
      <c r="S192" s="46">
        <v>22</v>
      </c>
      <c r="T192" s="48">
        <v>22</v>
      </c>
    </row>
    <row r="193" spans="1:20" ht="23.4" x14ac:dyDescent="0.25">
      <c r="A193" s="46">
        <v>192</v>
      </c>
      <c r="B193" s="47">
        <v>243990</v>
      </c>
      <c r="C193" s="46" t="s">
        <v>114</v>
      </c>
      <c r="D193" s="46" t="s">
        <v>115</v>
      </c>
      <c r="E193" s="46" t="s">
        <v>116</v>
      </c>
      <c r="F193" s="46" t="s">
        <v>119</v>
      </c>
      <c r="G193" s="46">
        <v>2</v>
      </c>
      <c r="H193" s="46" t="s">
        <v>117</v>
      </c>
      <c r="I193" s="46" t="s">
        <v>1988</v>
      </c>
      <c r="J193" s="46" t="s">
        <v>1989</v>
      </c>
      <c r="K193" s="46" t="s">
        <v>1990</v>
      </c>
      <c r="L193" s="49" t="s">
        <v>1991</v>
      </c>
      <c r="N193" s="46">
        <v>5.15</v>
      </c>
      <c r="O193" s="46">
        <v>1230</v>
      </c>
      <c r="P193" s="49">
        <v>18.45</v>
      </c>
      <c r="Q193" s="46">
        <v>1.2915000000000001</v>
      </c>
      <c r="R193" s="46">
        <v>0</v>
      </c>
      <c r="S193" s="46">
        <v>70</v>
      </c>
      <c r="T193" s="48">
        <v>89.74</v>
      </c>
    </row>
    <row r="194" spans="1:20" ht="23.4" x14ac:dyDescent="0.25">
      <c r="A194" s="46">
        <v>193</v>
      </c>
      <c r="B194" s="47">
        <v>243990</v>
      </c>
      <c r="C194" s="46" t="s">
        <v>114</v>
      </c>
      <c r="D194" s="46" t="s">
        <v>115</v>
      </c>
      <c r="E194" s="46" t="s">
        <v>116</v>
      </c>
      <c r="F194" s="46" t="s">
        <v>119</v>
      </c>
      <c r="G194" s="46">
        <v>2</v>
      </c>
      <c r="H194" s="46" t="s">
        <v>117</v>
      </c>
      <c r="I194" s="46" t="s">
        <v>1992</v>
      </c>
      <c r="J194" s="46" t="s">
        <v>1993</v>
      </c>
      <c r="K194" s="46" t="s">
        <v>1994</v>
      </c>
      <c r="L194" s="49" t="s">
        <v>1995</v>
      </c>
      <c r="N194" s="46">
        <v>1.24</v>
      </c>
      <c r="O194" s="46">
        <v>280</v>
      </c>
      <c r="P194" s="49">
        <v>4.2</v>
      </c>
      <c r="Q194" s="46">
        <v>0.29399999999999998</v>
      </c>
      <c r="R194" s="46">
        <v>0</v>
      </c>
      <c r="S194" s="46">
        <v>22</v>
      </c>
      <c r="T194" s="48">
        <v>26.49</v>
      </c>
    </row>
    <row r="195" spans="1:20" ht="23.4" x14ac:dyDescent="0.25">
      <c r="A195" s="46">
        <v>194</v>
      </c>
      <c r="B195" s="47">
        <v>243990</v>
      </c>
      <c r="C195" s="46" t="s">
        <v>114</v>
      </c>
      <c r="D195" s="46" t="s">
        <v>115</v>
      </c>
      <c r="E195" s="46" t="s">
        <v>116</v>
      </c>
      <c r="F195" s="46" t="s">
        <v>119</v>
      </c>
      <c r="G195" s="46">
        <v>2</v>
      </c>
      <c r="H195" s="46" t="s">
        <v>117</v>
      </c>
      <c r="I195" s="46" t="s">
        <v>971</v>
      </c>
      <c r="J195" s="46" t="s">
        <v>969</v>
      </c>
      <c r="K195" s="46" t="s">
        <v>1996</v>
      </c>
      <c r="L195" s="49" t="s">
        <v>1997</v>
      </c>
      <c r="N195" s="46">
        <v>0.54400000000000004</v>
      </c>
      <c r="O195" s="46">
        <v>0</v>
      </c>
      <c r="P195" s="49">
        <v>0</v>
      </c>
      <c r="Q195" s="46">
        <v>0</v>
      </c>
      <c r="R195" s="46">
        <v>0</v>
      </c>
      <c r="S195" s="46">
        <v>17</v>
      </c>
      <c r="T195" s="48">
        <v>17</v>
      </c>
    </row>
    <row r="196" spans="1:20" ht="23.4" x14ac:dyDescent="0.25">
      <c r="A196" s="46">
        <v>195</v>
      </c>
      <c r="B196" s="47">
        <v>243990</v>
      </c>
      <c r="C196" s="46" t="s">
        <v>114</v>
      </c>
      <c r="D196" s="46" t="s">
        <v>115</v>
      </c>
      <c r="E196" s="46" t="s">
        <v>116</v>
      </c>
      <c r="F196" s="46" t="s">
        <v>119</v>
      </c>
      <c r="G196" s="46">
        <v>2</v>
      </c>
      <c r="H196" s="46" t="s">
        <v>117</v>
      </c>
      <c r="I196" s="46" t="s">
        <v>974</v>
      </c>
      <c r="J196" s="46" t="s">
        <v>973</v>
      </c>
      <c r="K196" s="46" t="s">
        <v>1998</v>
      </c>
      <c r="L196" s="49" t="s">
        <v>1999</v>
      </c>
      <c r="N196" s="46">
        <v>0.52600000000000002</v>
      </c>
      <c r="O196" s="46">
        <v>0</v>
      </c>
      <c r="P196" s="49">
        <v>0</v>
      </c>
      <c r="Q196" s="46">
        <v>0</v>
      </c>
      <c r="R196" s="46">
        <v>0</v>
      </c>
      <c r="S196" s="46">
        <v>17</v>
      </c>
      <c r="T196" s="48">
        <v>17</v>
      </c>
    </row>
    <row r="197" spans="1:20" ht="23.4" x14ac:dyDescent="0.25">
      <c r="A197" s="46">
        <v>196</v>
      </c>
      <c r="B197" s="47">
        <v>243990</v>
      </c>
      <c r="C197" s="46" t="s">
        <v>114</v>
      </c>
      <c r="D197" s="46" t="s">
        <v>115</v>
      </c>
      <c r="E197" s="46" t="s">
        <v>116</v>
      </c>
      <c r="F197" s="46" t="s">
        <v>119</v>
      </c>
      <c r="G197" s="46">
        <v>2</v>
      </c>
      <c r="H197" s="46" t="s">
        <v>117</v>
      </c>
      <c r="I197" s="46" t="s">
        <v>2000</v>
      </c>
      <c r="J197" s="46" t="s">
        <v>2001</v>
      </c>
      <c r="K197" s="46" t="s">
        <v>2002</v>
      </c>
      <c r="L197" s="49" t="s">
        <v>2003</v>
      </c>
      <c r="N197" s="46">
        <v>1.9</v>
      </c>
      <c r="O197" s="46">
        <v>0</v>
      </c>
      <c r="P197" s="49">
        <v>0</v>
      </c>
      <c r="Q197" s="46">
        <v>0</v>
      </c>
      <c r="R197" s="46">
        <v>0</v>
      </c>
      <c r="S197" s="46">
        <v>22</v>
      </c>
      <c r="T197" s="48">
        <v>22</v>
      </c>
    </row>
    <row r="198" spans="1:20" ht="23.4" x14ac:dyDescent="0.25">
      <c r="A198" s="46">
        <v>197</v>
      </c>
      <c r="B198" s="47">
        <v>243990</v>
      </c>
      <c r="C198" s="46" t="s">
        <v>114</v>
      </c>
      <c r="D198" s="46" t="s">
        <v>115</v>
      </c>
      <c r="E198" s="46" t="s">
        <v>116</v>
      </c>
      <c r="F198" s="46" t="s">
        <v>119</v>
      </c>
      <c r="G198" s="46">
        <v>2</v>
      </c>
      <c r="H198" s="46" t="s">
        <v>117</v>
      </c>
      <c r="I198" s="46" t="s">
        <v>2004</v>
      </c>
      <c r="J198" s="46" t="s">
        <v>2005</v>
      </c>
      <c r="K198" s="46" t="s">
        <v>2006</v>
      </c>
      <c r="L198" s="49" t="s">
        <v>2007</v>
      </c>
      <c r="N198" s="46">
        <v>3.02</v>
      </c>
      <c r="O198" s="46">
        <v>735</v>
      </c>
      <c r="P198" s="49">
        <v>11.025</v>
      </c>
      <c r="Q198" s="46">
        <v>0.77170000000000005</v>
      </c>
      <c r="R198" s="46">
        <v>0</v>
      </c>
      <c r="S198" s="46">
        <v>43</v>
      </c>
      <c r="T198" s="48">
        <v>54.8</v>
      </c>
    </row>
    <row r="199" spans="1:20" ht="23.4" x14ac:dyDescent="0.25">
      <c r="A199" s="46">
        <v>198</v>
      </c>
      <c r="B199" s="47">
        <v>243990</v>
      </c>
      <c r="C199" s="46" t="s">
        <v>114</v>
      </c>
      <c r="D199" s="46" t="s">
        <v>115</v>
      </c>
      <c r="E199" s="46" t="s">
        <v>116</v>
      </c>
      <c r="F199" s="46" t="s">
        <v>119</v>
      </c>
      <c r="G199" s="46">
        <v>2</v>
      </c>
      <c r="H199" s="46" t="s">
        <v>117</v>
      </c>
      <c r="I199" s="46" t="s">
        <v>2008</v>
      </c>
      <c r="J199" s="46" t="s">
        <v>2009</v>
      </c>
      <c r="K199" s="46" t="s">
        <v>2010</v>
      </c>
      <c r="L199" s="49" t="s">
        <v>2011</v>
      </c>
      <c r="N199" s="46">
        <v>2.7919999999999998</v>
      </c>
      <c r="O199" s="46">
        <v>750</v>
      </c>
      <c r="P199" s="49">
        <v>11.25</v>
      </c>
      <c r="Q199" s="46">
        <v>0.78749999999999998</v>
      </c>
      <c r="R199" s="46">
        <v>0</v>
      </c>
      <c r="S199" s="46">
        <v>33</v>
      </c>
      <c r="T199" s="48">
        <v>45.04</v>
      </c>
    </row>
    <row r="200" spans="1:20" ht="23.4" x14ac:dyDescent="0.25">
      <c r="A200" s="46">
        <v>199</v>
      </c>
      <c r="B200" s="47">
        <v>243990</v>
      </c>
      <c r="C200" s="46" t="s">
        <v>114</v>
      </c>
      <c r="D200" s="46" t="s">
        <v>115</v>
      </c>
      <c r="E200" s="46" t="s">
        <v>116</v>
      </c>
      <c r="F200" s="46" t="s">
        <v>119</v>
      </c>
      <c r="G200" s="46">
        <v>2</v>
      </c>
      <c r="H200" s="46" t="s">
        <v>117</v>
      </c>
      <c r="I200" s="46" t="s">
        <v>2012</v>
      </c>
      <c r="J200" s="46" t="s">
        <v>2013</v>
      </c>
      <c r="K200" s="46" t="s">
        <v>2014</v>
      </c>
      <c r="L200" s="49" t="s">
        <v>2015</v>
      </c>
      <c r="N200" s="46">
        <v>2.1560000000000001</v>
      </c>
      <c r="O200" s="46">
        <v>480</v>
      </c>
      <c r="P200" s="49">
        <v>7.2</v>
      </c>
      <c r="Q200" s="46">
        <v>0.504</v>
      </c>
      <c r="R200" s="46">
        <v>0</v>
      </c>
      <c r="S200" s="46">
        <v>33</v>
      </c>
      <c r="T200" s="48">
        <v>40.700000000000003</v>
      </c>
    </row>
    <row r="201" spans="1:20" ht="23.4" x14ac:dyDescent="0.25">
      <c r="A201" s="46">
        <v>200</v>
      </c>
      <c r="B201" s="47">
        <v>243990</v>
      </c>
      <c r="C201" s="46" t="s">
        <v>114</v>
      </c>
      <c r="D201" s="46" t="s">
        <v>115</v>
      </c>
      <c r="E201" s="46" t="s">
        <v>116</v>
      </c>
      <c r="F201" s="46" t="s">
        <v>119</v>
      </c>
      <c r="G201" s="46">
        <v>2</v>
      </c>
      <c r="H201" s="46" t="s">
        <v>117</v>
      </c>
      <c r="I201" s="46" t="s">
        <v>2016</v>
      </c>
      <c r="J201" s="46" t="s">
        <v>2017</v>
      </c>
      <c r="K201" s="46" t="s">
        <v>2018</v>
      </c>
      <c r="L201" s="49" t="s">
        <v>2019</v>
      </c>
      <c r="N201" s="46">
        <v>2.0299999999999998</v>
      </c>
      <c r="O201" s="46">
        <v>480</v>
      </c>
      <c r="P201" s="49">
        <v>7.2</v>
      </c>
      <c r="Q201" s="46">
        <v>0.504</v>
      </c>
      <c r="R201" s="46">
        <v>0</v>
      </c>
      <c r="S201" s="46">
        <v>33</v>
      </c>
      <c r="T201" s="48">
        <v>40.700000000000003</v>
      </c>
    </row>
    <row r="202" spans="1:20" ht="23.4" x14ac:dyDescent="0.25">
      <c r="A202" s="46">
        <v>201</v>
      </c>
      <c r="B202" s="47">
        <v>243990</v>
      </c>
      <c r="C202" s="46" t="s">
        <v>114</v>
      </c>
      <c r="D202" s="46" t="s">
        <v>115</v>
      </c>
      <c r="E202" s="46" t="s">
        <v>116</v>
      </c>
      <c r="F202" s="46" t="s">
        <v>119</v>
      </c>
      <c r="G202" s="46">
        <v>2</v>
      </c>
      <c r="H202" s="46" t="s">
        <v>117</v>
      </c>
      <c r="I202" s="46" t="s">
        <v>2020</v>
      </c>
      <c r="J202" s="46" t="s">
        <v>2021</v>
      </c>
      <c r="K202" s="46" t="s">
        <v>2022</v>
      </c>
      <c r="L202" s="49" t="s">
        <v>2023</v>
      </c>
      <c r="N202" s="46">
        <v>1.2</v>
      </c>
      <c r="O202" s="46">
        <v>0</v>
      </c>
      <c r="P202" s="49">
        <v>0</v>
      </c>
      <c r="Q202" s="46">
        <v>0</v>
      </c>
      <c r="R202" s="46">
        <v>0</v>
      </c>
      <c r="S202" s="46">
        <v>22</v>
      </c>
      <c r="T202" s="48">
        <v>22</v>
      </c>
    </row>
    <row r="203" spans="1:20" ht="23.4" x14ac:dyDescent="0.25">
      <c r="A203" s="46">
        <v>202</v>
      </c>
      <c r="B203" s="47">
        <v>243990</v>
      </c>
      <c r="C203" s="46" t="s">
        <v>114</v>
      </c>
      <c r="D203" s="46" t="s">
        <v>115</v>
      </c>
      <c r="E203" s="46" t="s">
        <v>116</v>
      </c>
      <c r="F203" s="46" t="s">
        <v>119</v>
      </c>
      <c r="G203" s="46">
        <v>2</v>
      </c>
      <c r="H203" s="46" t="s">
        <v>117</v>
      </c>
      <c r="I203" s="46" t="s">
        <v>2024</v>
      </c>
      <c r="J203" s="46" t="s">
        <v>2025</v>
      </c>
      <c r="K203" s="46" t="s">
        <v>2026</v>
      </c>
      <c r="L203" s="49" t="s">
        <v>2027</v>
      </c>
      <c r="N203" s="46">
        <v>1.202</v>
      </c>
      <c r="O203" s="46">
        <v>0</v>
      </c>
      <c r="P203" s="49">
        <v>0</v>
      </c>
      <c r="Q203" s="46">
        <v>0</v>
      </c>
      <c r="R203" s="46">
        <v>0</v>
      </c>
      <c r="S203" s="46">
        <v>22</v>
      </c>
      <c r="T203" s="48">
        <v>22</v>
      </c>
    </row>
    <row r="204" spans="1:20" ht="23.4" x14ac:dyDescent="0.25">
      <c r="A204" s="46">
        <v>203</v>
      </c>
      <c r="B204" s="47">
        <v>243990</v>
      </c>
      <c r="C204" s="46" t="s">
        <v>114</v>
      </c>
      <c r="D204" s="46" t="s">
        <v>115</v>
      </c>
      <c r="E204" s="46" t="s">
        <v>116</v>
      </c>
      <c r="F204" s="46" t="s">
        <v>119</v>
      </c>
      <c r="G204" s="46">
        <v>2</v>
      </c>
      <c r="H204" s="46" t="s">
        <v>117</v>
      </c>
      <c r="I204" s="46" t="s">
        <v>2028</v>
      </c>
      <c r="J204" s="46" t="s">
        <v>2029</v>
      </c>
      <c r="K204" s="46" t="s">
        <v>2030</v>
      </c>
      <c r="L204" s="49" t="s">
        <v>2031</v>
      </c>
      <c r="N204" s="46">
        <v>16.995000000000001</v>
      </c>
      <c r="O204" s="46">
        <v>0</v>
      </c>
      <c r="P204" s="49">
        <v>0</v>
      </c>
      <c r="Q204" s="46">
        <v>0</v>
      </c>
      <c r="R204" s="46">
        <v>0</v>
      </c>
      <c r="S204" s="46">
        <v>180</v>
      </c>
      <c r="T204" s="48">
        <v>180</v>
      </c>
    </row>
    <row r="205" spans="1:20" ht="23.4" x14ac:dyDescent="0.25">
      <c r="A205" s="46">
        <v>204</v>
      </c>
      <c r="B205" s="47">
        <v>243990</v>
      </c>
      <c r="C205" s="46" t="s">
        <v>114</v>
      </c>
      <c r="D205" s="46" t="s">
        <v>115</v>
      </c>
      <c r="E205" s="46" t="s">
        <v>116</v>
      </c>
      <c r="F205" s="46" t="s">
        <v>119</v>
      </c>
      <c r="G205" s="46">
        <v>2</v>
      </c>
      <c r="H205" s="46" t="s">
        <v>117</v>
      </c>
      <c r="I205" s="46" t="s">
        <v>2032</v>
      </c>
      <c r="J205" s="46" t="s">
        <v>2033</v>
      </c>
      <c r="K205" s="46" t="s">
        <v>2034</v>
      </c>
      <c r="L205" s="49" t="s">
        <v>2035</v>
      </c>
      <c r="N205" s="46">
        <v>1.3740000000000001</v>
      </c>
      <c r="O205" s="46">
        <v>0</v>
      </c>
      <c r="P205" s="49">
        <v>0</v>
      </c>
      <c r="Q205" s="46">
        <v>0</v>
      </c>
      <c r="R205" s="46">
        <v>0</v>
      </c>
      <c r="S205" s="46">
        <v>22</v>
      </c>
      <c r="T205" s="48">
        <v>22</v>
      </c>
    </row>
    <row r="206" spans="1:20" ht="23.4" x14ac:dyDescent="0.25">
      <c r="A206" s="46">
        <v>205</v>
      </c>
      <c r="B206" s="47">
        <v>243991</v>
      </c>
      <c r="C206" s="46" t="s">
        <v>114</v>
      </c>
      <c r="D206" s="46" t="s">
        <v>115</v>
      </c>
      <c r="E206" s="46" t="s">
        <v>116</v>
      </c>
      <c r="F206" s="46" t="s">
        <v>119</v>
      </c>
      <c r="G206" s="46">
        <v>2</v>
      </c>
      <c r="H206" s="46" t="s">
        <v>117</v>
      </c>
      <c r="I206" s="46" t="s">
        <v>2036</v>
      </c>
      <c r="J206" s="46" t="s">
        <v>2037</v>
      </c>
      <c r="K206" s="46" t="s">
        <v>2038</v>
      </c>
      <c r="L206" s="49" t="s">
        <v>2039</v>
      </c>
      <c r="N206" s="46">
        <v>5.18</v>
      </c>
      <c r="O206" s="46">
        <v>0</v>
      </c>
      <c r="P206" s="49">
        <v>0</v>
      </c>
      <c r="Q206" s="46">
        <v>0</v>
      </c>
      <c r="R206" s="46">
        <v>0</v>
      </c>
      <c r="S206" s="46">
        <v>70</v>
      </c>
      <c r="T206" s="48">
        <v>70</v>
      </c>
    </row>
    <row r="207" spans="1:20" ht="23.4" x14ac:dyDescent="0.25">
      <c r="A207" s="46">
        <v>206</v>
      </c>
      <c r="B207" s="47">
        <v>243991</v>
      </c>
      <c r="C207" s="46" t="s">
        <v>114</v>
      </c>
      <c r="D207" s="46" t="s">
        <v>115</v>
      </c>
      <c r="E207" s="46" t="s">
        <v>116</v>
      </c>
      <c r="F207" s="46" t="s">
        <v>119</v>
      </c>
      <c r="G207" s="46">
        <v>2</v>
      </c>
      <c r="H207" s="46" t="s">
        <v>117</v>
      </c>
      <c r="I207" s="46" t="s">
        <v>2040</v>
      </c>
      <c r="J207" s="46" t="s">
        <v>2037</v>
      </c>
      <c r="K207" s="46" t="s">
        <v>2038</v>
      </c>
      <c r="L207" s="49" t="s">
        <v>2039</v>
      </c>
      <c r="N207" s="46">
        <v>5.87</v>
      </c>
      <c r="O207" s="46">
        <v>0</v>
      </c>
      <c r="P207" s="49">
        <v>0</v>
      </c>
      <c r="Q207" s="46">
        <v>0</v>
      </c>
      <c r="R207" s="46">
        <v>0</v>
      </c>
      <c r="S207" s="46">
        <v>70</v>
      </c>
      <c r="T207" s="48">
        <v>70</v>
      </c>
    </row>
    <row r="208" spans="1:20" ht="23.4" x14ac:dyDescent="0.25">
      <c r="A208" s="46">
        <v>207</v>
      </c>
      <c r="B208" s="47">
        <v>243991</v>
      </c>
      <c r="C208" s="46" t="s">
        <v>114</v>
      </c>
      <c r="D208" s="46" t="s">
        <v>115</v>
      </c>
      <c r="E208" s="46" t="s">
        <v>116</v>
      </c>
      <c r="F208" s="46" t="s">
        <v>119</v>
      </c>
      <c r="G208" s="46">
        <v>2</v>
      </c>
      <c r="H208" s="46" t="s">
        <v>117</v>
      </c>
      <c r="I208" s="46" t="s">
        <v>2041</v>
      </c>
      <c r="J208" s="46" t="s">
        <v>2042</v>
      </c>
      <c r="K208" s="46" t="s">
        <v>2043</v>
      </c>
      <c r="L208" s="49" t="s">
        <v>2044</v>
      </c>
      <c r="N208" s="46">
        <v>16.995000000000001</v>
      </c>
      <c r="O208" s="46">
        <v>0</v>
      </c>
      <c r="P208" s="49">
        <v>0</v>
      </c>
      <c r="Q208" s="46">
        <v>0</v>
      </c>
      <c r="R208" s="46">
        <v>15</v>
      </c>
      <c r="S208" s="46">
        <v>195</v>
      </c>
      <c r="T208" s="48">
        <v>195</v>
      </c>
    </row>
    <row r="209" spans="1:20" ht="23.4" x14ac:dyDescent="0.25">
      <c r="A209" s="46">
        <v>208</v>
      </c>
      <c r="B209" s="47">
        <v>243991</v>
      </c>
      <c r="C209" s="46" t="s">
        <v>114</v>
      </c>
      <c r="D209" s="46" t="s">
        <v>115</v>
      </c>
      <c r="E209" s="46" t="s">
        <v>116</v>
      </c>
      <c r="F209" s="46" t="s">
        <v>119</v>
      </c>
      <c r="G209" s="46">
        <v>2</v>
      </c>
      <c r="H209" s="46" t="s">
        <v>117</v>
      </c>
      <c r="I209" s="46" t="s">
        <v>2045</v>
      </c>
      <c r="J209" s="46" t="s">
        <v>2046</v>
      </c>
      <c r="K209" s="46" t="s">
        <v>2047</v>
      </c>
      <c r="L209" s="49" t="s">
        <v>2048</v>
      </c>
      <c r="N209" s="46">
        <v>1.204</v>
      </c>
      <c r="O209" s="46">
        <v>0</v>
      </c>
      <c r="P209" s="49">
        <v>0</v>
      </c>
      <c r="Q209" s="46">
        <v>0</v>
      </c>
      <c r="R209" s="46">
        <v>15</v>
      </c>
      <c r="S209" s="46">
        <v>37</v>
      </c>
      <c r="T209" s="48">
        <v>37</v>
      </c>
    </row>
    <row r="210" spans="1:20" ht="23.4" x14ac:dyDescent="0.25">
      <c r="A210" s="46">
        <v>209</v>
      </c>
      <c r="B210" s="47">
        <v>243991</v>
      </c>
      <c r="C210" s="46" t="s">
        <v>114</v>
      </c>
      <c r="D210" s="46" t="s">
        <v>115</v>
      </c>
      <c r="E210" s="46" t="s">
        <v>116</v>
      </c>
      <c r="F210" s="46" t="s">
        <v>119</v>
      </c>
      <c r="G210" s="46">
        <v>2</v>
      </c>
      <c r="H210" s="46" t="s">
        <v>117</v>
      </c>
      <c r="I210" s="46" t="s">
        <v>2049</v>
      </c>
      <c r="J210" s="46" t="s">
        <v>2050</v>
      </c>
      <c r="K210" s="46" t="s">
        <v>2051</v>
      </c>
      <c r="L210" s="49" t="s">
        <v>2052</v>
      </c>
      <c r="N210" s="46">
        <v>1.244</v>
      </c>
      <c r="O210" s="46">
        <v>0</v>
      </c>
      <c r="P210" s="49">
        <v>0</v>
      </c>
      <c r="Q210" s="46">
        <v>0</v>
      </c>
      <c r="R210" s="46">
        <v>0</v>
      </c>
      <c r="S210" s="46">
        <v>22</v>
      </c>
      <c r="T210" s="48">
        <v>22</v>
      </c>
    </row>
    <row r="211" spans="1:20" ht="23.4" x14ac:dyDescent="0.25">
      <c r="A211" s="46">
        <v>210</v>
      </c>
      <c r="B211" s="47">
        <v>243991</v>
      </c>
      <c r="C211" s="46" t="s">
        <v>114</v>
      </c>
      <c r="D211" s="46" t="s">
        <v>115</v>
      </c>
      <c r="E211" s="46" t="s">
        <v>116</v>
      </c>
      <c r="F211" s="46" t="s">
        <v>119</v>
      </c>
      <c r="G211" s="46">
        <v>2</v>
      </c>
      <c r="H211" s="46" t="s">
        <v>117</v>
      </c>
      <c r="I211" s="46" t="s">
        <v>2053</v>
      </c>
      <c r="J211" s="46" t="s">
        <v>1758</v>
      </c>
      <c r="K211" s="46" t="s">
        <v>1759</v>
      </c>
      <c r="L211" s="49" t="s">
        <v>1850</v>
      </c>
      <c r="N211" s="46">
        <v>2.468</v>
      </c>
      <c r="O211" s="46">
        <v>0</v>
      </c>
      <c r="P211" s="49">
        <v>0</v>
      </c>
      <c r="Q211" s="46">
        <v>0</v>
      </c>
      <c r="R211" s="46">
        <v>0</v>
      </c>
      <c r="S211" s="46">
        <v>33</v>
      </c>
      <c r="T211" s="48">
        <v>33</v>
      </c>
    </row>
    <row r="212" spans="1:20" ht="23.4" x14ac:dyDescent="0.25">
      <c r="A212" s="46">
        <v>211</v>
      </c>
      <c r="B212" s="47">
        <v>243991</v>
      </c>
      <c r="C212" s="46" t="s">
        <v>114</v>
      </c>
      <c r="D212" s="46" t="s">
        <v>115</v>
      </c>
      <c r="E212" s="46" t="s">
        <v>116</v>
      </c>
      <c r="F212" s="46" t="s">
        <v>119</v>
      </c>
      <c r="G212" s="46">
        <v>2</v>
      </c>
      <c r="H212" s="46" t="s">
        <v>117</v>
      </c>
      <c r="I212" s="46" t="s">
        <v>2054</v>
      </c>
      <c r="J212" s="46" t="s">
        <v>2055</v>
      </c>
      <c r="K212" s="46" t="s">
        <v>2056</v>
      </c>
      <c r="L212" s="49" t="s">
        <v>2057</v>
      </c>
      <c r="N212" s="46">
        <v>4.0839999999999996</v>
      </c>
      <c r="O212" s="46">
        <v>1065</v>
      </c>
      <c r="P212" s="49">
        <v>15.975</v>
      </c>
      <c r="Q212" s="46">
        <v>1.1183000000000001</v>
      </c>
      <c r="R212" s="46">
        <v>0</v>
      </c>
      <c r="S212" s="46">
        <v>53</v>
      </c>
      <c r="T212" s="48">
        <v>70.09</v>
      </c>
    </row>
    <row r="213" spans="1:20" ht="23.4" x14ac:dyDescent="0.25">
      <c r="A213" s="46">
        <v>212</v>
      </c>
      <c r="B213" s="47">
        <v>243991</v>
      </c>
      <c r="C213" s="46" t="s">
        <v>114</v>
      </c>
      <c r="D213" s="46" t="s">
        <v>115</v>
      </c>
      <c r="E213" s="46" t="s">
        <v>116</v>
      </c>
      <c r="F213" s="46" t="s">
        <v>119</v>
      </c>
      <c r="G213" s="46">
        <v>2</v>
      </c>
      <c r="H213" s="46" t="s">
        <v>117</v>
      </c>
      <c r="I213" s="46" t="s">
        <v>2058</v>
      </c>
      <c r="J213" s="46" t="s">
        <v>2059</v>
      </c>
      <c r="K213" s="46" t="s">
        <v>2060</v>
      </c>
      <c r="L213" s="49" t="s">
        <v>2061</v>
      </c>
      <c r="N213" s="46">
        <v>1.752</v>
      </c>
      <c r="O213" s="46">
        <v>0</v>
      </c>
      <c r="P213" s="49">
        <v>0</v>
      </c>
      <c r="Q213" s="46">
        <v>0</v>
      </c>
      <c r="R213" s="46">
        <v>0</v>
      </c>
      <c r="S213" s="46">
        <v>22</v>
      </c>
      <c r="T213" s="48">
        <v>22</v>
      </c>
    </row>
    <row r="214" spans="1:20" ht="23.4" x14ac:dyDescent="0.25">
      <c r="A214" s="46">
        <v>213</v>
      </c>
      <c r="B214" s="47">
        <v>243991</v>
      </c>
      <c r="C214" s="46" t="s">
        <v>114</v>
      </c>
      <c r="D214" s="46" t="s">
        <v>115</v>
      </c>
      <c r="E214" s="46" t="s">
        <v>116</v>
      </c>
      <c r="F214" s="46" t="s">
        <v>119</v>
      </c>
      <c r="G214" s="46">
        <v>2</v>
      </c>
      <c r="H214" s="46" t="s">
        <v>117</v>
      </c>
      <c r="I214" s="46" t="s">
        <v>2062</v>
      </c>
      <c r="J214" s="46" t="s">
        <v>2063</v>
      </c>
      <c r="K214" s="46" t="s">
        <v>2064</v>
      </c>
      <c r="L214" s="49" t="s">
        <v>2065</v>
      </c>
      <c r="N214" s="46">
        <v>1.9359999999999999</v>
      </c>
      <c r="O214" s="46">
        <v>0</v>
      </c>
      <c r="P214" s="49">
        <v>0</v>
      </c>
      <c r="Q214" s="46">
        <v>0</v>
      </c>
      <c r="R214" s="46">
        <v>0</v>
      </c>
      <c r="S214" s="46">
        <v>22</v>
      </c>
      <c r="T214" s="48">
        <v>22</v>
      </c>
    </row>
    <row r="215" spans="1:20" ht="23.4" x14ac:dyDescent="0.25">
      <c r="A215" s="46">
        <v>214</v>
      </c>
      <c r="B215" s="47">
        <v>243991</v>
      </c>
      <c r="C215" s="46" t="s">
        <v>114</v>
      </c>
      <c r="D215" s="46" t="s">
        <v>115</v>
      </c>
      <c r="E215" s="46" t="s">
        <v>116</v>
      </c>
      <c r="F215" s="46" t="s">
        <v>119</v>
      </c>
      <c r="G215" s="46">
        <v>2</v>
      </c>
      <c r="H215" s="46" t="s">
        <v>117</v>
      </c>
      <c r="I215" s="46" t="s">
        <v>2066</v>
      </c>
      <c r="J215" s="46" t="s">
        <v>2067</v>
      </c>
      <c r="K215" s="46" t="s">
        <v>2068</v>
      </c>
      <c r="L215" s="49" t="s">
        <v>2069</v>
      </c>
      <c r="N215" s="46">
        <v>3.5339999999999998</v>
      </c>
      <c r="O215" s="46">
        <v>0</v>
      </c>
      <c r="P215" s="49">
        <v>0</v>
      </c>
      <c r="Q215" s="46">
        <v>0</v>
      </c>
      <c r="R215" s="46">
        <v>0</v>
      </c>
      <c r="S215" s="46">
        <v>43</v>
      </c>
      <c r="T215" s="48">
        <v>43</v>
      </c>
    </row>
    <row r="216" spans="1:20" ht="23.4" x14ac:dyDescent="0.25">
      <c r="A216" s="46">
        <v>215</v>
      </c>
      <c r="B216" s="47">
        <v>243991</v>
      </c>
      <c r="C216" s="46" t="s">
        <v>114</v>
      </c>
      <c r="D216" s="46" t="s">
        <v>115</v>
      </c>
      <c r="E216" s="46" t="s">
        <v>116</v>
      </c>
      <c r="F216" s="46" t="s">
        <v>119</v>
      </c>
      <c r="G216" s="46">
        <v>2</v>
      </c>
      <c r="H216" s="46" t="s">
        <v>117</v>
      </c>
      <c r="I216" s="46" t="s">
        <v>2070</v>
      </c>
      <c r="J216" s="46" t="s">
        <v>2071</v>
      </c>
      <c r="K216" s="46" t="s">
        <v>2072</v>
      </c>
      <c r="L216" s="49" t="s">
        <v>2073</v>
      </c>
      <c r="N216" s="46">
        <v>3.3919999999999999</v>
      </c>
      <c r="O216" s="46">
        <v>0</v>
      </c>
      <c r="P216" s="49">
        <v>0</v>
      </c>
      <c r="Q216" s="46">
        <v>0</v>
      </c>
      <c r="R216" s="46">
        <v>0</v>
      </c>
      <c r="S216" s="46">
        <v>43</v>
      </c>
      <c r="T216" s="48">
        <v>43</v>
      </c>
    </row>
    <row r="217" spans="1:20" ht="23.4" x14ac:dyDescent="0.25">
      <c r="A217" s="46">
        <v>216</v>
      </c>
      <c r="B217" s="47">
        <v>243991</v>
      </c>
      <c r="C217" s="46" t="s">
        <v>114</v>
      </c>
      <c r="D217" s="46" t="s">
        <v>115</v>
      </c>
      <c r="E217" s="46" t="s">
        <v>116</v>
      </c>
      <c r="F217" s="46" t="s">
        <v>119</v>
      </c>
      <c r="G217" s="46">
        <v>2</v>
      </c>
      <c r="H217" s="46" t="s">
        <v>117</v>
      </c>
      <c r="I217" s="46" t="s">
        <v>2074</v>
      </c>
      <c r="J217" s="46" t="s">
        <v>2075</v>
      </c>
      <c r="K217" s="46" t="s">
        <v>2076</v>
      </c>
      <c r="L217" s="49" t="s">
        <v>2077</v>
      </c>
      <c r="N217" s="46">
        <v>6.78</v>
      </c>
      <c r="O217" s="46">
        <v>0</v>
      </c>
      <c r="P217" s="49">
        <v>0</v>
      </c>
      <c r="Q217" s="46">
        <v>0</v>
      </c>
      <c r="R217" s="46">
        <v>0</v>
      </c>
      <c r="S217" s="46">
        <v>80</v>
      </c>
      <c r="T217" s="48">
        <v>80</v>
      </c>
    </row>
    <row r="218" spans="1:20" ht="23.4" x14ac:dyDescent="0.25">
      <c r="A218" s="46">
        <v>217</v>
      </c>
      <c r="B218" s="47">
        <v>243991</v>
      </c>
      <c r="C218" s="46" t="s">
        <v>114</v>
      </c>
      <c r="D218" s="46" t="s">
        <v>115</v>
      </c>
      <c r="E218" s="46" t="s">
        <v>116</v>
      </c>
      <c r="F218" s="46" t="s">
        <v>119</v>
      </c>
      <c r="G218" s="46">
        <v>2</v>
      </c>
      <c r="H218" s="46" t="s">
        <v>117</v>
      </c>
      <c r="I218" s="46" t="s">
        <v>2078</v>
      </c>
      <c r="J218" s="46" t="s">
        <v>169</v>
      </c>
      <c r="K218" s="46" t="s">
        <v>131</v>
      </c>
      <c r="L218" s="49" t="s">
        <v>170</v>
      </c>
      <c r="N218" s="46">
        <v>0.57399999999999995</v>
      </c>
      <c r="O218" s="46">
        <v>0</v>
      </c>
      <c r="P218" s="49">
        <v>0</v>
      </c>
      <c r="Q218" s="46">
        <v>0</v>
      </c>
      <c r="R218" s="46">
        <v>0</v>
      </c>
      <c r="S218" s="46">
        <v>17</v>
      </c>
      <c r="T218" s="48">
        <v>17</v>
      </c>
    </row>
    <row r="219" spans="1:20" ht="23.4" x14ac:dyDescent="0.25">
      <c r="A219" s="46">
        <v>218</v>
      </c>
      <c r="B219" s="47">
        <v>243991</v>
      </c>
      <c r="C219" s="46" t="s">
        <v>114</v>
      </c>
      <c r="D219" s="46" t="s">
        <v>115</v>
      </c>
      <c r="E219" s="46" t="s">
        <v>116</v>
      </c>
      <c r="F219" s="46" t="s">
        <v>119</v>
      </c>
      <c r="G219" s="46">
        <v>2</v>
      </c>
      <c r="H219" s="46" t="s">
        <v>117</v>
      </c>
      <c r="I219" s="46" t="s">
        <v>2079</v>
      </c>
      <c r="J219" s="46" t="s">
        <v>2080</v>
      </c>
      <c r="K219" s="46" t="s">
        <v>1292</v>
      </c>
      <c r="L219" s="49" t="s">
        <v>2081</v>
      </c>
      <c r="N219" s="46">
        <v>2.456</v>
      </c>
      <c r="O219" s="46">
        <v>500</v>
      </c>
      <c r="P219" s="49">
        <v>7.5</v>
      </c>
      <c r="Q219" s="46">
        <v>0.52500000000000002</v>
      </c>
      <c r="R219" s="46">
        <v>0</v>
      </c>
      <c r="S219" s="46">
        <v>33</v>
      </c>
      <c r="T219" s="48">
        <v>41.03</v>
      </c>
    </row>
    <row r="220" spans="1:20" ht="23.4" x14ac:dyDescent="0.25">
      <c r="A220" s="46">
        <v>219</v>
      </c>
      <c r="B220" s="47">
        <v>243991</v>
      </c>
      <c r="C220" s="46" t="s">
        <v>114</v>
      </c>
      <c r="D220" s="46" t="s">
        <v>115</v>
      </c>
      <c r="E220" s="46" t="s">
        <v>116</v>
      </c>
      <c r="F220" s="46" t="s">
        <v>119</v>
      </c>
      <c r="G220" s="46">
        <v>2</v>
      </c>
      <c r="H220" s="46" t="s">
        <v>117</v>
      </c>
      <c r="I220" s="46" t="s">
        <v>2082</v>
      </c>
      <c r="J220" s="46" t="s">
        <v>2083</v>
      </c>
      <c r="K220" s="46" t="s">
        <v>1811</v>
      </c>
      <c r="L220" s="49" t="s">
        <v>2084</v>
      </c>
      <c r="N220" s="46">
        <v>3.53</v>
      </c>
      <c r="O220" s="46">
        <v>0</v>
      </c>
      <c r="P220" s="49">
        <v>0</v>
      </c>
      <c r="Q220" s="46">
        <v>0</v>
      </c>
      <c r="R220" s="46">
        <v>0</v>
      </c>
      <c r="S220" s="46">
        <v>43</v>
      </c>
      <c r="T220" s="48">
        <v>43</v>
      </c>
    </row>
    <row r="221" spans="1:20" ht="23.4" x14ac:dyDescent="0.25">
      <c r="A221" s="46">
        <v>220</v>
      </c>
      <c r="B221" s="47">
        <v>243991</v>
      </c>
      <c r="C221" s="46" t="s">
        <v>114</v>
      </c>
      <c r="D221" s="46" t="s">
        <v>115</v>
      </c>
      <c r="E221" s="46" t="s">
        <v>116</v>
      </c>
      <c r="F221" s="46" t="s">
        <v>119</v>
      </c>
      <c r="G221" s="46">
        <v>2</v>
      </c>
      <c r="H221" s="46" t="s">
        <v>117</v>
      </c>
      <c r="I221" s="46" t="s">
        <v>2085</v>
      </c>
      <c r="J221" s="46" t="s">
        <v>226</v>
      </c>
      <c r="K221" s="46" t="s">
        <v>138</v>
      </c>
      <c r="L221" s="49" t="s">
        <v>622</v>
      </c>
      <c r="N221" s="46">
        <v>1.25</v>
      </c>
      <c r="O221" s="46">
        <v>280</v>
      </c>
      <c r="P221" s="49">
        <v>4.2</v>
      </c>
      <c r="Q221" s="46">
        <v>0.29399999999999998</v>
      </c>
      <c r="R221" s="46">
        <v>0</v>
      </c>
      <c r="S221" s="46">
        <v>22</v>
      </c>
      <c r="T221" s="48">
        <v>26.49</v>
      </c>
    </row>
    <row r="222" spans="1:20" ht="23.4" x14ac:dyDescent="0.25">
      <c r="A222" s="46">
        <v>221</v>
      </c>
      <c r="B222" s="47">
        <v>243991</v>
      </c>
      <c r="C222" s="46" t="s">
        <v>114</v>
      </c>
      <c r="D222" s="46" t="s">
        <v>115</v>
      </c>
      <c r="E222" s="46" t="s">
        <v>116</v>
      </c>
      <c r="F222" s="46" t="s">
        <v>119</v>
      </c>
      <c r="G222" s="46">
        <v>2</v>
      </c>
      <c r="H222" s="46" t="s">
        <v>117</v>
      </c>
      <c r="I222" s="46" t="s">
        <v>2086</v>
      </c>
      <c r="J222" s="46" t="s">
        <v>2087</v>
      </c>
      <c r="K222" s="46" t="s">
        <v>2088</v>
      </c>
      <c r="L222" s="49" t="s">
        <v>2089</v>
      </c>
      <c r="N222" s="46">
        <v>2.4340000000000002</v>
      </c>
      <c r="O222" s="46">
        <v>530</v>
      </c>
      <c r="P222" s="49">
        <v>7.95</v>
      </c>
      <c r="Q222" s="46">
        <v>0.55649999999999999</v>
      </c>
      <c r="R222" s="46">
        <v>0</v>
      </c>
      <c r="S222" s="46">
        <v>33</v>
      </c>
      <c r="T222" s="48">
        <v>41.51</v>
      </c>
    </row>
    <row r="223" spans="1:20" ht="23.4" x14ac:dyDescent="0.25">
      <c r="A223" s="46">
        <v>222</v>
      </c>
      <c r="B223" s="47">
        <v>243991</v>
      </c>
      <c r="C223" s="46" t="s">
        <v>114</v>
      </c>
      <c r="D223" s="46" t="s">
        <v>115</v>
      </c>
      <c r="E223" s="46" t="s">
        <v>116</v>
      </c>
      <c r="F223" s="46" t="s">
        <v>119</v>
      </c>
      <c r="G223" s="46">
        <v>2</v>
      </c>
      <c r="H223" s="46" t="s">
        <v>117</v>
      </c>
      <c r="I223" s="46" t="s">
        <v>2090</v>
      </c>
      <c r="J223" s="46" t="s">
        <v>2091</v>
      </c>
      <c r="K223" s="46" t="s">
        <v>2092</v>
      </c>
      <c r="L223" s="49" t="s">
        <v>2093</v>
      </c>
      <c r="N223" s="46">
        <v>1.254</v>
      </c>
      <c r="O223" s="46">
        <v>0</v>
      </c>
      <c r="P223" s="49">
        <v>0</v>
      </c>
      <c r="Q223" s="46">
        <v>0</v>
      </c>
      <c r="R223" s="46">
        <v>0</v>
      </c>
      <c r="S223" s="46">
        <v>22</v>
      </c>
      <c r="T223" s="48">
        <v>22</v>
      </c>
    </row>
    <row r="224" spans="1:20" ht="23.4" x14ac:dyDescent="0.25">
      <c r="A224" s="46">
        <v>223</v>
      </c>
      <c r="B224" s="47">
        <v>243991</v>
      </c>
      <c r="C224" s="46" t="s">
        <v>114</v>
      </c>
      <c r="D224" s="46" t="s">
        <v>115</v>
      </c>
      <c r="E224" s="46" t="s">
        <v>116</v>
      </c>
      <c r="F224" s="46" t="s">
        <v>119</v>
      </c>
      <c r="G224" s="46">
        <v>2</v>
      </c>
      <c r="H224" s="46" t="s">
        <v>117</v>
      </c>
      <c r="I224" s="46" t="s">
        <v>2094</v>
      </c>
      <c r="J224" s="46" t="s">
        <v>2095</v>
      </c>
      <c r="K224" s="46" t="s">
        <v>2096</v>
      </c>
      <c r="L224" s="49" t="s">
        <v>2097</v>
      </c>
      <c r="N224" s="46">
        <v>16.995000000000001</v>
      </c>
      <c r="O224" s="46">
        <v>0</v>
      </c>
      <c r="P224" s="49">
        <v>0</v>
      </c>
      <c r="Q224" s="46">
        <v>0</v>
      </c>
      <c r="R224" s="46">
        <v>0</v>
      </c>
      <c r="S224" s="46">
        <v>180</v>
      </c>
      <c r="T224" s="48">
        <v>180</v>
      </c>
    </row>
    <row r="225" spans="1:20" ht="23.4" x14ac:dyDescent="0.25">
      <c r="A225" s="46">
        <v>224</v>
      </c>
      <c r="B225" s="47">
        <v>243991</v>
      </c>
      <c r="C225" s="46" t="s">
        <v>114</v>
      </c>
      <c r="D225" s="46" t="s">
        <v>115</v>
      </c>
      <c r="E225" s="46" t="s">
        <v>116</v>
      </c>
      <c r="F225" s="46" t="s">
        <v>119</v>
      </c>
      <c r="G225" s="46">
        <v>2</v>
      </c>
      <c r="H225" s="46" t="s">
        <v>117</v>
      </c>
      <c r="I225" s="46" t="s">
        <v>986</v>
      </c>
      <c r="J225" s="46" t="s">
        <v>984</v>
      </c>
      <c r="K225" s="46" t="s">
        <v>2098</v>
      </c>
      <c r="L225" s="49" t="s">
        <v>2099</v>
      </c>
      <c r="N225" s="46">
        <v>0.22800000000000001</v>
      </c>
      <c r="O225" s="46">
        <v>0</v>
      </c>
      <c r="P225" s="49">
        <v>0</v>
      </c>
      <c r="Q225" s="46">
        <v>0</v>
      </c>
      <c r="R225" s="46">
        <v>0</v>
      </c>
      <c r="S225" s="46">
        <v>17</v>
      </c>
      <c r="T225" s="48">
        <v>17</v>
      </c>
    </row>
    <row r="226" spans="1:20" ht="23.4" x14ac:dyDescent="0.25">
      <c r="A226" s="46">
        <v>225</v>
      </c>
      <c r="B226" s="47">
        <v>243991</v>
      </c>
      <c r="C226" s="46" t="s">
        <v>114</v>
      </c>
      <c r="D226" s="46" t="s">
        <v>115</v>
      </c>
      <c r="E226" s="46" t="s">
        <v>116</v>
      </c>
      <c r="F226" s="46" t="s">
        <v>119</v>
      </c>
      <c r="G226" s="46">
        <v>2</v>
      </c>
      <c r="H226" s="46" t="s">
        <v>117</v>
      </c>
      <c r="I226" s="46" t="s">
        <v>982</v>
      </c>
      <c r="J226" s="46" t="s">
        <v>980</v>
      </c>
      <c r="K226" s="46" t="s">
        <v>2100</v>
      </c>
      <c r="L226" s="49" t="s">
        <v>2101</v>
      </c>
      <c r="N226" s="46">
        <v>0.57399999999999995</v>
      </c>
      <c r="O226" s="46">
        <v>0</v>
      </c>
      <c r="P226" s="49">
        <v>0</v>
      </c>
      <c r="Q226" s="46">
        <v>0</v>
      </c>
      <c r="R226" s="46">
        <v>0</v>
      </c>
      <c r="S226" s="46">
        <v>17</v>
      </c>
      <c r="T226" s="48">
        <v>17</v>
      </c>
    </row>
    <row r="227" spans="1:20" ht="23.4" x14ac:dyDescent="0.25">
      <c r="A227" s="46">
        <v>226</v>
      </c>
      <c r="B227" s="47">
        <v>243991</v>
      </c>
      <c r="C227" s="46" t="s">
        <v>114</v>
      </c>
      <c r="D227" s="46" t="s">
        <v>115</v>
      </c>
      <c r="E227" s="46" t="s">
        <v>116</v>
      </c>
      <c r="F227" s="46" t="s">
        <v>119</v>
      </c>
      <c r="G227" s="46">
        <v>2</v>
      </c>
      <c r="H227" s="46" t="s">
        <v>117</v>
      </c>
      <c r="I227" s="46" t="s">
        <v>2102</v>
      </c>
      <c r="J227" s="46" t="s">
        <v>2103</v>
      </c>
      <c r="K227" s="46" t="s">
        <v>2104</v>
      </c>
      <c r="L227" s="49" t="s">
        <v>2105</v>
      </c>
      <c r="N227" s="46">
        <v>5.3999999999999999E-2</v>
      </c>
      <c r="O227" s="46">
        <v>0</v>
      </c>
      <c r="P227" s="49">
        <v>0</v>
      </c>
      <c r="Q227" s="46">
        <v>0</v>
      </c>
      <c r="R227" s="46">
        <v>0</v>
      </c>
      <c r="S227" s="46">
        <v>17</v>
      </c>
      <c r="T227" s="48">
        <v>17</v>
      </c>
    </row>
    <row r="228" spans="1:20" ht="23.4" x14ac:dyDescent="0.25">
      <c r="A228" s="46">
        <v>227</v>
      </c>
      <c r="B228" s="47">
        <v>243991</v>
      </c>
      <c r="C228" s="46" t="s">
        <v>114</v>
      </c>
      <c r="D228" s="46" t="s">
        <v>115</v>
      </c>
      <c r="E228" s="46" t="s">
        <v>116</v>
      </c>
      <c r="F228" s="46" t="s">
        <v>119</v>
      </c>
      <c r="G228" s="46">
        <v>2</v>
      </c>
      <c r="H228" s="46" t="s">
        <v>117</v>
      </c>
      <c r="I228" s="46" t="s">
        <v>2106</v>
      </c>
      <c r="J228" s="46" t="s">
        <v>2107</v>
      </c>
      <c r="K228" s="46" t="s">
        <v>2108</v>
      </c>
      <c r="L228" s="49" t="s">
        <v>2109</v>
      </c>
      <c r="N228" s="46">
        <v>3.2000000000000001E-2</v>
      </c>
      <c r="O228" s="46">
        <v>0</v>
      </c>
      <c r="P228" s="49">
        <v>0</v>
      </c>
      <c r="Q228" s="46">
        <v>0</v>
      </c>
      <c r="R228" s="46">
        <v>0</v>
      </c>
      <c r="S228" s="46">
        <v>17</v>
      </c>
      <c r="T228" s="48">
        <v>17</v>
      </c>
    </row>
    <row r="229" spans="1:20" ht="23.4" x14ac:dyDescent="0.25">
      <c r="A229" s="46">
        <v>228</v>
      </c>
      <c r="B229" s="47">
        <v>243991</v>
      </c>
      <c r="C229" s="46" t="s">
        <v>114</v>
      </c>
      <c r="D229" s="46" t="s">
        <v>115</v>
      </c>
      <c r="E229" s="46" t="s">
        <v>116</v>
      </c>
      <c r="F229" s="46" t="s">
        <v>119</v>
      </c>
      <c r="G229" s="46">
        <v>2</v>
      </c>
      <c r="H229" s="46" t="s">
        <v>117</v>
      </c>
      <c r="I229" s="46" t="s">
        <v>2110</v>
      </c>
      <c r="J229" s="46" t="s">
        <v>2111</v>
      </c>
      <c r="K229" s="46" t="s">
        <v>2112</v>
      </c>
      <c r="L229" s="49" t="s">
        <v>2113</v>
      </c>
      <c r="N229" s="46">
        <v>0.106</v>
      </c>
      <c r="O229" s="46">
        <v>0</v>
      </c>
      <c r="P229" s="49">
        <v>0</v>
      </c>
      <c r="Q229" s="46">
        <v>0</v>
      </c>
      <c r="R229" s="46">
        <v>0</v>
      </c>
      <c r="S229" s="46">
        <v>17</v>
      </c>
      <c r="T229" s="48">
        <v>17</v>
      </c>
    </row>
    <row r="230" spans="1:20" ht="23.4" x14ac:dyDescent="0.25">
      <c r="A230" s="46">
        <v>229</v>
      </c>
      <c r="B230" s="47">
        <v>243991</v>
      </c>
      <c r="C230" s="46" t="s">
        <v>114</v>
      </c>
      <c r="D230" s="46" t="s">
        <v>115</v>
      </c>
      <c r="E230" s="46" t="s">
        <v>116</v>
      </c>
      <c r="F230" s="46" t="s">
        <v>119</v>
      </c>
      <c r="G230" s="46">
        <v>2</v>
      </c>
      <c r="H230" s="46" t="s">
        <v>117</v>
      </c>
      <c r="I230" s="46" t="s">
        <v>2114</v>
      </c>
      <c r="J230" s="46" t="s">
        <v>2115</v>
      </c>
      <c r="K230" s="46" t="s">
        <v>2116</v>
      </c>
      <c r="L230" s="49" t="s">
        <v>2117</v>
      </c>
      <c r="N230" s="46">
        <v>0.33200000000000002</v>
      </c>
      <c r="O230" s="46">
        <v>0</v>
      </c>
      <c r="P230" s="49">
        <v>0</v>
      </c>
      <c r="Q230" s="46">
        <v>0</v>
      </c>
      <c r="R230" s="46">
        <v>0</v>
      </c>
      <c r="S230" s="46">
        <v>17</v>
      </c>
      <c r="T230" s="48">
        <v>17</v>
      </c>
    </row>
    <row r="231" spans="1:20" ht="23.4" x14ac:dyDescent="0.25">
      <c r="A231" s="46">
        <v>230</v>
      </c>
      <c r="B231" s="47">
        <v>243991</v>
      </c>
      <c r="C231" s="46" t="s">
        <v>114</v>
      </c>
      <c r="D231" s="46" t="s">
        <v>115</v>
      </c>
      <c r="E231" s="46" t="s">
        <v>116</v>
      </c>
      <c r="F231" s="46" t="s">
        <v>119</v>
      </c>
      <c r="G231" s="46">
        <v>2</v>
      </c>
      <c r="H231" s="46" t="s">
        <v>117</v>
      </c>
      <c r="I231" s="46" t="s">
        <v>2118</v>
      </c>
      <c r="J231" s="46" t="s">
        <v>2119</v>
      </c>
      <c r="K231" s="46" t="s">
        <v>2120</v>
      </c>
      <c r="L231" s="49" t="s">
        <v>2121</v>
      </c>
      <c r="N231" s="46">
        <v>2.754</v>
      </c>
      <c r="O231" s="46">
        <v>0</v>
      </c>
      <c r="P231" s="49">
        <v>0</v>
      </c>
      <c r="Q231" s="46">
        <v>0</v>
      </c>
      <c r="R231" s="46">
        <v>0</v>
      </c>
      <c r="S231" s="46">
        <v>33</v>
      </c>
      <c r="T231" s="48">
        <v>33</v>
      </c>
    </row>
    <row r="232" spans="1:20" ht="23.4" x14ac:dyDescent="0.25">
      <c r="A232" s="46">
        <v>231</v>
      </c>
      <c r="B232" s="47">
        <v>243992</v>
      </c>
      <c r="C232" s="46" t="s">
        <v>114</v>
      </c>
      <c r="D232" s="46" t="s">
        <v>115</v>
      </c>
      <c r="E232" s="46" t="s">
        <v>116</v>
      </c>
      <c r="F232" s="46" t="s">
        <v>119</v>
      </c>
      <c r="G232" s="46">
        <v>2</v>
      </c>
      <c r="H232" s="46" t="s">
        <v>117</v>
      </c>
      <c r="I232" s="46" t="s">
        <v>2122</v>
      </c>
      <c r="J232" s="46" t="s">
        <v>2123</v>
      </c>
      <c r="K232" s="46" t="s">
        <v>2124</v>
      </c>
      <c r="L232" s="49" t="s">
        <v>2125</v>
      </c>
      <c r="N232" s="46">
        <v>6.8000000000000005E-2</v>
      </c>
      <c r="O232" s="46">
        <v>0</v>
      </c>
      <c r="P232" s="49">
        <v>0</v>
      </c>
      <c r="Q232" s="46">
        <v>0</v>
      </c>
      <c r="R232" s="46">
        <v>0</v>
      </c>
      <c r="S232" s="46">
        <v>17</v>
      </c>
      <c r="T232" s="48">
        <v>17</v>
      </c>
    </row>
    <row r="233" spans="1:20" ht="23.4" x14ac:dyDescent="0.25">
      <c r="A233" s="46">
        <v>232</v>
      </c>
      <c r="B233" s="47">
        <v>243992</v>
      </c>
      <c r="C233" s="46" t="s">
        <v>114</v>
      </c>
      <c r="D233" s="46" t="s">
        <v>115</v>
      </c>
      <c r="E233" s="46" t="s">
        <v>116</v>
      </c>
      <c r="F233" s="46" t="s">
        <v>119</v>
      </c>
      <c r="G233" s="46">
        <v>2</v>
      </c>
      <c r="H233" s="46" t="s">
        <v>117</v>
      </c>
      <c r="I233" s="46" t="s">
        <v>2126</v>
      </c>
      <c r="J233" s="46" t="s">
        <v>2127</v>
      </c>
      <c r="K233" s="46" t="s">
        <v>2128</v>
      </c>
      <c r="L233" s="49" t="s">
        <v>2129</v>
      </c>
      <c r="N233" s="46">
        <v>0.16600000000000001</v>
      </c>
      <c r="O233" s="46">
        <v>0</v>
      </c>
      <c r="P233" s="49">
        <v>0</v>
      </c>
      <c r="Q233" s="46">
        <v>0</v>
      </c>
      <c r="R233" s="46">
        <v>0</v>
      </c>
      <c r="S233" s="46">
        <v>17</v>
      </c>
      <c r="T233" s="48">
        <v>17</v>
      </c>
    </row>
    <row r="234" spans="1:20" ht="23.4" x14ac:dyDescent="0.25">
      <c r="A234" s="46">
        <v>233</v>
      </c>
      <c r="B234" s="47">
        <v>243992</v>
      </c>
      <c r="C234" s="46" t="s">
        <v>114</v>
      </c>
      <c r="D234" s="46" t="s">
        <v>115</v>
      </c>
      <c r="E234" s="46" t="s">
        <v>116</v>
      </c>
      <c r="F234" s="46" t="s">
        <v>119</v>
      </c>
      <c r="G234" s="46">
        <v>2</v>
      </c>
      <c r="H234" s="46" t="s">
        <v>117</v>
      </c>
      <c r="I234" s="46" t="s">
        <v>2130</v>
      </c>
      <c r="J234" s="46" t="s">
        <v>2131</v>
      </c>
      <c r="K234" s="46" t="s">
        <v>134</v>
      </c>
      <c r="L234" s="49" t="s">
        <v>2132</v>
      </c>
      <c r="N234" s="46">
        <v>4.2000000000000003E-2</v>
      </c>
      <c r="O234" s="46">
        <v>0</v>
      </c>
      <c r="P234" s="49">
        <v>0</v>
      </c>
      <c r="Q234" s="46">
        <v>0</v>
      </c>
      <c r="R234" s="46">
        <v>0</v>
      </c>
      <c r="S234" s="46">
        <v>17</v>
      </c>
      <c r="T234" s="48">
        <v>17</v>
      </c>
    </row>
    <row r="235" spans="1:20" ht="23.4" x14ac:dyDescent="0.25">
      <c r="A235" s="46">
        <v>234</v>
      </c>
      <c r="B235" s="47">
        <v>243992</v>
      </c>
      <c r="C235" s="46" t="s">
        <v>114</v>
      </c>
      <c r="D235" s="46" t="s">
        <v>115</v>
      </c>
      <c r="E235" s="46" t="s">
        <v>116</v>
      </c>
      <c r="F235" s="46" t="s">
        <v>119</v>
      </c>
      <c r="G235" s="46">
        <v>2</v>
      </c>
      <c r="H235" s="46" t="s">
        <v>117</v>
      </c>
      <c r="I235" s="46" t="s">
        <v>2133</v>
      </c>
      <c r="J235" s="46" t="s">
        <v>123</v>
      </c>
      <c r="K235" s="46" t="s">
        <v>124</v>
      </c>
      <c r="L235" s="49" t="s">
        <v>1966</v>
      </c>
      <c r="N235" s="46">
        <v>0.158</v>
      </c>
      <c r="O235" s="46">
        <v>0</v>
      </c>
      <c r="P235" s="49">
        <v>0</v>
      </c>
      <c r="Q235" s="46">
        <v>0</v>
      </c>
      <c r="R235" s="46">
        <v>0</v>
      </c>
      <c r="S235" s="46">
        <v>17</v>
      </c>
      <c r="T235" s="48">
        <v>17</v>
      </c>
    </row>
    <row r="236" spans="1:20" ht="23.4" x14ac:dyDescent="0.25">
      <c r="A236" s="46">
        <v>235</v>
      </c>
      <c r="B236" s="47">
        <v>243993</v>
      </c>
      <c r="C236" s="46" t="s">
        <v>114</v>
      </c>
      <c r="D236" s="46" t="s">
        <v>115</v>
      </c>
      <c r="E236" s="46" t="s">
        <v>116</v>
      </c>
      <c r="F236" s="46" t="s">
        <v>119</v>
      </c>
      <c r="G236" s="46">
        <v>2</v>
      </c>
      <c r="H236" s="46" t="s">
        <v>117</v>
      </c>
      <c r="I236" s="46" t="s">
        <v>2134</v>
      </c>
      <c r="J236" s="46" t="s">
        <v>2135</v>
      </c>
      <c r="K236" s="46" t="s">
        <v>2136</v>
      </c>
      <c r="L236" s="49" t="s">
        <v>2137</v>
      </c>
      <c r="N236" s="46">
        <v>2.7759999999999998</v>
      </c>
      <c r="O236" s="46">
        <v>0</v>
      </c>
      <c r="P236" s="49">
        <v>0</v>
      </c>
      <c r="Q236" s="46">
        <v>0</v>
      </c>
      <c r="R236" s="46">
        <v>0</v>
      </c>
      <c r="S236" s="46">
        <v>33</v>
      </c>
      <c r="T236" s="48">
        <v>33</v>
      </c>
    </row>
    <row r="237" spans="1:20" ht="23.4" x14ac:dyDescent="0.25">
      <c r="A237" s="46">
        <v>236</v>
      </c>
      <c r="B237" s="47">
        <v>243993</v>
      </c>
      <c r="C237" s="46" t="s">
        <v>114</v>
      </c>
      <c r="D237" s="46" t="s">
        <v>115</v>
      </c>
      <c r="E237" s="46" t="s">
        <v>116</v>
      </c>
      <c r="F237" s="46" t="s">
        <v>119</v>
      </c>
      <c r="G237" s="46">
        <v>2</v>
      </c>
      <c r="H237" s="46" t="s">
        <v>117</v>
      </c>
      <c r="I237" s="46" t="s">
        <v>2138</v>
      </c>
      <c r="J237" s="46" t="s">
        <v>2139</v>
      </c>
      <c r="K237" s="46" t="s">
        <v>2140</v>
      </c>
      <c r="L237" s="49" t="s">
        <v>2141</v>
      </c>
      <c r="N237" s="46">
        <v>1.016</v>
      </c>
      <c r="O237" s="46">
        <v>0</v>
      </c>
      <c r="P237" s="49">
        <v>0</v>
      </c>
      <c r="Q237" s="46">
        <v>0</v>
      </c>
      <c r="R237" s="46">
        <v>0</v>
      </c>
      <c r="S237" s="46">
        <v>22</v>
      </c>
      <c r="T237" s="48">
        <v>22</v>
      </c>
    </row>
    <row r="238" spans="1:20" ht="23.4" x14ac:dyDescent="0.25">
      <c r="A238" s="46">
        <v>237</v>
      </c>
      <c r="B238" s="47">
        <v>243993</v>
      </c>
      <c r="C238" s="46" t="s">
        <v>114</v>
      </c>
      <c r="D238" s="46" t="s">
        <v>115</v>
      </c>
      <c r="E238" s="46" t="s">
        <v>116</v>
      </c>
      <c r="F238" s="46" t="s">
        <v>119</v>
      </c>
      <c r="G238" s="46">
        <v>2</v>
      </c>
      <c r="H238" s="46" t="s">
        <v>117</v>
      </c>
      <c r="I238" s="46" t="s">
        <v>2142</v>
      </c>
      <c r="J238" s="46" t="s">
        <v>2143</v>
      </c>
      <c r="K238" s="46" t="s">
        <v>2144</v>
      </c>
      <c r="L238" s="49" t="s">
        <v>2145</v>
      </c>
      <c r="N238" s="46">
        <v>1.204</v>
      </c>
      <c r="O238" s="46">
        <v>280</v>
      </c>
      <c r="P238" s="49">
        <v>4.2</v>
      </c>
      <c r="Q238" s="46">
        <v>0.29399999999999998</v>
      </c>
      <c r="R238" s="46">
        <v>0</v>
      </c>
      <c r="S238" s="46">
        <v>22</v>
      </c>
      <c r="T238" s="48">
        <v>26.49</v>
      </c>
    </row>
    <row r="239" spans="1:20" ht="23.4" x14ac:dyDescent="0.25">
      <c r="A239" s="46">
        <v>238</v>
      </c>
      <c r="B239" s="47">
        <v>243993</v>
      </c>
      <c r="C239" s="46" t="s">
        <v>114</v>
      </c>
      <c r="D239" s="46" t="s">
        <v>115</v>
      </c>
      <c r="E239" s="46" t="s">
        <v>116</v>
      </c>
      <c r="F239" s="46" t="s">
        <v>119</v>
      </c>
      <c r="G239" s="46">
        <v>2</v>
      </c>
      <c r="H239" s="46" t="s">
        <v>117</v>
      </c>
      <c r="I239" s="46" t="s">
        <v>2146</v>
      </c>
      <c r="J239" s="46" t="s">
        <v>2147</v>
      </c>
      <c r="K239" s="46" t="s">
        <v>2148</v>
      </c>
      <c r="L239" s="49" t="s">
        <v>2149</v>
      </c>
      <c r="N239" s="46">
        <v>1.21</v>
      </c>
      <c r="O239" s="46">
        <v>0</v>
      </c>
      <c r="P239" s="49">
        <v>0</v>
      </c>
      <c r="Q239" s="46">
        <v>0</v>
      </c>
      <c r="R239" s="46">
        <v>0</v>
      </c>
      <c r="S239" s="46">
        <v>22</v>
      </c>
      <c r="T239" s="48">
        <v>22</v>
      </c>
    </row>
    <row r="240" spans="1:20" ht="23.4" x14ac:dyDescent="0.25">
      <c r="A240" s="46">
        <v>239</v>
      </c>
      <c r="B240" s="47">
        <v>243993</v>
      </c>
      <c r="C240" s="46" t="s">
        <v>114</v>
      </c>
      <c r="D240" s="46" t="s">
        <v>115</v>
      </c>
      <c r="E240" s="46" t="s">
        <v>116</v>
      </c>
      <c r="F240" s="46" t="s">
        <v>119</v>
      </c>
      <c r="G240" s="46">
        <v>2</v>
      </c>
      <c r="H240" s="46" t="s">
        <v>117</v>
      </c>
      <c r="I240" s="46" t="s">
        <v>2150</v>
      </c>
      <c r="J240" s="46" t="s">
        <v>1656</v>
      </c>
      <c r="K240" s="46" t="s">
        <v>1657</v>
      </c>
      <c r="L240" s="49" t="s">
        <v>2151</v>
      </c>
      <c r="N240" s="46">
        <v>0.73399999999999999</v>
      </c>
      <c r="O240" s="46">
        <v>230</v>
      </c>
      <c r="P240" s="49">
        <v>3.45</v>
      </c>
      <c r="Q240" s="46">
        <v>0.24149999999999999</v>
      </c>
      <c r="R240" s="46">
        <v>0</v>
      </c>
      <c r="S240" s="46">
        <v>17</v>
      </c>
      <c r="T240" s="48">
        <v>20.69</v>
      </c>
    </row>
    <row r="241" spans="1:20" ht="23.4" x14ac:dyDescent="0.25">
      <c r="A241" s="46">
        <v>240</v>
      </c>
      <c r="B241" s="47">
        <v>243993</v>
      </c>
      <c r="C241" s="46" t="s">
        <v>114</v>
      </c>
      <c r="D241" s="46" t="s">
        <v>115</v>
      </c>
      <c r="E241" s="46" t="s">
        <v>116</v>
      </c>
      <c r="F241" s="46" t="s">
        <v>119</v>
      </c>
      <c r="G241" s="46">
        <v>2</v>
      </c>
      <c r="H241" s="46" t="s">
        <v>117</v>
      </c>
      <c r="I241" s="46" t="s">
        <v>2152</v>
      </c>
      <c r="J241" s="46" t="s">
        <v>2153</v>
      </c>
      <c r="K241" s="46" t="s">
        <v>2154</v>
      </c>
      <c r="L241" s="49" t="s">
        <v>2155</v>
      </c>
      <c r="N241" s="46">
        <v>4.7640000000000002</v>
      </c>
      <c r="O241" s="46">
        <v>0</v>
      </c>
      <c r="P241" s="49">
        <v>0</v>
      </c>
      <c r="Q241" s="46">
        <v>0</v>
      </c>
      <c r="R241" s="46">
        <v>0</v>
      </c>
      <c r="S241" s="46">
        <v>53</v>
      </c>
      <c r="T241" s="48">
        <v>53</v>
      </c>
    </row>
    <row r="242" spans="1:20" ht="23.4" x14ac:dyDescent="0.25">
      <c r="A242" s="46">
        <v>241</v>
      </c>
      <c r="B242" s="47">
        <v>243993</v>
      </c>
      <c r="C242" s="46" t="s">
        <v>114</v>
      </c>
      <c r="D242" s="46" t="s">
        <v>115</v>
      </c>
      <c r="E242" s="46" t="s">
        <v>116</v>
      </c>
      <c r="F242" s="46" t="s">
        <v>119</v>
      </c>
      <c r="G242" s="46">
        <v>2</v>
      </c>
      <c r="H242" s="46" t="s">
        <v>117</v>
      </c>
      <c r="I242" s="46" t="s">
        <v>2156</v>
      </c>
      <c r="J242" s="46" t="s">
        <v>2157</v>
      </c>
      <c r="K242" s="46" t="s">
        <v>2158</v>
      </c>
      <c r="L242" s="49" t="s">
        <v>2159</v>
      </c>
      <c r="N242" s="46">
        <v>16.995000000000001</v>
      </c>
      <c r="O242" s="46">
        <v>0</v>
      </c>
      <c r="P242" s="49">
        <v>0</v>
      </c>
      <c r="Q242" s="46">
        <v>0</v>
      </c>
      <c r="R242" s="46">
        <v>0</v>
      </c>
      <c r="S242" s="46">
        <v>180</v>
      </c>
      <c r="T242" s="48">
        <v>180</v>
      </c>
    </row>
    <row r="243" spans="1:20" ht="23.4" x14ac:dyDescent="0.25">
      <c r="A243" s="46">
        <v>242</v>
      </c>
      <c r="B243" s="47">
        <v>243993</v>
      </c>
      <c r="C243" s="46" t="s">
        <v>114</v>
      </c>
      <c r="D243" s="46" t="s">
        <v>115</v>
      </c>
      <c r="E243" s="46" t="s">
        <v>116</v>
      </c>
      <c r="F243" s="46" t="s">
        <v>119</v>
      </c>
      <c r="G243" s="46">
        <v>2</v>
      </c>
      <c r="H243" s="46" t="s">
        <v>117</v>
      </c>
      <c r="I243" s="46" t="s">
        <v>2160</v>
      </c>
      <c r="J243" s="46" t="s">
        <v>2161</v>
      </c>
      <c r="K243" s="46" t="s">
        <v>2158</v>
      </c>
      <c r="L243" s="49" t="s">
        <v>2159</v>
      </c>
      <c r="N243" s="46">
        <v>16.995000000000001</v>
      </c>
      <c r="O243" s="46">
        <v>0</v>
      </c>
      <c r="P243" s="49">
        <v>0</v>
      </c>
      <c r="Q243" s="46">
        <v>0</v>
      </c>
      <c r="R243" s="46">
        <v>0</v>
      </c>
      <c r="S243" s="46">
        <v>180</v>
      </c>
      <c r="T243" s="48">
        <v>180</v>
      </c>
    </row>
    <row r="244" spans="1:20" ht="23.4" x14ac:dyDescent="0.25">
      <c r="A244" s="46">
        <v>243</v>
      </c>
      <c r="B244" s="47">
        <v>243993</v>
      </c>
      <c r="C244" s="46" t="s">
        <v>114</v>
      </c>
      <c r="D244" s="46" t="s">
        <v>115</v>
      </c>
      <c r="E244" s="46" t="s">
        <v>116</v>
      </c>
      <c r="F244" s="46" t="s">
        <v>119</v>
      </c>
      <c r="G244" s="46">
        <v>2</v>
      </c>
      <c r="H244" s="46" t="s">
        <v>117</v>
      </c>
      <c r="I244" s="46" t="s">
        <v>2162</v>
      </c>
      <c r="J244" s="46" t="s">
        <v>2163</v>
      </c>
      <c r="K244" s="46" t="s">
        <v>2164</v>
      </c>
      <c r="L244" s="49" t="s">
        <v>2165</v>
      </c>
      <c r="N244" s="46">
        <v>1.736</v>
      </c>
      <c r="O244" s="46">
        <v>0</v>
      </c>
      <c r="P244" s="49">
        <v>0</v>
      </c>
      <c r="Q244" s="46">
        <v>0</v>
      </c>
      <c r="R244" s="46">
        <v>0</v>
      </c>
      <c r="S244" s="46">
        <v>22</v>
      </c>
      <c r="T244" s="48">
        <v>22</v>
      </c>
    </row>
    <row r="245" spans="1:20" ht="23.4" x14ac:dyDescent="0.25">
      <c r="A245" s="46">
        <v>244</v>
      </c>
      <c r="B245" s="47">
        <v>243993</v>
      </c>
      <c r="C245" s="46" t="s">
        <v>114</v>
      </c>
      <c r="D245" s="46" t="s">
        <v>115</v>
      </c>
      <c r="E245" s="46" t="s">
        <v>116</v>
      </c>
      <c r="F245" s="46" t="s">
        <v>119</v>
      </c>
      <c r="G245" s="46">
        <v>2</v>
      </c>
      <c r="H245" s="46" t="s">
        <v>117</v>
      </c>
      <c r="I245" s="46" t="s">
        <v>2166</v>
      </c>
      <c r="J245" s="46" t="s">
        <v>2167</v>
      </c>
      <c r="K245" s="46" t="s">
        <v>2168</v>
      </c>
      <c r="L245" s="49" t="s">
        <v>2169</v>
      </c>
      <c r="N245" s="46">
        <v>1.21</v>
      </c>
      <c r="O245" s="46">
        <v>0</v>
      </c>
      <c r="P245" s="49">
        <v>0</v>
      </c>
      <c r="Q245" s="46">
        <v>0</v>
      </c>
      <c r="R245" s="46">
        <v>0</v>
      </c>
      <c r="S245" s="46">
        <v>22</v>
      </c>
      <c r="T245" s="48">
        <v>22</v>
      </c>
    </row>
    <row r="246" spans="1:20" ht="23.4" x14ac:dyDescent="0.25">
      <c r="A246" s="46">
        <v>245</v>
      </c>
      <c r="B246" s="47">
        <v>243993</v>
      </c>
      <c r="C246" s="46" t="s">
        <v>114</v>
      </c>
      <c r="D246" s="46" t="s">
        <v>115</v>
      </c>
      <c r="E246" s="46" t="s">
        <v>116</v>
      </c>
      <c r="F246" s="46" t="s">
        <v>119</v>
      </c>
      <c r="G246" s="46">
        <v>2</v>
      </c>
      <c r="H246" s="46" t="s">
        <v>117</v>
      </c>
      <c r="I246" s="46" t="s">
        <v>2170</v>
      </c>
      <c r="J246" s="46" t="s">
        <v>2171</v>
      </c>
      <c r="K246" s="46" t="s">
        <v>2172</v>
      </c>
      <c r="L246" s="49" t="s">
        <v>2173</v>
      </c>
      <c r="N246" s="46">
        <v>16.995000000000001</v>
      </c>
      <c r="O246" s="46">
        <v>0</v>
      </c>
      <c r="P246" s="49">
        <v>0</v>
      </c>
      <c r="Q246" s="46">
        <v>0</v>
      </c>
      <c r="R246" s="46">
        <v>0</v>
      </c>
      <c r="S246" s="46">
        <v>180</v>
      </c>
      <c r="T246" s="48">
        <v>180</v>
      </c>
    </row>
    <row r="247" spans="1:20" ht="23.4" x14ac:dyDescent="0.25">
      <c r="A247" s="46">
        <v>246</v>
      </c>
      <c r="B247" s="47">
        <v>243993</v>
      </c>
      <c r="C247" s="46" t="s">
        <v>114</v>
      </c>
      <c r="D247" s="46" t="s">
        <v>115</v>
      </c>
      <c r="E247" s="46" t="s">
        <v>116</v>
      </c>
      <c r="F247" s="46" t="s">
        <v>119</v>
      </c>
      <c r="G247" s="46">
        <v>2</v>
      </c>
      <c r="H247" s="46" t="s">
        <v>117</v>
      </c>
      <c r="I247" s="46" t="s">
        <v>2174</v>
      </c>
      <c r="J247" s="46" t="s">
        <v>2175</v>
      </c>
      <c r="K247" s="46" t="s">
        <v>2172</v>
      </c>
      <c r="L247" s="49" t="s">
        <v>2173</v>
      </c>
      <c r="N247" s="46">
        <v>16.995000000000001</v>
      </c>
      <c r="O247" s="46">
        <v>0</v>
      </c>
      <c r="P247" s="49">
        <v>0</v>
      </c>
      <c r="Q247" s="46">
        <v>0</v>
      </c>
      <c r="R247" s="46">
        <v>0</v>
      </c>
      <c r="S247" s="46">
        <v>180</v>
      </c>
      <c r="T247" s="48">
        <v>180</v>
      </c>
    </row>
    <row r="248" spans="1:20" ht="23.4" x14ac:dyDescent="0.25">
      <c r="A248" s="46">
        <v>247</v>
      </c>
      <c r="B248" s="47">
        <v>243993</v>
      </c>
      <c r="C248" s="46" t="s">
        <v>114</v>
      </c>
      <c r="D248" s="46" t="s">
        <v>115</v>
      </c>
      <c r="E248" s="46" t="s">
        <v>116</v>
      </c>
      <c r="F248" s="46" t="s">
        <v>119</v>
      </c>
      <c r="G248" s="46">
        <v>2</v>
      </c>
      <c r="H248" s="46" t="s">
        <v>117</v>
      </c>
      <c r="I248" s="46" t="s">
        <v>2176</v>
      </c>
      <c r="J248" s="46" t="s">
        <v>2177</v>
      </c>
      <c r="K248" s="46" t="s">
        <v>2178</v>
      </c>
      <c r="L248" s="49" t="s">
        <v>2179</v>
      </c>
      <c r="N248" s="46">
        <v>2.0699999999999998</v>
      </c>
      <c r="O248" s="46">
        <v>0</v>
      </c>
      <c r="P248" s="49">
        <v>0</v>
      </c>
      <c r="Q248" s="46">
        <v>0</v>
      </c>
      <c r="R248" s="46">
        <v>0</v>
      </c>
      <c r="S248" s="46">
        <v>33</v>
      </c>
      <c r="T248" s="48">
        <v>33</v>
      </c>
    </row>
    <row r="249" spans="1:20" ht="23.4" x14ac:dyDescent="0.25">
      <c r="A249" s="46">
        <v>248</v>
      </c>
      <c r="B249" s="47">
        <v>243993</v>
      </c>
      <c r="C249" s="46" t="s">
        <v>114</v>
      </c>
      <c r="D249" s="46" t="s">
        <v>115</v>
      </c>
      <c r="E249" s="46" t="s">
        <v>116</v>
      </c>
      <c r="F249" s="46" t="s">
        <v>119</v>
      </c>
      <c r="G249" s="46">
        <v>2</v>
      </c>
      <c r="H249" s="46" t="s">
        <v>117</v>
      </c>
      <c r="I249" s="46" t="s">
        <v>2180</v>
      </c>
      <c r="J249" s="46" t="s">
        <v>2181</v>
      </c>
      <c r="K249" s="46" t="s">
        <v>2182</v>
      </c>
      <c r="L249" s="49" t="s">
        <v>2183</v>
      </c>
      <c r="N249" s="46">
        <v>3.1240000000000001</v>
      </c>
      <c r="O249" s="46">
        <v>230</v>
      </c>
      <c r="P249" s="49">
        <v>3.45</v>
      </c>
      <c r="Q249" s="46">
        <v>0.24149999999999999</v>
      </c>
      <c r="R249" s="46">
        <v>0</v>
      </c>
      <c r="S249" s="46">
        <v>43</v>
      </c>
      <c r="T249" s="48">
        <v>46.69</v>
      </c>
    </row>
    <row r="250" spans="1:20" ht="23.4" x14ac:dyDescent="0.25">
      <c r="A250" s="46">
        <v>249</v>
      </c>
      <c r="B250" s="47">
        <v>243993</v>
      </c>
      <c r="C250" s="46" t="s">
        <v>114</v>
      </c>
      <c r="D250" s="46" t="s">
        <v>115</v>
      </c>
      <c r="E250" s="46" t="s">
        <v>116</v>
      </c>
      <c r="F250" s="46" t="s">
        <v>119</v>
      </c>
      <c r="G250" s="46">
        <v>2</v>
      </c>
      <c r="H250" s="46" t="s">
        <v>117</v>
      </c>
      <c r="I250" s="46" t="s">
        <v>2184</v>
      </c>
      <c r="J250" s="46" t="s">
        <v>2185</v>
      </c>
      <c r="K250" s="46" t="s">
        <v>2186</v>
      </c>
      <c r="L250" s="49" t="s">
        <v>2187</v>
      </c>
      <c r="N250" s="46">
        <v>1.802</v>
      </c>
      <c r="O250" s="46">
        <v>0</v>
      </c>
      <c r="P250" s="49">
        <v>0</v>
      </c>
      <c r="Q250" s="46">
        <v>0</v>
      </c>
      <c r="R250" s="46">
        <v>0</v>
      </c>
      <c r="S250" s="46">
        <v>22</v>
      </c>
      <c r="T250" s="48">
        <v>22</v>
      </c>
    </row>
    <row r="251" spans="1:20" ht="23.4" x14ac:dyDescent="0.25">
      <c r="A251" s="46">
        <v>250</v>
      </c>
      <c r="B251" s="47">
        <v>243993</v>
      </c>
      <c r="C251" s="46" t="s">
        <v>114</v>
      </c>
      <c r="D251" s="46" t="s">
        <v>115</v>
      </c>
      <c r="E251" s="46" t="s">
        <v>116</v>
      </c>
      <c r="F251" s="46" t="s">
        <v>119</v>
      </c>
      <c r="G251" s="46">
        <v>2</v>
      </c>
      <c r="H251" s="46" t="s">
        <v>117</v>
      </c>
      <c r="I251" s="46" t="s">
        <v>2188</v>
      </c>
      <c r="J251" s="46" t="s">
        <v>2189</v>
      </c>
      <c r="K251" s="46" t="s">
        <v>2190</v>
      </c>
      <c r="L251" s="49" t="s">
        <v>2191</v>
      </c>
      <c r="N251" s="46">
        <v>16.995000000000001</v>
      </c>
      <c r="O251" s="46">
        <v>1000</v>
      </c>
      <c r="P251" s="49">
        <v>15</v>
      </c>
      <c r="Q251" s="46">
        <v>1.05</v>
      </c>
      <c r="R251" s="46">
        <v>0</v>
      </c>
      <c r="S251" s="46">
        <v>180</v>
      </c>
      <c r="T251" s="48">
        <v>196.05</v>
      </c>
    </row>
    <row r="252" spans="1:20" ht="23.4" x14ac:dyDescent="0.25">
      <c r="A252" s="46">
        <v>251</v>
      </c>
      <c r="B252" s="47">
        <v>243993</v>
      </c>
      <c r="C252" s="46" t="s">
        <v>114</v>
      </c>
      <c r="D252" s="46" t="s">
        <v>115</v>
      </c>
      <c r="E252" s="46" t="s">
        <v>116</v>
      </c>
      <c r="F252" s="46" t="s">
        <v>119</v>
      </c>
      <c r="G252" s="46">
        <v>2</v>
      </c>
      <c r="H252" s="46" t="s">
        <v>117</v>
      </c>
      <c r="I252" s="46" t="s">
        <v>2192</v>
      </c>
      <c r="J252" s="46" t="s">
        <v>2193</v>
      </c>
      <c r="K252" s="46" t="s">
        <v>2194</v>
      </c>
      <c r="L252" s="49" t="s">
        <v>2195</v>
      </c>
      <c r="N252" s="46">
        <v>16.995000000000001</v>
      </c>
      <c r="O252" s="46">
        <v>900</v>
      </c>
      <c r="P252" s="49">
        <v>13.5</v>
      </c>
      <c r="Q252" s="46">
        <v>0.94499999999999995</v>
      </c>
      <c r="R252" s="46">
        <v>0</v>
      </c>
      <c r="S252" s="46">
        <v>180</v>
      </c>
      <c r="T252" s="48">
        <v>194.45</v>
      </c>
    </row>
    <row r="253" spans="1:20" ht="23.4" x14ac:dyDescent="0.25">
      <c r="A253" s="46">
        <v>252</v>
      </c>
      <c r="B253" s="47">
        <v>243993</v>
      </c>
      <c r="C253" s="46" t="s">
        <v>114</v>
      </c>
      <c r="D253" s="46" t="s">
        <v>115</v>
      </c>
      <c r="E253" s="46" t="s">
        <v>116</v>
      </c>
      <c r="F253" s="46" t="s">
        <v>119</v>
      </c>
      <c r="G253" s="46">
        <v>2</v>
      </c>
      <c r="H253" s="46" t="s">
        <v>117</v>
      </c>
      <c r="I253" s="46" t="s">
        <v>2196</v>
      </c>
      <c r="J253" s="46" t="s">
        <v>2197</v>
      </c>
      <c r="K253" s="46" t="s">
        <v>1482</v>
      </c>
      <c r="L253" s="49" t="s">
        <v>2198</v>
      </c>
      <c r="N253" s="46">
        <v>16.995000000000001</v>
      </c>
      <c r="O253" s="46">
        <v>0</v>
      </c>
      <c r="P253" s="49">
        <v>0</v>
      </c>
      <c r="Q253" s="46">
        <v>0</v>
      </c>
      <c r="R253" s="46">
        <v>0</v>
      </c>
      <c r="S253" s="46">
        <v>180</v>
      </c>
      <c r="T253" s="48">
        <v>180</v>
      </c>
    </row>
    <row r="254" spans="1:20" ht="23.4" x14ac:dyDescent="0.25">
      <c r="A254" s="46">
        <v>253</v>
      </c>
      <c r="B254" s="47">
        <v>243993</v>
      </c>
      <c r="C254" s="46" t="s">
        <v>114</v>
      </c>
      <c r="D254" s="46" t="s">
        <v>115</v>
      </c>
      <c r="E254" s="46" t="s">
        <v>116</v>
      </c>
      <c r="F254" s="46" t="s">
        <v>119</v>
      </c>
      <c r="G254" s="46">
        <v>2</v>
      </c>
      <c r="H254" s="46" t="s">
        <v>117</v>
      </c>
      <c r="I254" s="46" t="s">
        <v>2199</v>
      </c>
      <c r="J254" s="46" t="s">
        <v>2200</v>
      </c>
      <c r="K254" s="46" t="s">
        <v>2201</v>
      </c>
      <c r="L254" s="49" t="s">
        <v>2202</v>
      </c>
      <c r="N254" s="46">
        <v>1.282</v>
      </c>
      <c r="O254" s="46">
        <v>0</v>
      </c>
      <c r="P254" s="49">
        <v>0</v>
      </c>
      <c r="Q254" s="46">
        <v>0</v>
      </c>
      <c r="R254" s="46">
        <v>0</v>
      </c>
      <c r="S254" s="46">
        <v>22</v>
      </c>
      <c r="T254" s="48">
        <v>22</v>
      </c>
    </row>
    <row r="255" spans="1:20" ht="23.4" x14ac:dyDescent="0.25">
      <c r="A255" s="46">
        <v>254</v>
      </c>
      <c r="B255" s="47">
        <v>243993</v>
      </c>
      <c r="C255" s="46" t="s">
        <v>114</v>
      </c>
      <c r="D255" s="46" t="s">
        <v>115</v>
      </c>
      <c r="E255" s="46" t="s">
        <v>116</v>
      </c>
      <c r="F255" s="46" t="s">
        <v>119</v>
      </c>
      <c r="G255" s="46">
        <v>2</v>
      </c>
      <c r="H255" s="46" t="s">
        <v>117</v>
      </c>
      <c r="I255" s="46" t="s">
        <v>2203</v>
      </c>
      <c r="J255" s="46" t="s">
        <v>2204</v>
      </c>
      <c r="K255" s="46" t="s">
        <v>2205</v>
      </c>
      <c r="L255" s="49" t="s">
        <v>2206</v>
      </c>
      <c r="N255" s="46">
        <v>1.8919999999999999</v>
      </c>
      <c r="O255" s="46">
        <v>0</v>
      </c>
      <c r="P255" s="49">
        <v>0</v>
      </c>
      <c r="Q255" s="46">
        <v>0</v>
      </c>
      <c r="R255" s="46">
        <v>0</v>
      </c>
      <c r="S255" s="46">
        <v>22</v>
      </c>
      <c r="T255" s="48">
        <v>22</v>
      </c>
    </row>
    <row r="256" spans="1:20" ht="23.4" x14ac:dyDescent="0.25">
      <c r="A256" s="46">
        <v>255</v>
      </c>
      <c r="B256" s="47">
        <v>243993</v>
      </c>
      <c r="C256" s="46" t="s">
        <v>114</v>
      </c>
      <c r="D256" s="46" t="s">
        <v>115</v>
      </c>
      <c r="E256" s="46" t="s">
        <v>116</v>
      </c>
      <c r="F256" s="46" t="s">
        <v>119</v>
      </c>
      <c r="G256" s="46">
        <v>2</v>
      </c>
      <c r="H256" s="46" t="s">
        <v>117</v>
      </c>
      <c r="I256" s="46" t="s">
        <v>1015</v>
      </c>
      <c r="J256" s="46" t="s">
        <v>1013</v>
      </c>
      <c r="K256" s="46" t="s">
        <v>2207</v>
      </c>
      <c r="L256" s="49" t="s">
        <v>2208</v>
      </c>
      <c r="N256" s="46">
        <v>0.8</v>
      </c>
      <c r="O256" s="46">
        <v>0</v>
      </c>
      <c r="P256" s="49">
        <v>0</v>
      </c>
      <c r="Q256" s="46">
        <v>0</v>
      </c>
      <c r="R256" s="46">
        <v>0</v>
      </c>
      <c r="S256" s="46">
        <v>17</v>
      </c>
      <c r="T256" s="48">
        <v>17</v>
      </c>
    </row>
    <row r="257" spans="1:20" ht="23.4" x14ac:dyDescent="0.25">
      <c r="A257" s="46">
        <v>256</v>
      </c>
      <c r="B257" s="47">
        <v>243993</v>
      </c>
      <c r="C257" s="46" t="s">
        <v>114</v>
      </c>
      <c r="D257" s="46" t="s">
        <v>115</v>
      </c>
      <c r="E257" s="46" t="s">
        <v>116</v>
      </c>
      <c r="F257" s="46" t="s">
        <v>119</v>
      </c>
      <c r="G257" s="46">
        <v>2</v>
      </c>
      <c r="H257" s="46" t="s">
        <v>117</v>
      </c>
      <c r="I257" s="46" t="s">
        <v>1011</v>
      </c>
      <c r="J257" s="46" t="s">
        <v>2209</v>
      </c>
      <c r="K257" s="46" t="s">
        <v>2210</v>
      </c>
      <c r="L257" s="49" t="s">
        <v>2211</v>
      </c>
      <c r="N257" s="46">
        <v>0.53600000000000003</v>
      </c>
      <c r="O257" s="46">
        <v>0</v>
      </c>
      <c r="P257" s="49">
        <v>0</v>
      </c>
      <c r="Q257" s="46">
        <v>0</v>
      </c>
      <c r="R257" s="46">
        <v>0</v>
      </c>
      <c r="S257" s="46">
        <v>17</v>
      </c>
      <c r="T257" s="48">
        <v>17</v>
      </c>
    </row>
    <row r="258" spans="1:20" ht="23.4" x14ac:dyDescent="0.25">
      <c r="A258" s="46">
        <v>257</v>
      </c>
      <c r="B258" s="47">
        <v>243993</v>
      </c>
      <c r="C258" s="46" t="s">
        <v>114</v>
      </c>
      <c r="D258" s="46" t="s">
        <v>115</v>
      </c>
      <c r="E258" s="46" t="s">
        <v>116</v>
      </c>
      <c r="F258" s="46" t="s">
        <v>119</v>
      </c>
      <c r="G258" s="46">
        <v>2</v>
      </c>
      <c r="H258" s="46" t="s">
        <v>117</v>
      </c>
      <c r="I258" s="46" t="s">
        <v>2212</v>
      </c>
      <c r="J258" s="46" t="s">
        <v>1596</v>
      </c>
      <c r="K258" s="46" t="s">
        <v>1597</v>
      </c>
      <c r="L258" s="49" t="s">
        <v>2213</v>
      </c>
      <c r="N258" s="46">
        <v>1.204</v>
      </c>
      <c r="O258" s="46">
        <v>280</v>
      </c>
      <c r="P258" s="49">
        <v>4.2</v>
      </c>
      <c r="Q258" s="46">
        <v>0.29399999999999998</v>
      </c>
      <c r="R258" s="46">
        <v>0</v>
      </c>
      <c r="S258" s="46">
        <v>22</v>
      </c>
      <c r="T258" s="48">
        <v>26.49</v>
      </c>
    </row>
    <row r="259" spans="1:20" ht="23.4" x14ac:dyDescent="0.25">
      <c r="A259" s="46">
        <v>258</v>
      </c>
      <c r="B259" s="47">
        <v>243993</v>
      </c>
      <c r="C259" s="46" t="s">
        <v>114</v>
      </c>
      <c r="D259" s="46" t="s">
        <v>115</v>
      </c>
      <c r="E259" s="46" t="s">
        <v>116</v>
      </c>
      <c r="F259" s="46" t="s">
        <v>119</v>
      </c>
      <c r="G259" s="46">
        <v>2</v>
      </c>
      <c r="H259" s="46" t="s">
        <v>117</v>
      </c>
      <c r="I259" s="46" t="s">
        <v>2214</v>
      </c>
      <c r="J259" s="46" t="s">
        <v>2215</v>
      </c>
      <c r="K259" s="46" t="s">
        <v>2216</v>
      </c>
      <c r="L259" s="49" t="s">
        <v>2217</v>
      </c>
      <c r="N259" s="46">
        <v>1.22</v>
      </c>
      <c r="O259" s="46">
        <v>280</v>
      </c>
      <c r="P259" s="49">
        <v>4.2</v>
      </c>
      <c r="Q259" s="46">
        <v>0.29399999999999998</v>
      </c>
      <c r="R259" s="46">
        <v>0</v>
      </c>
      <c r="S259" s="46">
        <v>22</v>
      </c>
      <c r="T259" s="48">
        <v>26.49</v>
      </c>
    </row>
    <row r="260" spans="1:20" ht="23.4" x14ac:dyDescent="0.25">
      <c r="A260" s="46">
        <v>259</v>
      </c>
      <c r="B260" s="47">
        <v>243993</v>
      </c>
      <c r="C260" s="46" t="s">
        <v>114</v>
      </c>
      <c r="D260" s="46" t="s">
        <v>115</v>
      </c>
      <c r="E260" s="46" t="s">
        <v>116</v>
      </c>
      <c r="F260" s="46" t="s">
        <v>119</v>
      </c>
      <c r="G260" s="46">
        <v>2</v>
      </c>
      <c r="H260" s="46" t="s">
        <v>117</v>
      </c>
      <c r="I260" s="46" t="s">
        <v>2218</v>
      </c>
      <c r="J260" s="46" t="s">
        <v>2219</v>
      </c>
      <c r="K260" s="46" t="s">
        <v>2220</v>
      </c>
      <c r="L260" s="49" t="s">
        <v>2221</v>
      </c>
      <c r="N260" s="46">
        <v>1.1919999999999999</v>
      </c>
      <c r="O260" s="46">
        <v>0</v>
      </c>
      <c r="P260" s="49">
        <v>0</v>
      </c>
      <c r="Q260" s="46">
        <v>0</v>
      </c>
      <c r="R260" s="46">
        <v>0</v>
      </c>
      <c r="S260" s="46">
        <v>22</v>
      </c>
      <c r="T260" s="48">
        <v>22</v>
      </c>
    </row>
    <row r="261" spans="1:20" ht="23.4" x14ac:dyDescent="0.25">
      <c r="A261" s="46">
        <v>260</v>
      </c>
      <c r="B261" s="47">
        <v>243993</v>
      </c>
      <c r="C261" s="46" t="s">
        <v>114</v>
      </c>
      <c r="D261" s="46" t="s">
        <v>115</v>
      </c>
      <c r="E261" s="46" t="s">
        <v>116</v>
      </c>
      <c r="F261" s="46" t="s">
        <v>119</v>
      </c>
      <c r="G261" s="46">
        <v>2</v>
      </c>
      <c r="H261" s="46" t="s">
        <v>117</v>
      </c>
      <c r="I261" s="46" t="s">
        <v>2222</v>
      </c>
      <c r="J261" s="46" t="s">
        <v>2223</v>
      </c>
      <c r="K261" s="46" t="s">
        <v>2224</v>
      </c>
      <c r="L261" s="49" t="s">
        <v>2225</v>
      </c>
      <c r="N261" s="46">
        <v>1.204</v>
      </c>
      <c r="O261" s="46">
        <v>280</v>
      </c>
      <c r="P261" s="49">
        <v>4.2</v>
      </c>
      <c r="Q261" s="46">
        <v>0.29399999999999998</v>
      </c>
      <c r="R261" s="46">
        <v>0</v>
      </c>
      <c r="S261" s="46">
        <v>22</v>
      </c>
      <c r="T261" s="48">
        <v>26.49</v>
      </c>
    </row>
    <row r="262" spans="1:20" ht="23.4" x14ac:dyDescent="0.25">
      <c r="A262" s="46">
        <v>261</v>
      </c>
      <c r="B262" s="47">
        <v>243994</v>
      </c>
      <c r="C262" s="46" t="s">
        <v>114</v>
      </c>
      <c r="D262" s="46" t="s">
        <v>115</v>
      </c>
      <c r="E262" s="46" t="s">
        <v>116</v>
      </c>
      <c r="F262" s="46" t="s">
        <v>119</v>
      </c>
      <c r="G262" s="46">
        <v>2</v>
      </c>
      <c r="H262" s="46" t="s">
        <v>117</v>
      </c>
      <c r="I262" s="46" t="s">
        <v>2226</v>
      </c>
      <c r="J262" s="46" t="s">
        <v>2227</v>
      </c>
      <c r="K262" s="46" t="s">
        <v>2228</v>
      </c>
      <c r="L262" s="49" t="s">
        <v>2229</v>
      </c>
      <c r="N262" s="46">
        <v>1.792</v>
      </c>
      <c r="O262" s="46">
        <v>0</v>
      </c>
      <c r="P262" s="49">
        <v>0</v>
      </c>
      <c r="Q262" s="46">
        <v>0</v>
      </c>
      <c r="R262" s="46">
        <v>0</v>
      </c>
      <c r="S262" s="46">
        <v>22</v>
      </c>
      <c r="T262" s="48">
        <v>22</v>
      </c>
    </row>
    <row r="263" spans="1:20" ht="23.4" x14ac:dyDescent="0.25">
      <c r="A263" s="46">
        <v>262</v>
      </c>
      <c r="B263" s="47">
        <v>243994</v>
      </c>
      <c r="C263" s="46" t="s">
        <v>114</v>
      </c>
      <c r="D263" s="46" t="s">
        <v>115</v>
      </c>
      <c r="E263" s="46" t="s">
        <v>116</v>
      </c>
      <c r="F263" s="46" t="s">
        <v>119</v>
      </c>
      <c r="G263" s="46">
        <v>2</v>
      </c>
      <c r="H263" s="46" t="s">
        <v>117</v>
      </c>
      <c r="I263" s="46" t="s">
        <v>2230</v>
      </c>
      <c r="J263" s="46" t="s">
        <v>2231</v>
      </c>
      <c r="K263" s="46" t="s">
        <v>2232</v>
      </c>
      <c r="L263" s="49" t="s">
        <v>2233</v>
      </c>
      <c r="N263" s="46">
        <v>3.9159999999999999</v>
      </c>
      <c r="O263" s="46">
        <v>930</v>
      </c>
      <c r="P263" s="49">
        <v>13.95</v>
      </c>
      <c r="Q263" s="46">
        <v>0.97650000000000003</v>
      </c>
      <c r="R263" s="46">
        <v>0</v>
      </c>
      <c r="S263" s="46">
        <v>43</v>
      </c>
      <c r="T263" s="48">
        <v>57.93</v>
      </c>
    </row>
    <row r="264" spans="1:20" ht="23.4" x14ac:dyDescent="0.25">
      <c r="A264" s="46">
        <v>263</v>
      </c>
      <c r="B264" s="47">
        <v>243994</v>
      </c>
      <c r="C264" s="46" t="s">
        <v>114</v>
      </c>
      <c r="D264" s="46" t="s">
        <v>115</v>
      </c>
      <c r="E264" s="46" t="s">
        <v>116</v>
      </c>
      <c r="F264" s="46" t="s">
        <v>119</v>
      </c>
      <c r="G264" s="46">
        <v>2</v>
      </c>
      <c r="H264" s="46" t="s">
        <v>117</v>
      </c>
      <c r="I264" s="46" t="s">
        <v>2234</v>
      </c>
      <c r="J264" s="46" t="s">
        <v>2235</v>
      </c>
      <c r="K264" s="46" t="s">
        <v>2236</v>
      </c>
      <c r="L264" s="49" t="s">
        <v>2237</v>
      </c>
      <c r="N264" s="46">
        <v>1.226</v>
      </c>
      <c r="O264" s="46">
        <v>0</v>
      </c>
      <c r="P264" s="49">
        <v>0</v>
      </c>
      <c r="Q264" s="46">
        <v>0</v>
      </c>
      <c r="R264" s="46">
        <v>0</v>
      </c>
      <c r="S264" s="46">
        <v>22</v>
      </c>
      <c r="T264" s="48">
        <v>22</v>
      </c>
    </row>
    <row r="265" spans="1:20" ht="23.4" x14ac:dyDescent="0.25">
      <c r="A265" s="46">
        <v>264</v>
      </c>
      <c r="B265" s="47">
        <v>243994</v>
      </c>
      <c r="C265" s="46" t="s">
        <v>114</v>
      </c>
      <c r="D265" s="46" t="s">
        <v>115</v>
      </c>
      <c r="E265" s="46" t="s">
        <v>116</v>
      </c>
      <c r="F265" s="46" t="s">
        <v>119</v>
      </c>
      <c r="G265" s="46">
        <v>2</v>
      </c>
      <c r="H265" s="46" t="s">
        <v>117</v>
      </c>
      <c r="I265" s="46" t="s">
        <v>2238</v>
      </c>
      <c r="J265" s="46" t="s">
        <v>2239</v>
      </c>
      <c r="K265" s="46" t="s">
        <v>2240</v>
      </c>
      <c r="L265" s="49" t="s">
        <v>2241</v>
      </c>
      <c r="N265" s="46">
        <v>6.45</v>
      </c>
      <c r="O265" s="46">
        <v>600</v>
      </c>
      <c r="P265" s="49">
        <v>9</v>
      </c>
      <c r="Q265" s="46">
        <v>0.63</v>
      </c>
      <c r="R265" s="46">
        <v>0</v>
      </c>
      <c r="S265" s="46">
        <v>80</v>
      </c>
      <c r="T265" s="48">
        <v>89.63</v>
      </c>
    </row>
    <row r="266" spans="1:20" ht="23.4" x14ac:dyDescent="0.25">
      <c r="A266" s="46">
        <v>265</v>
      </c>
      <c r="B266" s="47">
        <v>243994</v>
      </c>
      <c r="C266" s="46" t="s">
        <v>114</v>
      </c>
      <c r="D266" s="46" t="s">
        <v>115</v>
      </c>
      <c r="E266" s="46" t="s">
        <v>116</v>
      </c>
      <c r="F266" s="46" t="s">
        <v>119</v>
      </c>
      <c r="G266" s="46">
        <v>2</v>
      </c>
      <c r="H266" s="46" t="s">
        <v>117</v>
      </c>
      <c r="I266" s="46" t="s">
        <v>2242</v>
      </c>
      <c r="J266" s="46" t="s">
        <v>1106</v>
      </c>
      <c r="K266" s="46" t="s">
        <v>1482</v>
      </c>
      <c r="L266" s="49" t="s">
        <v>2243</v>
      </c>
      <c r="N266" s="46">
        <v>7.41</v>
      </c>
      <c r="O266" s="46">
        <v>0</v>
      </c>
      <c r="P266" s="49">
        <v>0</v>
      </c>
      <c r="Q266" s="46">
        <v>0</v>
      </c>
      <c r="R266" s="46">
        <v>0</v>
      </c>
      <c r="S266" s="46">
        <v>90</v>
      </c>
      <c r="T266" s="48">
        <v>90</v>
      </c>
    </row>
    <row r="267" spans="1:20" ht="23.4" x14ac:dyDescent="0.25">
      <c r="A267" s="46">
        <v>266</v>
      </c>
      <c r="B267" s="47">
        <v>243994</v>
      </c>
      <c r="C267" s="46" t="s">
        <v>114</v>
      </c>
      <c r="D267" s="46" t="s">
        <v>115</v>
      </c>
      <c r="E267" s="46" t="s">
        <v>116</v>
      </c>
      <c r="F267" s="46" t="s">
        <v>119</v>
      </c>
      <c r="G267" s="46">
        <v>2</v>
      </c>
      <c r="H267" s="46" t="s">
        <v>117</v>
      </c>
      <c r="I267" s="46" t="s">
        <v>2244</v>
      </c>
      <c r="J267" s="46" t="s">
        <v>2245</v>
      </c>
      <c r="K267" s="46" t="s">
        <v>2246</v>
      </c>
      <c r="L267" s="49" t="s">
        <v>2247</v>
      </c>
      <c r="N267" s="46">
        <v>2.95</v>
      </c>
      <c r="O267" s="46">
        <v>680</v>
      </c>
      <c r="P267" s="49">
        <v>10.199999999999999</v>
      </c>
      <c r="Q267" s="46">
        <v>0.71399999999999997</v>
      </c>
      <c r="R267" s="46">
        <v>0</v>
      </c>
      <c r="S267" s="46">
        <v>33</v>
      </c>
      <c r="T267" s="48">
        <v>43.91</v>
      </c>
    </row>
    <row r="268" spans="1:20" ht="23.4" x14ac:dyDescent="0.25">
      <c r="A268" s="46">
        <v>267</v>
      </c>
      <c r="B268" s="47">
        <v>243994</v>
      </c>
      <c r="C268" s="46" t="s">
        <v>114</v>
      </c>
      <c r="D268" s="46" t="s">
        <v>115</v>
      </c>
      <c r="E268" s="46" t="s">
        <v>116</v>
      </c>
      <c r="F268" s="46" t="s">
        <v>119</v>
      </c>
      <c r="G268" s="46">
        <v>2</v>
      </c>
      <c r="H268" s="46" t="s">
        <v>117</v>
      </c>
      <c r="I268" s="46" t="s">
        <v>2248</v>
      </c>
      <c r="J268" s="46" t="s">
        <v>2249</v>
      </c>
      <c r="K268" s="46" t="s">
        <v>2250</v>
      </c>
      <c r="L268" s="49" t="s">
        <v>2251</v>
      </c>
      <c r="N268" s="46">
        <v>3.75</v>
      </c>
      <c r="O268" s="46">
        <v>990</v>
      </c>
      <c r="P268" s="49">
        <v>14.85</v>
      </c>
      <c r="Q268" s="46">
        <v>1.0395000000000001</v>
      </c>
      <c r="R268" s="46">
        <v>0</v>
      </c>
      <c r="S268" s="46">
        <v>43</v>
      </c>
      <c r="T268" s="48">
        <v>58.89</v>
      </c>
    </row>
    <row r="269" spans="1:20" ht="23.4" x14ac:dyDescent="0.25">
      <c r="A269" s="46">
        <v>268</v>
      </c>
      <c r="B269" s="47">
        <v>243994</v>
      </c>
      <c r="C269" s="46" t="s">
        <v>114</v>
      </c>
      <c r="D269" s="46" t="s">
        <v>115</v>
      </c>
      <c r="E269" s="46" t="s">
        <v>116</v>
      </c>
      <c r="F269" s="46" t="s">
        <v>119</v>
      </c>
      <c r="G269" s="46">
        <v>2</v>
      </c>
      <c r="H269" s="46" t="s">
        <v>117</v>
      </c>
      <c r="I269" s="46" t="s">
        <v>2252</v>
      </c>
      <c r="J269" s="46" t="s">
        <v>2253</v>
      </c>
      <c r="K269" s="46" t="s">
        <v>2254</v>
      </c>
      <c r="L269" s="49" t="s">
        <v>2255</v>
      </c>
      <c r="N269" s="46">
        <v>1.006</v>
      </c>
      <c r="O269" s="46">
        <v>270</v>
      </c>
      <c r="P269" s="49">
        <v>4.05</v>
      </c>
      <c r="Q269" s="46">
        <v>0.28349999999999997</v>
      </c>
      <c r="R269" s="46">
        <v>0</v>
      </c>
      <c r="S269" s="46">
        <v>22</v>
      </c>
      <c r="T269" s="48">
        <v>26.33</v>
      </c>
    </row>
    <row r="270" spans="1:20" ht="23.4" x14ac:dyDescent="0.25">
      <c r="A270" s="46">
        <v>269</v>
      </c>
      <c r="B270" s="47">
        <v>243994</v>
      </c>
      <c r="C270" s="46" t="s">
        <v>114</v>
      </c>
      <c r="D270" s="46" t="s">
        <v>115</v>
      </c>
      <c r="E270" s="46" t="s">
        <v>116</v>
      </c>
      <c r="F270" s="46" t="s">
        <v>119</v>
      </c>
      <c r="G270" s="46">
        <v>2</v>
      </c>
      <c r="H270" s="46" t="s">
        <v>117</v>
      </c>
      <c r="I270" s="46" t="s">
        <v>2256</v>
      </c>
      <c r="J270" s="46" t="s">
        <v>2257</v>
      </c>
      <c r="K270" s="46" t="s">
        <v>2258</v>
      </c>
      <c r="L270" s="49" t="s">
        <v>2259</v>
      </c>
      <c r="N270" s="46">
        <v>16.995000000000001</v>
      </c>
      <c r="O270" s="46">
        <v>1218</v>
      </c>
      <c r="P270" s="49">
        <v>18.27</v>
      </c>
      <c r="Q270" s="46">
        <v>1.2788999999999999</v>
      </c>
      <c r="R270" s="46">
        <v>0</v>
      </c>
      <c r="S270" s="46">
        <v>180</v>
      </c>
      <c r="T270" s="48">
        <v>199.55</v>
      </c>
    </row>
    <row r="271" spans="1:20" ht="23.4" x14ac:dyDescent="0.25">
      <c r="A271" s="46">
        <v>270</v>
      </c>
      <c r="B271" s="47">
        <v>243994</v>
      </c>
      <c r="C271" s="46" t="s">
        <v>114</v>
      </c>
      <c r="D271" s="46" t="s">
        <v>115</v>
      </c>
      <c r="E271" s="46" t="s">
        <v>116</v>
      </c>
      <c r="F271" s="46" t="s">
        <v>119</v>
      </c>
      <c r="G271" s="46">
        <v>2</v>
      </c>
      <c r="H271" s="46" t="s">
        <v>117</v>
      </c>
      <c r="I271" s="46" t="s">
        <v>2260</v>
      </c>
      <c r="J271" s="46" t="s">
        <v>2261</v>
      </c>
      <c r="K271" s="46" t="s">
        <v>2262</v>
      </c>
      <c r="L271" s="49" t="s">
        <v>2263</v>
      </c>
      <c r="N271" s="46">
        <v>2.2200000000000002</v>
      </c>
      <c r="O271" s="46">
        <v>0</v>
      </c>
      <c r="P271" s="49">
        <v>0</v>
      </c>
      <c r="Q271" s="46">
        <v>0</v>
      </c>
      <c r="R271" s="46">
        <v>0</v>
      </c>
      <c r="S271" s="46">
        <v>33</v>
      </c>
      <c r="T271" s="48">
        <v>33</v>
      </c>
    </row>
    <row r="272" spans="1:20" ht="23.4" x14ac:dyDescent="0.25">
      <c r="A272" s="46">
        <v>271</v>
      </c>
      <c r="B272" s="47">
        <v>243994</v>
      </c>
      <c r="C272" s="46" t="s">
        <v>114</v>
      </c>
      <c r="D272" s="46" t="s">
        <v>115</v>
      </c>
      <c r="E272" s="46" t="s">
        <v>116</v>
      </c>
      <c r="F272" s="46" t="s">
        <v>119</v>
      </c>
      <c r="G272" s="46">
        <v>2</v>
      </c>
      <c r="H272" s="46" t="s">
        <v>117</v>
      </c>
      <c r="I272" s="46" t="s">
        <v>2264</v>
      </c>
      <c r="J272" s="46" t="s">
        <v>2265</v>
      </c>
      <c r="K272" s="46" t="s">
        <v>2266</v>
      </c>
      <c r="L272" s="49" t="s">
        <v>2267</v>
      </c>
      <c r="N272" s="46">
        <v>1.6439999999999999</v>
      </c>
      <c r="O272" s="46">
        <v>430</v>
      </c>
      <c r="P272" s="49">
        <v>6.45</v>
      </c>
      <c r="Q272" s="46">
        <v>0.45150000000000001</v>
      </c>
      <c r="R272" s="46">
        <v>0</v>
      </c>
      <c r="S272" s="46">
        <v>22</v>
      </c>
      <c r="T272" s="48">
        <v>28.9</v>
      </c>
    </row>
    <row r="273" spans="1:20" ht="23.4" x14ac:dyDescent="0.25">
      <c r="A273" s="46">
        <v>272</v>
      </c>
      <c r="B273" s="47">
        <v>243994</v>
      </c>
      <c r="C273" s="46" t="s">
        <v>114</v>
      </c>
      <c r="D273" s="46" t="s">
        <v>115</v>
      </c>
      <c r="E273" s="46" t="s">
        <v>116</v>
      </c>
      <c r="F273" s="46" t="s">
        <v>119</v>
      </c>
      <c r="G273" s="46">
        <v>2</v>
      </c>
      <c r="H273" s="46" t="s">
        <v>117</v>
      </c>
      <c r="I273" s="46" t="s">
        <v>2268</v>
      </c>
      <c r="J273" s="46" t="s">
        <v>2269</v>
      </c>
      <c r="K273" s="46" t="s">
        <v>2270</v>
      </c>
      <c r="L273" s="49" t="s">
        <v>2271</v>
      </c>
      <c r="N273" s="46">
        <v>2.4359999999999999</v>
      </c>
      <c r="O273" s="46">
        <v>530</v>
      </c>
      <c r="P273" s="49">
        <v>7.95</v>
      </c>
      <c r="Q273" s="46">
        <v>0.55649999999999999</v>
      </c>
      <c r="R273" s="46">
        <v>0</v>
      </c>
      <c r="S273" s="46">
        <v>33</v>
      </c>
      <c r="T273" s="48">
        <v>41.51</v>
      </c>
    </row>
    <row r="274" spans="1:20" ht="23.4" x14ac:dyDescent="0.25">
      <c r="A274" s="46">
        <v>273</v>
      </c>
      <c r="B274" s="47">
        <v>243994</v>
      </c>
      <c r="C274" s="46" t="s">
        <v>114</v>
      </c>
      <c r="D274" s="46" t="s">
        <v>115</v>
      </c>
      <c r="E274" s="46" t="s">
        <v>116</v>
      </c>
      <c r="F274" s="46" t="s">
        <v>119</v>
      </c>
      <c r="G274" s="46">
        <v>2</v>
      </c>
      <c r="H274" s="46" t="s">
        <v>117</v>
      </c>
      <c r="I274" s="46" t="s">
        <v>2272</v>
      </c>
      <c r="J274" s="46" t="s">
        <v>2273</v>
      </c>
      <c r="K274" s="46" t="s">
        <v>2274</v>
      </c>
      <c r="L274" s="49" t="s">
        <v>2275</v>
      </c>
      <c r="N274" s="46">
        <v>1.198</v>
      </c>
      <c r="O274" s="46">
        <v>280</v>
      </c>
      <c r="P274" s="49">
        <v>4.2</v>
      </c>
      <c r="Q274" s="46">
        <v>0.29399999999999998</v>
      </c>
      <c r="R274" s="46">
        <v>0</v>
      </c>
      <c r="S274" s="46">
        <v>22</v>
      </c>
      <c r="T274" s="48">
        <v>26.49</v>
      </c>
    </row>
    <row r="275" spans="1:20" ht="23.4" x14ac:dyDescent="0.25">
      <c r="A275" s="46">
        <v>274</v>
      </c>
      <c r="B275" s="47">
        <v>243994</v>
      </c>
      <c r="C275" s="46" t="s">
        <v>114</v>
      </c>
      <c r="D275" s="46" t="s">
        <v>115</v>
      </c>
      <c r="E275" s="46" t="s">
        <v>116</v>
      </c>
      <c r="F275" s="46" t="s">
        <v>119</v>
      </c>
      <c r="G275" s="46">
        <v>2</v>
      </c>
      <c r="H275" s="46" t="s">
        <v>117</v>
      </c>
      <c r="I275" s="46" t="s">
        <v>2276</v>
      </c>
      <c r="J275" s="46" t="s">
        <v>2277</v>
      </c>
      <c r="K275" s="46" t="s">
        <v>2278</v>
      </c>
      <c r="L275" s="49" t="s">
        <v>2279</v>
      </c>
      <c r="N275" s="46">
        <v>1.6220000000000001</v>
      </c>
      <c r="O275" s="46">
        <v>0</v>
      </c>
      <c r="P275" s="49">
        <v>0</v>
      </c>
      <c r="Q275" s="46">
        <v>0</v>
      </c>
      <c r="R275" s="46">
        <v>0</v>
      </c>
      <c r="S275" s="46">
        <v>22</v>
      </c>
      <c r="T275" s="48">
        <v>22</v>
      </c>
    </row>
    <row r="276" spans="1:20" ht="23.4" x14ac:dyDescent="0.25">
      <c r="A276" s="46">
        <v>275</v>
      </c>
      <c r="B276" s="47">
        <v>243994</v>
      </c>
      <c r="C276" s="46" t="s">
        <v>114</v>
      </c>
      <c r="D276" s="46" t="s">
        <v>115</v>
      </c>
      <c r="E276" s="46" t="s">
        <v>116</v>
      </c>
      <c r="F276" s="46" t="s">
        <v>119</v>
      </c>
      <c r="G276" s="46">
        <v>2</v>
      </c>
      <c r="H276" s="46" t="s">
        <v>117</v>
      </c>
      <c r="I276" s="46" t="s">
        <v>2280</v>
      </c>
      <c r="J276" s="46" t="s">
        <v>2281</v>
      </c>
      <c r="K276" s="46" t="s">
        <v>2282</v>
      </c>
      <c r="L276" s="49" t="s">
        <v>2283</v>
      </c>
      <c r="N276" s="46">
        <v>2.4620000000000002</v>
      </c>
      <c r="O276" s="46">
        <v>530</v>
      </c>
      <c r="P276" s="49">
        <v>7.95</v>
      </c>
      <c r="Q276" s="46">
        <v>0.55649999999999999</v>
      </c>
      <c r="R276" s="46">
        <v>0</v>
      </c>
      <c r="S276" s="46">
        <v>33</v>
      </c>
      <c r="T276" s="48">
        <v>41.51</v>
      </c>
    </row>
    <row r="277" spans="1:20" ht="23.4" x14ac:dyDescent="0.25">
      <c r="A277" s="46">
        <v>276</v>
      </c>
      <c r="B277" s="47">
        <v>243994</v>
      </c>
      <c r="C277" s="46" t="s">
        <v>114</v>
      </c>
      <c r="D277" s="46" t="s">
        <v>115</v>
      </c>
      <c r="E277" s="46" t="s">
        <v>116</v>
      </c>
      <c r="F277" s="46" t="s">
        <v>119</v>
      </c>
      <c r="G277" s="46">
        <v>2</v>
      </c>
      <c r="H277" s="46" t="s">
        <v>117</v>
      </c>
      <c r="I277" s="46" t="s">
        <v>1023</v>
      </c>
      <c r="J277" s="46" t="s">
        <v>2284</v>
      </c>
      <c r="K277" s="46" t="s">
        <v>2285</v>
      </c>
      <c r="L277" s="49" t="s">
        <v>2286</v>
      </c>
      <c r="N277" s="46">
        <v>0.50600000000000001</v>
      </c>
      <c r="O277" s="46">
        <v>0</v>
      </c>
      <c r="P277" s="49">
        <v>0</v>
      </c>
      <c r="Q277" s="46">
        <v>0</v>
      </c>
      <c r="R277" s="46">
        <v>0</v>
      </c>
      <c r="S277" s="46">
        <v>17</v>
      </c>
      <c r="T277" s="48">
        <v>17</v>
      </c>
    </row>
    <row r="278" spans="1:20" ht="23.4" x14ac:dyDescent="0.25">
      <c r="A278" s="46">
        <v>277</v>
      </c>
      <c r="B278" s="47">
        <v>243994</v>
      </c>
      <c r="C278" s="46" t="s">
        <v>114</v>
      </c>
      <c r="D278" s="46" t="s">
        <v>115</v>
      </c>
      <c r="E278" s="46" t="s">
        <v>116</v>
      </c>
      <c r="F278" s="46" t="s">
        <v>119</v>
      </c>
      <c r="G278" s="46">
        <v>2</v>
      </c>
      <c r="H278" s="46" t="s">
        <v>117</v>
      </c>
      <c r="I278" s="46" t="s">
        <v>1019</v>
      </c>
      <c r="J278" s="46" t="s">
        <v>1017</v>
      </c>
      <c r="K278" s="46" t="s">
        <v>2287</v>
      </c>
      <c r="L278" s="49" t="s">
        <v>2288</v>
      </c>
      <c r="N278" s="46">
        <v>0.45800000000000002</v>
      </c>
      <c r="O278" s="46">
        <v>0</v>
      </c>
      <c r="P278" s="49">
        <v>0</v>
      </c>
      <c r="Q278" s="46">
        <v>0</v>
      </c>
      <c r="R278" s="46">
        <v>0</v>
      </c>
      <c r="S278" s="46">
        <v>17</v>
      </c>
      <c r="T278" s="48">
        <v>17</v>
      </c>
    </row>
    <row r="279" spans="1:20" ht="23.4" x14ac:dyDescent="0.25">
      <c r="A279" s="46">
        <v>278</v>
      </c>
      <c r="B279" s="47">
        <v>243994</v>
      </c>
      <c r="C279" s="46" t="s">
        <v>114</v>
      </c>
      <c r="D279" s="46" t="s">
        <v>115</v>
      </c>
      <c r="E279" s="46" t="s">
        <v>116</v>
      </c>
      <c r="F279" s="46" t="s">
        <v>119</v>
      </c>
      <c r="G279" s="46">
        <v>2</v>
      </c>
      <c r="H279" s="46" t="s">
        <v>117</v>
      </c>
      <c r="I279" s="46" t="s">
        <v>2289</v>
      </c>
      <c r="J279" s="46" t="s">
        <v>2290</v>
      </c>
      <c r="K279" s="46" t="s">
        <v>2291</v>
      </c>
      <c r="L279" s="49" t="s">
        <v>2292</v>
      </c>
      <c r="N279" s="46">
        <v>3.45</v>
      </c>
      <c r="O279" s="46">
        <v>670</v>
      </c>
      <c r="P279" s="49">
        <v>10.050000000000001</v>
      </c>
      <c r="Q279" s="46">
        <v>0.70350000000000001</v>
      </c>
      <c r="R279" s="46">
        <v>0</v>
      </c>
      <c r="S279" s="46">
        <v>43</v>
      </c>
      <c r="T279" s="48">
        <v>53.75</v>
      </c>
    </row>
    <row r="280" spans="1:20" ht="23.4" x14ac:dyDescent="0.25">
      <c r="A280" s="46">
        <v>279</v>
      </c>
      <c r="B280" s="47">
        <v>243994</v>
      </c>
      <c r="C280" s="46" t="s">
        <v>114</v>
      </c>
      <c r="D280" s="46" t="s">
        <v>115</v>
      </c>
      <c r="E280" s="46" t="s">
        <v>116</v>
      </c>
      <c r="F280" s="46" t="s">
        <v>119</v>
      </c>
      <c r="G280" s="46">
        <v>2</v>
      </c>
      <c r="H280" s="46" t="s">
        <v>117</v>
      </c>
      <c r="I280" s="46" t="s">
        <v>2293</v>
      </c>
      <c r="J280" s="46" t="s">
        <v>2294</v>
      </c>
      <c r="K280" s="46" t="s">
        <v>2295</v>
      </c>
      <c r="L280" s="49" t="s">
        <v>2296</v>
      </c>
      <c r="N280" s="46">
        <v>4.59</v>
      </c>
      <c r="O280" s="46">
        <v>0</v>
      </c>
      <c r="P280" s="49">
        <v>0</v>
      </c>
      <c r="Q280" s="46">
        <v>0</v>
      </c>
      <c r="R280" s="46">
        <v>0</v>
      </c>
      <c r="S280" s="46">
        <v>53</v>
      </c>
      <c r="T280" s="48">
        <v>53</v>
      </c>
    </row>
    <row r="281" spans="1:20" ht="23.4" x14ac:dyDescent="0.25">
      <c r="A281" s="46">
        <v>280</v>
      </c>
      <c r="B281" s="47">
        <v>243994</v>
      </c>
      <c r="C281" s="46" t="s">
        <v>114</v>
      </c>
      <c r="D281" s="46" t="s">
        <v>115</v>
      </c>
      <c r="E281" s="46" t="s">
        <v>116</v>
      </c>
      <c r="F281" s="46" t="s">
        <v>119</v>
      </c>
      <c r="G281" s="46">
        <v>2</v>
      </c>
      <c r="H281" s="46" t="s">
        <v>117</v>
      </c>
      <c r="I281" s="46" t="s">
        <v>2297</v>
      </c>
      <c r="J281" s="46" t="s">
        <v>2298</v>
      </c>
      <c r="K281" s="46" t="s">
        <v>2299</v>
      </c>
      <c r="L281" s="49" t="s">
        <v>2300</v>
      </c>
      <c r="N281" s="46">
        <v>1.56</v>
      </c>
      <c r="O281" s="46">
        <v>280</v>
      </c>
      <c r="P281" s="49">
        <v>4.2</v>
      </c>
      <c r="Q281" s="46">
        <v>0.29399999999999998</v>
      </c>
      <c r="R281" s="46">
        <v>0</v>
      </c>
      <c r="S281" s="46">
        <v>22</v>
      </c>
      <c r="T281" s="48">
        <v>26.49</v>
      </c>
    </row>
    <row r="282" spans="1:20" ht="23.4" x14ac:dyDescent="0.25">
      <c r="A282" s="46">
        <v>281</v>
      </c>
      <c r="B282" s="47">
        <v>243994</v>
      </c>
      <c r="C282" s="46" t="s">
        <v>114</v>
      </c>
      <c r="D282" s="46" t="s">
        <v>115</v>
      </c>
      <c r="E282" s="46" t="s">
        <v>116</v>
      </c>
      <c r="F282" s="46" t="s">
        <v>119</v>
      </c>
      <c r="G282" s="46">
        <v>2</v>
      </c>
      <c r="H282" s="46" t="s">
        <v>117</v>
      </c>
      <c r="I282" s="46" t="s">
        <v>2301</v>
      </c>
      <c r="J282" s="46" t="s">
        <v>2302</v>
      </c>
      <c r="K282" s="46" t="s">
        <v>2303</v>
      </c>
      <c r="L282" s="49" t="s">
        <v>2304</v>
      </c>
      <c r="N282" s="46">
        <v>1.56</v>
      </c>
      <c r="O282" s="46">
        <v>0</v>
      </c>
      <c r="P282" s="49">
        <v>0</v>
      </c>
      <c r="Q282" s="46">
        <v>0</v>
      </c>
      <c r="R282" s="46">
        <v>0</v>
      </c>
      <c r="S282" s="46">
        <v>22</v>
      </c>
      <c r="T282" s="48">
        <v>22</v>
      </c>
    </row>
    <row r="283" spans="1:20" ht="23.4" x14ac:dyDescent="0.25">
      <c r="A283" s="46">
        <v>282</v>
      </c>
      <c r="B283" s="47">
        <v>243994</v>
      </c>
      <c r="C283" s="46" t="s">
        <v>114</v>
      </c>
      <c r="D283" s="46" t="s">
        <v>115</v>
      </c>
      <c r="E283" s="46" t="s">
        <v>116</v>
      </c>
      <c r="F283" s="46" t="s">
        <v>119</v>
      </c>
      <c r="G283" s="46">
        <v>2</v>
      </c>
      <c r="H283" s="46" t="s">
        <v>117</v>
      </c>
      <c r="I283" s="46" t="s">
        <v>2305</v>
      </c>
      <c r="J283" s="46" t="s">
        <v>2306</v>
      </c>
      <c r="K283" s="46" t="s">
        <v>2307</v>
      </c>
      <c r="L283" s="49" t="s">
        <v>2308</v>
      </c>
      <c r="N283" s="46">
        <v>11.58</v>
      </c>
      <c r="O283" s="46">
        <v>0</v>
      </c>
      <c r="P283" s="49">
        <v>0</v>
      </c>
      <c r="Q283" s="46">
        <v>0</v>
      </c>
      <c r="R283" s="46">
        <v>0</v>
      </c>
      <c r="S283" s="46">
        <v>130</v>
      </c>
      <c r="T283" s="48">
        <v>130</v>
      </c>
    </row>
    <row r="284" spans="1:20" ht="23.4" x14ac:dyDescent="0.25">
      <c r="A284" s="46">
        <v>283</v>
      </c>
      <c r="B284" s="47">
        <v>243994</v>
      </c>
      <c r="C284" s="46" t="s">
        <v>114</v>
      </c>
      <c r="D284" s="46" t="s">
        <v>115</v>
      </c>
      <c r="E284" s="46" t="s">
        <v>116</v>
      </c>
      <c r="F284" s="46" t="s">
        <v>119</v>
      </c>
      <c r="G284" s="46">
        <v>2</v>
      </c>
      <c r="H284" s="46" t="s">
        <v>117</v>
      </c>
      <c r="I284" s="46" t="s">
        <v>2309</v>
      </c>
      <c r="J284" s="46" t="s">
        <v>2310</v>
      </c>
      <c r="K284" s="46" t="s">
        <v>2104</v>
      </c>
      <c r="L284" s="49" t="s">
        <v>2311</v>
      </c>
      <c r="N284" s="46">
        <v>4.3999999999999997E-2</v>
      </c>
      <c r="O284" s="46">
        <v>0</v>
      </c>
      <c r="P284" s="49">
        <v>0</v>
      </c>
      <c r="Q284" s="46">
        <v>0</v>
      </c>
      <c r="R284" s="46">
        <v>0</v>
      </c>
      <c r="S284" s="46">
        <v>17</v>
      </c>
      <c r="T284" s="48">
        <v>17</v>
      </c>
    </row>
    <row r="285" spans="1:20" ht="23.4" x14ac:dyDescent="0.25">
      <c r="A285" s="46">
        <v>284</v>
      </c>
      <c r="B285" s="47">
        <v>243994</v>
      </c>
      <c r="C285" s="46" t="s">
        <v>114</v>
      </c>
      <c r="D285" s="46" t="s">
        <v>115</v>
      </c>
      <c r="E285" s="46" t="s">
        <v>116</v>
      </c>
      <c r="F285" s="46" t="s">
        <v>119</v>
      </c>
      <c r="G285" s="46">
        <v>2</v>
      </c>
      <c r="H285" s="46" t="s">
        <v>117</v>
      </c>
      <c r="I285" s="46" t="s">
        <v>2312</v>
      </c>
      <c r="J285" s="46" t="s">
        <v>2313</v>
      </c>
      <c r="K285" s="46" t="s">
        <v>2314</v>
      </c>
      <c r="L285" s="49" t="s">
        <v>2315</v>
      </c>
      <c r="N285" s="46">
        <v>6.54</v>
      </c>
      <c r="O285" s="46">
        <v>0</v>
      </c>
      <c r="P285" s="49">
        <v>0</v>
      </c>
      <c r="Q285" s="46">
        <v>0</v>
      </c>
      <c r="R285" s="46">
        <v>0</v>
      </c>
      <c r="S285" s="46">
        <v>80</v>
      </c>
      <c r="T285" s="48">
        <v>80</v>
      </c>
    </row>
    <row r="286" spans="1:20" ht="23.4" x14ac:dyDescent="0.25">
      <c r="A286" s="46">
        <v>285</v>
      </c>
      <c r="B286" s="47">
        <v>243994</v>
      </c>
      <c r="C286" s="46" t="s">
        <v>114</v>
      </c>
      <c r="D286" s="46" t="s">
        <v>115</v>
      </c>
      <c r="E286" s="46" t="s">
        <v>116</v>
      </c>
      <c r="F286" s="46" t="s">
        <v>119</v>
      </c>
      <c r="G286" s="46">
        <v>2</v>
      </c>
      <c r="H286" s="46" t="s">
        <v>117</v>
      </c>
      <c r="I286" s="46" t="s">
        <v>2316</v>
      </c>
      <c r="J286" s="46" t="s">
        <v>2317</v>
      </c>
      <c r="K286" s="46" t="s">
        <v>2314</v>
      </c>
      <c r="L286" s="49" t="s">
        <v>2315</v>
      </c>
      <c r="N286" s="46">
        <v>4.58</v>
      </c>
      <c r="O286" s="46">
        <v>0</v>
      </c>
      <c r="P286" s="49">
        <v>0</v>
      </c>
      <c r="Q286" s="46">
        <v>0</v>
      </c>
      <c r="R286" s="46">
        <v>0</v>
      </c>
      <c r="S286" s="46">
        <v>53</v>
      </c>
      <c r="T286" s="48">
        <v>53</v>
      </c>
    </row>
    <row r="287" spans="1:20" ht="23.4" x14ac:dyDescent="0.25">
      <c r="A287" s="46">
        <v>286</v>
      </c>
      <c r="B287" s="47">
        <v>243994</v>
      </c>
      <c r="C287" s="46" t="s">
        <v>114</v>
      </c>
      <c r="D287" s="46" t="s">
        <v>115</v>
      </c>
      <c r="E287" s="46" t="s">
        <v>116</v>
      </c>
      <c r="F287" s="46" t="s">
        <v>119</v>
      </c>
      <c r="G287" s="46">
        <v>2</v>
      </c>
      <c r="H287" s="46" t="s">
        <v>117</v>
      </c>
      <c r="I287" s="46" t="s">
        <v>2318</v>
      </c>
      <c r="J287" s="46" t="s">
        <v>2319</v>
      </c>
      <c r="K287" s="46" t="s">
        <v>2320</v>
      </c>
      <c r="L287" s="49" t="s">
        <v>2321</v>
      </c>
      <c r="N287" s="46">
        <v>6.54</v>
      </c>
      <c r="O287" s="46">
        <v>0</v>
      </c>
      <c r="P287" s="49">
        <v>0</v>
      </c>
      <c r="Q287" s="46">
        <v>0</v>
      </c>
      <c r="R287" s="46">
        <v>0</v>
      </c>
      <c r="S287" s="46">
        <v>80</v>
      </c>
      <c r="T287" s="48">
        <v>80</v>
      </c>
    </row>
    <row r="288" spans="1:20" ht="23.4" x14ac:dyDescent="0.25">
      <c r="A288" s="46">
        <v>287</v>
      </c>
      <c r="B288" s="47">
        <v>243994</v>
      </c>
      <c r="C288" s="46" t="s">
        <v>114</v>
      </c>
      <c r="D288" s="46" t="s">
        <v>115</v>
      </c>
      <c r="E288" s="46" t="s">
        <v>116</v>
      </c>
      <c r="F288" s="46" t="s">
        <v>119</v>
      </c>
      <c r="G288" s="46">
        <v>2</v>
      </c>
      <c r="H288" s="46" t="s">
        <v>117</v>
      </c>
      <c r="I288" s="46" t="s">
        <v>2322</v>
      </c>
      <c r="J288" s="46" t="s">
        <v>2323</v>
      </c>
      <c r="K288" s="46" t="s">
        <v>1471</v>
      </c>
      <c r="L288" s="49" t="s">
        <v>2324</v>
      </c>
      <c r="N288" s="46">
        <v>7.52</v>
      </c>
      <c r="O288" s="46">
        <v>0</v>
      </c>
      <c r="P288" s="49">
        <v>0</v>
      </c>
      <c r="Q288" s="46">
        <v>0</v>
      </c>
      <c r="R288" s="46">
        <v>0</v>
      </c>
      <c r="S288" s="46">
        <v>90</v>
      </c>
      <c r="T288" s="48">
        <v>90</v>
      </c>
    </row>
    <row r="289" spans="1:20" ht="23.4" x14ac:dyDescent="0.25">
      <c r="A289" s="46">
        <v>288</v>
      </c>
      <c r="B289" s="47">
        <v>243994</v>
      </c>
      <c r="C289" s="46" t="s">
        <v>114</v>
      </c>
      <c r="D289" s="46" t="s">
        <v>115</v>
      </c>
      <c r="E289" s="46" t="s">
        <v>116</v>
      </c>
      <c r="F289" s="46" t="s">
        <v>119</v>
      </c>
      <c r="G289" s="46">
        <v>2</v>
      </c>
      <c r="H289" s="46" t="s">
        <v>117</v>
      </c>
      <c r="I289" s="46" t="s">
        <v>2325</v>
      </c>
      <c r="J289" s="46" t="s">
        <v>2326</v>
      </c>
      <c r="K289" s="46" t="s">
        <v>136</v>
      </c>
      <c r="L289" s="49" t="s">
        <v>2327</v>
      </c>
      <c r="N289" s="46">
        <v>9.8000000000000004E-2</v>
      </c>
      <c r="O289" s="46">
        <v>0</v>
      </c>
      <c r="P289" s="49">
        <v>0</v>
      </c>
      <c r="Q289" s="46">
        <v>0</v>
      </c>
      <c r="R289" s="46">
        <v>0</v>
      </c>
      <c r="S289" s="46">
        <v>17</v>
      </c>
      <c r="T289" s="48">
        <v>17</v>
      </c>
    </row>
    <row r="290" spans="1:20" ht="23.4" x14ac:dyDescent="0.25">
      <c r="A290" s="46">
        <v>289</v>
      </c>
      <c r="B290" s="47">
        <v>243994</v>
      </c>
      <c r="C290" s="46" t="s">
        <v>114</v>
      </c>
      <c r="D290" s="46" t="s">
        <v>115</v>
      </c>
      <c r="E290" s="46" t="s">
        <v>116</v>
      </c>
      <c r="F290" s="46" t="s">
        <v>119</v>
      </c>
      <c r="G290" s="46">
        <v>2</v>
      </c>
      <c r="H290" s="46" t="s">
        <v>117</v>
      </c>
      <c r="I290" s="46" t="s">
        <v>2328</v>
      </c>
      <c r="J290" s="46" t="s">
        <v>2329</v>
      </c>
      <c r="K290" s="46" t="s">
        <v>2330</v>
      </c>
      <c r="L290" s="49" t="s">
        <v>2331</v>
      </c>
      <c r="N290" s="46">
        <v>1.2E-2</v>
      </c>
      <c r="O290" s="46">
        <v>0</v>
      </c>
      <c r="P290" s="49">
        <v>0</v>
      </c>
      <c r="Q290" s="46">
        <v>0</v>
      </c>
      <c r="R290" s="46">
        <v>0</v>
      </c>
      <c r="S290" s="46">
        <v>17</v>
      </c>
      <c r="T290" s="48">
        <v>17</v>
      </c>
    </row>
    <row r="291" spans="1:20" ht="23.4" x14ac:dyDescent="0.25">
      <c r="A291" s="46">
        <v>290</v>
      </c>
      <c r="B291" s="47">
        <v>243995</v>
      </c>
      <c r="C291" s="46" t="s">
        <v>114</v>
      </c>
      <c r="D291" s="46" t="s">
        <v>115</v>
      </c>
      <c r="E291" s="46" t="s">
        <v>116</v>
      </c>
      <c r="F291" s="46" t="s">
        <v>119</v>
      </c>
      <c r="G291" s="46">
        <v>2</v>
      </c>
      <c r="H291" s="46" t="s">
        <v>117</v>
      </c>
      <c r="I291" s="46" t="s">
        <v>2332</v>
      </c>
      <c r="J291" s="46" t="s">
        <v>2333</v>
      </c>
      <c r="K291" s="46" t="s">
        <v>2334</v>
      </c>
      <c r="L291" s="49" t="s">
        <v>2335</v>
      </c>
      <c r="N291" s="46">
        <v>1.3819999999999999</v>
      </c>
      <c r="O291" s="46">
        <v>318</v>
      </c>
      <c r="P291" s="49">
        <v>4.7699999999999996</v>
      </c>
      <c r="Q291" s="46">
        <v>0.33389999999999997</v>
      </c>
      <c r="R291" s="46">
        <v>0</v>
      </c>
      <c r="S291" s="46">
        <v>22</v>
      </c>
      <c r="T291" s="48">
        <v>27.1</v>
      </c>
    </row>
    <row r="292" spans="1:20" ht="23.4" x14ac:dyDescent="0.25">
      <c r="A292" s="46">
        <v>291</v>
      </c>
      <c r="B292" s="47">
        <v>243995</v>
      </c>
      <c r="C292" s="46" t="s">
        <v>114</v>
      </c>
      <c r="D292" s="46" t="s">
        <v>115</v>
      </c>
      <c r="E292" s="46" t="s">
        <v>116</v>
      </c>
      <c r="F292" s="46" t="s">
        <v>119</v>
      </c>
      <c r="G292" s="46">
        <v>2</v>
      </c>
      <c r="H292" s="46" t="s">
        <v>117</v>
      </c>
      <c r="I292" s="46" t="s">
        <v>2336</v>
      </c>
      <c r="J292" s="46" t="s">
        <v>2337</v>
      </c>
      <c r="K292" s="46" t="s">
        <v>2338</v>
      </c>
      <c r="L292" s="49" t="s">
        <v>2339</v>
      </c>
      <c r="N292" s="46">
        <v>1.76</v>
      </c>
      <c r="O292" s="46">
        <v>430</v>
      </c>
      <c r="P292" s="49">
        <v>6.45</v>
      </c>
      <c r="Q292" s="46">
        <v>0.45150000000000001</v>
      </c>
      <c r="R292" s="46">
        <v>0</v>
      </c>
      <c r="S292" s="46">
        <v>22</v>
      </c>
      <c r="T292" s="48">
        <v>28.9</v>
      </c>
    </row>
    <row r="293" spans="1:20" ht="23.4" x14ac:dyDescent="0.25">
      <c r="A293" s="46">
        <v>292</v>
      </c>
      <c r="B293" s="47">
        <v>243995</v>
      </c>
      <c r="C293" s="46" t="s">
        <v>114</v>
      </c>
      <c r="D293" s="46" t="s">
        <v>115</v>
      </c>
      <c r="E293" s="46" t="s">
        <v>116</v>
      </c>
      <c r="F293" s="46" t="s">
        <v>119</v>
      </c>
      <c r="G293" s="46">
        <v>2</v>
      </c>
      <c r="H293" s="46" t="s">
        <v>117</v>
      </c>
      <c r="I293" s="46" t="s">
        <v>2340</v>
      </c>
      <c r="J293" s="46" t="s">
        <v>1543</v>
      </c>
      <c r="K293" s="46" t="s">
        <v>1544</v>
      </c>
      <c r="L293" s="49" t="s">
        <v>2341</v>
      </c>
      <c r="N293" s="46">
        <v>0.73199999999999998</v>
      </c>
      <c r="O293" s="46">
        <v>230</v>
      </c>
      <c r="P293" s="49">
        <v>3.45</v>
      </c>
      <c r="Q293" s="46">
        <v>0.24149999999999999</v>
      </c>
      <c r="R293" s="46">
        <v>0</v>
      </c>
      <c r="S293" s="46">
        <v>17</v>
      </c>
      <c r="T293" s="48">
        <v>20.69</v>
      </c>
    </row>
    <row r="294" spans="1:20" ht="23.4" x14ac:dyDescent="0.25">
      <c r="A294" s="46">
        <v>293</v>
      </c>
      <c r="B294" s="47">
        <v>243995</v>
      </c>
      <c r="C294" s="46" t="s">
        <v>114</v>
      </c>
      <c r="D294" s="46" t="s">
        <v>115</v>
      </c>
      <c r="E294" s="46" t="s">
        <v>116</v>
      </c>
      <c r="F294" s="46" t="s">
        <v>119</v>
      </c>
      <c r="G294" s="46">
        <v>2</v>
      </c>
      <c r="H294" s="46" t="s">
        <v>117</v>
      </c>
      <c r="I294" s="46" t="s">
        <v>2342</v>
      </c>
      <c r="J294" s="46" t="s">
        <v>2343</v>
      </c>
      <c r="K294" s="46" t="s">
        <v>2344</v>
      </c>
      <c r="L294" s="49" t="s">
        <v>2345</v>
      </c>
      <c r="N294" s="46">
        <v>0.71599999999999997</v>
      </c>
      <c r="O294" s="46">
        <v>230</v>
      </c>
      <c r="P294" s="49">
        <v>3.45</v>
      </c>
      <c r="Q294" s="46">
        <v>0.24149999999999999</v>
      </c>
      <c r="R294" s="46">
        <v>0</v>
      </c>
      <c r="S294" s="46">
        <v>17</v>
      </c>
      <c r="T294" s="48">
        <v>20.69</v>
      </c>
    </row>
    <row r="295" spans="1:20" ht="23.4" x14ac:dyDescent="0.25">
      <c r="A295" s="46">
        <v>294</v>
      </c>
      <c r="B295" s="47">
        <v>243995</v>
      </c>
      <c r="C295" s="46" t="s">
        <v>114</v>
      </c>
      <c r="D295" s="46" t="s">
        <v>115</v>
      </c>
      <c r="E295" s="46" t="s">
        <v>116</v>
      </c>
      <c r="F295" s="46" t="s">
        <v>119</v>
      </c>
      <c r="G295" s="46">
        <v>2</v>
      </c>
      <c r="H295" s="46" t="s">
        <v>117</v>
      </c>
      <c r="I295" s="46" t="s">
        <v>2346</v>
      </c>
      <c r="J295" s="46" t="s">
        <v>2347</v>
      </c>
      <c r="K295" s="46" t="s">
        <v>2348</v>
      </c>
      <c r="L295" s="49" t="s">
        <v>2349</v>
      </c>
      <c r="N295" s="46">
        <v>2.5939999999999999</v>
      </c>
      <c r="O295" s="46">
        <v>0</v>
      </c>
      <c r="P295" s="49">
        <v>0</v>
      </c>
      <c r="Q295" s="46">
        <v>0</v>
      </c>
      <c r="R295" s="46">
        <v>0</v>
      </c>
      <c r="S295" s="46">
        <v>33</v>
      </c>
      <c r="T295" s="48">
        <v>33</v>
      </c>
    </row>
    <row r="296" spans="1:20" ht="23.4" x14ac:dyDescent="0.25">
      <c r="A296" s="46">
        <v>295</v>
      </c>
      <c r="B296" s="47">
        <v>243995</v>
      </c>
      <c r="C296" s="46" t="s">
        <v>114</v>
      </c>
      <c r="D296" s="46" t="s">
        <v>115</v>
      </c>
      <c r="E296" s="46" t="s">
        <v>116</v>
      </c>
      <c r="F296" s="46" t="s">
        <v>119</v>
      </c>
      <c r="G296" s="46">
        <v>2</v>
      </c>
      <c r="H296" s="46" t="s">
        <v>117</v>
      </c>
      <c r="I296" s="46" t="s">
        <v>2350</v>
      </c>
      <c r="J296" s="46" t="s">
        <v>1050</v>
      </c>
      <c r="K296" s="46" t="s">
        <v>2351</v>
      </c>
      <c r="L296" s="49" t="s">
        <v>2352</v>
      </c>
      <c r="N296" s="46">
        <v>3.8919999999999999</v>
      </c>
      <c r="O296" s="46">
        <v>0</v>
      </c>
      <c r="P296" s="49">
        <v>0</v>
      </c>
      <c r="Q296" s="46">
        <v>0</v>
      </c>
      <c r="R296" s="46">
        <v>15</v>
      </c>
      <c r="S296" s="46">
        <v>58</v>
      </c>
      <c r="T296" s="48">
        <v>58</v>
      </c>
    </row>
    <row r="297" spans="1:20" ht="23.4" x14ac:dyDescent="0.25">
      <c r="A297" s="46">
        <v>296</v>
      </c>
      <c r="B297" s="47">
        <v>243995</v>
      </c>
      <c r="C297" s="46" t="s">
        <v>114</v>
      </c>
      <c r="D297" s="46" t="s">
        <v>115</v>
      </c>
      <c r="E297" s="46" t="s">
        <v>116</v>
      </c>
      <c r="F297" s="46" t="s">
        <v>119</v>
      </c>
      <c r="G297" s="46">
        <v>2</v>
      </c>
      <c r="H297" s="46" t="s">
        <v>117</v>
      </c>
      <c r="I297" s="46" t="s">
        <v>2353</v>
      </c>
      <c r="J297" s="46" t="s">
        <v>2354</v>
      </c>
      <c r="K297" s="46" t="s">
        <v>2355</v>
      </c>
      <c r="L297" s="49" t="s">
        <v>2356</v>
      </c>
      <c r="N297" s="46">
        <v>0.48599999999999999</v>
      </c>
      <c r="O297" s="46">
        <v>0</v>
      </c>
      <c r="P297" s="49">
        <v>0</v>
      </c>
      <c r="Q297" s="46">
        <v>0</v>
      </c>
      <c r="R297" s="46">
        <v>0</v>
      </c>
      <c r="S297" s="46">
        <v>17</v>
      </c>
      <c r="T297" s="48">
        <v>17</v>
      </c>
    </row>
    <row r="298" spans="1:20" ht="23.4" x14ac:dyDescent="0.25">
      <c r="A298" s="46">
        <v>297</v>
      </c>
      <c r="B298" s="47">
        <v>243995</v>
      </c>
      <c r="C298" s="46" t="s">
        <v>114</v>
      </c>
      <c r="D298" s="46" t="s">
        <v>115</v>
      </c>
      <c r="E298" s="46" t="s">
        <v>116</v>
      </c>
      <c r="F298" s="46" t="s">
        <v>119</v>
      </c>
      <c r="G298" s="46">
        <v>2</v>
      </c>
      <c r="H298" s="46" t="s">
        <v>117</v>
      </c>
      <c r="I298" s="46" t="s">
        <v>2357</v>
      </c>
      <c r="J298" s="46" t="s">
        <v>2358</v>
      </c>
      <c r="K298" s="46" t="s">
        <v>2359</v>
      </c>
      <c r="L298" s="49" t="s">
        <v>2360</v>
      </c>
      <c r="N298" s="46">
        <v>1.248</v>
      </c>
      <c r="O298" s="46">
        <v>0</v>
      </c>
      <c r="P298" s="49">
        <v>0</v>
      </c>
      <c r="Q298" s="46">
        <v>0</v>
      </c>
      <c r="R298" s="46">
        <v>0</v>
      </c>
      <c r="S298" s="46">
        <v>22</v>
      </c>
      <c r="T298" s="48">
        <v>22</v>
      </c>
    </row>
    <row r="299" spans="1:20" ht="23.4" x14ac:dyDescent="0.25">
      <c r="A299" s="46">
        <v>298</v>
      </c>
      <c r="B299" s="47">
        <v>243995</v>
      </c>
      <c r="C299" s="46" t="s">
        <v>114</v>
      </c>
      <c r="D299" s="46" t="s">
        <v>115</v>
      </c>
      <c r="E299" s="46" t="s">
        <v>116</v>
      </c>
      <c r="F299" s="46" t="s">
        <v>119</v>
      </c>
      <c r="G299" s="46">
        <v>2</v>
      </c>
      <c r="H299" s="46" t="s">
        <v>117</v>
      </c>
      <c r="I299" s="46" t="s">
        <v>2361</v>
      </c>
      <c r="J299" s="46" t="s">
        <v>2362</v>
      </c>
      <c r="K299" s="46" t="s">
        <v>2363</v>
      </c>
      <c r="L299" s="49" t="s">
        <v>2364</v>
      </c>
      <c r="N299" s="46">
        <v>1.032</v>
      </c>
      <c r="O299" s="46">
        <v>0</v>
      </c>
      <c r="P299" s="49">
        <v>0</v>
      </c>
      <c r="Q299" s="46">
        <v>0</v>
      </c>
      <c r="R299" s="46">
        <v>0</v>
      </c>
      <c r="S299" s="46">
        <v>22</v>
      </c>
      <c r="T299" s="48">
        <v>22</v>
      </c>
    </row>
    <row r="300" spans="1:20" ht="23.4" x14ac:dyDescent="0.25">
      <c r="A300" s="46">
        <v>299</v>
      </c>
      <c r="B300" s="47">
        <v>243995</v>
      </c>
      <c r="C300" s="46" t="s">
        <v>114</v>
      </c>
      <c r="D300" s="46" t="s">
        <v>115</v>
      </c>
      <c r="E300" s="46" t="s">
        <v>116</v>
      </c>
      <c r="F300" s="46" t="s">
        <v>119</v>
      </c>
      <c r="G300" s="46">
        <v>2</v>
      </c>
      <c r="H300" s="46" t="s">
        <v>117</v>
      </c>
      <c r="I300" s="46" t="s">
        <v>2365</v>
      </c>
      <c r="J300" s="46" t="s">
        <v>2366</v>
      </c>
      <c r="K300" s="46" t="s">
        <v>2367</v>
      </c>
      <c r="L300" s="49" t="s">
        <v>2368</v>
      </c>
      <c r="N300" s="46">
        <v>1.798</v>
      </c>
      <c r="O300" s="46">
        <v>0</v>
      </c>
      <c r="P300" s="49">
        <v>0</v>
      </c>
      <c r="Q300" s="46">
        <v>0</v>
      </c>
      <c r="R300" s="46">
        <v>0</v>
      </c>
      <c r="S300" s="46">
        <v>22</v>
      </c>
      <c r="T300" s="48">
        <v>22</v>
      </c>
    </row>
    <row r="301" spans="1:20" ht="23.4" x14ac:dyDescent="0.25">
      <c r="A301" s="46">
        <v>300</v>
      </c>
      <c r="B301" s="47">
        <v>243995</v>
      </c>
      <c r="C301" s="46" t="s">
        <v>114</v>
      </c>
      <c r="D301" s="46" t="s">
        <v>115</v>
      </c>
      <c r="E301" s="46" t="s">
        <v>116</v>
      </c>
      <c r="F301" s="46" t="s">
        <v>119</v>
      </c>
      <c r="G301" s="46">
        <v>2</v>
      </c>
      <c r="H301" s="46" t="s">
        <v>117</v>
      </c>
      <c r="I301" s="46" t="s">
        <v>2369</v>
      </c>
      <c r="J301" s="46" t="s">
        <v>2370</v>
      </c>
      <c r="K301" s="46" t="s">
        <v>2371</v>
      </c>
      <c r="L301" s="49" t="s">
        <v>2372</v>
      </c>
      <c r="N301" s="46">
        <v>1.92</v>
      </c>
      <c r="O301" s="46">
        <v>0</v>
      </c>
      <c r="P301" s="49">
        <v>0</v>
      </c>
      <c r="Q301" s="46">
        <v>0</v>
      </c>
      <c r="R301" s="46">
        <v>0</v>
      </c>
      <c r="S301" s="46">
        <v>22</v>
      </c>
      <c r="T301" s="48">
        <v>22</v>
      </c>
    </row>
    <row r="302" spans="1:20" ht="23.4" x14ac:dyDescent="0.25">
      <c r="A302" s="46">
        <v>301</v>
      </c>
      <c r="B302" s="47">
        <v>243995</v>
      </c>
      <c r="C302" s="46" t="s">
        <v>114</v>
      </c>
      <c r="D302" s="46" t="s">
        <v>115</v>
      </c>
      <c r="E302" s="46" t="s">
        <v>116</v>
      </c>
      <c r="F302" s="46" t="s">
        <v>119</v>
      </c>
      <c r="G302" s="46">
        <v>2</v>
      </c>
      <c r="H302" s="46" t="s">
        <v>117</v>
      </c>
      <c r="I302" s="46" t="s">
        <v>2373</v>
      </c>
      <c r="J302" s="46" t="s">
        <v>2374</v>
      </c>
      <c r="K302" s="46" t="s">
        <v>2375</v>
      </c>
      <c r="L302" s="49" t="s">
        <v>2376</v>
      </c>
      <c r="N302" s="46">
        <v>2.0640000000000001</v>
      </c>
      <c r="O302" s="46">
        <v>0</v>
      </c>
      <c r="P302" s="49">
        <v>0</v>
      </c>
      <c r="Q302" s="46">
        <v>0</v>
      </c>
      <c r="R302" s="46">
        <v>0</v>
      </c>
      <c r="S302" s="46">
        <v>33</v>
      </c>
      <c r="T302" s="48">
        <v>33</v>
      </c>
    </row>
    <row r="303" spans="1:20" ht="23.4" x14ac:dyDescent="0.25">
      <c r="A303" s="46">
        <v>302</v>
      </c>
      <c r="B303" s="47">
        <v>243995</v>
      </c>
      <c r="C303" s="46" t="s">
        <v>114</v>
      </c>
      <c r="D303" s="46" t="s">
        <v>115</v>
      </c>
      <c r="E303" s="46" t="s">
        <v>116</v>
      </c>
      <c r="F303" s="46" t="s">
        <v>119</v>
      </c>
      <c r="G303" s="46">
        <v>2</v>
      </c>
      <c r="H303" s="46" t="s">
        <v>117</v>
      </c>
      <c r="I303" s="46" t="s">
        <v>2377</v>
      </c>
      <c r="J303" s="46" t="s">
        <v>2378</v>
      </c>
      <c r="K303" s="46" t="s">
        <v>2379</v>
      </c>
      <c r="L303" s="49" t="s">
        <v>2380</v>
      </c>
      <c r="N303" s="46">
        <v>0.25800000000000001</v>
      </c>
      <c r="O303" s="46">
        <v>0</v>
      </c>
      <c r="P303" s="49">
        <v>0</v>
      </c>
      <c r="Q303" s="46">
        <v>0</v>
      </c>
      <c r="R303" s="46">
        <v>0</v>
      </c>
      <c r="S303" s="46">
        <v>17</v>
      </c>
      <c r="T303" s="48">
        <v>17</v>
      </c>
    </row>
    <row r="304" spans="1:20" ht="23.4" x14ac:dyDescent="0.25">
      <c r="A304" s="46">
        <v>303</v>
      </c>
      <c r="B304" s="47">
        <v>243995</v>
      </c>
      <c r="C304" s="46" t="s">
        <v>114</v>
      </c>
      <c r="D304" s="46" t="s">
        <v>115</v>
      </c>
      <c r="E304" s="46" t="s">
        <v>116</v>
      </c>
      <c r="F304" s="46" t="s">
        <v>119</v>
      </c>
      <c r="G304" s="46">
        <v>2</v>
      </c>
      <c r="H304" s="46" t="s">
        <v>117</v>
      </c>
      <c r="I304" s="46" t="s">
        <v>2381</v>
      </c>
      <c r="J304" s="46" t="s">
        <v>2382</v>
      </c>
      <c r="K304" s="46" t="s">
        <v>2383</v>
      </c>
      <c r="L304" s="49" t="s">
        <v>2384</v>
      </c>
      <c r="N304" s="46">
        <v>0.184</v>
      </c>
      <c r="O304" s="46">
        <v>0</v>
      </c>
      <c r="P304" s="49">
        <v>0</v>
      </c>
      <c r="Q304" s="46">
        <v>0</v>
      </c>
      <c r="R304" s="46">
        <v>0</v>
      </c>
      <c r="S304" s="46">
        <v>17</v>
      </c>
      <c r="T304" s="48">
        <v>17</v>
      </c>
    </row>
    <row r="305" spans="1:20" ht="24" customHeight="1" x14ac:dyDescent="0.25">
      <c r="A305" s="46">
        <v>304</v>
      </c>
      <c r="B305" s="47">
        <v>243995</v>
      </c>
      <c r="C305" s="46" t="s">
        <v>114</v>
      </c>
      <c r="D305" s="46" t="s">
        <v>115</v>
      </c>
      <c r="E305" s="46" t="s">
        <v>116</v>
      </c>
      <c r="F305" s="46" t="s">
        <v>119</v>
      </c>
      <c r="G305" s="46">
        <v>2</v>
      </c>
      <c r="H305" s="46" t="s">
        <v>117</v>
      </c>
      <c r="I305" s="46" t="s">
        <v>2385</v>
      </c>
      <c r="J305" s="46" t="s">
        <v>2386</v>
      </c>
      <c r="K305" s="46" t="s">
        <v>2387</v>
      </c>
      <c r="L305" s="49" t="s">
        <v>2388</v>
      </c>
      <c r="N305" s="46">
        <v>0.26800000000000002</v>
      </c>
      <c r="O305" s="46">
        <v>0</v>
      </c>
      <c r="P305" s="49">
        <v>0</v>
      </c>
      <c r="Q305" s="46">
        <v>0</v>
      </c>
      <c r="R305" s="46">
        <v>0</v>
      </c>
      <c r="S305" s="46">
        <v>17</v>
      </c>
      <c r="T305" s="48">
        <v>17</v>
      </c>
    </row>
    <row r="306" spans="1:20" ht="23.4" x14ac:dyDescent="0.25">
      <c r="A306" s="46">
        <v>305</v>
      </c>
      <c r="B306" s="47">
        <v>243995</v>
      </c>
      <c r="C306" s="46" t="s">
        <v>114</v>
      </c>
      <c r="D306" s="46" t="s">
        <v>115</v>
      </c>
      <c r="E306" s="46" t="s">
        <v>116</v>
      </c>
      <c r="F306" s="46" t="s">
        <v>119</v>
      </c>
      <c r="G306" s="46">
        <v>2</v>
      </c>
      <c r="H306" s="46" t="s">
        <v>117</v>
      </c>
      <c r="I306" s="46" t="s">
        <v>2389</v>
      </c>
      <c r="J306" s="46" t="s">
        <v>2390</v>
      </c>
      <c r="K306" s="46" t="s">
        <v>2391</v>
      </c>
      <c r="L306" s="49" t="s">
        <v>2392</v>
      </c>
      <c r="N306" s="46">
        <v>0.27800000000000002</v>
      </c>
      <c r="O306" s="46">
        <v>0</v>
      </c>
      <c r="P306" s="49">
        <v>0</v>
      </c>
      <c r="Q306" s="46">
        <v>0</v>
      </c>
      <c r="R306" s="46">
        <v>0</v>
      </c>
      <c r="S306" s="46">
        <v>17</v>
      </c>
      <c r="T306" s="48">
        <v>17</v>
      </c>
    </row>
    <row r="307" spans="1:20" ht="23.4" x14ac:dyDescent="0.25">
      <c r="A307" s="46">
        <v>306</v>
      </c>
      <c r="B307" s="47">
        <v>243996</v>
      </c>
      <c r="C307" s="46" t="s">
        <v>114</v>
      </c>
      <c r="D307" s="46" t="s">
        <v>115</v>
      </c>
      <c r="E307" s="46" t="s">
        <v>116</v>
      </c>
      <c r="F307" s="46" t="s">
        <v>119</v>
      </c>
      <c r="G307" s="46">
        <v>2</v>
      </c>
      <c r="H307" s="46" t="s">
        <v>117</v>
      </c>
      <c r="I307" s="46" t="s">
        <v>2393</v>
      </c>
      <c r="J307" s="46" t="s">
        <v>2394</v>
      </c>
      <c r="K307" s="46" t="s">
        <v>2395</v>
      </c>
      <c r="L307" s="49" t="s">
        <v>2396</v>
      </c>
      <c r="N307" s="46">
        <v>1.212</v>
      </c>
      <c r="O307" s="46">
        <v>280</v>
      </c>
      <c r="P307" s="49">
        <v>4.2</v>
      </c>
      <c r="Q307" s="46">
        <v>0.29399999999999998</v>
      </c>
      <c r="R307" s="46">
        <v>0</v>
      </c>
      <c r="S307" s="46">
        <v>22</v>
      </c>
      <c r="T307" s="48">
        <v>26.49</v>
      </c>
    </row>
    <row r="308" spans="1:20" ht="23.4" x14ac:dyDescent="0.25">
      <c r="A308" s="46">
        <v>307</v>
      </c>
      <c r="B308" s="47">
        <v>243996</v>
      </c>
      <c r="C308" s="46" t="s">
        <v>114</v>
      </c>
      <c r="D308" s="46" t="s">
        <v>115</v>
      </c>
      <c r="E308" s="46" t="s">
        <v>116</v>
      </c>
      <c r="F308" s="46" t="s">
        <v>119</v>
      </c>
      <c r="G308" s="46">
        <v>2</v>
      </c>
      <c r="H308" s="46" t="s">
        <v>117</v>
      </c>
      <c r="I308" s="46" t="s">
        <v>2397</v>
      </c>
      <c r="J308" s="46" t="s">
        <v>2398</v>
      </c>
      <c r="K308" s="46" t="s">
        <v>2399</v>
      </c>
      <c r="L308" s="49" t="s">
        <v>2400</v>
      </c>
      <c r="N308" s="46">
        <v>1.198</v>
      </c>
      <c r="O308" s="46">
        <v>0</v>
      </c>
      <c r="P308" s="49">
        <v>0</v>
      </c>
      <c r="Q308" s="46">
        <v>0</v>
      </c>
      <c r="R308" s="46">
        <v>0</v>
      </c>
      <c r="S308" s="46">
        <v>22</v>
      </c>
      <c r="T308" s="48">
        <v>22</v>
      </c>
    </row>
    <row r="309" spans="1:20" ht="23.4" x14ac:dyDescent="0.25">
      <c r="A309" s="46">
        <v>308</v>
      </c>
      <c r="B309" s="47">
        <v>243996</v>
      </c>
      <c r="C309" s="46" t="s">
        <v>114</v>
      </c>
      <c r="D309" s="46" t="s">
        <v>115</v>
      </c>
      <c r="E309" s="46" t="s">
        <v>116</v>
      </c>
      <c r="F309" s="46" t="s">
        <v>119</v>
      </c>
      <c r="G309" s="46">
        <v>2</v>
      </c>
      <c r="H309" s="46" t="s">
        <v>117</v>
      </c>
      <c r="I309" s="46" t="s">
        <v>2401</v>
      </c>
      <c r="J309" s="46" t="s">
        <v>2402</v>
      </c>
      <c r="K309" s="46" t="s">
        <v>2403</v>
      </c>
      <c r="L309" s="49" t="s">
        <v>2404</v>
      </c>
      <c r="N309" s="46">
        <v>1.234</v>
      </c>
      <c r="O309" s="46">
        <v>0</v>
      </c>
      <c r="P309" s="49">
        <v>0</v>
      </c>
      <c r="Q309" s="46">
        <v>0</v>
      </c>
      <c r="R309" s="46">
        <v>0</v>
      </c>
      <c r="S309" s="46">
        <v>22</v>
      </c>
      <c r="T309" s="48">
        <v>22</v>
      </c>
    </row>
    <row r="310" spans="1:20" ht="23.4" x14ac:dyDescent="0.25">
      <c r="A310" s="46">
        <v>309</v>
      </c>
      <c r="B310" s="47">
        <v>243998</v>
      </c>
      <c r="C310" s="46" t="s">
        <v>114</v>
      </c>
      <c r="D310" s="46" t="s">
        <v>115</v>
      </c>
      <c r="E310" s="46" t="s">
        <v>116</v>
      </c>
      <c r="F310" s="46" t="s">
        <v>119</v>
      </c>
      <c r="G310" s="46">
        <v>2</v>
      </c>
      <c r="H310" s="46" t="s">
        <v>117</v>
      </c>
      <c r="I310" s="46" t="s">
        <v>2405</v>
      </c>
      <c r="J310" s="46" t="s">
        <v>2406</v>
      </c>
      <c r="K310" s="46" t="s">
        <v>2407</v>
      </c>
      <c r="L310" s="49" t="s">
        <v>2408</v>
      </c>
      <c r="N310" s="46">
        <v>4.3940000000000001</v>
      </c>
      <c r="O310" s="46">
        <v>0</v>
      </c>
      <c r="P310" s="49">
        <v>0</v>
      </c>
      <c r="Q310" s="46">
        <v>0</v>
      </c>
      <c r="R310" s="46">
        <v>0</v>
      </c>
      <c r="S310" s="46">
        <v>53</v>
      </c>
      <c r="T310" s="48">
        <v>53</v>
      </c>
    </row>
    <row r="311" spans="1:20" ht="23.4" x14ac:dyDescent="0.25">
      <c r="A311" s="46">
        <v>310</v>
      </c>
      <c r="B311" s="47">
        <v>243998</v>
      </c>
      <c r="C311" s="46" t="s">
        <v>114</v>
      </c>
      <c r="D311" s="46" t="s">
        <v>115</v>
      </c>
      <c r="E311" s="46" t="s">
        <v>116</v>
      </c>
      <c r="F311" s="46" t="s">
        <v>119</v>
      </c>
      <c r="G311" s="46">
        <v>2</v>
      </c>
      <c r="H311" s="46" t="s">
        <v>117</v>
      </c>
      <c r="I311" s="46" t="s">
        <v>2409</v>
      </c>
      <c r="J311" s="46" t="s">
        <v>2410</v>
      </c>
      <c r="K311" s="46" t="s">
        <v>2411</v>
      </c>
      <c r="L311" s="49" t="s">
        <v>2412</v>
      </c>
      <c r="N311" s="46">
        <v>1.234</v>
      </c>
      <c r="O311" s="46">
        <v>0</v>
      </c>
      <c r="P311" s="49">
        <v>0</v>
      </c>
      <c r="Q311" s="46">
        <v>0</v>
      </c>
      <c r="R311" s="46">
        <v>0</v>
      </c>
      <c r="S311" s="46">
        <v>22</v>
      </c>
      <c r="T311" s="48">
        <v>22</v>
      </c>
    </row>
    <row r="312" spans="1:20" ht="23.4" x14ac:dyDescent="0.25">
      <c r="A312" s="46">
        <v>311</v>
      </c>
      <c r="B312" s="47">
        <v>243998</v>
      </c>
      <c r="C312" s="46" t="s">
        <v>114</v>
      </c>
      <c r="D312" s="46" t="s">
        <v>115</v>
      </c>
      <c r="E312" s="46" t="s">
        <v>116</v>
      </c>
      <c r="F312" s="46" t="s">
        <v>119</v>
      </c>
      <c r="G312" s="46">
        <v>2</v>
      </c>
      <c r="H312" s="46" t="s">
        <v>117</v>
      </c>
      <c r="I312" s="46" t="s">
        <v>2413</v>
      </c>
      <c r="J312" s="46" t="s">
        <v>2414</v>
      </c>
      <c r="K312" s="46" t="s">
        <v>134</v>
      </c>
      <c r="L312" s="49" t="s">
        <v>2415</v>
      </c>
      <c r="N312" s="46">
        <v>7.5999999999999998E-2</v>
      </c>
      <c r="O312" s="46">
        <v>0</v>
      </c>
      <c r="P312" s="49">
        <v>0</v>
      </c>
      <c r="Q312" s="46">
        <v>0</v>
      </c>
      <c r="R312" s="46">
        <v>0</v>
      </c>
      <c r="S312" s="46">
        <v>17</v>
      </c>
      <c r="T312" s="48">
        <v>17</v>
      </c>
    </row>
    <row r="313" spans="1:20" ht="23.4" x14ac:dyDescent="0.25">
      <c r="A313" s="46">
        <v>312</v>
      </c>
      <c r="B313" s="47">
        <v>243998</v>
      </c>
      <c r="C313" s="46" t="s">
        <v>114</v>
      </c>
      <c r="D313" s="46" t="s">
        <v>115</v>
      </c>
      <c r="E313" s="46" t="s">
        <v>116</v>
      </c>
      <c r="F313" s="46" t="s">
        <v>119</v>
      </c>
      <c r="G313" s="46">
        <v>2</v>
      </c>
      <c r="H313" s="46" t="s">
        <v>117</v>
      </c>
      <c r="I313" s="46" t="s">
        <v>2416</v>
      </c>
      <c r="J313" s="46" t="s">
        <v>2417</v>
      </c>
      <c r="K313" s="46" t="s">
        <v>2418</v>
      </c>
      <c r="L313" s="49" t="s">
        <v>2419</v>
      </c>
      <c r="N313" s="46">
        <v>4.1879999999999997</v>
      </c>
      <c r="O313" s="46">
        <v>0</v>
      </c>
      <c r="P313" s="49">
        <v>0</v>
      </c>
      <c r="Q313" s="46">
        <v>0</v>
      </c>
      <c r="R313" s="46">
        <v>0</v>
      </c>
      <c r="S313" s="46">
        <v>53</v>
      </c>
      <c r="T313" s="48">
        <v>53</v>
      </c>
    </row>
    <row r="314" spans="1:20" ht="23.4" x14ac:dyDescent="0.25">
      <c r="A314" s="46">
        <v>313</v>
      </c>
      <c r="B314" s="47">
        <v>243998</v>
      </c>
      <c r="C314" s="46" t="s">
        <v>114</v>
      </c>
      <c r="D314" s="46" t="s">
        <v>115</v>
      </c>
      <c r="E314" s="46" t="s">
        <v>116</v>
      </c>
      <c r="F314" s="46" t="s">
        <v>119</v>
      </c>
      <c r="G314" s="46">
        <v>2</v>
      </c>
      <c r="H314" s="46" t="s">
        <v>117</v>
      </c>
      <c r="I314" s="46" t="s">
        <v>2420</v>
      </c>
      <c r="J314" s="46" t="s">
        <v>2421</v>
      </c>
      <c r="K314" s="46" t="s">
        <v>2422</v>
      </c>
      <c r="L314" s="49" t="s">
        <v>2423</v>
      </c>
      <c r="N314" s="46">
        <v>0.67</v>
      </c>
      <c r="O314" s="46">
        <v>0</v>
      </c>
      <c r="P314" s="49">
        <v>0</v>
      </c>
      <c r="Q314" s="46">
        <v>0</v>
      </c>
      <c r="R314" s="46">
        <v>0</v>
      </c>
      <c r="S314" s="46">
        <v>17</v>
      </c>
      <c r="T314" s="48">
        <v>17</v>
      </c>
    </row>
    <row r="315" spans="1:20" ht="23.4" x14ac:dyDescent="0.25">
      <c r="A315" s="46">
        <v>314</v>
      </c>
      <c r="B315" s="47">
        <v>243998</v>
      </c>
      <c r="C315" s="46" t="s">
        <v>114</v>
      </c>
      <c r="D315" s="46" t="s">
        <v>115</v>
      </c>
      <c r="E315" s="46" t="s">
        <v>116</v>
      </c>
      <c r="F315" s="46" t="s">
        <v>119</v>
      </c>
      <c r="G315" s="46">
        <v>2</v>
      </c>
      <c r="H315" s="46" t="s">
        <v>117</v>
      </c>
      <c r="I315" s="46" t="s">
        <v>2424</v>
      </c>
      <c r="J315" s="46" t="s">
        <v>488</v>
      </c>
      <c r="K315" s="46" t="s">
        <v>489</v>
      </c>
      <c r="L315" s="49" t="s">
        <v>490</v>
      </c>
      <c r="N315" s="46">
        <v>2.5299999999999998</v>
      </c>
      <c r="O315" s="46">
        <v>530</v>
      </c>
      <c r="P315" s="49">
        <v>7.95</v>
      </c>
      <c r="Q315" s="46">
        <v>0.55649999999999999</v>
      </c>
      <c r="R315" s="46">
        <v>0</v>
      </c>
      <c r="S315" s="46">
        <v>33</v>
      </c>
      <c r="T315" s="48">
        <v>41.51</v>
      </c>
    </row>
    <row r="316" spans="1:20" ht="23.4" x14ac:dyDescent="0.25">
      <c r="A316" s="46">
        <v>315</v>
      </c>
      <c r="B316" s="47">
        <v>243998</v>
      </c>
      <c r="C316" s="46" t="s">
        <v>114</v>
      </c>
      <c r="D316" s="46" t="s">
        <v>115</v>
      </c>
      <c r="E316" s="46" t="s">
        <v>116</v>
      </c>
      <c r="F316" s="46" t="s">
        <v>119</v>
      </c>
      <c r="G316" s="46">
        <v>2</v>
      </c>
      <c r="H316" s="46" t="s">
        <v>117</v>
      </c>
      <c r="I316" s="46" t="s">
        <v>2425</v>
      </c>
      <c r="J316" s="46" t="s">
        <v>2290</v>
      </c>
      <c r="K316" s="46" t="s">
        <v>2426</v>
      </c>
      <c r="L316" s="49" t="s">
        <v>2427</v>
      </c>
      <c r="N316" s="46">
        <v>16.995000000000001</v>
      </c>
      <c r="O316" s="46">
        <v>0</v>
      </c>
      <c r="P316" s="49">
        <v>0</v>
      </c>
      <c r="Q316" s="46">
        <v>0</v>
      </c>
      <c r="R316" s="46">
        <v>0</v>
      </c>
      <c r="S316" s="46">
        <v>180</v>
      </c>
      <c r="T316" s="48">
        <v>180</v>
      </c>
    </row>
    <row r="317" spans="1:20" ht="23.4" x14ac:dyDescent="0.25">
      <c r="A317" s="46">
        <v>316</v>
      </c>
      <c r="B317" s="47">
        <v>243998</v>
      </c>
      <c r="C317" s="46" t="s">
        <v>114</v>
      </c>
      <c r="D317" s="46" t="s">
        <v>115</v>
      </c>
      <c r="E317" s="46" t="s">
        <v>116</v>
      </c>
      <c r="F317" s="46" t="s">
        <v>119</v>
      </c>
      <c r="G317" s="46">
        <v>2</v>
      </c>
      <c r="H317" s="46" t="s">
        <v>117</v>
      </c>
      <c r="I317" s="46" t="s">
        <v>1027</v>
      </c>
      <c r="J317" s="46" t="s">
        <v>1025</v>
      </c>
      <c r="K317" s="46" t="s">
        <v>2428</v>
      </c>
      <c r="L317" s="49" t="s">
        <v>2429</v>
      </c>
      <c r="N317" s="46">
        <v>1.1100000000000001</v>
      </c>
      <c r="O317" s="46">
        <v>0</v>
      </c>
      <c r="P317" s="49">
        <v>0</v>
      </c>
      <c r="Q317" s="46">
        <v>0</v>
      </c>
      <c r="R317" s="46">
        <v>0</v>
      </c>
      <c r="S317" s="46">
        <v>22</v>
      </c>
      <c r="T317" s="48">
        <v>22</v>
      </c>
    </row>
    <row r="318" spans="1:20" ht="23.4" x14ac:dyDescent="0.25">
      <c r="A318" s="46">
        <v>317</v>
      </c>
      <c r="B318" s="47">
        <v>243998</v>
      </c>
      <c r="C318" s="46" t="s">
        <v>114</v>
      </c>
      <c r="D318" s="46" t="s">
        <v>115</v>
      </c>
      <c r="E318" s="46" t="s">
        <v>116</v>
      </c>
      <c r="F318" s="46" t="s">
        <v>119</v>
      </c>
      <c r="G318" s="46">
        <v>2</v>
      </c>
      <c r="H318" s="46" t="s">
        <v>117</v>
      </c>
      <c r="I318" s="46" t="s">
        <v>1046</v>
      </c>
      <c r="J318" s="46" t="s">
        <v>2430</v>
      </c>
      <c r="K318" s="46" t="s">
        <v>1857</v>
      </c>
      <c r="L318" s="49" t="s">
        <v>2431</v>
      </c>
      <c r="N318" s="46">
        <v>6.53</v>
      </c>
      <c r="O318" s="46">
        <v>0</v>
      </c>
      <c r="P318" s="49">
        <v>0</v>
      </c>
      <c r="Q318" s="46">
        <v>0</v>
      </c>
      <c r="R318" s="46">
        <v>0</v>
      </c>
      <c r="S318" s="46">
        <v>80</v>
      </c>
      <c r="T318" s="48">
        <v>80</v>
      </c>
    </row>
    <row r="319" spans="1:20" ht="23.4" x14ac:dyDescent="0.25">
      <c r="A319" s="46">
        <v>318</v>
      </c>
      <c r="B319" s="47">
        <v>243998</v>
      </c>
      <c r="C319" s="46" t="s">
        <v>114</v>
      </c>
      <c r="D319" s="46" t="s">
        <v>115</v>
      </c>
      <c r="E319" s="46" t="s">
        <v>116</v>
      </c>
      <c r="F319" s="46" t="s">
        <v>119</v>
      </c>
      <c r="G319" s="46">
        <v>2</v>
      </c>
      <c r="H319" s="46" t="s">
        <v>117</v>
      </c>
      <c r="I319" s="46" t="s">
        <v>2432</v>
      </c>
      <c r="J319" s="46" t="s">
        <v>2433</v>
      </c>
      <c r="K319" s="46" t="s">
        <v>1857</v>
      </c>
      <c r="L319" s="49" t="s">
        <v>1858</v>
      </c>
      <c r="N319" s="46">
        <v>16.995000000000001</v>
      </c>
      <c r="O319" s="46">
        <v>0</v>
      </c>
      <c r="P319" s="49">
        <v>0</v>
      </c>
      <c r="Q319" s="46">
        <v>0</v>
      </c>
      <c r="R319" s="46">
        <v>0</v>
      </c>
      <c r="S319" s="46">
        <v>180</v>
      </c>
      <c r="T319" s="48">
        <v>180</v>
      </c>
    </row>
    <row r="320" spans="1:20" ht="23.4" x14ac:dyDescent="0.25">
      <c r="A320" s="46">
        <v>319</v>
      </c>
      <c r="B320" s="47">
        <v>243998</v>
      </c>
      <c r="C320" s="46" t="s">
        <v>114</v>
      </c>
      <c r="D320" s="46" t="s">
        <v>115</v>
      </c>
      <c r="E320" s="46" t="s">
        <v>116</v>
      </c>
      <c r="F320" s="46" t="s">
        <v>119</v>
      </c>
      <c r="G320" s="46">
        <v>2</v>
      </c>
      <c r="H320" s="46" t="s">
        <v>117</v>
      </c>
      <c r="I320" s="46" t="s">
        <v>2434</v>
      </c>
      <c r="J320" s="46" t="s">
        <v>2435</v>
      </c>
      <c r="K320" s="46" t="s">
        <v>2436</v>
      </c>
      <c r="L320" s="49" t="s">
        <v>2437</v>
      </c>
      <c r="N320" s="46">
        <v>1.4E-2</v>
      </c>
      <c r="O320" s="46">
        <v>0</v>
      </c>
      <c r="P320" s="49">
        <v>0</v>
      </c>
      <c r="Q320" s="46">
        <v>0</v>
      </c>
      <c r="R320" s="46">
        <v>0</v>
      </c>
      <c r="S320" s="46">
        <v>17</v>
      </c>
      <c r="T320" s="48">
        <v>17</v>
      </c>
    </row>
    <row r="321" spans="1:20" ht="23.4" x14ac:dyDescent="0.25">
      <c r="A321" s="46">
        <v>320</v>
      </c>
      <c r="B321" s="47">
        <v>243998</v>
      </c>
      <c r="C321" s="46" t="s">
        <v>114</v>
      </c>
      <c r="D321" s="46" t="s">
        <v>115</v>
      </c>
      <c r="E321" s="46" t="s">
        <v>116</v>
      </c>
      <c r="F321" s="46" t="s">
        <v>119</v>
      </c>
      <c r="G321" s="46">
        <v>2</v>
      </c>
      <c r="H321" s="46" t="s">
        <v>117</v>
      </c>
      <c r="I321" s="46" t="s">
        <v>2438</v>
      </c>
      <c r="J321" s="46" t="s">
        <v>2439</v>
      </c>
      <c r="K321" s="46" t="s">
        <v>2440</v>
      </c>
      <c r="L321" s="49" t="s">
        <v>2441</v>
      </c>
      <c r="N321" s="46">
        <v>1.6E-2</v>
      </c>
      <c r="O321" s="46">
        <v>0</v>
      </c>
      <c r="P321" s="46">
        <v>0</v>
      </c>
      <c r="Q321" s="46">
        <v>0</v>
      </c>
      <c r="R321" s="46">
        <v>0</v>
      </c>
      <c r="S321" s="46">
        <v>17</v>
      </c>
      <c r="T321" s="48">
        <v>17</v>
      </c>
    </row>
    <row r="322" spans="1:20" ht="23.4" x14ac:dyDescent="0.25">
      <c r="A322" s="46">
        <v>321</v>
      </c>
      <c r="B322" s="47">
        <v>243998</v>
      </c>
      <c r="C322" s="46" t="s">
        <v>114</v>
      </c>
      <c r="D322" s="46" t="s">
        <v>115</v>
      </c>
      <c r="E322" s="46" t="s">
        <v>116</v>
      </c>
      <c r="F322" s="46" t="s">
        <v>119</v>
      </c>
      <c r="G322" s="46">
        <v>2</v>
      </c>
      <c r="H322" s="46" t="s">
        <v>117</v>
      </c>
      <c r="I322" s="46" t="s">
        <v>2442</v>
      </c>
      <c r="J322" s="46" t="s">
        <v>2443</v>
      </c>
      <c r="K322" s="46" t="s">
        <v>2444</v>
      </c>
      <c r="L322" s="49" t="s">
        <v>2445</v>
      </c>
      <c r="N322" s="46">
        <v>0.02</v>
      </c>
      <c r="O322" s="46">
        <v>0</v>
      </c>
      <c r="P322" s="46">
        <v>0</v>
      </c>
      <c r="Q322" s="46">
        <v>0</v>
      </c>
      <c r="R322" s="46">
        <v>0</v>
      </c>
      <c r="S322" s="46">
        <v>17</v>
      </c>
      <c r="T322" s="48">
        <v>17</v>
      </c>
    </row>
    <row r="323" spans="1:20" ht="23.4" x14ac:dyDescent="0.25">
      <c r="A323" s="46">
        <v>322</v>
      </c>
      <c r="B323" s="47">
        <v>243998</v>
      </c>
      <c r="C323" s="46" t="s">
        <v>114</v>
      </c>
      <c r="D323" s="46" t="s">
        <v>115</v>
      </c>
      <c r="E323" s="46" t="s">
        <v>116</v>
      </c>
      <c r="F323" s="46" t="s">
        <v>119</v>
      </c>
      <c r="G323" s="46">
        <v>2</v>
      </c>
      <c r="H323" s="46" t="s">
        <v>117</v>
      </c>
      <c r="I323" s="46" t="s">
        <v>2446</v>
      </c>
      <c r="J323" s="46" t="s">
        <v>2447</v>
      </c>
      <c r="K323" s="46" t="s">
        <v>2448</v>
      </c>
      <c r="L323" s="49" t="s">
        <v>2449</v>
      </c>
      <c r="N323" s="46">
        <v>2.4E-2</v>
      </c>
      <c r="O323" s="46">
        <v>0</v>
      </c>
      <c r="P323" s="46">
        <v>0</v>
      </c>
      <c r="Q323" s="46">
        <v>0</v>
      </c>
      <c r="R323" s="46">
        <v>0</v>
      </c>
      <c r="S323" s="46">
        <v>17</v>
      </c>
      <c r="T323" s="48">
        <v>17</v>
      </c>
    </row>
    <row r="324" spans="1:20" ht="23.4" x14ac:dyDescent="0.25">
      <c r="A324" s="46">
        <v>323</v>
      </c>
      <c r="B324" s="47">
        <v>243998</v>
      </c>
      <c r="C324" s="46" t="s">
        <v>114</v>
      </c>
      <c r="D324" s="46" t="s">
        <v>115</v>
      </c>
      <c r="E324" s="46" t="s">
        <v>116</v>
      </c>
      <c r="F324" s="46" t="s">
        <v>119</v>
      </c>
      <c r="G324" s="46">
        <v>2</v>
      </c>
      <c r="H324" s="46" t="s">
        <v>117</v>
      </c>
      <c r="I324" s="46" t="s">
        <v>2450</v>
      </c>
      <c r="J324" s="46" t="s">
        <v>2451</v>
      </c>
      <c r="K324" s="46" t="s">
        <v>2452</v>
      </c>
      <c r="L324" s="49" t="s">
        <v>2453</v>
      </c>
      <c r="N324" s="46">
        <v>0.156</v>
      </c>
      <c r="O324" s="46">
        <v>0</v>
      </c>
      <c r="P324" s="46">
        <v>0</v>
      </c>
      <c r="Q324" s="46">
        <v>0</v>
      </c>
      <c r="R324" s="46">
        <v>0</v>
      </c>
      <c r="S324" s="46">
        <v>17</v>
      </c>
      <c r="T324" s="48">
        <v>17</v>
      </c>
    </row>
    <row r="325" spans="1:20" ht="23.4" x14ac:dyDescent="0.25">
      <c r="A325" s="46">
        <v>324</v>
      </c>
      <c r="B325" s="47">
        <v>243998</v>
      </c>
      <c r="C325" s="46" t="s">
        <v>114</v>
      </c>
      <c r="D325" s="46" t="s">
        <v>115</v>
      </c>
      <c r="E325" s="46" t="s">
        <v>116</v>
      </c>
      <c r="F325" s="46" t="s">
        <v>119</v>
      </c>
      <c r="G325" s="46">
        <v>2</v>
      </c>
      <c r="H325" s="46" t="s">
        <v>117</v>
      </c>
      <c r="I325" s="46" t="s">
        <v>2454</v>
      </c>
      <c r="J325" s="46" t="s">
        <v>2455</v>
      </c>
      <c r="K325" s="46" t="s">
        <v>2456</v>
      </c>
      <c r="L325" s="49" t="s">
        <v>2457</v>
      </c>
      <c r="N325" s="46">
        <v>0.22600000000000001</v>
      </c>
      <c r="O325" s="46">
        <v>0</v>
      </c>
      <c r="P325" s="46">
        <v>0</v>
      </c>
      <c r="Q325" s="46">
        <v>0</v>
      </c>
      <c r="R325" s="46">
        <v>0</v>
      </c>
      <c r="S325" s="46">
        <v>17</v>
      </c>
      <c r="T325" s="48">
        <v>17</v>
      </c>
    </row>
    <row r="326" spans="1:20" ht="23.4" x14ac:dyDescent="0.25">
      <c r="A326" s="46">
        <v>325</v>
      </c>
      <c r="B326" s="47">
        <v>243999</v>
      </c>
      <c r="C326" s="46" t="s">
        <v>114</v>
      </c>
      <c r="D326" s="46" t="s">
        <v>115</v>
      </c>
      <c r="E326" s="46" t="s">
        <v>116</v>
      </c>
      <c r="F326" s="46" t="s">
        <v>119</v>
      </c>
      <c r="G326" s="46">
        <v>2</v>
      </c>
      <c r="H326" s="46" t="s">
        <v>117</v>
      </c>
      <c r="I326" s="46" t="s">
        <v>2458</v>
      </c>
      <c r="J326" s="46" t="s">
        <v>2374</v>
      </c>
      <c r="K326" s="46" t="s">
        <v>2375</v>
      </c>
      <c r="L326" s="49" t="s">
        <v>2459</v>
      </c>
      <c r="N326" s="46">
        <v>3.46</v>
      </c>
      <c r="O326" s="46">
        <v>0</v>
      </c>
      <c r="P326" s="46">
        <v>0</v>
      </c>
      <c r="Q326" s="46">
        <v>0</v>
      </c>
      <c r="R326" s="46">
        <v>0</v>
      </c>
      <c r="S326" s="46">
        <v>43</v>
      </c>
      <c r="T326" s="48">
        <v>43</v>
      </c>
    </row>
    <row r="327" spans="1:20" ht="23.4" x14ac:dyDescent="0.25">
      <c r="A327" s="46">
        <v>326</v>
      </c>
      <c r="B327" s="47">
        <v>243999</v>
      </c>
      <c r="C327" s="46" t="s">
        <v>114</v>
      </c>
      <c r="D327" s="46" t="s">
        <v>115</v>
      </c>
      <c r="E327" s="46" t="s">
        <v>116</v>
      </c>
      <c r="F327" s="46" t="s">
        <v>119</v>
      </c>
      <c r="G327" s="46">
        <v>2</v>
      </c>
      <c r="H327" s="46" t="s">
        <v>117</v>
      </c>
      <c r="I327" s="46" t="s">
        <v>2460</v>
      </c>
      <c r="J327" s="46" t="s">
        <v>2461</v>
      </c>
      <c r="K327" s="46" t="s">
        <v>2462</v>
      </c>
      <c r="L327" s="49" t="s">
        <v>2463</v>
      </c>
      <c r="N327" s="46">
        <v>1.238</v>
      </c>
      <c r="O327" s="46">
        <v>0</v>
      </c>
      <c r="P327" s="46">
        <v>0</v>
      </c>
      <c r="Q327" s="46">
        <v>0</v>
      </c>
      <c r="R327" s="46">
        <v>0</v>
      </c>
      <c r="S327" s="46">
        <v>22</v>
      </c>
      <c r="T327" s="48">
        <v>22</v>
      </c>
    </row>
    <row r="328" spans="1:20" ht="23.4" x14ac:dyDescent="0.25">
      <c r="A328" s="46">
        <v>327</v>
      </c>
      <c r="B328" s="47">
        <v>243999</v>
      </c>
      <c r="C328" s="46" t="s">
        <v>114</v>
      </c>
      <c r="D328" s="46" t="s">
        <v>115</v>
      </c>
      <c r="E328" s="46" t="s">
        <v>116</v>
      </c>
      <c r="F328" s="46" t="s">
        <v>119</v>
      </c>
      <c r="G328" s="46">
        <v>2</v>
      </c>
      <c r="H328" s="46" t="s">
        <v>117</v>
      </c>
      <c r="I328" s="46" t="s">
        <v>2464</v>
      </c>
      <c r="J328" s="46" t="s">
        <v>2465</v>
      </c>
      <c r="K328" s="46" t="s">
        <v>2466</v>
      </c>
      <c r="L328" s="49" t="s">
        <v>2467</v>
      </c>
      <c r="N328" s="46">
        <v>1.306</v>
      </c>
      <c r="O328" s="46">
        <v>318</v>
      </c>
      <c r="P328" s="46">
        <v>4.7699999999999996</v>
      </c>
      <c r="Q328" s="46">
        <v>0.33389999999999997</v>
      </c>
      <c r="R328" s="46">
        <v>0</v>
      </c>
      <c r="S328" s="46">
        <v>22</v>
      </c>
      <c r="T328" s="48">
        <v>27.1</v>
      </c>
    </row>
    <row r="329" spans="1:20" ht="23.4" x14ac:dyDescent="0.25">
      <c r="A329" s="46">
        <v>328</v>
      </c>
      <c r="B329" s="47">
        <v>243999</v>
      </c>
      <c r="C329" s="46" t="s">
        <v>114</v>
      </c>
      <c r="D329" s="46" t="s">
        <v>115</v>
      </c>
      <c r="E329" s="46" t="s">
        <v>116</v>
      </c>
      <c r="F329" s="46" t="s">
        <v>119</v>
      </c>
      <c r="G329" s="46">
        <v>2</v>
      </c>
      <c r="H329" s="46" t="s">
        <v>117</v>
      </c>
      <c r="I329" s="46" t="s">
        <v>2468</v>
      </c>
      <c r="J329" s="46" t="s">
        <v>2469</v>
      </c>
      <c r="K329" s="46" t="s">
        <v>2470</v>
      </c>
      <c r="L329" s="49" t="s">
        <v>2471</v>
      </c>
      <c r="N329" s="46">
        <v>1.232</v>
      </c>
      <c r="O329" s="46">
        <v>0</v>
      </c>
      <c r="P329" s="46">
        <v>0</v>
      </c>
      <c r="Q329" s="46">
        <v>0</v>
      </c>
      <c r="R329" s="46">
        <v>0</v>
      </c>
      <c r="S329" s="46">
        <v>22</v>
      </c>
      <c r="T329" s="48">
        <v>22</v>
      </c>
    </row>
    <row r="330" spans="1:20" ht="23.4" x14ac:dyDescent="0.25">
      <c r="A330" s="46">
        <v>329</v>
      </c>
      <c r="B330" s="47">
        <v>243999</v>
      </c>
      <c r="C330" s="46" t="s">
        <v>114</v>
      </c>
      <c r="D330" s="46" t="s">
        <v>115</v>
      </c>
      <c r="E330" s="46" t="s">
        <v>116</v>
      </c>
      <c r="F330" s="46" t="s">
        <v>119</v>
      </c>
      <c r="G330" s="46">
        <v>2</v>
      </c>
      <c r="H330" s="46" t="s">
        <v>117</v>
      </c>
      <c r="I330" s="46" t="s">
        <v>2472</v>
      </c>
      <c r="J330" s="46" t="s">
        <v>1582</v>
      </c>
      <c r="K330" s="46" t="s">
        <v>1583</v>
      </c>
      <c r="L330" s="49" t="s">
        <v>2473</v>
      </c>
      <c r="N330" s="46">
        <v>2.3519999999999999</v>
      </c>
      <c r="O330" s="46">
        <v>577</v>
      </c>
      <c r="P330" s="46">
        <v>8.6549999999999994</v>
      </c>
      <c r="Q330" s="46">
        <v>0.60580000000000001</v>
      </c>
      <c r="R330" s="46">
        <v>0</v>
      </c>
      <c r="S330" s="46">
        <v>33</v>
      </c>
      <c r="T330" s="48">
        <v>42.26</v>
      </c>
    </row>
    <row r="331" spans="1:20" ht="23.4" x14ac:dyDescent="0.25">
      <c r="A331" s="46">
        <v>330</v>
      </c>
      <c r="B331" s="47">
        <v>243999</v>
      </c>
      <c r="C331" s="46" t="s">
        <v>114</v>
      </c>
      <c r="D331" s="46" t="s">
        <v>115</v>
      </c>
      <c r="E331" s="46" t="s">
        <v>116</v>
      </c>
      <c r="F331" s="46" t="s">
        <v>119</v>
      </c>
      <c r="G331" s="46">
        <v>2</v>
      </c>
      <c r="H331" s="46" t="s">
        <v>117</v>
      </c>
      <c r="I331" s="46" t="s">
        <v>2474</v>
      </c>
      <c r="J331" s="46" t="s">
        <v>2475</v>
      </c>
      <c r="K331" s="46" t="s">
        <v>2476</v>
      </c>
      <c r="L331" s="49" t="s">
        <v>2477</v>
      </c>
      <c r="N331" s="46">
        <v>5.34</v>
      </c>
      <c r="O331" s="46">
        <v>0</v>
      </c>
      <c r="P331" s="46">
        <v>0</v>
      </c>
      <c r="Q331" s="46">
        <v>0</v>
      </c>
      <c r="R331" s="46">
        <v>0</v>
      </c>
      <c r="S331" s="46">
        <v>70</v>
      </c>
      <c r="T331" s="48">
        <v>70</v>
      </c>
    </row>
    <row r="332" spans="1:20" ht="23.4" x14ac:dyDescent="0.25">
      <c r="A332" s="46">
        <v>331</v>
      </c>
      <c r="B332" s="47">
        <v>243999</v>
      </c>
      <c r="C332" s="46" t="s">
        <v>114</v>
      </c>
      <c r="D332" s="46" t="s">
        <v>115</v>
      </c>
      <c r="E332" s="46" t="s">
        <v>116</v>
      </c>
      <c r="F332" s="46" t="s">
        <v>119</v>
      </c>
      <c r="G332" s="46">
        <v>2</v>
      </c>
      <c r="H332" s="46" t="s">
        <v>117</v>
      </c>
      <c r="I332" s="46" t="s">
        <v>2478</v>
      </c>
      <c r="J332" s="46" t="s">
        <v>1481</v>
      </c>
      <c r="K332" s="46" t="s">
        <v>1482</v>
      </c>
      <c r="L332" s="49" t="s">
        <v>2479</v>
      </c>
      <c r="N332" s="46">
        <v>16.68</v>
      </c>
      <c r="O332" s="46">
        <v>0</v>
      </c>
      <c r="P332" s="46">
        <v>0</v>
      </c>
      <c r="Q332" s="46">
        <v>0</v>
      </c>
      <c r="R332" s="46">
        <v>0</v>
      </c>
      <c r="S332" s="46">
        <v>180</v>
      </c>
      <c r="T332" s="48">
        <v>180</v>
      </c>
    </row>
    <row r="333" spans="1:20" ht="23.4" x14ac:dyDescent="0.25">
      <c r="A333" s="46">
        <v>332</v>
      </c>
      <c r="B333" s="47">
        <v>243999</v>
      </c>
      <c r="C333" s="46" t="s">
        <v>114</v>
      </c>
      <c r="D333" s="46" t="s">
        <v>115</v>
      </c>
      <c r="E333" s="46" t="s">
        <v>116</v>
      </c>
      <c r="F333" s="46" t="s">
        <v>119</v>
      </c>
      <c r="G333" s="46">
        <v>2</v>
      </c>
      <c r="H333" s="46" t="s">
        <v>117</v>
      </c>
      <c r="I333" s="46" t="s">
        <v>2480</v>
      </c>
      <c r="J333" s="46" t="s">
        <v>1486</v>
      </c>
      <c r="K333" s="46" t="s">
        <v>1482</v>
      </c>
      <c r="L333" s="49" t="s">
        <v>2243</v>
      </c>
      <c r="N333" s="46">
        <v>16.68</v>
      </c>
      <c r="O333" s="46">
        <v>0</v>
      </c>
      <c r="P333" s="46">
        <v>0</v>
      </c>
      <c r="Q333" s="46">
        <v>0</v>
      </c>
      <c r="R333" s="46">
        <v>0</v>
      </c>
      <c r="S333" s="46">
        <v>180</v>
      </c>
      <c r="T333" s="48">
        <v>180</v>
      </c>
    </row>
    <row r="334" spans="1:20" ht="23.4" x14ac:dyDescent="0.25">
      <c r="A334" s="46">
        <v>333</v>
      </c>
      <c r="B334" s="47">
        <v>243999</v>
      </c>
      <c r="C334" s="46" t="s">
        <v>114</v>
      </c>
      <c r="D334" s="46" t="s">
        <v>115</v>
      </c>
      <c r="E334" s="46" t="s">
        <v>116</v>
      </c>
      <c r="F334" s="46" t="s">
        <v>119</v>
      </c>
      <c r="G334" s="46">
        <v>2</v>
      </c>
      <c r="H334" s="46" t="s">
        <v>117</v>
      </c>
      <c r="I334" s="46" t="s">
        <v>2481</v>
      </c>
      <c r="J334" s="46" t="s">
        <v>2482</v>
      </c>
      <c r="K334" s="46" t="s">
        <v>2483</v>
      </c>
      <c r="L334" s="49" t="s">
        <v>2484</v>
      </c>
      <c r="N334" s="46">
        <v>2.9380000000000002</v>
      </c>
      <c r="O334" s="46">
        <v>0</v>
      </c>
      <c r="P334" s="46">
        <v>0</v>
      </c>
      <c r="Q334" s="46">
        <v>0</v>
      </c>
      <c r="R334" s="46">
        <v>0</v>
      </c>
      <c r="S334" s="46">
        <v>33</v>
      </c>
      <c r="T334" s="48">
        <v>33</v>
      </c>
    </row>
    <row r="335" spans="1:20" ht="23.4" x14ac:dyDescent="0.25">
      <c r="A335" s="46">
        <v>334</v>
      </c>
      <c r="B335" s="47">
        <v>243999</v>
      </c>
      <c r="C335" s="46" t="s">
        <v>114</v>
      </c>
      <c r="D335" s="46" t="s">
        <v>115</v>
      </c>
      <c r="E335" s="46" t="s">
        <v>116</v>
      </c>
      <c r="F335" s="46" t="s">
        <v>119</v>
      </c>
      <c r="G335" s="46">
        <v>2</v>
      </c>
      <c r="H335" s="46" t="s">
        <v>117</v>
      </c>
      <c r="I335" s="46" t="s">
        <v>2485</v>
      </c>
      <c r="J335" s="46" t="s">
        <v>2486</v>
      </c>
      <c r="K335" s="46" t="s">
        <v>2487</v>
      </c>
      <c r="L335" s="49" t="s">
        <v>2488</v>
      </c>
      <c r="N335" s="46">
        <v>2.68</v>
      </c>
      <c r="O335" s="46">
        <v>0</v>
      </c>
      <c r="P335" s="46">
        <v>0</v>
      </c>
      <c r="Q335" s="46">
        <v>0</v>
      </c>
      <c r="R335" s="46">
        <v>0</v>
      </c>
      <c r="S335" s="46">
        <v>33</v>
      </c>
      <c r="T335" s="48">
        <v>33</v>
      </c>
    </row>
    <row r="336" spans="1:20" ht="23.4" x14ac:dyDescent="0.25">
      <c r="A336" s="46">
        <v>335</v>
      </c>
      <c r="B336" s="47">
        <v>243999</v>
      </c>
      <c r="C336" s="46" t="s">
        <v>114</v>
      </c>
      <c r="D336" s="46" t="s">
        <v>115</v>
      </c>
      <c r="E336" s="46" t="s">
        <v>116</v>
      </c>
      <c r="F336" s="46" t="s">
        <v>119</v>
      </c>
      <c r="G336" s="46">
        <v>2</v>
      </c>
      <c r="H336" s="46" t="s">
        <v>117</v>
      </c>
      <c r="I336" s="46" t="s">
        <v>2489</v>
      </c>
      <c r="J336" s="46" t="s">
        <v>2490</v>
      </c>
      <c r="K336" s="46" t="s">
        <v>2076</v>
      </c>
      <c r="L336" s="49" t="s">
        <v>2491</v>
      </c>
      <c r="N336" s="46">
        <v>6.82</v>
      </c>
      <c r="O336" s="46">
        <v>0</v>
      </c>
      <c r="P336" s="46">
        <v>0</v>
      </c>
      <c r="Q336" s="46">
        <v>0</v>
      </c>
      <c r="R336" s="46">
        <v>0</v>
      </c>
      <c r="S336" s="46">
        <v>80</v>
      </c>
      <c r="T336" s="48">
        <v>80</v>
      </c>
    </row>
    <row r="337" spans="1:20" ht="23.4" x14ac:dyDescent="0.25">
      <c r="A337" s="46">
        <v>336</v>
      </c>
      <c r="B337" s="47">
        <v>243999</v>
      </c>
      <c r="C337" s="46" t="s">
        <v>114</v>
      </c>
      <c r="D337" s="46" t="s">
        <v>115</v>
      </c>
      <c r="E337" s="46" t="s">
        <v>116</v>
      </c>
      <c r="F337" s="46" t="s">
        <v>119</v>
      </c>
      <c r="G337" s="46">
        <v>2</v>
      </c>
      <c r="H337" s="46" t="s">
        <v>117</v>
      </c>
      <c r="I337" s="46" t="s">
        <v>2492</v>
      </c>
      <c r="J337" s="46" t="s">
        <v>2493</v>
      </c>
      <c r="K337" s="46" t="s">
        <v>2494</v>
      </c>
      <c r="L337" s="49" t="s">
        <v>2495</v>
      </c>
      <c r="N337" s="46">
        <v>1.238</v>
      </c>
      <c r="O337" s="46">
        <v>290</v>
      </c>
      <c r="P337" s="46">
        <v>4.3499999999999996</v>
      </c>
      <c r="Q337" s="46">
        <v>0.30449999999999999</v>
      </c>
      <c r="R337" s="46">
        <v>0</v>
      </c>
      <c r="S337" s="46">
        <v>22</v>
      </c>
      <c r="T337" s="48">
        <v>26.65</v>
      </c>
    </row>
    <row r="338" spans="1:20" ht="23.4" x14ac:dyDescent="0.25">
      <c r="A338" s="46">
        <v>337</v>
      </c>
      <c r="B338" s="47">
        <v>243999</v>
      </c>
      <c r="C338" s="46" t="s">
        <v>114</v>
      </c>
      <c r="D338" s="46" t="s">
        <v>115</v>
      </c>
      <c r="E338" s="46" t="s">
        <v>116</v>
      </c>
      <c r="F338" s="46" t="s">
        <v>119</v>
      </c>
      <c r="G338" s="46">
        <v>2</v>
      </c>
      <c r="H338" s="46" t="s">
        <v>117</v>
      </c>
      <c r="I338" s="46" t="s">
        <v>2496</v>
      </c>
      <c r="J338" s="46" t="s">
        <v>2497</v>
      </c>
      <c r="K338" s="46" t="s">
        <v>2498</v>
      </c>
      <c r="L338" s="49" t="s">
        <v>2499</v>
      </c>
      <c r="N338" s="46">
        <v>1.234</v>
      </c>
      <c r="O338" s="46">
        <v>0</v>
      </c>
      <c r="P338" s="46">
        <v>0</v>
      </c>
      <c r="Q338" s="46">
        <v>0</v>
      </c>
      <c r="R338" s="46">
        <v>0</v>
      </c>
      <c r="S338" s="46">
        <v>22</v>
      </c>
      <c r="T338" s="48">
        <v>22</v>
      </c>
    </row>
    <row r="339" spans="1:20" ht="23.4" x14ac:dyDescent="0.25">
      <c r="A339" s="46">
        <v>338</v>
      </c>
      <c r="B339" s="47">
        <v>243999</v>
      </c>
      <c r="C339" s="46" t="s">
        <v>114</v>
      </c>
      <c r="D339" s="46" t="s">
        <v>115</v>
      </c>
      <c r="E339" s="46" t="s">
        <v>116</v>
      </c>
      <c r="F339" s="46" t="s">
        <v>119</v>
      </c>
      <c r="G339" s="46">
        <v>2</v>
      </c>
      <c r="H339" s="46" t="s">
        <v>117</v>
      </c>
      <c r="I339" s="46" t="s">
        <v>2500</v>
      </c>
      <c r="J339" s="46" t="s">
        <v>2501</v>
      </c>
      <c r="K339" s="46" t="s">
        <v>1971</v>
      </c>
      <c r="L339" s="49" t="s">
        <v>2502</v>
      </c>
      <c r="N339" s="46">
        <v>1.29</v>
      </c>
      <c r="O339" s="46">
        <v>0</v>
      </c>
      <c r="P339" s="46">
        <v>0</v>
      </c>
      <c r="Q339" s="46">
        <v>0</v>
      </c>
      <c r="R339" s="46">
        <v>0</v>
      </c>
      <c r="S339" s="46">
        <v>22</v>
      </c>
      <c r="T339" s="48">
        <v>22</v>
      </c>
    </row>
    <row r="340" spans="1:20" ht="23.4" x14ac:dyDescent="0.25">
      <c r="A340" s="46">
        <v>339</v>
      </c>
      <c r="B340" s="47">
        <v>243999</v>
      </c>
      <c r="C340" s="46" t="s">
        <v>114</v>
      </c>
      <c r="D340" s="46" t="s">
        <v>115</v>
      </c>
      <c r="E340" s="46" t="s">
        <v>116</v>
      </c>
      <c r="F340" s="46" t="s">
        <v>119</v>
      </c>
      <c r="G340" s="46">
        <v>2</v>
      </c>
      <c r="H340" s="46" t="s">
        <v>117</v>
      </c>
      <c r="I340" s="46" t="s">
        <v>2503</v>
      </c>
      <c r="J340" s="46" t="s">
        <v>2501</v>
      </c>
      <c r="K340" s="46" t="s">
        <v>1971</v>
      </c>
      <c r="L340" s="49" t="s">
        <v>2504</v>
      </c>
      <c r="N340" s="46">
        <v>1.49</v>
      </c>
      <c r="O340" s="46">
        <v>0</v>
      </c>
      <c r="P340" s="46">
        <v>0</v>
      </c>
      <c r="Q340" s="46">
        <v>0</v>
      </c>
      <c r="R340" s="46">
        <v>0</v>
      </c>
      <c r="S340" s="46">
        <v>22</v>
      </c>
      <c r="T340" s="48">
        <v>22</v>
      </c>
    </row>
    <row r="341" spans="1:20" ht="23.4" x14ac:dyDescent="0.25">
      <c r="A341" s="46">
        <v>340</v>
      </c>
      <c r="B341" s="47">
        <v>243999</v>
      </c>
      <c r="C341" s="46" t="s">
        <v>114</v>
      </c>
      <c r="D341" s="46" t="s">
        <v>115</v>
      </c>
      <c r="E341" s="46" t="s">
        <v>116</v>
      </c>
      <c r="F341" s="46" t="s">
        <v>119</v>
      </c>
      <c r="G341" s="46">
        <v>2</v>
      </c>
      <c r="H341" s="46" t="s">
        <v>117</v>
      </c>
      <c r="I341" s="46" t="s">
        <v>2505</v>
      </c>
      <c r="J341" s="46" t="s">
        <v>2506</v>
      </c>
      <c r="K341" s="46" t="s">
        <v>136</v>
      </c>
      <c r="L341" s="49" t="s">
        <v>2507</v>
      </c>
      <c r="N341" s="46">
        <v>1.2E-2</v>
      </c>
      <c r="O341" s="46">
        <v>0</v>
      </c>
      <c r="P341" s="46">
        <v>0</v>
      </c>
      <c r="Q341" s="46">
        <v>0</v>
      </c>
      <c r="R341" s="46">
        <v>0</v>
      </c>
      <c r="S341" s="46">
        <v>17</v>
      </c>
      <c r="T341" s="48">
        <v>17</v>
      </c>
    </row>
    <row r="342" spans="1:20" ht="23.4" x14ac:dyDescent="0.25">
      <c r="A342" s="46">
        <v>341</v>
      </c>
      <c r="B342" s="47">
        <v>243999</v>
      </c>
      <c r="C342" s="46" t="s">
        <v>114</v>
      </c>
      <c r="D342" s="46" t="s">
        <v>115</v>
      </c>
      <c r="E342" s="46" t="s">
        <v>116</v>
      </c>
      <c r="F342" s="46" t="s">
        <v>119</v>
      </c>
      <c r="G342" s="46">
        <v>2</v>
      </c>
      <c r="H342" s="46" t="s">
        <v>117</v>
      </c>
      <c r="I342" s="46" t="s">
        <v>2508</v>
      </c>
      <c r="J342" s="46" t="s">
        <v>2509</v>
      </c>
      <c r="K342" s="46" t="s">
        <v>136</v>
      </c>
      <c r="L342" s="49" t="s">
        <v>2510</v>
      </c>
      <c r="N342" s="46">
        <v>1.2E-2</v>
      </c>
      <c r="O342" s="46">
        <v>0</v>
      </c>
      <c r="P342" s="46">
        <v>0</v>
      </c>
      <c r="Q342" s="46">
        <v>0</v>
      </c>
      <c r="R342" s="46">
        <v>0</v>
      </c>
      <c r="S342" s="46">
        <v>17</v>
      </c>
      <c r="T342" s="48">
        <v>17</v>
      </c>
    </row>
    <row r="343" spans="1:20" ht="23.4" x14ac:dyDescent="0.25">
      <c r="A343" s="46">
        <v>342</v>
      </c>
      <c r="B343" s="47">
        <v>243999</v>
      </c>
      <c r="C343" s="46" t="s">
        <v>114</v>
      </c>
      <c r="D343" s="46" t="s">
        <v>115</v>
      </c>
      <c r="E343" s="46" t="s">
        <v>116</v>
      </c>
      <c r="F343" s="46" t="s">
        <v>119</v>
      </c>
      <c r="G343" s="46">
        <v>2</v>
      </c>
      <c r="H343" s="46" t="s">
        <v>117</v>
      </c>
      <c r="I343" s="46" t="s">
        <v>2511</v>
      </c>
      <c r="J343" s="46" t="s">
        <v>2512</v>
      </c>
      <c r="K343" s="46" t="s">
        <v>124</v>
      </c>
      <c r="L343" s="49" t="s">
        <v>2513</v>
      </c>
      <c r="N343" s="46">
        <v>0.16600000000000001</v>
      </c>
      <c r="O343" s="46">
        <v>0</v>
      </c>
      <c r="P343" s="46">
        <v>0</v>
      </c>
      <c r="Q343" s="46">
        <v>0</v>
      </c>
      <c r="R343" s="46">
        <v>0</v>
      </c>
      <c r="S343" s="46">
        <v>17</v>
      </c>
      <c r="T343" s="48">
        <v>17</v>
      </c>
    </row>
    <row r="344" spans="1:20" ht="23.4" x14ac:dyDescent="0.25">
      <c r="A344" s="46">
        <v>343</v>
      </c>
      <c r="B344" s="47">
        <v>244000</v>
      </c>
      <c r="C344" s="46" t="s">
        <v>114</v>
      </c>
      <c r="D344" s="46" t="s">
        <v>115</v>
      </c>
      <c r="E344" s="46" t="s">
        <v>116</v>
      </c>
      <c r="F344" s="46" t="s">
        <v>119</v>
      </c>
      <c r="G344" s="46">
        <v>2</v>
      </c>
      <c r="H344" s="46" t="s">
        <v>117</v>
      </c>
      <c r="I344" s="46" t="s">
        <v>2514</v>
      </c>
      <c r="J344" s="46" t="s">
        <v>2515</v>
      </c>
      <c r="K344" s="46" t="s">
        <v>2516</v>
      </c>
      <c r="L344" s="49" t="s">
        <v>2517</v>
      </c>
      <c r="N344" s="46">
        <v>1.23</v>
      </c>
      <c r="O344" s="46">
        <v>0</v>
      </c>
      <c r="P344" s="46">
        <v>0</v>
      </c>
      <c r="Q344" s="46">
        <v>0</v>
      </c>
      <c r="R344" s="46">
        <v>0</v>
      </c>
      <c r="S344" s="46">
        <v>22</v>
      </c>
      <c r="T344" s="48">
        <v>22</v>
      </c>
    </row>
    <row r="345" spans="1:20" ht="23.4" x14ac:dyDescent="0.25">
      <c r="A345" s="46">
        <v>344</v>
      </c>
      <c r="B345" s="47">
        <v>244000</v>
      </c>
      <c r="C345" s="46" t="s">
        <v>114</v>
      </c>
      <c r="D345" s="46" t="s">
        <v>115</v>
      </c>
      <c r="E345" s="46" t="s">
        <v>116</v>
      </c>
      <c r="F345" s="46" t="s">
        <v>119</v>
      </c>
      <c r="G345" s="46">
        <v>2</v>
      </c>
      <c r="H345" s="46" t="s">
        <v>117</v>
      </c>
      <c r="I345" s="46" t="s">
        <v>1057</v>
      </c>
      <c r="J345" s="46" t="s">
        <v>1050</v>
      </c>
      <c r="K345" s="46" t="s">
        <v>2351</v>
      </c>
      <c r="L345" s="49" t="s">
        <v>2352</v>
      </c>
      <c r="N345" s="46">
        <v>0.26800000000000002</v>
      </c>
      <c r="O345" s="46">
        <v>0</v>
      </c>
      <c r="P345" s="46">
        <v>0</v>
      </c>
      <c r="Q345" s="46">
        <v>0</v>
      </c>
      <c r="R345" s="46">
        <v>15</v>
      </c>
      <c r="S345" s="46">
        <v>32</v>
      </c>
      <c r="T345" s="48">
        <v>32</v>
      </c>
    </row>
    <row r="346" spans="1:20" ht="23.4" x14ac:dyDescent="0.25">
      <c r="A346" s="46">
        <v>345</v>
      </c>
      <c r="B346" s="47">
        <v>244000</v>
      </c>
      <c r="C346" s="46" t="s">
        <v>114</v>
      </c>
      <c r="D346" s="46" t="s">
        <v>115</v>
      </c>
      <c r="E346" s="46" t="s">
        <v>116</v>
      </c>
      <c r="F346" s="46" t="s">
        <v>119</v>
      </c>
      <c r="G346" s="46">
        <v>2</v>
      </c>
      <c r="H346" s="46" t="s">
        <v>117</v>
      </c>
      <c r="I346" s="46" t="s">
        <v>1056</v>
      </c>
      <c r="J346" s="46" t="s">
        <v>1017</v>
      </c>
      <c r="K346" s="46" t="s">
        <v>2287</v>
      </c>
      <c r="L346" s="49" t="s">
        <v>2288</v>
      </c>
      <c r="N346" s="46">
        <v>0.46800000000000003</v>
      </c>
      <c r="O346" s="46">
        <v>0</v>
      </c>
      <c r="P346" s="46">
        <v>0</v>
      </c>
      <c r="Q346" s="46">
        <v>0</v>
      </c>
      <c r="R346" s="46">
        <v>0</v>
      </c>
      <c r="S346" s="46">
        <v>17</v>
      </c>
      <c r="T346" s="48">
        <v>17</v>
      </c>
    </row>
    <row r="347" spans="1:20" ht="23.4" x14ac:dyDescent="0.25">
      <c r="A347" s="46">
        <v>346</v>
      </c>
      <c r="B347" s="47">
        <v>244000</v>
      </c>
      <c r="C347" s="46" t="s">
        <v>114</v>
      </c>
      <c r="D347" s="46" t="s">
        <v>115</v>
      </c>
      <c r="E347" s="46" t="s">
        <v>116</v>
      </c>
      <c r="F347" s="46" t="s">
        <v>119</v>
      </c>
      <c r="G347" s="46">
        <v>2</v>
      </c>
      <c r="H347" s="46" t="s">
        <v>117</v>
      </c>
      <c r="I347" s="46" t="s">
        <v>2518</v>
      </c>
      <c r="J347" s="46" t="s">
        <v>2519</v>
      </c>
      <c r="K347" s="46" t="s">
        <v>2520</v>
      </c>
      <c r="L347" s="49" t="s">
        <v>2521</v>
      </c>
      <c r="N347" s="46">
        <v>2.5099999999999998</v>
      </c>
      <c r="O347" s="46">
        <v>0</v>
      </c>
      <c r="P347" s="46">
        <v>0</v>
      </c>
      <c r="Q347" s="46">
        <v>0</v>
      </c>
      <c r="R347" s="46">
        <v>0</v>
      </c>
      <c r="S347" s="46">
        <v>33</v>
      </c>
      <c r="T347" s="48">
        <v>33</v>
      </c>
    </row>
    <row r="348" spans="1:20" ht="23.4" x14ac:dyDescent="0.25">
      <c r="A348" s="46">
        <v>347</v>
      </c>
      <c r="B348" s="47">
        <v>244000</v>
      </c>
      <c r="C348" s="46" t="s">
        <v>114</v>
      </c>
      <c r="D348" s="46" t="s">
        <v>115</v>
      </c>
      <c r="E348" s="46" t="s">
        <v>116</v>
      </c>
      <c r="F348" s="46" t="s">
        <v>119</v>
      </c>
      <c r="G348" s="46">
        <v>2</v>
      </c>
      <c r="H348" s="46" t="s">
        <v>117</v>
      </c>
      <c r="I348" s="46" t="s">
        <v>2522</v>
      </c>
      <c r="J348" s="46" t="s">
        <v>2523</v>
      </c>
      <c r="K348" s="46" t="s">
        <v>1597</v>
      </c>
      <c r="L348" s="49" t="s">
        <v>2213</v>
      </c>
      <c r="N348" s="46">
        <v>1.252</v>
      </c>
      <c r="O348" s="46">
        <v>280</v>
      </c>
      <c r="P348" s="46">
        <v>4.2</v>
      </c>
      <c r="Q348" s="46">
        <v>0.29399999999999998</v>
      </c>
      <c r="R348" s="46">
        <v>0</v>
      </c>
      <c r="S348" s="46">
        <v>22</v>
      </c>
      <c r="T348" s="48">
        <v>26.49</v>
      </c>
    </row>
    <row r="349" spans="1:20" ht="23.4" x14ac:dyDescent="0.25">
      <c r="A349" s="46">
        <v>348</v>
      </c>
      <c r="B349" s="47">
        <v>244000</v>
      </c>
      <c r="C349" s="46" t="s">
        <v>114</v>
      </c>
      <c r="D349" s="46" t="s">
        <v>115</v>
      </c>
      <c r="E349" s="46" t="s">
        <v>116</v>
      </c>
      <c r="F349" s="46" t="s">
        <v>119</v>
      </c>
      <c r="G349" s="46">
        <v>2</v>
      </c>
      <c r="H349" s="46" t="s">
        <v>117</v>
      </c>
      <c r="I349" s="46" t="s">
        <v>2524</v>
      </c>
      <c r="J349" s="46" t="s">
        <v>2525</v>
      </c>
      <c r="K349" s="46" t="s">
        <v>2526</v>
      </c>
      <c r="L349" s="49" t="s">
        <v>2527</v>
      </c>
      <c r="N349" s="46">
        <v>1.256</v>
      </c>
      <c r="O349" s="46">
        <v>280</v>
      </c>
      <c r="P349" s="46">
        <v>4.2</v>
      </c>
      <c r="Q349" s="46">
        <v>0.29399999999999998</v>
      </c>
      <c r="R349" s="46">
        <v>0</v>
      </c>
      <c r="S349" s="46">
        <v>22</v>
      </c>
      <c r="T349" s="48">
        <v>26.49</v>
      </c>
    </row>
    <row r="350" spans="1:20" ht="23.4" x14ac:dyDescent="0.25">
      <c r="A350" s="46">
        <v>349</v>
      </c>
      <c r="B350" s="47">
        <v>244000</v>
      </c>
      <c r="C350" s="46" t="s">
        <v>114</v>
      </c>
      <c r="D350" s="46" t="s">
        <v>115</v>
      </c>
      <c r="E350" s="46" t="s">
        <v>116</v>
      </c>
      <c r="F350" s="46" t="s">
        <v>119</v>
      </c>
      <c r="G350" s="46">
        <v>2</v>
      </c>
      <c r="H350" s="46" t="s">
        <v>117</v>
      </c>
      <c r="I350" s="46" t="s">
        <v>2528</v>
      </c>
      <c r="J350" s="46" t="s">
        <v>2529</v>
      </c>
      <c r="K350" s="46" t="s">
        <v>2530</v>
      </c>
      <c r="L350" s="49" t="s">
        <v>2531</v>
      </c>
      <c r="N350" s="46">
        <v>1.26</v>
      </c>
      <c r="O350" s="46">
        <v>0</v>
      </c>
      <c r="P350" s="46">
        <v>0</v>
      </c>
      <c r="Q350" s="46">
        <v>0</v>
      </c>
      <c r="R350" s="46">
        <v>0</v>
      </c>
      <c r="S350" s="46">
        <v>22</v>
      </c>
      <c r="T350" s="48">
        <v>22</v>
      </c>
    </row>
    <row r="351" spans="1:20" ht="23.4" x14ac:dyDescent="0.25">
      <c r="A351" s="46">
        <v>350</v>
      </c>
      <c r="B351" s="47">
        <v>244000</v>
      </c>
      <c r="C351" s="46" t="s">
        <v>114</v>
      </c>
      <c r="D351" s="46" t="s">
        <v>115</v>
      </c>
      <c r="E351" s="46" t="s">
        <v>116</v>
      </c>
      <c r="F351" s="46" t="s">
        <v>119</v>
      </c>
      <c r="G351" s="46">
        <v>2</v>
      </c>
      <c r="H351" s="46" t="s">
        <v>117</v>
      </c>
      <c r="I351" s="46" t="s">
        <v>2532</v>
      </c>
      <c r="J351" s="46" t="s">
        <v>2533</v>
      </c>
      <c r="K351" s="46" t="s">
        <v>2194</v>
      </c>
      <c r="L351" s="49" t="s">
        <v>2534</v>
      </c>
      <c r="N351" s="46">
        <v>16.68</v>
      </c>
      <c r="O351" s="46">
        <v>900</v>
      </c>
      <c r="P351" s="46">
        <v>13.5</v>
      </c>
      <c r="Q351" s="46">
        <v>0.94499999999999995</v>
      </c>
      <c r="R351" s="46">
        <v>0</v>
      </c>
      <c r="S351" s="46">
        <v>180</v>
      </c>
      <c r="T351" s="48">
        <v>194.45</v>
      </c>
    </row>
    <row r="352" spans="1:20" ht="23.4" x14ac:dyDescent="0.25">
      <c r="A352" s="46">
        <v>351</v>
      </c>
      <c r="B352" s="47">
        <v>244000</v>
      </c>
      <c r="C352" s="46" t="s">
        <v>114</v>
      </c>
      <c r="D352" s="46" t="s">
        <v>115</v>
      </c>
      <c r="E352" s="46" t="s">
        <v>116</v>
      </c>
      <c r="F352" s="46" t="s">
        <v>119</v>
      </c>
      <c r="G352" s="46">
        <v>2</v>
      </c>
      <c r="H352" s="46" t="s">
        <v>117</v>
      </c>
      <c r="I352" s="46" t="s">
        <v>2535</v>
      </c>
      <c r="J352" s="46" t="s">
        <v>2536</v>
      </c>
      <c r="K352" s="46" t="s">
        <v>2537</v>
      </c>
      <c r="L352" s="49" t="s">
        <v>2538</v>
      </c>
      <c r="N352" s="46">
        <v>3.8959999999999999</v>
      </c>
      <c r="O352" s="46">
        <v>835</v>
      </c>
      <c r="P352" s="46">
        <v>12.525</v>
      </c>
      <c r="Q352" s="46">
        <v>0.87670000000000003</v>
      </c>
      <c r="R352" s="46">
        <v>0</v>
      </c>
      <c r="S352" s="46">
        <v>43</v>
      </c>
      <c r="T352" s="48">
        <v>56.4</v>
      </c>
    </row>
    <row r="353" spans="1:20" ht="23.4" x14ac:dyDescent="0.25">
      <c r="A353" s="46">
        <v>352</v>
      </c>
      <c r="B353" s="47">
        <v>244000</v>
      </c>
      <c r="C353" s="46" t="s">
        <v>114</v>
      </c>
      <c r="D353" s="46" t="s">
        <v>115</v>
      </c>
      <c r="E353" s="46" t="s">
        <v>116</v>
      </c>
      <c r="F353" s="46" t="s">
        <v>119</v>
      </c>
      <c r="G353" s="46">
        <v>2</v>
      </c>
      <c r="H353" s="46" t="s">
        <v>117</v>
      </c>
      <c r="I353" s="46" t="s">
        <v>2539</v>
      </c>
      <c r="J353" s="46" t="s">
        <v>2540</v>
      </c>
      <c r="K353" s="46" t="s">
        <v>2541</v>
      </c>
      <c r="L353" s="49" t="s">
        <v>2542</v>
      </c>
      <c r="N353" s="46">
        <v>10.62</v>
      </c>
      <c r="O353" s="46">
        <v>0</v>
      </c>
      <c r="P353" s="46">
        <v>0</v>
      </c>
      <c r="Q353" s="46">
        <v>0</v>
      </c>
      <c r="R353" s="46">
        <v>0</v>
      </c>
      <c r="S353" s="46">
        <v>120</v>
      </c>
      <c r="T353" s="48">
        <v>120</v>
      </c>
    </row>
    <row r="354" spans="1:20" ht="23.4" x14ac:dyDescent="0.25">
      <c r="A354" s="46">
        <v>353</v>
      </c>
      <c r="B354" s="47">
        <v>244000</v>
      </c>
      <c r="C354" s="46" t="s">
        <v>114</v>
      </c>
      <c r="D354" s="46" t="s">
        <v>115</v>
      </c>
      <c r="E354" s="46" t="s">
        <v>116</v>
      </c>
      <c r="F354" s="46" t="s">
        <v>119</v>
      </c>
      <c r="G354" s="46">
        <v>2</v>
      </c>
      <c r="H354" s="46" t="s">
        <v>117</v>
      </c>
      <c r="I354" s="46" t="s">
        <v>2543</v>
      </c>
      <c r="J354" s="46" t="s">
        <v>2544</v>
      </c>
      <c r="K354" s="46" t="s">
        <v>136</v>
      </c>
      <c r="L354" s="49" t="s">
        <v>2545</v>
      </c>
      <c r="N354" s="46">
        <v>1.2E-2</v>
      </c>
      <c r="O354" s="46">
        <v>0</v>
      </c>
      <c r="P354" s="46">
        <v>0</v>
      </c>
      <c r="Q354" s="46">
        <v>0</v>
      </c>
      <c r="R354" s="46">
        <v>0</v>
      </c>
      <c r="S354" s="46">
        <v>17</v>
      </c>
      <c r="T354" s="48">
        <v>17</v>
      </c>
    </row>
    <row r="355" spans="1:20" ht="23.4" x14ac:dyDescent="0.25">
      <c r="A355" s="46">
        <v>354</v>
      </c>
      <c r="B355" s="47">
        <v>244000</v>
      </c>
      <c r="C355" s="46" t="s">
        <v>114</v>
      </c>
      <c r="D355" s="46" t="s">
        <v>115</v>
      </c>
      <c r="E355" s="46" t="s">
        <v>116</v>
      </c>
      <c r="F355" s="46" t="s">
        <v>119</v>
      </c>
      <c r="G355" s="46">
        <v>2</v>
      </c>
      <c r="H355" s="46" t="s">
        <v>117</v>
      </c>
      <c r="I355" s="46" t="s">
        <v>2546</v>
      </c>
      <c r="J355" s="46" t="s">
        <v>2547</v>
      </c>
      <c r="K355" s="46" t="s">
        <v>136</v>
      </c>
      <c r="L355" s="49" t="s">
        <v>2548</v>
      </c>
      <c r="N355" s="46">
        <v>1.2E-2</v>
      </c>
      <c r="O355" s="46">
        <v>0</v>
      </c>
      <c r="P355" s="46">
        <v>0</v>
      </c>
      <c r="Q355" s="46">
        <v>0</v>
      </c>
      <c r="R355" s="46">
        <v>0</v>
      </c>
      <c r="S355" s="46">
        <v>17</v>
      </c>
      <c r="T355" s="48">
        <v>17</v>
      </c>
    </row>
    <row r="356" spans="1:20" ht="23.4" x14ac:dyDescent="0.25">
      <c r="A356" s="46">
        <v>355</v>
      </c>
      <c r="B356" s="47">
        <v>244000</v>
      </c>
      <c r="C356" s="46" t="s">
        <v>114</v>
      </c>
      <c r="D356" s="46" t="s">
        <v>115</v>
      </c>
      <c r="E356" s="46" t="s">
        <v>116</v>
      </c>
      <c r="F356" s="46" t="s">
        <v>119</v>
      </c>
      <c r="G356" s="46">
        <v>2</v>
      </c>
      <c r="H356" s="46" t="s">
        <v>117</v>
      </c>
      <c r="I356" s="46" t="s">
        <v>2549</v>
      </c>
      <c r="J356" s="46" t="s">
        <v>2550</v>
      </c>
      <c r="K356" s="46" t="s">
        <v>136</v>
      </c>
      <c r="L356" s="49" t="s">
        <v>2551</v>
      </c>
      <c r="N356" s="46">
        <v>1.2E-2</v>
      </c>
      <c r="O356" s="46">
        <v>0</v>
      </c>
      <c r="P356" s="46">
        <v>0</v>
      </c>
      <c r="Q356" s="46">
        <v>0</v>
      </c>
      <c r="R356" s="46">
        <v>0</v>
      </c>
      <c r="S356" s="46">
        <v>17</v>
      </c>
      <c r="T356" s="48">
        <v>17</v>
      </c>
    </row>
    <row r="357" spans="1:20" ht="23.4" x14ac:dyDescent="0.25">
      <c r="A357" s="46">
        <v>356</v>
      </c>
      <c r="B357" s="47">
        <v>244000</v>
      </c>
      <c r="C357" s="46" t="s">
        <v>114</v>
      </c>
      <c r="D357" s="46" t="s">
        <v>115</v>
      </c>
      <c r="E357" s="46" t="s">
        <v>116</v>
      </c>
      <c r="F357" s="46" t="s">
        <v>119</v>
      </c>
      <c r="G357" s="46">
        <v>2</v>
      </c>
      <c r="H357" s="46" t="s">
        <v>117</v>
      </c>
      <c r="I357" s="46" t="s">
        <v>2552</v>
      </c>
      <c r="J357" s="46" t="s">
        <v>2553</v>
      </c>
      <c r="K357" s="46" t="s">
        <v>136</v>
      </c>
      <c r="L357" s="49" t="s">
        <v>2554</v>
      </c>
      <c r="N357" s="46">
        <v>1.2E-2</v>
      </c>
      <c r="O357" s="46">
        <v>0</v>
      </c>
      <c r="P357" s="46">
        <v>0</v>
      </c>
      <c r="Q357" s="46">
        <v>0</v>
      </c>
      <c r="R357" s="46">
        <v>0</v>
      </c>
      <c r="S357" s="46">
        <v>17</v>
      </c>
      <c r="T357" s="48">
        <v>17</v>
      </c>
    </row>
    <row r="358" spans="1:20" ht="23.4" x14ac:dyDescent="0.25">
      <c r="A358" s="46">
        <v>357</v>
      </c>
      <c r="B358" s="47">
        <v>244000</v>
      </c>
      <c r="C358" s="46" t="s">
        <v>114</v>
      </c>
      <c r="D358" s="46" t="s">
        <v>115</v>
      </c>
      <c r="E358" s="46" t="s">
        <v>116</v>
      </c>
      <c r="F358" s="46" t="s">
        <v>119</v>
      </c>
      <c r="G358" s="46">
        <v>2</v>
      </c>
      <c r="H358" s="46" t="s">
        <v>117</v>
      </c>
      <c r="I358" s="46" t="s">
        <v>2555</v>
      </c>
      <c r="J358" s="46" t="s">
        <v>2556</v>
      </c>
      <c r="K358" s="46" t="s">
        <v>136</v>
      </c>
      <c r="L358" s="49" t="s">
        <v>2557</v>
      </c>
      <c r="N358" s="46">
        <v>1.2E-2</v>
      </c>
      <c r="O358" s="46">
        <v>0</v>
      </c>
      <c r="P358" s="46">
        <v>0</v>
      </c>
      <c r="Q358" s="46">
        <v>0</v>
      </c>
      <c r="R358" s="46">
        <v>0</v>
      </c>
      <c r="S358" s="46">
        <v>17</v>
      </c>
      <c r="T358" s="48">
        <v>17</v>
      </c>
    </row>
    <row r="359" spans="1:20" ht="23.4" x14ac:dyDescent="0.25">
      <c r="A359" s="46">
        <v>358</v>
      </c>
      <c r="B359" s="47">
        <v>244000</v>
      </c>
      <c r="C359" s="46" t="s">
        <v>114</v>
      </c>
      <c r="D359" s="46" t="s">
        <v>115</v>
      </c>
      <c r="E359" s="46" t="s">
        <v>116</v>
      </c>
      <c r="F359" s="46" t="s">
        <v>119</v>
      </c>
      <c r="G359" s="46">
        <v>2</v>
      </c>
      <c r="H359" s="46" t="s">
        <v>117</v>
      </c>
      <c r="I359" s="46" t="s">
        <v>2558</v>
      </c>
      <c r="J359" s="46" t="s">
        <v>2559</v>
      </c>
      <c r="K359" s="46" t="s">
        <v>136</v>
      </c>
      <c r="L359" s="49" t="s">
        <v>2560</v>
      </c>
      <c r="N359" s="46">
        <v>1.2E-2</v>
      </c>
      <c r="O359" s="46">
        <v>0</v>
      </c>
      <c r="P359" s="46">
        <v>0</v>
      </c>
      <c r="Q359" s="46">
        <v>0</v>
      </c>
      <c r="R359" s="46">
        <v>0</v>
      </c>
      <c r="S359" s="46">
        <v>17</v>
      </c>
      <c r="T359" s="48">
        <v>17</v>
      </c>
    </row>
    <row r="360" spans="1:20" ht="23.4" x14ac:dyDescent="0.25">
      <c r="A360" s="46">
        <v>359</v>
      </c>
      <c r="B360" s="47">
        <v>244001</v>
      </c>
      <c r="C360" s="46" t="s">
        <v>114</v>
      </c>
      <c r="D360" s="46" t="s">
        <v>115</v>
      </c>
      <c r="E360" s="46" t="s">
        <v>116</v>
      </c>
      <c r="F360" s="46" t="s">
        <v>119</v>
      </c>
      <c r="G360" s="46">
        <v>2</v>
      </c>
      <c r="H360" s="46" t="s">
        <v>117</v>
      </c>
      <c r="I360" s="46" t="s">
        <v>2561</v>
      </c>
      <c r="J360" s="46" t="s">
        <v>2562</v>
      </c>
      <c r="K360" s="46" t="s">
        <v>2563</v>
      </c>
      <c r="L360" s="49" t="s">
        <v>2564</v>
      </c>
      <c r="N360" s="46">
        <v>7.29</v>
      </c>
      <c r="O360" s="46">
        <v>0</v>
      </c>
      <c r="P360" s="46">
        <v>0</v>
      </c>
      <c r="Q360" s="46">
        <v>0</v>
      </c>
      <c r="R360" s="46">
        <v>0</v>
      </c>
      <c r="S360" s="46">
        <v>90</v>
      </c>
      <c r="T360" s="48">
        <v>90</v>
      </c>
    </row>
    <row r="361" spans="1:20" ht="23.4" x14ac:dyDescent="0.25">
      <c r="A361" s="46">
        <v>360</v>
      </c>
      <c r="B361" s="47">
        <v>244001</v>
      </c>
      <c r="C361" s="46" t="s">
        <v>114</v>
      </c>
      <c r="D361" s="46" t="s">
        <v>115</v>
      </c>
      <c r="E361" s="46" t="s">
        <v>116</v>
      </c>
      <c r="F361" s="46" t="s">
        <v>119</v>
      </c>
      <c r="G361" s="46">
        <v>2</v>
      </c>
      <c r="H361" s="46" t="s">
        <v>117</v>
      </c>
      <c r="I361" s="46" t="s">
        <v>2565</v>
      </c>
      <c r="J361" s="46" t="s">
        <v>2566</v>
      </c>
      <c r="K361" s="46" t="s">
        <v>2567</v>
      </c>
      <c r="L361" s="49" t="s">
        <v>2568</v>
      </c>
      <c r="N361" s="46">
        <v>16.995000000000001</v>
      </c>
      <c r="O361" s="46">
        <v>0</v>
      </c>
      <c r="P361" s="46">
        <v>0</v>
      </c>
      <c r="Q361" s="46">
        <v>0</v>
      </c>
      <c r="R361" s="46">
        <v>0</v>
      </c>
      <c r="S361" s="46">
        <v>180</v>
      </c>
      <c r="T361" s="48">
        <v>180</v>
      </c>
    </row>
    <row r="362" spans="1:20" ht="23.4" x14ac:dyDescent="0.25">
      <c r="A362" s="46">
        <v>361</v>
      </c>
      <c r="B362" s="47">
        <v>244001</v>
      </c>
      <c r="C362" s="46" t="s">
        <v>114</v>
      </c>
      <c r="D362" s="46" t="s">
        <v>115</v>
      </c>
      <c r="E362" s="46" t="s">
        <v>116</v>
      </c>
      <c r="F362" s="46" t="s">
        <v>119</v>
      </c>
      <c r="G362" s="46">
        <v>2</v>
      </c>
      <c r="H362" s="46" t="s">
        <v>117</v>
      </c>
      <c r="I362" s="46" t="s">
        <v>2569</v>
      </c>
      <c r="J362" s="46" t="s">
        <v>2570</v>
      </c>
      <c r="K362" s="46" t="s">
        <v>2567</v>
      </c>
      <c r="L362" s="49" t="s">
        <v>2568</v>
      </c>
      <c r="N362" s="46">
        <v>9.17</v>
      </c>
      <c r="O362" s="46">
        <v>0</v>
      </c>
      <c r="P362" s="46">
        <v>0</v>
      </c>
      <c r="Q362" s="46">
        <v>0</v>
      </c>
      <c r="R362" s="46">
        <v>0</v>
      </c>
      <c r="S362" s="46">
        <v>110</v>
      </c>
      <c r="T362" s="48">
        <v>110</v>
      </c>
    </row>
    <row r="363" spans="1:20" ht="23.4" x14ac:dyDescent="0.25">
      <c r="A363" s="46">
        <v>362</v>
      </c>
      <c r="B363" s="47">
        <v>244001</v>
      </c>
      <c r="C363" s="46" t="s">
        <v>114</v>
      </c>
      <c r="D363" s="46" t="s">
        <v>115</v>
      </c>
      <c r="E363" s="46" t="s">
        <v>116</v>
      </c>
      <c r="F363" s="46" t="s">
        <v>119</v>
      </c>
      <c r="G363" s="46">
        <v>2</v>
      </c>
      <c r="H363" s="46" t="s">
        <v>117</v>
      </c>
      <c r="I363" s="46" t="s">
        <v>2571</v>
      </c>
      <c r="J363" s="46" t="s">
        <v>2572</v>
      </c>
      <c r="K363" s="46" t="s">
        <v>2573</v>
      </c>
      <c r="L363" s="49" t="s">
        <v>2574</v>
      </c>
      <c r="N363" s="46">
        <v>1.75</v>
      </c>
      <c r="O363" s="46">
        <v>430</v>
      </c>
      <c r="P363" s="46">
        <v>6.45</v>
      </c>
      <c r="Q363" s="46">
        <v>0.45150000000000001</v>
      </c>
      <c r="R363" s="46">
        <v>0</v>
      </c>
      <c r="S363" s="46">
        <v>22</v>
      </c>
      <c r="T363" s="48">
        <v>28.9</v>
      </c>
    </row>
    <row r="364" spans="1:20" ht="23.4" x14ac:dyDescent="0.25">
      <c r="A364" s="46">
        <v>363</v>
      </c>
      <c r="B364" s="47">
        <v>244001</v>
      </c>
      <c r="C364" s="46" t="s">
        <v>114</v>
      </c>
      <c r="D364" s="46" t="s">
        <v>115</v>
      </c>
      <c r="E364" s="46" t="s">
        <v>116</v>
      </c>
      <c r="F364" s="46" t="s">
        <v>119</v>
      </c>
      <c r="G364" s="46">
        <v>2</v>
      </c>
      <c r="H364" s="46" t="s">
        <v>117</v>
      </c>
      <c r="I364" s="46" t="s">
        <v>2575</v>
      </c>
      <c r="J364" s="46" t="s">
        <v>2576</v>
      </c>
      <c r="K364" s="46" t="s">
        <v>2577</v>
      </c>
      <c r="L364" s="49" t="s">
        <v>2578</v>
      </c>
      <c r="N364" s="46">
        <v>1.8220000000000001</v>
      </c>
      <c r="O364" s="46">
        <v>0</v>
      </c>
      <c r="P364" s="46">
        <v>0</v>
      </c>
      <c r="Q364" s="46">
        <v>0</v>
      </c>
      <c r="R364" s="46">
        <v>15</v>
      </c>
      <c r="S364" s="46">
        <v>37</v>
      </c>
      <c r="T364" s="48">
        <v>37</v>
      </c>
    </row>
    <row r="365" spans="1:20" ht="23.4" x14ac:dyDescent="0.25">
      <c r="A365" s="46">
        <v>364</v>
      </c>
      <c r="B365" s="47">
        <v>244001</v>
      </c>
      <c r="C365" s="46" t="s">
        <v>114</v>
      </c>
      <c r="D365" s="46" t="s">
        <v>115</v>
      </c>
      <c r="E365" s="46" t="s">
        <v>116</v>
      </c>
      <c r="F365" s="46" t="s">
        <v>119</v>
      </c>
      <c r="G365" s="46">
        <v>2</v>
      </c>
      <c r="H365" s="46" t="s">
        <v>117</v>
      </c>
      <c r="I365" s="46" t="s">
        <v>2579</v>
      </c>
      <c r="J365" s="46" t="s">
        <v>1951</v>
      </c>
      <c r="K365" s="46" t="s">
        <v>1952</v>
      </c>
      <c r="L365" s="49" t="s">
        <v>1953</v>
      </c>
      <c r="N365" s="46">
        <v>1.738</v>
      </c>
      <c r="O365" s="46">
        <v>0</v>
      </c>
      <c r="P365" s="46">
        <v>0</v>
      </c>
      <c r="Q365" s="46">
        <v>0</v>
      </c>
      <c r="R365" s="46">
        <v>0</v>
      </c>
      <c r="S365" s="46">
        <v>22</v>
      </c>
      <c r="T365" s="48">
        <v>22</v>
      </c>
    </row>
    <row r="366" spans="1:20" ht="23.4" x14ac:dyDescent="0.25">
      <c r="A366" s="46">
        <v>365</v>
      </c>
      <c r="B366" s="47">
        <v>244001</v>
      </c>
      <c r="C366" s="46" t="s">
        <v>114</v>
      </c>
      <c r="D366" s="46" t="s">
        <v>115</v>
      </c>
      <c r="E366" s="46" t="s">
        <v>116</v>
      </c>
      <c r="F366" s="46" t="s">
        <v>119</v>
      </c>
      <c r="G366" s="46">
        <v>2</v>
      </c>
      <c r="H366" s="46" t="s">
        <v>117</v>
      </c>
      <c r="I366" s="46" t="s">
        <v>2580</v>
      </c>
      <c r="J366" s="46" t="s">
        <v>145</v>
      </c>
      <c r="K366" s="46" t="s">
        <v>146</v>
      </c>
      <c r="L366" s="49" t="s">
        <v>147</v>
      </c>
      <c r="N366" s="46">
        <v>1.03</v>
      </c>
      <c r="O366" s="46">
        <v>270</v>
      </c>
      <c r="P366" s="46">
        <v>4.05</v>
      </c>
      <c r="Q366" s="46">
        <v>0.28349999999999997</v>
      </c>
      <c r="R366" s="46">
        <v>0</v>
      </c>
      <c r="S366" s="46">
        <v>22</v>
      </c>
      <c r="T366" s="48">
        <v>26.33</v>
      </c>
    </row>
    <row r="367" spans="1:20" ht="23.4" x14ac:dyDescent="0.25">
      <c r="A367" s="46">
        <v>366</v>
      </c>
      <c r="B367" s="47">
        <v>244001</v>
      </c>
      <c r="C367" s="46" t="s">
        <v>114</v>
      </c>
      <c r="D367" s="46" t="s">
        <v>115</v>
      </c>
      <c r="E367" s="46" t="s">
        <v>116</v>
      </c>
      <c r="F367" s="46" t="s">
        <v>119</v>
      </c>
      <c r="G367" s="46">
        <v>2</v>
      </c>
      <c r="H367" s="46" t="s">
        <v>117</v>
      </c>
      <c r="I367" s="46" t="s">
        <v>2581</v>
      </c>
      <c r="J367" s="46" t="s">
        <v>2582</v>
      </c>
      <c r="K367" s="46" t="s">
        <v>2583</v>
      </c>
      <c r="L367" s="49" t="s">
        <v>2584</v>
      </c>
      <c r="N367" s="46">
        <v>1.788</v>
      </c>
      <c r="O367" s="46">
        <v>430</v>
      </c>
      <c r="P367" s="46">
        <v>6.45</v>
      </c>
      <c r="Q367" s="46">
        <v>0.45150000000000001</v>
      </c>
      <c r="R367" s="46">
        <v>0</v>
      </c>
      <c r="S367" s="46">
        <v>22</v>
      </c>
      <c r="T367" s="48">
        <v>28.9</v>
      </c>
    </row>
    <row r="368" spans="1:20" ht="23.4" x14ac:dyDescent="0.25">
      <c r="A368" s="46">
        <v>367</v>
      </c>
      <c r="B368" s="47">
        <v>244001</v>
      </c>
      <c r="C368" s="46" t="s">
        <v>114</v>
      </c>
      <c r="D368" s="46" t="s">
        <v>115</v>
      </c>
      <c r="E368" s="46" t="s">
        <v>116</v>
      </c>
      <c r="F368" s="46" t="s">
        <v>119</v>
      </c>
      <c r="G368" s="46">
        <v>2</v>
      </c>
      <c r="H368" s="46" t="s">
        <v>117</v>
      </c>
      <c r="I368" s="46" t="s">
        <v>2585</v>
      </c>
      <c r="J368" s="46" t="s">
        <v>2586</v>
      </c>
      <c r="K368" s="46" t="s">
        <v>2587</v>
      </c>
      <c r="L368" s="49" t="s">
        <v>2588</v>
      </c>
      <c r="N368" s="46">
        <v>1.556</v>
      </c>
      <c r="O368" s="46">
        <v>0</v>
      </c>
      <c r="P368" s="46">
        <v>0</v>
      </c>
      <c r="Q368" s="46">
        <v>0</v>
      </c>
      <c r="R368" s="46">
        <v>0</v>
      </c>
      <c r="S368" s="46">
        <v>22</v>
      </c>
      <c r="T368" s="48">
        <v>22</v>
      </c>
    </row>
    <row r="369" spans="1:20" ht="23.4" x14ac:dyDescent="0.25">
      <c r="A369" s="46">
        <v>368</v>
      </c>
      <c r="B369" s="47">
        <v>244001</v>
      </c>
      <c r="C369" s="46" t="s">
        <v>114</v>
      </c>
      <c r="D369" s="46" t="s">
        <v>115</v>
      </c>
      <c r="E369" s="46" t="s">
        <v>116</v>
      </c>
      <c r="F369" s="46" t="s">
        <v>119</v>
      </c>
      <c r="G369" s="46">
        <v>2</v>
      </c>
      <c r="H369" s="46" t="s">
        <v>117</v>
      </c>
      <c r="I369" s="46" t="s">
        <v>2589</v>
      </c>
      <c r="J369" s="46" t="s">
        <v>2590</v>
      </c>
      <c r="K369" s="46" t="s">
        <v>2591</v>
      </c>
      <c r="L369" s="49" t="s">
        <v>2592</v>
      </c>
      <c r="N369" s="46">
        <v>1.026</v>
      </c>
      <c r="O369" s="46">
        <v>270</v>
      </c>
      <c r="P369" s="46">
        <v>4.05</v>
      </c>
      <c r="Q369" s="46">
        <v>0.28349999999999997</v>
      </c>
      <c r="R369" s="46">
        <v>0</v>
      </c>
      <c r="S369" s="46">
        <v>22</v>
      </c>
      <c r="T369" s="48">
        <v>26.33</v>
      </c>
    </row>
    <row r="370" spans="1:20" ht="23.4" x14ac:dyDescent="0.25">
      <c r="A370" s="46">
        <v>369</v>
      </c>
      <c r="B370" s="47">
        <v>244001</v>
      </c>
      <c r="C370" s="46" t="s">
        <v>114</v>
      </c>
      <c r="D370" s="46" t="s">
        <v>115</v>
      </c>
      <c r="E370" s="46" t="s">
        <v>116</v>
      </c>
      <c r="F370" s="46" t="s">
        <v>119</v>
      </c>
      <c r="G370" s="46">
        <v>2</v>
      </c>
      <c r="H370" s="46" t="s">
        <v>117</v>
      </c>
      <c r="I370" s="46" t="s">
        <v>2593</v>
      </c>
      <c r="J370" s="46" t="s">
        <v>2594</v>
      </c>
      <c r="K370" s="46" t="s">
        <v>2595</v>
      </c>
      <c r="L370" s="49" t="s">
        <v>2596</v>
      </c>
      <c r="N370" s="46">
        <v>1.034</v>
      </c>
      <c r="O370" s="46">
        <v>0</v>
      </c>
      <c r="P370" s="46">
        <v>0</v>
      </c>
      <c r="Q370" s="46">
        <v>0</v>
      </c>
      <c r="R370" s="46">
        <v>0</v>
      </c>
      <c r="S370" s="46">
        <v>22</v>
      </c>
      <c r="T370" s="48">
        <v>22</v>
      </c>
    </row>
    <row r="371" spans="1:20" ht="23.4" x14ac:dyDescent="0.25">
      <c r="A371" s="46">
        <v>370</v>
      </c>
      <c r="B371" s="47">
        <v>244001</v>
      </c>
      <c r="C371" s="46" t="s">
        <v>114</v>
      </c>
      <c r="D371" s="46" t="s">
        <v>115</v>
      </c>
      <c r="E371" s="46" t="s">
        <v>116</v>
      </c>
      <c r="F371" s="46" t="s">
        <v>119</v>
      </c>
      <c r="G371" s="46">
        <v>2</v>
      </c>
      <c r="H371" s="46" t="s">
        <v>117</v>
      </c>
      <c r="I371" s="46" t="s">
        <v>2597</v>
      </c>
      <c r="J371" s="46" t="s">
        <v>2598</v>
      </c>
      <c r="K371" s="46" t="s">
        <v>2599</v>
      </c>
      <c r="L371" s="49" t="s">
        <v>2600</v>
      </c>
      <c r="N371" s="46">
        <v>6.33</v>
      </c>
      <c r="O371" s="46">
        <v>0</v>
      </c>
      <c r="P371" s="46">
        <v>0</v>
      </c>
      <c r="Q371" s="46">
        <v>0</v>
      </c>
      <c r="R371" s="46">
        <v>0</v>
      </c>
      <c r="S371" s="46">
        <v>80</v>
      </c>
      <c r="T371" s="48">
        <v>80</v>
      </c>
    </row>
    <row r="372" spans="1:20" ht="23.4" x14ac:dyDescent="0.25">
      <c r="A372" s="46">
        <v>371</v>
      </c>
      <c r="B372" s="47">
        <v>244001</v>
      </c>
      <c r="C372" s="46" t="s">
        <v>114</v>
      </c>
      <c r="D372" s="46" t="s">
        <v>115</v>
      </c>
      <c r="E372" s="46" t="s">
        <v>116</v>
      </c>
      <c r="F372" s="46" t="s">
        <v>119</v>
      </c>
      <c r="G372" s="46">
        <v>2</v>
      </c>
      <c r="H372" s="46" t="s">
        <v>117</v>
      </c>
      <c r="I372" s="46" t="s">
        <v>2601</v>
      </c>
      <c r="J372" s="46" t="s">
        <v>2602</v>
      </c>
      <c r="K372" s="46" t="s">
        <v>2603</v>
      </c>
      <c r="L372" s="49" t="s">
        <v>2604</v>
      </c>
      <c r="N372" s="46">
        <v>1.796</v>
      </c>
      <c r="O372" s="46">
        <v>0</v>
      </c>
      <c r="P372" s="46">
        <v>0</v>
      </c>
      <c r="Q372" s="46">
        <v>0</v>
      </c>
      <c r="R372" s="46">
        <v>0</v>
      </c>
      <c r="S372" s="46">
        <v>22</v>
      </c>
      <c r="T372" s="48">
        <v>22</v>
      </c>
    </row>
    <row r="373" spans="1:20" ht="23.4" x14ac:dyDescent="0.25">
      <c r="A373" s="46">
        <v>372</v>
      </c>
      <c r="B373" s="47">
        <v>244001</v>
      </c>
      <c r="C373" s="46" t="s">
        <v>114</v>
      </c>
      <c r="D373" s="46" t="s">
        <v>115</v>
      </c>
      <c r="E373" s="46" t="s">
        <v>116</v>
      </c>
      <c r="F373" s="46" t="s">
        <v>119</v>
      </c>
      <c r="G373" s="46">
        <v>2</v>
      </c>
      <c r="H373" s="46" t="s">
        <v>117</v>
      </c>
      <c r="I373" s="46" t="s">
        <v>2605</v>
      </c>
      <c r="J373" s="46" t="s">
        <v>2606</v>
      </c>
      <c r="K373" s="46" t="s">
        <v>2607</v>
      </c>
      <c r="L373" s="49" t="s">
        <v>2608</v>
      </c>
      <c r="N373" s="46">
        <v>5.89</v>
      </c>
      <c r="O373" s="46">
        <v>625</v>
      </c>
      <c r="P373" s="46">
        <v>9.375</v>
      </c>
      <c r="Q373" s="46">
        <v>0.65629999999999999</v>
      </c>
      <c r="R373" s="46">
        <v>0</v>
      </c>
      <c r="S373" s="46">
        <v>70</v>
      </c>
      <c r="T373" s="48">
        <v>80.03</v>
      </c>
    </row>
    <row r="374" spans="1:20" ht="23.4" x14ac:dyDescent="0.25">
      <c r="A374" s="46">
        <v>373</v>
      </c>
      <c r="B374" s="47">
        <v>244001</v>
      </c>
      <c r="C374" s="46" t="s">
        <v>114</v>
      </c>
      <c r="D374" s="46" t="s">
        <v>115</v>
      </c>
      <c r="E374" s="46" t="s">
        <v>116</v>
      </c>
      <c r="F374" s="46" t="s">
        <v>119</v>
      </c>
      <c r="G374" s="46">
        <v>2</v>
      </c>
      <c r="H374" s="46" t="s">
        <v>117</v>
      </c>
      <c r="I374" s="46" t="s">
        <v>1058</v>
      </c>
      <c r="J374" s="46" t="s">
        <v>1054</v>
      </c>
      <c r="K374" s="46" t="s">
        <v>2609</v>
      </c>
      <c r="L374" s="49" t="s">
        <v>2610</v>
      </c>
      <c r="N374" s="46">
        <v>0.26</v>
      </c>
      <c r="O374" s="46">
        <v>0</v>
      </c>
      <c r="P374" s="46">
        <v>0</v>
      </c>
      <c r="Q374" s="46">
        <v>0</v>
      </c>
      <c r="R374" s="46">
        <v>0</v>
      </c>
      <c r="S374" s="46">
        <v>17</v>
      </c>
      <c r="T374" s="48">
        <v>17</v>
      </c>
    </row>
    <row r="375" spans="1:20" ht="23.4" x14ac:dyDescent="0.25">
      <c r="A375" s="46">
        <v>374</v>
      </c>
      <c r="B375" s="47">
        <v>244001</v>
      </c>
      <c r="C375" s="46" t="s">
        <v>114</v>
      </c>
      <c r="D375" s="46" t="s">
        <v>115</v>
      </c>
      <c r="E375" s="46" t="s">
        <v>116</v>
      </c>
      <c r="F375" s="46" t="s">
        <v>119</v>
      </c>
      <c r="G375" s="46">
        <v>2</v>
      </c>
      <c r="H375" s="46" t="s">
        <v>117</v>
      </c>
      <c r="I375" s="46" t="s">
        <v>2611</v>
      </c>
      <c r="J375" s="46" t="s">
        <v>2612</v>
      </c>
      <c r="K375" s="46" t="s">
        <v>2613</v>
      </c>
      <c r="L375" s="49" t="s">
        <v>2614</v>
      </c>
      <c r="N375" s="46">
        <v>0.71799999999999997</v>
      </c>
      <c r="O375" s="46">
        <v>169</v>
      </c>
      <c r="P375" s="46">
        <v>2.5350000000000001</v>
      </c>
      <c r="Q375" s="46">
        <v>0.17749999999999999</v>
      </c>
      <c r="R375" s="46">
        <v>0</v>
      </c>
      <c r="S375" s="46">
        <v>17</v>
      </c>
      <c r="T375" s="48">
        <v>19.71</v>
      </c>
    </row>
    <row r="376" spans="1:20" ht="23.4" x14ac:dyDescent="0.25">
      <c r="A376" s="46">
        <v>375</v>
      </c>
      <c r="B376" s="47">
        <v>244001</v>
      </c>
      <c r="C376" s="46" t="s">
        <v>114</v>
      </c>
      <c r="D376" s="46" t="s">
        <v>115</v>
      </c>
      <c r="E376" s="46" t="s">
        <v>116</v>
      </c>
      <c r="F376" s="46" t="s">
        <v>119</v>
      </c>
      <c r="G376" s="46">
        <v>2</v>
      </c>
      <c r="H376" s="46" t="s">
        <v>117</v>
      </c>
      <c r="I376" s="46" t="s">
        <v>2615</v>
      </c>
      <c r="J376" s="46" t="s">
        <v>2616</v>
      </c>
      <c r="K376" s="46" t="s">
        <v>2617</v>
      </c>
      <c r="L376" s="49" t="s">
        <v>2618</v>
      </c>
      <c r="N376" s="46">
        <v>4.4400000000000004</v>
      </c>
      <c r="O376" s="46">
        <v>0</v>
      </c>
      <c r="P376" s="46">
        <v>0</v>
      </c>
      <c r="Q376" s="46">
        <v>0</v>
      </c>
      <c r="R376" s="46">
        <v>0</v>
      </c>
      <c r="S376" s="46">
        <v>53</v>
      </c>
      <c r="T376" s="48">
        <v>53</v>
      </c>
    </row>
    <row r="377" spans="1:20" ht="23.4" x14ac:dyDescent="0.25">
      <c r="A377" s="46">
        <v>376</v>
      </c>
      <c r="B377" s="47">
        <v>244001</v>
      </c>
      <c r="C377" s="46" t="s">
        <v>114</v>
      </c>
      <c r="D377" s="46" t="s">
        <v>115</v>
      </c>
      <c r="E377" s="46" t="s">
        <v>116</v>
      </c>
      <c r="F377" s="46" t="s">
        <v>119</v>
      </c>
      <c r="G377" s="46">
        <v>2</v>
      </c>
      <c r="H377" s="46" t="s">
        <v>117</v>
      </c>
      <c r="I377" s="46" t="s">
        <v>2619</v>
      </c>
      <c r="J377" s="46" t="s">
        <v>2620</v>
      </c>
      <c r="K377" s="46" t="s">
        <v>2621</v>
      </c>
      <c r="L377" s="49" t="s">
        <v>2622</v>
      </c>
      <c r="N377" s="46">
        <v>16.995000000000001</v>
      </c>
      <c r="O377" s="46">
        <v>0</v>
      </c>
      <c r="P377" s="46">
        <v>0</v>
      </c>
      <c r="Q377" s="46">
        <v>0</v>
      </c>
      <c r="R377" s="46">
        <v>0</v>
      </c>
      <c r="S377" s="46">
        <v>180</v>
      </c>
      <c r="T377" s="48">
        <v>180</v>
      </c>
    </row>
    <row r="378" spans="1:20" ht="23.4" x14ac:dyDescent="0.25">
      <c r="A378" s="46">
        <v>377</v>
      </c>
      <c r="B378" s="47">
        <v>244001</v>
      </c>
      <c r="C378" s="46" t="s">
        <v>114</v>
      </c>
      <c r="D378" s="46" t="s">
        <v>115</v>
      </c>
      <c r="E378" s="46" t="s">
        <v>116</v>
      </c>
      <c r="F378" s="46" t="s">
        <v>119</v>
      </c>
      <c r="G378" s="46">
        <v>2</v>
      </c>
      <c r="H378" s="46" t="s">
        <v>117</v>
      </c>
      <c r="I378" s="46" t="s">
        <v>2623</v>
      </c>
      <c r="J378" s="46" t="s">
        <v>2624</v>
      </c>
      <c r="K378" s="46" t="s">
        <v>2625</v>
      </c>
      <c r="L378" s="49" t="s">
        <v>2626</v>
      </c>
      <c r="N378" s="46">
        <v>1.24</v>
      </c>
      <c r="O378" s="46">
        <v>0</v>
      </c>
      <c r="P378" s="46">
        <v>0</v>
      </c>
      <c r="Q378" s="46">
        <v>0</v>
      </c>
      <c r="R378" s="46">
        <v>0</v>
      </c>
      <c r="S378" s="46">
        <v>22</v>
      </c>
      <c r="T378" s="48">
        <v>22</v>
      </c>
    </row>
    <row r="379" spans="1:20" ht="23.4" x14ac:dyDescent="0.25">
      <c r="A379" s="46">
        <v>378</v>
      </c>
      <c r="B379" s="47">
        <v>244001</v>
      </c>
      <c r="C379" s="46" t="s">
        <v>114</v>
      </c>
      <c r="D379" s="46" t="s">
        <v>115</v>
      </c>
      <c r="E379" s="46" t="s">
        <v>116</v>
      </c>
      <c r="F379" s="46" t="s">
        <v>119</v>
      </c>
      <c r="G379" s="46">
        <v>2</v>
      </c>
      <c r="H379" s="46" t="s">
        <v>117</v>
      </c>
      <c r="I379" s="46" t="s">
        <v>2627</v>
      </c>
      <c r="J379" s="46" t="s">
        <v>1442</v>
      </c>
      <c r="K379" s="46" t="s">
        <v>1443</v>
      </c>
      <c r="L379" s="49" t="s">
        <v>2628</v>
      </c>
      <c r="N379" s="46">
        <v>4.3040000000000003</v>
      </c>
      <c r="O379" s="46">
        <v>990</v>
      </c>
      <c r="P379" s="46">
        <v>14.85</v>
      </c>
      <c r="Q379" s="46">
        <v>1.0395000000000001</v>
      </c>
      <c r="R379" s="46">
        <v>0</v>
      </c>
      <c r="S379" s="46">
        <v>53</v>
      </c>
      <c r="T379" s="48">
        <v>68.89</v>
      </c>
    </row>
    <row r="380" spans="1:20" ht="23.4" x14ac:dyDescent="0.25">
      <c r="A380" s="46">
        <v>379</v>
      </c>
      <c r="B380" s="47">
        <v>244001</v>
      </c>
      <c r="C380" s="46" t="s">
        <v>114</v>
      </c>
      <c r="D380" s="46" t="s">
        <v>115</v>
      </c>
      <c r="E380" s="46" t="s">
        <v>116</v>
      </c>
      <c r="F380" s="46" t="s">
        <v>119</v>
      </c>
      <c r="G380" s="46">
        <v>2</v>
      </c>
      <c r="H380" s="46" t="s">
        <v>117</v>
      </c>
      <c r="I380" s="46" t="s">
        <v>2629</v>
      </c>
      <c r="J380" s="46" t="s">
        <v>2630</v>
      </c>
      <c r="K380" s="46" t="s">
        <v>2631</v>
      </c>
      <c r="L380" s="49" t="s">
        <v>2632</v>
      </c>
      <c r="N380" s="46">
        <v>1.034</v>
      </c>
      <c r="O380" s="46">
        <v>270</v>
      </c>
      <c r="P380" s="46">
        <v>4.05</v>
      </c>
      <c r="Q380" s="46">
        <v>0.28349999999999997</v>
      </c>
      <c r="R380" s="46">
        <v>0</v>
      </c>
      <c r="S380" s="46">
        <v>22</v>
      </c>
      <c r="T380" s="48">
        <v>26.33</v>
      </c>
    </row>
    <row r="381" spans="1:20" ht="23.4" x14ac:dyDescent="0.25">
      <c r="A381" s="46">
        <v>380</v>
      </c>
      <c r="B381" s="47">
        <v>244001</v>
      </c>
      <c r="C381" s="46" t="s">
        <v>114</v>
      </c>
      <c r="D381" s="46" t="s">
        <v>115</v>
      </c>
      <c r="E381" s="46" t="s">
        <v>116</v>
      </c>
      <c r="F381" s="46" t="s">
        <v>119</v>
      </c>
      <c r="G381" s="46">
        <v>2</v>
      </c>
      <c r="H381" s="46" t="s">
        <v>117</v>
      </c>
      <c r="I381" s="46" t="s">
        <v>2633</v>
      </c>
      <c r="J381" s="46" t="s">
        <v>2634</v>
      </c>
      <c r="K381" s="46" t="s">
        <v>2635</v>
      </c>
      <c r="L381" s="49" t="s">
        <v>2636</v>
      </c>
      <c r="N381" s="46">
        <v>0.10199999999999999</v>
      </c>
      <c r="O381" s="46">
        <v>0</v>
      </c>
      <c r="P381" s="46">
        <v>0</v>
      </c>
      <c r="Q381" s="46">
        <v>0</v>
      </c>
      <c r="R381" s="46">
        <v>0</v>
      </c>
      <c r="S381" s="46">
        <v>17</v>
      </c>
      <c r="T381" s="48">
        <v>17</v>
      </c>
    </row>
    <row r="382" spans="1:20" ht="23.4" x14ac:dyDescent="0.25">
      <c r="A382" s="46">
        <v>381</v>
      </c>
      <c r="B382" s="47">
        <v>244001</v>
      </c>
      <c r="C382" s="46" t="s">
        <v>114</v>
      </c>
      <c r="D382" s="46" t="s">
        <v>115</v>
      </c>
      <c r="E382" s="46" t="s">
        <v>116</v>
      </c>
      <c r="F382" s="46" t="s">
        <v>119</v>
      </c>
      <c r="G382" s="46">
        <v>2</v>
      </c>
      <c r="H382" s="46" t="s">
        <v>117</v>
      </c>
      <c r="I382" s="46" t="s">
        <v>2637</v>
      </c>
      <c r="J382" s="46" t="s">
        <v>2638</v>
      </c>
      <c r="K382" s="46" t="s">
        <v>2639</v>
      </c>
      <c r="L382" s="49" t="s">
        <v>2640</v>
      </c>
      <c r="N382" s="46">
        <v>7.0000000000000007E-2</v>
      </c>
      <c r="O382" s="46">
        <v>0</v>
      </c>
      <c r="P382" s="46">
        <v>0</v>
      </c>
      <c r="Q382" s="46">
        <v>0</v>
      </c>
      <c r="R382" s="46">
        <v>0</v>
      </c>
      <c r="S382" s="46">
        <v>17</v>
      </c>
      <c r="T382" s="48">
        <v>17</v>
      </c>
    </row>
    <row r="383" spans="1:20" ht="23.4" x14ac:dyDescent="0.25">
      <c r="A383" s="46">
        <v>382</v>
      </c>
      <c r="B383" s="47">
        <v>244001</v>
      </c>
      <c r="C383" s="46" t="s">
        <v>114</v>
      </c>
      <c r="D383" s="46" t="s">
        <v>115</v>
      </c>
      <c r="E383" s="46" t="s">
        <v>116</v>
      </c>
      <c r="F383" s="46" t="s">
        <v>119</v>
      </c>
      <c r="G383" s="46">
        <v>2</v>
      </c>
      <c r="H383" s="46" t="s">
        <v>117</v>
      </c>
      <c r="I383" s="46" t="s">
        <v>2641</v>
      </c>
      <c r="J383" s="46" t="s">
        <v>2642</v>
      </c>
      <c r="K383" s="46" t="s">
        <v>2643</v>
      </c>
      <c r="L383" s="49" t="s">
        <v>2644</v>
      </c>
      <c r="N383" s="46">
        <v>1.6E-2</v>
      </c>
      <c r="O383" s="46">
        <v>0</v>
      </c>
      <c r="P383" s="46">
        <v>0</v>
      </c>
      <c r="Q383" s="46">
        <v>0</v>
      </c>
      <c r="R383" s="46">
        <v>0</v>
      </c>
      <c r="S383" s="46">
        <v>17</v>
      </c>
      <c r="T383" s="48">
        <v>17</v>
      </c>
    </row>
    <row r="384" spans="1:20" ht="23.4" x14ac:dyDescent="0.25">
      <c r="A384" s="46">
        <v>383</v>
      </c>
      <c r="B384" s="47">
        <v>244001</v>
      </c>
      <c r="C384" s="46" t="s">
        <v>114</v>
      </c>
      <c r="D384" s="46" t="s">
        <v>115</v>
      </c>
      <c r="E384" s="46" t="s">
        <v>116</v>
      </c>
      <c r="F384" s="46" t="s">
        <v>119</v>
      </c>
      <c r="G384" s="46">
        <v>2</v>
      </c>
      <c r="H384" s="46" t="s">
        <v>117</v>
      </c>
      <c r="I384" s="46" t="s">
        <v>2645</v>
      </c>
      <c r="J384" s="46" t="s">
        <v>2646</v>
      </c>
      <c r="K384" s="46" t="s">
        <v>263</v>
      </c>
      <c r="L384" s="49" t="s">
        <v>2647</v>
      </c>
      <c r="N384" s="46">
        <v>1.6E-2</v>
      </c>
      <c r="O384" s="46">
        <v>0</v>
      </c>
      <c r="P384" s="46">
        <v>0</v>
      </c>
      <c r="Q384" s="46">
        <v>0</v>
      </c>
      <c r="R384" s="46">
        <v>0</v>
      </c>
      <c r="S384" s="46">
        <v>17</v>
      </c>
      <c r="T384" s="48">
        <v>17</v>
      </c>
    </row>
    <row r="385" spans="1:20" ht="23.4" x14ac:dyDescent="0.25">
      <c r="A385" s="46">
        <v>384</v>
      </c>
      <c r="B385" s="47">
        <v>244001</v>
      </c>
      <c r="C385" s="46" t="s">
        <v>114</v>
      </c>
      <c r="D385" s="46" t="s">
        <v>115</v>
      </c>
      <c r="E385" s="46" t="s">
        <v>116</v>
      </c>
      <c r="F385" s="46" t="s">
        <v>119</v>
      </c>
      <c r="G385" s="46">
        <v>2</v>
      </c>
      <c r="H385" s="46" t="s">
        <v>117</v>
      </c>
      <c r="I385" s="46" t="s">
        <v>2648</v>
      </c>
      <c r="J385" s="46" t="s">
        <v>2649</v>
      </c>
      <c r="K385" s="46" t="s">
        <v>2650</v>
      </c>
      <c r="L385" s="49" t="s">
        <v>2651</v>
      </c>
      <c r="N385" s="46">
        <v>1.6E-2</v>
      </c>
      <c r="O385" s="46">
        <v>0</v>
      </c>
      <c r="P385" s="46">
        <v>0</v>
      </c>
      <c r="Q385" s="46">
        <v>0</v>
      </c>
      <c r="R385" s="46">
        <v>0</v>
      </c>
      <c r="S385" s="46">
        <v>17</v>
      </c>
      <c r="T385" s="48">
        <v>17</v>
      </c>
    </row>
    <row r="386" spans="1:20" ht="23.4" x14ac:dyDescent="0.25">
      <c r="A386" s="46">
        <v>385</v>
      </c>
      <c r="B386" s="47">
        <v>244001</v>
      </c>
      <c r="C386" s="46" t="s">
        <v>114</v>
      </c>
      <c r="D386" s="46" t="s">
        <v>115</v>
      </c>
      <c r="E386" s="46" t="s">
        <v>116</v>
      </c>
      <c r="F386" s="46" t="s">
        <v>119</v>
      </c>
      <c r="G386" s="46">
        <v>2</v>
      </c>
      <c r="H386" s="46" t="s">
        <v>117</v>
      </c>
      <c r="I386" s="46" t="s">
        <v>2652</v>
      </c>
      <c r="J386" s="46" t="s">
        <v>2653</v>
      </c>
      <c r="K386" s="46" t="s">
        <v>2654</v>
      </c>
      <c r="L386" s="49" t="s">
        <v>2655</v>
      </c>
      <c r="N386" s="46">
        <v>1.6E-2</v>
      </c>
      <c r="O386" s="46">
        <v>0</v>
      </c>
      <c r="P386" s="46">
        <v>0</v>
      </c>
      <c r="Q386" s="46">
        <v>0</v>
      </c>
      <c r="R386" s="46">
        <v>0</v>
      </c>
      <c r="S386" s="46">
        <v>17</v>
      </c>
      <c r="T386" s="48">
        <v>17</v>
      </c>
    </row>
    <row r="387" spans="1:20" ht="23.4" x14ac:dyDescent="0.25">
      <c r="A387" s="46">
        <v>386</v>
      </c>
      <c r="B387" s="47">
        <v>244001</v>
      </c>
      <c r="C387" s="46" t="s">
        <v>114</v>
      </c>
      <c r="D387" s="46" t="s">
        <v>115</v>
      </c>
      <c r="E387" s="46" t="s">
        <v>116</v>
      </c>
      <c r="F387" s="46" t="s">
        <v>119</v>
      </c>
      <c r="G387" s="46">
        <v>2</v>
      </c>
      <c r="H387" s="46" t="s">
        <v>117</v>
      </c>
      <c r="I387" s="46" t="s">
        <v>2656</v>
      </c>
      <c r="J387" s="46" t="s">
        <v>2657</v>
      </c>
      <c r="K387" s="46" t="s">
        <v>2658</v>
      </c>
      <c r="L387" s="49" t="s">
        <v>2659</v>
      </c>
      <c r="N387" s="46">
        <v>1.6E-2</v>
      </c>
      <c r="O387" s="46">
        <v>0</v>
      </c>
      <c r="P387" s="46">
        <v>0</v>
      </c>
      <c r="Q387" s="46">
        <v>0</v>
      </c>
      <c r="R387" s="46">
        <v>0</v>
      </c>
      <c r="S387" s="46">
        <v>17</v>
      </c>
      <c r="T387" s="48">
        <v>17</v>
      </c>
    </row>
    <row r="388" spans="1:20" ht="23.4" x14ac:dyDescent="0.25">
      <c r="A388" s="46">
        <v>387</v>
      </c>
      <c r="B388" s="47">
        <v>244001</v>
      </c>
      <c r="C388" s="46" t="s">
        <v>114</v>
      </c>
      <c r="D388" s="46" t="s">
        <v>115</v>
      </c>
      <c r="E388" s="46" t="s">
        <v>116</v>
      </c>
      <c r="F388" s="46" t="s">
        <v>119</v>
      </c>
      <c r="G388" s="46">
        <v>2</v>
      </c>
      <c r="H388" s="46" t="s">
        <v>117</v>
      </c>
      <c r="I388" s="46" t="s">
        <v>2660</v>
      </c>
      <c r="J388" s="46" t="s">
        <v>2661</v>
      </c>
      <c r="K388" s="46" t="s">
        <v>2662</v>
      </c>
      <c r="L388" s="49" t="s">
        <v>2663</v>
      </c>
      <c r="N388" s="46">
        <v>0.02</v>
      </c>
      <c r="O388" s="46">
        <v>0</v>
      </c>
      <c r="P388" s="46">
        <v>0</v>
      </c>
      <c r="Q388" s="46">
        <v>0</v>
      </c>
      <c r="R388" s="46">
        <v>0</v>
      </c>
      <c r="S388" s="46">
        <v>17</v>
      </c>
      <c r="T388" s="48">
        <v>17</v>
      </c>
    </row>
    <row r="389" spans="1:20" ht="23.4" x14ac:dyDescent="0.25">
      <c r="A389" s="46">
        <v>388</v>
      </c>
      <c r="B389" s="47">
        <v>244001</v>
      </c>
      <c r="C389" s="46" t="s">
        <v>114</v>
      </c>
      <c r="D389" s="46" t="s">
        <v>115</v>
      </c>
      <c r="E389" s="46" t="s">
        <v>116</v>
      </c>
      <c r="F389" s="46" t="s">
        <v>119</v>
      </c>
      <c r="G389" s="46">
        <v>2</v>
      </c>
      <c r="H389" s="46" t="s">
        <v>117</v>
      </c>
      <c r="I389" s="46" t="s">
        <v>2664</v>
      </c>
      <c r="J389" s="46" t="s">
        <v>2665</v>
      </c>
      <c r="K389" s="46" t="s">
        <v>2666</v>
      </c>
      <c r="L389" s="49" t="s">
        <v>2667</v>
      </c>
      <c r="N389" s="46">
        <v>0.02</v>
      </c>
      <c r="O389" s="46">
        <v>0</v>
      </c>
      <c r="P389" s="46">
        <v>0</v>
      </c>
      <c r="Q389" s="46">
        <v>0</v>
      </c>
      <c r="R389" s="46">
        <v>0</v>
      </c>
      <c r="S389" s="46">
        <v>17</v>
      </c>
      <c r="T389" s="48">
        <v>17</v>
      </c>
    </row>
    <row r="390" spans="1:20" ht="23.4" x14ac:dyDescent="0.25">
      <c r="A390" s="46">
        <v>389</v>
      </c>
      <c r="B390" s="47">
        <v>244001</v>
      </c>
      <c r="C390" s="46" t="s">
        <v>114</v>
      </c>
      <c r="D390" s="46" t="s">
        <v>115</v>
      </c>
      <c r="E390" s="46" t="s">
        <v>116</v>
      </c>
      <c r="F390" s="46" t="s">
        <v>119</v>
      </c>
      <c r="G390" s="46">
        <v>2</v>
      </c>
      <c r="H390" s="46" t="s">
        <v>117</v>
      </c>
      <c r="I390" s="46" t="s">
        <v>2668</v>
      </c>
      <c r="J390" s="46" t="s">
        <v>2669</v>
      </c>
      <c r="K390" s="46" t="s">
        <v>2670</v>
      </c>
      <c r="L390" s="49" t="s">
        <v>2671</v>
      </c>
      <c r="N390" s="46">
        <v>2.1999999999999999E-2</v>
      </c>
      <c r="O390" s="46">
        <v>0</v>
      </c>
      <c r="P390" s="46">
        <v>0</v>
      </c>
      <c r="Q390" s="46">
        <v>0</v>
      </c>
      <c r="R390" s="46">
        <v>0</v>
      </c>
      <c r="S390" s="46">
        <v>17</v>
      </c>
      <c r="T390" s="48">
        <v>17</v>
      </c>
    </row>
    <row r="391" spans="1:20" ht="23.4" x14ac:dyDescent="0.25">
      <c r="A391" s="46">
        <v>390</v>
      </c>
      <c r="B391" s="47">
        <v>244001</v>
      </c>
      <c r="C391" s="46" t="s">
        <v>114</v>
      </c>
      <c r="D391" s="46" t="s">
        <v>115</v>
      </c>
      <c r="E391" s="46" t="s">
        <v>116</v>
      </c>
      <c r="F391" s="46" t="s">
        <v>119</v>
      </c>
      <c r="G391" s="46">
        <v>2</v>
      </c>
      <c r="H391" s="46" t="s">
        <v>117</v>
      </c>
      <c r="I391" s="46" t="s">
        <v>2672</v>
      </c>
      <c r="J391" s="46" t="s">
        <v>2673</v>
      </c>
      <c r="K391" s="46" t="s">
        <v>2674</v>
      </c>
      <c r="L391" s="49" t="s">
        <v>2675</v>
      </c>
      <c r="N391" s="46">
        <v>2.4E-2</v>
      </c>
      <c r="O391" s="46">
        <v>0</v>
      </c>
      <c r="P391" s="46">
        <v>0</v>
      </c>
      <c r="Q391" s="46">
        <v>0</v>
      </c>
      <c r="R391" s="46">
        <v>0</v>
      </c>
      <c r="S391" s="46">
        <v>17</v>
      </c>
      <c r="T391" s="48">
        <v>17</v>
      </c>
    </row>
    <row r="392" spans="1:20" ht="23.4" x14ac:dyDescent="0.25">
      <c r="A392" s="46">
        <v>391</v>
      </c>
      <c r="B392" s="47">
        <v>244001</v>
      </c>
      <c r="C392" s="46" t="s">
        <v>114</v>
      </c>
      <c r="D392" s="46" t="s">
        <v>115</v>
      </c>
      <c r="E392" s="46" t="s">
        <v>116</v>
      </c>
      <c r="F392" s="46" t="s">
        <v>119</v>
      </c>
      <c r="G392" s="46">
        <v>2</v>
      </c>
      <c r="H392" s="46" t="s">
        <v>117</v>
      </c>
      <c r="I392" s="46" t="s">
        <v>2676</v>
      </c>
      <c r="J392" s="46" t="s">
        <v>123</v>
      </c>
      <c r="K392" s="46" t="s">
        <v>124</v>
      </c>
      <c r="L392" s="49" t="s">
        <v>2677</v>
      </c>
      <c r="N392" s="46">
        <v>3.4000000000000002E-2</v>
      </c>
      <c r="O392" s="46">
        <v>0</v>
      </c>
      <c r="P392" s="46">
        <v>0</v>
      </c>
      <c r="Q392" s="46">
        <v>0</v>
      </c>
      <c r="R392" s="46">
        <v>0</v>
      </c>
      <c r="S392" s="46">
        <v>17</v>
      </c>
      <c r="T392" s="48">
        <v>17</v>
      </c>
    </row>
    <row r="393" spans="1:20" ht="23.4" x14ac:dyDescent="0.25">
      <c r="A393" s="46">
        <v>392</v>
      </c>
      <c r="B393" s="47">
        <v>244003</v>
      </c>
      <c r="C393" s="46" t="s">
        <v>114</v>
      </c>
      <c r="D393" s="46" t="s">
        <v>115</v>
      </c>
      <c r="E393" s="46" t="s">
        <v>116</v>
      </c>
      <c r="F393" s="46" t="s">
        <v>119</v>
      </c>
      <c r="G393" s="46">
        <v>2</v>
      </c>
      <c r="H393" s="46" t="s">
        <v>117</v>
      </c>
      <c r="I393" s="46" t="s">
        <v>2678</v>
      </c>
      <c r="J393" s="46" t="s">
        <v>2679</v>
      </c>
      <c r="K393" s="46" t="s">
        <v>2680</v>
      </c>
      <c r="L393" s="49" t="s">
        <v>2681</v>
      </c>
      <c r="N393" s="46">
        <v>0.73399999999999999</v>
      </c>
      <c r="O393" s="46">
        <v>230</v>
      </c>
      <c r="P393" s="46">
        <v>3.45</v>
      </c>
      <c r="Q393" s="46">
        <v>0.24149999999999999</v>
      </c>
      <c r="R393" s="46">
        <v>0</v>
      </c>
      <c r="S393" s="46">
        <v>17</v>
      </c>
      <c r="T393" s="48">
        <v>20.69</v>
      </c>
    </row>
    <row r="394" spans="1:20" ht="23.4" x14ac:dyDescent="0.25">
      <c r="A394" s="46">
        <v>393</v>
      </c>
      <c r="B394" s="47">
        <v>244003</v>
      </c>
      <c r="C394" s="46" t="s">
        <v>114</v>
      </c>
      <c r="D394" s="46" t="s">
        <v>115</v>
      </c>
      <c r="E394" s="46" t="s">
        <v>116</v>
      </c>
      <c r="F394" s="46" t="s">
        <v>119</v>
      </c>
      <c r="G394" s="46">
        <v>2</v>
      </c>
      <c r="H394" s="46" t="s">
        <v>117</v>
      </c>
      <c r="I394" s="46" t="s">
        <v>2682</v>
      </c>
      <c r="J394" s="46" t="s">
        <v>1842</v>
      </c>
      <c r="K394" s="46" t="s">
        <v>1843</v>
      </c>
      <c r="L394" s="49" t="s">
        <v>2683</v>
      </c>
      <c r="N394" s="46">
        <v>16.995000000000001</v>
      </c>
      <c r="O394" s="46">
        <v>0</v>
      </c>
      <c r="P394" s="46">
        <v>0</v>
      </c>
      <c r="Q394" s="46">
        <v>0</v>
      </c>
      <c r="R394" s="46">
        <v>0</v>
      </c>
      <c r="S394" s="46">
        <v>180</v>
      </c>
      <c r="T394" s="48">
        <v>180</v>
      </c>
    </row>
    <row r="395" spans="1:20" ht="23.4" x14ac:dyDescent="0.25">
      <c r="A395" s="46">
        <v>394</v>
      </c>
      <c r="B395" s="47">
        <v>244003</v>
      </c>
      <c r="C395" s="46" t="s">
        <v>114</v>
      </c>
      <c r="D395" s="46" t="s">
        <v>115</v>
      </c>
      <c r="E395" s="46" t="s">
        <v>116</v>
      </c>
      <c r="F395" s="46" t="s">
        <v>119</v>
      </c>
      <c r="G395" s="46">
        <v>2</v>
      </c>
      <c r="H395" s="46" t="s">
        <v>117</v>
      </c>
      <c r="I395" s="46" t="s">
        <v>2684</v>
      </c>
      <c r="J395" s="46" t="s">
        <v>2685</v>
      </c>
      <c r="K395" s="46" t="s">
        <v>2686</v>
      </c>
      <c r="L395" s="49" t="s">
        <v>2687</v>
      </c>
      <c r="N395" s="46">
        <v>5.58</v>
      </c>
      <c r="O395" s="46">
        <v>0</v>
      </c>
      <c r="P395" s="46">
        <v>0</v>
      </c>
      <c r="Q395" s="46">
        <v>0</v>
      </c>
      <c r="R395" s="46">
        <v>0</v>
      </c>
      <c r="S395" s="46">
        <v>70</v>
      </c>
      <c r="T395" s="48">
        <v>70</v>
      </c>
    </row>
    <row r="396" spans="1:20" ht="23.4" x14ac:dyDescent="0.25">
      <c r="A396" s="46">
        <v>395</v>
      </c>
      <c r="B396" s="47">
        <v>244003</v>
      </c>
      <c r="C396" s="46" t="s">
        <v>114</v>
      </c>
      <c r="D396" s="46" t="s">
        <v>115</v>
      </c>
      <c r="E396" s="46" t="s">
        <v>116</v>
      </c>
      <c r="F396" s="46" t="s">
        <v>119</v>
      </c>
      <c r="G396" s="46">
        <v>2</v>
      </c>
      <c r="H396" s="46" t="s">
        <v>117</v>
      </c>
      <c r="I396" s="46" t="s">
        <v>2688</v>
      </c>
      <c r="J396" s="46" t="s">
        <v>2689</v>
      </c>
      <c r="K396" s="46" t="s">
        <v>2690</v>
      </c>
      <c r="L396" s="49" t="s">
        <v>2691</v>
      </c>
      <c r="N396" s="46">
        <v>1.92</v>
      </c>
      <c r="O396" s="46">
        <v>0</v>
      </c>
      <c r="P396" s="46">
        <v>0</v>
      </c>
      <c r="Q396" s="46">
        <v>0</v>
      </c>
      <c r="R396" s="46">
        <v>0</v>
      </c>
      <c r="S396" s="46">
        <v>22</v>
      </c>
      <c r="T396" s="48">
        <v>22</v>
      </c>
    </row>
    <row r="397" spans="1:20" ht="23.4" x14ac:dyDescent="0.25">
      <c r="A397" s="46">
        <v>396</v>
      </c>
      <c r="B397" s="47">
        <v>244003</v>
      </c>
      <c r="C397" s="46" t="s">
        <v>114</v>
      </c>
      <c r="D397" s="46" t="s">
        <v>115</v>
      </c>
      <c r="E397" s="46" t="s">
        <v>116</v>
      </c>
      <c r="F397" s="46" t="s">
        <v>119</v>
      </c>
      <c r="G397" s="46">
        <v>2</v>
      </c>
      <c r="H397" s="46" t="s">
        <v>117</v>
      </c>
      <c r="I397" s="46" t="s">
        <v>2692</v>
      </c>
      <c r="J397" s="46" t="s">
        <v>2693</v>
      </c>
      <c r="K397" s="46" t="s">
        <v>2694</v>
      </c>
      <c r="L397" s="49" t="s">
        <v>2695</v>
      </c>
      <c r="N397" s="46">
        <v>1.014</v>
      </c>
      <c r="O397" s="46">
        <v>270</v>
      </c>
      <c r="P397" s="46">
        <v>4.05</v>
      </c>
      <c r="Q397" s="46">
        <v>0.28349999999999997</v>
      </c>
      <c r="R397" s="46">
        <v>0</v>
      </c>
      <c r="S397" s="46">
        <v>22</v>
      </c>
      <c r="T397" s="48">
        <v>26.33</v>
      </c>
    </row>
    <row r="398" spans="1:20" ht="23.4" x14ac:dyDescent="0.25">
      <c r="A398" s="46">
        <v>397</v>
      </c>
      <c r="B398" s="47">
        <v>244003</v>
      </c>
      <c r="C398" s="46" t="s">
        <v>114</v>
      </c>
      <c r="D398" s="46" t="s">
        <v>115</v>
      </c>
      <c r="E398" s="46" t="s">
        <v>116</v>
      </c>
      <c r="F398" s="46" t="s">
        <v>119</v>
      </c>
      <c r="G398" s="46">
        <v>2</v>
      </c>
      <c r="H398" s="46" t="s">
        <v>117</v>
      </c>
      <c r="I398" s="46" t="s">
        <v>2696</v>
      </c>
      <c r="J398" s="46" t="s">
        <v>2697</v>
      </c>
      <c r="K398" s="46" t="s">
        <v>2698</v>
      </c>
      <c r="L398" s="49" t="s">
        <v>2699</v>
      </c>
      <c r="N398" s="46">
        <v>1.786</v>
      </c>
      <c r="O398" s="46">
        <v>0</v>
      </c>
      <c r="P398" s="46">
        <v>0</v>
      </c>
      <c r="Q398" s="46">
        <v>0</v>
      </c>
      <c r="R398" s="46">
        <v>0</v>
      </c>
      <c r="S398" s="46">
        <v>22</v>
      </c>
      <c r="T398" s="48">
        <v>22</v>
      </c>
    </row>
    <row r="399" spans="1:20" ht="23.4" x14ac:dyDescent="0.25">
      <c r="A399" s="46">
        <v>398</v>
      </c>
      <c r="B399" s="47">
        <v>244003</v>
      </c>
      <c r="C399" s="46" t="s">
        <v>114</v>
      </c>
      <c r="D399" s="46" t="s">
        <v>115</v>
      </c>
      <c r="E399" s="46" t="s">
        <v>116</v>
      </c>
      <c r="F399" s="46" t="s">
        <v>119</v>
      </c>
      <c r="G399" s="46">
        <v>2</v>
      </c>
      <c r="H399" s="46" t="s">
        <v>117</v>
      </c>
      <c r="I399" s="46" t="s">
        <v>2700</v>
      </c>
      <c r="J399" s="46" t="s">
        <v>2701</v>
      </c>
      <c r="K399" s="46" t="s">
        <v>2702</v>
      </c>
      <c r="L399" s="49" t="s">
        <v>2703</v>
      </c>
      <c r="N399" s="46">
        <v>1.772</v>
      </c>
      <c r="O399" s="46">
        <v>480</v>
      </c>
      <c r="P399" s="46">
        <v>7.2</v>
      </c>
      <c r="Q399" s="46">
        <v>0.504</v>
      </c>
      <c r="R399" s="46">
        <v>0</v>
      </c>
      <c r="S399" s="46">
        <v>22</v>
      </c>
      <c r="T399" s="48">
        <v>29.7</v>
      </c>
    </row>
    <row r="400" spans="1:20" ht="23.4" x14ac:dyDescent="0.25">
      <c r="A400" s="46">
        <v>399</v>
      </c>
      <c r="B400" s="47">
        <v>244003</v>
      </c>
      <c r="C400" s="46" t="s">
        <v>114</v>
      </c>
      <c r="D400" s="46" t="s">
        <v>115</v>
      </c>
      <c r="E400" s="46" t="s">
        <v>116</v>
      </c>
      <c r="F400" s="46" t="s">
        <v>119</v>
      </c>
      <c r="G400" s="46">
        <v>2</v>
      </c>
      <c r="H400" s="46" t="s">
        <v>117</v>
      </c>
      <c r="I400" s="46" t="s">
        <v>2704</v>
      </c>
      <c r="J400" s="46" t="s">
        <v>2705</v>
      </c>
      <c r="K400" s="46" t="s">
        <v>2706</v>
      </c>
      <c r="L400" s="49" t="s">
        <v>2707</v>
      </c>
      <c r="N400" s="46">
        <v>1.788</v>
      </c>
      <c r="O400" s="46">
        <v>480</v>
      </c>
      <c r="P400" s="46">
        <v>7.2</v>
      </c>
      <c r="Q400" s="46">
        <v>0.504</v>
      </c>
      <c r="R400" s="46">
        <v>0</v>
      </c>
      <c r="S400" s="46">
        <v>22</v>
      </c>
      <c r="T400" s="48">
        <v>29.7</v>
      </c>
    </row>
    <row r="401" spans="1:20" ht="23.4" x14ac:dyDescent="0.25">
      <c r="A401" s="46">
        <v>400</v>
      </c>
      <c r="B401" s="47">
        <v>244003</v>
      </c>
      <c r="C401" s="46" t="s">
        <v>114</v>
      </c>
      <c r="D401" s="46" t="s">
        <v>115</v>
      </c>
      <c r="E401" s="46" t="s">
        <v>116</v>
      </c>
      <c r="F401" s="46" t="s">
        <v>119</v>
      </c>
      <c r="G401" s="46">
        <v>2</v>
      </c>
      <c r="H401" s="46" t="s">
        <v>117</v>
      </c>
      <c r="I401" s="46" t="s">
        <v>2708</v>
      </c>
      <c r="J401" s="46" t="s">
        <v>2709</v>
      </c>
      <c r="K401" s="46" t="s">
        <v>2710</v>
      </c>
      <c r="L401" s="49" t="s">
        <v>2711</v>
      </c>
      <c r="N401" s="46">
        <v>2.4359999999999999</v>
      </c>
      <c r="O401" s="46">
        <v>0</v>
      </c>
      <c r="P401" s="46">
        <v>0</v>
      </c>
      <c r="Q401" s="46">
        <v>0</v>
      </c>
      <c r="R401" s="46">
        <v>0</v>
      </c>
      <c r="S401" s="46">
        <v>33</v>
      </c>
      <c r="T401" s="48">
        <v>33</v>
      </c>
    </row>
    <row r="402" spans="1:20" ht="23.4" x14ac:dyDescent="0.25">
      <c r="A402" s="46">
        <v>401</v>
      </c>
      <c r="B402" s="47">
        <v>244003</v>
      </c>
      <c r="C402" s="46" t="s">
        <v>114</v>
      </c>
      <c r="D402" s="46" t="s">
        <v>115</v>
      </c>
      <c r="E402" s="46" t="s">
        <v>116</v>
      </c>
      <c r="F402" s="46" t="s">
        <v>119</v>
      </c>
      <c r="G402" s="46">
        <v>2</v>
      </c>
      <c r="H402" s="46" t="s">
        <v>117</v>
      </c>
      <c r="I402" s="46" t="s">
        <v>2712</v>
      </c>
      <c r="J402" s="46" t="s">
        <v>2713</v>
      </c>
      <c r="K402" s="46" t="s">
        <v>2714</v>
      </c>
      <c r="L402" s="49" t="s">
        <v>2715</v>
      </c>
      <c r="N402" s="46">
        <v>1.212</v>
      </c>
      <c r="O402" s="46">
        <v>280</v>
      </c>
      <c r="P402" s="46">
        <v>4.2</v>
      </c>
      <c r="Q402" s="46">
        <v>0.29399999999999998</v>
      </c>
      <c r="R402" s="46">
        <v>0</v>
      </c>
      <c r="S402" s="46">
        <v>22</v>
      </c>
      <c r="T402" s="48">
        <v>26.49</v>
      </c>
    </row>
    <row r="403" spans="1:20" ht="23.4" x14ac:dyDescent="0.25">
      <c r="A403" s="46">
        <v>402</v>
      </c>
      <c r="B403" s="47">
        <v>244003</v>
      </c>
      <c r="C403" s="46" t="s">
        <v>114</v>
      </c>
      <c r="D403" s="46" t="s">
        <v>115</v>
      </c>
      <c r="E403" s="46" t="s">
        <v>116</v>
      </c>
      <c r="F403" s="46" t="s">
        <v>119</v>
      </c>
      <c r="G403" s="46">
        <v>2</v>
      </c>
      <c r="H403" s="46" t="s">
        <v>117</v>
      </c>
      <c r="I403" s="46" t="s">
        <v>2716</v>
      </c>
      <c r="J403" s="46" t="s">
        <v>2717</v>
      </c>
      <c r="K403" s="46" t="s">
        <v>2718</v>
      </c>
      <c r="L403" s="49" t="s">
        <v>2719</v>
      </c>
      <c r="N403" s="46">
        <v>0.98599999999999999</v>
      </c>
      <c r="O403" s="46">
        <v>0</v>
      </c>
      <c r="P403" s="46">
        <v>0</v>
      </c>
      <c r="Q403" s="46">
        <v>0</v>
      </c>
      <c r="R403" s="46">
        <v>0</v>
      </c>
      <c r="S403" s="46">
        <v>17</v>
      </c>
      <c r="T403" s="48">
        <v>17</v>
      </c>
    </row>
    <row r="404" spans="1:20" ht="23.4" x14ac:dyDescent="0.25">
      <c r="A404" s="46">
        <v>403</v>
      </c>
      <c r="B404" s="47">
        <v>244003</v>
      </c>
      <c r="C404" s="46" t="s">
        <v>114</v>
      </c>
      <c r="D404" s="46" t="s">
        <v>115</v>
      </c>
      <c r="E404" s="46" t="s">
        <v>116</v>
      </c>
      <c r="F404" s="46" t="s">
        <v>119</v>
      </c>
      <c r="G404" s="46">
        <v>2</v>
      </c>
      <c r="H404" s="46" t="s">
        <v>117</v>
      </c>
      <c r="I404" s="46" t="s">
        <v>2720</v>
      </c>
      <c r="J404" s="46" t="s">
        <v>2721</v>
      </c>
      <c r="K404" s="46" t="s">
        <v>2722</v>
      </c>
      <c r="L404" s="49" t="s">
        <v>2723</v>
      </c>
      <c r="N404" s="46">
        <v>5.18</v>
      </c>
      <c r="O404" s="46">
        <v>1230</v>
      </c>
      <c r="P404" s="46">
        <v>18.45</v>
      </c>
      <c r="Q404" s="46">
        <v>1.2915000000000001</v>
      </c>
      <c r="R404" s="46">
        <v>0</v>
      </c>
      <c r="S404" s="46">
        <v>70</v>
      </c>
      <c r="T404" s="48">
        <v>89.74</v>
      </c>
    </row>
    <row r="405" spans="1:20" ht="23.4" x14ac:dyDescent="0.25">
      <c r="A405" s="46">
        <v>404</v>
      </c>
      <c r="B405" s="47">
        <v>244003</v>
      </c>
      <c r="C405" s="46" t="s">
        <v>114</v>
      </c>
      <c r="D405" s="46" t="s">
        <v>115</v>
      </c>
      <c r="E405" s="46" t="s">
        <v>116</v>
      </c>
      <c r="F405" s="46" t="s">
        <v>119</v>
      </c>
      <c r="G405" s="46">
        <v>2</v>
      </c>
      <c r="H405" s="46" t="s">
        <v>117</v>
      </c>
      <c r="I405" s="46" t="s">
        <v>2724</v>
      </c>
      <c r="J405" s="46" t="s">
        <v>2725</v>
      </c>
      <c r="K405" s="46" t="s">
        <v>2726</v>
      </c>
      <c r="L405" s="49" t="s">
        <v>2727</v>
      </c>
      <c r="N405" s="46">
        <v>4.13</v>
      </c>
      <c r="O405" s="46">
        <v>0</v>
      </c>
      <c r="P405" s="46">
        <v>0</v>
      </c>
      <c r="Q405" s="46">
        <v>0</v>
      </c>
      <c r="R405" s="46">
        <v>0</v>
      </c>
      <c r="S405" s="46">
        <v>53</v>
      </c>
      <c r="T405" s="48">
        <v>53</v>
      </c>
    </row>
    <row r="406" spans="1:20" ht="23.4" x14ac:dyDescent="0.25">
      <c r="A406" s="46">
        <v>405</v>
      </c>
      <c r="B406" s="47">
        <v>244003</v>
      </c>
      <c r="C406" s="46" t="s">
        <v>114</v>
      </c>
      <c r="D406" s="46" t="s">
        <v>115</v>
      </c>
      <c r="E406" s="46" t="s">
        <v>116</v>
      </c>
      <c r="F406" s="46" t="s">
        <v>119</v>
      </c>
      <c r="G406" s="46">
        <v>2</v>
      </c>
      <c r="H406" s="46" t="s">
        <v>117</v>
      </c>
      <c r="I406" s="46" t="s">
        <v>2728</v>
      </c>
      <c r="J406" s="46" t="s">
        <v>2729</v>
      </c>
      <c r="K406" s="46" t="s">
        <v>2730</v>
      </c>
      <c r="L406" s="49" t="s">
        <v>2731</v>
      </c>
      <c r="N406" s="46">
        <v>0.998</v>
      </c>
      <c r="O406" s="46">
        <v>0</v>
      </c>
      <c r="P406" s="46">
        <v>0</v>
      </c>
      <c r="Q406" s="46">
        <v>0</v>
      </c>
      <c r="R406" s="46">
        <v>0</v>
      </c>
      <c r="S406" s="46">
        <v>17</v>
      </c>
      <c r="T406" s="48">
        <v>17</v>
      </c>
    </row>
    <row r="407" spans="1:20" ht="23.4" x14ac:dyDescent="0.25">
      <c r="A407" s="46">
        <v>406</v>
      </c>
      <c r="B407" s="47">
        <v>244003</v>
      </c>
      <c r="C407" s="46" t="s">
        <v>114</v>
      </c>
      <c r="D407" s="46" t="s">
        <v>115</v>
      </c>
      <c r="E407" s="46" t="s">
        <v>116</v>
      </c>
      <c r="F407" s="46" t="s">
        <v>119</v>
      </c>
      <c r="G407" s="46">
        <v>2</v>
      </c>
      <c r="H407" s="46" t="s">
        <v>117</v>
      </c>
      <c r="I407" s="46" t="s">
        <v>2732</v>
      </c>
      <c r="J407" s="46" t="s">
        <v>2733</v>
      </c>
      <c r="K407" s="46" t="s">
        <v>2734</v>
      </c>
      <c r="L407" s="49" t="s">
        <v>2735</v>
      </c>
      <c r="N407" s="46">
        <v>16.995000000000001</v>
      </c>
      <c r="O407" s="46">
        <v>0</v>
      </c>
      <c r="P407" s="46">
        <v>0</v>
      </c>
      <c r="Q407" s="46">
        <v>0</v>
      </c>
      <c r="R407" s="46">
        <v>0</v>
      </c>
      <c r="S407" s="46">
        <v>180</v>
      </c>
      <c r="T407" s="48">
        <v>180</v>
      </c>
    </row>
    <row r="408" spans="1:20" ht="23.4" x14ac:dyDescent="0.25">
      <c r="A408" s="46">
        <v>407</v>
      </c>
      <c r="B408" s="47">
        <v>244003</v>
      </c>
      <c r="C408" s="46" t="s">
        <v>114</v>
      </c>
      <c r="D408" s="46" t="s">
        <v>115</v>
      </c>
      <c r="E408" s="46" t="s">
        <v>116</v>
      </c>
      <c r="F408" s="46" t="s">
        <v>119</v>
      </c>
      <c r="G408" s="46">
        <v>2</v>
      </c>
      <c r="H408" s="46" t="s">
        <v>117</v>
      </c>
      <c r="I408" s="46" t="s">
        <v>2736</v>
      </c>
      <c r="J408" s="46" t="s">
        <v>1810</v>
      </c>
      <c r="K408" s="46" t="s">
        <v>1811</v>
      </c>
      <c r="L408" s="49" t="s">
        <v>1812</v>
      </c>
      <c r="N408" s="46">
        <v>1.994</v>
      </c>
      <c r="O408" s="46">
        <v>0</v>
      </c>
      <c r="P408" s="46">
        <v>0</v>
      </c>
      <c r="Q408" s="46">
        <v>0</v>
      </c>
      <c r="R408" s="46">
        <v>0</v>
      </c>
      <c r="S408" s="46">
        <v>22</v>
      </c>
      <c r="T408" s="48">
        <v>22</v>
      </c>
    </row>
    <row r="409" spans="1:20" ht="23.4" x14ac:dyDescent="0.25">
      <c r="A409" s="46">
        <v>408</v>
      </c>
      <c r="B409" s="47">
        <v>244003</v>
      </c>
      <c r="C409" s="46" t="s">
        <v>114</v>
      </c>
      <c r="D409" s="46" t="s">
        <v>115</v>
      </c>
      <c r="E409" s="46" t="s">
        <v>116</v>
      </c>
      <c r="F409" s="46" t="s">
        <v>119</v>
      </c>
      <c r="G409" s="46">
        <v>2</v>
      </c>
      <c r="H409" s="46" t="s">
        <v>117</v>
      </c>
      <c r="I409" s="46" t="s">
        <v>2737</v>
      </c>
      <c r="J409" s="46" t="s">
        <v>2738</v>
      </c>
      <c r="K409" s="46" t="s">
        <v>2739</v>
      </c>
      <c r="L409" s="49" t="s">
        <v>2740</v>
      </c>
      <c r="N409" s="46">
        <v>1.2</v>
      </c>
      <c r="O409" s="46">
        <v>0</v>
      </c>
      <c r="P409" s="46">
        <v>0</v>
      </c>
      <c r="Q409" s="46">
        <v>0</v>
      </c>
      <c r="R409" s="46">
        <v>0</v>
      </c>
      <c r="S409" s="46">
        <v>22</v>
      </c>
      <c r="T409" s="48">
        <v>22</v>
      </c>
    </row>
    <row r="410" spans="1:20" ht="23.4" x14ac:dyDescent="0.25">
      <c r="A410" s="46">
        <v>409</v>
      </c>
      <c r="B410" s="47">
        <v>244003</v>
      </c>
      <c r="C410" s="46" t="s">
        <v>114</v>
      </c>
      <c r="D410" s="46" t="s">
        <v>115</v>
      </c>
      <c r="E410" s="46" t="s">
        <v>116</v>
      </c>
      <c r="F410" s="46" t="s">
        <v>119</v>
      </c>
      <c r="G410" s="46">
        <v>2</v>
      </c>
      <c r="H410" s="46" t="s">
        <v>117</v>
      </c>
      <c r="I410" s="46" t="s">
        <v>2741</v>
      </c>
      <c r="J410" s="46" t="s">
        <v>2742</v>
      </c>
      <c r="K410" s="46" t="s">
        <v>2743</v>
      </c>
      <c r="L410" s="49" t="s">
        <v>2744</v>
      </c>
      <c r="N410" s="46">
        <v>16.995000000000001</v>
      </c>
      <c r="O410" s="46">
        <v>0</v>
      </c>
      <c r="P410" s="46">
        <v>0</v>
      </c>
      <c r="Q410" s="46">
        <v>0</v>
      </c>
      <c r="R410" s="46">
        <v>0</v>
      </c>
      <c r="S410" s="46">
        <v>180</v>
      </c>
      <c r="T410" s="48">
        <v>180</v>
      </c>
    </row>
    <row r="411" spans="1:20" ht="23.4" x14ac:dyDescent="0.25">
      <c r="A411" s="46">
        <v>410</v>
      </c>
      <c r="B411" s="47">
        <v>244003</v>
      </c>
      <c r="C411" s="46" t="s">
        <v>114</v>
      </c>
      <c r="D411" s="46" t="s">
        <v>115</v>
      </c>
      <c r="E411" s="46" t="s">
        <v>116</v>
      </c>
      <c r="F411" s="46" t="s">
        <v>119</v>
      </c>
      <c r="G411" s="46">
        <v>2</v>
      </c>
      <c r="H411" s="46" t="s">
        <v>117</v>
      </c>
      <c r="I411" s="46" t="s">
        <v>2745</v>
      </c>
      <c r="J411" s="46" t="s">
        <v>2746</v>
      </c>
      <c r="K411" s="46" t="s">
        <v>2747</v>
      </c>
      <c r="L411" s="49" t="s">
        <v>2748</v>
      </c>
      <c r="N411" s="46">
        <v>1.016</v>
      </c>
      <c r="O411" s="46">
        <v>270</v>
      </c>
      <c r="P411" s="46">
        <v>4.05</v>
      </c>
      <c r="Q411" s="46">
        <v>0.28349999999999997</v>
      </c>
      <c r="R411" s="46">
        <v>0</v>
      </c>
      <c r="S411" s="46">
        <v>22</v>
      </c>
      <c r="T411" s="48">
        <v>26.33</v>
      </c>
    </row>
    <row r="412" spans="1:20" ht="23.4" x14ac:dyDescent="0.25">
      <c r="A412" s="46">
        <v>411</v>
      </c>
      <c r="B412" s="47">
        <v>244003</v>
      </c>
      <c r="C412" s="46" t="s">
        <v>114</v>
      </c>
      <c r="D412" s="46" t="s">
        <v>115</v>
      </c>
      <c r="E412" s="46" t="s">
        <v>116</v>
      </c>
      <c r="F412" s="46" t="s">
        <v>119</v>
      </c>
      <c r="G412" s="46">
        <v>2</v>
      </c>
      <c r="H412" s="46" t="s">
        <v>117</v>
      </c>
      <c r="I412" s="46" t="s">
        <v>2749</v>
      </c>
      <c r="J412" s="46" t="s">
        <v>2750</v>
      </c>
      <c r="K412" s="46" t="s">
        <v>2751</v>
      </c>
      <c r="L412" s="49" t="s">
        <v>2752</v>
      </c>
      <c r="N412" s="46">
        <v>1.6259999999999999</v>
      </c>
      <c r="O412" s="46">
        <v>0</v>
      </c>
      <c r="P412" s="46">
        <v>0</v>
      </c>
      <c r="Q412" s="46">
        <v>0</v>
      </c>
      <c r="R412" s="46">
        <v>0</v>
      </c>
      <c r="S412" s="46">
        <v>22</v>
      </c>
      <c r="T412" s="48">
        <v>22</v>
      </c>
    </row>
    <row r="413" spans="1:20" ht="23.4" x14ac:dyDescent="0.25">
      <c r="A413" s="46">
        <v>412</v>
      </c>
      <c r="B413" s="47">
        <v>244003</v>
      </c>
      <c r="C413" s="46" t="s">
        <v>114</v>
      </c>
      <c r="D413" s="46" t="s">
        <v>115</v>
      </c>
      <c r="E413" s="46" t="s">
        <v>116</v>
      </c>
      <c r="F413" s="46" t="s">
        <v>119</v>
      </c>
      <c r="G413" s="46">
        <v>2</v>
      </c>
      <c r="H413" s="46" t="s">
        <v>117</v>
      </c>
      <c r="I413" s="46" t="s">
        <v>2753</v>
      </c>
      <c r="J413" s="46" t="s">
        <v>2754</v>
      </c>
      <c r="K413" s="46" t="s">
        <v>2755</v>
      </c>
      <c r="L413" s="49" t="s">
        <v>2756</v>
      </c>
      <c r="N413" s="46">
        <v>1.272</v>
      </c>
      <c r="O413" s="46">
        <v>0</v>
      </c>
      <c r="P413" s="46">
        <v>0</v>
      </c>
      <c r="Q413" s="46">
        <v>0</v>
      </c>
      <c r="R413" s="46">
        <v>0</v>
      </c>
      <c r="S413" s="46">
        <v>22</v>
      </c>
      <c r="T413" s="48">
        <v>22</v>
      </c>
    </row>
    <row r="414" spans="1:20" ht="23.4" x14ac:dyDescent="0.25">
      <c r="A414" s="46">
        <v>413</v>
      </c>
      <c r="B414" s="47">
        <v>244003</v>
      </c>
      <c r="C414" s="46" t="s">
        <v>114</v>
      </c>
      <c r="D414" s="46" t="s">
        <v>115</v>
      </c>
      <c r="E414" s="46" t="s">
        <v>116</v>
      </c>
      <c r="F414" s="46" t="s">
        <v>119</v>
      </c>
      <c r="G414" s="46">
        <v>2</v>
      </c>
      <c r="H414" s="46" t="s">
        <v>117</v>
      </c>
      <c r="I414" s="46" t="s">
        <v>2757</v>
      </c>
      <c r="J414" s="46" t="s">
        <v>2758</v>
      </c>
      <c r="K414" s="46" t="s">
        <v>2759</v>
      </c>
      <c r="L414" s="49" t="s">
        <v>2760</v>
      </c>
      <c r="N414" s="46">
        <v>2.2000000000000002</v>
      </c>
      <c r="O414" s="46">
        <v>0</v>
      </c>
      <c r="P414" s="46">
        <v>0</v>
      </c>
      <c r="Q414" s="46">
        <v>0</v>
      </c>
      <c r="R414" s="46">
        <v>0</v>
      </c>
      <c r="S414" s="46">
        <v>33</v>
      </c>
      <c r="T414" s="48">
        <v>33</v>
      </c>
    </row>
    <row r="415" spans="1:20" ht="23.4" x14ac:dyDescent="0.25">
      <c r="A415" s="46">
        <v>414</v>
      </c>
      <c r="B415" s="47">
        <v>244003</v>
      </c>
      <c r="C415" s="46" t="s">
        <v>114</v>
      </c>
      <c r="D415" s="46" t="s">
        <v>115</v>
      </c>
      <c r="E415" s="46" t="s">
        <v>116</v>
      </c>
      <c r="F415" s="46" t="s">
        <v>119</v>
      </c>
      <c r="G415" s="46">
        <v>2</v>
      </c>
      <c r="H415" s="46" t="s">
        <v>117</v>
      </c>
      <c r="I415" s="46" t="s">
        <v>2761</v>
      </c>
      <c r="J415" s="46" t="s">
        <v>1555</v>
      </c>
      <c r="K415" s="46" t="s">
        <v>2762</v>
      </c>
      <c r="L415" s="49" t="s">
        <v>2763</v>
      </c>
      <c r="N415" s="46">
        <v>0.99199999999999999</v>
      </c>
      <c r="O415" s="46">
        <v>270</v>
      </c>
      <c r="P415" s="46">
        <v>4.05</v>
      </c>
      <c r="Q415" s="46">
        <v>0.28349999999999997</v>
      </c>
      <c r="R415" s="46">
        <v>0</v>
      </c>
      <c r="S415" s="46">
        <v>17</v>
      </c>
      <c r="T415" s="48">
        <v>21.33</v>
      </c>
    </row>
    <row r="416" spans="1:20" ht="23.4" x14ac:dyDescent="0.25">
      <c r="A416" s="46">
        <v>415</v>
      </c>
      <c r="B416" s="47">
        <v>244003</v>
      </c>
      <c r="C416" s="46" t="s">
        <v>114</v>
      </c>
      <c r="D416" s="46" t="s">
        <v>115</v>
      </c>
      <c r="E416" s="46" t="s">
        <v>116</v>
      </c>
      <c r="F416" s="46" t="s">
        <v>119</v>
      </c>
      <c r="G416" s="46">
        <v>2</v>
      </c>
      <c r="H416" s="46" t="s">
        <v>117</v>
      </c>
      <c r="I416" s="46" t="s">
        <v>2764</v>
      </c>
      <c r="J416" s="46" t="s">
        <v>1287</v>
      </c>
      <c r="K416" s="46" t="s">
        <v>1288</v>
      </c>
      <c r="L416" s="49" t="s">
        <v>2765</v>
      </c>
      <c r="N416" s="46">
        <v>3.9820000000000002</v>
      </c>
      <c r="O416" s="46">
        <v>964</v>
      </c>
      <c r="P416" s="46">
        <v>14.46</v>
      </c>
      <c r="Q416" s="46">
        <v>1.0122</v>
      </c>
      <c r="R416" s="46">
        <v>0</v>
      </c>
      <c r="S416" s="46">
        <v>43</v>
      </c>
      <c r="T416" s="48">
        <v>58.47</v>
      </c>
    </row>
    <row r="417" spans="1:20" ht="23.4" x14ac:dyDescent="0.25">
      <c r="A417" s="46">
        <v>416</v>
      </c>
      <c r="B417" s="47">
        <v>244003</v>
      </c>
      <c r="C417" s="46" t="s">
        <v>114</v>
      </c>
      <c r="D417" s="46" t="s">
        <v>115</v>
      </c>
      <c r="E417" s="46" t="s">
        <v>116</v>
      </c>
      <c r="F417" s="46" t="s">
        <v>119</v>
      </c>
      <c r="G417" s="46">
        <v>2</v>
      </c>
      <c r="H417" s="46" t="s">
        <v>117</v>
      </c>
      <c r="I417" s="46" t="s">
        <v>2766</v>
      </c>
      <c r="J417" s="46" t="s">
        <v>2767</v>
      </c>
      <c r="K417" s="46" t="s">
        <v>2768</v>
      </c>
      <c r="L417" s="49" t="s">
        <v>2769</v>
      </c>
      <c r="N417" s="46">
        <v>1.212</v>
      </c>
      <c r="O417" s="46">
        <v>0</v>
      </c>
      <c r="P417" s="46">
        <v>0</v>
      </c>
      <c r="Q417" s="46">
        <v>0</v>
      </c>
      <c r="R417" s="46">
        <v>0</v>
      </c>
      <c r="S417" s="46">
        <v>22</v>
      </c>
      <c r="T417" s="48">
        <v>22</v>
      </c>
    </row>
    <row r="418" spans="1:20" ht="23.4" x14ac:dyDescent="0.25">
      <c r="A418" s="46">
        <v>417</v>
      </c>
      <c r="B418" s="47">
        <v>244003</v>
      </c>
      <c r="C418" s="46" t="s">
        <v>114</v>
      </c>
      <c r="D418" s="46" t="s">
        <v>115</v>
      </c>
      <c r="E418" s="46" t="s">
        <v>116</v>
      </c>
      <c r="F418" s="46" t="s">
        <v>119</v>
      </c>
      <c r="G418" s="46">
        <v>2</v>
      </c>
      <c r="H418" s="46" t="s">
        <v>117</v>
      </c>
      <c r="I418" s="46" t="s">
        <v>2770</v>
      </c>
      <c r="J418" s="46" t="s">
        <v>2771</v>
      </c>
      <c r="K418" s="46" t="s">
        <v>2772</v>
      </c>
      <c r="L418" s="49" t="s">
        <v>2773</v>
      </c>
      <c r="N418" s="46">
        <v>1.792</v>
      </c>
      <c r="O418" s="46">
        <v>430</v>
      </c>
      <c r="P418" s="46">
        <v>6.45</v>
      </c>
      <c r="Q418" s="46">
        <v>0.45150000000000001</v>
      </c>
      <c r="R418" s="46">
        <v>0</v>
      </c>
      <c r="S418" s="46">
        <v>22</v>
      </c>
      <c r="T418" s="48">
        <v>28.9</v>
      </c>
    </row>
    <row r="419" spans="1:20" ht="23.4" x14ac:dyDescent="0.25">
      <c r="A419" s="46">
        <v>418</v>
      </c>
      <c r="B419" s="47">
        <v>244003</v>
      </c>
      <c r="C419" s="46" t="s">
        <v>114</v>
      </c>
      <c r="D419" s="46" t="s">
        <v>115</v>
      </c>
      <c r="E419" s="46" t="s">
        <v>116</v>
      </c>
      <c r="F419" s="46" t="s">
        <v>119</v>
      </c>
      <c r="G419" s="46">
        <v>2</v>
      </c>
      <c r="H419" s="46" t="s">
        <v>117</v>
      </c>
      <c r="I419" s="46" t="s">
        <v>2774</v>
      </c>
      <c r="J419" s="46" t="s">
        <v>2775</v>
      </c>
      <c r="K419" s="46" t="s">
        <v>2776</v>
      </c>
      <c r="L419" s="49" t="s">
        <v>2777</v>
      </c>
      <c r="N419" s="46">
        <v>1</v>
      </c>
      <c r="O419" s="46">
        <v>0</v>
      </c>
      <c r="P419" s="46">
        <v>0</v>
      </c>
      <c r="Q419" s="46">
        <v>0</v>
      </c>
      <c r="R419" s="46">
        <v>0</v>
      </c>
      <c r="S419" s="46">
        <v>17</v>
      </c>
      <c r="T419" s="48">
        <v>17</v>
      </c>
    </row>
    <row r="420" spans="1:20" ht="23.4" x14ac:dyDescent="0.25">
      <c r="A420" s="46">
        <v>419</v>
      </c>
      <c r="B420" s="47">
        <v>244003</v>
      </c>
      <c r="C420" s="46" t="s">
        <v>114</v>
      </c>
      <c r="D420" s="46" t="s">
        <v>115</v>
      </c>
      <c r="E420" s="46" t="s">
        <v>116</v>
      </c>
      <c r="F420" s="46" t="s">
        <v>119</v>
      </c>
      <c r="G420" s="46">
        <v>2</v>
      </c>
      <c r="H420" s="46" t="s">
        <v>117</v>
      </c>
      <c r="I420" s="46" t="s">
        <v>2778</v>
      </c>
      <c r="J420" s="46" t="s">
        <v>2779</v>
      </c>
      <c r="K420" s="46" t="s">
        <v>2780</v>
      </c>
      <c r="L420" s="49" t="s">
        <v>2781</v>
      </c>
      <c r="N420" s="46">
        <v>1.8140000000000001</v>
      </c>
      <c r="O420" s="46">
        <v>0</v>
      </c>
      <c r="P420" s="46">
        <v>0</v>
      </c>
      <c r="Q420" s="46">
        <v>0</v>
      </c>
      <c r="R420" s="46">
        <v>0</v>
      </c>
      <c r="S420" s="46">
        <v>22</v>
      </c>
      <c r="T420" s="48">
        <v>22</v>
      </c>
    </row>
    <row r="421" spans="1:20" ht="23.4" x14ac:dyDescent="0.25">
      <c r="A421" s="46">
        <v>420</v>
      </c>
      <c r="B421" s="47">
        <v>244003</v>
      </c>
      <c r="C421" s="46" t="s">
        <v>114</v>
      </c>
      <c r="D421" s="46" t="s">
        <v>115</v>
      </c>
      <c r="E421" s="46" t="s">
        <v>116</v>
      </c>
      <c r="F421" s="46" t="s">
        <v>119</v>
      </c>
      <c r="G421" s="46">
        <v>2</v>
      </c>
      <c r="H421" s="46" t="s">
        <v>117</v>
      </c>
      <c r="I421" s="46" t="s">
        <v>2782</v>
      </c>
      <c r="J421" s="46" t="s">
        <v>169</v>
      </c>
      <c r="K421" s="46" t="s">
        <v>131</v>
      </c>
      <c r="L421" s="49" t="s">
        <v>170</v>
      </c>
      <c r="N421" s="46">
        <v>0.56399999999999995</v>
      </c>
      <c r="O421" s="46">
        <v>0</v>
      </c>
      <c r="P421" s="46">
        <v>0</v>
      </c>
      <c r="Q421" s="46">
        <v>0</v>
      </c>
      <c r="R421" s="46">
        <v>0</v>
      </c>
      <c r="S421" s="46">
        <v>17</v>
      </c>
      <c r="T421" s="48">
        <v>17</v>
      </c>
    </row>
    <row r="422" spans="1:20" ht="23.4" x14ac:dyDescent="0.25">
      <c r="A422" s="46">
        <v>421</v>
      </c>
      <c r="B422" s="47">
        <v>244003</v>
      </c>
      <c r="C422" s="46" t="s">
        <v>114</v>
      </c>
      <c r="D422" s="46" t="s">
        <v>115</v>
      </c>
      <c r="E422" s="46" t="s">
        <v>116</v>
      </c>
      <c r="F422" s="46" t="s">
        <v>119</v>
      </c>
      <c r="G422" s="46">
        <v>2</v>
      </c>
      <c r="H422" s="46" t="s">
        <v>117</v>
      </c>
      <c r="I422" s="46" t="s">
        <v>2783</v>
      </c>
      <c r="J422" s="46" t="s">
        <v>2784</v>
      </c>
      <c r="K422" s="46" t="s">
        <v>2785</v>
      </c>
      <c r="L422" s="49" t="s">
        <v>2786</v>
      </c>
      <c r="N422" s="46">
        <v>0.99199999999999999</v>
      </c>
      <c r="O422" s="46">
        <v>270</v>
      </c>
      <c r="P422" s="46">
        <v>4.05</v>
      </c>
      <c r="Q422" s="46">
        <v>0.28349999999999997</v>
      </c>
      <c r="R422" s="46">
        <v>0</v>
      </c>
      <c r="S422" s="46">
        <v>17</v>
      </c>
      <c r="T422" s="48">
        <v>21.33</v>
      </c>
    </row>
    <row r="423" spans="1:20" ht="23.4" x14ac:dyDescent="0.25">
      <c r="A423" s="46">
        <v>422</v>
      </c>
      <c r="B423" s="47">
        <v>244003</v>
      </c>
      <c r="C423" s="46" t="s">
        <v>114</v>
      </c>
      <c r="D423" s="46" t="s">
        <v>115</v>
      </c>
      <c r="E423" s="46" t="s">
        <v>116</v>
      </c>
      <c r="F423" s="46" t="s">
        <v>119</v>
      </c>
      <c r="G423" s="46">
        <v>2</v>
      </c>
      <c r="H423" s="46" t="s">
        <v>117</v>
      </c>
      <c r="I423" s="46" t="s">
        <v>2787</v>
      </c>
      <c r="J423" s="46" t="s">
        <v>2788</v>
      </c>
      <c r="K423" s="46" t="s">
        <v>2789</v>
      </c>
      <c r="L423" s="49" t="s">
        <v>2790</v>
      </c>
      <c r="N423" s="46">
        <v>0.58199999999999996</v>
      </c>
      <c r="O423" s="46">
        <v>150</v>
      </c>
      <c r="P423" s="46">
        <v>2.25</v>
      </c>
      <c r="Q423" s="46">
        <v>0.1575</v>
      </c>
      <c r="R423" s="46">
        <v>0</v>
      </c>
      <c r="S423" s="46">
        <v>17</v>
      </c>
      <c r="T423" s="48">
        <v>19.41</v>
      </c>
    </row>
    <row r="424" spans="1:20" ht="23.4" x14ac:dyDescent="0.25">
      <c r="A424" s="46">
        <v>423</v>
      </c>
      <c r="B424" s="47">
        <v>244003</v>
      </c>
      <c r="C424" s="46" t="s">
        <v>114</v>
      </c>
      <c r="D424" s="46" t="s">
        <v>115</v>
      </c>
      <c r="E424" s="46" t="s">
        <v>116</v>
      </c>
      <c r="F424" s="46" t="s">
        <v>119</v>
      </c>
      <c r="G424" s="46">
        <v>2</v>
      </c>
      <c r="H424" s="46" t="s">
        <v>117</v>
      </c>
      <c r="I424" s="46" t="s">
        <v>2791</v>
      </c>
      <c r="J424" s="46" t="s">
        <v>2792</v>
      </c>
      <c r="K424" s="46" t="s">
        <v>2793</v>
      </c>
      <c r="L424" s="49" t="s">
        <v>2794</v>
      </c>
      <c r="N424" s="46">
        <v>0.98599999999999999</v>
      </c>
      <c r="O424" s="46">
        <v>270</v>
      </c>
      <c r="P424" s="46">
        <v>4.05</v>
      </c>
      <c r="Q424" s="46">
        <v>0.28349999999999997</v>
      </c>
      <c r="R424" s="46">
        <v>0</v>
      </c>
      <c r="S424" s="46">
        <v>17</v>
      </c>
      <c r="T424" s="48">
        <v>21.33</v>
      </c>
    </row>
    <row r="425" spans="1:20" ht="23.4" x14ac:dyDescent="0.25">
      <c r="A425" s="46">
        <v>424</v>
      </c>
      <c r="B425" s="47">
        <v>244003</v>
      </c>
      <c r="C425" s="46" t="s">
        <v>114</v>
      </c>
      <c r="D425" s="46" t="s">
        <v>115</v>
      </c>
      <c r="E425" s="46" t="s">
        <v>116</v>
      </c>
      <c r="F425" s="46" t="s">
        <v>119</v>
      </c>
      <c r="G425" s="46">
        <v>2</v>
      </c>
      <c r="H425" s="46" t="s">
        <v>117</v>
      </c>
      <c r="I425" s="46" t="s">
        <v>2795</v>
      </c>
      <c r="J425" s="46" t="s">
        <v>2796</v>
      </c>
      <c r="K425" s="46" t="s">
        <v>2797</v>
      </c>
      <c r="L425" s="49" t="s">
        <v>2798</v>
      </c>
      <c r="N425" s="46">
        <v>3.9020000000000001</v>
      </c>
      <c r="O425" s="46">
        <v>0</v>
      </c>
      <c r="P425" s="46">
        <v>0</v>
      </c>
      <c r="Q425" s="46">
        <v>0</v>
      </c>
      <c r="R425" s="46">
        <v>0</v>
      </c>
      <c r="S425" s="46">
        <v>43</v>
      </c>
      <c r="T425" s="48">
        <v>43</v>
      </c>
    </row>
    <row r="426" spans="1:20" ht="23.4" x14ac:dyDescent="0.25">
      <c r="A426" s="46">
        <v>425</v>
      </c>
      <c r="B426" s="47">
        <v>244003</v>
      </c>
      <c r="C426" s="46" t="s">
        <v>114</v>
      </c>
      <c r="D426" s="46" t="s">
        <v>115</v>
      </c>
      <c r="E426" s="46" t="s">
        <v>116</v>
      </c>
      <c r="F426" s="46" t="s">
        <v>119</v>
      </c>
      <c r="G426" s="46">
        <v>2</v>
      </c>
      <c r="H426" s="46" t="s">
        <v>117</v>
      </c>
      <c r="I426" s="46" t="s">
        <v>2799</v>
      </c>
      <c r="J426" s="46" t="s">
        <v>2800</v>
      </c>
      <c r="K426" s="46" t="s">
        <v>2801</v>
      </c>
      <c r="L426" s="49" t="s">
        <v>2802</v>
      </c>
      <c r="N426" s="46">
        <v>16.995000000000001</v>
      </c>
      <c r="O426" s="46">
        <v>1260</v>
      </c>
      <c r="P426" s="46">
        <v>18.899999999999999</v>
      </c>
      <c r="Q426" s="46">
        <v>1.323</v>
      </c>
      <c r="R426" s="46">
        <v>0</v>
      </c>
      <c r="S426" s="46">
        <v>180</v>
      </c>
      <c r="T426" s="48">
        <v>200.22</v>
      </c>
    </row>
    <row r="427" spans="1:20" ht="23.4" x14ac:dyDescent="0.25">
      <c r="A427" s="46">
        <v>426</v>
      </c>
      <c r="B427" s="47">
        <v>244003</v>
      </c>
      <c r="C427" s="46" t="s">
        <v>114</v>
      </c>
      <c r="D427" s="46" t="s">
        <v>115</v>
      </c>
      <c r="E427" s="46" t="s">
        <v>116</v>
      </c>
      <c r="F427" s="46" t="s">
        <v>119</v>
      </c>
      <c r="G427" s="46">
        <v>2</v>
      </c>
      <c r="H427" s="46" t="s">
        <v>117</v>
      </c>
      <c r="I427" s="46" t="s">
        <v>2803</v>
      </c>
      <c r="J427" s="46" t="s">
        <v>2804</v>
      </c>
      <c r="K427" s="46" t="s">
        <v>2801</v>
      </c>
      <c r="L427" s="49" t="s">
        <v>2802</v>
      </c>
      <c r="N427" s="46">
        <v>16.995000000000001</v>
      </c>
      <c r="O427" s="46">
        <v>1255</v>
      </c>
      <c r="P427" s="46">
        <v>18.824999999999999</v>
      </c>
      <c r="Q427" s="46">
        <v>1.3178000000000001</v>
      </c>
      <c r="R427" s="46">
        <v>0</v>
      </c>
      <c r="S427" s="46">
        <v>180</v>
      </c>
      <c r="T427" s="48">
        <v>200.14</v>
      </c>
    </row>
    <row r="428" spans="1:20" ht="23.4" x14ac:dyDescent="0.25">
      <c r="A428" s="46">
        <v>427</v>
      </c>
      <c r="B428" s="47">
        <v>244003</v>
      </c>
      <c r="C428" s="46" t="s">
        <v>114</v>
      </c>
      <c r="D428" s="46" t="s">
        <v>115</v>
      </c>
      <c r="E428" s="46" t="s">
        <v>116</v>
      </c>
      <c r="F428" s="46" t="s">
        <v>119</v>
      </c>
      <c r="G428" s="46">
        <v>2</v>
      </c>
      <c r="H428" s="46" t="s">
        <v>117</v>
      </c>
      <c r="I428" s="46" t="s">
        <v>2805</v>
      </c>
      <c r="J428" s="46" t="s">
        <v>2806</v>
      </c>
      <c r="K428" s="46" t="s">
        <v>2801</v>
      </c>
      <c r="L428" s="49" t="s">
        <v>2802</v>
      </c>
      <c r="N428" s="46">
        <v>16.995000000000001</v>
      </c>
      <c r="O428" s="46">
        <v>1260</v>
      </c>
      <c r="P428" s="46">
        <v>18.899999999999999</v>
      </c>
      <c r="Q428" s="46">
        <v>1.323</v>
      </c>
      <c r="R428" s="46">
        <v>0</v>
      </c>
      <c r="S428" s="46">
        <v>180</v>
      </c>
      <c r="T428" s="48">
        <v>200.22</v>
      </c>
    </row>
    <row r="429" spans="1:20" ht="23.4" x14ac:dyDescent="0.25">
      <c r="A429" s="46">
        <v>428</v>
      </c>
      <c r="B429" s="47">
        <v>244003</v>
      </c>
      <c r="C429" s="46" t="s">
        <v>114</v>
      </c>
      <c r="D429" s="46" t="s">
        <v>115</v>
      </c>
      <c r="E429" s="46" t="s">
        <v>116</v>
      </c>
      <c r="F429" s="46" t="s">
        <v>119</v>
      </c>
      <c r="G429" s="46">
        <v>2</v>
      </c>
      <c r="H429" s="46" t="s">
        <v>117</v>
      </c>
      <c r="I429" s="46" t="s">
        <v>2807</v>
      </c>
      <c r="J429" s="46" t="s">
        <v>2808</v>
      </c>
      <c r="K429" s="46" t="s">
        <v>2639</v>
      </c>
      <c r="L429" s="49" t="s">
        <v>2809</v>
      </c>
      <c r="N429" s="46">
        <v>0.11799999999999999</v>
      </c>
      <c r="O429" s="46">
        <v>0</v>
      </c>
      <c r="P429" s="46">
        <v>0</v>
      </c>
      <c r="Q429" s="46">
        <v>0</v>
      </c>
      <c r="R429" s="46">
        <v>0</v>
      </c>
      <c r="S429" s="46">
        <v>17</v>
      </c>
      <c r="T429" s="48">
        <v>17</v>
      </c>
    </row>
    <row r="430" spans="1:20" ht="23.4" x14ac:dyDescent="0.25">
      <c r="A430" s="46">
        <v>429</v>
      </c>
      <c r="B430" s="47">
        <v>244003</v>
      </c>
      <c r="C430" s="46" t="s">
        <v>114</v>
      </c>
      <c r="D430" s="46" t="s">
        <v>115</v>
      </c>
      <c r="E430" s="46" t="s">
        <v>116</v>
      </c>
      <c r="F430" s="46" t="s">
        <v>119</v>
      </c>
      <c r="G430" s="46">
        <v>2</v>
      </c>
      <c r="H430" s="46" t="s">
        <v>117</v>
      </c>
      <c r="I430" s="46" t="s">
        <v>2810</v>
      </c>
      <c r="J430" s="46" t="s">
        <v>2811</v>
      </c>
      <c r="K430" s="46" t="s">
        <v>2104</v>
      </c>
      <c r="L430" s="49" t="s">
        <v>2812</v>
      </c>
      <c r="N430" s="46">
        <v>6.8000000000000005E-2</v>
      </c>
      <c r="O430" s="46">
        <v>0</v>
      </c>
      <c r="P430" s="46">
        <v>0</v>
      </c>
      <c r="Q430" s="46">
        <v>0</v>
      </c>
      <c r="R430" s="46">
        <v>0</v>
      </c>
      <c r="S430" s="46">
        <v>17</v>
      </c>
      <c r="T430" s="48">
        <v>17</v>
      </c>
    </row>
    <row r="431" spans="1:20" ht="23.4" x14ac:dyDescent="0.25">
      <c r="A431" s="46">
        <v>430</v>
      </c>
      <c r="B431" s="47">
        <v>244003</v>
      </c>
      <c r="C431" s="46" t="s">
        <v>114</v>
      </c>
      <c r="D431" s="46" t="s">
        <v>115</v>
      </c>
      <c r="E431" s="46" t="s">
        <v>116</v>
      </c>
      <c r="F431" s="46" t="s">
        <v>119</v>
      </c>
      <c r="G431" s="46">
        <v>2</v>
      </c>
      <c r="H431" s="46" t="s">
        <v>117</v>
      </c>
      <c r="I431" s="46" t="s">
        <v>2813</v>
      </c>
      <c r="J431" s="46" t="s">
        <v>2814</v>
      </c>
      <c r="K431" s="46" t="s">
        <v>2815</v>
      </c>
      <c r="L431" s="49" t="s">
        <v>2816</v>
      </c>
      <c r="N431" s="46">
        <v>0.25600000000000001</v>
      </c>
      <c r="O431" s="46">
        <v>0</v>
      </c>
      <c r="P431" s="46">
        <v>0</v>
      </c>
      <c r="Q431" s="46">
        <v>0</v>
      </c>
      <c r="R431" s="46">
        <v>0</v>
      </c>
      <c r="S431" s="46">
        <v>17</v>
      </c>
      <c r="T431" s="48">
        <v>17</v>
      </c>
    </row>
    <row r="432" spans="1:20" ht="23.4" x14ac:dyDescent="0.25">
      <c r="A432" s="46">
        <v>431</v>
      </c>
      <c r="B432" s="47">
        <v>244003</v>
      </c>
      <c r="C432" s="46" t="s">
        <v>114</v>
      </c>
      <c r="D432" s="46" t="s">
        <v>115</v>
      </c>
      <c r="E432" s="46" t="s">
        <v>116</v>
      </c>
      <c r="F432" s="46" t="s">
        <v>119</v>
      </c>
      <c r="G432" s="46">
        <v>2</v>
      </c>
      <c r="H432" s="46" t="s">
        <v>117</v>
      </c>
      <c r="I432" s="46" t="s">
        <v>2817</v>
      </c>
      <c r="J432" s="46" t="s">
        <v>2818</v>
      </c>
      <c r="K432" s="46" t="s">
        <v>2819</v>
      </c>
      <c r="L432" s="49" t="s">
        <v>2820</v>
      </c>
      <c r="N432" s="46">
        <v>0.26800000000000002</v>
      </c>
      <c r="O432" s="46">
        <v>0</v>
      </c>
      <c r="P432" s="46">
        <v>0</v>
      </c>
      <c r="Q432" s="46">
        <v>0</v>
      </c>
      <c r="R432" s="46">
        <v>0</v>
      </c>
      <c r="S432" s="46">
        <v>17</v>
      </c>
      <c r="T432" s="48">
        <v>17</v>
      </c>
    </row>
    <row r="433" spans="1:20" ht="23.4" x14ac:dyDescent="0.25">
      <c r="A433" s="46">
        <v>432</v>
      </c>
      <c r="B433" s="47">
        <v>244003</v>
      </c>
      <c r="C433" s="46" t="s">
        <v>114</v>
      </c>
      <c r="D433" s="46" t="s">
        <v>115</v>
      </c>
      <c r="E433" s="46" t="s">
        <v>116</v>
      </c>
      <c r="F433" s="46" t="s">
        <v>119</v>
      </c>
      <c r="G433" s="46">
        <v>2</v>
      </c>
      <c r="H433" s="46" t="s">
        <v>117</v>
      </c>
      <c r="I433" s="46" t="s">
        <v>2821</v>
      </c>
      <c r="J433" s="46" t="s">
        <v>2822</v>
      </c>
      <c r="K433" s="46" t="s">
        <v>2383</v>
      </c>
      <c r="L433" s="49" t="s">
        <v>2384</v>
      </c>
      <c r="N433" s="46">
        <v>0.26400000000000001</v>
      </c>
      <c r="O433" s="46">
        <v>0</v>
      </c>
      <c r="P433" s="46">
        <v>0</v>
      </c>
      <c r="Q433" s="46">
        <v>0</v>
      </c>
      <c r="R433" s="46">
        <v>0</v>
      </c>
      <c r="S433" s="46">
        <v>17</v>
      </c>
      <c r="T433" s="48">
        <v>17</v>
      </c>
    </row>
    <row r="434" spans="1:20" ht="23.4" x14ac:dyDescent="0.25">
      <c r="A434" s="46">
        <v>433</v>
      </c>
      <c r="B434" s="47">
        <v>244003</v>
      </c>
      <c r="C434" s="46" t="s">
        <v>114</v>
      </c>
      <c r="D434" s="46" t="s">
        <v>115</v>
      </c>
      <c r="E434" s="46" t="s">
        <v>116</v>
      </c>
      <c r="F434" s="46" t="s">
        <v>119</v>
      </c>
      <c r="G434" s="46">
        <v>2</v>
      </c>
      <c r="H434" s="46" t="s">
        <v>117</v>
      </c>
      <c r="I434" s="46" t="s">
        <v>2823</v>
      </c>
      <c r="J434" s="46" t="s">
        <v>2824</v>
      </c>
      <c r="K434" s="46" t="s">
        <v>2825</v>
      </c>
      <c r="L434" s="49" t="s">
        <v>2826</v>
      </c>
      <c r="N434" s="46">
        <v>1.226</v>
      </c>
      <c r="O434" s="46">
        <v>280</v>
      </c>
      <c r="P434" s="46">
        <v>4.2</v>
      </c>
      <c r="Q434" s="46">
        <v>0.29399999999999998</v>
      </c>
      <c r="R434" s="46">
        <v>0</v>
      </c>
      <c r="S434" s="46">
        <v>22</v>
      </c>
      <c r="T434" s="48">
        <v>26.49</v>
      </c>
    </row>
    <row r="435" spans="1:20" ht="23.4" x14ac:dyDescent="0.25">
      <c r="A435" s="46">
        <v>434</v>
      </c>
      <c r="B435" s="47">
        <v>244003</v>
      </c>
      <c r="C435" s="46" t="s">
        <v>114</v>
      </c>
      <c r="D435" s="46" t="s">
        <v>115</v>
      </c>
      <c r="E435" s="46" t="s">
        <v>116</v>
      </c>
      <c r="F435" s="46" t="s">
        <v>119</v>
      </c>
      <c r="G435" s="46">
        <v>2</v>
      </c>
      <c r="H435" s="46" t="s">
        <v>117</v>
      </c>
      <c r="I435" s="46" t="s">
        <v>2827</v>
      </c>
      <c r="J435" s="46" t="s">
        <v>2828</v>
      </c>
      <c r="K435" s="46" t="s">
        <v>2829</v>
      </c>
      <c r="L435" s="49" t="s">
        <v>2830</v>
      </c>
      <c r="N435" s="46">
        <v>1.86</v>
      </c>
      <c r="O435" s="46">
        <v>510</v>
      </c>
      <c r="P435" s="46">
        <v>7.65</v>
      </c>
      <c r="Q435" s="46">
        <v>0.53549999999999998</v>
      </c>
      <c r="R435" s="46">
        <v>0</v>
      </c>
      <c r="S435" s="46">
        <v>22</v>
      </c>
      <c r="T435" s="48">
        <v>30.19</v>
      </c>
    </row>
    <row r="436" spans="1:20" ht="23.4" x14ac:dyDescent="0.25">
      <c r="A436" s="46">
        <v>435</v>
      </c>
      <c r="B436" s="47">
        <v>244003</v>
      </c>
      <c r="C436" s="46" t="s">
        <v>114</v>
      </c>
      <c r="D436" s="46" t="s">
        <v>115</v>
      </c>
      <c r="E436" s="46" t="s">
        <v>116</v>
      </c>
      <c r="F436" s="46" t="s">
        <v>119</v>
      </c>
      <c r="G436" s="46">
        <v>2</v>
      </c>
      <c r="H436" s="46" t="s">
        <v>117</v>
      </c>
      <c r="I436" s="46" t="s">
        <v>2831</v>
      </c>
      <c r="J436" s="46" t="s">
        <v>2832</v>
      </c>
      <c r="K436" s="46" t="s">
        <v>2833</v>
      </c>
      <c r="L436" s="49" t="s">
        <v>2834</v>
      </c>
      <c r="N436" s="46">
        <v>1.768</v>
      </c>
      <c r="O436" s="46">
        <v>430</v>
      </c>
      <c r="P436" s="46">
        <v>6.45</v>
      </c>
      <c r="Q436" s="46">
        <v>0.45150000000000001</v>
      </c>
      <c r="R436" s="46">
        <v>0</v>
      </c>
      <c r="S436" s="46">
        <v>22</v>
      </c>
      <c r="T436" s="48">
        <v>28.9</v>
      </c>
    </row>
    <row r="437" spans="1:20" ht="23.4" x14ac:dyDescent="0.25">
      <c r="A437" s="46">
        <v>436</v>
      </c>
      <c r="B437" s="47">
        <v>244003</v>
      </c>
      <c r="C437" s="46" t="s">
        <v>114</v>
      </c>
      <c r="D437" s="46" t="s">
        <v>115</v>
      </c>
      <c r="E437" s="46" t="s">
        <v>116</v>
      </c>
      <c r="F437" s="46" t="s">
        <v>119</v>
      </c>
      <c r="G437" s="46">
        <v>2</v>
      </c>
      <c r="H437" s="46" t="s">
        <v>117</v>
      </c>
      <c r="I437" s="46" t="s">
        <v>2835</v>
      </c>
      <c r="J437" s="46" t="s">
        <v>2836</v>
      </c>
      <c r="K437" s="46" t="s">
        <v>2837</v>
      </c>
      <c r="L437" s="49" t="s">
        <v>2838</v>
      </c>
      <c r="N437" s="46">
        <v>0.98399999999999999</v>
      </c>
      <c r="O437" s="46">
        <v>270</v>
      </c>
      <c r="P437" s="46">
        <v>4.05</v>
      </c>
      <c r="Q437" s="46">
        <v>0.28349999999999997</v>
      </c>
      <c r="R437" s="46">
        <v>0</v>
      </c>
      <c r="S437" s="46">
        <v>17</v>
      </c>
      <c r="T437" s="48">
        <v>21.33</v>
      </c>
    </row>
    <row r="438" spans="1:20" ht="23.4" x14ac:dyDescent="0.25">
      <c r="A438" s="46">
        <v>437</v>
      </c>
      <c r="B438" s="47">
        <v>244003</v>
      </c>
      <c r="C438" s="46" t="s">
        <v>114</v>
      </c>
      <c r="D438" s="46" t="s">
        <v>115</v>
      </c>
      <c r="E438" s="46" t="s">
        <v>116</v>
      </c>
      <c r="F438" s="46" t="s">
        <v>119</v>
      </c>
      <c r="G438" s="46">
        <v>2</v>
      </c>
      <c r="H438" s="46" t="s">
        <v>117</v>
      </c>
      <c r="I438" s="46" t="s">
        <v>2839</v>
      </c>
      <c r="J438" s="46" t="s">
        <v>2840</v>
      </c>
      <c r="K438" s="46" t="s">
        <v>2841</v>
      </c>
      <c r="L438" s="49" t="s">
        <v>2842</v>
      </c>
      <c r="N438" s="46">
        <v>3.06</v>
      </c>
      <c r="O438" s="46">
        <v>609</v>
      </c>
      <c r="P438" s="46">
        <v>9.1349999999999998</v>
      </c>
      <c r="Q438" s="46">
        <v>0.63949999999999996</v>
      </c>
      <c r="R438" s="46">
        <v>15</v>
      </c>
      <c r="S438" s="46">
        <v>58</v>
      </c>
      <c r="T438" s="48">
        <v>67.77</v>
      </c>
    </row>
    <row r="439" spans="1:20" ht="23.4" x14ac:dyDescent="0.25">
      <c r="A439" s="46">
        <v>438</v>
      </c>
      <c r="B439" s="47">
        <v>244003</v>
      </c>
      <c r="C439" s="46" t="s">
        <v>114</v>
      </c>
      <c r="D439" s="46" t="s">
        <v>115</v>
      </c>
      <c r="E439" s="46" t="s">
        <v>116</v>
      </c>
      <c r="F439" s="46" t="s">
        <v>119</v>
      </c>
      <c r="G439" s="46">
        <v>2</v>
      </c>
      <c r="H439" s="46" t="s">
        <v>117</v>
      </c>
      <c r="I439" s="46" t="s">
        <v>2843</v>
      </c>
      <c r="J439" s="46" t="s">
        <v>2844</v>
      </c>
      <c r="K439" s="46" t="s">
        <v>2845</v>
      </c>
      <c r="L439" s="49" t="s">
        <v>2846</v>
      </c>
      <c r="N439" s="46">
        <v>1.752</v>
      </c>
      <c r="O439" s="46">
        <v>430</v>
      </c>
      <c r="P439" s="46">
        <v>6.45</v>
      </c>
      <c r="Q439" s="46">
        <v>0.45150000000000001</v>
      </c>
      <c r="R439" s="46">
        <v>0</v>
      </c>
      <c r="S439" s="46">
        <v>22</v>
      </c>
      <c r="T439" s="48">
        <v>28.9</v>
      </c>
    </row>
    <row r="440" spans="1:20" ht="23.4" x14ac:dyDescent="0.25">
      <c r="A440" s="46">
        <v>439</v>
      </c>
      <c r="B440" s="47">
        <v>244003</v>
      </c>
      <c r="C440" s="46" t="s">
        <v>114</v>
      </c>
      <c r="D440" s="46" t="s">
        <v>115</v>
      </c>
      <c r="E440" s="46" t="s">
        <v>116</v>
      </c>
      <c r="F440" s="46" t="s">
        <v>119</v>
      </c>
      <c r="G440" s="46">
        <v>2</v>
      </c>
      <c r="H440" s="46" t="s">
        <v>117</v>
      </c>
      <c r="I440" s="46" t="s">
        <v>2847</v>
      </c>
      <c r="J440" s="46" t="s">
        <v>2848</v>
      </c>
      <c r="K440" s="46" t="s">
        <v>2849</v>
      </c>
      <c r="L440" s="49" t="s">
        <v>2850</v>
      </c>
      <c r="N440" s="46">
        <v>1.82</v>
      </c>
      <c r="O440" s="46">
        <v>359</v>
      </c>
      <c r="P440" s="46">
        <v>5.3849999999999998</v>
      </c>
      <c r="Q440" s="46">
        <v>0.377</v>
      </c>
      <c r="R440" s="46">
        <v>0</v>
      </c>
      <c r="S440" s="46">
        <v>22</v>
      </c>
      <c r="T440" s="48">
        <v>27.76</v>
      </c>
    </row>
    <row r="441" spans="1:20" ht="23.4" x14ac:dyDescent="0.25">
      <c r="A441" s="46">
        <v>440</v>
      </c>
      <c r="B441" s="47">
        <v>244003</v>
      </c>
      <c r="C441" s="46" t="s">
        <v>114</v>
      </c>
      <c r="D441" s="46" t="s">
        <v>115</v>
      </c>
      <c r="E441" s="46" t="s">
        <v>116</v>
      </c>
      <c r="F441" s="46" t="s">
        <v>119</v>
      </c>
      <c r="G441" s="46">
        <v>2</v>
      </c>
      <c r="H441" s="46" t="s">
        <v>117</v>
      </c>
      <c r="I441" s="46" t="s">
        <v>2851</v>
      </c>
      <c r="J441" s="46" t="s">
        <v>2852</v>
      </c>
      <c r="K441" s="46" t="s">
        <v>2853</v>
      </c>
      <c r="L441" s="49" t="s">
        <v>2854</v>
      </c>
      <c r="N441" s="46">
        <v>0.97599999999999998</v>
      </c>
      <c r="O441" s="46">
        <v>0</v>
      </c>
      <c r="P441" s="46">
        <v>0</v>
      </c>
      <c r="Q441" s="46">
        <v>0</v>
      </c>
      <c r="R441" s="46">
        <v>0</v>
      </c>
      <c r="S441" s="46">
        <v>17</v>
      </c>
      <c r="T441" s="48">
        <v>17</v>
      </c>
    </row>
    <row r="442" spans="1:20" ht="23.4" x14ac:dyDescent="0.25">
      <c r="A442" s="46">
        <v>441</v>
      </c>
      <c r="B442" s="47">
        <v>244003</v>
      </c>
      <c r="C442" s="46" t="s">
        <v>114</v>
      </c>
      <c r="D442" s="46" t="s">
        <v>115</v>
      </c>
      <c r="E442" s="46" t="s">
        <v>116</v>
      </c>
      <c r="F442" s="46" t="s">
        <v>119</v>
      </c>
      <c r="G442" s="46">
        <v>2</v>
      </c>
      <c r="H442" s="46" t="s">
        <v>117</v>
      </c>
      <c r="I442" s="46" t="s">
        <v>2855</v>
      </c>
      <c r="J442" s="46" t="s">
        <v>2856</v>
      </c>
      <c r="K442" s="46" t="s">
        <v>2857</v>
      </c>
      <c r="L442" s="49" t="s">
        <v>2858</v>
      </c>
      <c r="N442" s="46">
        <v>1.776</v>
      </c>
      <c r="O442" s="46">
        <v>0</v>
      </c>
      <c r="P442" s="46">
        <v>0</v>
      </c>
      <c r="Q442" s="46">
        <v>0</v>
      </c>
      <c r="R442" s="46">
        <v>0</v>
      </c>
      <c r="S442" s="46">
        <v>22</v>
      </c>
      <c r="T442" s="48">
        <v>22</v>
      </c>
    </row>
    <row r="443" spans="1:20" ht="23.4" x14ac:dyDescent="0.25">
      <c r="A443" s="46">
        <v>442</v>
      </c>
      <c r="B443" s="47">
        <v>244003</v>
      </c>
      <c r="C443" s="46" t="s">
        <v>114</v>
      </c>
      <c r="D443" s="46" t="s">
        <v>115</v>
      </c>
      <c r="E443" s="46" t="s">
        <v>116</v>
      </c>
      <c r="F443" s="46" t="s">
        <v>119</v>
      </c>
      <c r="G443" s="46">
        <v>2</v>
      </c>
      <c r="H443" s="46" t="s">
        <v>117</v>
      </c>
      <c r="I443" s="46" t="s">
        <v>2859</v>
      </c>
      <c r="J443" s="46" t="s">
        <v>2860</v>
      </c>
      <c r="K443" s="46" t="s">
        <v>2861</v>
      </c>
      <c r="L443" s="49" t="s">
        <v>2862</v>
      </c>
      <c r="N443" s="46">
        <v>1.732</v>
      </c>
      <c r="O443" s="46">
        <v>430</v>
      </c>
      <c r="P443" s="46">
        <v>6.45</v>
      </c>
      <c r="Q443" s="46">
        <v>0.45150000000000001</v>
      </c>
      <c r="R443" s="46">
        <v>0</v>
      </c>
      <c r="S443" s="46">
        <v>22</v>
      </c>
      <c r="T443" s="48">
        <v>28.9</v>
      </c>
    </row>
    <row r="444" spans="1:20" ht="23.4" x14ac:dyDescent="0.25">
      <c r="A444" s="46">
        <v>443</v>
      </c>
      <c r="B444" s="47">
        <v>244003</v>
      </c>
      <c r="C444" s="46" t="s">
        <v>114</v>
      </c>
      <c r="D444" s="46" t="s">
        <v>115</v>
      </c>
      <c r="E444" s="46" t="s">
        <v>116</v>
      </c>
      <c r="F444" s="46" t="s">
        <v>119</v>
      </c>
      <c r="G444" s="46">
        <v>2</v>
      </c>
      <c r="H444" s="46" t="s">
        <v>117</v>
      </c>
      <c r="I444" s="46" t="s">
        <v>2863</v>
      </c>
      <c r="J444" s="46" t="s">
        <v>2864</v>
      </c>
      <c r="K444" s="46" t="s">
        <v>2865</v>
      </c>
      <c r="L444" s="49" t="s">
        <v>2866</v>
      </c>
      <c r="N444" s="46">
        <v>1.764</v>
      </c>
      <c r="O444" s="46">
        <v>480</v>
      </c>
      <c r="P444" s="46">
        <v>7.2</v>
      </c>
      <c r="Q444" s="46">
        <v>0.504</v>
      </c>
      <c r="R444" s="46">
        <v>0</v>
      </c>
      <c r="S444" s="46">
        <v>22</v>
      </c>
      <c r="T444" s="48">
        <v>29.7</v>
      </c>
    </row>
    <row r="445" spans="1:20" ht="23.4" x14ac:dyDescent="0.25">
      <c r="A445" s="46">
        <v>444</v>
      </c>
      <c r="B445" s="47">
        <v>244005</v>
      </c>
      <c r="C445" s="46" t="s">
        <v>114</v>
      </c>
      <c r="D445" s="46" t="s">
        <v>115</v>
      </c>
      <c r="E445" s="46" t="s">
        <v>116</v>
      </c>
      <c r="F445" s="46" t="s">
        <v>119</v>
      </c>
      <c r="G445" s="46">
        <v>2</v>
      </c>
      <c r="H445" s="46" t="s">
        <v>117</v>
      </c>
      <c r="I445" s="46" t="s">
        <v>2867</v>
      </c>
      <c r="J445" s="46" t="s">
        <v>1776</v>
      </c>
      <c r="K445" s="46" t="s">
        <v>1777</v>
      </c>
      <c r="L445" s="49" t="s">
        <v>1778</v>
      </c>
      <c r="N445" s="46">
        <v>2.15</v>
      </c>
      <c r="O445" s="46">
        <v>540</v>
      </c>
      <c r="P445" s="46">
        <v>8.1</v>
      </c>
      <c r="Q445" s="46">
        <v>0.56699999999999995</v>
      </c>
      <c r="R445" s="46">
        <v>0</v>
      </c>
      <c r="S445" s="46">
        <v>33</v>
      </c>
      <c r="T445" s="48">
        <v>41.67</v>
      </c>
    </row>
    <row r="446" spans="1:20" ht="23.4" x14ac:dyDescent="0.25">
      <c r="A446" s="46">
        <v>445</v>
      </c>
      <c r="B446" s="47">
        <v>244005</v>
      </c>
      <c r="C446" s="46" t="s">
        <v>114</v>
      </c>
      <c r="D446" s="46" t="s">
        <v>115</v>
      </c>
      <c r="E446" s="46" t="s">
        <v>116</v>
      </c>
      <c r="F446" s="46" t="s">
        <v>119</v>
      </c>
      <c r="G446" s="46">
        <v>2</v>
      </c>
      <c r="H446" s="46" t="s">
        <v>117</v>
      </c>
      <c r="I446" s="46" t="s">
        <v>2868</v>
      </c>
      <c r="J446" s="46" t="s">
        <v>2869</v>
      </c>
      <c r="K446" s="46" t="s">
        <v>2870</v>
      </c>
      <c r="L446" s="49" t="s">
        <v>2871</v>
      </c>
      <c r="N446" s="46">
        <v>1.234</v>
      </c>
      <c r="O446" s="46">
        <v>280</v>
      </c>
      <c r="P446" s="46">
        <v>4.2</v>
      </c>
      <c r="Q446" s="46">
        <v>0.29399999999999998</v>
      </c>
      <c r="R446" s="46">
        <v>0</v>
      </c>
      <c r="S446" s="46">
        <v>22</v>
      </c>
      <c r="T446" s="48">
        <v>26.49</v>
      </c>
    </row>
    <row r="447" spans="1:20" ht="23.4" x14ac:dyDescent="0.25">
      <c r="A447" s="46">
        <v>446</v>
      </c>
      <c r="B447" s="47">
        <v>244005</v>
      </c>
      <c r="C447" s="46" t="s">
        <v>114</v>
      </c>
      <c r="D447" s="46" t="s">
        <v>115</v>
      </c>
      <c r="E447" s="46" t="s">
        <v>116</v>
      </c>
      <c r="F447" s="46" t="s">
        <v>119</v>
      </c>
      <c r="G447" s="46">
        <v>2</v>
      </c>
      <c r="H447" s="46" t="s">
        <v>117</v>
      </c>
      <c r="I447" s="46" t="s">
        <v>2872</v>
      </c>
      <c r="J447" s="46" t="s">
        <v>2873</v>
      </c>
      <c r="K447" s="46" t="s">
        <v>2874</v>
      </c>
      <c r="L447" s="49" t="s">
        <v>2875</v>
      </c>
      <c r="N447" s="46">
        <v>2.508</v>
      </c>
      <c r="O447" s="46">
        <v>530</v>
      </c>
      <c r="P447" s="46">
        <v>7.95</v>
      </c>
      <c r="Q447" s="46">
        <v>0.55649999999999999</v>
      </c>
      <c r="R447" s="46">
        <v>15</v>
      </c>
      <c r="S447" s="46">
        <v>48</v>
      </c>
      <c r="T447" s="48">
        <v>56.51</v>
      </c>
    </row>
    <row r="448" spans="1:20" ht="23.4" x14ac:dyDescent="0.25">
      <c r="A448" s="46">
        <v>447</v>
      </c>
      <c r="B448" s="47">
        <v>244005</v>
      </c>
      <c r="C448" s="46" t="s">
        <v>114</v>
      </c>
      <c r="D448" s="46" t="s">
        <v>115</v>
      </c>
      <c r="E448" s="46" t="s">
        <v>116</v>
      </c>
      <c r="F448" s="46" t="s">
        <v>119</v>
      </c>
      <c r="G448" s="46">
        <v>2</v>
      </c>
      <c r="H448" s="46" t="s">
        <v>117</v>
      </c>
      <c r="I448" s="46" t="s">
        <v>2876</v>
      </c>
      <c r="J448" s="46" t="s">
        <v>2877</v>
      </c>
      <c r="K448" s="46" t="s">
        <v>2878</v>
      </c>
      <c r="L448" s="49" t="s">
        <v>2879</v>
      </c>
      <c r="N448" s="46">
        <v>16.989999999999998</v>
      </c>
      <c r="O448" s="46">
        <v>0</v>
      </c>
      <c r="P448" s="46">
        <v>0</v>
      </c>
      <c r="Q448" s="46">
        <v>0</v>
      </c>
      <c r="R448" s="46">
        <v>15</v>
      </c>
      <c r="S448" s="46">
        <v>195</v>
      </c>
      <c r="T448" s="48">
        <v>195</v>
      </c>
    </row>
    <row r="449" spans="1:20" ht="23.4" x14ac:dyDescent="0.25">
      <c r="A449" s="46">
        <v>448</v>
      </c>
      <c r="B449" s="47">
        <v>244005</v>
      </c>
      <c r="C449" s="46" t="s">
        <v>114</v>
      </c>
      <c r="D449" s="46" t="s">
        <v>115</v>
      </c>
      <c r="E449" s="46" t="s">
        <v>116</v>
      </c>
      <c r="F449" s="46" t="s">
        <v>119</v>
      </c>
      <c r="G449" s="46">
        <v>2</v>
      </c>
      <c r="H449" s="46" t="s">
        <v>117</v>
      </c>
      <c r="I449" s="46" t="s">
        <v>1141</v>
      </c>
      <c r="J449" s="46" t="s">
        <v>1106</v>
      </c>
      <c r="K449" s="46" t="s">
        <v>1482</v>
      </c>
      <c r="L449" s="49" t="s">
        <v>2243</v>
      </c>
      <c r="N449" s="46">
        <v>0.72599999999999998</v>
      </c>
      <c r="O449" s="46">
        <v>0</v>
      </c>
      <c r="P449" s="46">
        <v>0</v>
      </c>
      <c r="Q449" s="46">
        <v>0</v>
      </c>
      <c r="R449" s="46">
        <v>0</v>
      </c>
      <c r="S449" s="46">
        <v>17</v>
      </c>
      <c r="T449" s="48">
        <v>17</v>
      </c>
    </row>
    <row r="450" spans="1:20" ht="23.4" x14ac:dyDescent="0.25">
      <c r="A450" s="46">
        <v>449</v>
      </c>
      <c r="B450" s="47">
        <v>244005</v>
      </c>
      <c r="C450" s="46" t="s">
        <v>114</v>
      </c>
      <c r="D450" s="46" t="s">
        <v>115</v>
      </c>
      <c r="E450" s="46" t="s">
        <v>116</v>
      </c>
      <c r="F450" s="46" t="s">
        <v>119</v>
      </c>
      <c r="G450" s="46">
        <v>2</v>
      </c>
      <c r="H450" s="46" t="s">
        <v>117</v>
      </c>
      <c r="I450" s="46" t="s">
        <v>2880</v>
      </c>
      <c r="J450" s="46" t="s">
        <v>2881</v>
      </c>
      <c r="K450" s="46" t="s">
        <v>2882</v>
      </c>
      <c r="L450" s="49" t="s">
        <v>2883</v>
      </c>
      <c r="N450" s="46">
        <v>1.1120000000000001</v>
      </c>
      <c r="O450" s="46">
        <v>0</v>
      </c>
      <c r="P450" s="46">
        <v>0</v>
      </c>
      <c r="Q450" s="46">
        <v>0</v>
      </c>
      <c r="R450" s="46">
        <v>0</v>
      </c>
      <c r="S450" s="46">
        <v>22</v>
      </c>
      <c r="T450" s="48">
        <v>22</v>
      </c>
    </row>
    <row r="451" spans="1:20" ht="23.4" x14ac:dyDescent="0.25">
      <c r="A451" s="46">
        <v>450</v>
      </c>
      <c r="B451" s="47">
        <v>244005</v>
      </c>
      <c r="C451" s="46" t="s">
        <v>114</v>
      </c>
      <c r="D451" s="46" t="s">
        <v>115</v>
      </c>
      <c r="E451" s="46" t="s">
        <v>116</v>
      </c>
      <c r="F451" s="46" t="s">
        <v>119</v>
      </c>
      <c r="G451" s="46">
        <v>2</v>
      </c>
      <c r="H451" s="46" t="s">
        <v>117</v>
      </c>
      <c r="I451" s="46" t="s">
        <v>2884</v>
      </c>
      <c r="J451" s="46" t="s">
        <v>2885</v>
      </c>
      <c r="K451" s="46" t="s">
        <v>2886</v>
      </c>
      <c r="L451" s="49" t="s">
        <v>2887</v>
      </c>
      <c r="N451" s="46">
        <v>1.0620000000000001</v>
      </c>
      <c r="O451" s="46">
        <v>0</v>
      </c>
      <c r="P451" s="46">
        <v>0</v>
      </c>
      <c r="Q451" s="46">
        <v>0</v>
      </c>
      <c r="R451" s="46">
        <v>15</v>
      </c>
      <c r="S451" s="46">
        <v>37</v>
      </c>
      <c r="T451" s="48">
        <v>37</v>
      </c>
    </row>
    <row r="452" spans="1:20" ht="23.4" x14ac:dyDescent="0.25">
      <c r="A452" s="46">
        <v>451</v>
      </c>
      <c r="B452" s="47">
        <v>244005</v>
      </c>
      <c r="C452" s="46" t="s">
        <v>114</v>
      </c>
      <c r="D452" s="46" t="s">
        <v>115</v>
      </c>
      <c r="E452" s="46" t="s">
        <v>116</v>
      </c>
      <c r="F452" s="46" t="s">
        <v>119</v>
      </c>
      <c r="G452" s="46">
        <v>2</v>
      </c>
      <c r="H452" s="46" t="s">
        <v>117</v>
      </c>
      <c r="I452" s="46" t="s">
        <v>2888</v>
      </c>
      <c r="J452" s="46" t="s">
        <v>2889</v>
      </c>
      <c r="K452" s="46" t="s">
        <v>2890</v>
      </c>
      <c r="L452" s="49" t="s">
        <v>2891</v>
      </c>
      <c r="N452" s="46">
        <v>1.246</v>
      </c>
      <c r="O452" s="46">
        <v>0</v>
      </c>
      <c r="P452" s="46">
        <v>0</v>
      </c>
      <c r="Q452" s="46">
        <v>0</v>
      </c>
      <c r="R452" s="46">
        <v>0</v>
      </c>
      <c r="S452" s="46">
        <v>22</v>
      </c>
      <c r="T452" s="48">
        <v>22</v>
      </c>
    </row>
    <row r="453" spans="1:20" ht="23.4" x14ac:dyDescent="0.25">
      <c r="A453" s="46">
        <v>452</v>
      </c>
      <c r="B453" s="47">
        <v>244005</v>
      </c>
      <c r="C453" s="46" t="s">
        <v>114</v>
      </c>
      <c r="D453" s="46" t="s">
        <v>115</v>
      </c>
      <c r="E453" s="46" t="s">
        <v>116</v>
      </c>
      <c r="F453" s="46" t="s">
        <v>119</v>
      </c>
      <c r="G453" s="46">
        <v>2</v>
      </c>
      <c r="H453" s="46" t="s">
        <v>117</v>
      </c>
      <c r="I453" s="46" t="s">
        <v>2892</v>
      </c>
      <c r="J453" s="46" t="s">
        <v>2893</v>
      </c>
      <c r="K453" s="46" t="s">
        <v>2894</v>
      </c>
      <c r="L453" s="49" t="s">
        <v>2895</v>
      </c>
      <c r="N453" s="46">
        <v>16.989999999999998</v>
      </c>
      <c r="O453" s="46">
        <v>0</v>
      </c>
      <c r="P453" s="46">
        <v>0</v>
      </c>
      <c r="Q453" s="46">
        <v>0</v>
      </c>
      <c r="R453" s="46">
        <v>0</v>
      </c>
      <c r="S453" s="46">
        <v>180</v>
      </c>
      <c r="T453" s="48">
        <v>180</v>
      </c>
    </row>
    <row r="454" spans="1:20" ht="23.4" x14ac:dyDescent="0.25">
      <c r="A454" s="46">
        <v>453</v>
      </c>
      <c r="B454" s="47">
        <v>244005</v>
      </c>
      <c r="C454" s="46" t="s">
        <v>114</v>
      </c>
      <c r="D454" s="46" t="s">
        <v>115</v>
      </c>
      <c r="E454" s="46" t="s">
        <v>116</v>
      </c>
      <c r="F454" s="46" t="s">
        <v>119</v>
      </c>
      <c r="G454" s="46">
        <v>2</v>
      </c>
      <c r="H454" s="46" t="s">
        <v>117</v>
      </c>
      <c r="I454" s="46" t="s">
        <v>2896</v>
      </c>
      <c r="J454" s="46" t="s">
        <v>2897</v>
      </c>
      <c r="K454" s="46" t="s">
        <v>2894</v>
      </c>
      <c r="L454" s="49" t="s">
        <v>2898</v>
      </c>
      <c r="N454" s="46">
        <v>16.989999999999998</v>
      </c>
      <c r="O454" s="46">
        <v>0</v>
      </c>
      <c r="P454" s="46">
        <v>0</v>
      </c>
      <c r="Q454" s="46">
        <v>0</v>
      </c>
      <c r="R454" s="46">
        <v>0</v>
      </c>
      <c r="S454" s="46">
        <v>180</v>
      </c>
      <c r="T454" s="48">
        <v>180</v>
      </c>
    </row>
    <row r="455" spans="1:20" ht="23.4" x14ac:dyDescent="0.25">
      <c r="A455" s="46">
        <v>454</v>
      </c>
      <c r="B455" s="47">
        <v>244005</v>
      </c>
      <c r="C455" s="46" t="s">
        <v>114</v>
      </c>
      <c r="D455" s="46" t="s">
        <v>115</v>
      </c>
      <c r="E455" s="46" t="s">
        <v>116</v>
      </c>
      <c r="F455" s="46" t="s">
        <v>119</v>
      </c>
      <c r="G455" s="46">
        <v>2</v>
      </c>
      <c r="H455" s="46" t="s">
        <v>117</v>
      </c>
      <c r="I455" s="46" t="s">
        <v>2899</v>
      </c>
      <c r="J455" s="46" t="s">
        <v>2897</v>
      </c>
      <c r="K455" s="46" t="s">
        <v>2894</v>
      </c>
      <c r="L455" s="49" t="s">
        <v>2898</v>
      </c>
      <c r="N455" s="46">
        <v>16.989999999999998</v>
      </c>
      <c r="O455" s="46">
        <v>0</v>
      </c>
      <c r="P455" s="46">
        <v>0</v>
      </c>
      <c r="Q455" s="46">
        <v>0</v>
      </c>
      <c r="R455" s="46">
        <v>0</v>
      </c>
      <c r="S455" s="46">
        <v>180</v>
      </c>
      <c r="T455" s="48">
        <v>180</v>
      </c>
    </row>
    <row r="456" spans="1:20" ht="23.4" x14ac:dyDescent="0.25">
      <c r="A456" s="46">
        <v>455</v>
      </c>
      <c r="B456" s="47">
        <v>244005</v>
      </c>
      <c r="C456" s="46" t="s">
        <v>114</v>
      </c>
      <c r="D456" s="46" t="s">
        <v>115</v>
      </c>
      <c r="E456" s="46" t="s">
        <v>116</v>
      </c>
      <c r="F456" s="46" t="s">
        <v>119</v>
      </c>
      <c r="G456" s="46">
        <v>2</v>
      </c>
      <c r="H456" s="46" t="s">
        <v>117</v>
      </c>
      <c r="I456" s="46" t="s">
        <v>2900</v>
      </c>
      <c r="J456" s="46" t="s">
        <v>2893</v>
      </c>
      <c r="K456" s="46" t="s">
        <v>2894</v>
      </c>
      <c r="L456" s="49" t="s">
        <v>2895</v>
      </c>
      <c r="N456" s="46">
        <v>16.989999999999998</v>
      </c>
      <c r="O456" s="46">
        <v>0</v>
      </c>
      <c r="P456" s="46">
        <v>0</v>
      </c>
      <c r="Q456" s="46">
        <v>0</v>
      </c>
      <c r="R456" s="46">
        <v>0</v>
      </c>
      <c r="S456" s="46">
        <v>180</v>
      </c>
      <c r="T456" s="48">
        <v>180</v>
      </c>
    </row>
    <row r="457" spans="1:20" ht="23.4" x14ac:dyDescent="0.25">
      <c r="A457" s="46">
        <v>456</v>
      </c>
      <c r="B457" s="47">
        <v>244005</v>
      </c>
      <c r="C457" s="46" t="s">
        <v>114</v>
      </c>
      <c r="D457" s="46" t="s">
        <v>115</v>
      </c>
      <c r="E457" s="46" t="s">
        <v>116</v>
      </c>
      <c r="F457" s="46" t="s">
        <v>119</v>
      </c>
      <c r="G457" s="46">
        <v>2</v>
      </c>
      <c r="H457" s="46" t="s">
        <v>117</v>
      </c>
      <c r="I457" s="46" t="s">
        <v>2901</v>
      </c>
      <c r="J457" s="46" t="s">
        <v>2902</v>
      </c>
      <c r="K457" s="46" t="s">
        <v>2903</v>
      </c>
      <c r="L457" s="49" t="s">
        <v>2904</v>
      </c>
      <c r="N457" s="46">
        <v>0.52800000000000002</v>
      </c>
      <c r="O457" s="46">
        <v>0</v>
      </c>
      <c r="P457" s="46">
        <v>0</v>
      </c>
      <c r="Q457" s="46">
        <v>0</v>
      </c>
      <c r="R457" s="46">
        <v>0</v>
      </c>
      <c r="S457" s="46">
        <v>17</v>
      </c>
      <c r="T457" s="48">
        <v>17</v>
      </c>
    </row>
    <row r="458" spans="1:20" ht="23.4" x14ac:dyDescent="0.25">
      <c r="A458" s="46">
        <v>457</v>
      </c>
      <c r="B458" s="47">
        <v>244005</v>
      </c>
      <c r="C458" s="46" t="s">
        <v>114</v>
      </c>
      <c r="D458" s="46" t="s">
        <v>115</v>
      </c>
      <c r="E458" s="46" t="s">
        <v>116</v>
      </c>
      <c r="F458" s="46" t="s">
        <v>119</v>
      </c>
      <c r="G458" s="46">
        <v>2</v>
      </c>
      <c r="H458" s="46" t="s">
        <v>117</v>
      </c>
      <c r="I458" s="46" t="s">
        <v>2905</v>
      </c>
      <c r="J458" s="46" t="s">
        <v>2906</v>
      </c>
      <c r="K458" s="46" t="s">
        <v>2907</v>
      </c>
      <c r="L458" s="49" t="s">
        <v>2908</v>
      </c>
      <c r="N458" s="46">
        <v>7.11</v>
      </c>
      <c r="O458" s="46">
        <v>1356</v>
      </c>
      <c r="P458" s="46">
        <v>20.34</v>
      </c>
      <c r="Q458" s="46">
        <v>1.4238</v>
      </c>
      <c r="R458" s="46">
        <v>0</v>
      </c>
      <c r="S458" s="46">
        <v>90</v>
      </c>
      <c r="T458" s="48">
        <v>111.76</v>
      </c>
    </row>
    <row r="459" spans="1:20" ht="23.4" x14ac:dyDescent="0.25">
      <c r="A459" s="46">
        <v>458</v>
      </c>
      <c r="B459" s="47">
        <v>244005</v>
      </c>
      <c r="C459" s="46" t="s">
        <v>114</v>
      </c>
      <c r="D459" s="46" t="s">
        <v>115</v>
      </c>
      <c r="E459" s="46" t="s">
        <v>116</v>
      </c>
      <c r="F459" s="46" t="s">
        <v>119</v>
      </c>
      <c r="G459" s="46">
        <v>2</v>
      </c>
      <c r="H459" s="46" t="s">
        <v>117</v>
      </c>
      <c r="I459" s="46" t="s">
        <v>2909</v>
      </c>
      <c r="J459" s="46" t="s">
        <v>2910</v>
      </c>
      <c r="K459" s="46" t="s">
        <v>2194</v>
      </c>
      <c r="L459" s="49" t="s">
        <v>2195</v>
      </c>
      <c r="N459" s="46">
        <v>16.989999999999998</v>
      </c>
      <c r="O459" s="46">
        <v>900</v>
      </c>
      <c r="P459" s="46">
        <v>13.5</v>
      </c>
      <c r="Q459" s="46">
        <v>0.94499999999999995</v>
      </c>
      <c r="R459" s="46">
        <v>0</v>
      </c>
      <c r="S459" s="46">
        <v>180</v>
      </c>
      <c r="T459" s="48">
        <v>194.45</v>
      </c>
    </row>
    <row r="460" spans="1:20" ht="23.4" x14ac:dyDescent="0.25">
      <c r="A460" s="46">
        <v>459</v>
      </c>
      <c r="B460" s="47">
        <v>244005</v>
      </c>
      <c r="C460" s="46" t="s">
        <v>114</v>
      </c>
      <c r="D460" s="46" t="s">
        <v>115</v>
      </c>
      <c r="E460" s="46" t="s">
        <v>116</v>
      </c>
      <c r="F460" s="46" t="s">
        <v>119</v>
      </c>
      <c r="G460" s="46">
        <v>2</v>
      </c>
      <c r="H460" s="46" t="s">
        <v>117</v>
      </c>
      <c r="I460" s="46" t="s">
        <v>2911</v>
      </c>
      <c r="J460" s="46" t="s">
        <v>2912</v>
      </c>
      <c r="K460" s="46" t="s">
        <v>2913</v>
      </c>
      <c r="L460" s="49" t="s">
        <v>2914</v>
      </c>
      <c r="N460" s="46">
        <v>6.6</v>
      </c>
      <c r="O460" s="46">
        <v>0</v>
      </c>
      <c r="P460" s="46">
        <v>0</v>
      </c>
      <c r="Q460" s="46">
        <v>0</v>
      </c>
      <c r="R460" s="46">
        <v>0</v>
      </c>
      <c r="S460" s="46">
        <v>80</v>
      </c>
      <c r="T460" s="48">
        <v>80</v>
      </c>
    </row>
    <row r="461" spans="1:20" ht="23.4" x14ac:dyDescent="0.25">
      <c r="A461" s="46">
        <v>460</v>
      </c>
      <c r="B461" s="47">
        <v>244005</v>
      </c>
      <c r="C461" s="46" t="s">
        <v>114</v>
      </c>
      <c r="D461" s="46" t="s">
        <v>115</v>
      </c>
      <c r="E461" s="46" t="s">
        <v>116</v>
      </c>
      <c r="F461" s="46" t="s">
        <v>119</v>
      </c>
      <c r="G461" s="46">
        <v>2</v>
      </c>
      <c r="H461" s="46" t="s">
        <v>117</v>
      </c>
      <c r="I461" s="46" t="s">
        <v>2915</v>
      </c>
      <c r="J461" s="46" t="s">
        <v>2916</v>
      </c>
      <c r="K461" s="46" t="s">
        <v>2917</v>
      </c>
      <c r="L461" s="49" t="s">
        <v>2918</v>
      </c>
      <c r="N461" s="46">
        <v>0.52600000000000002</v>
      </c>
      <c r="O461" s="46">
        <v>0</v>
      </c>
      <c r="P461" s="46">
        <v>0</v>
      </c>
      <c r="Q461" s="46">
        <v>0</v>
      </c>
      <c r="R461" s="46">
        <v>0</v>
      </c>
      <c r="S461" s="46">
        <v>17</v>
      </c>
      <c r="T461" s="48">
        <v>17</v>
      </c>
    </row>
    <row r="462" spans="1:20" ht="23.4" x14ac:dyDescent="0.25">
      <c r="A462" s="46">
        <v>461</v>
      </c>
      <c r="B462" s="47">
        <v>244005</v>
      </c>
      <c r="C462" s="46" t="s">
        <v>114</v>
      </c>
      <c r="D462" s="46" t="s">
        <v>115</v>
      </c>
      <c r="E462" s="46" t="s">
        <v>116</v>
      </c>
      <c r="F462" s="46" t="s">
        <v>119</v>
      </c>
      <c r="G462" s="46">
        <v>2</v>
      </c>
      <c r="H462" s="46" t="s">
        <v>117</v>
      </c>
      <c r="I462" s="46" t="s">
        <v>2919</v>
      </c>
      <c r="J462" s="46" t="s">
        <v>2920</v>
      </c>
      <c r="K462" s="46" t="s">
        <v>2921</v>
      </c>
      <c r="L462" s="49" t="s">
        <v>2922</v>
      </c>
      <c r="N462" s="46">
        <v>16.989999999999998</v>
      </c>
      <c r="O462" s="46">
        <v>0</v>
      </c>
      <c r="P462" s="46">
        <v>0</v>
      </c>
      <c r="Q462" s="46">
        <v>0</v>
      </c>
      <c r="R462" s="46">
        <v>0</v>
      </c>
      <c r="S462" s="46">
        <v>180</v>
      </c>
      <c r="T462" s="48">
        <v>180</v>
      </c>
    </row>
    <row r="463" spans="1:20" ht="23.4" x14ac:dyDescent="0.25">
      <c r="A463" s="46">
        <v>462</v>
      </c>
      <c r="B463" s="47">
        <v>244005</v>
      </c>
      <c r="C463" s="46" t="s">
        <v>114</v>
      </c>
      <c r="D463" s="46" t="s">
        <v>115</v>
      </c>
      <c r="E463" s="46" t="s">
        <v>116</v>
      </c>
      <c r="F463" s="46" t="s">
        <v>119</v>
      </c>
      <c r="G463" s="46">
        <v>2</v>
      </c>
      <c r="H463" s="46" t="s">
        <v>117</v>
      </c>
      <c r="I463" s="46" t="s">
        <v>2923</v>
      </c>
      <c r="J463" s="46" t="s">
        <v>2924</v>
      </c>
      <c r="K463" s="46" t="s">
        <v>2925</v>
      </c>
      <c r="L463" s="49" t="s">
        <v>2926</v>
      </c>
      <c r="N463" s="46">
        <v>3.04</v>
      </c>
      <c r="O463" s="46">
        <v>0</v>
      </c>
      <c r="P463" s="46">
        <v>0</v>
      </c>
      <c r="Q463" s="46">
        <v>0</v>
      </c>
      <c r="R463" s="46">
        <v>0</v>
      </c>
      <c r="S463" s="46">
        <v>43</v>
      </c>
      <c r="T463" s="48">
        <v>43</v>
      </c>
    </row>
    <row r="464" spans="1:20" ht="23.4" x14ac:dyDescent="0.25">
      <c r="A464" s="46">
        <v>463</v>
      </c>
      <c r="B464" s="47">
        <v>244005</v>
      </c>
      <c r="C464" s="46" t="s">
        <v>114</v>
      </c>
      <c r="D464" s="46" t="s">
        <v>115</v>
      </c>
      <c r="E464" s="46" t="s">
        <v>116</v>
      </c>
      <c r="F464" s="46" t="s">
        <v>119</v>
      </c>
      <c r="G464" s="46">
        <v>2</v>
      </c>
      <c r="H464" s="46" t="s">
        <v>117</v>
      </c>
      <c r="I464" s="46" t="s">
        <v>2927</v>
      </c>
      <c r="J464" s="46" t="s">
        <v>2928</v>
      </c>
      <c r="K464" s="46" t="s">
        <v>2929</v>
      </c>
      <c r="L464" s="49" t="s">
        <v>2930</v>
      </c>
      <c r="N464" s="46">
        <v>1.1859999999999999</v>
      </c>
      <c r="O464" s="46">
        <v>280</v>
      </c>
      <c r="P464" s="46">
        <v>4.2</v>
      </c>
      <c r="Q464" s="46">
        <v>0.29399999999999998</v>
      </c>
      <c r="R464" s="46">
        <v>0</v>
      </c>
      <c r="S464" s="46">
        <v>22</v>
      </c>
      <c r="T464" s="48">
        <v>26.49</v>
      </c>
    </row>
    <row r="465" spans="1:20" ht="23.4" x14ac:dyDescent="0.25">
      <c r="A465" s="46">
        <v>464</v>
      </c>
      <c r="B465" s="47">
        <v>244005</v>
      </c>
      <c r="C465" s="46" t="s">
        <v>114</v>
      </c>
      <c r="D465" s="46" t="s">
        <v>115</v>
      </c>
      <c r="E465" s="46" t="s">
        <v>116</v>
      </c>
      <c r="F465" s="46" t="s">
        <v>119</v>
      </c>
      <c r="G465" s="46">
        <v>2</v>
      </c>
      <c r="H465" s="46" t="s">
        <v>117</v>
      </c>
      <c r="I465" s="46" t="s">
        <v>2931</v>
      </c>
      <c r="J465" s="46" t="s">
        <v>2932</v>
      </c>
      <c r="K465" s="46" t="s">
        <v>2933</v>
      </c>
      <c r="L465" s="49" t="s">
        <v>2934</v>
      </c>
      <c r="N465" s="46">
        <v>4.0359999999999996</v>
      </c>
      <c r="O465" s="46">
        <v>0</v>
      </c>
      <c r="P465" s="46">
        <v>0</v>
      </c>
      <c r="Q465" s="46">
        <v>0</v>
      </c>
      <c r="R465" s="46">
        <v>0</v>
      </c>
      <c r="S465" s="46">
        <v>53</v>
      </c>
      <c r="T465" s="48">
        <v>53</v>
      </c>
    </row>
    <row r="466" spans="1:20" ht="23.4" x14ac:dyDescent="0.25">
      <c r="A466" s="46">
        <v>465</v>
      </c>
      <c r="B466" s="47">
        <v>244005</v>
      </c>
      <c r="C466" s="46" t="s">
        <v>114</v>
      </c>
      <c r="D466" s="46" t="s">
        <v>115</v>
      </c>
      <c r="E466" s="46" t="s">
        <v>116</v>
      </c>
      <c r="F466" s="46" t="s">
        <v>119</v>
      </c>
      <c r="G466" s="46">
        <v>2</v>
      </c>
      <c r="H466" s="46" t="s">
        <v>117</v>
      </c>
      <c r="I466" s="46" t="s">
        <v>2935</v>
      </c>
      <c r="J466" s="46" t="s">
        <v>2936</v>
      </c>
      <c r="K466" s="46" t="s">
        <v>2937</v>
      </c>
      <c r="L466" s="49" t="s">
        <v>2938</v>
      </c>
      <c r="N466" s="46">
        <v>1.204</v>
      </c>
      <c r="O466" s="46">
        <v>280</v>
      </c>
      <c r="P466" s="46">
        <v>4.2</v>
      </c>
      <c r="Q466" s="46">
        <v>0.29399999999999998</v>
      </c>
      <c r="R466" s="46">
        <v>0</v>
      </c>
      <c r="S466" s="46">
        <v>22</v>
      </c>
      <c r="T466" s="48">
        <v>26.49</v>
      </c>
    </row>
    <row r="467" spans="1:20" ht="23.4" x14ac:dyDescent="0.25">
      <c r="A467" s="46">
        <v>466</v>
      </c>
      <c r="B467" s="47">
        <v>244005</v>
      </c>
      <c r="C467" s="46" t="s">
        <v>114</v>
      </c>
      <c r="D467" s="46" t="s">
        <v>115</v>
      </c>
      <c r="E467" s="46" t="s">
        <v>116</v>
      </c>
      <c r="F467" s="46" t="s">
        <v>119</v>
      </c>
      <c r="G467" s="46">
        <v>2</v>
      </c>
      <c r="H467" s="46" t="s">
        <v>117</v>
      </c>
      <c r="I467" s="46" t="s">
        <v>2939</v>
      </c>
      <c r="J467" s="46" t="s">
        <v>2940</v>
      </c>
      <c r="K467" s="46" t="s">
        <v>2903</v>
      </c>
      <c r="L467" s="49" t="s">
        <v>2941</v>
      </c>
      <c r="N467" s="46">
        <v>0.53</v>
      </c>
      <c r="O467" s="46">
        <v>0</v>
      </c>
      <c r="P467" s="46">
        <v>0</v>
      </c>
      <c r="Q467" s="46">
        <v>0</v>
      </c>
      <c r="R467" s="46">
        <v>0</v>
      </c>
      <c r="S467" s="46">
        <v>17</v>
      </c>
      <c r="T467" s="48">
        <v>17</v>
      </c>
    </row>
    <row r="468" spans="1:20" ht="23.4" x14ac:dyDescent="0.25">
      <c r="A468" s="46">
        <v>467</v>
      </c>
      <c r="B468" s="47">
        <v>244005</v>
      </c>
      <c r="C468" s="46" t="s">
        <v>114</v>
      </c>
      <c r="D468" s="46" t="s">
        <v>115</v>
      </c>
      <c r="E468" s="46" t="s">
        <v>116</v>
      </c>
      <c r="F468" s="46" t="s">
        <v>119</v>
      </c>
      <c r="G468" s="46">
        <v>2</v>
      </c>
      <c r="H468" s="46" t="s">
        <v>117</v>
      </c>
      <c r="I468" s="46" t="s">
        <v>2942</v>
      </c>
      <c r="J468" s="46" t="s">
        <v>2943</v>
      </c>
      <c r="K468" s="46" t="s">
        <v>134</v>
      </c>
      <c r="L468" s="49" t="s">
        <v>2944</v>
      </c>
      <c r="N468" s="46">
        <v>2.1999999999999999E-2</v>
      </c>
      <c r="O468" s="46">
        <v>0</v>
      </c>
      <c r="P468" s="46">
        <v>0</v>
      </c>
      <c r="Q468" s="46">
        <v>0</v>
      </c>
      <c r="R468" s="46">
        <v>0</v>
      </c>
      <c r="S468" s="46">
        <v>17</v>
      </c>
      <c r="T468" s="48">
        <v>17</v>
      </c>
    </row>
    <row r="469" spans="1:20" ht="23.4" x14ac:dyDescent="0.25">
      <c r="A469" s="46">
        <v>468</v>
      </c>
      <c r="B469" s="47">
        <v>244005</v>
      </c>
      <c r="C469" s="46" t="s">
        <v>114</v>
      </c>
      <c r="D469" s="46" t="s">
        <v>115</v>
      </c>
      <c r="E469" s="46" t="s">
        <v>116</v>
      </c>
      <c r="F469" s="46" t="s">
        <v>119</v>
      </c>
      <c r="G469" s="46">
        <v>2</v>
      </c>
      <c r="H469" s="46" t="s">
        <v>117</v>
      </c>
      <c r="I469" s="46" t="s">
        <v>2945</v>
      </c>
      <c r="J469" s="46" t="s">
        <v>2946</v>
      </c>
      <c r="K469" s="46" t="s">
        <v>134</v>
      </c>
      <c r="L469" s="49" t="s">
        <v>2947</v>
      </c>
      <c r="N469" s="46">
        <v>0.3</v>
      </c>
      <c r="O469" s="46">
        <v>0</v>
      </c>
      <c r="P469" s="46">
        <v>0</v>
      </c>
      <c r="Q469" s="46">
        <v>0</v>
      </c>
      <c r="R469" s="46">
        <v>0</v>
      </c>
      <c r="S469" s="46">
        <v>17</v>
      </c>
      <c r="T469" s="48">
        <v>17</v>
      </c>
    </row>
    <row r="470" spans="1:20" ht="23.4" x14ac:dyDescent="0.25">
      <c r="A470" s="46">
        <v>469</v>
      </c>
      <c r="B470" s="47">
        <v>244005</v>
      </c>
      <c r="C470" s="46" t="s">
        <v>114</v>
      </c>
      <c r="D470" s="46" t="s">
        <v>115</v>
      </c>
      <c r="E470" s="46" t="s">
        <v>116</v>
      </c>
      <c r="F470" s="46" t="s">
        <v>119</v>
      </c>
      <c r="G470" s="46">
        <v>2</v>
      </c>
      <c r="H470" s="46" t="s">
        <v>117</v>
      </c>
      <c r="I470" s="46" t="s">
        <v>2948</v>
      </c>
      <c r="J470" s="46" t="s">
        <v>2949</v>
      </c>
      <c r="K470" s="46" t="s">
        <v>2950</v>
      </c>
      <c r="L470" s="49" t="s">
        <v>2951</v>
      </c>
      <c r="N470" s="46">
        <v>0.86799999999999999</v>
      </c>
      <c r="O470" s="46">
        <v>0</v>
      </c>
      <c r="P470" s="46">
        <v>0</v>
      </c>
      <c r="Q470" s="46">
        <v>0</v>
      </c>
      <c r="R470" s="46">
        <v>0</v>
      </c>
      <c r="S470" s="46">
        <v>17</v>
      </c>
      <c r="T470" s="48">
        <v>17</v>
      </c>
    </row>
    <row r="471" spans="1:20" ht="23.4" x14ac:dyDescent="0.25">
      <c r="A471" s="46">
        <v>470</v>
      </c>
      <c r="B471" s="47">
        <v>244005</v>
      </c>
      <c r="C471" s="46" t="s">
        <v>114</v>
      </c>
      <c r="D471" s="46" t="s">
        <v>115</v>
      </c>
      <c r="E471" s="46" t="s">
        <v>116</v>
      </c>
      <c r="F471" s="46" t="s">
        <v>119</v>
      </c>
      <c r="G471" s="46">
        <v>2</v>
      </c>
      <c r="H471" s="46" t="s">
        <v>117</v>
      </c>
      <c r="I471" s="46" t="s">
        <v>2952</v>
      </c>
      <c r="J471" s="46" t="s">
        <v>2953</v>
      </c>
      <c r="K471" s="46" t="s">
        <v>2954</v>
      </c>
      <c r="L471" s="49" t="s">
        <v>2955</v>
      </c>
      <c r="N471" s="46">
        <v>0.16</v>
      </c>
      <c r="O471" s="46">
        <v>0</v>
      </c>
      <c r="P471" s="46">
        <v>0</v>
      </c>
      <c r="Q471" s="46">
        <v>0</v>
      </c>
      <c r="R471" s="46">
        <v>0</v>
      </c>
      <c r="S471" s="46">
        <v>17</v>
      </c>
      <c r="T471" s="48">
        <v>17</v>
      </c>
    </row>
    <row r="472" spans="1:20" ht="23.4" x14ac:dyDescent="0.25">
      <c r="A472" s="46">
        <v>471</v>
      </c>
      <c r="B472" s="47">
        <v>244006</v>
      </c>
      <c r="C472" s="46" t="s">
        <v>114</v>
      </c>
      <c r="D472" s="46" t="s">
        <v>115</v>
      </c>
      <c r="E472" s="46" t="s">
        <v>116</v>
      </c>
      <c r="F472" s="46" t="s">
        <v>119</v>
      </c>
      <c r="G472" s="46">
        <v>2</v>
      </c>
      <c r="H472" s="46" t="s">
        <v>117</v>
      </c>
      <c r="I472" s="46" t="s">
        <v>2956</v>
      </c>
      <c r="J472" s="46" t="s">
        <v>2957</v>
      </c>
      <c r="K472" s="46" t="s">
        <v>2958</v>
      </c>
      <c r="L472" s="49" t="s">
        <v>2959</v>
      </c>
      <c r="N472" s="46">
        <v>1.222</v>
      </c>
      <c r="O472" s="46">
        <v>0</v>
      </c>
      <c r="P472" s="46">
        <v>0</v>
      </c>
      <c r="Q472" s="46">
        <v>0</v>
      </c>
      <c r="R472" s="46">
        <v>0</v>
      </c>
      <c r="S472" s="46">
        <v>22</v>
      </c>
      <c r="T472" s="48">
        <v>22</v>
      </c>
    </row>
    <row r="473" spans="1:20" ht="23.4" x14ac:dyDescent="0.25">
      <c r="A473" s="46">
        <v>472</v>
      </c>
      <c r="B473" s="47">
        <v>244006</v>
      </c>
      <c r="C473" s="46" t="s">
        <v>114</v>
      </c>
      <c r="D473" s="46" t="s">
        <v>115</v>
      </c>
      <c r="E473" s="46" t="s">
        <v>116</v>
      </c>
      <c r="F473" s="46" t="s">
        <v>119</v>
      </c>
      <c r="G473" s="46">
        <v>2</v>
      </c>
      <c r="H473" s="46" t="s">
        <v>117</v>
      </c>
      <c r="I473" s="46" t="s">
        <v>2960</v>
      </c>
      <c r="J473" s="46" t="s">
        <v>2961</v>
      </c>
      <c r="K473" s="46" t="s">
        <v>2962</v>
      </c>
      <c r="L473" s="49" t="s">
        <v>2963</v>
      </c>
      <c r="N473" s="46">
        <v>1.194</v>
      </c>
      <c r="O473" s="46">
        <v>0</v>
      </c>
      <c r="P473" s="46">
        <v>0</v>
      </c>
      <c r="Q473" s="46">
        <v>0</v>
      </c>
      <c r="R473" s="46">
        <v>0</v>
      </c>
      <c r="S473" s="46">
        <v>22</v>
      </c>
      <c r="T473" s="48">
        <v>22</v>
      </c>
    </row>
    <row r="474" spans="1:20" ht="23.4" x14ac:dyDescent="0.25">
      <c r="A474" s="46">
        <v>473</v>
      </c>
      <c r="B474" s="47">
        <v>244006</v>
      </c>
      <c r="C474" s="46" t="s">
        <v>114</v>
      </c>
      <c r="D474" s="46" t="s">
        <v>115</v>
      </c>
      <c r="E474" s="46" t="s">
        <v>116</v>
      </c>
      <c r="F474" s="46" t="s">
        <v>119</v>
      </c>
      <c r="G474" s="46">
        <v>2</v>
      </c>
      <c r="H474" s="46" t="s">
        <v>117</v>
      </c>
      <c r="I474" s="46" t="s">
        <v>2964</v>
      </c>
      <c r="J474" s="46" t="s">
        <v>2965</v>
      </c>
      <c r="K474" s="46" t="s">
        <v>2966</v>
      </c>
      <c r="L474" s="49" t="s">
        <v>2967</v>
      </c>
      <c r="N474" s="46">
        <v>5.73</v>
      </c>
      <c r="O474" s="46">
        <v>0</v>
      </c>
      <c r="P474" s="46">
        <v>0</v>
      </c>
      <c r="Q474" s="46">
        <v>0</v>
      </c>
      <c r="R474" s="46">
        <v>0</v>
      </c>
      <c r="S474" s="46">
        <v>70</v>
      </c>
      <c r="T474" s="48">
        <v>70</v>
      </c>
    </row>
    <row r="475" spans="1:20" ht="23.4" x14ac:dyDescent="0.25">
      <c r="A475" s="46">
        <v>474</v>
      </c>
      <c r="B475" s="47">
        <v>244006</v>
      </c>
      <c r="C475" s="46" t="s">
        <v>114</v>
      </c>
      <c r="D475" s="46" t="s">
        <v>115</v>
      </c>
      <c r="E475" s="46" t="s">
        <v>116</v>
      </c>
      <c r="F475" s="46" t="s">
        <v>119</v>
      </c>
      <c r="G475" s="46">
        <v>2</v>
      </c>
      <c r="H475" s="46" t="s">
        <v>117</v>
      </c>
      <c r="I475" s="46" t="s">
        <v>2968</v>
      </c>
      <c r="J475" s="46" t="s">
        <v>2969</v>
      </c>
      <c r="K475" s="46" t="s">
        <v>2970</v>
      </c>
      <c r="L475" s="49" t="s">
        <v>2971</v>
      </c>
      <c r="N475" s="46">
        <v>6.03</v>
      </c>
      <c r="O475" s="46">
        <v>0</v>
      </c>
      <c r="P475" s="46">
        <v>0</v>
      </c>
      <c r="Q475" s="46">
        <v>0</v>
      </c>
      <c r="R475" s="46">
        <v>0</v>
      </c>
      <c r="S475" s="46">
        <v>80</v>
      </c>
      <c r="T475" s="48">
        <v>80</v>
      </c>
    </row>
    <row r="476" spans="1:20" ht="23.4" x14ac:dyDescent="0.25">
      <c r="A476" s="46">
        <v>475</v>
      </c>
      <c r="B476" s="47">
        <v>244006</v>
      </c>
      <c r="C476" s="46" t="s">
        <v>114</v>
      </c>
      <c r="D476" s="46" t="s">
        <v>115</v>
      </c>
      <c r="E476" s="46" t="s">
        <v>116</v>
      </c>
      <c r="F476" s="46" t="s">
        <v>119</v>
      </c>
      <c r="G476" s="46">
        <v>2</v>
      </c>
      <c r="H476" s="46" t="s">
        <v>117</v>
      </c>
      <c r="I476" s="46" t="s">
        <v>2972</v>
      </c>
      <c r="J476" s="46" t="s">
        <v>150</v>
      </c>
      <c r="K476" s="46" t="s">
        <v>142</v>
      </c>
      <c r="L476" s="49" t="s">
        <v>257</v>
      </c>
      <c r="N476" s="46">
        <v>0.75</v>
      </c>
      <c r="O476" s="46">
        <v>230</v>
      </c>
      <c r="P476" s="46">
        <v>3.45</v>
      </c>
      <c r="Q476" s="46">
        <v>0.24149999999999999</v>
      </c>
      <c r="R476" s="46">
        <v>0</v>
      </c>
      <c r="S476" s="46">
        <v>17</v>
      </c>
      <c r="T476" s="48">
        <v>20.69</v>
      </c>
    </row>
    <row r="477" spans="1:20" ht="23.4" x14ac:dyDescent="0.25">
      <c r="A477" s="46">
        <v>476</v>
      </c>
      <c r="B477" s="47">
        <v>244006</v>
      </c>
      <c r="C477" s="46" t="s">
        <v>114</v>
      </c>
      <c r="D477" s="46" t="s">
        <v>115</v>
      </c>
      <c r="E477" s="46" t="s">
        <v>116</v>
      </c>
      <c r="F477" s="46" t="s">
        <v>119</v>
      </c>
      <c r="G477" s="46">
        <v>2</v>
      </c>
      <c r="H477" s="46" t="s">
        <v>117</v>
      </c>
      <c r="I477" s="46" t="s">
        <v>2973</v>
      </c>
      <c r="J477" s="46" t="s">
        <v>2974</v>
      </c>
      <c r="K477" s="46" t="s">
        <v>2975</v>
      </c>
      <c r="L477" s="49" t="s">
        <v>2976</v>
      </c>
      <c r="N477" s="46">
        <v>0.72199999999999998</v>
      </c>
      <c r="O477" s="46">
        <v>230</v>
      </c>
      <c r="P477" s="46">
        <v>3.45</v>
      </c>
      <c r="Q477" s="46">
        <v>0.24149999999999999</v>
      </c>
      <c r="R477" s="46">
        <v>0</v>
      </c>
      <c r="S477" s="46">
        <v>17</v>
      </c>
      <c r="T477" s="48">
        <v>20.69</v>
      </c>
    </row>
    <row r="478" spans="1:20" ht="23.4" x14ac:dyDescent="0.25">
      <c r="A478" s="46">
        <v>477</v>
      </c>
      <c r="B478" s="47">
        <v>244006</v>
      </c>
      <c r="C478" s="46" t="s">
        <v>114</v>
      </c>
      <c r="D478" s="46" t="s">
        <v>115</v>
      </c>
      <c r="E478" s="46" t="s">
        <v>116</v>
      </c>
      <c r="F478" s="46" t="s">
        <v>119</v>
      </c>
      <c r="G478" s="46">
        <v>2</v>
      </c>
      <c r="H478" s="46" t="s">
        <v>117</v>
      </c>
      <c r="I478" s="46" t="s">
        <v>2977</v>
      </c>
      <c r="J478" s="46" t="s">
        <v>2978</v>
      </c>
      <c r="K478" s="46" t="s">
        <v>2979</v>
      </c>
      <c r="L478" s="49" t="s">
        <v>2980</v>
      </c>
      <c r="N478" s="46">
        <v>0.76200000000000001</v>
      </c>
      <c r="O478" s="46">
        <v>230</v>
      </c>
      <c r="P478" s="46">
        <v>3.45</v>
      </c>
      <c r="Q478" s="46">
        <v>0.24149999999999999</v>
      </c>
      <c r="R478" s="46">
        <v>0</v>
      </c>
      <c r="S478" s="46">
        <v>17</v>
      </c>
      <c r="T478" s="48">
        <v>20.69</v>
      </c>
    </row>
    <row r="479" spans="1:20" ht="23.4" x14ac:dyDescent="0.25">
      <c r="A479" s="46">
        <v>478</v>
      </c>
      <c r="B479" s="47">
        <v>244006</v>
      </c>
      <c r="C479" s="46" t="s">
        <v>114</v>
      </c>
      <c r="D479" s="46" t="s">
        <v>115</v>
      </c>
      <c r="E479" s="46" t="s">
        <v>116</v>
      </c>
      <c r="F479" s="46" t="s">
        <v>119</v>
      </c>
      <c r="G479" s="46">
        <v>2</v>
      </c>
      <c r="H479" s="46" t="s">
        <v>117</v>
      </c>
      <c r="I479" s="46" t="s">
        <v>2981</v>
      </c>
      <c r="J479" s="46" t="s">
        <v>2982</v>
      </c>
      <c r="K479" s="46" t="s">
        <v>2983</v>
      </c>
      <c r="L479" s="49" t="s">
        <v>2984</v>
      </c>
      <c r="N479" s="46">
        <v>1.9359999999999999</v>
      </c>
      <c r="O479" s="46">
        <v>430</v>
      </c>
      <c r="P479" s="46">
        <v>6.45</v>
      </c>
      <c r="Q479" s="46">
        <v>0.45150000000000001</v>
      </c>
      <c r="R479" s="46">
        <v>0</v>
      </c>
      <c r="S479" s="46">
        <v>22</v>
      </c>
      <c r="T479" s="48">
        <v>28.9</v>
      </c>
    </row>
    <row r="480" spans="1:20" ht="23.4" x14ac:dyDescent="0.25">
      <c r="A480" s="46">
        <v>479</v>
      </c>
      <c r="B480" s="47">
        <v>244006</v>
      </c>
      <c r="C480" s="46" t="s">
        <v>114</v>
      </c>
      <c r="D480" s="46" t="s">
        <v>115</v>
      </c>
      <c r="E480" s="46" t="s">
        <v>116</v>
      </c>
      <c r="F480" s="46" t="s">
        <v>119</v>
      </c>
      <c r="G480" s="46">
        <v>2</v>
      </c>
      <c r="H480" s="46" t="s">
        <v>117</v>
      </c>
      <c r="I480" s="46" t="s">
        <v>2985</v>
      </c>
      <c r="J480" s="46" t="s">
        <v>2986</v>
      </c>
      <c r="K480" s="46" t="s">
        <v>2987</v>
      </c>
      <c r="L480" s="49" t="s">
        <v>2988</v>
      </c>
      <c r="N480" s="46">
        <v>0.748</v>
      </c>
      <c r="O480" s="46">
        <v>230</v>
      </c>
      <c r="P480" s="46">
        <v>3.45</v>
      </c>
      <c r="Q480" s="46">
        <v>0.24149999999999999</v>
      </c>
      <c r="R480" s="46">
        <v>0</v>
      </c>
      <c r="S480" s="46">
        <v>17</v>
      </c>
      <c r="T480" s="48">
        <v>20.69</v>
      </c>
    </row>
    <row r="481" spans="1:20" ht="23.4" x14ac:dyDescent="0.25">
      <c r="A481" s="46">
        <v>480</v>
      </c>
      <c r="B481" s="47">
        <v>244006</v>
      </c>
      <c r="C481" s="46" t="s">
        <v>114</v>
      </c>
      <c r="D481" s="46" t="s">
        <v>115</v>
      </c>
      <c r="E481" s="46" t="s">
        <v>116</v>
      </c>
      <c r="F481" s="46" t="s">
        <v>119</v>
      </c>
      <c r="G481" s="46">
        <v>2</v>
      </c>
      <c r="H481" s="46" t="s">
        <v>117</v>
      </c>
      <c r="I481" s="46" t="s">
        <v>2989</v>
      </c>
      <c r="J481" s="46" t="s">
        <v>2990</v>
      </c>
      <c r="K481" s="46" t="s">
        <v>2991</v>
      </c>
      <c r="L481" s="49" t="s">
        <v>2992</v>
      </c>
      <c r="N481" s="46">
        <v>7.61</v>
      </c>
      <c r="O481" s="46">
        <v>673</v>
      </c>
      <c r="P481" s="46">
        <v>10.095000000000001</v>
      </c>
      <c r="Q481" s="46">
        <v>0.70669999999999999</v>
      </c>
      <c r="R481" s="46">
        <v>0</v>
      </c>
      <c r="S481" s="46">
        <v>90</v>
      </c>
      <c r="T481" s="48">
        <v>100.8</v>
      </c>
    </row>
    <row r="482" spans="1:20" ht="23.4" x14ac:dyDescent="0.25">
      <c r="A482" s="46">
        <v>481</v>
      </c>
      <c r="B482" s="47">
        <v>244006</v>
      </c>
      <c r="C482" s="46" t="s">
        <v>114</v>
      </c>
      <c r="D482" s="46" t="s">
        <v>115</v>
      </c>
      <c r="E482" s="46" t="s">
        <v>116</v>
      </c>
      <c r="F482" s="46" t="s">
        <v>119</v>
      </c>
      <c r="G482" s="46">
        <v>2</v>
      </c>
      <c r="H482" s="46" t="s">
        <v>117</v>
      </c>
      <c r="I482" s="46" t="s">
        <v>2993</v>
      </c>
      <c r="J482" s="46" t="s">
        <v>2994</v>
      </c>
      <c r="K482" s="46" t="s">
        <v>2995</v>
      </c>
      <c r="L482" s="49" t="s">
        <v>2996</v>
      </c>
      <c r="N482" s="46">
        <v>5.85</v>
      </c>
      <c r="O482" s="46">
        <v>1420</v>
      </c>
      <c r="P482" s="46">
        <v>21.3</v>
      </c>
      <c r="Q482" s="46">
        <v>1.4910000000000001</v>
      </c>
      <c r="R482" s="46">
        <v>0</v>
      </c>
      <c r="S482" s="46">
        <v>70</v>
      </c>
      <c r="T482" s="48">
        <v>92.79</v>
      </c>
    </row>
    <row r="483" spans="1:20" ht="23.4" x14ac:dyDescent="0.25">
      <c r="A483" s="46">
        <v>482</v>
      </c>
      <c r="B483" s="47">
        <v>244006</v>
      </c>
      <c r="C483" s="46" t="s">
        <v>114</v>
      </c>
      <c r="D483" s="46" t="s">
        <v>115</v>
      </c>
      <c r="E483" s="46" t="s">
        <v>116</v>
      </c>
      <c r="F483" s="46" t="s">
        <v>119</v>
      </c>
      <c r="G483" s="46">
        <v>2</v>
      </c>
      <c r="H483" s="46" t="s">
        <v>117</v>
      </c>
      <c r="I483" s="46" t="s">
        <v>2997</v>
      </c>
      <c r="J483" s="46" t="s">
        <v>2998</v>
      </c>
      <c r="K483" s="46" t="s">
        <v>2999</v>
      </c>
      <c r="L483" s="49" t="s">
        <v>3000</v>
      </c>
      <c r="N483" s="46">
        <v>2.4500000000000002</v>
      </c>
      <c r="O483" s="46">
        <v>510</v>
      </c>
      <c r="P483" s="46">
        <v>7.65</v>
      </c>
      <c r="Q483" s="46">
        <v>0.53549999999999998</v>
      </c>
      <c r="R483" s="46">
        <v>0</v>
      </c>
      <c r="S483" s="46">
        <v>33</v>
      </c>
      <c r="T483" s="48">
        <v>41.19</v>
      </c>
    </row>
    <row r="484" spans="1:20" ht="23.4" x14ac:dyDescent="0.25">
      <c r="A484" s="46">
        <v>483</v>
      </c>
      <c r="B484" s="47">
        <v>244006</v>
      </c>
      <c r="C484" s="46" t="s">
        <v>114</v>
      </c>
      <c r="D484" s="46" t="s">
        <v>115</v>
      </c>
      <c r="E484" s="46" t="s">
        <v>116</v>
      </c>
      <c r="F484" s="46" t="s">
        <v>119</v>
      </c>
      <c r="G484" s="46">
        <v>2</v>
      </c>
      <c r="H484" s="46" t="s">
        <v>117</v>
      </c>
      <c r="I484" s="46" t="s">
        <v>3001</v>
      </c>
      <c r="J484" s="46" t="s">
        <v>3002</v>
      </c>
      <c r="K484" s="46" t="s">
        <v>3003</v>
      </c>
      <c r="L484" s="49" t="s">
        <v>3004</v>
      </c>
      <c r="N484" s="46">
        <v>1.214</v>
      </c>
      <c r="O484" s="46">
        <v>280</v>
      </c>
      <c r="P484" s="46">
        <v>4.2</v>
      </c>
      <c r="Q484" s="46">
        <v>0.29399999999999998</v>
      </c>
      <c r="R484" s="46">
        <v>0</v>
      </c>
      <c r="S484" s="46">
        <v>22</v>
      </c>
      <c r="T484" s="48">
        <v>26.49</v>
      </c>
    </row>
    <row r="485" spans="1:20" ht="23.4" x14ac:dyDescent="0.25">
      <c r="A485" s="46">
        <v>484</v>
      </c>
      <c r="B485" s="47">
        <v>244006</v>
      </c>
      <c r="C485" s="46" t="s">
        <v>114</v>
      </c>
      <c r="D485" s="46" t="s">
        <v>115</v>
      </c>
      <c r="E485" s="46" t="s">
        <v>116</v>
      </c>
      <c r="F485" s="46" t="s">
        <v>119</v>
      </c>
      <c r="G485" s="46">
        <v>2</v>
      </c>
      <c r="H485" s="46" t="s">
        <v>117</v>
      </c>
      <c r="I485" s="46" t="s">
        <v>3005</v>
      </c>
      <c r="J485" s="46" t="s">
        <v>3006</v>
      </c>
      <c r="K485" s="46" t="s">
        <v>3007</v>
      </c>
      <c r="L485" s="49" t="s">
        <v>3008</v>
      </c>
      <c r="N485" s="46">
        <v>0.70199999999999996</v>
      </c>
      <c r="O485" s="46">
        <v>230</v>
      </c>
      <c r="P485" s="46">
        <v>3.45</v>
      </c>
      <c r="Q485" s="46">
        <v>0.24149999999999999</v>
      </c>
      <c r="R485" s="46">
        <v>0</v>
      </c>
      <c r="S485" s="46">
        <v>17</v>
      </c>
      <c r="T485" s="48">
        <v>20.69</v>
      </c>
    </row>
    <row r="486" spans="1:20" ht="23.4" x14ac:dyDescent="0.25">
      <c r="A486" s="46">
        <v>485</v>
      </c>
      <c r="B486" s="47">
        <v>244006</v>
      </c>
      <c r="C486" s="46" t="s">
        <v>114</v>
      </c>
      <c r="D486" s="46" t="s">
        <v>115</v>
      </c>
      <c r="E486" s="46" t="s">
        <v>116</v>
      </c>
      <c r="F486" s="46" t="s">
        <v>119</v>
      </c>
      <c r="G486" s="46">
        <v>2</v>
      </c>
      <c r="H486" s="46" t="s">
        <v>117</v>
      </c>
      <c r="I486" s="46" t="s">
        <v>3009</v>
      </c>
      <c r="J486" s="46" t="s">
        <v>3010</v>
      </c>
      <c r="K486" s="46" t="s">
        <v>3011</v>
      </c>
      <c r="L486" s="49" t="s">
        <v>3012</v>
      </c>
      <c r="N486" s="46">
        <v>2.012</v>
      </c>
      <c r="O486" s="46">
        <v>359</v>
      </c>
      <c r="P486" s="46">
        <v>5.3849999999999998</v>
      </c>
      <c r="Q486" s="46">
        <v>0.377</v>
      </c>
      <c r="R486" s="46">
        <v>0</v>
      </c>
      <c r="S486" s="46">
        <v>33</v>
      </c>
      <c r="T486" s="48">
        <v>38.76</v>
      </c>
    </row>
    <row r="487" spans="1:20" ht="23.4" x14ac:dyDescent="0.25">
      <c r="A487" s="46">
        <v>486</v>
      </c>
      <c r="B487" s="47">
        <v>244006</v>
      </c>
      <c r="C487" s="46" t="s">
        <v>114</v>
      </c>
      <c r="D487" s="46" t="s">
        <v>115</v>
      </c>
      <c r="E487" s="46" t="s">
        <v>116</v>
      </c>
      <c r="F487" s="46" t="s">
        <v>119</v>
      </c>
      <c r="G487" s="46">
        <v>2</v>
      </c>
      <c r="H487" s="46" t="s">
        <v>117</v>
      </c>
      <c r="I487" s="46" t="s">
        <v>3013</v>
      </c>
      <c r="J487" s="46" t="s">
        <v>3014</v>
      </c>
      <c r="K487" s="46" t="s">
        <v>3015</v>
      </c>
      <c r="L487" s="49" t="s">
        <v>3016</v>
      </c>
      <c r="N487" s="46">
        <v>1.214</v>
      </c>
      <c r="O487" s="46">
        <v>280</v>
      </c>
      <c r="P487" s="46">
        <v>4.2</v>
      </c>
      <c r="Q487" s="46">
        <v>0.29399999999999998</v>
      </c>
      <c r="R487" s="46">
        <v>0</v>
      </c>
      <c r="S487" s="46">
        <v>22</v>
      </c>
      <c r="T487" s="48">
        <v>26.49</v>
      </c>
    </row>
    <row r="488" spans="1:20" ht="23.4" x14ac:dyDescent="0.25">
      <c r="A488" s="46">
        <v>487</v>
      </c>
      <c r="B488" s="47">
        <v>244006</v>
      </c>
      <c r="C488" s="46" t="s">
        <v>114</v>
      </c>
      <c r="D488" s="46" t="s">
        <v>115</v>
      </c>
      <c r="E488" s="46" t="s">
        <v>116</v>
      </c>
      <c r="F488" s="46" t="s">
        <v>119</v>
      </c>
      <c r="G488" s="46">
        <v>2</v>
      </c>
      <c r="H488" s="46" t="s">
        <v>117</v>
      </c>
      <c r="I488" s="46" t="s">
        <v>3017</v>
      </c>
      <c r="J488" s="46" t="s">
        <v>3018</v>
      </c>
      <c r="K488" s="46" t="s">
        <v>3019</v>
      </c>
      <c r="L488" s="49" t="s">
        <v>3020</v>
      </c>
      <c r="N488" s="46">
        <v>2.0059999999999998</v>
      </c>
      <c r="O488" s="46">
        <v>0</v>
      </c>
      <c r="P488" s="46">
        <v>0</v>
      </c>
      <c r="Q488" s="46">
        <v>0</v>
      </c>
      <c r="R488" s="46">
        <v>0</v>
      </c>
      <c r="S488" s="46">
        <v>33</v>
      </c>
      <c r="T488" s="48">
        <v>33</v>
      </c>
    </row>
    <row r="489" spans="1:20" ht="23.4" x14ac:dyDescent="0.25">
      <c r="A489" s="46">
        <v>488</v>
      </c>
      <c r="B489" s="47">
        <v>244006</v>
      </c>
      <c r="C489" s="46" t="s">
        <v>114</v>
      </c>
      <c r="D489" s="46" t="s">
        <v>115</v>
      </c>
      <c r="E489" s="46" t="s">
        <v>116</v>
      </c>
      <c r="F489" s="46" t="s">
        <v>119</v>
      </c>
      <c r="G489" s="46">
        <v>2</v>
      </c>
      <c r="H489" s="46" t="s">
        <v>117</v>
      </c>
      <c r="I489" s="46" t="s">
        <v>3021</v>
      </c>
      <c r="J489" s="46" t="s">
        <v>2606</v>
      </c>
      <c r="K489" s="46" t="s">
        <v>2607</v>
      </c>
      <c r="L489" s="49" t="s">
        <v>2608</v>
      </c>
      <c r="N489" s="46">
        <v>5.81</v>
      </c>
      <c r="O489" s="46">
        <v>450</v>
      </c>
      <c r="P489" s="46">
        <v>6.75</v>
      </c>
      <c r="Q489" s="46">
        <v>0.47249999999999998</v>
      </c>
      <c r="R489" s="46">
        <v>0</v>
      </c>
      <c r="S489" s="46">
        <v>70</v>
      </c>
      <c r="T489" s="48">
        <v>77.22</v>
      </c>
    </row>
    <row r="490" spans="1:20" ht="23.4" x14ac:dyDescent="0.25">
      <c r="A490" s="46">
        <v>489</v>
      </c>
      <c r="B490" s="47">
        <v>244006</v>
      </c>
      <c r="C490" s="46" t="s">
        <v>114</v>
      </c>
      <c r="D490" s="46" t="s">
        <v>115</v>
      </c>
      <c r="E490" s="46" t="s">
        <v>116</v>
      </c>
      <c r="F490" s="46" t="s">
        <v>119</v>
      </c>
      <c r="G490" s="46">
        <v>2</v>
      </c>
      <c r="H490" s="46" t="s">
        <v>117</v>
      </c>
      <c r="I490" s="46" t="s">
        <v>3022</v>
      </c>
      <c r="J490" s="46" t="s">
        <v>3023</v>
      </c>
      <c r="K490" s="46" t="s">
        <v>3024</v>
      </c>
      <c r="L490" s="49" t="s">
        <v>3025</v>
      </c>
      <c r="N490" s="46">
        <v>0.96799999999999997</v>
      </c>
      <c r="O490" s="46">
        <v>0</v>
      </c>
      <c r="P490" s="46">
        <v>0</v>
      </c>
      <c r="Q490" s="46">
        <v>0</v>
      </c>
      <c r="R490" s="46">
        <v>0</v>
      </c>
      <c r="S490" s="46">
        <v>17</v>
      </c>
      <c r="T490" s="48">
        <v>17</v>
      </c>
    </row>
    <row r="491" spans="1:20" ht="23.4" x14ac:dyDescent="0.25">
      <c r="A491" s="46">
        <v>490</v>
      </c>
      <c r="B491" s="47">
        <v>244006</v>
      </c>
      <c r="C491" s="46" t="s">
        <v>114</v>
      </c>
      <c r="D491" s="46" t="s">
        <v>115</v>
      </c>
      <c r="E491" s="46" t="s">
        <v>116</v>
      </c>
      <c r="F491" s="46" t="s">
        <v>119</v>
      </c>
      <c r="G491" s="46">
        <v>2</v>
      </c>
      <c r="H491" s="46" t="s">
        <v>117</v>
      </c>
      <c r="I491" s="46" t="s">
        <v>3026</v>
      </c>
      <c r="J491" s="46" t="s">
        <v>123</v>
      </c>
      <c r="K491" s="46" t="s">
        <v>124</v>
      </c>
      <c r="L491" s="49" t="s">
        <v>2677</v>
      </c>
      <c r="N491" s="46">
        <v>0.156</v>
      </c>
      <c r="O491" s="46">
        <v>0</v>
      </c>
      <c r="P491" s="46">
        <v>0</v>
      </c>
      <c r="Q491" s="46">
        <v>0</v>
      </c>
      <c r="R491" s="46">
        <v>0</v>
      </c>
      <c r="S491" s="46">
        <v>17</v>
      </c>
      <c r="T491" s="48">
        <v>17</v>
      </c>
    </row>
    <row r="492" spans="1:20" ht="23.4" x14ac:dyDescent="0.25">
      <c r="A492" s="46">
        <v>491</v>
      </c>
      <c r="B492" s="47">
        <v>244007</v>
      </c>
      <c r="C492" s="46" t="s">
        <v>114</v>
      </c>
      <c r="D492" s="46" t="s">
        <v>115</v>
      </c>
      <c r="E492" s="46" t="s">
        <v>116</v>
      </c>
      <c r="F492" s="46" t="s">
        <v>119</v>
      </c>
      <c r="G492" s="46">
        <v>2</v>
      </c>
      <c r="H492" s="46" t="s">
        <v>117</v>
      </c>
      <c r="I492" s="46" t="s">
        <v>3027</v>
      </c>
      <c r="J492" s="46" t="s">
        <v>3028</v>
      </c>
      <c r="K492" s="46" t="s">
        <v>3029</v>
      </c>
      <c r="L492" s="49" t="s">
        <v>3030</v>
      </c>
      <c r="N492" s="46">
        <v>4.1440000000000001</v>
      </c>
      <c r="O492" s="46">
        <v>0</v>
      </c>
      <c r="P492" s="46">
        <v>0</v>
      </c>
      <c r="Q492" s="46">
        <v>0</v>
      </c>
      <c r="R492" s="46">
        <v>0</v>
      </c>
      <c r="S492" s="46">
        <v>53</v>
      </c>
      <c r="T492" s="48">
        <v>53</v>
      </c>
    </row>
    <row r="493" spans="1:20" ht="23.4" x14ac:dyDescent="0.25">
      <c r="A493" s="46">
        <v>492</v>
      </c>
      <c r="B493" s="47">
        <v>244007</v>
      </c>
      <c r="C493" s="46" t="s">
        <v>114</v>
      </c>
      <c r="D493" s="46" t="s">
        <v>115</v>
      </c>
      <c r="E493" s="46" t="s">
        <v>116</v>
      </c>
      <c r="F493" s="46" t="s">
        <v>119</v>
      </c>
      <c r="G493" s="46">
        <v>2</v>
      </c>
      <c r="H493" s="46" t="s">
        <v>117</v>
      </c>
      <c r="I493" s="46" t="s">
        <v>3031</v>
      </c>
      <c r="J493" s="46" t="s">
        <v>3032</v>
      </c>
      <c r="K493" s="46" t="s">
        <v>3033</v>
      </c>
      <c r="L493" s="49" t="s">
        <v>3034</v>
      </c>
      <c r="N493" s="46">
        <v>1.266</v>
      </c>
      <c r="O493" s="46">
        <v>229</v>
      </c>
      <c r="P493" s="46">
        <v>3.4350000000000001</v>
      </c>
      <c r="Q493" s="46">
        <v>0.24049999999999999</v>
      </c>
      <c r="R493" s="46">
        <v>0</v>
      </c>
      <c r="S493" s="46">
        <v>22</v>
      </c>
      <c r="T493" s="48">
        <v>25.68</v>
      </c>
    </row>
    <row r="494" spans="1:20" ht="23.4" x14ac:dyDescent="0.25">
      <c r="A494" s="46">
        <v>493</v>
      </c>
      <c r="B494" s="47">
        <v>244007</v>
      </c>
      <c r="C494" s="46" t="s">
        <v>114</v>
      </c>
      <c r="D494" s="46" t="s">
        <v>115</v>
      </c>
      <c r="E494" s="46" t="s">
        <v>116</v>
      </c>
      <c r="F494" s="46" t="s">
        <v>119</v>
      </c>
      <c r="G494" s="46">
        <v>2</v>
      </c>
      <c r="H494" s="46" t="s">
        <v>117</v>
      </c>
      <c r="I494" s="46" t="s">
        <v>3035</v>
      </c>
      <c r="J494" s="46" t="s">
        <v>3036</v>
      </c>
      <c r="K494" s="46" t="s">
        <v>3037</v>
      </c>
      <c r="L494" s="49" t="s">
        <v>3038</v>
      </c>
      <c r="N494" s="46">
        <v>0.746</v>
      </c>
      <c r="O494" s="46">
        <v>0</v>
      </c>
      <c r="P494" s="46">
        <v>0</v>
      </c>
      <c r="Q494" s="46">
        <v>0</v>
      </c>
      <c r="R494" s="46">
        <v>0</v>
      </c>
      <c r="S494" s="46">
        <v>17</v>
      </c>
      <c r="T494" s="48">
        <v>17</v>
      </c>
    </row>
    <row r="495" spans="1:20" ht="23.4" x14ac:dyDescent="0.25">
      <c r="A495" s="46">
        <v>494</v>
      </c>
      <c r="B495" s="47">
        <v>244007</v>
      </c>
      <c r="C495" s="46" t="s">
        <v>114</v>
      </c>
      <c r="D495" s="46" t="s">
        <v>115</v>
      </c>
      <c r="E495" s="46" t="s">
        <v>116</v>
      </c>
      <c r="F495" s="46" t="s">
        <v>119</v>
      </c>
      <c r="G495" s="46">
        <v>2</v>
      </c>
      <c r="H495" s="46" t="s">
        <v>117</v>
      </c>
      <c r="I495" s="46" t="s">
        <v>3039</v>
      </c>
      <c r="J495" s="46" t="s">
        <v>3040</v>
      </c>
      <c r="K495" s="46" t="s">
        <v>3041</v>
      </c>
      <c r="L495" s="49" t="s">
        <v>3042</v>
      </c>
      <c r="N495" s="46">
        <v>3.6459999999999999</v>
      </c>
      <c r="O495" s="46">
        <v>657</v>
      </c>
      <c r="P495" s="46">
        <v>9.8550000000000004</v>
      </c>
      <c r="Q495" s="46">
        <v>0.68989999999999996</v>
      </c>
      <c r="R495" s="46">
        <v>0</v>
      </c>
      <c r="S495" s="46">
        <v>43</v>
      </c>
      <c r="T495" s="48">
        <v>53.54</v>
      </c>
    </row>
    <row r="496" spans="1:20" ht="23.4" x14ac:dyDescent="0.25">
      <c r="A496" s="46">
        <v>495</v>
      </c>
      <c r="B496" s="47">
        <v>244007</v>
      </c>
      <c r="C496" s="46" t="s">
        <v>114</v>
      </c>
      <c r="D496" s="46" t="s">
        <v>115</v>
      </c>
      <c r="E496" s="46" t="s">
        <v>116</v>
      </c>
      <c r="F496" s="46" t="s">
        <v>119</v>
      </c>
      <c r="G496" s="46">
        <v>2</v>
      </c>
      <c r="H496" s="46" t="s">
        <v>117</v>
      </c>
      <c r="I496" s="46" t="s">
        <v>3043</v>
      </c>
      <c r="J496" s="46" t="s">
        <v>3044</v>
      </c>
      <c r="K496" s="46" t="s">
        <v>3045</v>
      </c>
      <c r="L496" s="49" t="s">
        <v>3046</v>
      </c>
      <c r="N496" s="46">
        <v>2.4060000000000001</v>
      </c>
      <c r="O496" s="46">
        <v>428</v>
      </c>
      <c r="P496" s="46">
        <v>6.42</v>
      </c>
      <c r="Q496" s="46">
        <v>0.44940000000000002</v>
      </c>
      <c r="R496" s="46">
        <v>0</v>
      </c>
      <c r="S496" s="46">
        <v>33</v>
      </c>
      <c r="T496" s="48">
        <v>39.869999999999997</v>
      </c>
    </row>
    <row r="497" spans="1:20" ht="23.4" x14ac:dyDescent="0.25">
      <c r="A497" s="46">
        <v>496</v>
      </c>
      <c r="B497" s="47">
        <v>244007</v>
      </c>
      <c r="C497" s="46" t="s">
        <v>114</v>
      </c>
      <c r="D497" s="46" t="s">
        <v>115</v>
      </c>
      <c r="E497" s="46" t="s">
        <v>116</v>
      </c>
      <c r="F497" s="46" t="s">
        <v>119</v>
      </c>
      <c r="G497" s="46">
        <v>2</v>
      </c>
      <c r="H497" s="46" t="s">
        <v>117</v>
      </c>
      <c r="I497" s="46" t="s">
        <v>3047</v>
      </c>
      <c r="J497" s="46" t="s">
        <v>3048</v>
      </c>
      <c r="K497" s="46" t="s">
        <v>3049</v>
      </c>
      <c r="L497" s="49" t="s">
        <v>3050</v>
      </c>
      <c r="N497" s="46">
        <v>16.989999999999998</v>
      </c>
      <c r="O497" s="46">
        <v>0</v>
      </c>
      <c r="P497" s="46">
        <v>0</v>
      </c>
      <c r="Q497" s="46">
        <v>0</v>
      </c>
      <c r="R497" s="46">
        <v>0</v>
      </c>
      <c r="S497" s="46">
        <v>180</v>
      </c>
      <c r="T497" s="48">
        <v>180</v>
      </c>
    </row>
    <row r="498" spans="1:20" ht="23.4" x14ac:dyDescent="0.25">
      <c r="A498" s="46">
        <v>497</v>
      </c>
      <c r="B498" s="47">
        <v>244007</v>
      </c>
      <c r="C498" s="46" t="s">
        <v>114</v>
      </c>
      <c r="D498" s="46" t="s">
        <v>115</v>
      </c>
      <c r="E498" s="46" t="s">
        <v>116</v>
      </c>
      <c r="F498" s="46" t="s">
        <v>119</v>
      </c>
      <c r="G498" s="46">
        <v>2</v>
      </c>
      <c r="H498" s="46" t="s">
        <v>117</v>
      </c>
      <c r="I498" s="46" t="s">
        <v>3051</v>
      </c>
      <c r="J498" s="46" t="s">
        <v>3052</v>
      </c>
      <c r="K498" s="46" t="s">
        <v>3053</v>
      </c>
      <c r="L498" s="49" t="s">
        <v>3054</v>
      </c>
      <c r="N498" s="46">
        <v>1.778</v>
      </c>
      <c r="O498" s="46">
        <v>430</v>
      </c>
      <c r="P498" s="46">
        <v>6.45</v>
      </c>
      <c r="Q498" s="46">
        <v>0.45150000000000001</v>
      </c>
      <c r="R498" s="46">
        <v>0</v>
      </c>
      <c r="S498" s="46">
        <v>22</v>
      </c>
      <c r="T498" s="48">
        <v>28.9</v>
      </c>
    </row>
    <row r="499" spans="1:20" ht="23.4" x14ac:dyDescent="0.25">
      <c r="A499" s="46">
        <v>498</v>
      </c>
      <c r="B499" s="47">
        <v>244007</v>
      </c>
      <c r="C499" s="46" t="s">
        <v>114</v>
      </c>
      <c r="D499" s="46" t="s">
        <v>115</v>
      </c>
      <c r="E499" s="46" t="s">
        <v>116</v>
      </c>
      <c r="F499" s="46" t="s">
        <v>119</v>
      </c>
      <c r="G499" s="46">
        <v>2</v>
      </c>
      <c r="H499" s="46" t="s">
        <v>117</v>
      </c>
      <c r="I499" s="46" t="s">
        <v>3055</v>
      </c>
      <c r="J499" s="46" t="s">
        <v>3056</v>
      </c>
      <c r="K499" s="46" t="s">
        <v>3057</v>
      </c>
      <c r="L499" s="49" t="s">
        <v>3058</v>
      </c>
      <c r="N499" s="46">
        <v>1.766</v>
      </c>
      <c r="O499" s="46">
        <v>0</v>
      </c>
      <c r="P499" s="46">
        <v>0</v>
      </c>
      <c r="Q499" s="46">
        <v>0</v>
      </c>
      <c r="R499" s="46">
        <v>0</v>
      </c>
      <c r="S499" s="46">
        <v>22</v>
      </c>
      <c r="T499" s="48">
        <v>22</v>
      </c>
    </row>
    <row r="500" spans="1:20" ht="23.4" x14ac:dyDescent="0.25">
      <c r="A500" s="46">
        <v>499</v>
      </c>
      <c r="B500" s="47">
        <v>244007</v>
      </c>
      <c r="C500" s="46" t="s">
        <v>114</v>
      </c>
      <c r="D500" s="46" t="s">
        <v>115</v>
      </c>
      <c r="E500" s="46" t="s">
        <v>116</v>
      </c>
      <c r="F500" s="46" t="s">
        <v>119</v>
      </c>
      <c r="G500" s="46">
        <v>2</v>
      </c>
      <c r="H500" s="46" t="s">
        <v>117</v>
      </c>
      <c r="I500" s="46" t="s">
        <v>3059</v>
      </c>
      <c r="J500" s="46" t="s">
        <v>3060</v>
      </c>
      <c r="K500" s="46" t="s">
        <v>3061</v>
      </c>
      <c r="L500" s="49" t="s">
        <v>3062</v>
      </c>
      <c r="N500" s="46">
        <v>0.79400000000000004</v>
      </c>
      <c r="O500" s="46">
        <v>230</v>
      </c>
      <c r="P500" s="46">
        <v>3.45</v>
      </c>
      <c r="Q500" s="46">
        <v>0.24149999999999999</v>
      </c>
      <c r="R500" s="46">
        <v>0</v>
      </c>
      <c r="S500" s="46">
        <v>17</v>
      </c>
      <c r="T500" s="48">
        <v>20.69</v>
      </c>
    </row>
    <row r="501" spans="1:20" ht="23.4" x14ac:dyDescent="0.25">
      <c r="A501" s="46">
        <v>500</v>
      </c>
      <c r="B501" s="47">
        <v>244007</v>
      </c>
      <c r="C501" s="46" t="s">
        <v>114</v>
      </c>
      <c r="D501" s="46" t="s">
        <v>115</v>
      </c>
      <c r="E501" s="46" t="s">
        <v>116</v>
      </c>
      <c r="F501" s="46" t="s">
        <v>119</v>
      </c>
      <c r="G501" s="46">
        <v>2</v>
      </c>
      <c r="H501" s="46" t="s">
        <v>117</v>
      </c>
      <c r="I501" s="46" t="s">
        <v>3063</v>
      </c>
      <c r="J501" s="46" t="s">
        <v>1842</v>
      </c>
      <c r="K501" s="46" t="s">
        <v>1843</v>
      </c>
      <c r="L501" s="49" t="s">
        <v>2683</v>
      </c>
      <c r="N501" s="46">
        <v>16.989999999999998</v>
      </c>
      <c r="O501" s="46">
        <v>0</v>
      </c>
      <c r="P501" s="46">
        <v>0</v>
      </c>
      <c r="Q501" s="46">
        <v>0</v>
      </c>
      <c r="R501" s="46">
        <v>0</v>
      </c>
      <c r="S501" s="46">
        <v>180</v>
      </c>
      <c r="T501" s="48">
        <v>180</v>
      </c>
    </row>
    <row r="502" spans="1:20" ht="23.4" x14ac:dyDescent="0.25">
      <c r="A502" s="46">
        <v>501</v>
      </c>
      <c r="B502" s="47">
        <v>244007</v>
      </c>
      <c r="C502" s="46" t="s">
        <v>114</v>
      </c>
      <c r="D502" s="46" t="s">
        <v>115</v>
      </c>
      <c r="E502" s="46" t="s">
        <v>116</v>
      </c>
      <c r="F502" s="46" t="s">
        <v>119</v>
      </c>
      <c r="G502" s="46">
        <v>2</v>
      </c>
      <c r="H502" s="46" t="s">
        <v>117</v>
      </c>
      <c r="I502" s="46" t="s">
        <v>3064</v>
      </c>
      <c r="J502" s="46" t="s">
        <v>1470</v>
      </c>
      <c r="K502" s="46" t="s">
        <v>1471</v>
      </c>
      <c r="L502" s="49" t="s">
        <v>2324</v>
      </c>
      <c r="N502" s="46">
        <v>7.57</v>
      </c>
      <c r="O502" s="46">
        <v>0</v>
      </c>
      <c r="P502" s="46">
        <v>0</v>
      </c>
      <c r="Q502" s="46">
        <v>0</v>
      </c>
      <c r="R502" s="46">
        <v>0</v>
      </c>
      <c r="S502" s="46">
        <v>90</v>
      </c>
      <c r="T502" s="48">
        <v>90</v>
      </c>
    </row>
    <row r="503" spans="1:20" ht="23.4" x14ac:dyDescent="0.25">
      <c r="A503" s="46">
        <v>502</v>
      </c>
      <c r="B503" s="47">
        <v>244007</v>
      </c>
      <c r="C503" s="46" t="s">
        <v>114</v>
      </c>
      <c r="D503" s="46" t="s">
        <v>115</v>
      </c>
      <c r="E503" s="46" t="s">
        <v>116</v>
      </c>
      <c r="F503" s="46" t="s">
        <v>119</v>
      </c>
      <c r="G503" s="46">
        <v>2</v>
      </c>
      <c r="H503" s="46" t="s">
        <v>117</v>
      </c>
      <c r="I503" s="46" t="s">
        <v>3065</v>
      </c>
      <c r="J503" s="46" t="s">
        <v>3066</v>
      </c>
      <c r="K503" s="46" t="s">
        <v>3067</v>
      </c>
      <c r="L503" s="49" t="s">
        <v>3068</v>
      </c>
      <c r="N503" s="46">
        <v>5.3</v>
      </c>
      <c r="O503" s="46">
        <v>0</v>
      </c>
      <c r="P503" s="46">
        <v>0</v>
      </c>
      <c r="Q503" s="46">
        <v>0</v>
      </c>
      <c r="R503" s="46">
        <v>0</v>
      </c>
      <c r="S503" s="46">
        <v>70</v>
      </c>
      <c r="T503" s="48">
        <v>70</v>
      </c>
    </row>
    <row r="504" spans="1:20" ht="23.4" x14ac:dyDescent="0.25">
      <c r="A504" s="46">
        <v>503</v>
      </c>
      <c r="B504" s="47">
        <v>244007</v>
      </c>
      <c r="C504" s="46" t="s">
        <v>114</v>
      </c>
      <c r="D504" s="46" t="s">
        <v>115</v>
      </c>
      <c r="E504" s="46" t="s">
        <v>116</v>
      </c>
      <c r="F504" s="46" t="s">
        <v>119</v>
      </c>
      <c r="G504" s="46">
        <v>2</v>
      </c>
      <c r="H504" s="46" t="s">
        <v>117</v>
      </c>
      <c r="I504" s="46" t="s">
        <v>3069</v>
      </c>
      <c r="J504" s="46" t="s">
        <v>3070</v>
      </c>
      <c r="K504" s="46" t="s">
        <v>3071</v>
      </c>
      <c r="L504" s="49" t="s">
        <v>3072</v>
      </c>
      <c r="N504" s="46">
        <v>1.8540000000000001</v>
      </c>
      <c r="O504" s="46">
        <v>359</v>
      </c>
      <c r="P504" s="46">
        <v>5.3849999999999998</v>
      </c>
      <c r="Q504" s="46">
        <v>0.377</v>
      </c>
      <c r="R504" s="46">
        <v>0</v>
      </c>
      <c r="S504" s="46">
        <v>22</v>
      </c>
      <c r="T504" s="48">
        <v>27.76</v>
      </c>
    </row>
    <row r="505" spans="1:20" ht="23.4" x14ac:dyDescent="0.25">
      <c r="A505" s="46">
        <v>504</v>
      </c>
      <c r="B505" s="47">
        <v>244007</v>
      </c>
      <c r="C505" s="46" t="s">
        <v>114</v>
      </c>
      <c r="D505" s="46" t="s">
        <v>115</v>
      </c>
      <c r="E505" s="46" t="s">
        <v>116</v>
      </c>
      <c r="F505" s="46" t="s">
        <v>119</v>
      </c>
      <c r="G505" s="46">
        <v>2</v>
      </c>
      <c r="H505" s="46" t="s">
        <v>117</v>
      </c>
      <c r="I505" s="46" t="s">
        <v>3073</v>
      </c>
      <c r="J505" s="46" t="s">
        <v>3074</v>
      </c>
      <c r="K505" s="46" t="s">
        <v>3075</v>
      </c>
      <c r="L505" s="49" t="s">
        <v>3076</v>
      </c>
      <c r="N505" s="46">
        <v>1.8839999999999999</v>
      </c>
      <c r="O505" s="46">
        <v>0</v>
      </c>
      <c r="P505" s="46">
        <v>0</v>
      </c>
      <c r="Q505" s="46">
        <v>0</v>
      </c>
      <c r="R505" s="46">
        <v>0</v>
      </c>
      <c r="S505" s="46">
        <v>22</v>
      </c>
      <c r="T505" s="48">
        <v>22</v>
      </c>
    </row>
    <row r="506" spans="1:20" ht="23.4" x14ac:dyDescent="0.25">
      <c r="A506" s="46">
        <v>505</v>
      </c>
      <c r="B506" s="47">
        <v>244007</v>
      </c>
      <c r="C506" s="46" t="s">
        <v>114</v>
      </c>
      <c r="D506" s="46" t="s">
        <v>115</v>
      </c>
      <c r="E506" s="46" t="s">
        <v>116</v>
      </c>
      <c r="F506" s="46" t="s">
        <v>119</v>
      </c>
      <c r="G506" s="46">
        <v>2</v>
      </c>
      <c r="H506" s="46" t="s">
        <v>117</v>
      </c>
      <c r="I506" s="46" t="s">
        <v>3077</v>
      </c>
      <c r="J506" s="46" t="s">
        <v>3078</v>
      </c>
      <c r="K506" s="46" t="s">
        <v>3079</v>
      </c>
      <c r="L506" s="49" t="s">
        <v>3080</v>
      </c>
      <c r="N506" s="46">
        <v>1.276</v>
      </c>
      <c r="O506" s="46">
        <v>0</v>
      </c>
      <c r="P506" s="46">
        <v>0</v>
      </c>
      <c r="Q506" s="46">
        <v>0</v>
      </c>
      <c r="R506" s="46">
        <v>0</v>
      </c>
      <c r="S506" s="46">
        <v>22</v>
      </c>
      <c r="T506" s="48">
        <v>22</v>
      </c>
    </row>
    <row r="507" spans="1:20" ht="23.4" x14ac:dyDescent="0.25">
      <c r="A507" s="46">
        <v>506</v>
      </c>
      <c r="B507" s="47">
        <v>244007</v>
      </c>
      <c r="C507" s="46" t="s">
        <v>114</v>
      </c>
      <c r="D507" s="46" t="s">
        <v>115</v>
      </c>
      <c r="E507" s="46" t="s">
        <v>116</v>
      </c>
      <c r="F507" s="46" t="s">
        <v>119</v>
      </c>
      <c r="G507" s="46">
        <v>2</v>
      </c>
      <c r="H507" s="46" t="s">
        <v>117</v>
      </c>
      <c r="I507" s="46" t="s">
        <v>3081</v>
      </c>
      <c r="J507" s="46" t="s">
        <v>3082</v>
      </c>
      <c r="K507" s="46" t="s">
        <v>3083</v>
      </c>
      <c r="L507" s="49" t="s">
        <v>3084</v>
      </c>
      <c r="N507" s="46">
        <v>2.3940000000000001</v>
      </c>
      <c r="O507" s="46">
        <v>0</v>
      </c>
      <c r="P507" s="46">
        <v>0</v>
      </c>
      <c r="Q507" s="46">
        <v>0</v>
      </c>
      <c r="R507" s="46">
        <v>0</v>
      </c>
      <c r="S507" s="46">
        <v>33</v>
      </c>
      <c r="T507" s="48">
        <v>33</v>
      </c>
    </row>
    <row r="508" spans="1:20" ht="23.4" x14ac:dyDescent="0.25">
      <c r="A508" s="46">
        <v>507</v>
      </c>
      <c r="B508" s="47">
        <v>244007</v>
      </c>
      <c r="C508" s="46" t="s">
        <v>114</v>
      </c>
      <c r="D508" s="46" t="s">
        <v>115</v>
      </c>
      <c r="E508" s="46" t="s">
        <v>116</v>
      </c>
      <c r="F508" s="46" t="s">
        <v>119</v>
      </c>
      <c r="G508" s="46">
        <v>2</v>
      </c>
      <c r="H508" s="46" t="s">
        <v>117</v>
      </c>
      <c r="I508" s="46" t="s">
        <v>3085</v>
      </c>
      <c r="J508" s="46" t="s">
        <v>3086</v>
      </c>
      <c r="K508" s="46" t="s">
        <v>3087</v>
      </c>
      <c r="L508" s="49" t="s">
        <v>3088</v>
      </c>
      <c r="N508" s="46">
        <v>2.7639999999999998</v>
      </c>
      <c r="O508" s="46">
        <v>556</v>
      </c>
      <c r="P508" s="46">
        <v>8.34</v>
      </c>
      <c r="Q508" s="46">
        <v>0.58379999999999999</v>
      </c>
      <c r="R508" s="46">
        <v>0</v>
      </c>
      <c r="S508" s="46">
        <v>33</v>
      </c>
      <c r="T508" s="48">
        <v>41.92</v>
      </c>
    </row>
    <row r="509" spans="1:20" ht="23.4" x14ac:dyDescent="0.25">
      <c r="A509" s="46">
        <v>508</v>
      </c>
      <c r="B509" s="47">
        <v>244007</v>
      </c>
      <c r="C509" s="46" t="s">
        <v>114</v>
      </c>
      <c r="D509" s="46" t="s">
        <v>115</v>
      </c>
      <c r="E509" s="46" t="s">
        <v>116</v>
      </c>
      <c r="F509" s="46" t="s">
        <v>119</v>
      </c>
      <c r="G509" s="46">
        <v>2</v>
      </c>
      <c r="H509" s="46" t="s">
        <v>117</v>
      </c>
      <c r="I509" s="46" t="s">
        <v>3089</v>
      </c>
      <c r="J509" s="46" t="s">
        <v>3090</v>
      </c>
      <c r="K509" s="46" t="s">
        <v>3091</v>
      </c>
      <c r="L509" s="49" t="s">
        <v>3092</v>
      </c>
      <c r="N509" s="46">
        <v>2.4079999999999999</v>
      </c>
      <c r="O509" s="46">
        <v>0</v>
      </c>
      <c r="P509" s="46">
        <v>0</v>
      </c>
      <c r="Q509" s="46">
        <v>0</v>
      </c>
      <c r="R509" s="46">
        <v>0</v>
      </c>
      <c r="S509" s="46">
        <v>33</v>
      </c>
      <c r="T509" s="48">
        <v>33</v>
      </c>
    </row>
    <row r="510" spans="1:20" ht="23.4" x14ac:dyDescent="0.25">
      <c r="A510" s="46">
        <v>509</v>
      </c>
      <c r="B510" s="47">
        <v>244007</v>
      </c>
      <c r="C510" s="46" t="s">
        <v>114</v>
      </c>
      <c r="D510" s="46" t="s">
        <v>115</v>
      </c>
      <c r="E510" s="46" t="s">
        <v>116</v>
      </c>
      <c r="F510" s="46" t="s">
        <v>119</v>
      </c>
      <c r="G510" s="46">
        <v>2</v>
      </c>
      <c r="H510" s="46" t="s">
        <v>117</v>
      </c>
      <c r="I510" s="46" t="s">
        <v>3093</v>
      </c>
      <c r="J510" s="46" t="s">
        <v>3094</v>
      </c>
      <c r="K510" s="46" t="s">
        <v>3095</v>
      </c>
      <c r="L510" s="49" t="s">
        <v>3096</v>
      </c>
      <c r="N510" s="46">
        <v>1.802</v>
      </c>
      <c r="O510" s="46">
        <v>430</v>
      </c>
      <c r="P510" s="46">
        <v>6.45</v>
      </c>
      <c r="Q510" s="46">
        <v>0.45150000000000001</v>
      </c>
      <c r="R510" s="46">
        <v>0</v>
      </c>
      <c r="S510" s="46">
        <v>22</v>
      </c>
      <c r="T510" s="48">
        <v>28.9</v>
      </c>
    </row>
    <row r="511" spans="1:20" ht="23.4" x14ac:dyDescent="0.25">
      <c r="A511" s="46">
        <v>510</v>
      </c>
      <c r="B511" s="47">
        <v>244007</v>
      </c>
      <c r="C511" s="46" t="s">
        <v>114</v>
      </c>
      <c r="D511" s="46" t="s">
        <v>115</v>
      </c>
      <c r="E511" s="46" t="s">
        <v>116</v>
      </c>
      <c r="F511" s="46" t="s">
        <v>119</v>
      </c>
      <c r="G511" s="46">
        <v>2</v>
      </c>
      <c r="H511" s="46" t="s">
        <v>117</v>
      </c>
      <c r="I511" s="46" t="s">
        <v>3097</v>
      </c>
      <c r="J511" s="46" t="s">
        <v>3098</v>
      </c>
      <c r="K511" s="46" t="s">
        <v>3099</v>
      </c>
      <c r="L511" s="49" t="s">
        <v>3100</v>
      </c>
      <c r="N511" s="46">
        <v>9.2799999999999994</v>
      </c>
      <c r="O511" s="46">
        <v>0</v>
      </c>
      <c r="P511" s="46">
        <v>0</v>
      </c>
      <c r="Q511" s="46">
        <v>0</v>
      </c>
      <c r="R511" s="46">
        <v>0</v>
      </c>
      <c r="S511" s="46">
        <v>110</v>
      </c>
      <c r="T511" s="48">
        <v>110</v>
      </c>
    </row>
    <row r="512" spans="1:20" ht="23.4" x14ac:dyDescent="0.25">
      <c r="A512" s="46">
        <v>511</v>
      </c>
      <c r="B512" s="47">
        <v>244007</v>
      </c>
      <c r="C512" s="46" t="s">
        <v>114</v>
      </c>
      <c r="D512" s="46" t="s">
        <v>115</v>
      </c>
      <c r="E512" s="46" t="s">
        <v>116</v>
      </c>
      <c r="F512" s="46" t="s">
        <v>119</v>
      </c>
      <c r="G512" s="46">
        <v>2</v>
      </c>
      <c r="H512" s="46" t="s">
        <v>117</v>
      </c>
      <c r="I512" s="46" t="s">
        <v>3101</v>
      </c>
      <c r="J512" s="46" t="s">
        <v>3102</v>
      </c>
      <c r="K512" s="46" t="s">
        <v>3103</v>
      </c>
      <c r="L512" s="49" t="s">
        <v>3104</v>
      </c>
      <c r="N512" s="46">
        <v>5.47</v>
      </c>
      <c r="O512" s="46">
        <v>665</v>
      </c>
      <c r="P512" s="46">
        <v>9.9749999999999996</v>
      </c>
      <c r="Q512" s="46">
        <v>0.69830000000000003</v>
      </c>
      <c r="R512" s="46">
        <v>0</v>
      </c>
      <c r="S512" s="46">
        <v>70</v>
      </c>
      <c r="T512" s="48">
        <v>80.67</v>
      </c>
    </row>
    <row r="513" spans="1:20" ht="23.4" x14ac:dyDescent="0.25">
      <c r="A513" s="46">
        <v>512</v>
      </c>
      <c r="B513" s="47">
        <v>244007</v>
      </c>
      <c r="C513" s="46" t="s">
        <v>114</v>
      </c>
      <c r="D513" s="46" t="s">
        <v>115</v>
      </c>
      <c r="E513" s="46" t="s">
        <v>116</v>
      </c>
      <c r="F513" s="46" t="s">
        <v>119</v>
      </c>
      <c r="G513" s="46">
        <v>2</v>
      </c>
      <c r="H513" s="46" t="s">
        <v>117</v>
      </c>
      <c r="I513" s="46" t="s">
        <v>3105</v>
      </c>
      <c r="J513" s="46" t="s">
        <v>3106</v>
      </c>
      <c r="K513" s="46" t="s">
        <v>3107</v>
      </c>
      <c r="L513" s="49" t="s">
        <v>3108</v>
      </c>
      <c r="N513" s="46">
        <v>0.77200000000000002</v>
      </c>
      <c r="O513" s="46">
        <v>230</v>
      </c>
      <c r="P513" s="46">
        <v>3.45</v>
      </c>
      <c r="Q513" s="46">
        <v>0.24149999999999999</v>
      </c>
      <c r="R513" s="46">
        <v>0</v>
      </c>
      <c r="S513" s="46">
        <v>17</v>
      </c>
      <c r="T513" s="48">
        <v>20.69</v>
      </c>
    </row>
    <row r="514" spans="1:20" ht="23.4" x14ac:dyDescent="0.25">
      <c r="A514" s="46">
        <v>513</v>
      </c>
      <c r="B514" s="47">
        <v>244007</v>
      </c>
      <c r="C514" s="46" t="s">
        <v>114</v>
      </c>
      <c r="D514" s="46" t="s">
        <v>115</v>
      </c>
      <c r="E514" s="46" t="s">
        <v>116</v>
      </c>
      <c r="F514" s="46" t="s">
        <v>119</v>
      </c>
      <c r="G514" s="46">
        <v>2</v>
      </c>
      <c r="H514" s="46" t="s">
        <v>117</v>
      </c>
      <c r="I514" s="46" t="s">
        <v>3109</v>
      </c>
      <c r="J514" s="46" t="s">
        <v>1569</v>
      </c>
      <c r="K514" s="46" t="s">
        <v>1570</v>
      </c>
      <c r="L514" s="49" t="s">
        <v>500</v>
      </c>
      <c r="N514" s="46">
        <v>0.752</v>
      </c>
      <c r="O514" s="46">
        <v>0</v>
      </c>
      <c r="P514" s="46">
        <v>0</v>
      </c>
      <c r="Q514" s="46">
        <v>0</v>
      </c>
      <c r="R514" s="46">
        <v>0</v>
      </c>
      <c r="S514" s="46">
        <v>17</v>
      </c>
      <c r="T514" s="48">
        <v>17</v>
      </c>
    </row>
    <row r="515" spans="1:20" ht="23.4" x14ac:dyDescent="0.25">
      <c r="A515" s="46">
        <v>514</v>
      </c>
      <c r="B515" s="47">
        <v>244007</v>
      </c>
      <c r="C515" s="46" t="s">
        <v>114</v>
      </c>
      <c r="D515" s="46" t="s">
        <v>115</v>
      </c>
      <c r="E515" s="46" t="s">
        <v>116</v>
      </c>
      <c r="F515" s="46" t="s">
        <v>119</v>
      </c>
      <c r="G515" s="46">
        <v>2</v>
      </c>
      <c r="H515" s="46" t="s">
        <v>117</v>
      </c>
      <c r="I515" s="46" t="s">
        <v>3110</v>
      </c>
      <c r="J515" s="46" t="s">
        <v>3111</v>
      </c>
      <c r="K515" s="46" t="s">
        <v>3112</v>
      </c>
      <c r="L515" s="49" t="s">
        <v>3113</v>
      </c>
      <c r="N515" s="46">
        <v>0.78800000000000003</v>
      </c>
      <c r="O515" s="46">
        <v>230</v>
      </c>
      <c r="P515" s="46">
        <v>3.45</v>
      </c>
      <c r="Q515" s="46">
        <v>0.24149999999999999</v>
      </c>
      <c r="R515" s="46">
        <v>0</v>
      </c>
      <c r="S515" s="46">
        <v>17</v>
      </c>
      <c r="T515" s="48">
        <v>20.69</v>
      </c>
    </row>
    <row r="516" spans="1:20" ht="23.4" x14ac:dyDescent="0.25">
      <c r="A516" s="46">
        <v>515</v>
      </c>
      <c r="B516" s="47">
        <v>244007</v>
      </c>
      <c r="C516" s="46" t="s">
        <v>114</v>
      </c>
      <c r="D516" s="46" t="s">
        <v>115</v>
      </c>
      <c r="E516" s="46" t="s">
        <v>116</v>
      </c>
      <c r="F516" s="46" t="s">
        <v>119</v>
      </c>
      <c r="G516" s="46">
        <v>2</v>
      </c>
      <c r="H516" s="46" t="s">
        <v>117</v>
      </c>
      <c r="I516" s="46" t="s">
        <v>3114</v>
      </c>
      <c r="J516" s="46" t="s">
        <v>3115</v>
      </c>
      <c r="K516" s="46" t="s">
        <v>3116</v>
      </c>
      <c r="L516" s="49" t="s">
        <v>3117</v>
      </c>
      <c r="N516" s="46">
        <v>0.78</v>
      </c>
      <c r="O516" s="46">
        <v>0</v>
      </c>
      <c r="P516" s="46">
        <v>0</v>
      </c>
      <c r="Q516" s="46">
        <v>0</v>
      </c>
      <c r="R516" s="46">
        <v>0</v>
      </c>
      <c r="S516" s="46">
        <v>17</v>
      </c>
      <c r="T516" s="48">
        <v>17</v>
      </c>
    </row>
    <row r="517" spans="1:20" ht="23.4" x14ac:dyDescent="0.25">
      <c r="A517" s="46">
        <v>516</v>
      </c>
      <c r="B517" s="47">
        <v>244007</v>
      </c>
      <c r="C517" s="46" t="s">
        <v>114</v>
      </c>
      <c r="D517" s="46" t="s">
        <v>115</v>
      </c>
      <c r="E517" s="46" t="s">
        <v>116</v>
      </c>
      <c r="F517" s="46" t="s">
        <v>119</v>
      </c>
      <c r="G517" s="46">
        <v>2</v>
      </c>
      <c r="H517" s="46" t="s">
        <v>117</v>
      </c>
      <c r="I517" s="46" t="s">
        <v>3118</v>
      </c>
      <c r="J517" s="46" t="s">
        <v>3119</v>
      </c>
      <c r="K517" s="46" t="s">
        <v>3120</v>
      </c>
      <c r="L517" s="49" t="s">
        <v>3121</v>
      </c>
      <c r="N517" s="46">
        <v>0.98</v>
      </c>
      <c r="O517" s="46">
        <v>0</v>
      </c>
      <c r="P517" s="46">
        <v>0</v>
      </c>
      <c r="Q517" s="46">
        <v>0</v>
      </c>
      <c r="R517" s="46">
        <v>0</v>
      </c>
      <c r="S517" s="46">
        <v>17</v>
      </c>
      <c r="T517" s="48">
        <v>17</v>
      </c>
    </row>
    <row r="518" spans="1:20" ht="23.4" x14ac:dyDescent="0.25">
      <c r="A518" s="46">
        <v>517</v>
      </c>
      <c r="B518" s="47">
        <v>244007</v>
      </c>
      <c r="C518" s="46" t="s">
        <v>114</v>
      </c>
      <c r="D518" s="46" t="s">
        <v>115</v>
      </c>
      <c r="E518" s="46" t="s">
        <v>116</v>
      </c>
      <c r="F518" s="46" t="s">
        <v>119</v>
      </c>
      <c r="G518" s="46">
        <v>2</v>
      </c>
      <c r="H518" s="46" t="s">
        <v>117</v>
      </c>
      <c r="I518" s="46" t="s">
        <v>3122</v>
      </c>
      <c r="J518" s="46" t="s">
        <v>3123</v>
      </c>
      <c r="K518" s="46" t="s">
        <v>3124</v>
      </c>
      <c r="L518" s="49" t="s">
        <v>3125</v>
      </c>
      <c r="N518" s="46">
        <v>0.77400000000000002</v>
      </c>
      <c r="O518" s="46">
        <v>230</v>
      </c>
      <c r="P518" s="46">
        <v>3.45</v>
      </c>
      <c r="Q518" s="46">
        <v>0.24149999999999999</v>
      </c>
      <c r="R518" s="46">
        <v>0</v>
      </c>
      <c r="S518" s="46">
        <v>17</v>
      </c>
      <c r="T518" s="48">
        <v>20.69</v>
      </c>
    </row>
    <row r="519" spans="1:20" ht="23.4" x14ac:dyDescent="0.25">
      <c r="A519" s="46">
        <v>518</v>
      </c>
      <c r="B519" s="47">
        <v>244007</v>
      </c>
      <c r="C519" s="46" t="s">
        <v>114</v>
      </c>
      <c r="D519" s="46" t="s">
        <v>115</v>
      </c>
      <c r="E519" s="46" t="s">
        <v>116</v>
      </c>
      <c r="F519" s="46" t="s">
        <v>119</v>
      </c>
      <c r="G519" s="46">
        <v>2</v>
      </c>
      <c r="H519" s="46" t="s">
        <v>117</v>
      </c>
      <c r="I519" s="46" t="s">
        <v>3126</v>
      </c>
      <c r="J519" s="46" t="s">
        <v>3127</v>
      </c>
      <c r="K519" s="46" t="s">
        <v>3128</v>
      </c>
      <c r="L519" s="49" t="s">
        <v>3129</v>
      </c>
      <c r="N519" s="46">
        <v>0.79800000000000004</v>
      </c>
      <c r="O519" s="46">
        <v>230</v>
      </c>
      <c r="P519" s="46">
        <v>3.45</v>
      </c>
      <c r="Q519" s="46">
        <v>0.24149999999999999</v>
      </c>
      <c r="R519" s="46">
        <v>0</v>
      </c>
      <c r="S519" s="46">
        <v>17</v>
      </c>
      <c r="T519" s="48">
        <v>20.69</v>
      </c>
    </row>
    <row r="520" spans="1:20" ht="23.4" x14ac:dyDescent="0.25">
      <c r="A520" s="46">
        <v>519</v>
      </c>
      <c r="B520" s="47">
        <v>244007</v>
      </c>
      <c r="C520" s="46" t="s">
        <v>114</v>
      </c>
      <c r="D520" s="46" t="s">
        <v>115</v>
      </c>
      <c r="E520" s="46" t="s">
        <v>116</v>
      </c>
      <c r="F520" s="46" t="s">
        <v>119</v>
      </c>
      <c r="G520" s="46">
        <v>2</v>
      </c>
      <c r="H520" s="46" t="s">
        <v>117</v>
      </c>
      <c r="I520" s="46" t="s">
        <v>3130</v>
      </c>
      <c r="J520" s="46" t="s">
        <v>3131</v>
      </c>
      <c r="K520" s="46" t="s">
        <v>3132</v>
      </c>
      <c r="L520" s="49" t="s">
        <v>3133</v>
      </c>
      <c r="N520" s="46">
        <v>1.23</v>
      </c>
      <c r="O520" s="46">
        <v>0</v>
      </c>
      <c r="P520" s="46">
        <v>0</v>
      </c>
      <c r="Q520" s="46">
        <v>0</v>
      </c>
      <c r="R520" s="46">
        <v>0</v>
      </c>
      <c r="S520" s="46">
        <v>22</v>
      </c>
      <c r="T520" s="48">
        <v>22</v>
      </c>
    </row>
    <row r="521" spans="1:20" ht="23.4" x14ac:dyDescent="0.25">
      <c r="A521" s="46">
        <v>520</v>
      </c>
      <c r="B521" s="47">
        <v>244007</v>
      </c>
      <c r="C521" s="46" t="s">
        <v>114</v>
      </c>
      <c r="D521" s="46" t="s">
        <v>115</v>
      </c>
      <c r="E521" s="46" t="s">
        <v>116</v>
      </c>
      <c r="F521" s="46" t="s">
        <v>119</v>
      </c>
      <c r="G521" s="46">
        <v>2</v>
      </c>
      <c r="H521" s="46" t="s">
        <v>117</v>
      </c>
      <c r="I521" s="46" t="s">
        <v>3134</v>
      </c>
      <c r="J521" s="46" t="s">
        <v>3135</v>
      </c>
      <c r="K521" s="46" t="s">
        <v>3136</v>
      </c>
      <c r="L521" s="49" t="s">
        <v>3137</v>
      </c>
      <c r="N521" s="46">
        <v>0.81200000000000006</v>
      </c>
      <c r="O521" s="46">
        <v>230</v>
      </c>
      <c r="P521" s="46">
        <v>3.45</v>
      </c>
      <c r="Q521" s="46">
        <v>0.24149999999999999</v>
      </c>
      <c r="R521" s="46">
        <v>0</v>
      </c>
      <c r="S521" s="46">
        <v>17</v>
      </c>
      <c r="T521" s="48">
        <v>20.69</v>
      </c>
    </row>
    <row r="522" spans="1:20" ht="23.4" x14ac:dyDescent="0.25">
      <c r="A522" s="46">
        <v>521</v>
      </c>
      <c r="B522" s="47">
        <v>244007</v>
      </c>
      <c r="C522" s="46" t="s">
        <v>114</v>
      </c>
      <c r="D522" s="46" t="s">
        <v>115</v>
      </c>
      <c r="E522" s="46" t="s">
        <v>116</v>
      </c>
      <c r="F522" s="46" t="s">
        <v>119</v>
      </c>
      <c r="G522" s="46">
        <v>2</v>
      </c>
      <c r="H522" s="46" t="s">
        <v>117</v>
      </c>
      <c r="I522" s="46" t="s">
        <v>3138</v>
      </c>
      <c r="J522" s="46" t="s">
        <v>1838</v>
      </c>
      <c r="K522" s="46" t="s">
        <v>1839</v>
      </c>
      <c r="L522" s="49" t="s">
        <v>1840</v>
      </c>
      <c r="N522" s="46">
        <v>0.74</v>
      </c>
      <c r="O522" s="46">
        <v>230</v>
      </c>
      <c r="P522" s="46">
        <v>3.45</v>
      </c>
      <c r="Q522" s="46">
        <v>0.24149999999999999</v>
      </c>
      <c r="R522" s="46">
        <v>0</v>
      </c>
      <c r="S522" s="46">
        <v>17</v>
      </c>
      <c r="T522" s="48">
        <v>20.69</v>
      </c>
    </row>
    <row r="523" spans="1:20" ht="23.4" x14ac:dyDescent="0.25">
      <c r="A523" s="46">
        <v>522</v>
      </c>
      <c r="B523" s="47">
        <v>244007</v>
      </c>
      <c r="C523" s="46" t="s">
        <v>114</v>
      </c>
      <c r="D523" s="46" t="s">
        <v>115</v>
      </c>
      <c r="E523" s="46" t="s">
        <v>116</v>
      </c>
      <c r="F523" s="46" t="s">
        <v>119</v>
      </c>
      <c r="G523" s="46">
        <v>2</v>
      </c>
      <c r="H523" s="46" t="s">
        <v>117</v>
      </c>
      <c r="I523" s="46" t="s">
        <v>3139</v>
      </c>
      <c r="J523" s="46" t="s">
        <v>3140</v>
      </c>
      <c r="K523" s="46" t="s">
        <v>3141</v>
      </c>
      <c r="L523" s="49" t="s">
        <v>3142</v>
      </c>
      <c r="N523" s="46">
        <v>5.14</v>
      </c>
      <c r="O523" s="46">
        <v>625</v>
      </c>
      <c r="P523" s="46">
        <v>9.375</v>
      </c>
      <c r="Q523" s="46">
        <v>0.65629999999999999</v>
      </c>
      <c r="R523" s="46">
        <v>0</v>
      </c>
      <c r="S523" s="46">
        <v>70</v>
      </c>
      <c r="T523" s="48">
        <v>80.03</v>
      </c>
    </row>
    <row r="524" spans="1:20" ht="23.4" x14ac:dyDescent="0.25">
      <c r="A524" s="46">
        <v>523</v>
      </c>
      <c r="B524" s="47">
        <v>244007</v>
      </c>
      <c r="C524" s="46" t="s">
        <v>114</v>
      </c>
      <c r="D524" s="46" t="s">
        <v>115</v>
      </c>
      <c r="E524" s="46" t="s">
        <v>116</v>
      </c>
      <c r="F524" s="46" t="s">
        <v>119</v>
      </c>
      <c r="G524" s="46">
        <v>2</v>
      </c>
      <c r="H524" s="46" t="s">
        <v>117</v>
      </c>
      <c r="I524" s="46" t="s">
        <v>3143</v>
      </c>
      <c r="J524" s="46" t="s">
        <v>3144</v>
      </c>
      <c r="K524" s="46" t="s">
        <v>3145</v>
      </c>
      <c r="L524" s="49" t="s">
        <v>3146</v>
      </c>
      <c r="N524" s="46">
        <v>0.73799999999999999</v>
      </c>
      <c r="O524" s="46">
        <v>0</v>
      </c>
      <c r="P524" s="46">
        <v>0</v>
      </c>
      <c r="Q524" s="46">
        <v>0</v>
      </c>
      <c r="R524" s="46">
        <v>0</v>
      </c>
      <c r="S524" s="46">
        <v>17</v>
      </c>
      <c r="T524" s="48">
        <v>17</v>
      </c>
    </row>
    <row r="525" spans="1:20" ht="23.4" x14ac:dyDescent="0.25">
      <c r="A525" s="46">
        <v>524</v>
      </c>
      <c r="B525" s="47">
        <v>244007</v>
      </c>
      <c r="C525" s="46" t="s">
        <v>114</v>
      </c>
      <c r="D525" s="46" t="s">
        <v>115</v>
      </c>
      <c r="E525" s="46" t="s">
        <v>116</v>
      </c>
      <c r="F525" s="46" t="s">
        <v>119</v>
      </c>
      <c r="G525" s="46">
        <v>2</v>
      </c>
      <c r="H525" s="46" t="s">
        <v>117</v>
      </c>
      <c r="I525" s="46" t="s">
        <v>3147</v>
      </c>
      <c r="J525" s="46" t="s">
        <v>3148</v>
      </c>
      <c r="K525" s="46" t="s">
        <v>3149</v>
      </c>
      <c r="L525" s="49" t="s">
        <v>3150</v>
      </c>
      <c r="N525" s="46">
        <v>7.13</v>
      </c>
      <c r="O525" s="46">
        <v>673</v>
      </c>
      <c r="P525" s="46">
        <v>10.095000000000001</v>
      </c>
      <c r="Q525" s="46">
        <v>0.70669999999999999</v>
      </c>
      <c r="R525" s="46">
        <v>0</v>
      </c>
      <c r="S525" s="46">
        <v>90</v>
      </c>
      <c r="T525" s="48">
        <v>100.8</v>
      </c>
    </row>
    <row r="526" spans="1:20" ht="23.4" x14ac:dyDescent="0.25">
      <c r="A526" s="46">
        <v>525</v>
      </c>
      <c r="B526" s="47">
        <v>244007</v>
      </c>
      <c r="C526" s="46" t="s">
        <v>114</v>
      </c>
      <c r="D526" s="46" t="s">
        <v>115</v>
      </c>
      <c r="E526" s="46" t="s">
        <v>116</v>
      </c>
      <c r="F526" s="46" t="s">
        <v>119</v>
      </c>
      <c r="G526" s="46">
        <v>2</v>
      </c>
      <c r="H526" s="46" t="s">
        <v>117</v>
      </c>
      <c r="I526" s="46" t="s">
        <v>3151</v>
      </c>
      <c r="J526" s="46" t="s">
        <v>3152</v>
      </c>
      <c r="K526" s="46" t="s">
        <v>3153</v>
      </c>
      <c r="L526" s="49" t="s">
        <v>3154</v>
      </c>
      <c r="N526" s="46">
        <v>0.74199999999999999</v>
      </c>
      <c r="O526" s="46">
        <v>0</v>
      </c>
      <c r="P526" s="46">
        <v>0</v>
      </c>
      <c r="Q526" s="46">
        <v>0</v>
      </c>
      <c r="R526" s="46">
        <v>0</v>
      </c>
      <c r="S526" s="46">
        <v>17</v>
      </c>
      <c r="T526" s="48">
        <v>17</v>
      </c>
    </row>
    <row r="527" spans="1:20" ht="23.4" x14ac:dyDescent="0.25">
      <c r="A527" s="46">
        <v>526</v>
      </c>
      <c r="B527" s="47">
        <v>244007</v>
      </c>
      <c r="C527" s="46" t="s">
        <v>114</v>
      </c>
      <c r="D527" s="46" t="s">
        <v>115</v>
      </c>
      <c r="E527" s="46" t="s">
        <v>116</v>
      </c>
      <c r="F527" s="46" t="s">
        <v>119</v>
      </c>
      <c r="G527" s="46">
        <v>2</v>
      </c>
      <c r="H527" s="46" t="s">
        <v>117</v>
      </c>
      <c r="I527" s="46" t="s">
        <v>3155</v>
      </c>
      <c r="J527" s="46" t="s">
        <v>3156</v>
      </c>
      <c r="K527" s="46" t="s">
        <v>3157</v>
      </c>
      <c r="L527" s="49" t="s">
        <v>3158</v>
      </c>
      <c r="N527" s="46">
        <v>0.75</v>
      </c>
      <c r="O527" s="46">
        <v>230</v>
      </c>
      <c r="P527" s="46">
        <v>3.45</v>
      </c>
      <c r="Q527" s="46">
        <v>0.24149999999999999</v>
      </c>
      <c r="R527" s="46">
        <v>0</v>
      </c>
      <c r="S527" s="46">
        <v>17</v>
      </c>
      <c r="T527" s="48">
        <v>20.69</v>
      </c>
    </row>
    <row r="528" spans="1:20" ht="23.4" x14ac:dyDescent="0.25">
      <c r="A528" s="46">
        <v>527</v>
      </c>
      <c r="B528" s="47">
        <v>244007</v>
      </c>
      <c r="C528" s="46" t="s">
        <v>114</v>
      </c>
      <c r="D528" s="46" t="s">
        <v>115</v>
      </c>
      <c r="E528" s="46" t="s">
        <v>116</v>
      </c>
      <c r="F528" s="46" t="s">
        <v>119</v>
      </c>
      <c r="G528" s="46">
        <v>2</v>
      </c>
      <c r="H528" s="46" t="s">
        <v>117</v>
      </c>
      <c r="I528" s="46" t="s">
        <v>3159</v>
      </c>
      <c r="J528" s="46" t="s">
        <v>3160</v>
      </c>
      <c r="K528" s="46" t="s">
        <v>3161</v>
      </c>
      <c r="L528" s="49" t="s">
        <v>3162</v>
      </c>
      <c r="N528" s="46">
        <v>1.236</v>
      </c>
      <c r="O528" s="46">
        <v>280</v>
      </c>
      <c r="P528" s="46">
        <v>4.2</v>
      </c>
      <c r="Q528" s="46">
        <v>0.29399999999999998</v>
      </c>
      <c r="R528" s="46">
        <v>0</v>
      </c>
      <c r="S528" s="46">
        <v>22</v>
      </c>
      <c r="T528" s="48">
        <v>26.49</v>
      </c>
    </row>
    <row r="529" spans="1:20" ht="23.4" x14ac:dyDescent="0.25">
      <c r="A529" s="46">
        <v>528</v>
      </c>
      <c r="B529" s="47">
        <v>244007</v>
      </c>
      <c r="C529" s="46" t="s">
        <v>114</v>
      </c>
      <c r="D529" s="46" t="s">
        <v>115</v>
      </c>
      <c r="E529" s="46" t="s">
        <v>116</v>
      </c>
      <c r="F529" s="46" t="s">
        <v>119</v>
      </c>
      <c r="G529" s="46">
        <v>2</v>
      </c>
      <c r="H529" s="46" t="s">
        <v>117</v>
      </c>
      <c r="I529" s="46" t="s">
        <v>3163</v>
      </c>
      <c r="J529" s="46" t="s">
        <v>3164</v>
      </c>
      <c r="K529" s="46" t="s">
        <v>3165</v>
      </c>
      <c r="L529" s="49" t="s">
        <v>3166</v>
      </c>
      <c r="N529" s="46">
        <v>1.8660000000000001</v>
      </c>
      <c r="O529" s="46">
        <v>0</v>
      </c>
      <c r="P529" s="46">
        <v>0</v>
      </c>
      <c r="Q529" s="46">
        <v>0</v>
      </c>
      <c r="R529" s="46">
        <v>0</v>
      </c>
      <c r="S529" s="46">
        <v>22</v>
      </c>
      <c r="T529" s="48">
        <v>22</v>
      </c>
    </row>
    <row r="530" spans="1:20" ht="23.4" x14ac:dyDescent="0.25">
      <c r="A530" s="46">
        <v>529</v>
      </c>
      <c r="B530" s="47">
        <v>244007</v>
      </c>
      <c r="C530" s="46" t="s">
        <v>114</v>
      </c>
      <c r="D530" s="46" t="s">
        <v>115</v>
      </c>
      <c r="E530" s="46" t="s">
        <v>116</v>
      </c>
      <c r="F530" s="46" t="s">
        <v>119</v>
      </c>
      <c r="G530" s="46">
        <v>2</v>
      </c>
      <c r="H530" s="46" t="s">
        <v>117</v>
      </c>
      <c r="I530" s="46" t="s">
        <v>3167</v>
      </c>
      <c r="J530" s="46" t="s">
        <v>3168</v>
      </c>
      <c r="K530" s="46" t="s">
        <v>3169</v>
      </c>
      <c r="L530" s="49" t="s">
        <v>3170</v>
      </c>
      <c r="N530" s="46">
        <v>1.8540000000000001</v>
      </c>
      <c r="O530" s="46">
        <v>0</v>
      </c>
      <c r="P530" s="46">
        <v>0</v>
      </c>
      <c r="Q530" s="46">
        <v>0</v>
      </c>
      <c r="R530" s="46">
        <v>0</v>
      </c>
      <c r="S530" s="46">
        <v>22</v>
      </c>
      <c r="T530" s="48">
        <v>22</v>
      </c>
    </row>
    <row r="531" spans="1:20" ht="23.4" x14ac:dyDescent="0.25">
      <c r="A531" s="46">
        <v>530</v>
      </c>
      <c r="B531" s="47">
        <v>244007</v>
      </c>
      <c r="C531" s="46" t="s">
        <v>114</v>
      </c>
      <c r="D531" s="46" t="s">
        <v>115</v>
      </c>
      <c r="E531" s="46" t="s">
        <v>116</v>
      </c>
      <c r="F531" s="46" t="s">
        <v>119</v>
      </c>
      <c r="G531" s="46">
        <v>2</v>
      </c>
      <c r="H531" s="46" t="s">
        <v>117</v>
      </c>
      <c r="I531" s="46" t="s">
        <v>3171</v>
      </c>
      <c r="J531" s="46" t="s">
        <v>3172</v>
      </c>
      <c r="K531" s="46" t="s">
        <v>3173</v>
      </c>
      <c r="L531" s="49" t="s">
        <v>3174</v>
      </c>
      <c r="N531" s="46">
        <v>1.8540000000000001</v>
      </c>
      <c r="O531" s="46">
        <v>0</v>
      </c>
      <c r="P531" s="46">
        <v>0</v>
      </c>
      <c r="Q531" s="46">
        <v>0</v>
      </c>
      <c r="R531" s="46">
        <v>0</v>
      </c>
      <c r="S531" s="46">
        <v>22</v>
      </c>
      <c r="T531" s="48">
        <v>22</v>
      </c>
    </row>
    <row r="532" spans="1:20" ht="23.4" x14ac:dyDescent="0.25">
      <c r="A532" s="46">
        <v>531</v>
      </c>
      <c r="B532" s="47">
        <v>244007</v>
      </c>
      <c r="C532" s="46" t="s">
        <v>114</v>
      </c>
      <c r="D532" s="46" t="s">
        <v>115</v>
      </c>
      <c r="E532" s="46" t="s">
        <v>116</v>
      </c>
      <c r="F532" s="46" t="s">
        <v>119</v>
      </c>
      <c r="G532" s="46">
        <v>2</v>
      </c>
      <c r="H532" s="46" t="s">
        <v>117</v>
      </c>
      <c r="I532" s="46" t="s">
        <v>3175</v>
      </c>
      <c r="J532" s="46" t="s">
        <v>3176</v>
      </c>
      <c r="K532" s="46" t="s">
        <v>3177</v>
      </c>
      <c r="L532" s="49" t="s">
        <v>3178</v>
      </c>
      <c r="N532" s="46">
        <v>1.798</v>
      </c>
      <c r="O532" s="46">
        <v>430</v>
      </c>
      <c r="P532" s="46">
        <v>6.45</v>
      </c>
      <c r="Q532" s="46">
        <v>0.45150000000000001</v>
      </c>
      <c r="R532" s="46">
        <v>0</v>
      </c>
      <c r="S532" s="46">
        <v>22</v>
      </c>
      <c r="T532" s="48">
        <v>28.9</v>
      </c>
    </row>
    <row r="533" spans="1:20" ht="23.4" x14ac:dyDescent="0.25">
      <c r="A533" s="46">
        <v>532</v>
      </c>
      <c r="B533" s="47">
        <v>244007</v>
      </c>
      <c r="C533" s="46" t="s">
        <v>114</v>
      </c>
      <c r="D533" s="46" t="s">
        <v>115</v>
      </c>
      <c r="E533" s="46" t="s">
        <v>116</v>
      </c>
      <c r="F533" s="46" t="s">
        <v>119</v>
      </c>
      <c r="G533" s="46">
        <v>2</v>
      </c>
      <c r="H533" s="46" t="s">
        <v>117</v>
      </c>
      <c r="I533" s="46" t="s">
        <v>3179</v>
      </c>
      <c r="J533" s="46" t="s">
        <v>3180</v>
      </c>
      <c r="K533" s="46" t="s">
        <v>3181</v>
      </c>
      <c r="L533" s="49" t="s">
        <v>3182</v>
      </c>
      <c r="N533" s="46">
        <v>0.746</v>
      </c>
      <c r="O533" s="46">
        <v>230</v>
      </c>
      <c r="P533" s="46">
        <v>3.45</v>
      </c>
      <c r="Q533" s="46">
        <v>0.24149999999999999</v>
      </c>
      <c r="R533" s="46">
        <v>0</v>
      </c>
      <c r="S533" s="46">
        <v>17</v>
      </c>
      <c r="T533" s="48">
        <v>20.69</v>
      </c>
    </row>
    <row r="534" spans="1:20" ht="23.4" x14ac:dyDescent="0.25">
      <c r="A534" s="46">
        <v>533</v>
      </c>
      <c r="B534" s="47">
        <v>244007</v>
      </c>
      <c r="C534" s="46" t="s">
        <v>114</v>
      </c>
      <c r="D534" s="46" t="s">
        <v>115</v>
      </c>
      <c r="E534" s="46" t="s">
        <v>116</v>
      </c>
      <c r="F534" s="46" t="s">
        <v>119</v>
      </c>
      <c r="G534" s="46">
        <v>2</v>
      </c>
      <c r="H534" s="46" t="s">
        <v>117</v>
      </c>
      <c r="I534" s="46" t="s">
        <v>3183</v>
      </c>
      <c r="J534" s="46" t="s">
        <v>3184</v>
      </c>
      <c r="K534" s="46" t="s">
        <v>3185</v>
      </c>
      <c r="L534" s="49" t="s">
        <v>3186</v>
      </c>
      <c r="N534" s="46">
        <v>0.73599999999999999</v>
      </c>
      <c r="O534" s="46">
        <v>230</v>
      </c>
      <c r="P534" s="46">
        <v>3.45</v>
      </c>
      <c r="Q534" s="46">
        <v>0.24149999999999999</v>
      </c>
      <c r="R534" s="46">
        <v>0</v>
      </c>
      <c r="S534" s="46">
        <v>17</v>
      </c>
      <c r="T534" s="48">
        <v>20.69</v>
      </c>
    </row>
    <row r="535" spans="1:20" ht="23.4" x14ac:dyDescent="0.25">
      <c r="A535" s="46">
        <v>534</v>
      </c>
      <c r="B535" s="47">
        <v>244007</v>
      </c>
      <c r="C535" s="46" t="s">
        <v>114</v>
      </c>
      <c r="D535" s="46" t="s">
        <v>115</v>
      </c>
      <c r="E535" s="46" t="s">
        <v>116</v>
      </c>
      <c r="F535" s="46" t="s">
        <v>119</v>
      </c>
      <c r="G535" s="46">
        <v>2</v>
      </c>
      <c r="H535" s="46" t="s">
        <v>117</v>
      </c>
      <c r="I535" s="46" t="s">
        <v>3187</v>
      </c>
      <c r="J535" s="46" t="s">
        <v>3188</v>
      </c>
      <c r="K535" s="46" t="s">
        <v>3189</v>
      </c>
      <c r="L535" s="49" t="s">
        <v>3190</v>
      </c>
      <c r="N535" s="46">
        <v>1.216</v>
      </c>
      <c r="O535" s="46">
        <v>0</v>
      </c>
      <c r="P535" s="46">
        <v>0</v>
      </c>
      <c r="Q535" s="46">
        <v>0</v>
      </c>
      <c r="R535" s="46">
        <v>0</v>
      </c>
      <c r="S535" s="46">
        <v>22</v>
      </c>
      <c r="T535" s="48">
        <v>22</v>
      </c>
    </row>
    <row r="536" spans="1:20" ht="23.4" x14ac:dyDescent="0.25">
      <c r="A536" s="46">
        <v>535</v>
      </c>
      <c r="B536" s="47">
        <v>244007</v>
      </c>
      <c r="C536" s="46" t="s">
        <v>114</v>
      </c>
      <c r="D536" s="46" t="s">
        <v>115</v>
      </c>
      <c r="E536" s="46" t="s">
        <v>116</v>
      </c>
      <c r="F536" s="46" t="s">
        <v>119</v>
      </c>
      <c r="G536" s="46">
        <v>2</v>
      </c>
      <c r="H536" s="46" t="s">
        <v>117</v>
      </c>
      <c r="I536" s="46" t="s">
        <v>3191</v>
      </c>
      <c r="J536" s="46" t="s">
        <v>3192</v>
      </c>
      <c r="K536" s="46" t="s">
        <v>3193</v>
      </c>
      <c r="L536" s="49" t="s">
        <v>3194</v>
      </c>
      <c r="N536" s="46">
        <v>2.19</v>
      </c>
      <c r="O536" s="46">
        <v>580</v>
      </c>
      <c r="P536" s="46">
        <v>8.6999999999999993</v>
      </c>
      <c r="Q536" s="46">
        <v>0.60899999999999999</v>
      </c>
      <c r="R536" s="46">
        <v>0</v>
      </c>
      <c r="S536" s="46">
        <v>33</v>
      </c>
      <c r="T536" s="48">
        <v>42.31</v>
      </c>
    </row>
    <row r="537" spans="1:20" ht="23.4" x14ac:dyDescent="0.25">
      <c r="A537" s="46">
        <v>536</v>
      </c>
      <c r="B537" s="47">
        <v>244008</v>
      </c>
      <c r="C537" s="46" t="s">
        <v>114</v>
      </c>
      <c r="D537" s="46" t="s">
        <v>115</v>
      </c>
      <c r="E537" s="46" t="s">
        <v>116</v>
      </c>
      <c r="F537" s="46" t="s">
        <v>119</v>
      </c>
      <c r="G537" s="46">
        <v>2</v>
      </c>
      <c r="H537" s="46" t="s">
        <v>117</v>
      </c>
      <c r="I537" s="46" t="s">
        <v>3195</v>
      </c>
      <c r="J537" s="46" t="s">
        <v>3196</v>
      </c>
      <c r="K537" s="46" t="s">
        <v>3197</v>
      </c>
      <c r="L537" s="49" t="s">
        <v>3198</v>
      </c>
      <c r="N537" s="46">
        <v>0.24399999999999999</v>
      </c>
      <c r="O537" s="46">
        <v>95</v>
      </c>
      <c r="P537" s="46">
        <v>1.425</v>
      </c>
      <c r="Q537" s="46">
        <v>9.9699999999999997E-2</v>
      </c>
      <c r="R537" s="46">
        <v>0</v>
      </c>
      <c r="S537" s="46">
        <v>17</v>
      </c>
      <c r="T537" s="48">
        <v>18.52</v>
      </c>
    </row>
    <row r="538" spans="1:20" ht="23.4" x14ac:dyDescent="0.25">
      <c r="A538" s="46">
        <v>537</v>
      </c>
      <c r="B538" s="47">
        <v>244008</v>
      </c>
      <c r="C538" s="46" t="s">
        <v>114</v>
      </c>
      <c r="D538" s="46" t="s">
        <v>115</v>
      </c>
      <c r="E538" s="46" t="s">
        <v>116</v>
      </c>
      <c r="F538" s="46" t="s">
        <v>119</v>
      </c>
      <c r="G538" s="46">
        <v>2</v>
      </c>
      <c r="H538" s="46" t="s">
        <v>117</v>
      </c>
      <c r="I538" s="46" t="s">
        <v>3199</v>
      </c>
      <c r="J538" s="46" t="s">
        <v>3200</v>
      </c>
      <c r="K538" s="46" t="s">
        <v>3201</v>
      </c>
      <c r="L538" s="49" t="s">
        <v>3202</v>
      </c>
      <c r="N538" s="46">
        <v>0.72799999999999998</v>
      </c>
      <c r="O538" s="46">
        <v>0</v>
      </c>
      <c r="P538" s="46">
        <v>0</v>
      </c>
      <c r="Q538" s="46">
        <v>0</v>
      </c>
      <c r="R538" s="46">
        <v>0</v>
      </c>
      <c r="S538" s="46">
        <v>17</v>
      </c>
      <c r="T538" s="48">
        <v>17</v>
      </c>
    </row>
    <row r="539" spans="1:20" ht="23.4" x14ac:dyDescent="0.25">
      <c r="A539" s="46">
        <v>538</v>
      </c>
      <c r="B539" s="47">
        <v>244008</v>
      </c>
      <c r="C539" s="46" t="s">
        <v>114</v>
      </c>
      <c r="D539" s="46" t="s">
        <v>115</v>
      </c>
      <c r="E539" s="46" t="s">
        <v>116</v>
      </c>
      <c r="F539" s="46" t="s">
        <v>119</v>
      </c>
      <c r="G539" s="46">
        <v>2</v>
      </c>
      <c r="H539" s="46" t="s">
        <v>117</v>
      </c>
      <c r="I539" s="46" t="s">
        <v>3203</v>
      </c>
      <c r="J539" s="46" t="s">
        <v>3204</v>
      </c>
      <c r="K539" s="46" t="s">
        <v>3205</v>
      </c>
      <c r="L539" s="49" t="s">
        <v>3206</v>
      </c>
      <c r="N539" s="46">
        <v>3.6619999999999999</v>
      </c>
      <c r="O539" s="46">
        <v>627</v>
      </c>
      <c r="P539" s="46">
        <v>9.4049999999999994</v>
      </c>
      <c r="Q539" s="46">
        <v>0.65839999999999999</v>
      </c>
      <c r="R539" s="46">
        <v>0</v>
      </c>
      <c r="S539" s="46">
        <v>43</v>
      </c>
      <c r="T539" s="48">
        <v>53.06</v>
      </c>
    </row>
    <row r="540" spans="1:20" ht="23.4" x14ac:dyDescent="0.25">
      <c r="A540" s="46">
        <v>539</v>
      </c>
      <c r="B540" s="47">
        <v>244008</v>
      </c>
      <c r="C540" s="46" t="s">
        <v>114</v>
      </c>
      <c r="D540" s="46" t="s">
        <v>115</v>
      </c>
      <c r="E540" s="46" t="s">
        <v>116</v>
      </c>
      <c r="F540" s="46" t="s">
        <v>119</v>
      </c>
      <c r="G540" s="46">
        <v>2</v>
      </c>
      <c r="H540" s="46" t="s">
        <v>117</v>
      </c>
      <c r="I540" s="46" t="s">
        <v>3207</v>
      </c>
      <c r="J540" s="46" t="s">
        <v>3208</v>
      </c>
      <c r="K540" s="46" t="s">
        <v>3209</v>
      </c>
      <c r="L540" s="49" t="s">
        <v>3210</v>
      </c>
      <c r="N540" s="46">
        <v>0.71799999999999997</v>
      </c>
      <c r="O540" s="46">
        <v>230</v>
      </c>
      <c r="P540" s="46">
        <v>3.45</v>
      </c>
      <c r="Q540" s="46">
        <v>0.24149999999999999</v>
      </c>
      <c r="R540" s="46">
        <v>0</v>
      </c>
      <c r="S540" s="46">
        <v>17</v>
      </c>
      <c r="T540" s="48">
        <v>20.69</v>
      </c>
    </row>
    <row r="541" spans="1:20" ht="23.4" x14ac:dyDescent="0.25">
      <c r="A541" s="46">
        <v>540</v>
      </c>
      <c r="B541" s="47">
        <v>244008</v>
      </c>
      <c r="C541" s="46" t="s">
        <v>114</v>
      </c>
      <c r="D541" s="46" t="s">
        <v>115</v>
      </c>
      <c r="E541" s="46" t="s">
        <v>116</v>
      </c>
      <c r="F541" s="46" t="s">
        <v>119</v>
      </c>
      <c r="G541" s="46">
        <v>2</v>
      </c>
      <c r="H541" s="46" t="s">
        <v>117</v>
      </c>
      <c r="I541" s="46" t="s">
        <v>3211</v>
      </c>
      <c r="J541" s="46" t="s">
        <v>3212</v>
      </c>
      <c r="K541" s="46" t="s">
        <v>3213</v>
      </c>
      <c r="L541" s="49" t="s">
        <v>3214</v>
      </c>
      <c r="N541" s="46">
        <v>1.802</v>
      </c>
      <c r="O541" s="46">
        <v>0</v>
      </c>
      <c r="P541" s="46">
        <v>0</v>
      </c>
      <c r="Q541" s="46">
        <v>0</v>
      </c>
      <c r="R541" s="46">
        <v>15</v>
      </c>
      <c r="S541" s="46">
        <v>37</v>
      </c>
      <c r="T541" s="48">
        <v>37</v>
      </c>
    </row>
    <row r="542" spans="1:20" ht="23.4" x14ac:dyDescent="0.25">
      <c r="A542" s="46">
        <v>541</v>
      </c>
      <c r="B542" s="47">
        <v>244008</v>
      </c>
      <c r="C542" s="46" t="s">
        <v>114</v>
      </c>
      <c r="D542" s="46" t="s">
        <v>115</v>
      </c>
      <c r="E542" s="46" t="s">
        <v>116</v>
      </c>
      <c r="F542" s="46" t="s">
        <v>119</v>
      </c>
      <c r="G542" s="46">
        <v>2</v>
      </c>
      <c r="H542" s="46" t="s">
        <v>117</v>
      </c>
      <c r="I542" s="46" t="s">
        <v>3215</v>
      </c>
      <c r="J542" s="46" t="s">
        <v>3216</v>
      </c>
      <c r="K542" s="46" t="s">
        <v>3217</v>
      </c>
      <c r="L542" s="49" t="s">
        <v>3218</v>
      </c>
      <c r="N542" s="46">
        <v>16.995000000000001</v>
      </c>
      <c r="O542" s="46">
        <v>0</v>
      </c>
      <c r="P542" s="46">
        <v>0</v>
      </c>
      <c r="Q542" s="46">
        <v>0</v>
      </c>
      <c r="R542" s="46">
        <v>0</v>
      </c>
      <c r="S542" s="46">
        <v>180</v>
      </c>
      <c r="T542" s="48">
        <v>180</v>
      </c>
    </row>
    <row r="543" spans="1:20" ht="23.4" x14ac:dyDescent="0.25">
      <c r="A543" s="46">
        <v>542</v>
      </c>
      <c r="B543" s="47">
        <v>244008</v>
      </c>
      <c r="C543" s="46" t="s">
        <v>114</v>
      </c>
      <c r="D543" s="46" t="s">
        <v>115</v>
      </c>
      <c r="E543" s="46" t="s">
        <v>116</v>
      </c>
      <c r="F543" s="46" t="s">
        <v>119</v>
      </c>
      <c r="G543" s="46">
        <v>2</v>
      </c>
      <c r="H543" s="46" t="s">
        <v>117</v>
      </c>
      <c r="I543" s="46" t="s">
        <v>3219</v>
      </c>
      <c r="J543" s="46" t="s">
        <v>3220</v>
      </c>
      <c r="K543" s="46" t="s">
        <v>3221</v>
      </c>
      <c r="L543" s="49" t="s">
        <v>3222</v>
      </c>
      <c r="N543" s="46">
        <v>0.73</v>
      </c>
      <c r="O543" s="46">
        <v>230</v>
      </c>
      <c r="P543" s="46">
        <v>3.45</v>
      </c>
      <c r="Q543" s="46">
        <v>0.24149999999999999</v>
      </c>
      <c r="R543" s="46">
        <v>0</v>
      </c>
      <c r="S543" s="46">
        <v>17</v>
      </c>
      <c r="T543" s="48">
        <v>20.69</v>
      </c>
    </row>
    <row r="544" spans="1:20" ht="23.4" x14ac:dyDescent="0.25">
      <c r="A544" s="46">
        <v>543</v>
      </c>
      <c r="B544" s="47">
        <v>244008</v>
      </c>
      <c r="C544" s="46" t="s">
        <v>114</v>
      </c>
      <c r="D544" s="46" t="s">
        <v>115</v>
      </c>
      <c r="E544" s="46" t="s">
        <v>116</v>
      </c>
      <c r="F544" s="46" t="s">
        <v>119</v>
      </c>
      <c r="G544" s="46">
        <v>2</v>
      </c>
      <c r="H544" s="46" t="s">
        <v>117</v>
      </c>
      <c r="I544" s="46" t="s">
        <v>3223</v>
      </c>
      <c r="J544" s="46" t="s">
        <v>3224</v>
      </c>
      <c r="K544" s="46" t="s">
        <v>3225</v>
      </c>
      <c r="L544" s="49" t="s">
        <v>3226</v>
      </c>
      <c r="N544" s="46">
        <v>1.42</v>
      </c>
      <c r="O544" s="46">
        <v>0</v>
      </c>
      <c r="P544" s="46">
        <v>0</v>
      </c>
      <c r="Q544" s="46">
        <v>0</v>
      </c>
      <c r="R544" s="46">
        <v>0</v>
      </c>
      <c r="S544" s="46">
        <v>22</v>
      </c>
      <c r="T544" s="48">
        <v>22</v>
      </c>
    </row>
    <row r="545" spans="1:20" ht="23.4" x14ac:dyDescent="0.25">
      <c r="A545" s="46">
        <v>544</v>
      </c>
      <c r="B545" s="47">
        <v>244008</v>
      </c>
      <c r="C545" s="46" t="s">
        <v>114</v>
      </c>
      <c r="D545" s="46" t="s">
        <v>115</v>
      </c>
      <c r="E545" s="46" t="s">
        <v>116</v>
      </c>
      <c r="F545" s="46" t="s">
        <v>119</v>
      </c>
      <c r="G545" s="46">
        <v>2</v>
      </c>
      <c r="H545" s="46" t="s">
        <v>117</v>
      </c>
      <c r="I545" s="46" t="s">
        <v>3227</v>
      </c>
      <c r="J545" s="46" t="s">
        <v>3228</v>
      </c>
      <c r="K545" s="46" t="s">
        <v>3229</v>
      </c>
      <c r="L545" s="49" t="s">
        <v>3230</v>
      </c>
      <c r="N545" s="46">
        <v>0.68400000000000005</v>
      </c>
      <c r="O545" s="46">
        <v>150</v>
      </c>
      <c r="P545" s="46">
        <v>2.25</v>
      </c>
      <c r="Q545" s="46">
        <v>0.1575</v>
      </c>
      <c r="R545" s="46">
        <v>0</v>
      </c>
      <c r="S545" s="46">
        <v>17</v>
      </c>
      <c r="T545" s="48">
        <v>19.41</v>
      </c>
    </row>
    <row r="546" spans="1:20" ht="23.4" x14ac:dyDescent="0.25">
      <c r="A546" s="46">
        <v>545</v>
      </c>
      <c r="B546" s="47">
        <v>244008</v>
      </c>
      <c r="C546" s="46" t="s">
        <v>114</v>
      </c>
      <c r="D546" s="46" t="s">
        <v>115</v>
      </c>
      <c r="E546" s="46" t="s">
        <v>116</v>
      </c>
      <c r="F546" s="46" t="s">
        <v>119</v>
      </c>
      <c r="G546" s="46">
        <v>2</v>
      </c>
      <c r="H546" s="46" t="s">
        <v>117</v>
      </c>
      <c r="I546" s="46" t="s">
        <v>3231</v>
      </c>
      <c r="J546" s="46" t="s">
        <v>3232</v>
      </c>
      <c r="K546" s="46" t="s">
        <v>3233</v>
      </c>
      <c r="L546" s="49" t="s">
        <v>3234</v>
      </c>
      <c r="N546" s="46">
        <v>1.27</v>
      </c>
      <c r="O546" s="46">
        <v>0</v>
      </c>
      <c r="P546" s="46">
        <v>0</v>
      </c>
      <c r="Q546" s="46">
        <v>0</v>
      </c>
      <c r="R546" s="46">
        <v>0</v>
      </c>
      <c r="S546" s="46">
        <v>22</v>
      </c>
      <c r="T546" s="48">
        <v>22</v>
      </c>
    </row>
    <row r="547" spans="1:20" ht="23.4" x14ac:dyDescent="0.25">
      <c r="A547" s="46">
        <v>546</v>
      </c>
      <c r="B547" s="47">
        <v>244008</v>
      </c>
      <c r="C547" s="46" t="s">
        <v>114</v>
      </c>
      <c r="D547" s="46" t="s">
        <v>115</v>
      </c>
      <c r="E547" s="46" t="s">
        <v>116</v>
      </c>
      <c r="F547" s="46" t="s">
        <v>119</v>
      </c>
      <c r="G547" s="46">
        <v>2</v>
      </c>
      <c r="H547" s="46" t="s">
        <v>117</v>
      </c>
      <c r="I547" s="46" t="s">
        <v>3235</v>
      </c>
      <c r="J547" s="46" t="s">
        <v>3236</v>
      </c>
      <c r="K547" s="46" t="s">
        <v>3237</v>
      </c>
      <c r="L547" s="49" t="s">
        <v>3238</v>
      </c>
      <c r="N547" s="46">
        <v>1.286</v>
      </c>
      <c r="O547" s="46">
        <v>0</v>
      </c>
      <c r="P547" s="46">
        <v>0</v>
      </c>
      <c r="Q547" s="46">
        <v>0</v>
      </c>
      <c r="R547" s="46">
        <v>0</v>
      </c>
      <c r="S547" s="46">
        <v>22</v>
      </c>
      <c r="T547" s="48">
        <v>22</v>
      </c>
    </row>
    <row r="548" spans="1:20" ht="23.4" x14ac:dyDescent="0.25">
      <c r="A548" s="46">
        <v>547</v>
      </c>
      <c r="B548" s="47">
        <v>244008</v>
      </c>
      <c r="C548" s="46" t="s">
        <v>114</v>
      </c>
      <c r="D548" s="46" t="s">
        <v>115</v>
      </c>
      <c r="E548" s="46" t="s">
        <v>116</v>
      </c>
      <c r="F548" s="46" t="s">
        <v>119</v>
      </c>
      <c r="G548" s="46">
        <v>2</v>
      </c>
      <c r="H548" s="46" t="s">
        <v>117</v>
      </c>
      <c r="I548" s="46" t="s">
        <v>3239</v>
      </c>
      <c r="J548" s="46" t="s">
        <v>3240</v>
      </c>
      <c r="K548" s="46" t="s">
        <v>3241</v>
      </c>
      <c r="L548" s="49" t="s">
        <v>3242</v>
      </c>
      <c r="N548" s="46">
        <v>1.278</v>
      </c>
      <c r="O548" s="46">
        <v>229</v>
      </c>
      <c r="P548" s="46">
        <v>3.4350000000000001</v>
      </c>
      <c r="Q548" s="46">
        <v>0.24049999999999999</v>
      </c>
      <c r="R548" s="46">
        <v>0</v>
      </c>
      <c r="S548" s="46">
        <v>22</v>
      </c>
      <c r="T548" s="48">
        <v>25.68</v>
      </c>
    </row>
    <row r="549" spans="1:20" ht="23.4" x14ac:dyDescent="0.25">
      <c r="A549" s="46">
        <v>548</v>
      </c>
      <c r="B549" s="47">
        <v>244008</v>
      </c>
      <c r="C549" s="46" t="s">
        <v>114</v>
      </c>
      <c r="D549" s="46" t="s">
        <v>115</v>
      </c>
      <c r="E549" s="46" t="s">
        <v>116</v>
      </c>
      <c r="F549" s="46" t="s">
        <v>119</v>
      </c>
      <c r="G549" s="46">
        <v>2</v>
      </c>
      <c r="H549" s="46" t="s">
        <v>117</v>
      </c>
      <c r="I549" s="46" t="s">
        <v>3243</v>
      </c>
      <c r="J549" s="46" t="s">
        <v>3244</v>
      </c>
      <c r="K549" s="46" t="s">
        <v>3245</v>
      </c>
      <c r="L549" s="49" t="s">
        <v>3246</v>
      </c>
      <c r="N549" s="46">
        <v>1.208</v>
      </c>
      <c r="O549" s="46">
        <v>280</v>
      </c>
      <c r="P549" s="46">
        <v>4.2</v>
      </c>
      <c r="Q549" s="46">
        <v>0.29399999999999998</v>
      </c>
      <c r="R549" s="46">
        <v>0</v>
      </c>
      <c r="S549" s="46">
        <v>22</v>
      </c>
      <c r="T549" s="48">
        <v>26.49</v>
      </c>
    </row>
    <row r="550" spans="1:20" ht="23.4" x14ac:dyDescent="0.25">
      <c r="A550" s="46">
        <v>549</v>
      </c>
      <c r="B550" s="47">
        <v>244008</v>
      </c>
      <c r="C550" s="46" t="s">
        <v>114</v>
      </c>
      <c r="D550" s="46" t="s">
        <v>115</v>
      </c>
      <c r="E550" s="46" t="s">
        <v>116</v>
      </c>
      <c r="F550" s="46" t="s">
        <v>119</v>
      </c>
      <c r="G550" s="46">
        <v>2</v>
      </c>
      <c r="H550" s="46" t="s">
        <v>117</v>
      </c>
      <c r="I550" s="46" t="s">
        <v>3247</v>
      </c>
      <c r="J550" s="46" t="s">
        <v>3248</v>
      </c>
      <c r="K550" s="46" t="s">
        <v>3249</v>
      </c>
      <c r="L550" s="49" t="s">
        <v>3250</v>
      </c>
      <c r="N550" s="46">
        <v>0.72399999999999998</v>
      </c>
      <c r="O550" s="46">
        <v>230</v>
      </c>
      <c r="P550" s="46">
        <v>3.45</v>
      </c>
      <c r="Q550" s="46">
        <v>0.24149999999999999</v>
      </c>
      <c r="R550" s="46">
        <v>0</v>
      </c>
      <c r="S550" s="46">
        <v>17</v>
      </c>
      <c r="T550" s="48">
        <v>20.69</v>
      </c>
    </row>
    <row r="551" spans="1:20" ht="23.4" x14ac:dyDescent="0.25">
      <c r="A551" s="46">
        <v>550</v>
      </c>
      <c r="B551" s="47">
        <v>244008</v>
      </c>
      <c r="C551" s="46" t="s">
        <v>114</v>
      </c>
      <c r="D551" s="46" t="s">
        <v>115</v>
      </c>
      <c r="E551" s="46" t="s">
        <v>116</v>
      </c>
      <c r="F551" s="46" t="s">
        <v>119</v>
      </c>
      <c r="G551" s="46">
        <v>2</v>
      </c>
      <c r="H551" s="46" t="s">
        <v>117</v>
      </c>
      <c r="I551" s="46" t="s">
        <v>3251</v>
      </c>
      <c r="J551" s="46" t="s">
        <v>3252</v>
      </c>
      <c r="K551" s="46" t="s">
        <v>3253</v>
      </c>
      <c r="L551" s="49" t="s">
        <v>3254</v>
      </c>
      <c r="N551" s="46">
        <v>1.28</v>
      </c>
      <c r="O551" s="46">
        <v>0</v>
      </c>
      <c r="P551" s="46">
        <v>0</v>
      </c>
      <c r="Q551" s="46">
        <v>0</v>
      </c>
      <c r="R551" s="46">
        <v>0</v>
      </c>
      <c r="S551" s="46">
        <v>22</v>
      </c>
      <c r="T551" s="48">
        <v>22</v>
      </c>
    </row>
    <row r="552" spans="1:20" ht="23.4" x14ac:dyDescent="0.25">
      <c r="A552" s="46">
        <v>551</v>
      </c>
      <c r="B552" s="47">
        <v>244008</v>
      </c>
      <c r="C552" s="46" t="s">
        <v>114</v>
      </c>
      <c r="D552" s="46" t="s">
        <v>115</v>
      </c>
      <c r="E552" s="46" t="s">
        <v>116</v>
      </c>
      <c r="F552" s="46" t="s">
        <v>119</v>
      </c>
      <c r="G552" s="46">
        <v>2</v>
      </c>
      <c r="H552" s="46" t="s">
        <v>117</v>
      </c>
      <c r="I552" s="46" t="s">
        <v>3255</v>
      </c>
      <c r="J552" s="46" t="s">
        <v>3256</v>
      </c>
      <c r="K552" s="46" t="s">
        <v>3257</v>
      </c>
      <c r="L552" s="49" t="s">
        <v>3258</v>
      </c>
      <c r="N552" s="46">
        <v>1.26</v>
      </c>
      <c r="O552" s="46">
        <v>229</v>
      </c>
      <c r="P552" s="46">
        <v>3.4350000000000001</v>
      </c>
      <c r="Q552" s="46">
        <v>0.24049999999999999</v>
      </c>
      <c r="R552" s="46">
        <v>0</v>
      </c>
      <c r="S552" s="46">
        <v>22</v>
      </c>
      <c r="T552" s="48">
        <v>25.68</v>
      </c>
    </row>
    <row r="553" spans="1:20" ht="23.4" x14ac:dyDescent="0.25">
      <c r="A553" s="46">
        <v>552</v>
      </c>
      <c r="B553" s="47">
        <v>244008</v>
      </c>
      <c r="C553" s="46" t="s">
        <v>114</v>
      </c>
      <c r="D553" s="46" t="s">
        <v>115</v>
      </c>
      <c r="E553" s="46" t="s">
        <v>116</v>
      </c>
      <c r="F553" s="46" t="s">
        <v>119</v>
      </c>
      <c r="G553" s="46">
        <v>2</v>
      </c>
      <c r="H553" s="46" t="s">
        <v>117</v>
      </c>
      <c r="I553" s="46" t="s">
        <v>3259</v>
      </c>
      <c r="J553" s="46" t="s">
        <v>3260</v>
      </c>
      <c r="K553" s="46" t="s">
        <v>3261</v>
      </c>
      <c r="L553" s="49" t="s">
        <v>3262</v>
      </c>
      <c r="N553" s="46">
        <v>4.96</v>
      </c>
      <c r="O553" s="46">
        <v>0</v>
      </c>
      <c r="P553" s="46">
        <v>0</v>
      </c>
      <c r="Q553" s="46">
        <v>0</v>
      </c>
      <c r="R553" s="46">
        <v>0</v>
      </c>
      <c r="S553" s="46">
        <v>53</v>
      </c>
      <c r="T553" s="48">
        <v>53</v>
      </c>
    </row>
    <row r="554" spans="1:20" ht="23.4" x14ac:dyDescent="0.25">
      <c r="A554" s="46">
        <v>553</v>
      </c>
      <c r="B554" s="47">
        <v>244008</v>
      </c>
      <c r="C554" s="46" t="s">
        <v>114</v>
      </c>
      <c r="D554" s="46" t="s">
        <v>115</v>
      </c>
      <c r="E554" s="46" t="s">
        <v>116</v>
      </c>
      <c r="F554" s="46" t="s">
        <v>119</v>
      </c>
      <c r="G554" s="46">
        <v>2</v>
      </c>
      <c r="H554" s="46" t="s">
        <v>117</v>
      </c>
      <c r="I554" s="46" t="s">
        <v>3263</v>
      </c>
      <c r="J554" s="46" t="s">
        <v>3264</v>
      </c>
      <c r="K554" s="46" t="s">
        <v>3265</v>
      </c>
      <c r="L554" s="49" t="s">
        <v>3266</v>
      </c>
      <c r="N554" s="46">
        <v>0.73199999999999998</v>
      </c>
      <c r="O554" s="46">
        <v>230</v>
      </c>
      <c r="P554" s="46">
        <v>3.45</v>
      </c>
      <c r="Q554" s="46">
        <v>0.24149999999999999</v>
      </c>
      <c r="R554" s="46">
        <v>0</v>
      </c>
      <c r="S554" s="46">
        <v>17</v>
      </c>
      <c r="T554" s="48">
        <v>20.69</v>
      </c>
    </row>
    <row r="555" spans="1:20" ht="23.4" x14ac:dyDescent="0.25">
      <c r="A555" s="46">
        <v>554</v>
      </c>
      <c r="B555" s="47">
        <v>244008</v>
      </c>
      <c r="C555" s="46" t="s">
        <v>114</v>
      </c>
      <c r="D555" s="46" t="s">
        <v>115</v>
      </c>
      <c r="E555" s="46" t="s">
        <v>116</v>
      </c>
      <c r="F555" s="46" t="s">
        <v>119</v>
      </c>
      <c r="G555" s="46">
        <v>2</v>
      </c>
      <c r="H555" s="46" t="s">
        <v>117</v>
      </c>
      <c r="I555" s="46" t="s">
        <v>3267</v>
      </c>
      <c r="J555" s="46" t="s">
        <v>3268</v>
      </c>
      <c r="K555" s="46" t="s">
        <v>3269</v>
      </c>
      <c r="L555" s="49" t="s">
        <v>3270</v>
      </c>
      <c r="N555" s="46">
        <v>0.73799999999999999</v>
      </c>
      <c r="O555" s="46">
        <v>230</v>
      </c>
      <c r="P555" s="46">
        <v>3.45</v>
      </c>
      <c r="Q555" s="46">
        <v>0.24149999999999999</v>
      </c>
      <c r="R555" s="46">
        <v>0</v>
      </c>
      <c r="S555" s="46">
        <v>17</v>
      </c>
      <c r="T555" s="48">
        <v>20.69</v>
      </c>
    </row>
    <row r="556" spans="1:20" ht="23.4" x14ac:dyDescent="0.25">
      <c r="A556" s="46">
        <v>555</v>
      </c>
      <c r="B556" s="47">
        <v>244008</v>
      </c>
      <c r="C556" s="46" t="s">
        <v>114</v>
      </c>
      <c r="D556" s="46" t="s">
        <v>115</v>
      </c>
      <c r="E556" s="46" t="s">
        <v>116</v>
      </c>
      <c r="F556" s="46" t="s">
        <v>119</v>
      </c>
      <c r="G556" s="46">
        <v>2</v>
      </c>
      <c r="H556" s="46" t="s">
        <v>117</v>
      </c>
      <c r="I556" s="46" t="s">
        <v>3271</v>
      </c>
      <c r="J556" s="46" t="s">
        <v>3272</v>
      </c>
      <c r="K556" s="46" t="s">
        <v>2476</v>
      </c>
      <c r="L556" s="49" t="s">
        <v>2477</v>
      </c>
      <c r="N556" s="46">
        <v>4.976</v>
      </c>
      <c r="O556" s="46">
        <v>0</v>
      </c>
      <c r="P556" s="46">
        <v>0</v>
      </c>
      <c r="Q556" s="46">
        <v>0</v>
      </c>
      <c r="R556" s="46">
        <v>0</v>
      </c>
      <c r="S556" s="46">
        <v>53</v>
      </c>
      <c r="T556" s="48">
        <v>53</v>
      </c>
    </row>
    <row r="557" spans="1:20" ht="23.4" x14ac:dyDescent="0.25">
      <c r="A557" s="46">
        <v>556</v>
      </c>
      <c r="B557" s="47">
        <v>244008</v>
      </c>
      <c r="C557" s="46" t="s">
        <v>114</v>
      </c>
      <c r="D557" s="46" t="s">
        <v>115</v>
      </c>
      <c r="E557" s="46" t="s">
        <v>116</v>
      </c>
      <c r="F557" s="46" t="s">
        <v>119</v>
      </c>
      <c r="G557" s="46">
        <v>2</v>
      </c>
      <c r="H557" s="46" t="s">
        <v>117</v>
      </c>
      <c r="I557" s="46" t="s">
        <v>3273</v>
      </c>
      <c r="J557" s="46" t="s">
        <v>3274</v>
      </c>
      <c r="K557" s="46" t="s">
        <v>3275</v>
      </c>
      <c r="L557" s="49" t="s">
        <v>3276</v>
      </c>
      <c r="N557" s="46">
        <v>1.2</v>
      </c>
      <c r="O557" s="46">
        <v>0</v>
      </c>
      <c r="P557" s="46">
        <v>0</v>
      </c>
      <c r="Q557" s="46">
        <v>0</v>
      </c>
      <c r="R557" s="46">
        <v>0</v>
      </c>
      <c r="S557" s="46">
        <v>22</v>
      </c>
      <c r="T557" s="48">
        <v>22</v>
      </c>
    </row>
    <row r="558" spans="1:20" ht="23.4" x14ac:dyDescent="0.25">
      <c r="A558" s="46">
        <v>557</v>
      </c>
      <c r="B558" s="47">
        <v>244008</v>
      </c>
      <c r="C558" s="46" t="s">
        <v>114</v>
      </c>
      <c r="D558" s="46" t="s">
        <v>115</v>
      </c>
      <c r="E558" s="46" t="s">
        <v>116</v>
      </c>
      <c r="F558" s="46" t="s">
        <v>119</v>
      </c>
      <c r="G558" s="46">
        <v>2</v>
      </c>
      <c r="H558" s="46" t="s">
        <v>117</v>
      </c>
      <c r="I558" s="46" t="s">
        <v>3277</v>
      </c>
      <c r="J558" s="46" t="s">
        <v>3278</v>
      </c>
      <c r="K558" s="46" t="s">
        <v>3279</v>
      </c>
      <c r="L558" s="49" t="s">
        <v>3280</v>
      </c>
      <c r="N558" s="46">
        <v>0.75600000000000001</v>
      </c>
      <c r="O558" s="46">
        <v>230</v>
      </c>
      <c r="P558" s="46">
        <v>3.45</v>
      </c>
      <c r="Q558" s="46">
        <v>0.24149999999999999</v>
      </c>
      <c r="R558" s="46">
        <v>0</v>
      </c>
      <c r="S558" s="46">
        <v>17</v>
      </c>
      <c r="T558" s="48">
        <v>20.69</v>
      </c>
    </row>
    <row r="559" spans="1:20" ht="23.4" x14ac:dyDescent="0.25">
      <c r="A559" s="46">
        <v>558</v>
      </c>
      <c r="B559" s="47">
        <v>244008</v>
      </c>
      <c r="C559" s="46" t="s">
        <v>114</v>
      </c>
      <c r="D559" s="46" t="s">
        <v>115</v>
      </c>
      <c r="E559" s="46" t="s">
        <v>116</v>
      </c>
      <c r="F559" s="46" t="s">
        <v>119</v>
      </c>
      <c r="G559" s="46">
        <v>2</v>
      </c>
      <c r="H559" s="46" t="s">
        <v>117</v>
      </c>
      <c r="I559" s="46" t="s">
        <v>3281</v>
      </c>
      <c r="J559" s="46" t="s">
        <v>3282</v>
      </c>
      <c r="K559" s="46" t="s">
        <v>3283</v>
      </c>
      <c r="L559" s="49" t="s">
        <v>3284</v>
      </c>
      <c r="N559" s="46">
        <v>0.73199999999999998</v>
      </c>
      <c r="O559" s="46">
        <v>230</v>
      </c>
      <c r="P559" s="46">
        <v>3.45</v>
      </c>
      <c r="Q559" s="46">
        <v>0.24149999999999999</v>
      </c>
      <c r="R559" s="46">
        <v>0</v>
      </c>
      <c r="S559" s="46">
        <v>17</v>
      </c>
      <c r="T559" s="48">
        <v>20.69</v>
      </c>
    </row>
    <row r="560" spans="1:20" ht="23.4" x14ac:dyDescent="0.25">
      <c r="A560" s="46">
        <v>559</v>
      </c>
      <c r="B560" s="47">
        <v>244008</v>
      </c>
      <c r="C560" s="46" t="s">
        <v>114</v>
      </c>
      <c r="D560" s="46" t="s">
        <v>115</v>
      </c>
      <c r="E560" s="46" t="s">
        <v>116</v>
      </c>
      <c r="F560" s="46" t="s">
        <v>119</v>
      </c>
      <c r="G560" s="46">
        <v>2</v>
      </c>
      <c r="H560" s="46" t="s">
        <v>117</v>
      </c>
      <c r="I560" s="46" t="s">
        <v>3285</v>
      </c>
      <c r="J560" s="46" t="s">
        <v>3286</v>
      </c>
      <c r="K560" s="46" t="s">
        <v>3287</v>
      </c>
      <c r="L560" s="49" t="s">
        <v>3288</v>
      </c>
      <c r="N560" s="46">
        <v>16.995000000000001</v>
      </c>
      <c r="O560" s="46">
        <v>920</v>
      </c>
      <c r="P560" s="46">
        <v>13.8</v>
      </c>
      <c r="Q560" s="46">
        <v>0.96599999999999997</v>
      </c>
      <c r="R560" s="46">
        <v>0</v>
      </c>
      <c r="S560" s="46">
        <v>180</v>
      </c>
      <c r="T560" s="48">
        <v>194.77</v>
      </c>
    </row>
    <row r="561" spans="1:20" ht="23.4" x14ac:dyDescent="0.25">
      <c r="A561" s="46">
        <v>560</v>
      </c>
      <c r="B561" s="47">
        <v>244008</v>
      </c>
      <c r="C561" s="46" t="s">
        <v>114</v>
      </c>
      <c r="D561" s="46" t="s">
        <v>115</v>
      </c>
      <c r="E561" s="46" t="s">
        <v>116</v>
      </c>
      <c r="F561" s="46" t="s">
        <v>119</v>
      </c>
      <c r="G561" s="46">
        <v>2</v>
      </c>
      <c r="H561" s="46" t="s">
        <v>117</v>
      </c>
      <c r="I561" s="46" t="s">
        <v>3289</v>
      </c>
      <c r="J561" s="46" t="s">
        <v>3290</v>
      </c>
      <c r="K561" s="46" t="s">
        <v>3291</v>
      </c>
      <c r="L561" s="49" t="s">
        <v>3292</v>
      </c>
      <c r="N561" s="46">
        <v>1.278</v>
      </c>
      <c r="O561" s="46">
        <v>0</v>
      </c>
      <c r="P561" s="46">
        <v>0</v>
      </c>
      <c r="Q561" s="46">
        <v>0</v>
      </c>
      <c r="R561" s="46">
        <v>0</v>
      </c>
      <c r="S561" s="46">
        <v>22</v>
      </c>
      <c r="T561" s="48">
        <v>22</v>
      </c>
    </row>
    <row r="562" spans="1:20" ht="23.4" x14ac:dyDescent="0.25">
      <c r="A562" s="46">
        <v>561</v>
      </c>
      <c r="B562" s="47">
        <v>244008</v>
      </c>
      <c r="C562" s="46" t="s">
        <v>114</v>
      </c>
      <c r="D562" s="46" t="s">
        <v>115</v>
      </c>
      <c r="E562" s="46" t="s">
        <v>116</v>
      </c>
      <c r="F562" s="46" t="s">
        <v>119</v>
      </c>
      <c r="G562" s="46">
        <v>2</v>
      </c>
      <c r="H562" s="46" t="s">
        <v>117</v>
      </c>
      <c r="I562" s="46" t="s">
        <v>3293</v>
      </c>
      <c r="J562" s="46" t="s">
        <v>3294</v>
      </c>
      <c r="K562" s="46" t="s">
        <v>3295</v>
      </c>
      <c r="L562" s="49" t="s">
        <v>3296</v>
      </c>
      <c r="N562" s="46">
        <v>0.72399999999999998</v>
      </c>
      <c r="O562" s="46">
        <v>230</v>
      </c>
      <c r="P562" s="46">
        <v>3.45</v>
      </c>
      <c r="Q562" s="46">
        <v>0.24149999999999999</v>
      </c>
      <c r="R562" s="46">
        <v>0</v>
      </c>
      <c r="S562" s="46">
        <v>17</v>
      </c>
      <c r="T562" s="48">
        <v>20.69</v>
      </c>
    </row>
    <row r="563" spans="1:20" ht="23.4" x14ac:dyDescent="0.25">
      <c r="A563" s="46">
        <v>562</v>
      </c>
      <c r="B563" s="47">
        <v>244008</v>
      </c>
      <c r="C563" s="46" t="s">
        <v>114</v>
      </c>
      <c r="D563" s="46" t="s">
        <v>115</v>
      </c>
      <c r="E563" s="46" t="s">
        <v>116</v>
      </c>
      <c r="F563" s="46" t="s">
        <v>119</v>
      </c>
      <c r="G563" s="46">
        <v>2</v>
      </c>
      <c r="H563" s="46" t="s">
        <v>117</v>
      </c>
      <c r="I563" s="46" t="s">
        <v>3297</v>
      </c>
      <c r="J563" s="46" t="s">
        <v>1403</v>
      </c>
      <c r="K563" s="46" t="s">
        <v>1404</v>
      </c>
      <c r="L563" s="49" t="s">
        <v>3298</v>
      </c>
      <c r="N563" s="46">
        <v>2.4</v>
      </c>
      <c r="O563" s="46">
        <v>0</v>
      </c>
      <c r="P563" s="46">
        <v>0</v>
      </c>
      <c r="Q563" s="46">
        <v>0</v>
      </c>
      <c r="R563" s="46">
        <v>0</v>
      </c>
      <c r="S563" s="46">
        <v>33</v>
      </c>
      <c r="T563" s="48">
        <v>33</v>
      </c>
    </row>
    <row r="564" spans="1:20" ht="23.4" x14ac:dyDescent="0.25">
      <c r="A564" s="46">
        <v>563</v>
      </c>
      <c r="B564" s="47">
        <v>244008</v>
      </c>
      <c r="C564" s="46" t="s">
        <v>114</v>
      </c>
      <c r="D564" s="46" t="s">
        <v>115</v>
      </c>
      <c r="E564" s="46" t="s">
        <v>116</v>
      </c>
      <c r="F564" s="46" t="s">
        <v>119</v>
      </c>
      <c r="G564" s="46">
        <v>2</v>
      </c>
      <c r="H564" s="46" t="s">
        <v>117</v>
      </c>
      <c r="I564" s="46" t="s">
        <v>3299</v>
      </c>
      <c r="J564" s="46" t="s">
        <v>3300</v>
      </c>
      <c r="K564" s="46" t="s">
        <v>3301</v>
      </c>
      <c r="L564" s="49" t="s">
        <v>3302</v>
      </c>
      <c r="N564" s="46">
        <v>0.73399999999999999</v>
      </c>
      <c r="O564" s="46">
        <v>230</v>
      </c>
      <c r="P564" s="46">
        <v>3.45</v>
      </c>
      <c r="Q564" s="46">
        <v>0.24149999999999999</v>
      </c>
      <c r="R564" s="46">
        <v>0</v>
      </c>
      <c r="S564" s="46">
        <v>17</v>
      </c>
      <c r="T564" s="48">
        <v>20.69</v>
      </c>
    </row>
    <row r="565" spans="1:20" ht="23.4" x14ac:dyDescent="0.25">
      <c r="A565" s="46">
        <v>564</v>
      </c>
      <c r="B565" s="47">
        <v>244008</v>
      </c>
      <c r="C565" s="46" t="s">
        <v>114</v>
      </c>
      <c r="D565" s="46" t="s">
        <v>115</v>
      </c>
      <c r="E565" s="46" t="s">
        <v>116</v>
      </c>
      <c r="F565" s="46" t="s">
        <v>119</v>
      </c>
      <c r="G565" s="46">
        <v>2</v>
      </c>
      <c r="H565" s="46" t="s">
        <v>117</v>
      </c>
      <c r="I565" s="46" t="s">
        <v>3303</v>
      </c>
      <c r="J565" s="46" t="s">
        <v>3304</v>
      </c>
      <c r="K565" s="46" t="s">
        <v>3305</v>
      </c>
      <c r="L565" s="49" t="s">
        <v>3306</v>
      </c>
      <c r="N565" s="46">
        <v>1.274</v>
      </c>
      <c r="O565" s="46">
        <v>229</v>
      </c>
      <c r="P565" s="46">
        <v>3.4350000000000001</v>
      </c>
      <c r="Q565" s="46">
        <v>0.24049999999999999</v>
      </c>
      <c r="R565" s="46">
        <v>0</v>
      </c>
      <c r="S565" s="46">
        <v>22</v>
      </c>
      <c r="T565" s="48">
        <v>25.68</v>
      </c>
    </row>
    <row r="566" spans="1:20" ht="23.4" x14ac:dyDescent="0.25">
      <c r="A566" s="46">
        <v>565</v>
      </c>
      <c r="B566" s="47">
        <v>244009</v>
      </c>
      <c r="C566" s="46" t="s">
        <v>114</v>
      </c>
      <c r="D566" s="46" t="s">
        <v>115</v>
      </c>
      <c r="E566" s="46" t="s">
        <v>116</v>
      </c>
      <c r="F566" s="46" t="s">
        <v>149</v>
      </c>
      <c r="G566" s="46">
        <v>2</v>
      </c>
      <c r="H566" s="46" t="s">
        <v>117</v>
      </c>
      <c r="I566" s="46" t="s">
        <v>1162</v>
      </c>
      <c r="J566" s="46" t="s">
        <v>1159</v>
      </c>
      <c r="K566" s="46" t="s">
        <v>3307</v>
      </c>
      <c r="L566" s="49" t="s">
        <v>3308</v>
      </c>
      <c r="M566" s="46" t="s">
        <v>118</v>
      </c>
      <c r="N566" s="46">
        <v>7.11</v>
      </c>
      <c r="O566" s="46" t="s">
        <v>1473</v>
      </c>
      <c r="P566" s="46">
        <v>0</v>
      </c>
      <c r="Q566" s="46">
        <v>0</v>
      </c>
      <c r="R566" s="46">
        <v>0</v>
      </c>
      <c r="S566" s="46">
        <v>134</v>
      </c>
      <c r="T566" s="48">
        <v>134</v>
      </c>
    </row>
    <row r="567" spans="1:20" ht="23.4" x14ac:dyDescent="0.25">
      <c r="A567" s="46">
        <v>566</v>
      </c>
      <c r="B567" s="47">
        <v>244009</v>
      </c>
      <c r="C567" s="46" t="s">
        <v>114</v>
      </c>
      <c r="D567" s="46" t="s">
        <v>115</v>
      </c>
      <c r="E567" s="46" t="s">
        <v>116</v>
      </c>
      <c r="F567" s="46" t="s">
        <v>119</v>
      </c>
      <c r="G567" s="46">
        <v>2</v>
      </c>
      <c r="H567" s="46" t="s">
        <v>117</v>
      </c>
      <c r="I567" s="46" t="s">
        <v>1153</v>
      </c>
      <c r="J567" s="46" t="s">
        <v>3309</v>
      </c>
      <c r="K567" s="46" t="s">
        <v>3310</v>
      </c>
      <c r="L567" s="49" t="s">
        <v>3311</v>
      </c>
      <c r="N567" s="46">
        <v>0.24399999999999999</v>
      </c>
      <c r="O567" s="46">
        <v>0</v>
      </c>
      <c r="P567" s="46">
        <v>0</v>
      </c>
      <c r="Q567" s="46">
        <v>0</v>
      </c>
      <c r="R567" s="46">
        <v>0</v>
      </c>
      <c r="S567" s="46">
        <v>17</v>
      </c>
      <c r="T567" s="48">
        <v>17</v>
      </c>
    </row>
    <row r="568" spans="1:20" ht="23.4" x14ac:dyDescent="0.25">
      <c r="A568" s="46">
        <v>567</v>
      </c>
      <c r="B568" s="47">
        <v>244009</v>
      </c>
      <c r="C568" s="46" t="s">
        <v>114</v>
      </c>
      <c r="D568" s="46" t="s">
        <v>115</v>
      </c>
      <c r="E568" s="46" t="s">
        <v>116</v>
      </c>
      <c r="F568" s="46" t="s">
        <v>119</v>
      </c>
      <c r="G568" s="46">
        <v>2</v>
      </c>
      <c r="H568" s="46" t="s">
        <v>117</v>
      </c>
      <c r="I568" s="46" t="s">
        <v>3312</v>
      </c>
      <c r="J568" s="46" t="s">
        <v>3313</v>
      </c>
      <c r="K568" s="46" t="s">
        <v>3314</v>
      </c>
      <c r="L568" s="49" t="s">
        <v>3315</v>
      </c>
      <c r="N568" s="46">
        <v>0.69399999999999995</v>
      </c>
      <c r="O568" s="46">
        <v>0</v>
      </c>
      <c r="P568" s="46">
        <v>0</v>
      </c>
      <c r="Q568" s="46">
        <v>0</v>
      </c>
      <c r="R568" s="46">
        <v>0</v>
      </c>
      <c r="S568" s="46">
        <v>17</v>
      </c>
      <c r="T568" s="48">
        <v>17</v>
      </c>
    </row>
    <row r="569" spans="1:20" ht="23.4" x14ac:dyDescent="0.25">
      <c r="A569" s="46">
        <v>568</v>
      </c>
      <c r="B569" s="47">
        <v>244009</v>
      </c>
      <c r="C569" s="46" t="s">
        <v>114</v>
      </c>
      <c r="D569" s="46" t="s">
        <v>115</v>
      </c>
      <c r="E569" s="46" t="s">
        <v>116</v>
      </c>
      <c r="F569" s="46" t="s">
        <v>119</v>
      </c>
      <c r="G569" s="46">
        <v>2</v>
      </c>
      <c r="H569" s="46" t="s">
        <v>117</v>
      </c>
      <c r="I569" s="46" t="s">
        <v>3316</v>
      </c>
      <c r="J569" s="46" t="s">
        <v>3317</v>
      </c>
      <c r="K569" s="46" t="s">
        <v>3318</v>
      </c>
      <c r="L569" s="49" t="s">
        <v>3319</v>
      </c>
      <c r="N569" s="46">
        <v>1.232</v>
      </c>
      <c r="O569" s="46">
        <v>0</v>
      </c>
      <c r="P569" s="46">
        <v>0</v>
      </c>
      <c r="Q569" s="46">
        <v>0</v>
      </c>
      <c r="R569" s="46">
        <v>0</v>
      </c>
      <c r="S569" s="46">
        <v>22</v>
      </c>
      <c r="T569" s="48">
        <v>22</v>
      </c>
    </row>
    <row r="570" spans="1:20" ht="23.4" x14ac:dyDescent="0.25">
      <c r="A570" s="46">
        <v>569</v>
      </c>
      <c r="B570" s="47">
        <v>244009</v>
      </c>
      <c r="C570" s="46" t="s">
        <v>114</v>
      </c>
      <c r="D570" s="46" t="s">
        <v>115</v>
      </c>
      <c r="E570" s="46" t="s">
        <v>116</v>
      </c>
      <c r="F570" s="46" t="s">
        <v>119</v>
      </c>
      <c r="G570" s="46">
        <v>2</v>
      </c>
      <c r="H570" s="46" t="s">
        <v>117</v>
      </c>
      <c r="I570" s="46" t="s">
        <v>3320</v>
      </c>
      <c r="J570" s="46" t="s">
        <v>3321</v>
      </c>
      <c r="K570" s="46" t="s">
        <v>3322</v>
      </c>
      <c r="L570" s="49" t="s">
        <v>3323</v>
      </c>
      <c r="N570" s="46">
        <v>0.7</v>
      </c>
      <c r="O570" s="46">
        <v>0</v>
      </c>
      <c r="P570" s="46">
        <v>0</v>
      </c>
      <c r="Q570" s="46">
        <v>0</v>
      </c>
      <c r="R570" s="46">
        <v>0</v>
      </c>
      <c r="S570" s="46">
        <v>17</v>
      </c>
      <c r="T570" s="48">
        <v>17</v>
      </c>
    </row>
    <row r="571" spans="1:20" ht="23.4" x14ac:dyDescent="0.25">
      <c r="A571" s="46">
        <v>570</v>
      </c>
      <c r="B571" s="47">
        <v>244009</v>
      </c>
      <c r="C571" s="46" t="s">
        <v>114</v>
      </c>
      <c r="D571" s="46" t="s">
        <v>115</v>
      </c>
      <c r="E571" s="46" t="s">
        <v>116</v>
      </c>
      <c r="F571" s="46" t="s">
        <v>119</v>
      </c>
      <c r="G571" s="46">
        <v>2</v>
      </c>
      <c r="H571" s="46" t="s">
        <v>117</v>
      </c>
      <c r="I571" s="46" t="s">
        <v>3324</v>
      </c>
      <c r="J571" s="46" t="s">
        <v>3325</v>
      </c>
      <c r="K571" s="46" t="s">
        <v>3326</v>
      </c>
      <c r="L571" s="49" t="s">
        <v>3327</v>
      </c>
      <c r="N571" s="46">
        <v>1.1459999999999999</v>
      </c>
      <c r="O571" s="46">
        <v>0</v>
      </c>
      <c r="P571" s="46">
        <v>0</v>
      </c>
      <c r="Q571" s="46">
        <v>0</v>
      </c>
      <c r="R571" s="46">
        <v>0</v>
      </c>
      <c r="S571" s="46">
        <v>22</v>
      </c>
      <c r="T571" s="48">
        <v>22</v>
      </c>
    </row>
    <row r="572" spans="1:20" ht="23.4" x14ac:dyDescent="0.25">
      <c r="A572" s="46">
        <v>571</v>
      </c>
      <c r="B572" s="47">
        <v>244009</v>
      </c>
      <c r="C572" s="46" t="s">
        <v>114</v>
      </c>
      <c r="D572" s="46" t="s">
        <v>115</v>
      </c>
      <c r="E572" s="46" t="s">
        <v>116</v>
      </c>
      <c r="F572" s="46" t="s">
        <v>119</v>
      </c>
      <c r="G572" s="46">
        <v>2</v>
      </c>
      <c r="H572" s="46" t="s">
        <v>117</v>
      </c>
      <c r="I572" s="46" t="s">
        <v>3328</v>
      </c>
      <c r="J572" s="46" t="s">
        <v>3329</v>
      </c>
      <c r="K572" s="46" t="s">
        <v>3330</v>
      </c>
      <c r="L572" s="49" t="s">
        <v>3331</v>
      </c>
      <c r="N572" s="46">
        <v>1.248</v>
      </c>
      <c r="O572" s="46">
        <v>0</v>
      </c>
      <c r="P572" s="46">
        <v>0</v>
      </c>
      <c r="Q572" s="46">
        <v>0</v>
      </c>
      <c r="R572" s="46">
        <v>0</v>
      </c>
      <c r="S572" s="46">
        <v>22</v>
      </c>
      <c r="T572" s="48">
        <v>22</v>
      </c>
    </row>
    <row r="573" spans="1:20" ht="23.4" x14ac:dyDescent="0.25">
      <c r="A573" s="46">
        <v>572</v>
      </c>
      <c r="B573" s="47">
        <v>244009</v>
      </c>
      <c r="C573" s="46" t="s">
        <v>114</v>
      </c>
      <c r="D573" s="46" t="s">
        <v>115</v>
      </c>
      <c r="E573" s="46" t="s">
        <v>116</v>
      </c>
      <c r="F573" s="46" t="s">
        <v>119</v>
      </c>
      <c r="G573" s="46">
        <v>2</v>
      </c>
      <c r="H573" s="46" t="s">
        <v>117</v>
      </c>
      <c r="I573" s="46" t="s">
        <v>1149</v>
      </c>
      <c r="J573" s="46" t="s">
        <v>1147</v>
      </c>
      <c r="K573" s="46" t="s">
        <v>3332</v>
      </c>
      <c r="L573" s="49" t="s">
        <v>3333</v>
      </c>
      <c r="N573" s="46">
        <v>0.40400000000000003</v>
      </c>
      <c r="O573" s="46">
        <v>0</v>
      </c>
      <c r="P573" s="46">
        <v>0</v>
      </c>
      <c r="Q573" s="46">
        <v>0</v>
      </c>
      <c r="R573" s="46">
        <v>0</v>
      </c>
      <c r="S573" s="46">
        <v>17</v>
      </c>
      <c r="T573" s="48">
        <v>17</v>
      </c>
    </row>
    <row r="574" spans="1:20" ht="23.4" x14ac:dyDescent="0.25">
      <c r="A574" s="46">
        <v>573</v>
      </c>
      <c r="B574" s="47">
        <v>244009</v>
      </c>
      <c r="C574" s="46" t="s">
        <v>114</v>
      </c>
      <c r="D574" s="46" t="s">
        <v>115</v>
      </c>
      <c r="E574" s="46" t="s">
        <v>116</v>
      </c>
      <c r="F574" s="46" t="s">
        <v>119</v>
      </c>
      <c r="G574" s="46">
        <v>2</v>
      </c>
      <c r="H574" s="46" t="s">
        <v>117</v>
      </c>
      <c r="I574" s="46" t="s">
        <v>3334</v>
      </c>
      <c r="J574" s="46" t="s">
        <v>3335</v>
      </c>
      <c r="K574" s="46" t="s">
        <v>3099</v>
      </c>
      <c r="L574" s="49" t="s">
        <v>3100</v>
      </c>
      <c r="N574" s="46">
        <v>2.4159999999999999</v>
      </c>
      <c r="O574" s="46">
        <v>0</v>
      </c>
      <c r="P574" s="46">
        <v>0</v>
      </c>
      <c r="Q574" s="46">
        <v>0</v>
      </c>
      <c r="R574" s="46">
        <v>0</v>
      </c>
      <c r="S574" s="46">
        <v>33</v>
      </c>
      <c r="T574" s="48">
        <v>33</v>
      </c>
    </row>
    <row r="575" spans="1:20" ht="23.4" x14ac:dyDescent="0.25">
      <c r="A575" s="46">
        <v>574</v>
      </c>
      <c r="B575" s="47">
        <v>244009</v>
      </c>
      <c r="C575" s="46" t="s">
        <v>114</v>
      </c>
      <c r="D575" s="46" t="s">
        <v>115</v>
      </c>
      <c r="E575" s="46" t="s">
        <v>116</v>
      </c>
      <c r="F575" s="46" t="s">
        <v>119</v>
      </c>
      <c r="G575" s="46">
        <v>2</v>
      </c>
      <c r="H575" s="46" t="s">
        <v>117</v>
      </c>
      <c r="I575" s="46" t="s">
        <v>3336</v>
      </c>
      <c r="J575" s="46" t="s">
        <v>3337</v>
      </c>
      <c r="K575" s="46" t="s">
        <v>3338</v>
      </c>
      <c r="L575" s="49" t="s">
        <v>3339</v>
      </c>
      <c r="N575" s="46">
        <v>1.274</v>
      </c>
      <c r="O575" s="46">
        <v>0</v>
      </c>
      <c r="P575" s="46">
        <v>0</v>
      </c>
      <c r="Q575" s="46">
        <v>0</v>
      </c>
      <c r="R575" s="46">
        <v>0</v>
      </c>
      <c r="S575" s="46">
        <v>22</v>
      </c>
      <c r="T575" s="48">
        <v>22</v>
      </c>
    </row>
    <row r="576" spans="1:20" ht="23.4" x14ac:dyDescent="0.25">
      <c r="A576" s="46">
        <v>575</v>
      </c>
      <c r="B576" s="47">
        <v>244009</v>
      </c>
      <c r="C576" s="46" t="s">
        <v>114</v>
      </c>
      <c r="D576" s="46" t="s">
        <v>115</v>
      </c>
      <c r="E576" s="46" t="s">
        <v>116</v>
      </c>
      <c r="F576" s="46" t="s">
        <v>119</v>
      </c>
      <c r="G576" s="46">
        <v>2</v>
      </c>
      <c r="H576" s="46" t="s">
        <v>117</v>
      </c>
      <c r="I576" s="46" t="s">
        <v>3340</v>
      </c>
      <c r="J576" s="46" t="s">
        <v>2582</v>
      </c>
      <c r="K576" s="46" t="s">
        <v>2583</v>
      </c>
      <c r="L576" s="49" t="s">
        <v>2584</v>
      </c>
      <c r="N576" s="46">
        <v>1.82</v>
      </c>
      <c r="O576" s="46">
        <v>430</v>
      </c>
      <c r="P576" s="46">
        <v>6.45</v>
      </c>
      <c r="Q576" s="46">
        <v>0.45150000000000001</v>
      </c>
      <c r="R576" s="46">
        <v>0</v>
      </c>
      <c r="S576" s="46">
        <v>22</v>
      </c>
      <c r="T576" s="48">
        <v>28.9</v>
      </c>
    </row>
    <row r="577" spans="1:20" ht="23.4" x14ac:dyDescent="0.25">
      <c r="A577" s="46">
        <v>576</v>
      </c>
      <c r="B577" s="47">
        <v>244009</v>
      </c>
      <c r="C577" s="46" t="s">
        <v>114</v>
      </c>
      <c r="D577" s="46" t="s">
        <v>115</v>
      </c>
      <c r="E577" s="46" t="s">
        <v>116</v>
      </c>
      <c r="F577" s="46" t="s">
        <v>119</v>
      </c>
      <c r="G577" s="46">
        <v>2</v>
      </c>
      <c r="H577" s="46" t="s">
        <v>117</v>
      </c>
      <c r="I577" s="46" t="s">
        <v>1145</v>
      </c>
      <c r="J577" s="46" t="s">
        <v>1143</v>
      </c>
      <c r="K577" s="46" t="s">
        <v>3341</v>
      </c>
      <c r="L577" s="49" t="s">
        <v>3342</v>
      </c>
      <c r="N577" s="46">
        <v>0.24199999999999999</v>
      </c>
      <c r="O577" s="46">
        <v>0</v>
      </c>
      <c r="P577" s="46">
        <v>0</v>
      </c>
      <c r="Q577" s="46">
        <v>0</v>
      </c>
      <c r="R577" s="46">
        <v>0</v>
      </c>
      <c r="S577" s="46">
        <v>17</v>
      </c>
      <c r="T577" s="48">
        <v>17</v>
      </c>
    </row>
    <row r="578" spans="1:20" ht="23.4" x14ac:dyDescent="0.25">
      <c r="A578" s="46">
        <v>577</v>
      </c>
      <c r="B578" s="47">
        <v>244009</v>
      </c>
      <c r="C578" s="46" t="s">
        <v>114</v>
      </c>
      <c r="D578" s="46" t="s">
        <v>115</v>
      </c>
      <c r="E578" s="46" t="s">
        <v>116</v>
      </c>
      <c r="F578" s="46" t="s">
        <v>119</v>
      </c>
      <c r="G578" s="46">
        <v>2</v>
      </c>
      <c r="H578" s="46" t="s">
        <v>117</v>
      </c>
      <c r="I578" s="46" t="s">
        <v>3343</v>
      </c>
      <c r="J578" s="46" t="s">
        <v>3344</v>
      </c>
      <c r="K578" s="46" t="s">
        <v>3345</v>
      </c>
      <c r="L578" s="49" t="s">
        <v>3346</v>
      </c>
      <c r="N578" s="46">
        <v>4.1959999999999997</v>
      </c>
      <c r="O578" s="46">
        <v>0</v>
      </c>
      <c r="P578" s="46">
        <v>0</v>
      </c>
      <c r="Q578" s="46">
        <v>0</v>
      </c>
      <c r="R578" s="46">
        <v>0</v>
      </c>
      <c r="S578" s="46">
        <v>53</v>
      </c>
      <c r="T578" s="48">
        <v>53</v>
      </c>
    </row>
    <row r="579" spans="1:20" ht="23.4" x14ac:dyDescent="0.25">
      <c r="A579" s="46">
        <v>578</v>
      </c>
      <c r="B579" s="47">
        <v>244009</v>
      </c>
      <c r="C579" s="46" t="s">
        <v>114</v>
      </c>
      <c r="D579" s="46" t="s">
        <v>115</v>
      </c>
      <c r="E579" s="46" t="s">
        <v>116</v>
      </c>
      <c r="F579" s="46" t="s">
        <v>119</v>
      </c>
      <c r="G579" s="46">
        <v>2</v>
      </c>
      <c r="H579" s="46" t="s">
        <v>117</v>
      </c>
      <c r="I579" s="46" t="s">
        <v>3347</v>
      </c>
      <c r="J579" s="46" t="s">
        <v>3348</v>
      </c>
      <c r="K579" s="46" t="s">
        <v>3349</v>
      </c>
      <c r="L579" s="49" t="s">
        <v>3350</v>
      </c>
      <c r="N579" s="46">
        <v>3.7999999999999999E-2</v>
      </c>
      <c r="O579" s="46">
        <v>0</v>
      </c>
      <c r="P579" s="46">
        <v>0</v>
      </c>
      <c r="Q579" s="46">
        <v>0</v>
      </c>
      <c r="R579" s="46">
        <v>0</v>
      </c>
      <c r="S579" s="46">
        <v>17</v>
      </c>
      <c r="T579" s="48">
        <v>17</v>
      </c>
    </row>
    <row r="580" spans="1:20" ht="23.4" x14ac:dyDescent="0.25">
      <c r="A580" s="46">
        <v>579</v>
      </c>
      <c r="B580" s="47">
        <v>244011</v>
      </c>
      <c r="C580" s="46" t="s">
        <v>114</v>
      </c>
      <c r="D580" s="46" t="s">
        <v>115</v>
      </c>
      <c r="E580" s="46" t="s">
        <v>116</v>
      </c>
      <c r="F580" s="46" t="s">
        <v>119</v>
      </c>
      <c r="G580" s="46">
        <v>2</v>
      </c>
      <c r="H580" s="46" t="s">
        <v>117</v>
      </c>
      <c r="I580" s="46" t="s">
        <v>3351</v>
      </c>
      <c r="J580" s="46" t="s">
        <v>3352</v>
      </c>
      <c r="K580" s="46" t="s">
        <v>3353</v>
      </c>
      <c r="L580" s="49" t="s">
        <v>3354</v>
      </c>
      <c r="N580" s="46">
        <v>1.8879999999999999</v>
      </c>
      <c r="O580" s="46">
        <v>0</v>
      </c>
      <c r="P580" s="46">
        <v>0</v>
      </c>
      <c r="Q580" s="46">
        <v>0</v>
      </c>
      <c r="R580" s="46">
        <v>0</v>
      </c>
      <c r="S580" s="46">
        <v>22</v>
      </c>
      <c r="T580" s="48">
        <v>22</v>
      </c>
    </row>
    <row r="581" spans="1:20" ht="23.4" x14ac:dyDescent="0.25">
      <c r="A581" s="46">
        <v>580</v>
      </c>
      <c r="B581" s="47">
        <v>244011</v>
      </c>
      <c r="C581" s="46" t="s">
        <v>114</v>
      </c>
      <c r="D581" s="46" t="s">
        <v>115</v>
      </c>
      <c r="E581" s="46" t="s">
        <v>116</v>
      </c>
      <c r="F581" s="46" t="s">
        <v>119</v>
      </c>
      <c r="G581" s="46">
        <v>2</v>
      </c>
      <c r="H581" s="46" t="s">
        <v>117</v>
      </c>
      <c r="I581" s="46" t="s">
        <v>3355</v>
      </c>
      <c r="J581" s="46" t="s">
        <v>3356</v>
      </c>
      <c r="K581" s="46" t="s">
        <v>3357</v>
      </c>
      <c r="L581" s="49" t="s">
        <v>3358</v>
      </c>
      <c r="N581" s="46">
        <v>3.6480000000000001</v>
      </c>
      <c r="O581" s="46">
        <v>880</v>
      </c>
      <c r="P581" s="46">
        <v>13.2</v>
      </c>
      <c r="Q581" s="46">
        <v>0.92400000000000004</v>
      </c>
      <c r="R581" s="46">
        <v>0</v>
      </c>
      <c r="S581" s="46">
        <v>43</v>
      </c>
      <c r="T581" s="48">
        <v>57.12</v>
      </c>
    </row>
    <row r="582" spans="1:20" ht="23.4" x14ac:dyDescent="0.25">
      <c r="A582" s="46">
        <v>581</v>
      </c>
      <c r="B582" s="47">
        <v>244011</v>
      </c>
      <c r="C582" s="46" t="s">
        <v>114</v>
      </c>
      <c r="D582" s="46" t="s">
        <v>115</v>
      </c>
      <c r="E582" s="46" t="s">
        <v>116</v>
      </c>
      <c r="F582" s="46" t="s">
        <v>119</v>
      </c>
      <c r="G582" s="46">
        <v>2</v>
      </c>
      <c r="H582" s="46" t="s">
        <v>117</v>
      </c>
      <c r="I582" s="46" t="s">
        <v>1157</v>
      </c>
      <c r="J582" s="46" t="s">
        <v>1155</v>
      </c>
      <c r="K582" s="46" t="s">
        <v>3359</v>
      </c>
      <c r="L582" s="49" t="s">
        <v>3360</v>
      </c>
      <c r="N582" s="46">
        <v>0.48799999999999999</v>
      </c>
      <c r="O582" s="46">
        <v>0</v>
      </c>
      <c r="P582" s="46">
        <v>0</v>
      </c>
      <c r="Q582" s="46">
        <v>0</v>
      </c>
      <c r="R582" s="46">
        <v>0</v>
      </c>
      <c r="S582" s="46">
        <v>17</v>
      </c>
      <c r="T582" s="48">
        <v>17</v>
      </c>
    </row>
    <row r="583" spans="1:20" ht="23.4" x14ac:dyDescent="0.25">
      <c r="A583" s="46">
        <v>582</v>
      </c>
      <c r="B583" s="47">
        <v>244011</v>
      </c>
      <c r="C583" s="46" t="s">
        <v>114</v>
      </c>
      <c r="D583" s="46" t="s">
        <v>115</v>
      </c>
      <c r="E583" s="46" t="s">
        <v>116</v>
      </c>
      <c r="F583" s="46" t="s">
        <v>119</v>
      </c>
      <c r="G583" s="46">
        <v>2</v>
      </c>
      <c r="H583" s="46" t="s">
        <v>117</v>
      </c>
      <c r="I583" s="46" t="s">
        <v>3361</v>
      </c>
      <c r="J583" s="46" t="s">
        <v>3362</v>
      </c>
      <c r="K583" s="46" t="s">
        <v>3363</v>
      </c>
      <c r="L583" s="49" t="s">
        <v>3364</v>
      </c>
      <c r="N583" s="46">
        <v>11.56</v>
      </c>
      <c r="O583" s="46">
        <v>0</v>
      </c>
      <c r="P583" s="46">
        <v>0</v>
      </c>
      <c r="Q583" s="46">
        <v>0</v>
      </c>
      <c r="R583" s="46">
        <v>0</v>
      </c>
      <c r="S583" s="46">
        <v>130</v>
      </c>
      <c r="T583" s="48">
        <v>130</v>
      </c>
    </row>
    <row r="584" spans="1:20" ht="23.4" x14ac:dyDescent="0.25">
      <c r="A584" s="46">
        <v>583</v>
      </c>
      <c r="B584" s="47">
        <v>244011</v>
      </c>
      <c r="C584" s="46" t="s">
        <v>114</v>
      </c>
      <c r="D584" s="46" t="s">
        <v>115</v>
      </c>
      <c r="E584" s="46" t="s">
        <v>116</v>
      </c>
      <c r="F584" s="46" t="s">
        <v>119</v>
      </c>
      <c r="G584" s="46">
        <v>2</v>
      </c>
      <c r="H584" s="46" t="s">
        <v>117</v>
      </c>
      <c r="I584" s="46" t="s">
        <v>3365</v>
      </c>
      <c r="J584" s="46" t="s">
        <v>3366</v>
      </c>
      <c r="K584" s="46" t="s">
        <v>3363</v>
      </c>
      <c r="L584" s="49" t="s">
        <v>3367</v>
      </c>
      <c r="N584" s="46">
        <v>5.97</v>
      </c>
      <c r="O584" s="46">
        <v>0</v>
      </c>
      <c r="P584" s="46">
        <v>0</v>
      </c>
      <c r="Q584" s="46">
        <v>0</v>
      </c>
      <c r="R584" s="46">
        <v>0</v>
      </c>
      <c r="S584" s="46">
        <v>70</v>
      </c>
      <c r="T584" s="48">
        <v>70</v>
      </c>
    </row>
    <row r="585" spans="1:20" ht="23.4" x14ac:dyDescent="0.25">
      <c r="A585" s="46">
        <v>584</v>
      </c>
      <c r="B585" s="47">
        <v>244011</v>
      </c>
      <c r="C585" s="46" t="s">
        <v>114</v>
      </c>
      <c r="D585" s="46" t="s">
        <v>115</v>
      </c>
      <c r="E585" s="46" t="s">
        <v>116</v>
      </c>
      <c r="F585" s="46" t="s">
        <v>119</v>
      </c>
      <c r="G585" s="46">
        <v>2</v>
      </c>
      <c r="H585" s="46" t="s">
        <v>117</v>
      </c>
      <c r="I585" s="46" t="s">
        <v>3368</v>
      </c>
      <c r="J585" s="46" t="s">
        <v>3369</v>
      </c>
      <c r="K585" s="46" t="s">
        <v>3370</v>
      </c>
      <c r="L585" s="49" t="s">
        <v>3371</v>
      </c>
      <c r="N585" s="46">
        <v>1.302</v>
      </c>
      <c r="O585" s="46">
        <v>280</v>
      </c>
      <c r="P585" s="46">
        <v>4.2</v>
      </c>
      <c r="Q585" s="46">
        <v>0.29399999999999998</v>
      </c>
      <c r="R585" s="46">
        <v>0</v>
      </c>
      <c r="S585" s="46">
        <v>22</v>
      </c>
      <c r="T585" s="48">
        <v>26.49</v>
      </c>
    </row>
    <row r="586" spans="1:20" ht="23.4" x14ac:dyDescent="0.25">
      <c r="A586" s="46">
        <v>585</v>
      </c>
      <c r="B586" s="47">
        <v>244011</v>
      </c>
      <c r="C586" s="46" t="s">
        <v>114</v>
      </c>
      <c r="D586" s="46" t="s">
        <v>115</v>
      </c>
      <c r="E586" s="46" t="s">
        <v>116</v>
      </c>
      <c r="F586" s="46" t="s">
        <v>119</v>
      </c>
      <c r="G586" s="46">
        <v>2</v>
      </c>
      <c r="H586" s="46" t="s">
        <v>117</v>
      </c>
      <c r="I586" s="46" t="s">
        <v>3372</v>
      </c>
      <c r="J586" s="46" t="s">
        <v>3373</v>
      </c>
      <c r="K586" s="46" t="s">
        <v>3374</v>
      </c>
      <c r="L586" s="49" t="s">
        <v>3375</v>
      </c>
      <c r="N586" s="46">
        <v>1.0660000000000001</v>
      </c>
      <c r="O586" s="46">
        <v>0</v>
      </c>
      <c r="P586" s="46">
        <v>0</v>
      </c>
      <c r="Q586" s="46">
        <v>0</v>
      </c>
      <c r="R586" s="46">
        <v>0</v>
      </c>
      <c r="S586" s="46">
        <v>22</v>
      </c>
      <c r="T586" s="48">
        <v>22</v>
      </c>
    </row>
    <row r="587" spans="1:20" ht="23.4" x14ac:dyDescent="0.25">
      <c r="A587" s="46">
        <v>586</v>
      </c>
      <c r="B587" s="47">
        <v>244011</v>
      </c>
      <c r="C587" s="46" t="s">
        <v>114</v>
      </c>
      <c r="D587" s="46" t="s">
        <v>115</v>
      </c>
      <c r="E587" s="46" t="s">
        <v>116</v>
      </c>
      <c r="F587" s="46" t="s">
        <v>119</v>
      </c>
      <c r="G587" s="46">
        <v>2</v>
      </c>
      <c r="H587" s="46" t="s">
        <v>117</v>
      </c>
      <c r="I587" s="46" t="s">
        <v>3376</v>
      </c>
      <c r="J587" s="46" t="s">
        <v>3377</v>
      </c>
      <c r="K587" s="46" t="s">
        <v>3378</v>
      </c>
      <c r="L587" s="49" t="s">
        <v>3379</v>
      </c>
      <c r="N587" s="46">
        <v>4.5540000000000003</v>
      </c>
      <c r="O587" s="46">
        <v>1025</v>
      </c>
      <c r="P587" s="46">
        <v>15.375</v>
      </c>
      <c r="Q587" s="46">
        <v>1.0763</v>
      </c>
      <c r="R587" s="46">
        <v>0</v>
      </c>
      <c r="S587" s="46">
        <v>53</v>
      </c>
      <c r="T587" s="48">
        <v>69.45</v>
      </c>
    </row>
    <row r="588" spans="1:20" ht="23.4" x14ac:dyDescent="0.25">
      <c r="A588" s="46">
        <v>587</v>
      </c>
      <c r="B588" s="47">
        <v>244011</v>
      </c>
      <c r="C588" s="46" t="s">
        <v>114</v>
      </c>
      <c r="D588" s="46" t="s">
        <v>115</v>
      </c>
      <c r="E588" s="46" t="s">
        <v>116</v>
      </c>
      <c r="F588" s="46" t="s">
        <v>119</v>
      </c>
      <c r="G588" s="46">
        <v>2</v>
      </c>
      <c r="H588" s="46" t="s">
        <v>117</v>
      </c>
      <c r="I588" s="46" t="s">
        <v>3380</v>
      </c>
      <c r="J588" s="46" t="s">
        <v>3381</v>
      </c>
      <c r="K588" s="46" t="s">
        <v>2734</v>
      </c>
      <c r="L588" s="49" t="s">
        <v>2735</v>
      </c>
      <c r="N588" s="46">
        <v>2.0779999999999998</v>
      </c>
      <c r="O588" s="46">
        <v>0</v>
      </c>
      <c r="P588" s="46">
        <v>0</v>
      </c>
      <c r="Q588" s="46">
        <v>0</v>
      </c>
      <c r="R588" s="46">
        <v>0</v>
      </c>
      <c r="S588" s="46">
        <v>33</v>
      </c>
      <c r="T588" s="48">
        <v>33</v>
      </c>
    </row>
    <row r="589" spans="1:20" ht="23.4" x14ac:dyDescent="0.25">
      <c r="A589" s="46">
        <v>588</v>
      </c>
      <c r="B589" s="47">
        <v>244011</v>
      </c>
      <c r="C589" s="46" t="s">
        <v>114</v>
      </c>
      <c r="D589" s="46" t="s">
        <v>115</v>
      </c>
      <c r="E589" s="46" t="s">
        <v>116</v>
      </c>
      <c r="F589" s="46" t="s">
        <v>119</v>
      </c>
      <c r="G589" s="46">
        <v>2</v>
      </c>
      <c r="H589" s="46" t="s">
        <v>117</v>
      </c>
      <c r="I589" s="46" t="s">
        <v>3382</v>
      </c>
      <c r="J589" s="46" t="s">
        <v>3383</v>
      </c>
      <c r="K589" s="46" t="s">
        <v>2541</v>
      </c>
      <c r="L589" s="49" t="s">
        <v>3384</v>
      </c>
      <c r="N589" s="46">
        <v>10.64</v>
      </c>
      <c r="O589" s="46">
        <v>0</v>
      </c>
      <c r="P589" s="46">
        <v>0</v>
      </c>
      <c r="Q589" s="46">
        <v>0</v>
      </c>
      <c r="R589" s="46">
        <v>0</v>
      </c>
      <c r="S589" s="46">
        <v>120</v>
      </c>
      <c r="T589" s="48">
        <v>120</v>
      </c>
    </row>
    <row r="590" spans="1:20" ht="23.4" x14ac:dyDescent="0.25">
      <c r="A590" s="46">
        <v>589</v>
      </c>
      <c r="B590" s="47">
        <v>244012</v>
      </c>
      <c r="C590" s="46" t="s">
        <v>114</v>
      </c>
      <c r="D590" s="46" t="s">
        <v>115</v>
      </c>
      <c r="E590" s="46" t="s">
        <v>116</v>
      </c>
      <c r="F590" s="46" t="s">
        <v>119</v>
      </c>
      <c r="G590" s="46" t="s">
        <v>133</v>
      </c>
      <c r="H590" s="46" t="s">
        <v>117</v>
      </c>
      <c r="I590" s="46" t="s">
        <v>1166</v>
      </c>
      <c r="J590" s="46" t="s">
        <v>3385</v>
      </c>
      <c r="K590" s="46" t="s">
        <v>3386</v>
      </c>
      <c r="L590" s="49" t="s">
        <v>3387</v>
      </c>
      <c r="N590" s="46">
        <v>1.1200000000000001</v>
      </c>
      <c r="O590" s="46">
        <v>0</v>
      </c>
      <c r="P590" s="46">
        <v>0</v>
      </c>
      <c r="Q590" s="46">
        <v>0</v>
      </c>
      <c r="R590" s="46">
        <v>0</v>
      </c>
      <c r="S590" s="46">
        <v>22</v>
      </c>
      <c r="T590" s="48">
        <v>22</v>
      </c>
    </row>
    <row r="591" spans="1:20" ht="23.4" x14ac:dyDescent="0.25">
      <c r="A591" s="46">
        <v>590</v>
      </c>
      <c r="B591" s="47">
        <v>244012</v>
      </c>
      <c r="C591" s="46" t="s">
        <v>114</v>
      </c>
      <c r="D591" s="46" t="s">
        <v>115</v>
      </c>
      <c r="E591" s="46" t="s">
        <v>116</v>
      </c>
      <c r="F591" s="46" t="s">
        <v>119</v>
      </c>
      <c r="G591" s="46" t="s">
        <v>133</v>
      </c>
      <c r="H591" s="46" t="s">
        <v>117</v>
      </c>
      <c r="I591" s="46" t="s">
        <v>1170</v>
      </c>
      <c r="J591" s="46" t="s">
        <v>3388</v>
      </c>
      <c r="K591" s="46" t="s">
        <v>3389</v>
      </c>
      <c r="L591" s="49" t="s">
        <v>3390</v>
      </c>
      <c r="N591" s="46">
        <v>0.64400000000000002</v>
      </c>
      <c r="O591" s="46">
        <v>0</v>
      </c>
      <c r="P591" s="46">
        <v>0</v>
      </c>
      <c r="Q591" s="46">
        <v>0</v>
      </c>
      <c r="R591" s="46">
        <v>0</v>
      </c>
      <c r="S591" s="46">
        <v>17</v>
      </c>
      <c r="T591" s="48">
        <v>17</v>
      </c>
    </row>
    <row r="592" spans="1:20" ht="23.4" x14ac:dyDescent="0.25">
      <c r="A592" s="46">
        <v>591</v>
      </c>
      <c r="B592" s="47">
        <v>244012</v>
      </c>
      <c r="C592" s="46" t="s">
        <v>114</v>
      </c>
      <c r="D592" s="46" t="s">
        <v>115</v>
      </c>
      <c r="E592" s="46" t="s">
        <v>116</v>
      </c>
      <c r="F592" s="46" t="s">
        <v>119</v>
      </c>
      <c r="G592" s="46" t="s">
        <v>133</v>
      </c>
      <c r="H592" s="46" t="s">
        <v>117</v>
      </c>
      <c r="I592" s="46" t="s">
        <v>1174</v>
      </c>
      <c r="J592" s="46" t="s">
        <v>1172</v>
      </c>
      <c r="K592" s="46" t="s">
        <v>3391</v>
      </c>
      <c r="L592" s="49" t="s">
        <v>3392</v>
      </c>
      <c r="N592" s="46">
        <v>0.63600000000000001</v>
      </c>
      <c r="O592" s="46">
        <v>0</v>
      </c>
      <c r="P592" s="46">
        <v>0</v>
      </c>
      <c r="Q592" s="46">
        <v>0</v>
      </c>
      <c r="R592" s="46">
        <v>0</v>
      </c>
      <c r="S592" s="46">
        <v>17</v>
      </c>
      <c r="T592" s="48">
        <v>17</v>
      </c>
    </row>
    <row r="593" spans="1:20" ht="23.4" x14ac:dyDescent="0.25">
      <c r="A593" s="46">
        <v>592</v>
      </c>
      <c r="B593" s="47">
        <v>244012</v>
      </c>
      <c r="C593" s="46" t="s">
        <v>114</v>
      </c>
      <c r="D593" s="46" t="s">
        <v>115</v>
      </c>
      <c r="E593" s="46" t="s">
        <v>116</v>
      </c>
      <c r="F593" s="46" t="s">
        <v>119</v>
      </c>
      <c r="G593" s="46" t="s">
        <v>133</v>
      </c>
      <c r="H593" s="46" t="s">
        <v>117</v>
      </c>
      <c r="I593" s="46" t="s">
        <v>1177</v>
      </c>
      <c r="J593" s="46" t="s">
        <v>1106</v>
      </c>
      <c r="K593" s="46" t="s">
        <v>1482</v>
      </c>
      <c r="L593" s="49" t="s">
        <v>2243</v>
      </c>
      <c r="N593" s="46">
        <v>1.8640000000000001</v>
      </c>
      <c r="O593" s="46">
        <v>0</v>
      </c>
      <c r="P593" s="46">
        <v>0</v>
      </c>
      <c r="Q593" s="46">
        <v>0</v>
      </c>
      <c r="R593" s="46">
        <v>0</v>
      </c>
      <c r="S593" s="46">
        <v>22</v>
      </c>
      <c r="T593" s="48">
        <v>22</v>
      </c>
    </row>
    <row r="594" spans="1:20" ht="23.4" x14ac:dyDescent="0.25">
      <c r="A594" s="46">
        <v>593</v>
      </c>
      <c r="B594" s="47">
        <v>244012</v>
      </c>
      <c r="C594" s="46" t="s">
        <v>114</v>
      </c>
      <c r="D594" s="46" t="s">
        <v>115</v>
      </c>
      <c r="E594" s="46" t="s">
        <v>116</v>
      </c>
      <c r="F594" s="46" t="s">
        <v>119</v>
      </c>
      <c r="G594" s="46" t="s">
        <v>133</v>
      </c>
      <c r="H594" s="46" t="s">
        <v>117</v>
      </c>
      <c r="I594" s="46" t="s">
        <v>1180</v>
      </c>
      <c r="J594" s="46" t="s">
        <v>2197</v>
      </c>
      <c r="K594" s="46" t="s">
        <v>1482</v>
      </c>
      <c r="L594" s="49" t="s">
        <v>2479</v>
      </c>
      <c r="N594" s="46">
        <v>0.9</v>
      </c>
      <c r="O594" s="46">
        <v>0</v>
      </c>
      <c r="P594" s="46">
        <v>0</v>
      </c>
      <c r="Q594" s="46">
        <v>0</v>
      </c>
      <c r="R594" s="46">
        <v>0</v>
      </c>
      <c r="S594" s="46">
        <v>17</v>
      </c>
      <c r="T594" s="48">
        <v>17</v>
      </c>
    </row>
    <row r="595" spans="1:20" ht="23.4" x14ac:dyDescent="0.25">
      <c r="A595" s="46">
        <v>594</v>
      </c>
      <c r="B595" s="47">
        <v>244012</v>
      </c>
      <c r="C595" s="46" t="s">
        <v>114</v>
      </c>
      <c r="D595" s="46" t="s">
        <v>115</v>
      </c>
      <c r="E595" s="46" t="s">
        <v>116</v>
      </c>
      <c r="F595" s="46" t="s">
        <v>119</v>
      </c>
      <c r="G595" s="46" t="s">
        <v>133</v>
      </c>
      <c r="H595" s="46" t="s">
        <v>117</v>
      </c>
      <c r="I595" s="46" t="s">
        <v>1183</v>
      </c>
      <c r="J595" s="46" t="s">
        <v>1106</v>
      </c>
      <c r="K595" s="46" t="s">
        <v>1482</v>
      </c>
      <c r="L595" s="49" t="s">
        <v>2243</v>
      </c>
      <c r="N595" s="46">
        <v>2.73</v>
      </c>
      <c r="O595" s="46">
        <v>0</v>
      </c>
      <c r="P595" s="46">
        <v>0</v>
      </c>
      <c r="Q595" s="46">
        <v>0</v>
      </c>
      <c r="R595" s="46">
        <v>0</v>
      </c>
      <c r="S595" s="46">
        <v>33</v>
      </c>
      <c r="T595" s="48">
        <v>33</v>
      </c>
    </row>
    <row r="596" spans="1:20" ht="26.4" x14ac:dyDescent="0.25">
      <c r="A596" s="46">
        <v>595</v>
      </c>
      <c r="B596" s="47">
        <v>244012</v>
      </c>
      <c r="C596" s="46" t="s">
        <v>114</v>
      </c>
      <c r="D596" s="46" t="s">
        <v>115</v>
      </c>
      <c r="E596" s="46" t="s">
        <v>116</v>
      </c>
      <c r="F596" s="46" t="s">
        <v>119</v>
      </c>
      <c r="G596" s="46" t="s">
        <v>133</v>
      </c>
      <c r="H596" s="46" t="s">
        <v>117</v>
      </c>
      <c r="I596" s="46" t="s">
        <v>1191</v>
      </c>
      <c r="J596" s="46" t="s">
        <v>3393</v>
      </c>
      <c r="K596" s="46" t="s">
        <v>3394</v>
      </c>
      <c r="L596" s="49" t="s">
        <v>3395</v>
      </c>
      <c r="N596" s="46">
        <v>0.52800000000000002</v>
      </c>
      <c r="O596" s="46">
        <v>0</v>
      </c>
      <c r="P596" s="46">
        <v>0</v>
      </c>
      <c r="Q596" s="46">
        <v>0</v>
      </c>
      <c r="R596" s="46">
        <v>0</v>
      </c>
      <c r="S596" s="46">
        <v>17</v>
      </c>
      <c r="T596" s="45">
        <v>17</v>
      </c>
    </row>
    <row r="597" spans="1:20" ht="23.4" x14ac:dyDescent="0.25">
      <c r="A597" s="46">
        <v>596</v>
      </c>
      <c r="B597" s="47">
        <v>244012</v>
      </c>
      <c r="C597" s="46" t="s">
        <v>114</v>
      </c>
      <c r="D597" s="46" t="s">
        <v>115</v>
      </c>
      <c r="E597" s="46" t="s">
        <v>116</v>
      </c>
      <c r="F597" s="46" t="s">
        <v>119</v>
      </c>
      <c r="G597" s="46" t="s">
        <v>133</v>
      </c>
      <c r="H597" s="46" t="s">
        <v>117</v>
      </c>
      <c r="I597" s="46" t="s">
        <v>1195</v>
      </c>
      <c r="J597" s="46" t="s">
        <v>1193</v>
      </c>
      <c r="K597" s="46" t="s">
        <v>3396</v>
      </c>
      <c r="L597" s="49" t="s">
        <v>3397</v>
      </c>
      <c r="N597" s="46">
        <v>0.79</v>
      </c>
      <c r="O597" s="46">
        <v>0</v>
      </c>
      <c r="P597" s="46">
        <v>0</v>
      </c>
      <c r="Q597" s="46">
        <v>0</v>
      </c>
      <c r="R597" s="46">
        <v>0</v>
      </c>
      <c r="S597" s="46">
        <v>17</v>
      </c>
      <c r="T597" s="48">
        <v>17</v>
      </c>
    </row>
    <row r="598" spans="1:20" ht="23.4" x14ac:dyDescent="0.25">
      <c r="A598" s="46">
        <v>597</v>
      </c>
      <c r="B598" s="47">
        <v>244012</v>
      </c>
      <c r="C598" s="46" t="s">
        <v>114</v>
      </c>
      <c r="D598" s="46" t="s">
        <v>115</v>
      </c>
      <c r="E598" s="46" t="s">
        <v>116</v>
      </c>
      <c r="F598" s="46" t="s">
        <v>119</v>
      </c>
      <c r="G598" s="46" t="s">
        <v>133</v>
      </c>
      <c r="H598" s="46" t="s">
        <v>117</v>
      </c>
      <c r="I598" s="46" t="s">
        <v>1187</v>
      </c>
      <c r="J598" s="46" t="s">
        <v>3398</v>
      </c>
      <c r="K598" s="46" t="s">
        <v>3399</v>
      </c>
      <c r="L598" s="49" t="s">
        <v>3400</v>
      </c>
      <c r="N598" s="46">
        <v>0.80200000000000005</v>
      </c>
      <c r="O598" s="46">
        <v>0</v>
      </c>
      <c r="P598" s="46">
        <v>0</v>
      </c>
      <c r="Q598" s="46">
        <v>0</v>
      </c>
      <c r="R598" s="46">
        <v>0</v>
      </c>
      <c r="S598" s="46">
        <v>17</v>
      </c>
      <c r="T598" s="48">
        <v>17</v>
      </c>
    </row>
    <row r="599" spans="1:20" ht="23.4" x14ac:dyDescent="0.25">
      <c r="A599" s="46">
        <v>598</v>
      </c>
      <c r="B599" s="47">
        <v>244012</v>
      </c>
      <c r="C599" s="46" t="s">
        <v>114</v>
      </c>
      <c r="D599" s="46" t="s">
        <v>115</v>
      </c>
      <c r="E599" s="46" t="s">
        <v>116</v>
      </c>
      <c r="F599" s="46" t="s">
        <v>119</v>
      </c>
      <c r="G599" s="46" t="s">
        <v>133</v>
      </c>
      <c r="H599" s="46" t="s">
        <v>117</v>
      </c>
      <c r="I599" s="46" t="s">
        <v>3401</v>
      </c>
      <c r="J599" s="46" t="s">
        <v>3402</v>
      </c>
      <c r="K599" s="46" t="s">
        <v>2116</v>
      </c>
      <c r="L599" s="49" t="s">
        <v>3403</v>
      </c>
      <c r="N599" s="46">
        <v>0.16400000000000001</v>
      </c>
      <c r="O599" s="46">
        <v>0</v>
      </c>
      <c r="P599" s="46">
        <v>0</v>
      </c>
      <c r="Q599" s="46">
        <v>0</v>
      </c>
      <c r="R599" s="46">
        <v>0</v>
      </c>
      <c r="S599" s="46">
        <v>17</v>
      </c>
      <c r="T599" s="48">
        <v>17</v>
      </c>
    </row>
    <row r="600" spans="1:20" ht="23.4" x14ac:dyDescent="0.25">
      <c r="A600" s="46">
        <v>599</v>
      </c>
      <c r="B600" s="47">
        <v>244012</v>
      </c>
      <c r="C600" s="46" t="s">
        <v>114</v>
      </c>
      <c r="D600" s="46" t="s">
        <v>115</v>
      </c>
      <c r="E600" s="46" t="s">
        <v>116</v>
      </c>
      <c r="F600" s="46" t="s">
        <v>119</v>
      </c>
      <c r="G600" s="46" t="s">
        <v>133</v>
      </c>
      <c r="H600" s="46" t="s">
        <v>117</v>
      </c>
      <c r="I600" s="46" t="s">
        <v>3404</v>
      </c>
      <c r="J600" s="46" t="s">
        <v>2451</v>
      </c>
      <c r="K600" s="46" t="s">
        <v>2452</v>
      </c>
      <c r="L600" s="49" t="s">
        <v>3405</v>
      </c>
      <c r="N600" s="46">
        <v>0.26</v>
      </c>
      <c r="O600" s="46">
        <v>0</v>
      </c>
      <c r="P600" s="46">
        <v>0</v>
      </c>
      <c r="Q600" s="46">
        <v>0</v>
      </c>
      <c r="R600" s="46">
        <v>0</v>
      </c>
      <c r="S600" s="46">
        <v>17</v>
      </c>
      <c r="T600" s="48">
        <v>17</v>
      </c>
    </row>
    <row r="601" spans="1:20" ht="23.4" x14ac:dyDescent="0.25">
      <c r="A601" s="46">
        <v>600</v>
      </c>
      <c r="B601" s="47">
        <v>244012</v>
      </c>
      <c r="C601" s="46" t="s">
        <v>114</v>
      </c>
      <c r="D601" s="46" t="s">
        <v>115</v>
      </c>
      <c r="E601" s="46" t="s">
        <v>116</v>
      </c>
      <c r="F601" s="46" t="s">
        <v>119</v>
      </c>
      <c r="G601" s="46" t="s">
        <v>133</v>
      </c>
      <c r="H601" s="46" t="s">
        <v>117</v>
      </c>
      <c r="I601" s="46" t="s">
        <v>3406</v>
      </c>
      <c r="J601" s="46" t="s">
        <v>3407</v>
      </c>
      <c r="K601" s="46" t="s">
        <v>2330</v>
      </c>
      <c r="L601" s="49" t="s">
        <v>2331</v>
      </c>
      <c r="N601" s="46">
        <v>1.6E-2</v>
      </c>
      <c r="O601" s="46">
        <v>0</v>
      </c>
      <c r="P601" s="46">
        <v>0</v>
      </c>
      <c r="Q601" s="46">
        <v>0</v>
      </c>
      <c r="R601" s="46">
        <v>0</v>
      </c>
      <c r="S601" s="46">
        <v>17</v>
      </c>
      <c r="T601" s="48">
        <v>17</v>
      </c>
    </row>
    <row r="602" spans="1:20" ht="23.4" x14ac:dyDescent="0.25">
      <c r="A602" s="46">
        <v>601</v>
      </c>
      <c r="B602" s="47">
        <v>244012</v>
      </c>
      <c r="C602" s="46" t="s">
        <v>114</v>
      </c>
      <c r="D602" s="46" t="s">
        <v>115</v>
      </c>
      <c r="E602" s="46" t="s">
        <v>116</v>
      </c>
      <c r="F602" s="46" t="s">
        <v>119</v>
      </c>
      <c r="G602" s="46" t="s">
        <v>133</v>
      </c>
      <c r="H602" s="46" t="s">
        <v>117</v>
      </c>
      <c r="I602" s="46" t="s">
        <v>3408</v>
      </c>
      <c r="J602" s="46" t="s">
        <v>3409</v>
      </c>
      <c r="K602" s="46" t="s">
        <v>136</v>
      </c>
      <c r="L602" s="49" t="s">
        <v>3410</v>
      </c>
      <c r="N602" s="46">
        <v>1.2E-2</v>
      </c>
      <c r="O602" s="46">
        <v>0</v>
      </c>
      <c r="P602" s="46">
        <v>0</v>
      </c>
      <c r="Q602" s="46">
        <v>0</v>
      </c>
      <c r="R602" s="46">
        <v>0</v>
      </c>
      <c r="S602" s="46">
        <v>17</v>
      </c>
      <c r="T602" s="48">
        <v>17</v>
      </c>
    </row>
    <row r="603" spans="1:20" ht="26.4" x14ac:dyDescent="0.25">
      <c r="A603" s="46">
        <v>602</v>
      </c>
      <c r="B603" s="47">
        <v>244013</v>
      </c>
      <c r="C603" s="46" t="s">
        <v>114</v>
      </c>
      <c r="D603" s="46" t="s">
        <v>115</v>
      </c>
      <c r="E603" s="46" t="s">
        <v>116</v>
      </c>
      <c r="F603" s="46" t="s">
        <v>119</v>
      </c>
      <c r="G603" s="46" t="s">
        <v>133</v>
      </c>
      <c r="H603" s="46" t="s">
        <v>117</v>
      </c>
      <c r="I603" s="46" t="s">
        <v>1222</v>
      </c>
      <c r="J603" s="46" t="s">
        <v>1205</v>
      </c>
      <c r="K603" s="46" t="s">
        <v>3411</v>
      </c>
      <c r="L603" s="49" t="s">
        <v>3412</v>
      </c>
      <c r="N603" s="46">
        <v>0.51</v>
      </c>
      <c r="O603" s="46">
        <v>0</v>
      </c>
      <c r="P603" s="46">
        <v>0</v>
      </c>
      <c r="Q603" s="46">
        <v>0</v>
      </c>
      <c r="R603" s="46">
        <v>0</v>
      </c>
      <c r="S603" s="46">
        <v>17</v>
      </c>
      <c r="T603" s="45">
        <v>17</v>
      </c>
    </row>
    <row r="604" spans="1:20" ht="23.4" x14ac:dyDescent="0.25">
      <c r="A604" s="46">
        <v>603</v>
      </c>
      <c r="B604" s="47">
        <v>244013</v>
      </c>
      <c r="C604" s="46" t="s">
        <v>114</v>
      </c>
      <c r="D604" s="46" t="s">
        <v>115</v>
      </c>
      <c r="E604" s="46" t="s">
        <v>116</v>
      </c>
      <c r="F604" s="46" t="s">
        <v>119</v>
      </c>
      <c r="G604" s="46" t="s">
        <v>133</v>
      </c>
      <c r="H604" s="46" t="s">
        <v>117</v>
      </c>
      <c r="I604" s="46" t="s">
        <v>1225</v>
      </c>
      <c r="J604" s="46" t="s">
        <v>3413</v>
      </c>
      <c r="K604" s="46" t="s">
        <v>3414</v>
      </c>
      <c r="L604" s="49" t="s">
        <v>3415</v>
      </c>
      <c r="N604" s="46">
        <v>0.63800000000000001</v>
      </c>
      <c r="O604" s="46">
        <v>0</v>
      </c>
      <c r="P604" s="46">
        <v>0</v>
      </c>
      <c r="Q604" s="46">
        <v>0</v>
      </c>
      <c r="R604" s="46">
        <v>0</v>
      </c>
      <c r="S604" s="46">
        <v>17</v>
      </c>
      <c r="T604" s="48">
        <v>17</v>
      </c>
    </row>
    <row r="605" spans="1:20" ht="23.4" x14ac:dyDescent="0.25">
      <c r="A605" s="46">
        <v>604</v>
      </c>
      <c r="B605" s="47">
        <v>244013</v>
      </c>
      <c r="C605" s="46" t="s">
        <v>114</v>
      </c>
      <c r="D605" s="46" t="s">
        <v>115</v>
      </c>
      <c r="E605" s="46" t="s">
        <v>116</v>
      </c>
      <c r="F605" s="46" t="s">
        <v>119</v>
      </c>
      <c r="G605" s="46" t="s">
        <v>133</v>
      </c>
      <c r="H605" s="46" t="s">
        <v>117</v>
      </c>
      <c r="I605" s="46" t="s">
        <v>1224</v>
      </c>
      <c r="J605" s="46" t="s">
        <v>1212</v>
      </c>
      <c r="K605" s="46" t="s">
        <v>3416</v>
      </c>
      <c r="L605" s="49" t="s">
        <v>3417</v>
      </c>
      <c r="N605" s="46">
        <v>0.55800000000000005</v>
      </c>
      <c r="O605" s="46">
        <v>0</v>
      </c>
      <c r="P605" s="46">
        <v>0</v>
      </c>
      <c r="Q605" s="46">
        <v>0</v>
      </c>
      <c r="R605" s="46">
        <v>0</v>
      </c>
      <c r="S605" s="46">
        <v>17</v>
      </c>
      <c r="T605" s="48">
        <v>17</v>
      </c>
    </row>
    <row r="606" spans="1:20" ht="23.4" x14ac:dyDescent="0.25">
      <c r="A606" s="46">
        <v>605</v>
      </c>
      <c r="B606" s="47">
        <v>244013</v>
      </c>
      <c r="C606" s="46" t="s">
        <v>114</v>
      </c>
      <c r="D606" s="46" t="s">
        <v>115</v>
      </c>
      <c r="E606" s="46" t="s">
        <v>116</v>
      </c>
      <c r="F606" s="46" t="s">
        <v>119</v>
      </c>
      <c r="G606" s="46" t="s">
        <v>133</v>
      </c>
      <c r="H606" s="46" t="s">
        <v>117</v>
      </c>
      <c r="I606" s="46" t="s">
        <v>1226</v>
      </c>
      <c r="J606" s="46" t="s">
        <v>3418</v>
      </c>
      <c r="K606" s="46" t="s">
        <v>3419</v>
      </c>
      <c r="L606" s="49" t="s">
        <v>3420</v>
      </c>
      <c r="N606" s="46">
        <v>1.1020000000000001</v>
      </c>
      <c r="O606" s="46">
        <v>0</v>
      </c>
      <c r="P606" s="46">
        <v>0</v>
      </c>
      <c r="Q606" s="46">
        <v>0</v>
      </c>
      <c r="R606" s="46">
        <v>0</v>
      </c>
      <c r="S606" s="46">
        <v>22</v>
      </c>
      <c r="T606" s="48">
        <v>22</v>
      </c>
    </row>
    <row r="607" spans="1:20" ht="23.4" x14ac:dyDescent="0.25">
      <c r="A607" s="46">
        <v>606</v>
      </c>
      <c r="B607" s="47">
        <v>244013</v>
      </c>
      <c r="C607" s="46" t="s">
        <v>114</v>
      </c>
      <c r="D607" s="46" t="s">
        <v>115</v>
      </c>
      <c r="E607" s="46" t="s">
        <v>116</v>
      </c>
      <c r="F607" s="46" t="s">
        <v>119</v>
      </c>
      <c r="G607" s="46" t="s">
        <v>133</v>
      </c>
      <c r="H607" s="46" t="s">
        <v>117</v>
      </c>
      <c r="I607" s="46" t="s">
        <v>3421</v>
      </c>
      <c r="J607" s="46" t="s">
        <v>3422</v>
      </c>
      <c r="K607" s="46" t="s">
        <v>3423</v>
      </c>
      <c r="L607" s="49" t="s">
        <v>3424</v>
      </c>
      <c r="N607" s="46">
        <v>1.1060000000000001</v>
      </c>
      <c r="O607" s="46">
        <v>0</v>
      </c>
      <c r="P607" s="46">
        <v>0</v>
      </c>
      <c r="Q607" s="46">
        <v>0</v>
      </c>
      <c r="R607" s="46">
        <v>0</v>
      </c>
      <c r="S607" s="46">
        <v>22</v>
      </c>
      <c r="T607" s="48">
        <v>22</v>
      </c>
    </row>
    <row r="608" spans="1:20" ht="23.4" x14ac:dyDescent="0.25">
      <c r="A608" s="46">
        <v>607</v>
      </c>
      <c r="B608" s="47">
        <v>244013</v>
      </c>
      <c r="C608" s="46" t="s">
        <v>114</v>
      </c>
      <c r="D608" s="46" t="s">
        <v>115</v>
      </c>
      <c r="E608" s="46" t="s">
        <v>116</v>
      </c>
      <c r="F608" s="46" t="s">
        <v>119</v>
      </c>
      <c r="G608" s="46" t="s">
        <v>133</v>
      </c>
      <c r="H608" s="46" t="s">
        <v>117</v>
      </c>
      <c r="I608" s="46" t="s">
        <v>1221</v>
      </c>
      <c r="J608" s="46" t="s">
        <v>1201</v>
      </c>
      <c r="K608" s="46" t="s">
        <v>3425</v>
      </c>
      <c r="L608" s="49" t="s">
        <v>3426</v>
      </c>
      <c r="N608" s="46">
        <v>0.626</v>
      </c>
      <c r="O608" s="46">
        <v>0</v>
      </c>
      <c r="P608" s="46">
        <v>0</v>
      </c>
      <c r="Q608" s="46">
        <v>0</v>
      </c>
      <c r="R608" s="46">
        <v>0</v>
      </c>
      <c r="S608" s="46">
        <v>17</v>
      </c>
      <c r="T608" s="48">
        <v>17</v>
      </c>
    </row>
    <row r="609" spans="1:20" ht="23.4" x14ac:dyDescent="0.25">
      <c r="A609" s="46">
        <v>608</v>
      </c>
      <c r="B609" s="47">
        <v>244013</v>
      </c>
      <c r="C609" s="46" t="s">
        <v>114</v>
      </c>
      <c r="D609" s="46" t="s">
        <v>115</v>
      </c>
      <c r="E609" s="46" t="s">
        <v>116</v>
      </c>
      <c r="F609" s="46" t="s">
        <v>119</v>
      </c>
      <c r="G609" s="46" t="s">
        <v>133</v>
      </c>
      <c r="H609" s="46" t="s">
        <v>117</v>
      </c>
      <c r="I609" s="46" t="s">
        <v>1223</v>
      </c>
      <c r="J609" s="46" t="s">
        <v>3427</v>
      </c>
      <c r="K609" s="46" t="s">
        <v>3428</v>
      </c>
      <c r="L609" s="49" t="s">
        <v>3429</v>
      </c>
      <c r="N609" s="46">
        <v>0.624</v>
      </c>
      <c r="O609" s="46">
        <v>0</v>
      </c>
      <c r="P609" s="46">
        <v>0</v>
      </c>
      <c r="Q609" s="46">
        <v>0</v>
      </c>
      <c r="R609" s="46">
        <v>0</v>
      </c>
      <c r="S609" s="46">
        <v>17</v>
      </c>
      <c r="T609" s="48">
        <v>17</v>
      </c>
    </row>
    <row r="610" spans="1:20" ht="26.4" x14ac:dyDescent="0.25">
      <c r="A610" s="46">
        <v>609</v>
      </c>
      <c r="B610" s="47">
        <v>244013</v>
      </c>
      <c r="C610" s="46" t="s">
        <v>114</v>
      </c>
      <c r="D610" s="46" t="s">
        <v>115</v>
      </c>
      <c r="E610" s="46" t="s">
        <v>116</v>
      </c>
      <c r="F610" s="46" t="s">
        <v>119</v>
      </c>
      <c r="G610" s="46" t="s">
        <v>133</v>
      </c>
      <c r="H610" s="46" t="s">
        <v>117</v>
      </c>
      <c r="I610" s="46" t="s">
        <v>3430</v>
      </c>
      <c r="J610" s="46" t="s">
        <v>3431</v>
      </c>
      <c r="K610" s="46" t="s">
        <v>3432</v>
      </c>
      <c r="L610" s="49" t="s">
        <v>3433</v>
      </c>
      <c r="N610" s="46">
        <v>1.248</v>
      </c>
      <c r="O610" s="46">
        <v>0</v>
      </c>
      <c r="P610" s="46">
        <v>0</v>
      </c>
      <c r="Q610" s="46">
        <v>0</v>
      </c>
      <c r="R610" s="46">
        <v>0</v>
      </c>
      <c r="S610" s="46">
        <v>22</v>
      </c>
      <c r="T610" s="45">
        <v>22</v>
      </c>
    </row>
    <row r="611" spans="1:20" ht="23.4" x14ac:dyDescent="0.25">
      <c r="A611" s="46">
        <v>610</v>
      </c>
      <c r="B611" s="47">
        <v>244013</v>
      </c>
      <c r="C611" s="46" t="s">
        <v>114</v>
      </c>
      <c r="D611" s="46" t="s">
        <v>115</v>
      </c>
      <c r="E611" s="46" t="s">
        <v>116</v>
      </c>
      <c r="F611" s="46" t="s">
        <v>119</v>
      </c>
      <c r="G611" s="46" t="s">
        <v>133</v>
      </c>
      <c r="H611" s="46" t="s">
        <v>117</v>
      </c>
      <c r="I611" s="46" t="s">
        <v>1231</v>
      </c>
      <c r="J611" s="46" t="s">
        <v>3434</v>
      </c>
      <c r="K611" s="46" t="s">
        <v>3435</v>
      </c>
      <c r="L611" s="49" t="s">
        <v>3436</v>
      </c>
      <c r="N611" s="46">
        <v>0.63800000000000001</v>
      </c>
      <c r="O611" s="46">
        <v>0</v>
      </c>
      <c r="P611" s="46">
        <v>0</v>
      </c>
      <c r="Q611" s="46">
        <v>0</v>
      </c>
      <c r="R611" s="46">
        <v>0</v>
      </c>
      <c r="S611" s="46">
        <v>17</v>
      </c>
      <c r="T611" s="48">
        <v>17</v>
      </c>
    </row>
    <row r="612" spans="1:20" ht="23.4" x14ac:dyDescent="0.25">
      <c r="A612" s="46">
        <v>611</v>
      </c>
      <c r="B612" s="47">
        <v>244014</v>
      </c>
      <c r="C612" s="46" t="s">
        <v>114</v>
      </c>
      <c r="D612" s="46" t="s">
        <v>115</v>
      </c>
      <c r="E612" s="46" t="s">
        <v>116</v>
      </c>
      <c r="F612" s="46" t="s">
        <v>119</v>
      </c>
      <c r="G612" s="46" t="s">
        <v>133</v>
      </c>
      <c r="H612" s="46" t="s">
        <v>117</v>
      </c>
      <c r="I612" s="46" t="s">
        <v>3437</v>
      </c>
      <c r="J612" s="46" t="s">
        <v>123</v>
      </c>
      <c r="K612" s="46" t="s">
        <v>124</v>
      </c>
      <c r="L612" s="49" t="s">
        <v>3438</v>
      </c>
      <c r="N612" s="46">
        <v>0.158</v>
      </c>
      <c r="O612" s="46">
        <v>0</v>
      </c>
      <c r="P612" s="46">
        <v>0</v>
      </c>
      <c r="Q612" s="46">
        <v>0</v>
      </c>
      <c r="R612" s="46">
        <v>0</v>
      </c>
      <c r="S612" s="46">
        <v>17</v>
      </c>
      <c r="T612" s="48">
        <v>17</v>
      </c>
    </row>
    <row r="613" spans="1:20" ht="23.4" x14ac:dyDescent="0.25">
      <c r="B613" s="47"/>
      <c r="F613" s="46"/>
      <c r="T613" s="48"/>
    </row>
    <row r="614" spans="1:20" ht="23.4" x14ac:dyDescent="0.25">
      <c r="B614" s="47"/>
      <c r="F614" s="46"/>
      <c r="T614" s="48"/>
    </row>
    <row r="615" spans="1:20" ht="23.4" x14ac:dyDescent="0.25">
      <c r="B615" s="47"/>
      <c r="F615" s="46"/>
      <c r="T615" s="48"/>
    </row>
    <row r="616" spans="1:20" ht="23.4" x14ac:dyDescent="0.25">
      <c r="B616" s="47"/>
      <c r="F616" s="46"/>
      <c r="T616" s="48"/>
    </row>
    <row r="617" spans="1:20" ht="26.4" x14ac:dyDescent="0.25">
      <c r="B617" s="47"/>
      <c r="F617" s="46"/>
      <c r="T617" s="45"/>
    </row>
    <row r="618" spans="1:20" ht="23.4" x14ac:dyDescent="0.25">
      <c r="B618" s="47"/>
      <c r="F618" s="46"/>
      <c r="T618" s="48"/>
    </row>
    <row r="619" spans="1:20" ht="23.4" x14ac:dyDescent="0.25">
      <c r="B619" s="47"/>
      <c r="F619" s="46"/>
      <c r="T619" s="48"/>
    </row>
    <row r="620" spans="1:20" ht="23.4" x14ac:dyDescent="0.25">
      <c r="B620" s="47"/>
      <c r="F620" s="46"/>
      <c r="T620" s="48"/>
    </row>
    <row r="621" spans="1:20" ht="23.4" x14ac:dyDescent="0.25">
      <c r="B621" s="47"/>
      <c r="F621" s="46"/>
      <c r="T621" s="48"/>
    </row>
    <row r="622" spans="1:20" ht="23.4" x14ac:dyDescent="0.25">
      <c r="B622" s="47"/>
      <c r="F622" s="46"/>
      <c r="T622" s="48"/>
    </row>
    <row r="623" spans="1:20" ht="23.4" x14ac:dyDescent="0.25">
      <c r="B623" s="47"/>
      <c r="F623" s="46"/>
      <c r="T623" s="48"/>
    </row>
    <row r="624" spans="1:20" ht="26.4" x14ac:dyDescent="0.25">
      <c r="B624" s="47"/>
      <c r="F624" s="46"/>
      <c r="T624" s="45"/>
    </row>
    <row r="625" spans="2:20" ht="23.4" x14ac:dyDescent="0.25">
      <c r="B625" s="47"/>
      <c r="F625" s="46"/>
      <c r="T625" s="48"/>
    </row>
    <row r="626" spans="2:20" ht="23.4" x14ac:dyDescent="0.25">
      <c r="B626" s="47"/>
      <c r="F626" s="46"/>
      <c r="T626" s="48"/>
    </row>
    <row r="627" spans="2:20" ht="23.4" x14ac:dyDescent="0.25">
      <c r="B627" s="47"/>
      <c r="F627" s="46"/>
      <c r="T627" s="48"/>
    </row>
    <row r="628" spans="2:20" ht="23.4" x14ac:dyDescent="0.25">
      <c r="B628" s="47"/>
      <c r="F628" s="46"/>
      <c r="T628" s="48"/>
    </row>
    <row r="629" spans="2:20" ht="23.4" x14ac:dyDescent="0.25">
      <c r="B629" s="47"/>
      <c r="F629" s="46"/>
      <c r="T629" s="48"/>
    </row>
    <row r="630" spans="2:20" ht="23.4" x14ac:dyDescent="0.25">
      <c r="B630" s="47"/>
      <c r="F630" s="46"/>
      <c r="T630" s="48"/>
    </row>
    <row r="631" spans="2:20" ht="26.4" x14ac:dyDescent="0.25">
      <c r="B631" s="47"/>
      <c r="F631" s="46"/>
      <c r="T631" s="45"/>
    </row>
    <row r="632" spans="2:20" ht="23.4" x14ac:dyDescent="0.25">
      <c r="B632" s="47"/>
      <c r="F632" s="46"/>
      <c r="T632" s="48"/>
    </row>
    <row r="633" spans="2:20" ht="23.4" x14ac:dyDescent="0.25">
      <c r="B633" s="47"/>
      <c r="F633" s="46"/>
      <c r="T633" s="48"/>
    </row>
    <row r="634" spans="2:20" ht="23.4" x14ac:dyDescent="0.25">
      <c r="B634" s="47"/>
      <c r="F634" s="46"/>
      <c r="T634" s="48"/>
    </row>
    <row r="635" spans="2:20" ht="23.4" x14ac:dyDescent="0.25">
      <c r="B635" s="47"/>
      <c r="F635" s="46"/>
      <c r="T635" s="48"/>
    </row>
    <row r="636" spans="2:20" ht="23.4" x14ac:dyDescent="0.25">
      <c r="B636" s="47"/>
      <c r="F636" s="46"/>
      <c r="T636" s="48"/>
    </row>
    <row r="637" spans="2:20" ht="23.4" x14ac:dyDescent="0.25">
      <c r="B637" s="47"/>
      <c r="F637" s="46"/>
      <c r="T637" s="48"/>
    </row>
    <row r="638" spans="2:20" ht="26.4" x14ac:dyDescent="0.25">
      <c r="B638" s="47"/>
      <c r="F638" s="46"/>
      <c r="T638" s="45"/>
    </row>
    <row r="639" spans="2:20" ht="23.4" x14ac:dyDescent="0.25">
      <c r="B639" s="47"/>
      <c r="F639" s="46"/>
      <c r="T639" s="48"/>
    </row>
    <row r="640" spans="2:20" ht="23.4" x14ac:dyDescent="0.25">
      <c r="B640" s="47"/>
      <c r="F640" s="46"/>
      <c r="T640" s="48"/>
    </row>
    <row r="641" spans="2:20" ht="23.4" x14ac:dyDescent="0.25">
      <c r="B641" s="47"/>
      <c r="F641" s="46"/>
      <c r="T641" s="48"/>
    </row>
    <row r="642" spans="2:20" ht="23.4" x14ac:dyDescent="0.25">
      <c r="B642" s="47"/>
      <c r="F642" s="46"/>
      <c r="T642" s="48"/>
    </row>
    <row r="643" spans="2:20" ht="23.4" x14ac:dyDescent="0.25">
      <c r="B643" s="47"/>
      <c r="F643" s="46"/>
      <c r="T643" s="48"/>
    </row>
    <row r="644" spans="2:20" ht="23.4" x14ac:dyDescent="0.25">
      <c r="B644" s="47"/>
      <c r="F644" s="46"/>
      <c r="T644" s="48"/>
    </row>
    <row r="645" spans="2:20" ht="26.4" x14ac:dyDescent="0.25">
      <c r="B645" s="47"/>
      <c r="F645" s="46"/>
      <c r="T645" s="45"/>
    </row>
    <row r="646" spans="2:20" ht="23.4" x14ac:dyDescent="0.25">
      <c r="B646" s="47"/>
      <c r="F646" s="46"/>
      <c r="T646" s="48"/>
    </row>
    <row r="647" spans="2:20" ht="23.4" x14ac:dyDescent="0.25">
      <c r="B647" s="47"/>
      <c r="F647" s="46"/>
      <c r="T647" s="48"/>
    </row>
    <row r="648" spans="2:20" ht="23.4" x14ac:dyDescent="0.25">
      <c r="B648" s="47"/>
      <c r="F648" s="46"/>
      <c r="T648" s="48"/>
    </row>
    <row r="649" spans="2:20" ht="23.4" x14ac:dyDescent="0.25">
      <c r="B649" s="47"/>
      <c r="F649" s="46"/>
      <c r="T649" s="48"/>
    </row>
    <row r="650" spans="2:20" ht="23.4" x14ac:dyDescent="0.25">
      <c r="B650" s="47"/>
      <c r="F650" s="46"/>
      <c r="T650" s="48"/>
    </row>
    <row r="651" spans="2:20" ht="23.4" x14ac:dyDescent="0.25">
      <c r="B651" s="47"/>
      <c r="F651" s="46"/>
      <c r="T651" s="48"/>
    </row>
    <row r="652" spans="2:20" ht="26.4" x14ac:dyDescent="0.25">
      <c r="B652" s="47"/>
      <c r="F652" s="46"/>
      <c r="T652" s="45"/>
    </row>
    <row r="653" spans="2:20" ht="23.4" x14ac:dyDescent="0.25">
      <c r="B653" s="47"/>
      <c r="F653" s="46"/>
      <c r="T653" s="48"/>
    </row>
    <row r="654" spans="2:20" ht="23.4" x14ac:dyDescent="0.25">
      <c r="B654" s="47"/>
      <c r="F654" s="46"/>
      <c r="T654" s="48"/>
    </row>
    <row r="655" spans="2:20" ht="23.4" x14ac:dyDescent="0.25">
      <c r="B655" s="47"/>
      <c r="F655" s="46"/>
      <c r="T655" s="48"/>
    </row>
    <row r="656" spans="2:20" ht="23.4" x14ac:dyDescent="0.25">
      <c r="B656" s="47"/>
      <c r="F656" s="46"/>
      <c r="T656" s="48"/>
    </row>
    <row r="657" spans="2:20" ht="23.4" x14ac:dyDescent="0.25">
      <c r="B657" s="47"/>
      <c r="F657" s="46"/>
      <c r="T657" s="48"/>
    </row>
    <row r="658" spans="2:20" ht="23.4" x14ac:dyDescent="0.25">
      <c r="B658" s="47"/>
      <c r="F658" s="46"/>
      <c r="T658" s="48"/>
    </row>
    <row r="659" spans="2:20" ht="26.4" x14ac:dyDescent="0.25">
      <c r="B659" s="47"/>
      <c r="F659" s="46"/>
      <c r="T659" s="45"/>
    </row>
    <row r="660" spans="2:20" ht="23.4" x14ac:dyDescent="0.25">
      <c r="B660" s="47"/>
      <c r="F660" s="46"/>
      <c r="T660" s="48"/>
    </row>
    <row r="661" spans="2:20" ht="23.4" x14ac:dyDescent="0.25">
      <c r="B661" s="47"/>
      <c r="F661" s="46"/>
      <c r="T661" s="48"/>
    </row>
    <row r="662" spans="2:20" ht="23.4" x14ac:dyDescent="0.25">
      <c r="B662" s="47"/>
      <c r="F662" s="46"/>
      <c r="T662" s="48"/>
    </row>
    <row r="663" spans="2:20" ht="23.4" x14ac:dyDescent="0.25">
      <c r="B663" s="47"/>
      <c r="F663" s="46"/>
      <c r="T663" s="48"/>
    </row>
    <row r="664" spans="2:20" ht="23.4" x14ac:dyDescent="0.25">
      <c r="B664" s="47"/>
      <c r="F664" s="46"/>
      <c r="T664" s="48"/>
    </row>
    <row r="665" spans="2:20" ht="23.4" x14ac:dyDescent="0.25">
      <c r="B665" s="47"/>
      <c r="F665" s="46"/>
      <c r="T665" s="48"/>
    </row>
    <row r="666" spans="2:20" ht="26.4" x14ac:dyDescent="0.25">
      <c r="B666" s="47"/>
      <c r="F666" s="46"/>
      <c r="T666" s="45"/>
    </row>
    <row r="667" spans="2:20" ht="23.4" x14ac:dyDescent="0.25">
      <c r="B667" s="47"/>
      <c r="F667" s="46"/>
      <c r="T667" s="48"/>
    </row>
    <row r="668" spans="2:20" ht="23.4" x14ac:dyDescent="0.25">
      <c r="B668" s="47"/>
      <c r="F668" s="46"/>
      <c r="T668" s="48"/>
    </row>
    <row r="669" spans="2:20" ht="23.4" x14ac:dyDescent="0.25">
      <c r="B669" s="47"/>
      <c r="F669" s="46"/>
      <c r="T669" s="48"/>
    </row>
    <row r="670" spans="2:20" ht="23.4" x14ac:dyDescent="0.25">
      <c r="B670" s="47"/>
      <c r="F670" s="46"/>
      <c r="T670" s="48"/>
    </row>
    <row r="671" spans="2:20" ht="23.4" x14ac:dyDescent="0.25">
      <c r="B671" s="47"/>
      <c r="F671" s="46"/>
      <c r="T671" s="48"/>
    </row>
    <row r="672" spans="2:20" ht="23.4" x14ac:dyDescent="0.25">
      <c r="B672" s="47"/>
      <c r="F672" s="46"/>
      <c r="T672" s="48"/>
    </row>
    <row r="673" spans="2:20" ht="26.4" x14ac:dyDescent="0.25">
      <c r="B673" s="47"/>
      <c r="F673" s="46"/>
      <c r="T673" s="45"/>
    </row>
    <row r="674" spans="2:20" ht="23.4" x14ac:dyDescent="0.25">
      <c r="B674" s="47"/>
      <c r="F674" s="46"/>
      <c r="T674" s="48"/>
    </row>
    <row r="675" spans="2:20" ht="23.4" x14ac:dyDescent="0.25">
      <c r="B675" s="47"/>
      <c r="F675" s="46"/>
      <c r="T675" s="48"/>
    </row>
    <row r="676" spans="2:20" ht="23.4" x14ac:dyDescent="0.25">
      <c r="B676" s="47"/>
      <c r="F676" s="46"/>
      <c r="T676" s="48"/>
    </row>
    <row r="677" spans="2:20" ht="23.4" x14ac:dyDescent="0.25">
      <c r="B677" s="47"/>
      <c r="F677" s="46"/>
      <c r="T677" s="48"/>
    </row>
    <row r="678" spans="2:20" ht="23.4" x14ac:dyDescent="0.25">
      <c r="B678" s="47"/>
      <c r="F678" s="46"/>
      <c r="T678" s="48"/>
    </row>
    <row r="679" spans="2:20" ht="23.4" x14ac:dyDescent="0.25">
      <c r="B679" s="47"/>
      <c r="F679" s="46"/>
      <c r="T679" s="48"/>
    </row>
    <row r="680" spans="2:20" ht="26.4" x14ac:dyDescent="0.25">
      <c r="B680" s="47"/>
      <c r="F680" s="46"/>
      <c r="T680" s="45"/>
    </row>
    <row r="681" spans="2:20" ht="23.4" x14ac:dyDescent="0.25">
      <c r="B681" s="47"/>
      <c r="F681" s="46"/>
      <c r="T681" s="48"/>
    </row>
    <row r="682" spans="2:20" ht="23.4" x14ac:dyDescent="0.25">
      <c r="B682" s="47"/>
      <c r="F682" s="46"/>
      <c r="T682" s="48"/>
    </row>
    <row r="683" spans="2:20" ht="23.4" x14ac:dyDescent="0.25">
      <c r="B683" s="47"/>
      <c r="F683" s="46"/>
      <c r="T683" s="48"/>
    </row>
    <row r="684" spans="2:20" ht="23.4" x14ac:dyDescent="0.25">
      <c r="B684" s="47"/>
      <c r="F684" s="46"/>
      <c r="T684" s="48"/>
    </row>
    <row r="685" spans="2:20" ht="23.4" x14ac:dyDescent="0.25">
      <c r="B685" s="47"/>
      <c r="F685" s="46"/>
      <c r="T685" s="48"/>
    </row>
    <row r="686" spans="2:20" ht="23.4" x14ac:dyDescent="0.25">
      <c r="B686" s="47"/>
      <c r="F686" s="46"/>
      <c r="T686" s="48"/>
    </row>
    <row r="687" spans="2:20" ht="26.4" x14ac:dyDescent="0.25">
      <c r="B687" s="47"/>
      <c r="F687" s="46"/>
      <c r="T687" s="45"/>
    </row>
    <row r="688" spans="2:20" ht="23.4" x14ac:dyDescent="0.25">
      <c r="B688" s="47"/>
      <c r="F688" s="46"/>
      <c r="T688" s="48"/>
    </row>
    <row r="689" spans="2:20" ht="23.4" x14ac:dyDescent="0.25">
      <c r="B689" s="47"/>
      <c r="F689" s="46"/>
      <c r="T689" s="48"/>
    </row>
    <row r="690" spans="2:20" ht="23.4" x14ac:dyDescent="0.25">
      <c r="B690" s="47"/>
      <c r="F690" s="46"/>
      <c r="T690" s="48"/>
    </row>
    <row r="691" spans="2:20" ht="23.4" x14ac:dyDescent="0.25">
      <c r="B691" s="47"/>
      <c r="F691" s="46"/>
      <c r="T691" s="48"/>
    </row>
    <row r="692" spans="2:20" ht="23.4" x14ac:dyDescent="0.25">
      <c r="B692" s="47"/>
      <c r="F692" s="46"/>
      <c r="T692" s="48"/>
    </row>
    <row r="693" spans="2:20" ht="23.4" x14ac:dyDescent="0.25">
      <c r="B693" s="47"/>
      <c r="F693" s="46"/>
      <c r="T693" s="48"/>
    </row>
    <row r="694" spans="2:20" ht="26.4" x14ac:dyDescent="0.25">
      <c r="B694" s="47"/>
      <c r="F694" s="46"/>
      <c r="T694" s="45"/>
    </row>
    <row r="695" spans="2:20" ht="23.4" x14ac:dyDescent="0.25">
      <c r="B695" s="47"/>
      <c r="F695" s="46"/>
      <c r="T695" s="48"/>
    </row>
    <row r="696" spans="2:20" ht="23.4" x14ac:dyDescent="0.25">
      <c r="B696" s="47"/>
      <c r="F696" s="46"/>
      <c r="T696" s="48"/>
    </row>
    <row r="697" spans="2:20" ht="23.4" x14ac:dyDescent="0.25">
      <c r="B697" s="47"/>
      <c r="F697" s="46"/>
      <c r="T697" s="48"/>
    </row>
    <row r="698" spans="2:20" ht="23.4" x14ac:dyDescent="0.25">
      <c r="B698" s="47"/>
      <c r="F698" s="46"/>
      <c r="T698" s="48"/>
    </row>
    <row r="699" spans="2:20" ht="23.4" x14ac:dyDescent="0.25">
      <c r="B699" s="47"/>
      <c r="F699" s="46"/>
      <c r="T699" s="48"/>
    </row>
    <row r="700" spans="2:20" ht="23.4" x14ac:dyDescent="0.25">
      <c r="B700" s="47"/>
      <c r="F700" s="46"/>
      <c r="T700" s="48"/>
    </row>
    <row r="701" spans="2:20" ht="26.4" x14ac:dyDescent="0.25">
      <c r="B701" s="47"/>
      <c r="F701" s="46"/>
      <c r="T701" s="45"/>
    </row>
    <row r="702" spans="2:20" ht="23.4" x14ac:dyDescent="0.25">
      <c r="B702" s="47"/>
      <c r="F702" s="46"/>
      <c r="T702" s="48"/>
    </row>
    <row r="703" spans="2:20" ht="23.4" x14ac:dyDescent="0.25">
      <c r="B703" s="47"/>
      <c r="F703" s="46"/>
      <c r="T703" s="48"/>
    </row>
    <row r="704" spans="2:20" ht="23.4" x14ac:dyDescent="0.25">
      <c r="B704" s="47"/>
      <c r="F704" s="46"/>
      <c r="T704" s="48"/>
    </row>
    <row r="705" spans="2:20" ht="23.4" x14ac:dyDescent="0.25">
      <c r="B705" s="47"/>
      <c r="F705" s="46"/>
      <c r="T705" s="48"/>
    </row>
    <row r="706" spans="2:20" ht="23.4" x14ac:dyDescent="0.25">
      <c r="B706" s="47"/>
      <c r="F706" s="46"/>
      <c r="T706" s="48"/>
    </row>
    <row r="707" spans="2:20" ht="23.4" x14ac:dyDescent="0.25">
      <c r="B707" s="47"/>
      <c r="F707" s="46"/>
      <c r="T707" s="48"/>
    </row>
    <row r="708" spans="2:20" ht="26.4" x14ac:dyDescent="0.25">
      <c r="B708" s="47"/>
      <c r="F708" s="46"/>
      <c r="T708" s="45"/>
    </row>
    <row r="709" spans="2:20" ht="23.4" x14ac:dyDescent="0.25">
      <c r="B709" s="47"/>
      <c r="F709" s="46"/>
      <c r="T709" s="48"/>
    </row>
    <row r="710" spans="2:20" ht="23.4" x14ac:dyDescent="0.25">
      <c r="B710" s="47"/>
      <c r="F710" s="46"/>
      <c r="T710" s="48"/>
    </row>
    <row r="711" spans="2:20" ht="23.4" x14ac:dyDescent="0.25">
      <c r="B711" s="47"/>
      <c r="F711" s="46"/>
      <c r="T711" s="48"/>
    </row>
    <row r="712" spans="2:20" ht="23.4" x14ac:dyDescent="0.25">
      <c r="B712" s="47"/>
      <c r="F712" s="46"/>
      <c r="T712" s="48"/>
    </row>
    <row r="713" spans="2:20" ht="23.4" x14ac:dyDescent="0.25">
      <c r="B713" s="47"/>
      <c r="F713" s="46"/>
      <c r="T713" s="48"/>
    </row>
    <row r="714" spans="2:20" ht="23.4" x14ac:dyDescent="0.25">
      <c r="B714" s="47"/>
      <c r="F714" s="46"/>
      <c r="T714" s="48"/>
    </row>
    <row r="715" spans="2:20" ht="26.4" x14ac:dyDescent="0.25">
      <c r="B715" s="47"/>
      <c r="F715" s="46"/>
      <c r="T715" s="45"/>
    </row>
    <row r="716" spans="2:20" ht="23.4" x14ac:dyDescent="0.25">
      <c r="B716" s="47"/>
      <c r="F716" s="46"/>
      <c r="T716" s="48"/>
    </row>
    <row r="717" spans="2:20" ht="23.4" x14ac:dyDescent="0.25">
      <c r="B717" s="47"/>
      <c r="F717" s="46"/>
      <c r="T717" s="48"/>
    </row>
    <row r="718" spans="2:20" ht="23.4" x14ac:dyDescent="0.25">
      <c r="B718" s="47"/>
      <c r="F718" s="46"/>
      <c r="T718" s="48"/>
    </row>
    <row r="719" spans="2:20" ht="23.4" x14ac:dyDescent="0.25">
      <c r="B719" s="47"/>
      <c r="F719" s="46"/>
      <c r="T719" s="48"/>
    </row>
    <row r="720" spans="2:20" ht="23.4" x14ac:dyDescent="0.25">
      <c r="B720" s="47"/>
      <c r="F720" s="46"/>
      <c r="T720" s="48"/>
    </row>
    <row r="721" spans="2:20" ht="23.4" x14ac:dyDescent="0.25">
      <c r="B721" s="47"/>
      <c r="F721" s="46"/>
      <c r="T721" s="48"/>
    </row>
    <row r="722" spans="2:20" ht="26.4" x14ac:dyDescent="0.25">
      <c r="B722" s="47"/>
      <c r="F722" s="46"/>
      <c r="T722" s="45"/>
    </row>
    <row r="723" spans="2:20" ht="23.4" x14ac:dyDescent="0.25">
      <c r="B723" s="47"/>
      <c r="F723" s="46"/>
      <c r="T723" s="48"/>
    </row>
    <row r="724" spans="2:20" ht="23.4" x14ac:dyDescent="0.25">
      <c r="B724" s="47"/>
      <c r="F724" s="46"/>
      <c r="T724" s="48"/>
    </row>
    <row r="725" spans="2:20" ht="23.4" x14ac:dyDescent="0.25">
      <c r="B725" s="47"/>
      <c r="F725" s="46"/>
      <c r="T725" s="48"/>
    </row>
    <row r="726" spans="2:20" ht="23.4" x14ac:dyDescent="0.25">
      <c r="B726" s="47"/>
      <c r="F726" s="46"/>
      <c r="T726" s="48"/>
    </row>
    <row r="727" spans="2:20" ht="23.4" x14ac:dyDescent="0.25">
      <c r="B727" s="47"/>
      <c r="F727" s="46"/>
      <c r="T727" s="48"/>
    </row>
    <row r="728" spans="2:20" ht="23.4" x14ac:dyDescent="0.25">
      <c r="B728" s="47"/>
      <c r="F728" s="46"/>
      <c r="T728" s="48"/>
    </row>
    <row r="729" spans="2:20" ht="26.4" x14ac:dyDescent="0.25">
      <c r="B729" s="47"/>
      <c r="F729" s="46"/>
      <c r="T729" s="45"/>
    </row>
    <row r="730" spans="2:20" ht="23.4" x14ac:dyDescent="0.25">
      <c r="B730" s="47"/>
      <c r="F730" s="46"/>
      <c r="T730" s="48"/>
    </row>
    <row r="731" spans="2:20" ht="23.4" x14ac:dyDescent="0.25">
      <c r="B731" s="47"/>
      <c r="F731" s="46"/>
      <c r="T731" s="48"/>
    </row>
    <row r="732" spans="2:20" ht="23.4" x14ac:dyDescent="0.25">
      <c r="B732" s="47"/>
      <c r="F732" s="46"/>
      <c r="T732" s="48"/>
    </row>
    <row r="733" spans="2:20" ht="23.4" x14ac:dyDescent="0.25">
      <c r="B733" s="47"/>
      <c r="F733" s="46"/>
      <c r="T733" s="48"/>
    </row>
    <row r="734" spans="2:20" ht="23.4" x14ac:dyDescent="0.25">
      <c r="B734" s="47"/>
      <c r="F734" s="46"/>
      <c r="M734" s="49"/>
      <c r="T734" s="48"/>
    </row>
    <row r="735" spans="2:20" ht="23.4" x14ac:dyDescent="0.25">
      <c r="B735" s="47"/>
      <c r="F735" s="46"/>
      <c r="M735" s="49"/>
      <c r="T735" s="48"/>
    </row>
    <row r="736" spans="2:20" ht="26.4" x14ac:dyDescent="0.25">
      <c r="B736" s="47"/>
      <c r="F736" s="46"/>
      <c r="M736" s="49"/>
      <c r="T736" s="45"/>
    </row>
    <row r="737" spans="2:20" ht="23.4" x14ac:dyDescent="0.25">
      <c r="B737" s="47"/>
      <c r="F737" s="46"/>
      <c r="M737" s="49"/>
      <c r="T737" s="48"/>
    </row>
    <row r="738" spans="2:20" ht="23.4" x14ac:dyDescent="0.25">
      <c r="B738" s="47"/>
      <c r="F738" s="46"/>
      <c r="M738" s="49"/>
      <c r="T738" s="48"/>
    </row>
    <row r="739" spans="2:20" ht="23.4" x14ac:dyDescent="0.25">
      <c r="B739" s="47"/>
      <c r="F739" s="46"/>
      <c r="M739" s="49"/>
      <c r="T739" s="48"/>
    </row>
    <row r="740" spans="2:20" ht="23.4" x14ac:dyDescent="0.25">
      <c r="B740" s="47"/>
      <c r="F740" s="46"/>
      <c r="M740" s="49"/>
      <c r="T740" s="48"/>
    </row>
    <row r="741" spans="2:20" ht="23.4" x14ac:dyDescent="0.25">
      <c r="B741" s="47"/>
      <c r="F741" s="46"/>
      <c r="M741" s="49"/>
      <c r="T741" s="48"/>
    </row>
    <row r="742" spans="2:20" ht="23.4" x14ac:dyDescent="0.25">
      <c r="B742" s="47"/>
      <c r="F742" s="46"/>
      <c r="M742" s="49"/>
      <c r="T742" s="48"/>
    </row>
    <row r="743" spans="2:20" ht="26.4" x14ac:dyDescent="0.25">
      <c r="B743" s="47"/>
      <c r="F743" s="46"/>
      <c r="M743" s="49"/>
      <c r="T743" s="45"/>
    </row>
    <row r="744" spans="2:20" ht="23.4" x14ac:dyDescent="0.25">
      <c r="B744" s="47"/>
      <c r="F744" s="46"/>
      <c r="M744" s="49"/>
      <c r="T744" s="48"/>
    </row>
    <row r="745" spans="2:20" ht="23.4" x14ac:dyDescent="0.25">
      <c r="B745" s="47"/>
      <c r="F745" s="46"/>
      <c r="M745" s="49"/>
      <c r="T745" s="48"/>
    </row>
    <row r="746" spans="2:20" ht="23.4" x14ac:dyDescent="0.25">
      <c r="B746" s="47"/>
      <c r="F746" s="46"/>
      <c r="M746" s="49"/>
      <c r="T746" s="48"/>
    </row>
    <row r="747" spans="2:20" ht="23.4" x14ac:dyDescent="0.25">
      <c r="B747" s="47"/>
      <c r="F747" s="46"/>
      <c r="M747" s="49"/>
      <c r="T747" s="48"/>
    </row>
    <row r="748" spans="2:20" ht="23.4" x14ac:dyDescent="0.25">
      <c r="B748" s="47"/>
      <c r="F748" s="46"/>
      <c r="M748" s="49"/>
      <c r="T748" s="48"/>
    </row>
    <row r="749" spans="2:20" ht="23.4" x14ac:dyDescent="0.25">
      <c r="B749" s="47"/>
      <c r="F749" s="46"/>
      <c r="M749" s="49"/>
      <c r="T749" s="48"/>
    </row>
    <row r="750" spans="2:20" ht="26.4" x14ac:dyDescent="0.25">
      <c r="B750" s="47"/>
      <c r="F750" s="46"/>
      <c r="M750" s="49"/>
      <c r="T750" s="45"/>
    </row>
    <row r="751" spans="2:20" ht="23.4" x14ac:dyDescent="0.25">
      <c r="B751" s="47"/>
      <c r="F751" s="46"/>
      <c r="M751" s="49"/>
      <c r="T751" s="48"/>
    </row>
    <row r="752" spans="2:20" ht="23.4" x14ac:dyDescent="0.25">
      <c r="B752" s="47"/>
      <c r="F752" s="46"/>
      <c r="M752" s="49"/>
      <c r="T752" s="48"/>
    </row>
    <row r="753" spans="2:20" ht="23.4" x14ac:dyDescent="0.25">
      <c r="B753" s="47"/>
      <c r="F753" s="46"/>
      <c r="M753" s="49"/>
      <c r="T753" s="48"/>
    </row>
    <row r="754" spans="2:20" ht="23.4" x14ac:dyDescent="0.25">
      <c r="B754" s="47"/>
      <c r="F754" s="46"/>
      <c r="M754" s="49"/>
      <c r="T754" s="48"/>
    </row>
    <row r="755" spans="2:20" ht="23.4" x14ac:dyDescent="0.25">
      <c r="B755" s="47"/>
      <c r="F755" s="46"/>
      <c r="M755" s="49"/>
      <c r="T755" s="48"/>
    </row>
    <row r="756" spans="2:20" ht="23.4" x14ac:dyDescent="0.25">
      <c r="B756" s="47"/>
      <c r="F756" s="46"/>
      <c r="M756" s="49"/>
      <c r="T756" s="48"/>
    </row>
    <row r="757" spans="2:20" ht="26.4" x14ac:dyDescent="0.25">
      <c r="B757" s="47"/>
      <c r="F757" s="46"/>
      <c r="M757" s="49"/>
      <c r="T757" s="45"/>
    </row>
    <row r="758" spans="2:20" ht="23.4" x14ac:dyDescent="0.25">
      <c r="B758" s="47"/>
      <c r="F758" s="46"/>
      <c r="M758" s="49"/>
      <c r="T758" s="48"/>
    </row>
    <row r="759" spans="2:20" ht="23.4" x14ac:dyDescent="0.25">
      <c r="B759" s="47"/>
      <c r="F759" s="46"/>
      <c r="M759" s="49"/>
      <c r="T759" s="48"/>
    </row>
    <row r="760" spans="2:20" ht="23.4" x14ac:dyDescent="0.25">
      <c r="B760" s="47"/>
      <c r="F760" s="46"/>
      <c r="M760" s="49"/>
      <c r="T760" s="48"/>
    </row>
    <row r="761" spans="2:20" ht="23.4" x14ac:dyDescent="0.25">
      <c r="B761" s="47"/>
      <c r="F761" s="46"/>
      <c r="M761" s="49"/>
      <c r="T761" s="48"/>
    </row>
    <row r="762" spans="2:20" ht="23.4" x14ac:dyDescent="0.25">
      <c r="B762" s="47"/>
      <c r="F762" s="46"/>
      <c r="M762" s="49"/>
      <c r="T762" s="48"/>
    </row>
    <row r="763" spans="2:20" ht="23.4" x14ac:dyDescent="0.25">
      <c r="B763" s="47"/>
      <c r="F763" s="46"/>
      <c r="M763" s="49"/>
      <c r="T763" s="48"/>
    </row>
    <row r="764" spans="2:20" ht="26.4" x14ac:dyDescent="0.25">
      <c r="B764" s="47"/>
      <c r="F764" s="46"/>
      <c r="M764" s="49"/>
      <c r="T764" s="45"/>
    </row>
    <row r="765" spans="2:20" ht="23.4" x14ac:dyDescent="0.25">
      <c r="B765" s="47"/>
      <c r="F765" s="46"/>
      <c r="M765" s="49"/>
      <c r="T765" s="48"/>
    </row>
    <row r="766" spans="2:20" ht="23.4" x14ac:dyDescent="0.25">
      <c r="B766" s="47"/>
      <c r="F766" s="46"/>
      <c r="M766" s="49"/>
      <c r="T766" s="48"/>
    </row>
    <row r="767" spans="2:20" ht="23.4" x14ac:dyDescent="0.25">
      <c r="B767" s="47"/>
      <c r="F767" s="46"/>
      <c r="M767" s="49"/>
      <c r="T767" s="48"/>
    </row>
    <row r="768" spans="2:20" ht="23.4" x14ac:dyDescent="0.25">
      <c r="B768" s="47"/>
      <c r="F768" s="46"/>
      <c r="M768" s="49"/>
      <c r="T768" s="48"/>
    </row>
    <row r="769" spans="2:20" ht="23.4" x14ac:dyDescent="0.25">
      <c r="B769" s="47"/>
      <c r="F769" s="46"/>
      <c r="M769" s="49"/>
      <c r="T769" s="48"/>
    </row>
    <row r="770" spans="2:20" ht="23.4" x14ac:dyDescent="0.25">
      <c r="B770" s="47"/>
      <c r="F770" s="46"/>
      <c r="M770" s="49"/>
      <c r="T770" s="48"/>
    </row>
    <row r="771" spans="2:20" ht="26.4" x14ac:dyDescent="0.25">
      <c r="B771" s="47"/>
      <c r="F771" s="46"/>
      <c r="M771" s="49"/>
      <c r="T771" s="45"/>
    </row>
    <row r="772" spans="2:20" ht="23.4" x14ac:dyDescent="0.25">
      <c r="B772" s="47"/>
      <c r="F772" s="46"/>
      <c r="M772" s="49"/>
      <c r="T772" s="48"/>
    </row>
    <row r="773" spans="2:20" ht="23.4" x14ac:dyDescent="0.25">
      <c r="B773" s="47"/>
      <c r="F773" s="46"/>
      <c r="M773" s="49"/>
      <c r="T773" s="48"/>
    </row>
    <row r="774" spans="2:20" ht="23.4" x14ac:dyDescent="0.25">
      <c r="B774" s="47"/>
      <c r="F774" s="46"/>
      <c r="M774" s="49"/>
      <c r="T774" s="48"/>
    </row>
    <row r="775" spans="2:20" ht="23.4" x14ac:dyDescent="0.25">
      <c r="B775" s="47"/>
      <c r="F775" s="46"/>
      <c r="M775" s="49"/>
      <c r="T775" s="48"/>
    </row>
    <row r="776" spans="2:20" ht="23.4" x14ac:dyDescent="0.25">
      <c r="B776" s="47"/>
      <c r="F776" s="46"/>
      <c r="M776" s="49"/>
      <c r="T776" s="48"/>
    </row>
    <row r="777" spans="2:20" ht="23.4" x14ac:dyDescent="0.25">
      <c r="B777" s="47"/>
      <c r="F777" s="46"/>
      <c r="M777" s="49"/>
      <c r="T777" s="48"/>
    </row>
    <row r="778" spans="2:20" ht="26.4" x14ac:dyDescent="0.25">
      <c r="B778" s="47"/>
      <c r="F778" s="46"/>
      <c r="M778" s="49"/>
      <c r="T778" s="45"/>
    </row>
    <row r="779" spans="2:20" ht="23.4" x14ac:dyDescent="0.25">
      <c r="B779" s="47"/>
      <c r="F779" s="46"/>
      <c r="M779" s="49"/>
      <c r="T779" s="48"/>
    </row>
    <row r="780" spans="2:20" ht="23.4" x14ac:dyDescent="0.25">
      <c r="B780" s="47"/>
      <c r="F780" s="46"/>
      <c r="M780" s="49"/>
      <c r="T780" s="48"/>
    </row>
    <row r="781" spans="2:20" ht="23.4" x14ac:dyDescent="0.25">
      <c r="B781" s="47"/>
      <c r="F781" s="46"/>
      <c r="M781" s="49"/>
      <c r="T781" s="48"/>
    </row>
    <row r="782" spans="2:20" ht="23.4" x14ac:dyDescent="0.25">
      <c r="B782" s="47"/>
      <c r="F782" s="46"/>
      <c r="M782" s="49"/>
      <c r="T782" s="48"/>
    </row>
    <row r="783" spans="2:20" ht="23.4" x14ac:dyDescent="0.25">
      <c r="B783" s="47"/>
      <c r="F783" s="46"/>
      <c r="M783" s="49"/>
      <c r="T783" s="48"/>
    </row>
    <row r="784" spans="2:20" ht="23.4" x14ac:dyDescent="0.25">
      <c r="B784" s="47"/>
      <c r="F784" s="46"/>
      <c r="M784" s="49"/>
      <c r="T784" s="48"/>
    </row>
    <row r="785" spans="2:20" ht="26.4" x14ac:dyDescent="0.25">
      <c r="B785" s="47"/>
      <c r="F785" s="46"/>
      <c r="M785" s="49"/>
      <c r="T785" s="45"/>
    </row>
    <row r="786" spans="2:20" ht="23.4" x14ac:dyDescent="0.25">
      <c r="B786" s="47"/>
      <c r="F786" s="46"/>
      <c r="M786" s="49"/>
      <c r="T786" s="48"/>
    </row>
    <row r="787" spans="2:20" ht="23.4" x14ac:dyDescent="0.25">
      <c r="B787" s="47"/>
      <c r="F787" s="46"/>
      <c r="M787" s="49"/>
      <c r="T787" s="48"/>
    </row>
    <row r="788" spans="2:20" ht="23.4" x14ac:dyDescent="0.25">
      <c r="B788" s="47"/>
      <c r="F788" s="46"/>
      <c r="M788" s="49"/>
      <c r="T788" s="48"/>
    </row>
    <row r="789" spans="2:20" ht="23.4" x14ac:dyDescent="0.25">
      <c r="B789" s="47"/>
      <c r="F789" s="46"/>
      <c r="M789" s="49"/>
      <c r="T789" s="48"/>
    </row>
    <row r="790" spans="2:20" ht="23.4" x14ac:dyDescent="0.25">
      <c r="B790" s="47"/>
      <c r="F790" s="46"/>
      <c r="M790" s="49"/>
      <c r="T790" s="48"/>
    </row>
    <row r="791" spans="2:20" ht="23.4" x14ac:dyDescent="0.25">
      <c r="B791" s="47"/>
      <c r="F791" s="46"/>
      <c r="M791" s="49"/>
      <c r="T791" s="48"/>
    </row>
    <row r="792" spans="2:20" ht="26.4" x14ac:dyDescent="0.25">
      <c r="B792" s="47"/>
      <c r="F792" s="46"/>
      <c r="M792" s="49"/>
      <c r="T792" s="45"/>
    </row>
    <row r="793" spans="2:20" ht="23.4" x14ac:dyDescent="0.25">
      <c r="B793" s="47"/>
      <c r="F793" s="46"/>
      <c r="M793" s="49"/>
      <c r="T793" s="48"/>
    </row>
    <row r="794" spans="2:20" ht="23.4" x14ac:dyDescent="0.25">
      <c r="B794" s="47"/>
      <c r="F794" s="46"/>
      <c r="M794" s="49"/>
      <c r="T794" s="48"/>
    </row>
    <row r="795" spans="2:20" ht="23.4" x14ac:dyDescent="0.25">
      <c r="B795" s="47"/>
      <c r="F795" s="46"/>
      <c r="M795" s="49"/>
      <c r="T795" s="48"/>
    </row>
    <row r="796" spans="2:20" ht="23.4" x14ac:dyDescent="0.25">
      <c r="B796" s="47"/>
      <c r="F796" s="46"/>
      <c r="M796" s="49"/>
      <c r="T796" s="48"/>
    </row>
    <row r="797" spans="2:20" ht="23.4" x14ac:dyDescent="0.25">
      <c r="B797" s="47"/>
      <c r="F797" s="46"/>
      <c r="M797" s="49"/>
      <c r="T797" s="48"/>
    </row>
    <row r="798" spans="2:20" ht="23.4" x14ac:dyDescent="0.25">
      <c r="B798" s="47"/>
      <c r="F798" s="46"/>
      <c r="M798" s="49"/>
      <c r="T798" s="48"/>
    </row>
    <row r="799" spans="2:20" ht="26.4" x14ac:dyDescent="0.25">
      <c r="B799" s="47"/>
      <c r="F799" s="46"/>
      <c r="M799" s="49"/>
      <c r="T799" s="45"/>
    </row>
    <row r="800" spans="2:20" ht="23.4" x14ac:dyDescent="0.25">
      <c r="B800" s="47"/>
      <c r="F800" s="46"/>
      <c r="M800" s="49"/>
      <c r="T800" s="48"/>
    </row>
    <row r="801" spans="2:20" ht="23.4" x14ac:dyDescent="0.25">
      <c r="B801" s="47"/>
      <c r="F801" s="46"/>
      <c r="M801" s="49"/>
      <c r="T801" s="48"/>
    </row>
    <row r="802" spans="2:20" ht="23.4" x14ac:dyDescent="0.25">
      <c r="B802" s="47"/>
      <c r="F802" s="46"/>
      <c r="M802" s="49"/>
      <c r="T802" s="48"/>
    </row>
    <row r="803" spans="2:20" ht="23.4" x14ac:dyDescent="0.25">
      <c r="B803" s="47"/>
      <c r="F803" s="46"/>
      <c r="M803" s="49"/>
      <c r="T803" s="48"/>
    </row>
    <row r="804" spans="2:20" ht="23.4" x14ac:dyDescent="0.25">
      <c r="B804" s="47"/>
      <c r="F804" s="46"/>
      <c r="M804" s="49"/>
      <c r="T804" s="48"/>
    </row>
    <row r="805" spans="2:20" ht="23.4" x14ac:dyDescent="0.25">
      <c r="B805" s="47"/>
      <c r="F805" s="46"/>
      <c r="M805" s="49"/>
      <c r="T805" s="48"/>
    </row>
    <row r="806" spans="2:20" ht="26.4" x14ac:dyDescent="0.25">
      <c r="B806" s="47"/>
      <c r="F806" s="46"/>
      <c r="M806" s="49"/>
      <c r="T806" s="45"/>
    </row>
    <row r="807" spans="2:20" ht="23.4" x14ac:dyDescent="0.25">
      <c r="B807" s="47"/>
      <c r="F807" s="46"/>
      <c r="M807" s="49"/>
      <c r="T807" s="48"/>
    </row>
    <row r="808" spans="2:20" ht="23.4" x14ac:dyDescent="0.25">
      <c r="B808" s="47"/>
      <c r="F808" s="46"/>
      <c r="M808" s="49"/>
      <c r="T808" s="48"/>
    </row>
    <row r="809" spans="2:20" ht="23.4" x14ac:dyDescent="0.25">
      <c r="B809" s="47"/>
      <c r="F809" s="46"/>
      <c r="M809" s="49"/>
      <c r="T809" s="48"/>
    </row>
    <row r="810" spans="2:20" ht="23.4" x14ac:dyDescent="0.25">
      <c r="B810" s="47"/>
      <c r="F810" s="46"/>
      <c r="M810" s="49"/>
      <c r="T810" s="48"/>
    </row>
    <row r="811" spans="2:20" ht="23.4" x14ac:dyDescent="0.25">
      <c r="B811" s="47"/>
      <c r="F811" s="46"/>
      <c r="M811" s="49"/>
      <c r="T811" s="48"/>
    </row>
    <row r="812" spans="2:20" ht="23.4" x14ac:dyDescent="0.25">
      <c r="B812" s="47"/>
      <c r="F812" s="46"/>
      <c r="M812" s="49"/>
      <c r="T812" s="48"/>
    </row>
    <row r="813" spans="2:20" ht="26.4" x14ac:dyDescent="0.25">
      <c r="B813" s="47"/>
      <c r="F813" s="46"/>
      <c r="M813" s="49"/>
      <c r="T813" s="45"/>
    </row>
    <row r="814" spans="2:20" ht="23.4" x14ac:dyDescent="0.25">
      <c r="B814" s="47"/>
      <c r="F814" s="46"/>
      <c r="M814" s="49"/>
      <c r="T814" s="48"/>
    </row>
    <row r="815" spans="2:20" ht="23.4" x14ac:dyDescent="0.25">
      <c r="B815" s="47"/>
      <c r="F815" s="46"/>
      <c r="M815" s="49"/>
      <c r="T815" s="48"/>
    </row>
    <row r="816" spans="2:20" ht="23.4" x14ac:dyDescent="0.25">
      <c r="B816" s="47"/>
      <c r="F816" s="46"/>
      <c r="M816" s="49"/>
      <c r="T816" s="48"/>
    </row>
    <row r="817" spans="2:20" ht="23.4" x14ac:dyDescent="0.25">
      <c r="B817" s="47"/>
      <c r="F817" s="46"/>
      <c r="M817" s="49"/>
      <c r="T817" s="48"/>
    </row>
    <row r="818" spans="2:20" ht="23.4" x14ac:dyDescent="0.25">
      <c r="B818" s="47"/>
      <c r="F818" s="46"/>
      <c r="M818" s="49"/>
      <c r="T818" s="48"/>
    </row>
    <row r="819" spans="2:20" ht="23.4" x14ac:dyDescent="0.25">
      <c r="B819" s="47"/>
      <c r="F819" s="46"/>
      <c r="M819" s="49"/>
      <c r="T819" s="48"/>
    </row>
    <row r="820" spans="2:20" ht="26.4" x14ac:dyDescent="0.25">
      <c r="B820" s="47"/>
      <c r="F820" s="46"/>
      <c r="M820" s="49"/>
      <c r="T820" s="45"/>
    </row>
    <row r="821" spans="2:20" ht="23.4" x14ac:dyDescent="0.25">
      <c r="B821" s="47"/>
      <c r="F821" s="46"/>
      <c r="M821" s="49"/>
      <c r="T821" s="48"/>
    </row>
    <row r="822" spans="2:20" ht="23.4" x14ac:dyDescent="0.25">
      <c r="B822" s="47"/>
      <c r="F822" s="46"/>
      <c r="M822" s="49"/>
      <c r="T822" s="48"/>
    </row>
    <row r="823" spans="2:20" ht="23.4" x14ac:dyDescent="0.25">
      <c r="B823" s="47"/>
      <c r="F823" s="46"/>
      <c r="M823" s="49"/>
      <c r="T823" s="48"/>
    </row>
    <row r="824" spans="2:20" ht="23.4" x14ac:dyDescent="0.25">
      <c r="B824" s="47"/>
      <c r="F824" s="46"/>
      <c r="M824" s="49"/>
      <c r="T824" s="48"/>
    </row>
    <row r="825" spans="2:20" ht="23.4" x14ac:dyDescent="0.25">
      <c r="B825" s="47"/>
      <c r="F825" s="46"/>
      <c r="M825" s="49"/>
      <c r="T825" s="48"/>
    </row>
    <row r="826" spans="2:20" ht="23.4" x14ac:dyDescent="0.25">
      <c r="B826" s="47"/>
      <c r="F826" s="46"/>
      <c r="M826" s="49"/>
      <c r="T826" s="48"/>
    </row>
    <row r="827" spans="2:20" ht="26.4" x14ac:dyDescent="0.25">
      <c r="B827" s="47"/>
      <c r="F827" s="46"/>
      <c r="M827" s="49"/>
      <c r="T827" s="45"/>
    </row>
    <row r="828" spans="2:20" ht="23.4" x14ac:dyDescent="0.25">
      <c r="B828" s="47"/>
      <c r="F828" s="46"/>
      <c r="M828" s="49"/>
      <c r="T828" s="48"/>
    </row>
    <row r="829" spans="2:20" ht="23.4" x14ac:dyDescent="0.25">
      <c r="B829" s="47"/>
      <c r="F829" s="46"/>
      <c r="M829" s="49"/>
      <c r="T829" s="48"/>
    </row>
    <row r="830" spans="2:20" ht="23.4" x14ac:dyDescent="0.25">
      <c r="B830" s="47"/>
      <c r="F830" s="46"/>
      <c r="M830" s="49"/>
      <c r="T830" s="48"/>
    </row>
    <row r="831" spans="2:20" ht="23.4" x14ac:dyDescent="0.25">
      <c r="B831" s="47"/>
      <c r="F831" s="46"/>
      <c r="M831" s="49"/>
      <c r="T831" s="48"/>
    </row>
    <row r="832" spans="2:20" ht="23.4" x14ac:dyDescent="0.25">
      <c r="B832" s="47"/>
      <c r="F832" s="46"/>
      <c r="M832" s="49"/>
      <c r="T832" s="48"/>
    </row>
    <row r="833" spans="2:20" ht="23.4" x14ac:dyDescent="0.25">
      <c r="B833" s="47"/>
      <c r="F833" s="46"/>
      <c r="M833" s="49"/>
      <c r="T833" s="48"/>
    </row>
    <row r="834" spans="2:20" ht="26.4" x14ac:dyDescent="0.25">
      <c r="B834" s="47"/>
      <c r="F834" s="46"/>
      <c r="M834" s="49"/>
      <c r="T834" s="45"/>
    </row>
    <row r="835" spans="2:20" ht="23.4" x14ac:dyDescent="0.25">
      <c r="B835" s="47"/>
      <c r="F835" s="46"/>
      <c r="M835" s="49"/>
      <c r="T835" s="48"/>
    </row>
    <row r="836" spans="2:20" ht="23.4" x14ac:dyDescent="0.25">
      <c r="B836" s="47"/>
      <c r="F836" s="46"/>
      <c r="M836" s="49"/>
      <c r="T836" s="48"/>
    </row>
    <row r="837" spans="2:20" ht="23.4" x14ac:dyDescent="0.25">
      <c r="B837" s="47"/>
      <c r="F837" s="46"/>
      <c r="M837" s="49"/>
      <c r="T837" s="48"/>
    </row>
    <row r="838" spans="2:20" ht="23.4" x14ac:dyDescent="0.25">
      <c r="B838" s="47"/>
      <c r="F838" s="46"/>
      <c r="M838" s="49"/>
      <c r="T838" s="48"/>
    </row>
    <row r="839" spans="2:20" ht="23.4" x14ac:dyDescent="0.25">
      <c r="B839" s="47"/>
      <c r="F839" s="46"/>
      <c r="M839" s="49"/>
      <c r="T839" s="48"/>
    </row>
    <row r="840" spans="2:20" ht="23.4" x14ac:dyDescent="0.25">
      <c r="B840" s="47"/>
      <c r="F840" s="46"/>
      <c r="M840" s="49"/>
      <c r="T840" s="48"/>
    </row>
    <row r="841" spans="2:20" ht="26.4" x14ac:dyDescent="0.25">
      <c r="B841" s="47"/>
      <c r="F841" s="46"/>
      <c r="M841" s="49"/>
      <c r="T841" s="45"/>
    </row>
    <row r="842" spans="2:20" ht="23.4" x14ac:dyDescent="0.25">
      <c r="B842" s="47"/>
      <c r="F842" s="46"/>
      <c r="M842" s="49"/>
      <c r="T842" s="48"/>
    </row>
    <row r="843" spans="2:20" ht="23.4" x14ac:dyDescent="0.25">
      <c r="B843" s="47"/>
      <c r="F843" s="46"/>
      <c r="M843" s="49"/>
      <c r="T843" s="48"/>
    </row>
    <row r="844" spans="2:20" ht="23.4" x14ac:dyDescent="0.25">
      <c r="B844" s="47"/>
      <c r="F844" s="46"/>
      <c r="M844" s="49"/>
      <c r="T844" s="48"/>
    </row>
    <row r="845" spans="2:20" ht="23.4" x14ac:dyDescent="0.25">
      <c r="B845" s="47"/>
      <c r="F845" s="46"/>
      <c r="M845" s="49"/>
      <c r="T845" s="48"/>
    </row>
    <row r="846" spans="2:20" ht="23.4" x14ac:dyDescent="0.25">
      <c r="B846" s="47"/>
      <c r="F846" s="46"/>
      <c r="M846" s="49"/>
      <c r="T846" s="48"/>
    </row>
    <row r="847" spans="2:20" ht="23.4" x14ac:dyDescent="0.25">
      <c r="B847" s="47"/>
      <c r="F847" s="46"/>
      <c r="M847" s="49"/>
      <c r="T847" s="48"/>
    </row>
    <row r="848" spans="2:20" ht="26.4" x14ac:dyDescent="0.25">
      <c r="B848" s="47"/>
      <c r="F848" s="46"/>
      <c r="M848" s="49"/>
      <c r="T848" s="45"/>
    </row>
    <row r="849" spans="2:20" ht="23.4" x14ac:dyDescent="0.25">
      <c r="B849" s="47"/>
      <c r="F849" s="46"/>
      <c r="M849" s="49"/>
      <c r="T849" s="48"/>
    </row>
    <row r="850" spans="2:20" ht="23.4" x14ac:dyDescent="0.25">
      <c r="B850" s="47"/>
      <c r="F850" s="46"/>
      <c r="M850" s="49"/>
      <c r="T850" s="48"/>
    </row>
    <row r="851" spans="2:20" ht="23.4" x14ac:dyDescent="0.25">
      <c r="B851" s="47"/>
      <c r="F851" s="46"/>
      <c r="M851" s="49"/>
      <c r="T851" s="48"/>
    </row>
    <row r="852" spans="2:20" ht="23.4" x14ac:dyDescent="0.25">
      <c r="B852" s="47"/>
      <c r="F852" s="46"/>
      <c r="M852" s="49"/>
      <c r="T852" s="48"/>
    </row>
    <row r="853" spans="2:20" ht="23.4" x14ac:dyDescent="0.25">
      <c r="B853" s="47"/>
      <c r="F853" s="46"/>
      <c r="M853" s="49"/>
      <c r="T853" s="48"/>
    </row>
    <row r="854" spans="2:20" ht="23.4" x14ac:dyDescent="0.25">
      <c r="B854" s="47"/>
      <c r="F854" s="46"/>
      <c r="M854" s="49"/>
      <c r="T854" s="48"/>
    </row>
    <row r="855" spans="2:20" ht="26.4" x14ac:dyDescent="0.25">
      <c r="B855" s="47"/>
      <c r="F855" s="46"/>
      <c r="M855" s="49"/>
      <c r="T855" s="45"/>
    </row>
    <row r="856" spans="2:20" ht="23.4" x14ac:dyDescent="0.25">
      <c r="B856" s="47"/>
      <c r="F856" s="46"/>
      <c r="M856" s="49"/>
      <c r="T856" s="48"/>
    </row>
    <row r="857" spans="2:20" ht="23.4" x14ac:dyDescent="0.25">
      <c r="B857" s="47"/>
      <c r="F857" s="46"/>
      <c r="M857" s="49"/>
      <c r="T857" s="48"/>
    </row>
    <row r="858" spans="2:20" ht="23.4" x14ac:dyDescent="0.25">
      <c r="B858" s="47"/>
      <c r="F858" s="46"/>
      <c r="M858" s="49"/>
      <c r="T858" s="48"/>
    </row>
    <row r="859" spans="2:20" ht="23.4" x14ac:dyDescent="0.25">
      <c r="B859" s="47"/>
      <c r="F859" s="46"/>
      <c r="M859" s="49"/>
      <c r="T859" s="48"/>
    </row>
    <row r="860" spans="2:20" ht="23.4" x14ac:dyDescent="0.25">
      <c r="B860" s="47"/>
      <c r="F860" s="46"/>
      <c r="M860" s="49"/>
      <c r="T860" s="48"/>
    </row>
    <row r="861" spans="2:20" ht="23.4" x14ac:dyDescent="0.25">
      <c r="B861" s="47"/>
      <c r="F861" s="46"/>
      <c r="M861" s="49"/>
      <c r="T861" s="48"/>
    </row>
    <row r="862" spans="2:20" ht="26.4" x14ac:dyDescent="0.25">
      <c r="B862" s="47"/>
      <c r="F862" s="46"/>
      <c r="M862" s="49"/>
      <c r="T862" s="45"/>
    </row>
    <row r="863" spans="2:20" ht="23.4" x14ac:dyDescent="0.25">
      <c r="B863" s="47"/>
      <c r="F863" s="46"/>
      <c r="M863" s="49"/>
      <c r="T863" s="48"/>
    </row>
    <row r="864" spans="2:20" ht="23.4" x14ac:dyDescent="0.25">
      <c r="B864" s="47"/>
      <c r="F864" s="46"/>
      <c r="M864" s="49"/>
      <c r="T864" s="48"/>
    </row>
    <row r="865" spans="2:20" ht="23.4" x14ac:dyDescent="0.25">
      <c r="B865" s="47"/>
      <c r="F865" s="46"/>
      <c r="M865" s="49"/>
      <c r="T865" s="48"/>
    </row>
    <row r="866" spans="2:20" ht="23.4" x14ac:dyDescent="0.25">
      <c r="B866" s="47"/>
      <c r="F866" s="46"/>
      <c r="M866" s="49"/>
      <c r="T866" s="48"/>
    </row>
    <row r="867" spans="2:20" ht="23.4" x14ac:dyDescent="0.25">
      <c r="B867" s="47"/>
      <c r="F867" s="46"/>
      <c r="M867" s="49"/>
      <c r="T867" s="48"/>
    </row>
    <row r="868" spans="2:20" ht="23.4" x14ac:dyDescent="0.25">
      <c r="B868" s="47"/>
      <c r="F868" s="46"/>
      <c r="M868" s="49"/>
      <c r="T868" s="48"/>
    </row>
    <row r="869" spans="2:20" ht="26.4" x14ac:dyDescent="0.25">
      <c r="B869" s="47"/>
      <c r="F869" s="46"/>
      <c r="M869" s="49"/>
      <c r="T869" s="45"/>
    </row>
    <row r="870" spans="2:20" ht="23.4" x14ac:dyDescent="0.25">
      <c r="B870" s="47"/>
      <c r="F870" s="46"/>
      <c r="M870" s="49"/>
      <c r="T870" s="48"/>
    </row>
    <row r="871" spans="2:20" ht="23.4" x14ac:dyDescent="0.25">
      <c r="B871" s="47"/>
      <c r="F871" s="46"/>
      <c r="M871" s="49"/>
      <c r="T871" s="48"/>
    </row>
    <row r="872" spans="2:20" ht="23.4" x14ac:dyDescent="0.25">
      <c r="B872" s="47"/>
      <c r="F872" s="46"/>
      <c r="M872" s="49"/>
      <c r="T872" s="48"/>
    </row>
    <row r="873" spans="2:20" ht="23.4" x14ac:dyDescent="0.25">
      <c r="B873" s="47"/>
      <c r="F873" s="46"/>
      <c r="M873" s="49"/>
      <c r="T873" s="48"/>
    </row>
    <row r="874" spans="2:20" ht="23.4" x14ac:dyDescent="0.25">
      <c r="B874" s="47"/>
      <c r="F874" s="46"/>
      <c r="M874" s="49"/>
      <c r="T874" s="48"/>
    </row>
    <row r="875" spans="2:20" ht="23.4" x14ac:dyDescent="0.25">
      <c r="B875" s="47"/>
      <c r="F875" s="46"/>
      <c r="M875" s="49"/>
      <c r="T875" s="48"/>
    </row>
    <row r="876" spans="2:20" ht="26.4" x14ac:dyDescent="0.25">
      <c r="B876" s="47"/>
      <c r="F876" s="46"/>
      <c r="M876" s="49"/>
      <c r="T876" s="45"/>
    </row>
    <row r="877" spans="2:20" ht="23.4" x14ac:dyDescent="0.25">
      <c r="B877" s="47"/>
      <c r="F877" s="46"/>
      <c r="M877" s="49"/>
      <c r="T877" s="48"/>
    </row>
    <row r="878" spans="2:20" ht="23.4" x14ac:dyDescent="0.25">
      <c r="B878" s="47"/>
      <c r="F878" s="46"/>
      <c r="M878" s="49"/>
      <c r="T878" s="48"/>
    </row>
    <row r="879" spans="2:20" ht="23.4" x14ac:dyDescent="0.25">
      <c r="B879" s="47"/>
      <c r="F879" s="46"/>
      <c r="M879" s="49"/>
      <c r="T879" s="48"/>
    </row>
    <row r="880" spans="2:20" ht="23.4" x14ac:dyDescent="0.25">
      <c r="B880" s="47"/>
      <c r="F880" s="46"/>
      <c r="M880" s="49"/>
      <c r="T880" s="48"/>
    </row>
    <row r="881" spans="2:20" ht="23.4" x14ac:dyDescent="0.25">
      <c r="B881" s="47"/>
      <c r="F881" s="46"/>
      <c r="M881" s="49"/>
      <c r="T881" s="48"/>
    </row>
    <row r="882" spans="2:20" ht="23.4" x14ac:dyDescent="0.25">
      <c r="B882" s="47"/>
      <c r="F882" s="46"/>
      <c r="M882" s="49"/>
      <c r="T882" s="48"/>
    </row>
    <row r="883" spans="2:20" ht="26.4" x14ac:dyDescent="0.25">
      <c r="B883" s="47"/>
      <c r="F883" s="46"/>
      <c r="M883" s="49"/>
      <c r="T883" s="45"/>
    </row>
    <row r="884" spans="2:20" ht="23.4" x14ac:dyDescent="0.25">
      <c r="B884" s="47"/>
      <c r="F884" s="46"/>
      <c r="M884" s="49"/>
      <c r="T884" s="48"/>
    </row>
    <row r="885" spans="2:20" ht="23.4" x14ac:dyDescent="0.25">
      <c r="B885" s="47"/>
      <c r="F885" s="46"/>
      <c r="M885" s="49"/>
      <c r="T885" s="48"/>
    </row>
    <row r="886" spans="2:20" ht="23.4" x14ac:dyDescent="0.25">
      <c r="B886" s="47"/>
      <c r="F886" s="46"/>
      <c r="M886" s="49"/>
      <c r="T886" s="48"/>
    </row>
    <row r="887" spans="2:20" ht="23.4" x14ac:dyDescent="0.25">
      <c r="B887" s="47"/>
      <c r="F887" s="46"/>
      <c r="M887" s="49"/>
      <c r="T887" s="48"/>
    </row>
    <row r="888" spans="2:20" ht="23.4" x14ac:dyDescent="0.25">
      <c r="B888" s="47"/>
      <c r="F888" s="46"/>
      <c r="M888" s="49"/>
      <c r="T888" s="48"/>
    </row>
    <row r="889" spans="2:20" ht="23.4" x14ac:dyDescent="0.25">
      <c r="B889" s="47"/>
      <c r="F889" s="46"/>
      <c r="M889" s="49"/>
      <c r="T889" s="48"/>
    </row>
    <row r="890" spans="2:20" ht="26.4" x14ac:dyDescent="0.25">
      <c r="B890" s="47"/>
      <c r="F890" s="46"/>
      <c r="M890" s="49"/>
      <c r="T890" s="45"/>
    </row>
    <row r="891" spans="2:20" ht="23.4" x14ac:dyDescent="0.25">
      <c r="B891" s="47"/>
      <c r="F891" s="46"/>
      <c r="M891" s="49"/>
      <c r="T891" s="48"/>
    </row>
    <row r="892" spans="2:20" ht="23.4" x14ac:dyDescent="0.25">
      <c r="B892" s="47"/>
      <c r="F892" s="46"/>
      <c r="M892" s="49"/>
      <c r="T892" s="48"/>
    </row>
    <row r="893" spans="2:20" ht="23.4" x14ac:dyDescent="0.25">
      <c r="B893" s="47"/>
      <c r="F893" s="46"/>
      <c r="M893" s="49"/>
      <c r="T893" s="48"/>
    </row>
    <row r="894" spans="2:20" ht="23.4" x14ac:dyDescent="0.25">
      <c r="B894" s="47"/>
      <c r="F894" s="46"/>
      <c r="M894" s="49"/>
      <c r="T894" s="48"/>
    </row>
    <row r="895" spans="2:20" ht="23.4" x14ac:dyDescent="0.25">
      <c r="B895" s="47"/>
      <c r="F895" s="46"/>
      <c r="M895" s="49"/>
      <c r="T895" s="48"/>
    </row>
    <row r="896" spans="2:20" ht="23.4" x14ac:dyDescent="0.25">
      <c r="B896" s="47"/>
      <c r="F896" s="46"/>
      <c r="M896" s="49"/>
      <c r="T896" s="48"/>
    </row>
    <row r="897" spans="2:20" ht="26.4" x14ac:dyDescent="0.25">
      <c r="B897" s="47"/>
      <c r="F897" s="46"/>
      <c r="M897" s="49"/>
      <c r="T897" s="45"/>
    </row>
    <row r="898" spans="2:20" ht="23.4" x14ac:dyDescent="0.25">
      <c r="B898" s="47"/>
      <c r="F898" s="46"/>
      <c r="M898" s="49"/>
      <c r="T898" s="48"/>
    </row>
    <row r="899" spans="2:20" ht="23.4" x14ac:dyDescent="0.25">
      <c r="B899" s="47"/>
      <c r="F899" s="46"/>
      <c r="M899" s="49"/>
      <c r="T899" s="48"/>
    </row>
    <row r="900" spans="2:20" ht="23.4" x14ac:dyDescent="0.25">
      <c r="B900" s="47"/>
      <c r="F900" s="46"/>
      <c r="M900" s="49"/>
      <c r="T900" s="48"/>
    </row>
    <row r="901" spans="2:20" ht="23.4" x14ac:dyDescent="0.25">
      <c r="B901" s="47"/>
      <c r="F901" s="46"/>
      <c r="M901" s="49"/>
      <c r="T901" s="48"/>
    </row>
    <row r="902" spans="2:20" ht="23.4" x14ac:dyDescent="0.25">
      <c r="B902" s="47"/>
      <c r="F902" s="46"/>
      <c r="M902" s="49"/>
      <c r="T902" s="48"/>
    </row>
    <row r="903" spans="2:20" ht="23.4" x14ac:dyDescent="0.25">
      <c r="B903" s="47"/>
      <c r="F903" s="46"/>
      <c r="M903" s="49"/>
      <c r="T903" s="48"/>
    </row>
    <row r="904" spans="2:20" ht="26.4" x14ac:dyDescent="0.25">
      <c r="B904" s="47"/>
      <c r="F904" s="46"/>
      <c r="M904" s="49"/>
      <c r="T904" s="45"/>
    </row>
    <row r="905" spans="2:20" ht="23.4" x14ac:dyDescent="0.25">
      <c r="B905" s="47"/>
      <c r="F905" s="46"/>
      <c r="M905" s="49"/>
      <c r="T905" s="48"/>
    </row>
    <row r="906" spans="2:20" ht="23.4" x14ac:dyDescent="0.25">
      <c r="B906" s="47"/>
      <c r="F906" s="46"/>
      <c r="M906" s="49"/>
      <c r="T906" s="48"/>
    </row>
    <row r="907" spans="2:20" ht="23.4" x14ac:dyDescent="0.25">
      <c r="B907" s="47"/>
      <c r="F907" s="46"/>
      <c r="M907" s="49"/>
      <c r="T907" s="48"/>
    </row>
    <row r="908" spans="2:20" ht="23.4" x14ac:dyDescent="0.25">
      <c r="B908" s="47"/>
      <c r="F908" s="46"/>
      <c r="M908" s="49"/>
      <c r="T908" s="48"/>
    </row>
    <row r="909" spans="2:20" ht="23.4" x14ac:dyDescent="0.25">
      <c r="B909" s="47"/>
      <c r="F909" s="46"/>
      <c r="M909" s="49"/>
      <c r="T909" s="48"/>
    </row>
    <row r="910" spans="2:20" ht="23.4" x14ac:dyDescent="0.25">
      <c r="B910" s="47"/>
      <c r="F910" s="46"/>
      <c r="M910" s="49"/>
      <c r="T910" s="48"/>
    </row>
    <row r="911" spans="2:20" ht="26.4" x14ac:dyDescent="0.25">
      <c r="B911" s="47"/>
      <c r="F911" s="46"/>
      <c r="M911" s="49"/>
      <c r="T911" s="45"/>
    </row>
    <row r="912" spans="2:20" ht="23.4" x14ac:dyDescent="0.25">
      <c r="B912" s="47"/>
      <c r="F912" s="46"/>
      <c r="M912" s="49"/>
      <c r="T912" s="48"/>
    </row>
    <row r="913" spans="2:20" ht="23.4" x14ac:dyDescent="0.25">
      <c r="B913" s="47"/>
      <c r="F913" s="46"/>
      <c r="M913" s="49"/>
      <c r="T913" s="48"/>
    </row>
    <row r="914" spans="2:20" ht="23.4" x14ac:dyDescent="0.25">
      <c r="B914" s="47"/>
      <c r="F914" s="46"/>
      <c r="M914" s="49"/>
      <c r="T914" s="48"/>
    </row>
    <row r="915" spans="2:20" ht="23.4" x14ac:dyDescent="0.25">
      <c r="B915" s="47"/>
      <c r="F915" s="46"/>
      <c r="M915" s="49"/>
      <c r="T915" s="48"/>
    </row>
    <row r="916" spans="2:20" ht="23.4" x14ac:dyDescent="0.25">
      <c r="B916" s="47"/>
      <c r="F916" s="46"/>
      <c r="M916" s="49"/>
      <c r="T916" s="48"/>
    </row>
    <row r="917" spans="2:20" ht="23.4" x14ac:dyDescent="0.25">
      <c r="B917" s="47"/>
      <c r="F917" s="46"/>
      <c r="M917" s="49"/>
      <c r="T917" s="48"/>
    </row>
    <row r="918" spans="2:20" ht="26.4" x14ac:dyDescent="0.25">
      <c r="B918" s="47"/>
      <c r="F918" s="46"/>
      <c r="M918" s="49"/>
      <c r="T918" s="45"/>
    </row>
    <row r="919" spans="2:20" ht="23.4" x14ac:dyDescent="0.25">
      <c r="B919" s="47"/>
      <c r="F919" s="46"/>
      <c r="M919" s="49"/>
      <c r="T919" s="48"/>
    </row>
    <row r="920" spans="2:20" ht="23.4" x14ac:dyDescent="0.25">
      <c r="B920" s="47"/>
      <c r="F920" s="46"/>
      <c r="M920" s="49"/>
      <c r="T920" s="48"/>
    </row>
    <row r="921" spans="2:20" ht="23.4" x14ac:dyDescent="0.25">
      <c r="B921" s="47"/>
      <c r="F921" s="46"/>
      <c r="M921" s="49"/>
      <c r="T921" s="48"/>
    </row>
    <row r="922" spans="2:20" ht="23.4" x14ac:dyDescent="0.25">
      <c r="B922" s="47"/>
      <c r="F922" s="46"/>
      <c r="M922" s="49"/>
      <c r="T922" s="48"/>
    </row>
    <row r="923" spans="2:20" ht="23.4" x14ac:dyDescent="0.25">
      <c r="B923" s="47"/>
      <c r="F923" s="46"/>
      <c r="M923" s="49"/>
      <c r="T923" s="48"/>
    </row>
    <row r="924" spans="2:20" ht="23.4" x14ac:dyDescent="0.25">
      <c r="B924" s="47"/>
      <c r="F924" s="46"/>
      <c r="M924" s="49"/>
      <c r="T924" s="48"/>
    </row>
    <row r="925" spans="2:20" ht="26.4" x14ac:dyDescent="0.25">
      <c r="B925" s="47"/>
      <c r="F925" s="46"/>
      <c r="M925" s="49"/>
      <c r="T925" s="45"/>
    </row>
    <row r="926" spans="2:20" ht="23.4" x14ac:dyDescent="0.25">
      <c r="B926" s="47"/>
      <c r="F926" s="46"/>
      <c r="M926" s="49"/>
      <c r="T926" s="48"/>
    </row>
    <row r="927" spans="2:20" ht="23.4" x14ac:dyDescent="0.25">
      <c r="B927" s="47"/>
      <c r="F927" s="46"/>
      <c r="M927" s="49"/>
      <c r="T927" s="48"/>
    </row>
    <row r="928" spans="2:20" ht="23.4" x14ac:dyDescent="0.25">
      <c r="B928" s="47"/>
      <c r="F928" s="46"/>
      <c r="M928" s="49"/>
      <c r="T928" s="48"/>
    </row>
    <row r="929" spans="2:20" ht="23.4" x14ac:dyDescent="0.25">
      <c r="B929" s="47"/>
      <c r="F929" s="46"/>
      <c r="M929" s="49"/>
      <c r="T929" s="48"/>
    </row>
    <row r="930" spans="2:20" ht="23.4" x14ac:dyDescent="0.25">
      <c r="B930" s="47"/>
      <c r="F930" s="46"/>
      <c r="M930" s="49"/>
      <c r="T930" s="48"/>
    </row>
    <row r="931" spans="2:20" ht="23.4" x14ac:dyDescent="0.25">
      <c r="B931" s="47"/>
      <c r="F931" s="46"/>
      <c r="M931" s="49"/>
      <c r="T931" s="48"/>
    </row>
    <row r="932" spans="2:20" ht="26.4" x14ac:dyDescent="0.25">
      <c r="B932" s="47"/>
      <c r="F932" s="46"/>
      <c r="M932" s="49"/>
      <c r="T932" s="45"/>
    </row>
    <row r="933" spans="2:20" ht="23.4" x14ac:dyDescent="0.25">
      <c r="B933" s="47"/>
      <c r="F933" s="46"/>
      <c r="M933" s="49"/>
      <c r="T933" s="48"/>
    </row>
    <row r="934" spans="2:20" ht="23.4" x14ac:dyDescent="0.25">
      <c r="B934" s="47"/>
      <c r="F934" s="46"/>
      <c r="M934" s="49"/>
      <c r="T934" s="48"/>
    </row>
    <row r="935" spans="2:20" ht="23.4" x14ac:dyDescent="0.25">
      <c r="B935" s="47"/>
      <c r="F935" s="46"/>
      <c r="M935" s="49"/>
      <c r="T935" s="48"/>
    </row>
    <row r="936" spans="2:20" ht="23.4" x14ac:dyDescent="0.25">
      <c r="B936" s="47"/>
      <c r="F936" s="46"/>
      <c r="M936" s="49"/>
      <c r="T936" s="48"/>
    </row>
    <row r="937" spans="2:20" ht="23.4" x14ac:dyDescent="0.25">
      <c r="B937" s="47"/>
      <c r="F937" s="46"/>
      <c r="M937" s="49"/>
      <c r="T937" s="48"/>
    </row>
    <row r="938" spans="2:20" ht="23.4" x14ac:dyDescent="0.25">
      <c r="B938" s="47"/>
      <c r="F938" s="46"/>
      <c r="M938" s="49"/>
      <c r="T938" s="48"/>
    </row>
    <row r="939" spans="2:20" ht="26.4" x14ac:dyDescent="0.25">
      <c r="B939" s="47"/>
      <c r="F939" s="46"/>
      <c r="M939" s="49"/>
      <c r="T939" s="45"/>
    </row>
    <row r="940" spans="2:20" ht="23.4" x14ac:dyDescent="0.25">
      <c r="B940" s="47"/>
      <c r="F940" s="46"/>
      <c r="M940" s="49"/>
      <c r="T940" s="48"/>
    </row>
    <row r="941" spans="2:20" ht="23.4" x14ac:dyDescent="0.25">
      <c r="B941" s="47"/>
      <c r="F941" s="46"/>
      <c r="M941" s="49"/>
      <c r="T941" s="48"/>
    </row>
    <row r="942" spans="2:20" ht="23.4" x14ac:dyDescent="0.25">
      <c r="B942" s="47"/>
      <c r="F942" s="46"/>
      <c r="M942" s="49"/>
      <c r="T942" s="48"/>
    </row>
    <row r="943" spans="2:20" ht="23.4" x14ac:dyDescent="0.25">
      <c r="B943" s="47"/>
      <c r="F943" s="46"/>
      <c r="M943" s="49"/>
      <c r="T943" s="48"/>
    </row>
    <row r="944" spans="2:20" ht="23.4" x14ac:dyDescent="0.25">
      <c r="B944" s="47"/>
      <c r="F944" s="46"/>
      <c r="M944" s="49"/>
      <c r="T944" s="48"/>
    </row>
    <row r="945" spans="2:20" ht="23.4" x14ac:dyDescent="0.25">
      <c r="B945" s="47"/>
      <c r="F945" s="46"/>
      <c r="M945" s="49"/>
      <c r="T945" s="48"/>
    </row>
    <row r="946" spans="2:20" ht="26.4" x14ac:dyDescent="0.25">
      <c r="B946" s="47"/>
      <c r="F946" s="46"/>
      <c r="M946" s="49"/>
      <c r="T946" s="45"/>
    </row>
    <row r="947" spans="2:20" ht="23.4" x14ac:dyDescent="0.25">
      <c r="B947" s="47"/>
      <c r="F947" s="46"/>
      <c r="M947" s="49"/>
      <c r="T947" s="48"/>
    </row>
    <row r="948" spans="2:20" ht="23.4" x14ac:dyDescent="0.25">
      <c r="B948" s="47"/>
      <c r="F948" s="46"/>
      <c r="M948" s="49"/>
      <c r="T948" s="48"/>
    </row>
    <row r="949" spans="2:20" ht="23.4" x14ac:dyDescent="0.25">
      <c r="B949" s="47"/>
      <c r="F949" s="46"/>
      <c r="M949" s="49"/>
      <c r="T949" s="48"/>
    </row>
    <row r="950" spans="2:20" ht="23.4" x14ac:dyDescent="0.25">
      <c r="B950" s="47"/>
      <c r="F950" s="46"/>
      <c r="M950" s="49"/>
      <c r="T950" s="48"/>
    </row>
    <row r="951" spans="2:20" ht="23.4" x14ac:dyDescent="0.25">
      <c r="B951" s="47"/>
      <c r="F951" s="46"/>
      <c r="M951" s="49"/>
      <c r="T951" s="48"/>
    </row>
    <row r="952" spans="2:20" ht="23.4" x14ac:dyDescent="0.25">
      <c r="B952" s="47"/>
      <c r="F952" s="46"/>
      <c r="M952" s="49"/>
      <c r="T952" s="48"/>
    </row>
    <row r="953" spans="2:20" ht="26.4" x14ac:dyDescent="0.25">
      <c r="B953" s="47"/>
      <c r="F953" s="46"/>
      <c r="M953" s="49"/>
      <c r="T953" s="45"/>
    </row>
    <row r="954" spans="2:20" ht="23.4" x14ac:dyDescent="0.25">
      <c r="B954" s="47"/>
      <c r="F954" s="46"/>
      <c r="M954" s="49"/>
      <c r="T954" s="48"/>
    </row>
    <row r="955" spans="2:20" ht="23.4" x14ac:dyDescent="0.25">
      <c r="B955" s="47"/>
      <c r="F955" s="46"/>
      <c r="M955" s="49"/>
      <c r="T955" s="48"/>
    </row>
    <row r="956" spans="2:20" ht="23.4" x14ac:dyDescent="0.25">
      <c r="B956" s="47"/>
      <c r="F956" s="46"/>
      <c r="M956" s="49"/>
      <c r="T956" s="48"/>
    </row>
    <row r="957" spans="2:20" ht="23.4" x14ac:dyDescent="0.25">
      <c r="B957" s="47"/>
      <c r="F957" s="46"/>
      <c r="M957" s="49"/>
      <c r="T957" s="48"/>
    </row>
    <row r="958" spans="2:20" ht="23.4" x14ac:dyDescent="0.25">
      <c r="B958" s="47"/>
      <c r="F958" s="46"/>
      <c r="M958" s="49"/>
      <c r="T958" s="48"/>
    </row>
    <row r="959" spans="2:20" ht="23.4" x14ac:dyDescent="0.25">
      <c r="B959" s="47"/>
      <c r="F959" s="46"/>
      <c r="M959" s="49"/>
      <c r="T959" s="48"/>
    </row>
    <row r="960" spans="2:20" ht="26.4" x14ac:dyDescent="0.25">
      <c r="B960" s="47"/>
      <c r="F960" s="46"/>
      <c r="M960" s="49"/>
      <c r="T960" s="45"/>
    </row>
    <row r="961" spans="2:20" ht="23.4" x14ac:dyDescent="0.25">
      <c r="B961" s="47"/>
      <c r="F961" s="46"/>
      <c r="M961" s="49"/>
      <c r="T961" s="48"/>
    </row>
    <row r="962" spans="2:20" ht="23.4" x14ac:dyDescent="0.25">
      <c r="B962" s="47"/>
      <c r="F962" s="46"/>
      <c r="M962" s="49"/>
      <c r="T962" s="48"/>
    </row>
    <row r="963" spans="2:20" ht="23.4" x14ac:dyDescent="0.25">
      <c r="B963" s="47"/>
      <c r="F963" s="46"/>
      <c r="M963" s="49"/>
      <c r="T963" s="48"/>
    </row>
    <row r="964" spans="2:20" ht="23.4" x14ac:dyDescent="0.25">
      <c r="B964" s="47"/>
      <c r="F964" s="46"/>
      <c r="M964" s="49"/>
      <c r="T964" s="48"/>
    </row>
    <row r="965" spans="2:20" ht="23.4" x14ac:dyDescent="0.25">
      <c r="B965" s="47"/>
      <c r="F965" s="46"/>
      <c r="M965" s="49"/>
      <c r="T965" s="48"/>
    </row>
    <row r="966" spans="2:20" ht="23.4" x14ac:dyDescent="0.25">
      <c r="B966" s="47"/>
      <c r="F966" s="46"/>
      <c r="M966" s="49"/>
      <c r="T966" s="48"/>
    </row>
    <row r="967" spans="2:20" ht="26.4" x14ac:dyDescent="0.25">
      <c r="B967" s="47"/>
      <c r="F967" s="46"/>
      <c r="M967" s="49"/>
      <c r="T967" s="45"/>
    </row>
    <row r="968" spans="2:20" ht="23.4" x14ac:dyDescent="0.25">
      <c r="B968" s="47"/>
      <c r="F968" s="46"/>
      <c r="M968" s="49"/>
      <c r="T968" s="48"/>
    </row>
    <row r="969" spans="2:20" ht="23.4" x14ac:dyDescent="0.25">
      <c r="B969" s="47"/>
      <c r="F969" s="46"/>
      <c r="M969" s="49"/>
      <c r="T969" s="48"/>
    </row>
    <row r="970" spans="2:20" ht="23.4" x14ac:dyDescent="0.25">
      <c r="B970" s="47"/>
      <c r="F970" s="46"/>
      <c r="M970" s="49"/>
      <c r="T970" s="48"/>
    </row>
    <row r="971" spans="2:20" ht="23.4" x14ac:dyDescent="0.25">
      <c r="B971" s="47"/>
      <c r="F971" s="46"/>
      <c r="M971" s="49"/>
      <c r="T971" s="48"/>
    </row>
    <row r="972" spans="2:20" ht="23.4" x14ac:dyDescent="0.25">
      <c r="B972" s="47"/>
      <c r="F972" s="46"/>
      <c r="M972" s="49"/>
      <c r="T972" s="48"/>
    </row>
    <row r="973" spans="2:20" ht="23.4" x14ac:dyDescent="0.25">
      <c r="B973" s="47"/>
      <c r="F973" s="46"/>
      <c r="M973" s="49"/>
      <c r="T973" s="48"/>
    </row>
    <row r="974" spans="2:20" ht="26.4" x14ac:dyDescent="0.25">
      <c r="B974" s="47"/>
      <c r="F974" s="46"/>
      <c r="M974" s="49"/>
      <c r="T974" s="45"/>
    </row>
    <row r="975" spans="2:20" ht="23.4" x14ac:dyDescent="0.25">
      <c r="B975" s="47"/>
      <c r="F975" s="46"/>
      <c r="M975" s="49"/>
      <c r="T975" s="48"/>
    </row>
    <row r="976" spans="2:20" ht="23.4" x14ac:dyDescent="0.25">
      <c r="B976" s="47"/>
      <c r="F976" s="46"/>
      <c r="M976" s="49"/>
      <c r="T976" s="48"/>
    </row>
    <row r="977" spans="2:20" ht="23.4" x14ac:dyDescent="0.25">
      <c r="B977" s="47"/>
      <c r="F977" s="46"/>
      <c r="M977" s="49"/>
      <c r="T977" s="48"/>
    </row>
    <row r="978" spans="2:20" ht="23.4" x14ac:dyDescent="0.25">
      <c r="B978" s="47"/>
      <c r="F978" s="46"/>
      <c r="M978" s="49"/>
      <c r="T978" s="48"/>
    </row>
    <row r="979" spans="2:20" ht="23.4" x14ac:dyDescent="0.25">
      <c r="B979" s="47"/>
      <c r="F979" s="46"/>
      <c r="M979" s="49"/>
      <c r="T979" s="48"/>
    </row>
    <row r="980" spans="2:20" ht="23.4" x14ac:dyDescent="0.25">
      <c r="B980" s="47"/>
      <c r="F980" s="46"/>
      <c r="M980" s="49"/>
      <c r="T980" s="48"/>
    </row>
    <row r="981" spans="2:20" ht="26.4" x14ac:dyDescent="0.25">
      <c r="B981" s="47"/>
      <c r="F981" s="46"/>
      <c r="M981" s="49"/>
      <c r="T981" s="45"/>
    </row>
    <row r="982" spans="2:20" ht="23.4" x14ac:dyDescent="0.25">
      <c r="B982" s="47"/>
      <c r="F982" s="46"/>
      <c r="M982" s="49"/>
      <c r="T982" s="48"/>
    </row>
    <row r="983" spans="2:20" ht="23.4" x14ac:dyDescent="0.25">
      <c r="B983" s="47"/>
      <c r="F983" s="46"/>
      <c r="M983" s="49"/>
      <c r="T983" s="48"/>
    </row>
    <row r="984" spans="2:20" ht="23.4" x14ac:dyDescent="0.25">
      <c r="B984" s="47"/>
      <c r="F984" s="46"/>
      <c r="M984" s="49"/>
      <c r="T984" s="48"/>
    </row>
    <row r="985" spans="2:20" ht="23.4" x14ac:dyDescent="0.25">
      <c r="B985" s="47"/>
      <c r="F985" s="46"/>
      <c r="M985" s="49"/>
      <c r="T985" s="48"/>
    </row>
    <row r="986" spans="2:20" ht="23.4" x14ac:dyDescent="0.25">
      <c r="B986" s="47"/>
      <c r="F986" s="46"/>
      <c r="M986" s="49"/>
      <c r="T986" s="48"/>
    </row>
    <row r="987" spans="2:20" ht="23.4" x14ac:dyDescent="0.25">
      <c r="B987" s="47"/>
      <c r="F987" s="46"/>
      <c r="M987" s="49"/>
      <c r="T987" s="48"/>
    </row>
    <row r="988" spans="2:20" ht="26.4" x14ac:dyDescent="0.25">
      <c r="B988" s="47"/>
      <c r="F988" s="46"/>
      <c r="M988" s="49"/>
      <c r="T988" s="45"/>
    </row>
    <row r="989" spans="2:20" ht="23.4" x14ac:dyDescent="0.25">
      <c r="B989" s="47"/>
      <c r="F989" s="46"/>
      <c r="M989" s="49"/>
      <c r="T989" s="48"/>
    </row>
    <row r="990" spans="2:20" ht="23.4" x14ac:dyDescent="0.25">
      <c r="B990" s="47"/>
      <c r="F990" s="46"/>
      <c r="M990" s="49"/>
      <c r="T990" s="48"/>
    </row>
    <row r="991" spans="2:20" ht="23.4" x14ac:dyDescent="0.25">
      <c r="B991" s="47"/>
      <c r="F991" s="46"/>
      <c r="M991" s="49"/>
      <c r="T991" s="48"/>
    </row>
    <row r="992" spans="2:20" ht="23.4" x14ac:dyDescent="0.25">
      <c r="B992" s="47"/>
      <c r="F992" s="46"/>
      <c r="M992" s="49"/>
      <c r="T992" s="48"/>
    </row>
    <row r="993" spans="2:20" ht="23.4" x14ac:dyDescent="0.25">
      <c r="B993" s="47"/>
      <c r="F993" s="46"/>
      <c r="M993" s="49"/>
      <c r="T993" s="48"/>
    </row>
    <row r="994" spans="2:20" ht="23.4" x14ac:dyDescent="0.25">
      <c r="B994" s="47"/>
      <c r="F994" s="46"/>
      <c r="M994" s="49"/>
      <c r="T994" s="48"/>
    </row>
    <row r="995" spans="2:20" ht="26.4" x14ac:dyDescent="0.25">
      <c r="B995" s="47"/>
      <c r="F995" s="46"/>
      <c r="M995" s="49"/>
      <c r="T995" s="45"/>
    </row>
    <row r="996" spans="2:20" ht="23.4" x14ac:dyDescent="0.25">
      <c r="B996" s="47"/>
      <c r="F996" s="46"/>
      <c r="M996" s="49"/>
      <c r="T996" s="48"/>
    </row>
    <row r="997" spans="2:20" ht="23.4" x14ac:dyDescent="0.25">
      <c r="B997" s="47"/>
      <c r="F997" s="46"/>
      <c r="M997" s="49"/>
      <c r="T997" s="48"/>
    </row>
    <row r="998" spans="2:20" ht="23.4" x14ac:dyDescent="0.25">
      <c r="B998" s="47"/>
      <c r="F998" s="46"/>
      <c r="M998" s="49"/>
      <c r="T998" s="48"/>
    </row>
    <row r="999" spans="2:20" ht="23.4" x14ac:dyDescent="0.25">
      <c r="B999" s="47"/>
      <c r="F999" s="46"/>
      <c r="M999" s="49"/>
      <c r="T999" s="48"/>
    </row>
    <row r="1000" spans="2:20" ht="23.4" x14ac:dyDescent="0.25">
      <c r="B1000" s="47"/>
      <c r="F1000" s="46"/>
      <c r="M1000" s="49"/>
      <c r="T1000" s="48"/>
    </row>
    <row r="1001" spans="2:20" ht="23.4" x14ac:dyDescent="0.25">
      <c r="B1001" s="47"/>
      <c r="F1001" s="46"/>
      <c r="M1001" s="49"/>
      <c r="T1001" s="48"/>
    </row>
    <row r="1002" spans="2:20" ht="26.4" x14ac:dyDescent="0.25">
      <c r="B1002" s="47"/>
      <c r="F1002" s="46"/>
      <c r="M1002" s="49"/>
      <c r="T1002" s="45"/>
    </row>
    <row r="1003" spans="2:20" ht="23.4" x14ac:dyDescent="0.25">
      <c r="B1003" s="47"/>
      <c r="F1003" s="46"/>
      <c r="M1003" s="49"/>
      <c r="T1003" s="48"/>
    </row>
    <row r="1004" spans="2:20" ht="23.4" x14ac:dyDescent="0.25">
      <c r="B1004" s="47"/>
      <c r="F1004" s="46"/>
      <c r="M1004" s="49"/>
      <c r="T1004" s="48"/>
    </row>
    <row r="1005" spans="2:20" ht="23.4" x14ac:dyDescent="0.25">
      <c r="B1005" s="47"/>
      <c r="F1005" s="46"/>
      <c r="M1005" s="49"/>
      <c r="T1005" s="48"/>
    </row>
    <row r="1006" spans="2:20" ht="23.4" x14ac:dyDescent="0.25">
      <c r="B1006" s="47"/>
      <c r="F1006" s="46"/>
      <c r="M1006" s="49"/>
      <c r="T1006" s="48"/>
    </row>
    <row r="1007" spans="2:20" ht="23.4" x14ac:dyDescent="0.25">
      <c r="B1007" s="47"/>
      <c r="F1007" s="46"/>
      <c r="M1007" s="49"/>
      <c r="T1007" s="48"/>
    </row>
    <row r="1008" spans="2:20" ht="23.4" x14ac:dyDescent="0.25">
      <c r="B1008" s="47"/>
      <c r="F1008" s="46"/>
      <c r="M1008" s="49"/>
      <c r="T1008" s="48"/>
    </row>
    <row r="1009" spans="2:20" ht="26.4" x14ac:dyDescent="0.25">
      <c r="B1009" s="47"/>
      <c r="F1009" s="46"/>
      <c r="M1009" s="49"/>
      <c r="T1009" s="45"/>
    </row>
    <row r="1010" spans="2:20" ht="23.4" x14ac:dyDescent="0.25">
      <c r="B1010" s="47"/>
      <c r="F1010" s="46"/>
      <c r="M1010" s="49"/>
      <c r="T1010" s="48"/>
    </row>
    <row r="1011" spans="2:20" ht="23.4" x14ac:dyDescent="0.25">
      <c r="B1011" s="47"/>
      <c r="F1011" s="46"/>
      <c r="M1011" s="49"/>
      <c r="T1011" s="48"/>
    </row>
    <row r="1012" spans="2:20" ht="23.4" x14ac:dyDescent="0.25">
      <c r="B1012" s="47"/>
      <c r="F1012" s="46"/>
      <c r="M1012" s="49"/>
      <c r="T1012" s="48"/>
    </row>
    <row r="1013" spans="2:20" ht="23.4" x14ac:dyDescent="0.25">
      <c r="B1013" s="47"/>
      <c r="F1013" s="46"/>
      <c r="M1013" s="49"/>
      <c r="T1013" s="48"/>
    </row>
    <row r="1014" spans="2:20" ht="23.4" x14ac:dyDescent="0.25">
      <c r="B1014" s="47"/>
      <c r="F1014" s="46"/>
      <c r="M1014" s="49"/>
      <c r="T1014" s="48"/>
    </row>
    <row r="1015" spans="2:20" ht="23.4" x14ac:dyDescent="0.25">
      <c r="B1015" s="47"/>
      <c r="F1015" s="46"/>
      <c r="M1015" s="49"/>
      <c r="T1015" s="48"/>
    </row>
    <row r="1016" spans="2:20" ht="26.4" x14ac:dyDescent="0.25">
      <c r="B1016" s="47"/>
      <c r="F1016" s="46"/>
      <c r="M1016" s="49"/>
      <c r="T1016" s="45"/>
    </row>
    <row r="1017" spans="2:20" ht="23.4" x14ac:dyDescent="0.25">
      <c r="B1017" s="47"/>
      <c r="F1017" s="46"/>
      <c r="M1017" s="49"/>
      <c r="T1017" s="48"/>
    </row>
    <row r="1018" spans="2:20" ht="23.4" x14ac:dyDescent="0.25">
      <c r="B1018" s="47"/>
      <c r="F1018" s="46"/>
      <c r="M1018" s="49"/>
      <c r="T1018" s="48"/>
    </row>
    <row r="1019" spans="2:20" ht="23.4" x14ac:dyDescent="0.25">
      <c r="B1019" s="47"/>
      <c r="F1019" s="46"/>
      <c r="M1019" s="49"/>
      <c r="T1019" s="48"/>
    </row>
    <row r="1020" spans="2:20" ht="23.4" x14ac:dyDescent="0.25">
      <c r="B1020" s="47"/>
      <c r="F1020" s="46"/>
      <c r="M1020" s="49"/>
      <c r="T1020" s="48"/>
    </row>
    <row r="1021" spans="2:20" ht="23.4" x14ac:dyDescent="0.25">
      <c r="B1021" s="47"/>
      <c r="F1021" s="46"/>
      <c r="M1021" s="49"/>
      <c r="T1021" s="48"/>
    </row>
    <row r="1022" spans="2:20" ht="23.4" x14ac:dyDescent="0.25">
      <c r="B1022" s="47"/>
      <c r="F1022" s="46"/>
      <c r="M1022" s="49"/>
      <c r="T1022" s="48"/>
    </row>
    <row r="1023" spans="2:20" ht="26.4" x14ac:dyDescent="0.25">
      <c r="B1023" s="47"/>
      <c r="F1023" s="46"/>
      <c r="M1023" s="49"/>
      <c r="T1023" s="45"/>
    </row>
    <row r="1024" spans="2:20" ht="23.4" x14ac:dyDescent="0.25">
      <c r="B1024" s="47"/>
      <c r="F1024" s="46"/>
      <c r="M1024" s="49"/>
      <c r="T1024" s="48"/>
    </row>
    <row r="1025" spans="2:20" ht="23.4" x14ac:dyDescent="0.25">
      <c r="B1025" s="47"/>
      <c r="F1025" s="46"/>
      <c r="M1025" s="49"/>
      <c r="T1025" s="48"/>
    </row>
    <row r="1026" spans="2:20" ht="23.4" x14ac:dyDescent="0.25">
      <c r="B1026" s="47"/>
      <c r="F1026" s="46"/>
      <c r="M1026" s="49"/>
      <c r="T1026" s="48"/>
    </row>
    <row r="1027" spans="2:20" ht="23.4" x14ac:dyDescent="0.25">
      <c r="B1027" s="47"/>
      <c r="F1027" s="46"/>
      <c r="M1027" s="49"/>
      <c r="T1027" s="48"/>
    </row>
    <row r="1028" spans="2:20" ht="23.4" x14ac:dyDescent="0.25">
      <c r="B1028" s="47"/>
      <c r="F1028" s="46"/>
      <c r="M1028" s="49"/>
      <c r="T1028" s="48"/>
    </row>
    <row r="1029" spans="2:20" ht="23.4" x14ac:dyDescent="0.25">
      <c r="B1029" s="47"/>
      <c r="F1029" s="46"/>
      <c r="M1029" s="49"/>
      <c r="T1029" s="48"/>
    </row>
    <row r="1030" spans="2:20" ht="26.4" x14ac:dyDescent="0.25">
      <c r="B1030" s="47"/>
      <c r="F1030" s="46"/>
      <c r="M1030" s="49"/>
      <c r="T1030" s="45"/>
    </row>
    <row r="1031" spans="2:20" ht="23.4" x14ac:dyDescent="0.25">
      <c r="B1031" s="47"/>
      <c r="F1031" s="46"/>
      <c r="M1031" s="49"/>
      <c r="T1031" s="48"/>
    </row>
    <row r="1032" spans="2:20" ht="23.4" x14ac:dyDescent="0.25">
      <c r="B1032" s="47"/>
      <c r="F1032" s="46"/>
      <c r="M1032" s="49"/>
      <c r="T1032" s="48"/>
    </row>
    <row r="1033" spans="2:20" ht="23.4" x14ac:dyDescent="0.25">
      <c r="B1033" s="47"/>
      <c r="F1033" s="46"/>
      <c r="M1033" s="49"/>
      <c r="T1033" s="48"/>
    </row>
    <row r="1034" spans="2:20" ht="23.4" x14ac:dyDescent="0.25">
      <c r="B1034" s="47"/>
      <c r="F1034" s="46"/>
      <c r="M1034" s="49"/>
      <c r="T1034" s="48"/>
    </row>
    <row r="1035" spans="2:20" ht="23.4" x14ac:dyDescent="0.25">
      <c r="B1035" s="47"/>
      <c r="F1035" s="46"/>
      <c r="M1035" s="49"/>
      <c r="T1035" s="48"/>
    </row>
    <row r="1036" spans="2:20" ht="23.4" x14ac:dyDescent="0.25">
      <c r="B1036" s="47"/>
      <c r="F1036" s="46"/>
      <c r="M1036" s="49"/>
      <c r="T1036" s="48"/>
    </row>
    <row r="1037" spans="2:20" ht="26.4" x14ac:dyDescent="0.25">
      <c r="B1037" s="47"/>
      <c r="F1037" s="46"/>
      <c r="M1037" s="49"/>
      <c r="T1037" s="45"/>
    </row>
    <row r="1038" spans="2:20" ht="23.4" x14ac:dyDescent="0.25">
      <c r="B1038" s="47"/>
      <c r="F1038" s="46"/>
      <c r="M1038" s="49"/>
      <c r="T1038" s="48"/>
    </row>
    <row r="1039" spans="2:20" ht="23.4" x14ac:dyDescent="0.25">
      <c r="B1039" s="47"/>
      <c r="F1039" s="46"/>
      <c r="M1039" s="49"/>
      <c r="T1039" s="48"/>
    </row>
    <row r="1040" spans="2:20" ht="23.4" x14ac:dyDescent="0.25">
      <c r="B1040" s="47"/>
      <c r="F1040" s="46"/>
      <c r="M1040" s="49"/>
      <c r="T1040" s="48"/>
    </row>
    <row r="1041" spans="2:20" ht="23.4" x14ac:dyDescent="0.25">
      <c r="B1041" s="47"/>
      <c r="F1041" s="46"/>
      <c r="M1041" s="49"/>
      <c r="T1041" s="48"/>
    </row>
    <row r="1042" spans="2:20" ht="23.4" x14ac:dyDescent="0.25">
      <c r="B1042" s="47"/>
      <c r="F1042" s="46"/>
      <c r="M1042" s="49"/>
      <c r="T1042" s="48"/>
    </row>
    <row r="1043" spans="2:20" ht="23.4" x14ac:dyDescent="0.25">
      <c r="B1043" s="47"/>
      <c r="F1043" s="46"/>
      <c r="M1043" s="49"/>
      <c r="T1043" s="48"/>
    </row>
    <row r="1044" spans="2:20" ht="26.4" x14ac:dyDescent="0.25">
      <c r="B1044" s="47"/>
      <c r="F1044" s="46"/>
      <c r="M1044" s="49"/>
      <c r="T1044" s="45"/>
    </row>
    <row r="1045" spans="2:20" ht="23.4" x14ac:dyDescent="0.25">
      <c r="B1045" s="47"/>
      <c r="F1045" s="46"/>
      <c r="M1045" s="49"/>
      <c r="T1045" s="48"/>
    </row>
    <row r="1046" spans="2:20" ht="23.4" x14ac:dyDescent="0.25">
      <c r="B1046" s="47"/>
      <c r="F1046" s="46"/>
      <c r="M1046" s="49"/>
      <c r="T1046" s="48"/>
    </row>
    <row r="1047" spans="2:20" ht="23.4" x14ac:dyDescent="0.25">
      <c r="B1047" s="47"/>
      <c r="F1047" s="46"/>
      <c r="M1047" s="49"/>
      <c r="T1047" s="48"/>
    </row>
    <row r="1048" spans="2:20" ht="23.4" x14ac:dyDescent="0.25">
      <c r="B1048" s="47"/>
      <c r="F1048" s="46"/>
      <c r="M1048" s="49"/>
      <c r="T1048" s="48"/>
    </row>
    <row r="1049" spans="2:20" ht="23.4" x14ac:dyDescent="0.25">
      <c r="B1049" s="47"/>
      <c r="F1049" s="46"/>
      <c r="M1049" s="49"/>
      <c r="T1049" s="48"/>
    </row>
    <row r="1050" spans="2:20" ht="23.4" x14ac:dyDescent="0.25">
      <c r="B1050" s="47"/>
      <c r="F1050" s="46"/>
      <c r="M1050" s="49"/>
      <c r="T1050" s="48"/>
    </row>
    <row r="1051" spans="2:20" ht="26.4" x14ac:dyDescent="0.25">
      <c r="B1051" s="47"/>
      <c r="F1051" s="46"/>
      <c r="M1051" s="49"/>
      <c r="T1051" s="45"/>
    </row>
    <row r="1052" spans="2:20" ht="23.4" x14ac:dyDescent="0.25">
      <c r="B1052" s="47"/>
      <c r="F1052" s="46"/>
      <c r="M1052" s="49"/>
      <c r="T1052" s="48"/>
    </row>
    <row r="1053" spans="2:20" ht="23.4" x14ac:dyDescent="0.25">
      <c r="B1053" s="47"/>
      <c r="F1053" s="46"/>
      <c r="M1053" s="49"/>
      <c r="T1053" s="48"/>
    </row>
    <row r="1054" spans="2:20" ht="23.4" x14ac:dyDescent="0.25">
      <c r="B1054" s="47"/>
      <c r="F1054" s="46"/>
      <c r="M1054" s="49"/>
      <c r="T1054" s="48"/>
    </row>
    <row r="1055" spans="2:20" ht="23.4" x14ac:dyDescent="0.25">
      <c r="B1055" s="47"/>
      <c r="F1055" s="46"/>
      <c r="M1055" s="49"/>
      <c r="T1055" s="48"/>
    </row>
    <row r="1056" spans="2:20" ht="23.4" x14ac:dyDescent="0.25">
      <c r="B1056" s="47"/>
      <c r="F1056" s="46"/>
      <c r="M1056" s="49"/>
      <c r="T1056" s="48"/>
    </row>
    <row r="1057" spans="2:20" ht="23.4" x14ac:dyDescent="0.25">
      <c r="B1057" s="47"/>
      <c r="F1057" s="46"/>
      <c r="M1057" s="49"/>
      <c r="T1057" s="48"/>
    </row>
    <row r="1058" spans="2:20" ht="26.4" x14ac:dyDescent="0.25">
      <c r="B1058" s="47"/>
      <c r="F1058" s="46"/>
      <c r="M1058" s="49"/>
      <c r="T1058" s="45"/>
    </row>
    <row r="1059" spans="2:20" ht="23.4" x14ac:dyDescent="0.25">
      <c r="B1059" s="47"/>
      <c r="F1059" s="46"/>
      <c r="M1059" s="49"/>
      <c r="T1059" s="48"/>
    </row>
    <row r="1060" spans="2:20" ht="23.4" x14ac:dyDescent="0.25">
      <c r="B1060" s="47"/>
      <c r="F1060" s="46"/>
      <c r="M1060" s="49"/>
      <c r="T1060" s="48"/>
    </row>
    <row r="1061" spans="2:20" ht="23.4" x14ac:dyDescent="0.25">
      <c r="B1061" s="47"/>
      <c r="F1061" s="46"/>
      <c r="M1061" s="49"/>
      <c r="T1061" s="48"/>
    </row>
    <row r="1062" spans="2:20" ht="23.4" x14ac:dyDescent="0.25">
      <c r="B1062" s="47"/>
      <c r="F1062" s="46"/>
      <c r="M1062" s="49"/>
      <c r="T1062" s="48"/>
    </row>
    <row r="1063" spans="2:20" ht="23.4" x14ac:dyDescent="0.25">
      <c r="B1063" s="47"/>
      <c r="F1063" s="46"/>
      <c r="M1063" s="49"/>
      <c r="T1063" s="48"/>
    </row>
    <row r="1064" spans="2:20" ht="23.4" x14ac:dyDescent="0.25">
      <c r="B1064" s="47"/>
      <c r="F1064" s="46"/>
      <c r="M1064" s="49"/>
      <c r="T1064" s="48"/>
    </row>
    <row r="1065" spans="2:20" ht="26.4" x14ac:dyDescent="0.25">
      <c r="B1065" s="47"/>
      <c r="F1065" s="46"/>
      <c r="M1065" s="49"/>
      <c r="T1065" s="45"/>
    </row>
    <row r="1066" spans="2:20" ht="23.4" x14ac:dyDescent="0.25">
      <c r="B1066" s="47"/>
      <c r="F1066" s="46"/>
      <c r="M1066" s="49"/>
      <c r="T1066" s="48"/>
    </row>
    <row r="1067" spans="2:20" ht="23.4" x14ac:dyDescent="0.25">
      <c r="B1067" s="47"/>
      <c r="F1067" s="46"/>
      <c r="M1067" s="49"/>
      <c r="T1067" s="48"/>
    </row>
    <row r="1068" spans="2:20" ht="23.4" x14ac:dyDescent="0.25">
      <c r="B1068" s="47"/>
      <c r="F1068" s="46"/>
      <c r="M1068" s="49"/>
      <c r="T1068" s="48"/>
    </row>
    <row r="1069" spans="2:20" ht="23.4" x14ac:dyDescent="0.25">
      <c r="B1069" s="47"/>
      <c r="F1069" s="46"/>
      <c r="M1069" s="49"/>
      <c r="T1069" s="48"/>
    </row>
    <row r="1070" spans="2:20" ht="23.4" x14ac:dyDescent="0.25">
      <c r="B1070" s="47"/>
      <c r="F1070" s="46"/>
      <c r="M1070" s="49"/>
      <c r="T1070" s="48"/>
    </row>
    <row r="1071" spans="2:20" ht="23.4" x14ac:dyDescent="0.25">
      <c r="B1071" s="47"/>
      <c r="F1071" s="46"/>
      <c r="M1071" s="49"/>
      <c r="T1071" s="48"/>
    </row>
    <row r="1072" spans="2:20" ht="26.4" x14ac:dyDescent="0.25">
      <c r="B1072" s="47"/>
      <c r="F1072" s="46"/>
      <c r="M1072" s="49"/>
      <c r="T1072" s="45"/>
    </row>
    <row r="1073" spans="2:20" ht="23.4" x14ac:dyDescent="0.25">
      <c r="B1073" s="47"/>
      <c r="F1073" s="46"/>
      <c r="M1073" s="49"/>
      <c r="T1073" s="48"/>
    </row>
    <row r="1074" spans="2:20" ht="23.4" x14ac:dyDescent="0.25">
      <c r="B1074" s="47"/>
      <c r="F1074" s="46"/>
      <c r="M1074" s="49"/>
      <c r="T1074" s="48"/>
    </row>
    <row r="1075" spans="2:20" ht="23.4" x14ac:dyDescent="0.25">
      <c r="B1075" s="47"/>
      <c r="F1075" s="46"/>
      <c r="M1075" s="49"/>
      <c r="T1075" s="48"/>
    </row>
    <row r="1076" spans="2:20" ht="23.4" x14ac:dyDescent="0.25">
      <c r="B1076" s="47"/>
      <c r="F1076" s="46"/>
      <c r="M1076" s="49"/>
      <c r="T1076" s="48"/>
    </row>
    <row r="1077" spans="2:20" ht="23.4" x14ac:dyDescent="0.25">
      <c r="B1077" s="47"/>
      <c r="F1077" s="46"/>
      <c r="M1077" s="49"/>
      <c r="T1077" s="48"/>
    </row>
    <row r="1078" spans="2:20" ht="23.4" x14ac:dyDescent="0.25">
      <c r="B1078" s="47"/>
      <c r="F1078" s="46"/>
      <c r="M1078" s="49"/>
      <c r="T1078" s="48"/>
    </row>
    <row r="1079" spans="2:20" ht="26.4" x14ac:dyDescent="0.25">
      <c r="B1079" s="47"/>
      <c r="F1079" s="46"/>
      <c r="M1079" s="49"/>
      <c r="T1079" s="45"/>
    </row>
    <row r="1080" spans="2:20" ht="23.4" x14ac:dyDescent="0.25">
      <c r="B1080" s="47"/>
      <c r="F1080" s="46"/>
      <c r="M1080" s="49"/>
      <c r="T1080" s="48"/>
    </row>
    <row r="1081" spans="2:20" ht="23.4" x14ac:dyDescent="0.25">
      <c r="B1081" s="47"/>
      <c r="F1081" s="46"/>
      <c r="M1081" s="49"/>
      <c r="T1081" s="48"/>
    </row>
    <row r="1082" spans="2:20" ht="23.4" x14ac:dyDescent="0.25">
      <c r="B1082" s="47"/>
      <c r="F1082" s="46"/>
      <c r="M1082" s="49"/>
      <c r="T1082" s="48"/>
    </row>
    <row r="1083" spans="2:20" ht="23.4" x14ac:dyDescent="0.25">
      <c r="B1083" s="47"/>
      <c r="F1083" s="46"/>
      <c r="M1083" s="49"/>
      <c r="T1083" s="48"/>
    </row>
    <row r="1084" spans="2:20" ht="23.4" x14ac:dyDescent="0.25">
      <c r="B1084" s="47"/>
      <c r="F1084" s="46"/>
      <c r="M1084" s="49"/>
      <c r="T1084" s="48"/>
    </row>
    <row r="1085" spans="2:20" ht="23.4" x14ac:dyDescent="0.25">
      <c r="B1085" s="47"/>
      <c r="F1085" s="46"/>
      <c r="M1085" s="49"/>
      <c r="T1085" s="48"/>
    </row>
    <row r="1086" spans="2:20" ht="26.4" x14ac:dyDescent="0.25">
      <c r="B1086" s="47"/>
      <c r="F1086" s="46"/>
      <c r="M1086" s="49"/>
      <c r="T1086" s="45"/>
    </row>
    <row r="1087" spans="2:20" ht="23.4" x14ac:dyDescent="0.25">
      <c r="B1087" s="47"/>
      <c r="F1087" s="46"/>
      <c r="M1087" s="49"/>
      <c r="T1087" s="48"/>
    </row>
    <row r="1088" spans="2:20" ht="23.4" x14ac:dyDescent="0.25">
      <c r="B1088" s="47"/>
      <c r="F1088" s="46"/>
      <c r="M1088" s="49"/>
      <c r="T1088" s="48"/>
    </row>
    <row r="1089" spans="2:20" ht="23.4" x14ac:dyDescent="0.25">
      <c r="B1089" s="47"/>
      <c r="F1089" s="46"/>
      <c r="M1089" s="49"/>
      <c r="T1089" s="48"/>
    </row>
    <row r="1090" spans="2:20" ht="23.4" x14ac:dyDescent="0.25">
      <c r="B1090" s="47"/>
      <c r="F1090" s="46"/>
      <c r="M1090" s="49"/>
      <c r="T1090" s="48"/>
    </row>
    <row r="1091" spans="2:20" ht="23.4" x14ac:dyDescent="0.25">
      <c r="B1091" s="47"/>
      <c r="F1091" s="46"/>
      <c r="M1091" s="49"/>
      <c r="T1091" s="48"/>
    </row>
    <row r="1092" spans="2:20" ht="23.4" x14ac:dyDescent="0.25">
      <c r="B1092" s="47"/>
      <c r="F1092" s="46"/>
      <c r="M1092" s="49"/>
      <c r="T1092" s="48"/>
    </row>
    <row r="1093" spans="2:20" ht="26.4" x14ac:dyDescent="0.25">
      <c r="B1093" s="47"/>
      <c r="F1093" s="46"/>
      <c r="M1093" s="49"/>
      <c r="T1093" s="45"/>
    </row>
    <row r="1094" spans="2:20" ht="23.4" x14ac:dyDescent="0.25">
      <c r="B1094" s="47"/>
      <c r="F1094" s="46"/>
      <c r="M1094" s="49"/>
      <c r="T1094" s="48"/>
    </row>
    <row r="1095" spans="2:20" ht="23.4" x14ac:dyDescent="0.25">
      <c r="B1095" s="47"/>
      <c r="F1095" s="46"/>
      <c r="M1095" s="49"/>
      <c r="T1095" s="48"/>
    </row>
    <row r="1096" spans="2:20" ht="23.4" x14ac:dyDescent="0.25">
      <c r="B1096" s="47"/>
      <c r="F1096" s="46"/>
      <c r="M1096" s="49"/>
      <c r="T1096" s="48"/>
    </row>
    <row r="1097" spans="2:20" ht="23.4" x14ac:dyDescent="0.25">
      <c r="B1097" s="47"/>
      <c r="F1097" s="46"/>
      <c r="M1097" s="49"/>
      <c r="T1097" s="48"/>
    </row>
    <row r="1098" spans="2:20" ht="23.4" x14ac:dyDescent="0.25">
      <c r="B1098" s="47"/>
      <c r="F1098" s="46"/>
      <c r="M1098" s="49"/>
      <c r="T1098" s="48"/>
    </row>
    <row r="1099" spans="2:20" ht="23.4" x14ac:dyDescent="0.25">
      <c r="B1099" s="47"/>
      <c r="F1099" s="46"/>
      <c r="M1099" s="49"/>
      <c r="T1099" s="48"/>
    </row>
    <row r="1100" spans="2:20" ht="26.4" x14ac:dyDescent="0.25">
      <c r="B1100" s="47"/>
      <c r="F1100" s="46"/>
      <c r="M1100" s="49"/>
      <c r="T1100" s="45"/>
    </row>
    <row r="1101" spans="2:20" ht="23.4" x14ac:dyDescent="0.25">
      <c r="B1101" s="47"/>
      <c r="F1101" s="46"/>
      <c r="M1101" s="49"/>
      <c r="T1101" s="48"/>
    </row>
    <row r="1102" spans="2:20" ht="23.4" x14ac:dyDescent="0.25">
      <c r="B1102" s="47"/>
      <c r="F1102" s="46"/>
      <c r="M1102" s="49"/>
      <c r="T1102" s="48"/>
    </row>
    <row r="1103" spans="2:20" ht="23.4" x14ac:dyDescent="0.25">
      <c r="B1103" s="47"/>
      <c r="F1103" s="46"/>
      <c r="M1103" s="49"/>
      <c r="T1103" s="48"/>
    </row>
    <row r="1104" spans="2:20" ht="23.4" x14ac:dyDescent="0.25">
      <c r="B1104" s="47"/>
      <c r="F1104" s="46"/>
      <c r="M1104" s="49"/>
      <c r="T1104" s="48"/>
    </row>
    <row r="1105" spans="2:20" ht="23.4" x14ac:dyDescent="0.25">
      <c r="B1105" s="47"/>
      <c r="F1105" s="46"/>
      <c r="M1105" s="49"/>
      <c r="T1105" s="48"/>
    </row>
    <row r="1106" spans="2:20" ht="23.4" x14ac:dyDescent="0.25">
      <c r="B1106" s="47"/>
      <c r="F1106" s="46"/>
      <c r="M1106" s="49"/>
      <c r="T1106" s="48"/>
    </row>
    <row r="1107" spans="2:20" ht="26.4" x14ac:dyDescent="0.25">
      <c r="B1107" s="47"/>
      <c r="F1107" s="46"/>
      <c r="M1107" s="49"/>
      <c r="T1107" s="45"/>
    </row>
    <row r="1108" spans="2:20" ht="23.4" x14ac:dyDescent="0.25">
      <c r="B1108" s="47"/>
      <c r="F1108" s="46"/>
      <c r="M1108" s="49"/>
      <c r="T1108" s="48"/>
    </row>
    <row r="1109" spans="2:20" ht="23.4" x14ac:dyDescent="0.25">
      <c r="B1109" s="47"/>
      <c r="F1109" s="46"/>
      <c r="M1109" s="49"/>
      <c r="T1109" s="48"/>
    </row>
    <row r="1110" spans="2:20" ht="23.4" x14ac:dyDescent="0.25">
      <c r="B1110" s="47"/>
      <c r="F1110" s="46"/>
      <c r="M1110" s="49"/>
      <c r="T1110" s="48"/>
    </row>
    <row r="1111" spans="2:20" ht="23.4" x14ac:dyDescent="0.25">
      <c r="B1111" s="47"/>
      <c r="F1111" s="46"/>
      <c r="M1111" s="49"/>
      <c r="T1111" s="48"/>
    </row>
    <row r="1112" spans="2:20" ht="23.4" x14ac:dyDescent="0.25">
      <c r="B1112" s="47"/>
      <c r="F1112" s="46"/>
      <c r="M1112" s="49"/>
      <c r="T1112" s="48"/>
    </row>
    <row r="1113" spans="2:20" ht="23.4" x14ac:dyDescent="0.25">
      <c r="B1113" s="47"/>
      <c r="F1113" s="46"/>
      <c r="M1113" s="49"/>
      <c r="T1113" s="48"/>
    </row>
    <row r="1114" spans="2:20" ht="26.4" x14ac:dyDescent="0.25">
      <c r="B1114" s="47"/>
      <c r="F1114" s="46"/>
      <c r="M1114" s="49"/>
      <c r="T1114" s="45"/>
    </row>
    <row r="1115" spans="2:20" ht="23.4" x14ac:dyDescent="0.25">
      <c r="B1115" s="47"/>
      <c r="F1115" s="46"/>
      <c r="M1115" s="49"/>
      <c r="T1115" s="48"/>
    </row>
    <row r="1116" spans="2:20" ht="23.4" x14ac:dyDescent="0.25">
      <c r="B1116" s="47"/>
      <c r="F1116" s="46"/>
      <c r="M1116" s="49"/>
      <c r="T1116" s="48"/>
    </row>
    <row r="1117" spans="2:20" ht="23.4" x14ac:dyDescent="0.25">
      <c r="B1117" s="47"/>
      <c r="F1117" s="46"/>
      <c r="M1117" s="49"/>
      <c r="T1117" s="48"/>
    </row>
    <row r="1118" spans="2:20" ht="23.4" x14ac:dyDescent="0.25">
      <c r="B1118" s="47"/>
      <c r="F1118" s="46"/>
      <c r="M1118" s="49"/>
      <c r="T1118" s="48"/>
    </row>
    <row r="1119" spans="2:20" ht="23.4" x14ac:dyDescent="0.25">
      <c r="B1119" s="47"/>
      <c r="F1119" s="46"/>
      <c r="M1119" s="49"/>
      <c r="T1119" s="48"/>
    </row>
    <row r="1120" spans="2:20" ht="23.4" x14ac:dyDescent="0.25">
      <c r="B1120" s="47"/>
      <c r="F1120" s="46"/>
      <c r="M1120" s="49"/>
      <c r="T1120" s="48"/>
    </row>
    <row r="1121" spans="2:20" ht="26.4" x14ac:dyDescent="0.25">
      <c r="B1121" s="47"/>
      <c r="F1121" s="46"/>
      <c r="M1121" s="49"/>
      <c r="T1121" s="45"/>
    </row>
    <row r="1122" spans="2:20" ht="23.4" x14ac:dyDescent="0.25">
      <c r="B1122" s="47"/>
      <c r="F1122" s="46"/>
      <c r="M1122" s="49"/>
      <c r="T1122" s="48"/>
    </row>
    <row r="1123" spans="2:20" ht="23.4" x14ac:dyDescent="0.25">
      <c r="B1123" s="47"/>
      <c r="F1123" s="46"/>
      <c r="M1123" s="49"/>
      <c r="T1123" s="48"/>
    </row>
    <row r="1124" spans="2:20" ht="23.4" x14ac:dyDescent="0.25">
      <c r="B1124" s="47"/>
      <c r="F1124" s="46"/>
      <c r="M1124" s="49"/>
      <c r="T1124" s="48"/>
    </row>
    <row r="1125" spans="2:20" ht="23.4" x14ac:dyDescent="0.25">
      <c r="B1125" s="47"/>
      <c r="F1125" s="46"/>
      <c r="M1125" s="49"/>
      <c r="T1125" s="48"/>
    </row>
    <row r="1126" spans="2:20" ht="23.4" x14ac:dyDescent="0.25">
      <c r="B1126" s="47"/>
      <c r="F1126" s="46"/>
      <c r="M1126" s="49"/>
      <c r="T1126" s="48"/>
    </row>
    <row r="1127" spans="2:20" ht="23.4" x14ac:dyDescent="0.25">
      <c r="B1127" s="47"/>
      <c r="F1127" s="46"/>
      <c r="M1127" s="49"/>
      <c r="T1127" s="48"/>
    </row>
    <row r="1128" spans="2:20" ht="26.4" x14ac:dyDescent="0.25">
      <c r="B1128" s="47"/>
      <c r="F1128" s="46"/>
      <c r="M1128" s="49"/>
      <c r="T1128" s="45"/>
    </row>
    <row r="1129" spans="2:20" ht="23.4" x14ac:dyDescent="0.25">
      <c r="B1129" s="47"/>
      <c r="F1129" s="46"/>
      <c r="M1129" s="49"/>
      <c r="T1129" s="48"/>
    </row>
    <row r="1130" spans="2:20" ht="23.4" x14ac:dyDescent="0.25">
      <c r="B1130" s="47"/>
      <c r="F1130" s="46"/>
      <c r="M1130" s="49"/>
      <c r="T1130" s="48"/>
    </row>
    <row r="1131" spans="2:20" ht="23.4" x14ac:dyDescent="0.25">
      <c r="B1131" s="47"/>
      <c r="F1131" s="46"/>
      <c r="M1131" s="49"/>
      <c r="T1131" s="48"/>
    </row>
    <row r="1132" spans="2:20" ht="23.4" x14ac:dyDescent="0.25">
      <c r="B1132" s="47"/>
      <c r="F1132" s="46"/>
      <c r="M1132" s="49"/>
      <c r="T1132" s="48"/>
    </row>
    <row r="1133" spans="2:20" ht="23.4" x14ac:dyDescent="0.25">
      <c r="B1133" s="47"/>
      <c r="F1133" s="46"/>
      <c r="M1133" s="49"/>
      <c r="T1133" s="48"/>
    </row>
    <row r="1134" spans="2:20" ht="23.4" x14ac:dyDescent="0.25">
      <c r="B1134" s="47"/>
      <c r="F1134" s="46"/>
      <c r="M1134" s="49"/>
      <c r="T1134" s="48"/>
    </row>
    <row r="1135" spans="2:20" ht="26.4" x14ac:dyDescent="0.25">
      <c r="B1135" s="47"/>
      <c r="F1135" s="46"/>
      <c r="M1135" s="49"/>
      <c r="T1135" s="45"/>
    </row>
    <row r="1136" spans="2:20" ht="23.4" x14ac:dyDescent="0.25">
      <c r="B1136" s="47"/>
      <c r="F1136" s="46"/>
      <c r="M1136" s="49"/>
      <c r="T1136" s="48"/>
    </row>
    <row r="1137" spans="2:20" ht="23.4" x14ac:dyDescent="0.25">
      <c r="B1137" s="47"/>
      <c r="F1137" s="46"/>
      <c r="M1137" s="49"/>
      <c r="T1137" s="48"/>
    </row>
    <row r="1138" spans="2:20" ht="23.4" x14ac:dyDescent="0.25">
      <c r="B1138" s="47"/>
      <c r="F1138" s="46"/>
      <c r="M1138" s="49"/>
      <c r="T1138" s="48"/>
    </row>
    <row r="1139" spans="2:20" ht="23.4" x14ac:dyDescent="0.25">
      <c r="B1139" s="47"/>
      <c r="F1139" s="46"/>
      <c r="M1139" s="49"/>
      <c r="T1139" s="48"/>
    </row>
    <row r="1140" spans="2:20" ht="23.4" x14ac:dyDescent="0.25">
      <c r="B1140" s="47"/>
      <c r="F1140" s="46"/>
      <c r="M1140" s="49"/>
      <c r="T1140" s="48"/>
    </row>
    <row r="1141" spans="2:20" ht="23.4" x14ac:dyDescent="0.25">
      <c r="B1141" s="47"/>
      <c r="F1141" s="46"/>
      <c r="M1141" s="49"/>
      <c r="T1141" s="48"/>
    </row>
    <row r="1142" spans="2:20" ht="26.4" x14ac:dyDescent="0.25">
      <c r="B1142" s="47"/>
      <c r="F1142" s="46"/>
      <c r="M1142" s="49"/>
      <c r="T1142" s="45"/>
    </row>
    <row r="1143" spans="2:20" ht="23.4" x14ac:dyDescent="0.25">
      <c r="B1143" s="47"/>
      <c r="F1143" s="46"/>
      <c r="M1143" s="49"/>
      <c r="T1143" s="48"/>
    </row>
    <row r="1144" spans="2:20" ht="23.4" x14ac:dyDescent="0.25">
      <c r="B1144" s="47"/>
      <c r="F1144" s="46"/>
      <c r="M1144" s="49"/>
      <c r="T1144" s="48"/>
    </row>
    <row r="1145" spans="2:20" ht="23.4" x14ac:dyDescent="0.25">
      <c r="B1145" s="47"/>
      <c r="F1145" s="46"/>
      <c r="M1145" s="49"/>
      <c r="T1145" s="48"/>
    </row>
    <row r="1146" spans="2:20" ht="23.4" x14ac:dyDescent="0.25">
      <c r="B1146" s="47"/>
      <c r="F1146" s="46"/>
      <c r="M1146" s="49"/>
      <c r="T1146" s="48"/>
    </row>
    <row r="1147" spans="2:20" ht="23.4" x14ac:dyDescent="0.25">
      <c r="B1147" s="47"/>
      <c r="F1147" s="46"/>
      <c r="M1147" s="49"/>
      <c r="T1147" s="48"/>
    </row>
    <row r="1148" spans="2:20" ht="23.4" x14ac:dyDescent="0.25">
      <c r="B1148" s="47"/>
      <c r="F1148" s="46"/>
      <c r="M1148" s="49"/>
      <c r="T1148" s="48"/>
    </row>
    <row r="1149" spans="2:20" ht="26.4" x14ac:dyDescent="0.25">
      <c r="B1149" s="47"/>
      <c r="F1149" s="46"/>
      <c r="M1149" s="49"/>
      <c r="T1149" s="45"/>
    </row>
    <row r="1150" spans="2:20" ht="23.4" x14ac:dyDescent="0.25">
      <c r="B1150" s="47"/>
      <c r="F1150" s="46"/>
      <c r="M1150" s="49"/>
      <c r="T1150" s="48"/>
    </row>
    <row r="1151" spans="2:20" ht="23.4" x14ac:dyDescent="0.25">
      <c r="B1151" s="47"/>
      <c r="F1151" s="46"/>
      <c r="M1151" s="49"/>
      <c r="T1151" s="48"/>
    </row>
    <row r="1152" spans="2:20" ht="23.4" x14ac:dyDescent="0.25">
      <c r="B1152" s="47"/>
      <c r="F1152" s="46"/>
      <c r="M1152" s="49"/>
      <c r="T1152" s="48"/>
    </row>
    <row r="1153" spans="2:20" ht="23.4" x14ac:dyDescent="0.25">
      <c r="B1153" s="47"/>
      <c r="F1153" s="46"/>
      <c r="M1153" s="49"/>
      <c r="T1153" s="48"/>
    </row>
    <row r="1154" spans="2:20" ht="23.4" x14ac:dyDescent="0.25">
      <c r="B1154" s="47"/>
      <c r="F1154" s="46"/>
      <c r="M1154" s="49"/>
      <c r="T1154" s="48"/>
    </row>
    <row r="1155" spans="2:20" ht="23.4" x14ac:dyDescent="0.25">
      <c r="B1155" s="47"/>
      <c r="F1155" s="46"/>
      <c r="M1155" s="49"/>
      <c r="T1155" s="48"/>
    </row>
    <row r="1156" spans="2:20" ht="26.4" x14ac:dyDescent="0.25">
      <c r="B1156" s="47"/>
      <c r="F1156" s="46"/>
      <c r="M1156" s="49"/>
      <c r="T1156" s="45"/>
    </row>
    <row r="1157" spans="2:20" ht="23.4" x14ac:dyDescent="0.25">
      <c r="B1157" s="47"/>
      <c r="F1157" s="46"/>
      <c r="M1157" s="49"/>
      <c r="T1157" s="48"/>
    </row>
    <row r="1158" spans="2:20" ht="23.4" x14ac:dyDescent="0.25">
      <c r="B1158" s="47"/>
      <c r="F1158" s="46"/>
      <c r="M1158" s="49"/>
      <c r="T1158" s="48"/>
    </row>
    <row r="1159" spans="2:20" ht="23.4" x14ac:dyDescent="0.25">
      <c r="B1159" s="47"/>
      <c r="F1159" s="46"/>
      <c r="M1159" s="49"/>
      <c r="T1159" s="48"/>
    </row>
    <row r="1160" spans="2:20" ht="23.4" x14ac:dyDescent="0.25">
      <c r="B1160" s="47"/>
      <c r="F1160" s="46"/>
      <c r="M1160" s="49"/>
      <c r="T1160" s="48"/>
    </row>
    <row r="1161" spans="2:20" ht="23.4" x14ac:dyDescent="0.25">
      <c r="B1161" s="47"/>
      <c r="F1161" s="46"/>
      <c r="M1161" s="49"/>
      <c r="T1161" s="48"/>
    </row>
    <row r="1162" spans="2:20" ht="23.4" x14ac:dyDescent="0.25">
      <c r="B1162" s="47"/>
      <c r="F1162" s="46"/>
      <c r="M1162" s="49"/>
      <c r="T1162" s="48"/>
    </row>
    <row r="1163" spans="2:20" ht="26.4" x14ac:dyDescent="0.25">
      <c r="B1163" s="47"/>
      <c r="F1163" s="46"/>
      <c r="M1163" s="49"/>
      <c r="T1163" s="45"/>
    </row>
    <row r="1164" spans="2:20" ht="23.4" x14ac:dyDescent="0.25">
      <c r="B1164" s="47"/>
      <c r="F1164" s="46"/>
      <c r="M1164" s="49"/>
      <c r="T1164" s="48"/>
    </row>
    <row r="1165" spans="2:20" ht="23.4" x14ac:dyDescent="0.25">
      <c r="B1165" s="47"/>
      <c r="F1165" s="46"/>
      <c r="M1165" s="49"/>
      <c r="T1165" s="48"/>
    </row>
    <row r="1166" spans="2:20" ht="23.4" x14ac:dyDescent="0.25">
      <c r="B1166" s="47"/>
      <c r="F1166" s="46"/>
      <c r="M1166" s="49"/>
      <c r="T1166" s="48"/>
    </row>
    <row r="1167" spans="2:20" ht="23.4" x14ac:dyDescent="0.25">
      <c r="B1167" s="47"/>
      <c r="F1167" s="46"/>
      <c r="M1167" s="49"/>
      <c r="T1167" s="48"/>
    </row>
    <row r="1168" spans="2:20" ht="23.4" x14ac:dyDescent="0.25">
      <c r="B1168" s="47"/>
      <c r="F1168" s="46"/>
      <c r="M1168" s="49"/>
      <c r="T1168" s="48"/>
    </row>
    <row r="1169" spans="2:20" ht="23.4" x14ac:dyDescent="0.25">
      <c r="B1169" s="47"/>
      <c r="F1169" s="46"/>
      <c r="M1169" s="49"/>
      <c r="T1169" s="48"/>
    </row>
    <row r="1170" spans="2:20" ht="26.4" x14ac:dyDescent="0.25">
      <c r="B1170" s="47"/>
      <c r="F1170" s="46"/>
      <c r="M1170" s="49"/>
      <c r="T1170" s="45"/>
    </row>
    <row r="1171" spans="2:20" ht="23.4" x14ac:dyDescent="0.25">
      <c r="B1171" s="47"/>
      <c r="F1171" s="46"/>
      <c r="M1171" s="49"/>
      <c r="T1171" s="48"/>
    </row>
    <row r="1172" spans="2:20" ht="23.4" x14ac:dyDescent="0.25">
      <c r="B1172" s="47"/>
      <c r="F1172" s="46"/>
      <c r="M1172" s="49"/>
      <c r="T1172" s="48"/>
    </row>
    <row r="1173" spans="2:20" ht="23.4" x14ac:dyDescent="0.25">
      <c r="B1173" s="47"/>
      <c r="F1173" s="46"/>
      <c r="M1173" s="49"/>
      <c r="T1173" s="48"/>
    </row>
    <row r="1174" spans="2:20" ht="23.4" x14ac:dyDescent="0.25">
      <c r="B1174" s="47"/>
      <c r="F1174" s="46"/>
      <c r="M1174" s="49"/>
      <c r="T1174" s="48"/>
    </row>
    <row r="1175" spans="2:20" ht="23.4" x14ac:dyDescent="0.25">
      <c r="B1175" s="47"/>
      <c r="F1175" s="46"/>
      <c r="M1175" s="49"/>
      <c r="T1175" s="48"/>
    </row>
    <row r="1176" spans="2:20" ht="23.4" x14ac:dyDescent="0.25">
      <c r="B1176" s="47"/>
      <c r="F1176" s="46"/>
      <c r="M1176" s="49"/>
      <c r="T1176" s="48"/>
    </row>
    <row r="1177" spans="2:20" ht="26.4" x14ac:dyDescent="0.25">
      <c r="B1177" s="47"/>
      <c r="F1177" s="46"/>
      <c r="M1177" s="49"/>
      <c r="T1177" s="45"/>
    </row>
    <row r="1178" spans="2:20" ht="23.4" x14ac:dyDescent="0.25">
      <c r="B1178" s="47"/>
      <c r="F1178" s="46"/>
      <c r="M1178" s="49"/>
      <c r="T1178" s="48"/>
    </row>
    <row r="1179" spans="2:20" ht="23.4" x14ac:dyDescent="0.25">
      <c r="B1179" s="47"/>
      <c r="F1179" s="46"/>
      <c r="M1179" s="49"/>
      <c r="T1179" s="48"/>
    </row>
    <row r="1180" spans="2:20" ht="23.4" x14ac:dyDescent="0.25">
      <c r="B1180" s="47"/>
      <c r="F1180" s="46"/>
      <c r="M1180" s="49"/>
      <c r="T1180" s="48"/>
    </row>
    <row r="1181" spans="2:20" ht="23.4" x14ac:dyDescent="0.25">
      <c r="B1181" s="47"/>
      <c r="F1181" s="46"/>
      <c r="M1181" s="49"/>
      <c r="T1181" s="48"/>
    </row>
    <row r="1182" spans="2:20" ht="23.4" x14ac:dyDescent="0.25">
      <c r="B1182" s="47"/>
      <c r="F1182" s="46"/>
      <c r="M1182" s="49"/>
      <c r="T1182" s="48"/>
    </row>
    <row r="1183" spans="2:20" ht="23.4" x14ac:dyDescent="0.25">
      <c r="B1183" s="47"/>
      <c r="F1183" s="46"/>
      <c r="M1183" s="49"/>
      <c r="T1183" s="48"/>
    </row>
    <row r="1184" spans="2:20" ht="26.4" x14ac:dyDescent="0.25">
      <c r="B1184" s="47"/>
      <c r="F1184" s="46"/>
      <c r="M1184" s="49"/>
      <c r="T1184" s="45"/>
    </row>
    <row r="1185" spans="2:20" ht="23.4" x14ac:dyDescent="0.25">
      <c r="B1185" s="47"/>
      <c r="F1185" s="46"/>
      <c r="M1185" s="49"/>
      <c r="T1185" s="48"/>
    </row>
    <row r="1186" spans="2:20" ht="23.4" x14ac:dyDescent="0.25">
      <c r="B1186" s="47"/>
      <c r="F1186" s="46"/>
      <c r="M1186" s="49"/>
      <c r="T1186" s="48"/>
    </row>
    <row r="1187" spans="2:20" ht="23.4" x14ac:dyDescent="0.25">
      <c r="B1187" s="47"/>
      <c r="F1187" s="46"/>
      <c r="M1187" s="49"/>
      <c r="T1187" s="48"/>
    </row>
    <row r="1188" spans="2:20" ht="23.4" x14ac:dyDescent="0.25">
      <c r="B1188" s="47"/>
      <c r="F1188" s="46"/>
      <c r="M1188" s="49"/>
      <c r="T1188" s="48"/>
    </row>
    <row r="1189" spans="2:20" ht="23.4" x14ac:dyDescent="0.25">
      <c r="B1189" s="47"/>
      <c r="F1189" s="46"/>
      <c r="M1189" s="49"/>
      <c r="T1189" s="48"/>
    </row>
    <row r="1190" spans="2:20" ht="23.4" x14ac:dyDescent="0.25">
      <c r="B1190" s="47"/>
      <c r="F1190" s="46"/>
      <c r="M1190" s="49"/>
      <c r="T1190" s="48"/>
    </row>
    <row r="1191" spans="2:20" ht="26.4" x14ac:dyDescent="0.25">
      <c r="B1191" s="47"/>
      <c r="F1191" s="46"/>
      <c r="M1191" s="49"/>
      <c r="T1191" s="45"/>
    </row>
    <row r="1192" spans="2:20" ht="23.4" x14ac:dyDescent="0.25">
      <c r="B1192" s="47"/>
      <c r="F1192" s="46"/>
      <c r="M1192" s="49"/>
      <c r="T1192" s="48"/>
    </row>
    <row r="1193" spans="2:20" ht="23.4" x14ac:dyDescent="0.25">
      <c r="B1193" s="47"/>
      <c r="F1193" s="46"/>
      <c r="M1193" s="49"/>
      <c r="T1193" s="48"/>
    </row>
    <row r="1194" spans="2:20" ht="23.4" x14ac:dyDescent="0.25">
      <c r="B1194" s="47"/>
      <c r="F1194" s="46"/>
      <c r="M1194" s="49"/>
      <c r="T1194" s="48"/>
    </row>
    <row r="1195" spans="2:20" ht="23.4" x14ac:dyDescent="0.25">
      <c r="B1195" s="47"/>
      <c r="F1195" s="46"/>
      <c r="M1195" s="49"/>
      <c r="T1195" s="48"/>
    </row>
    <row r="1196" spans="2:20" ht="23.4" x14ac:dyDescent="0.25">
      <c r="B1196" s="47"/>
      <c r="F1196" s="46"/>
      <c r="M1196" s="49"/>
      <c r="T1196" s="48"/>
    </row>
    <row r="1197" spans="2:20" ht="23.4" x14ac:dyDescent="0.25">
      <c r="B1197" s="47"/>
      <c r="F1197" s="46"/>
      <c r="M1197" s="49"/>
      <c r="T1197" s="48"/>
    </row>
    <row r="1198" spans="2:20" ht="26.4" x14ac:dyDescent="0.25">
      <c r="B1198" s="47"/>
      <c r="F1198" s="46"/>
      <c r="M1198" s="49"/>
      <c r="T1198" s="45"/>
    </row>
    <row r="1199" spans="2:20" ht="23.4" x14ac:dyDescent="0.25">
      <c r="B1199" s="47"/>
      <c r="F1199" s="46"/>
      <c r="M1199" s="49"/>
      <c r="T1199" s="48"/>
    </row>
    <row r="1200" spans="2:20" ht="23.4" x14ac:dyDescent="0.25">
      <c r="B1200" s="47"/>
      <c r="F1200" s="46"/>
      <c r="M1200" s="49"/>
      <c r="T1200" s="48"/>
    </row>
    <row r="1201" spans="2:20" ht="23.4" x14ac:dyDescent="0.25">
      <c r="B1201" s="47"/>
      <c r="F1201" s="46"/>
      <c r="M1201" s="49"/>
      <c r="T1201" s="48"/>
    </row>
    <row r="1202" spans="2:20" ht="23.4" x14ac:dyDescent="0.25">
      <c r="B1202" s="47"/>
      <c r="F1202" s="46"/>
      <c r="M1202" s="49"/>
      <c r="T1202" s="48"/>
    </row>
    <row r="1203" spans="2:20" ht="23.4" x14ac:dyDescent="0.25">
      <c r="B1203" s="47"/>
      <c r="F1203" s="46"/>
      <c r="M1203" s="49"/>
      <c r="T1203" s="48"/>
    </row>
    <row r="1204" spans="2:20" ht="23.4" x14ac:dyDescent="0.25">
      <c r="B1204" s="47"/>
      <c r="F1204" s="46"/>
      <c r="M1204" s="49"/>
      <c r="T1204" s="48"/>
    </row>
    <row r="1205" spans="2:20" ht="26.4" x14ac:dyDescent="0.25">
      <c r="B1205" s="47"/>
      <c r="F1205" s="46"/>
      <c r="M1205" s="49"/>
      <c r="T1205" s="45"/>
    </row>
    <row r="1206" spans="2:20" ht="23.4" x14ac:dyDescent="0.25">
      <c r="B1206" s="47"/>
      <c r="F1206" s="46"/>
      <c r="M1206" s="49"/>
      <c r="T1206" s="48"/>
    </row>
    <row r="1207" spans="2:20" ht="23.4" x14ac:dyDescent="0.25">
      <c r="B1207" s="47"/>
      <c r="F1207" s="46"/>
      <c r="M1207" s="49"/>
      <c r="T1207" s="48"/>
    </row>
    <row r="1208" spans="2:20" ht="23.4" x14ac:dyDescent="0.25">
      <c r="B1208" s="47"/>
      <c r="F1208" s="46"/>
      <c r="M1208" s="49"/>
      <c r="T1208" s="48"/>
    </row>
    <row r="1209" spans="2:20" ht="23.4" x14ac:dyDescent="0.25">
      <c r="B1209" s="47"/>
      <c r="F1209" s="46"/>
      <c r="M1209" s="49"/>
      <c r="T1209" s="48"/>
    </row>
    <row r="1210" spans="2:20" ht="23.4" x14ac:dyDescent="0.25">
      <c r="B1210" s="47"/>
      <c r="F1210" s="46"/>
      <c r="M1210" s="49"/>
      <c r="T1210" s="48"/>
    </row>
    <row r="1211" spans="2:20" ht="23.4" x14ac:dyDescent="0.25">
      <c r="B1211" s="47"/>
      <c r="F1211" s="46"/>
      <c r="M1211" s="49"/>
      <c r="T1211" s="48"/>
    </row>
    <row r="1212" spans="2:20" ht="26.4" x14ac:dyDescent="0.25">
      <c r="B1212" s="47"/>
      <c r="F1212" s="46"/>
      <c r="M1212" s="49"/>
      <c r="T1212" s="45"/>
    </row>
    <row r="1213" spans="2:20" ht="23.4" x14ac:dyDescent="0.25">
      <c r="B1213" s="47"/>
      <c r="F1213" s="46"/>
      <c r="M1213" s="49"/>
      <c r="T1213" s="48"/>
    </row>
    <row r="1214" spans="2:20" ht="23.4" x14ac:dyDescent="0.25">
      <c r="B1214" s="47"/>
      <c r="F1214" s="46"/>
      <c r="M1214" s="49"/>
      <c r="T1214" s="48"/>
    </row>
    <row r="1215" spans="2:20" ht="23.4" x14ac:dyDescent="0.25">
      <c r="B1215" s="47"/>
      <c r="F1215" s="46"/>
      <c r="M1215" s="49"/>
      <c r="T1215" s="48"/>
    </row>
    <row r="1216" spans="2:20" ht="23.4" x14ac:dyDescent="0.25">
      <c r="B1216" s="47"/>
      <c r="F1216" s="46"/>
      <c r="M1216" s="49"/>
      <c r="T1216" s="48"/>
    </row>
    <row r="1217" spans="2:20" ht="23.4" x14ac:dyDescent="0.25">
      <c r="B1217" s="47"/>
      <c r="F1217" s="46"/>
      <c r="M1217" s="49"/>
      <c r="T1217" s="48"/>
    </row>
    <row r="1218" spans="2:20" ht="23.4" x14ac:dyDescent="0.25">
      <c r="B1218" s="47"/>
      <c r="F1218" s="46"/>
      <c r="M1218" s="49"/>
      <c r="T1218" s="48"/>
    </row>
    <row r="1219" spans="2:20" ht="26.4" x14ac:dyDescent="0.25">
      <c r="B1219" s="47"/>
      <c r="F1219" s="46"/>
      <c r="M1219" s="49"/>
      <c r="T1219" s="45"/>
    </row>
    <row r="1220" spans="2:20" ht="23.4" x14ac:dyDescent="0.25">
      <c r="B1220" s="47"/>
      <c r="F1220" s="46"/>
      <c r="M1220" s="49"/>
      <c r="T1220" s="48"/>
    </row>
    <row r="1221" spans="2:20" ht="23.4" x14ac:dyDescent="0.25">
      <c r="B1221" s="47"/>
      <c r="F1221" s="46"/>
      <c r="M1221" s="49"/>
      <c r="T1221" s="48"/>
    </row>
    <row r="1222" spans="2:20" ht="23.4" x14ac:dyDescent="0.25">
      <c r="B1222" s="47"/>
      <c r="F1222" s="46"/>
      <c r="M1222" s="49"/>
      <c r="T1222" s="48"/>
    </row>
    <row r="1223" spans="2:20" ht="23.4" x14ac:dyDescent="0.25">
      <c r="B1223" s="47"/>
      <c r="F1223" s="46"/>
      <c r="M1223" s="49"/>
      <c r="T1223" s="48"/>
    </row>
    <row r="1224" spans="2:20" ht="23.4" x14ac:dyDescent="0.25">
      <c r="B1224" s="47"/>
      <c r="F1224" s="46"/>
      <c r="M1224" s="49"/>
      <c r="T1224" s="48"/>
    </row>
    <row r="1225" spans="2:20" ht="23.4" x14ac:dyDescent="0.25">
      <c r="B1225" s="47"/>
      <c r="F1225" s="46"/>
      <c r="M1225" s="49"/>
      <c r="T1225" s="48"/>
    </row>
    <row r="1226" spans="2:20" ht="26.4" x14ac:dyDescent="0.25">
      <c r="B1226" s="47"/>
      <c r="F1226" s="46"/>
      <c r="M1226" s="49"/>
      <c r="T1226" s="45"/>
    </row>
    <row r="1227" spans="2:20" ht="23.4" x14ac:dyDescent="0.25">
      <c r="B1227" s="47"/>
      <c r="F1227" s="46"/>
      <c r="M1227" s="49"/>
      <c r="T1227" s="48"/>
    </row>
    <row r="1228" spans="2:20" ht="23.4" x14ac:dyDescent="0.25">
      <c r="B1228" s="47"/>
      <c r="F1228" s="46"/>
      <c r="M1228" s="49"/>
      <c r="T1228" s="48"/>
    </row>
    <row r="1229" spans="2:20" ht="23.4" x14ac:dyDescent="0.25">
      <c r="B1229" s="47"/>
      <c r="F1229" s="46"/>
      <c r="M1229" s="49"/>
      <c r="T1229" s="48"/>
    </row>
    <row r="1230" spans="2:20" ht="23.4" x14ac:dyDescent="0.25">
      <c r="B1230" s="47"/>
      <c r="F1230" s="46"/>
      <c r="M1230" s="49"/>
      <c r="T1230" s="48"/>
    </row>
    <row r="1231" spans="2:20" ht="23.4" x14ac:dyDescent="0.25">
      <c r="B1231" s="47"/>
      <c r="F1231" s="46"/>
      <c r="M1231" s="49"/>
      <c r="T1231" s="48"/>
    </row>
    <row r="1232" spans="2:20" ht="23.4" x14ac:dyDescent="0.25">
      <c r="B1232" s="47"/>
      <c r="F1232" s="46"/>
      <c r="M1232" s="49"/>
      <c r="T1232" s="48"/>
    </row>
    <row r="1233" spans="2:20" ht="26.4" x14ac:dyDescent="0.25">
      <c r="B1233" s="47"/>
      <c r="F1233" s="46"/>
      <c r="M1233" s="49"/>
      <c r="T1233" s="45"/>
    </row>
    <row r="1234" spans="2:20" ht="23.4" x14ac:dyDescent="0.25">
      <c r="B1234" s="47"/>
      <c r="F1234" s="46"/>
      <c r="M1234" s="49"/>
      <c r="T1234" s="48"/>
    </row>
    <row r="1235" spans="2:20" ht="23.4" x14ac:dyDescent="0.25">
      <c r="B1235" s="47"/>
      <c r="F1235" s="46"/>
      <c r="M1235" s="49"/>
      <c r="T1235" s="48"/>
    </row>
    <row r="1236" spans="2:20" ht="23.4" x14ac:dyDescent="0.25">
      <c r="B1236" s="47"/>
      <c r="F1236" s="46"/>
      <c r="M1236" s="49"/>
      <c r="T1236" s="48"/>
    </row>
    <row r="1237" spans="2:20" ht="23.4" x14ac:dyDescent="0.25">
      <c r="B1237" s="47"/>
      <c r="F1237" s="46"/>
      <c r="M1237" s="49"/>
      <c r="T1237" s="48"/>
    </row>
    <row r="1238" spans="2:20" ht="23.4" x14ac:dyDescent="0.25">
      <c r="B1238" s="47"/>
      <c r="F1238" s="46"/>
      <c r="M1238" s="49"/>
      <c r="T1238" s="48"/>
    </row>
    <row r="1239" spans="2:20" ht="23.4" x14ac:dyDescent="0.25">
      <c r="B1239" s="47"/>
      <c r="F1239" s="46"/>
      <c r="M1239" s="49"/>
      <c r="T1239" s="48"/>
    </row>
    <row r="1240" spans="2:20" ht="26.4" x14ac:dyDescent="0.25">
      <c r="B1240" s="47"/>
      <c r="F1240" s="46"/>
      <c r="M1240" s="49"/>
      <c r="T1240" s="45"/>
    </row>
    <row r="1241" spans="2:20" ht="23.4" x14ac:dyDescent="0.25">
      <c r="B1241" s="47"/>
      <c r="F1241" s="46"/>
      <c r="M1241" s="49"/>
      <c r="T1241" s="48"/>
    </row>
    <row r="1242" spans="2:20" ht="23.4" x14ac:dyDescent="0.25">
      <c r="B1242" s="47"/>
      <c r="F1242" s="46"/>
      <c r="M1242" s="49"/>
      <c r="T1242" s="48"/>
    </row>
    <row r="1243" spans="2:20" ht="23.4" x14ac:dyDescent="0.25">
      <c r="B1243" s="47"/>
      <c r="F1243" s="46"/>
      <c r="M1243" s="49"/>
      <c r="T1243" s="48"/>
    </row>
    <row r="1244" spans="2:20" ht="23.4" x14ac:dyDescent="0.25">
      <c r="B1244" s="47"/>
      <c r="F1244" s="46"/>
      <c r="M1244" s="49"/>
      <c r="T1244" s="48"/>
    </row>
    <row r="1245" spans="2:20" ht="23.4" x14ac:dyDescent="0.25">
      <c r="B1245" s="47"/>
      <c r="F1245" s="46"/>
      <c r="M1245" s="49"/>
      <c r="T1245" s="48"/>
    </row>
    <row r="1246" spans="2:20" ht="23.4" x14ac:dyDescent="0.25">
      <c r="B1246" s="47"/>
      <c r="F1246" s="46"/>
      <c r="M1246" s="49"/>
      <c r="T1246" s="48"/>
    </row>
    <row r="1247" spans="2:20" ht="26.4" x14ac:dyDescent="0.25">
      <c r="B1247" s="47"/>
      <c r="F1247" s="46"/>
      <c r="M1247" s="49"/>
      <c r="T1247" s="45"/>
    </row>
    <row r="1248" spans="2:20" ht="23.4" x14ac:dyDescent="0.25">
      <c r="B1248" s="47"/>
      <c r="F1248" s="46"/>
      <c r="M1248" s="49"/>
      <c r="T1248" s="48"/>
    </row>
    <row r="1249" spans="2:20" ht="23.4" x14ac:dyDescent="0.25">
      <c r="B1249" s="47"/>
      <c r="F1249" s="46"/>
      <c r="M1249" s="49"/>
      <c r="T1249" s="48"/>
    </row>
    <row r="1250" spans="2:20" ht="23.4" x14ac:dyDescent="0.25">
      <c r="B1250" s="47"/>
      <c r="F1250" s="46"/>
      <c r="M1250" s="49"/>
      <c r="T1250" s="48"/>
    </row>
    <row r="1251" spans="2:20" ht="23.4" x14ac:dyDescent="0.25">
      <c r="B1251" s="47"/>
      <c r="F1251" s="46"/>
      <c r="M1251" s="49"/>
      <c r="T1251" s="48"/>
    </row>
    <row r="1252" spans="2:20" ht="23.4" x14ac:dyDescent="0.25">
      <c r="B1252" s="47"/>
      <c r="F1252" s="46"/>
      <c r="M1252" s="49"/>
      <c r="T1252" s="48"/>
    </row>
    <row r="1253" spans="2:20" ht="23.4" x14ac:dyDescent="0.25">
      <c r="B1253" s="47"/>
      <c r="F1253" s="46"/>
      <c r="M1253" s="49"/>
      <c r="T1253" s="48"/>
    </row>
    <row r="1254" spans="2:20" ht="26.4" x14ac:dyDescent="0.25">
      <c r="B1254" s="47"/>
      <c r="F1254" s="46"/>
      <c r="M1254" s="49"/>
      <c r="T1254" s="45"/>
    </row>
    <row r="1255" spans="2:20" ht="23.4" x14ac:dyDescent="0.25">
      <c r="B1255" s="47"/>
      <c r="F1255" s="46"/>
      <c r="M1255" s="49"/>
      <c r="T1255" s="48"/>
    </row>
    <row r="1256" spans="2:20" ht="23.4" x14ac:dyDescent="0.25">
      <c r="B1256" s="47"/>
      <c r="F1256" s="46"/>
      <c r="M1256" s="49"/>
      <c r="T1256" s="48"/>
    </row>
    <row r="1257" spans="2:20" ht="23.4" x14ac:dyDescent="0.25">
      <c r="B1257" s="47"/>
      <c r="F1257" s="46"/>
      <c r="M1257" s="49"/>
      <c r="T1257" s="48"/>
    </row>
    <row r="1258" spans="2:20" ht="23.4" x14ac:dyDescent="0.25">
      <c r="B1258" s="47"/>
      <c r="F1258" s="46"/>
      <c r="M1258" s="49"/>
      <c r="T1258" s="48"/>
    </row>
    <row r="1259" spans="2:20" ht="23.4" x14ac:dyDescent="0.25">
      <c r="B1259" s="47"/>
      <c r="F1259" s="46"/>
      <c r="M1259" s="49"/>
      <c r="T1259" s="48"/>
    </row>
    <row r="1260" spans="2:20" ht="23.4" x14ac:dyDescent="0.25">
      <c r="B1260" s="47"/>
      <c r="F1260" s="46"/>
      <c r="M1260" s="49"/>
      <c r="T1260" s="48"/>
    </row>
    <row r="1261" spans="2:20" ht="26.4" x14ac:dyDescent="0.25">
      <c r="B1261" s="47"/>
      <c r="F1261" s="46"/>
      <c r="M1261" s="49"/>
      <c r="T1261" s="45"/>
    </row>
    <row r="1262" spans="2:20" ht="23.4" x14ac:dyDescent="0.25">
      <c r="B1262" s="47"/>
      <c r="F1262" s="46"/>
      <c r="M1262" s="49"/>
      <c r="T1262" s="48"/>
    </row>
    <row r="1263" spans="2:20" ht="23.4" x14ac:dyDescent="0.25">
      <c r="B1263" s="47"/>
      <c r="F1263" s="46"/>
      <c r="M1263" s="49"/>
      <c r="T1263" s="48"/>
    </row>
    <row r="1264" spans="2:20" ht="23.4" x14ac:dyDescent="0.25">
      <c r="B1264" s="47"/>
      <c r="F1264" s="46"/>
      <c r="M1264" s="49"/>
      <c r="T1264" s="48"/>
    </row>
    <row r="1265" spans="2:20" ht="23.4" x14ac:dyDescent="0.25">
      <c r="B1265" s="47"/>
      <c r="F1265" s="46"/>
      <c r="M1265" s="49"/>
      <c r="T1265" s="48"/>
    </row>
    <row r="1266" spans="2:20" ht="23.4" x14ac:dyDescent="0.25">
      <c r="B1266" s="47"/>
      <c r="F1266" s="46"/>
      <c r="M1266" s="49"/>
      <c r="T1266" s="48"/>
    </row>
    <row r="1267" spans="2:20" ht="23.4" x14ac:dyDescent="0.25">
      <c r="B1267" s="47"/>
      <c r="F1267" s="46"/>
      <c r="M1267" s="49"/>
      <c r="T1267" s="48"/>
    </row>
    <row r="1268" spans="2:20" ht="26.4" x14ac:dyDescent="0.25">
      <c r="B1268" s="47"/>
      <c r="F1268" s="46"/>
      <c r="M1268" s="49"/>
      <c r="T1268" s="45"/>
    </row>
    <row r="1269" spans="2:20" ht="23.4" x14ac:dyDescent="0.25">
      <c r="B1269" s="47"/>
      <c r="F1269" s="46"/>
      <c r="M1269" s="49"/>
      <c r="T1269" s="48"/>
    </row>
    <row r="1270" spans="2:20" ht="23.4" x14ac:dyDescent="0.25">
      <c r="B1270" s="47"/>
      <c r="F1270" s="46"/>
      <c r="M1270" s="49"/>
      <c r="T1270" s="48"/>
    </row>
    <row r="1271" spans="2:20" ht="23.4" x14ac:dyDescent="0.25">
      <c r="B1271" s="47"/>
      <c r="F1271" s="46"/>
      <c r="M1271" s="49"/>
      <c r="T1271" s="48"/>
    </row>
    <row r="1272" spans="2:20" ht="23.4" x14ac:dyDescent="0.25">
      <c r="B1272" s="47"/>
      <c r="F1272" s="46"/>
      <c r="M1272" s="49"/>
      <c r="T1272" s="48"/>
    </row>
    <row r="1273" spans="2:20" ht="23.4" x14ac:dyDescent="0.25">
      <c r="B1273" s="47"/>
      <c r="F1273" s="46"/>
      <c r="M1273" s="49"/>
      <c r="T1273" s="48"/>
    </row>
    <row r="1274" spans="2:20" ht="23.4" x14ac:dyDescent="0.25">
      <c r="B1274" s="47"/>
      <c r="F1274" s="46"/>
      <c r="M1274" s="49"/>
      <c r="T1274" s="48"/>
    </row>
    <row r="1275" spans="2:20" ht="26.4" x14ac:dyDescent="0.25">
      <c r="B1275" s="47"/>
      <c r="F1275" s="46"/>
      <c r="M1275" s="49"/>
      <c r="T1275" s="45"/>
    </row>
    <row r="1276" spans="2:20" ht="23.4" x14ac:dyDescent="0.25">
      <c r="B1276" s="47"/>
      <c r="F1276" s="46"/>
      <c r="M1276" s="49"/>
      <c r="T1276" s="48"/>
    </row>
    <row r="1277" spans="2:20" ht="23.4" x14ac:dyDescent="0.25">
      <c r="B1277" s="47"/>
      <c r="F1277" s="46"/>
      <c r="M1277" s="49"/>
      <c r="T1277" s="48"/>
    </row>
    <row r="1278" spans="2:20" ht="23.4" x14ac:dyDescent="0.25">
      <c r="B1278" s="47"/>
      <c r="F1278" s="46"/>
      <c r="M1278" s="49"/>
      <c r="T1278" s="48"/>
    </row>
    <row r="1279" spans="2:20" ht="23.4" x14ac:dyDescent="0.25">
      <c r="B1279" s="47"/>
      <c r="F1279" s="46"/>
      <c r="M1279" s="49"/>
      <c r="T1279" s="48"/>
    </row>
    <row r="1280" spans="2:20" ht="23.4" x14ac:dyDescent="0.25">
      <c r="B1280" s="47"/>
      <c r="F1280" s="46"/>
      <c r="M1280" s="49"/>
      <c r="T1280" s="48"/>
    </row>
    <row r="1281" spans="2:20" ht="23.4" x14ac:dyDescent="0.25">
      <c r="B1281" s="47"/>
      <c r="F1281" s="46"/>
      <c r="M1281" s="49"/>
      <c r="T1281" s="48"/>
    </row>
    <row r="1282" spans="2:20" ht="26.4" x14ac:dyDescent="0.25">
      <c r="B1282" s="47"/>
      <c r="F1282" s="46"/>
      <c r="M1282" s="49"/>
      <c r="T1282" s="45"/>
    </row>
    <row r="1283" spans="2:20" ht="23.4" x14ac:dyDescent="0.25">
      <c r="B1283" s="47"/>
      <c r="F1283" s="46"/>
      <c r="M1283" s="49"/>
      <c r="T1283" s="48"/>
    </row>
    <row r="1284" spans="2:20" ht="23.4" x14ac:dyDescent="0.25">
      <c r="B1284" s="47"/>
      <c r="F1284" s="46"/>
      <c r="M1284" s="49"/>
      <c r="T1284" s="48"/>
    </row>
    <row r="1285" spans="2:20" ht="23.4" x14ac:dyDescent="0.25">
      <c r="B1285" s="47"/>
      <c r="F1285" s="46"/>
      <c r="M1285" s="49"/>
      <c r="T1285" s="48"/>
    </row>
    <row r="1286" spans="2:20" ht="23.4" x14ac:dyDescent="0.25">
      <c r="B1286" s="47"/>
      <c r="F1286" s="46"/>
      <c r="M1286" s="49"/>
      <c r="T1286" s="48"/>
    </row>
    <row r="1287" spans="2:20" ht="23.4" x14ac:dyDescent="0.25">
      <c r="B1287" s="47"/>
      <c r="F1287" s="46"/>
      <c r="M1287" s="49"/>
      <c r="T1287" s="48"/>
    </row>
    <row r="1288" spans="2:20" ht="23.4" x14ac:dyDescent="0.25">
      <c r="B1288" s="47"/>
      <c r="F1288" s="46"/>
      <c r="M1288" s="49"/>
      <c r="T1288" s="48"/>
    </row>
    <row r="1289" spans="2:20" ht="26.4" x14ac:dyDescent="0.25">
      <c r="B1289" s="47"/>
      <c r="F1289" s="46"/>
      <c r="M1289" s="49"/>
      <c r="T1289" s="45"/>
    </row>
    <row r="1290" spans="2:20" ht="23.4" x14ac:dyDescent="0.25">
      <c r="B1290" s="47"/>
      <c r="F1290" s="46"/>
      <c r="M1290" s="49"/>
      <c r="T1290" s="48"/>
    </row>
    <row r="1291" spans="2:20" ht="23.4" x14ac:dyDescent="0.25">
      <c r="B1291" s="47"/>
      <c r="F1291" s="46"/>
      <c r="M1291" s="49"/>
      <c r="T1291" s="48"/>
    </row>
    <row r="1292" spans="2:20" ht="23.4" x14ac:dyDescent="0.25">
      <c r="B1292" s="47"/>
      <c r="F1292" s="46"/>
      <c r="M1292" s="49"/>
      <c r="T1292" s="48"/>
    </row>
    <row r="1293" spans="2:20" ht="23.4" x14ac:dyDescent="0.25">
      <c r="B1293" s="47"/>
      <c r="F1293" s="46"/>
      <c r="M1293" s="49"/>
      <c r="T1293" s="48"/>
    </row>
    <row r="1294" spans="2:20" ht="23.4" x14ac:dyDescent="0.25">
      <c r="B1294" s="47"/>
      <c r="F1294" s="46"/>
      <c r="M1294" s="49"/>
      <c r="T1294" s="48"/>
    </row>
    <row r="1295" spans="2:20" ht="23.4" x14ac:dyDescent="0.25">
      <c r="B1295" s="47"/>
      <c r="F1295" s="46"/>
      <c r="M1295" s="49"/>
      <c r="T1295" s="48"/>
    </row>
    <row r="1296" spans="2:20" ht="26.4" x14ac:dyDescent="0.25">
      <c r="B1296" s="47"/>
      <c r="F1296" s="46"/>
      <c r="M1296" s="49"/>
      <c r="T1296" s="45"/>
    </row>
    <row r="1297" spans="2:20" ht="23.4" x14ac:dyDescent="0.25">
      <c r="B1297" s="47"/>
      <c r="F1297" s="46"/>
      <c r="M1297" s="49"/>
      <c r="T1297" s="48"/>
    </row>
    <row r="1298" spans="2:20" ht="23.4" x14ac:dyDescent="0.25">
      <c r="B1298" s="47"/>
      <c r="F1298" s="46"/>
      <c r="M1298" s="49"/>
      <c r="T1298" s="48"/>
    </row>
    <row r="1299" spans="2:20" ht="23.4" x14ac:dyDescent="0.25">
      <c r="B1299" s="47"/>
      <c r="F1299" s="46"/>
      <c r="M1299" s="49"/>
      <c r="T1299" s="48"/>
    </row>
    <row r="1300" spans="2:20" ht="23.4" x14ac:dyDescent="0.25">
      <c r="B1300" s="47"/>
      <c r="F1300" s="46"/>
      <c r="M1300" s="49"/>
      <c r="T1300" s="48"/>
    </row>
    <row r="1301" spans="2:20" ht="23.4" x14ac:dyDescent="0.25">
      <c r="B1301" s="47"/>
      <c r="F1301" s="46"/>
      <c r="M1301" s="49"/>
      <c r="T1301" s="48"/>
    </row>
    <row r="1302" spans="2:20" ht="23.4" x14ac:dyDescent="0.25">
      <c r="B1302" s="47"/>
      <c r="F1302" s="46"/>
      <c r="M1302" s="49"/>
      <c r="T1302" s="48"/>
    </row>
    <row r="1303" spans="2:20" ht="26.4" x14ac:dyDescent="0.25">
      <c r="B1303" s="47"/>
      <c r="F1303" s="46"/>
      <c r="M1303" s="49"/>
      <c r="T1303" s="45"/>
    </row>
    <row r="1304" spans="2:20" ht="23.4" x14ac:dyDescent="0.25">
      <c r="B1304" s="47"/>
      <c r="F1304" s="46"/>
      <c r="M1304" s="49"/>
      <c r="T1304" s="48"/>
    </row>
    <row r="1305" spans="2:20" ht="23.4" x14ac:dyDescent="0.25">
      <c r="B1305" s="47"/>
      <c r="F1305" s="46"/>
      <c r="M1305" s="49"/>
      <c r="T1305" s="48"/>
    </row>
    <row r="1306" spans="2:20" ht="23.4" x14ac:dyDescent="0.25">
      <c r="B1306" s="47"/>
      <c r="F1306" s="46"/>
      <c r="M1306" s="49"/>
      <c r="T1306" s="48"/>
    </row>
    <row r="1307" spans="2:20" ht="23.4" x14ac:dyDescent="0.25">
      <c r="B1307" s="47"/>
      <c r="F1307" s="46"/>
      <c r="M1307" s="49"/>
      <c r="T1307" s="48"/>
    </row>
    <row r="1308" spans="2:20" ht="23.4" x14ac:dyDescent="0.25">
      <c r="B1308" s="47"/>
      <c r="F1308" s="46"/>
      <c r="M1308" s="49"/>
      <c r="T1308" s="48"/>
    </row>
    <row r="1309" spans="2:20" ht="23.4" x14ac:dyDescent="0.25">
      <c r="B1309" s="47"/>
      <c r="F1309" s="46"/>
      <c r="M1309" s="49"/>
      <c r="T1309" s="48"/>
    </row>
    <row r="1310" spans="2:20" ht="26.4" x14ac:dyDescent="0.25">
      <c r="B1310" s="47"/>
      <c r="F1310" s="46"/>
      <c r="M1310" s="49"/>
      <c r="T1310" s="45"/>
    </row>
    <row r="1311" spans="2:20" ht="23.4" x14ac:dyDescent="0.25">
      <c r="B1311" s="47"/>
      <c r="F1311" s="46"/>
      <c r="M1311" s="49"/>
      <c r="T1311" s="48"/>
    </row>
    <row r="1312" spans="2:20" ht="23.4" x14ac:dyDescent="0.25">
      <c r="B1312" s="47"/>
      <c r="F1312" s="46"/>
      <c r="M1312" s="49"/>
      <c r="T1312" s="48"/>
    </row>
    <row r="1313" spans="2:20" ht="23.4" x14ac:dyDescent="0.25">
      <c r="B1313" s="47"/>
      <c r="F1313" s="46"/>
      <c r="M1313" s="49"/>
      <c r="T1313" s="48"/>
    </row>
    <row r="1314" spans="2:20" ht="23.4" x14ac:dyDescent="0.25">
      <c r="B1314" s="47"/>
      <c r="F1314" s="46"/>
      <c r="M1314" s="49"/>
      <c r="T1314" s="48"/>
    </row>
    <row r="1315" spans="2:20" ht="23.4" x14ac:dyDescent="0.25">
      <c r="B1315" s="47"/>
      <c r="F1315" s="46"/>
      <c r="M1315" s="49"/>
      <c r="T1315" s="48"/>
    </row>
    <row r="1316" spans="2:20" ht="23.4" x14ac:dyDescent="0.25">
      <c r="B1316" s="47"/>
      <c r="F1316" s="46"/>
      <c r="M1316" s="49"/>
      <c r="T1316" s="48"/>
    </row>
    <row r="1317" spans="2:20" ht="26.4" x14ac:dyDescent="0.25">
      <c r="B1317" s="47"/>
      <c r="F1317" s="46"/>
      <c r="M1317" s="49"/>
      <c r="T1317" s="45"/>
    </row>
    <row r="1318" spans="2:20" ht="23.4" x14ac:dyDescent="0.25">
      <c r="B1318" s="47"/>
      <c r="F1318" s="46"/>
      <c r="M1318" s="49"/>
      <c r="T1318" s="48"/>
    </row>
    <row r="1319" spans="2:20" ht="23.4" x14ac:dyDescent="0.25">
      <c r="B1319" s="47"/>
      <c r="F1319" s="46"/>
      <c r="M1319" s="49"/>
      <c r="T1319" s="48"/>
    </row>
    <row r="1320" spans="2:20" ht="23.4" x14ac:dyDescent="0.25">
      <c r="B1320" s="47"/>
      <c r="F1320" s="46"/>
      <c r="M1320" s="49"/>
      <c r="T1320" s="48"/>
    </row>
    <row r="1321" spans="2:20" ht="23.4" x14ac:dyDescent="0.25">
      <c r="B1321" s="47"/>
      <c r="F1321" s="46"/>
      <c r="M1321" s="49"/>
      <c r="T1321" s="48"/>
    </row>
    <row r="1322" spans="2:20" ht="23.4" x14ac:dyDescent="0.25">
      <c r="B1322" s="47"/>
      <c r="F1322" s="46"/>
      <c r="M1322" s="49"/>
      <c r="T1322" s="48"/>
    </row>
    <row r="1323" spans="2:20" ht="23.4" x14ac:dyDescent="0.25">
      <c r="B1323" s="47"/>
      <c r="F1323" s="46"/>
      <c r="M1323" s="49"/>
      <c r="T1323" s="48"/>
    </row>
    <row r="1324" spans="2:20" ht="26.4" x14ac:dyDescent="0.25">
      <c r="B1324" s="47"/>
      <c r="F1324" s="46"/>
      <c r="M1324" s="49"/>
      <c r="T1324" s="45"/>
    </row>
    <row r="1325" spans="2:20" ht="23.4" x14ac:dyDescent="0.25">
      <c r="B1325" s="47"/>
      <c r="F1325" s="46"/>
      <c r="M1325" s="49"/>
      <c r="T1325" s="48"/>
    </row>
    <row r="1326" spans="2:20" ht="23.4" x14ac:dyDescent="0.25">
      <c r="B1326" s="47"/>
      <c r="F1326" s="46"/>
      <c r="M1326" s="49"/>
      <c r="T1326" s="48"/>
    </row>
    <row r="1327" spans="2:20" ht="23.4" x14ac:dyDescent="0.25">
      <c r="B1327" s="47"/>
      <c r="F1327" s="46"/>
      <c r="M1327" s="49"/>
      <c r="T1327" s="48"/>
    </row>
    <row r="1328" spans="2:20" ht="23.4" x14ac:dyDescent="0.25">
      <c r="B1328" s="47"/>
      <c r="F1328" s="46"/>
      <c r="M1328" s="49"/>
      <c r="T1328" s="48"/>
    </row>
    <row r="1329" spans="2:20" ht="23.4" x14ac:dyDescent="0.25">
      <c r="B1329" s="47"/>
      <c r="F1329" s="46"/>
      <c r="M1329" s="49"/>
      <c r="T1329" s="48"/>
    </row>
    <row r="1330" spans="2:20" ht="23.4" x14ac:dyDescent="0.25">
      <c r="B1330" s="47"/>
      <c r="F1330" s="46"/>
      <c r="M1330" s="49"/>
      <c r="T1330" s="48"/>
    </row>
    <row r="1331" spans="2:20" ht="26.4" x14ac:dyDescent="0.25">
      <c r="B1331" s="47"/>
      <c r="F1331" s="46"/>
      <c r="M1331" s="49"/>
      <c r="T1331" s="45"/>
    </row>
    <row r="1332" spans="2:20" ht="23.4" x14ac:dyDescent="0.25">
      <c r="B1332" s="47"/>
      <c r="F1332" s="46"/>
      <c r="M1332" s="49"/>
      <c r="T1332" s="48"/>
    </row>
    <row r="1333" spans="2:20" ht="23.4" x14ac:dyDescent="0.25">
      <c r="B1333" s="47"/>
      <c r="F1333" s="46"/>
      <c r="M1333" s="49"/>
      <c r="T1333" s="48"/>
    </row>
    <row r="1334" spans="2:20" ht="23.4" x14ac:dyDescent="0.25">
      <c r="B1334" s="47"/>
      <c r="F1334" s="46"/>
      <c r="M1334" s="49"/>
      <c r="T1334" s="48"/>
    </row>
    <row r="1335" spans="2:20" ht="23.4" x14ac:dyDescent="0.25">
      <c r="B1335" s="47"/>
      <c r="F1335" s="46"/>
      <c r="M1335" s="49"/>
      <c r="T1335" s="48"/>
    </row>
    <row r="1336" spans="2:20" ht="23.4" x14ac:dyDescent="0.25">
      <c r="B1336" s="47"/>
      <c r="F1336" s="46"/>
      <c r="M1336" s="49"/>
      <c r="T1336" s="48"/>
    </row>
    <row r="1337" spans="2:20" ht="23.4" x14ac:dyDescent="0.25">
      <c r="B1337" s="47"/>
      <c r="F1337" s="46"/>
      <c r="M1337" s="49"/>
      <c r="T1337" s="48"/>
    </row>
    <row r="1338" spans="2:20" ht="26.4" x14ac:dyDescent="0.25">
      <c r="B1338" s="47"/>
      <c r="F1338" s="46"/>
      <c r="M1338" s="49"/>
      <c r="T1338" s="45"/>
    </row>
    <row r="1339" spans="2:20" ht="23.4" x14ac:dyDescent="0.25">
      <c r="B1339" s="47"/>
      <c r="F1339" s="46"/>
      <c r="M1339" s="49"/>
      <c r="T1339" s="48"/>
    </row>
    <row r="1340" spans="2:20" ht="23.4" x14ac:dyDescent="0.25">
      <c r="B1340" s="47"/>
      <c r="F1340" s="46"/>
      <c r="M1340" s="49"/>
      <c r="T1340" s="48"/>
    </row>
    <row r="1341" spans="2:20" ht="23.4" x14ac:dyDescent="0.25">
      <c r="B1341" s="47"/>
      <c r="F1341" s="46"/>
      <c r="M1341" s="49"/>
      <c r="T1341" s="48"/>
    </row>
    <row r="1342" spans="2:20" ht="23.4" x14ac:dyDescent="0.25">
      <c r="B1342" s="47"/>
      <c r="F1342" s="46"/>
      <c r="M1342" s="49"/>
      <c r="T1342" s="48"/>
    </row>
    <row r="1343" spans="2:20" ht="23.4" x14ac:dyDescent="0.25">
      <c r="B1343" s="47"/>
      <c r="F1343" s="46"/>
      <c r="M1343" s="49"/>
      <c r="T1343" s="48"/>
    </row>
    <row r="1344" spans="2:20" ht="23.4" x14ac:dyDescent="0.25">
      <c r="B1344" s="47"/>
      <c r="F1344" s="46"/>
      <c r="M1344" s="49"/>
      <c r="T1344" s="48"/>
    </row>
    <row r="1345" spans="2:20" ht="26.4" x14ac:dyDescent="0.25">
      <c r="B1345" s="47"/>
      <c r="F1345" s="46"/>
      <c r="M1345" s="49"/>
      <c r="T1345" s="45"/>
    </row>
    <row r="1346" spans="2:20" ht="23.4" x14ac:dyDescent="0.25">
      <c r="B1346" s="47"/>
      <c r="F1346" s="46"/>
      <c r="M1346" s="49"/>
      <c r="T1346" s="48"/>
    </row>
    <row r="1347" spans="2:20" ht="23.4" x14ac:dyDescent="0.25">
      <c r="B1347" s="47"/>
      <c r="F1347" s="46"/>
      <c r="M1347" s="49"/>
      <c r="T1347" s="48"/>
    </row>
    <row r="1348" spans="2:20" ht="23.4" x14ac:dyDescent="0.25">
      <c r="B1348" s="47"/>
      <c r="F1348" s="46"/>
      <c r="M1348" s="49"/>
      <c r="T1348" s="48"/>
    </row>
    <row r="1349" spans="2:20" ht="23.4" x14ac:dyDescent="0.25">
      <c r="B1349" s="47"/>
      <c r="F1349" s="46"/>
      <c r="M1349" s="49"/>
      <c r="T1349" s="48"/>
    </row>
    <row r="1350" spans="2:20" ht="23.4" x14ac:dyDescent="0.25">
      <c r="B1350" s="47"/>
      <c r="F1350" s="46"/>
      <c r="M1350" s="49"/>
      <c r="T1350" s="48"/>
    </row>
    <row r="1351" spans="2:20" ht="23.4" x14ac:dyDescent="0.25">
      <c r="B1351" s="47"/>
      <c r="F1351" s="46"/>
      <c r="M1351" s="49"/>
      <c r="T1351" s="48"/>
    </row>
    <row r="1352" spans="2:20" ht="26.4" x14ac:dyDescent="0.25">
      <c r="B1352" s="47"/>
      <c r="F1352" s="46"/>
      <c r="M1352" s="49"/>
      <c r="T1352" s="45"/>
    </row>
    <row r="1353" spans="2:20" ht="23.4" x14ac:dyDescent="0.25">
      <c r="B1353" s="47"/>
      <c r="F1353" s="46"/>
      <c r="M1353" s="49"/>
      <c r="T1353" s="48"/>
    </row>
    <row r="1354" spans="2:20" ht="23.4" x14ac:dyDescent="0.25">
      <c r="B1354" s="47"/>
      <c r="F1354" s="46"/>
      <c r="M1354" s="49"/>
      <c r="T1354" s="48"/>
    </row>
    <row r="1355" spans="2:20" ht="23.4" x14ac:dyDescent="0.25">
      <c r="B1355" s="47"/>
      <c r="F1355" s="46"/>
      <c r="M1355" s="49"/>
      <c r="T1355" s="48"/>
    </row>
    <row r="1356" spans="2:20" ht="23.4" x14ac:dyDescent="0.25">
      <c r="B1356" s="47"/>
      <c r="F1356" s="46"/>
      <c r="M1356" s="49"/>
      <c r="T1356" s="48"/>
    </row>
    <row r="1357" spans="2:20" ht="23.4" x14ac:dyDescent="0.25">
      <c r="B1357" s="47"/>
      <c r="F1357" s="46"/>
      <c r="M1357" s="49"/>
      <c r="T1357" s="48"/>
    </row>
    <row r="1358" spans="2:20" ht="23.4" x14ac:dyDescent="0.25">
      <c r="B1358" s="47"/>
      <c r="F1358" s="46"/>
      <c r="M1358" s="49"/>
      <c r="T1358" s="48"/>
    </row>
    <row r="1359" spans="2:20" ht="26.4" x14ac:dyDescent="0.25">
      <c r="B1359" s="47"/>
      <c r="F1359" s="46"/>
      <c r="M1359" s="49"/>
      <c r="T1359" s="45"/>
    </row>
    <row r="1360" spans="2:20" ht="23.4" x14ac:dyDescent="0.25">
      <c r="B1360" s="47"/>
      <c r="F1360" s="46"/>
      <c r="M1360" s="49"/>
      <c r="T1360" s="48"/>
    </row>
    <row r="1361" spans="2:20" ht="23.4" x14ac:dyDescent="0.25">
      <c r="B1361" s="47"/>
      <c r="F1361" s="46"/>
      <c r="M1361" s="49"/>
      <c r="T1361" s="48"/>
    </row>
    <row r="1362" spans="2:20" ht="23.4" x14ac:dyDescent="0.25">
      <c r="B1362" s="47"/>
      <c r="F1362" s="46"/>
      <c r="M1362" s="49"/>
      <c r="T1362" s="48"/>
    </row>
    <row r="1363" spans="2:20" ht="23.4" x14ac:dyDescent="0.25">
      <c r="B1363" s="47"/>
      <c r="F1363" s="46"/>
      <c r="M1363" s="49"/>
      <c r="T1363" s="48"/>
    </row>
    <row r="1364" spans="2:20" ht="23.4" x14ac:dyDescent="0.25">
      <c r="B1364" s="47"/>
      <c r="F1364" s="46"/>
      <c r="M1364" s="49"/>
      <c r="T1364" s="48"/>
    </row>
    <row r="1365" spans="2:20" ht="23.4" x14ac:dyDescent="0.25">
      <c r="B1365" s="47"/>
      <c r="F1365" s="46"/>
      <c r="M1365" s="49"/>
      <c r="T1365" s="48"/>
    </row>
    <row r="1366" spans="2:20" ht="26.4" x14ac:dyDescent="0.25">
      <c r="B1366" s="47"/>
      <c r="F1366" s="46"/>
      <c r="M1366" s="49"/>
      <c r="T1366" s="45"/>
    </row>
    <row r="1367" spans="2:20" ht="23.4" x14ac:dyDescent="0.25">
      <c r="B1367" s="47"/>
      <c r="F1367" s="46"/>
      <c r="M1367" s="49"/>
      <c r="T1367" s="48"/>
    </row>
    <row r="1368" spans="2:20" ht="23.4" x14ac:dyDescent="0.25">
      <c r="B1368" s="47"/>
      <c r="F1368" s="46"/>
      <c r="M1368" s="49"/>
      <c r="T1368" s="48"/>
    </row>
    <row r="1369" spans="2:20" ht="23.4" x14ac:dyDescent="0.25">
      <c r="B1369" s="47"/>
      <c r="F1369" s="46"/>
      <c r="M1369" s="49"/>
      <c r="T1369" s="48"/>
    </row>
    <row r="1370" spans="2:20" ht="23.4" x14ac:dyDescent="0.25">
      <c r="B1370" s="47"/>
      <c r="F1370" s="46"/>
      <c r="M1370" s="49"/>
      <c r="T1370" s="48"/>
    </row>
    <row r="1371" spans="2:20" ht="23.4" x14ac:dyDescent="0.25">
      <c r="B1371" s="47"/>
      <c r="F1371" s="46"/>
      <c r="M1371" s="49"/>
      <c r="T1371" s="48"/>
    </row>
    <row r="1372" spans="2:20" ht="23.4" x14ac:dyDescent="0.25">
      <c r="B1372" s="47"/>
      <c r="F1372" s="46"/>
      <c r="M1372" s="49"/>
      <c r="T1372" s="48"/>
    </row>
    <row r="1373" spans="2:20" ht="26.4" x14ac:dyDescent="0.25">
      <c r="B1373" s="47"/>
      <c r="F1373" s="46"/>
      <c r="M1373" s="49"/>
      <c r="T1373" s="45"/>
    </row>
    <row r="1374" spans="2:20" ht="23.4" x14ac:dyDescent="0.25">
      <c r="B1374" s="47"/>
      <c r="F1374" s="46"/>
      <c r="M1374" s="49"/>
      <c r="T1374" s="48"/>
    </row>
    <row r="1375" spans="2:20" ht="23.4" x14ac:dyDescent="0.25">
      <c r="B1375" s="47"/>
      <c r="F1375" s="46"/>
      <c r="M1375" s="49"/>
      <c r="T1375" s="48"/>
    </row>
    <row r="1376" spans="2:20" ht="23.4" x14ac:dyDescent="0.25">
      <c r="B1376" s="47"/>
      <c r="F1376" s="46"/>
      <c r="M1376" s="49"/>
      <c r="T1376" s="48"/>
    </row>
    <row r="1377" spans="2:20" ht="23.4" x14ac:dyDescent="0.25">
      <c r="B1377" s="47"/>
      <c r="F1377" s="46"/>
      <c r="M1377" s="49"/>
      <c r="T1377" s="48"/>
    </row>
    <row r="1378" spans="2:20" ht="23.4" x14ac:dyDescent="0.25">
      <c r="B1378" s="47"/>
      <c r="F1378" s="46"/>
      <c r="M1378" s="49"/>
      <c r="T1378" s="48"/>
    </row>
    <row r="1379" spans="2:20" ht="23.4" x14ac:dyDescent="0.25">
      <c r="B1379" s="47"/>
      <c r="F1379" s="46"/>
      <c r="M1379" s="49"/>
      <c r="T1379" s="48"/>
    </row>
    <row r="1380" spans="2:20" ht="26.4" x14ac:dyDescent="0.25">
      <c r="B1380" s="47"/>
      <c r="F1380" s="46"/>
      <c r="M1380" s="49"/>
      <c r="T1380" s="45"/>
    </row>
    <row r="1381" spans="2:20" ht="23.4" x14ac:dyDescent="0.25">
      <c r="B1381" s="47"/>
      <c r="F1381" s="46"/>
      <c r="M1381" s="49"/>
      <c r="T1381" s="48"/>
    </row>
    <row r="1382" spans="2:20" ht="23.4" x14ac:dyDescent="0.25">
      <c r="B1382" s="47"/>
      <c r="F1382" s="46"/>
      <c r="M1382" s="49"/>
      <c r="T1382" s="48"/>
    </row>
    <row r="1383" spans="2:20" ht="23.4" x14ac:dyDescent="0.25">
      <c r="B1383" s="47"/>
      <c r="F1383" s="46"/>
      <c r="M1383" s="49"/>
      <c r="T1383" s="48"/>
    </row>
    <row r="1384" spans="2:20" ht="23.4" x14ac:dyDescent="0.25">
      <c r="B1384" s="47"/>
      <c r="F1384" s="46"/>
      <c r="M1384" s="49"/>
      <c r="T1384" s="48"/>
    </row>
    <row r="1385" spans="2:20" ht="23.4" x14ac:dyDescent="0.25">
      <c r="B1385" s="47"/>
      <c r="F1385" s="46"/>
      <c r="M1385" s="49"/>
      <c r="T1385" s="48"/>
    </row>
    <row r="1386" spans="2:20" ht="23.4" x14ac:dyDescent="0.25">
      <c r="B1386" s="47"/>
      <c r="F1386" s="46"/>
      <c r="M1386" s="49"/>
      <c r="T1386" s="48"/>
    </row>
    <row r="1387" spans="2:20" ht="26.4" x14ac:dyDescent="0.25">
      <c r="B1387" s="47"/>
      <c r="F1387" s="46"/>
      <c r="M1387" s="49"/>
      <c r="T1387" s="45"/>
    </row>
    <row r="1388" spans="2:20" ht="23.4" x14ac:dyDescent="0.25">
      <c r="B1388" s="47"/>
      <c r="F1388" s="46"/>
      <c r="M1388" s="49"/>
      <c r="T1388" s="48"/>
    </row>
    <row r="1389" spans="2:20" ht="23.4" x14ac:dyDescent="0.25">
      <c r="B1389" s="47"/>
      <c r="F1389" s="46"/>
      <c r="M1389" s="49"/>
      <c r="T1389" s="48"/>
    </row>
    <row r="1390" spans="2:20" ht="23.4" x14ac:dyDescent="0.25">
      <c r="B1390" s="47"/>
      <c r="F1390" s="46"/>
      <c r="M1390" s="49"/>
      <c r="T1390" s="48"/>
    </row>
    <row r="1391" spans="2:20" ht="23.4" x14ac:dyDescent="0.25">
      <c r="B1391" s="47"/>
      <c r="F1391" s="46"/>
      <c r="M1391" s="49"/>
      <c r="T1391" s="48"/>
    </row>
    <row r="1392" spans="2:20" ht="23.4" x14ac:dyDescent="0.25">
      <c r="B1392" s="47"/>
      <c r="F1392" s="46"/>
      <c r="M1392" s="49"/>
      <c r="T1392" s="48"/>
    </row>
    <row r="1393" spans="2:20" ht="23.4" x14ac:dyDescent="0.25">
      <c r="B1393" s="47"/>
      <c r="F1393" s="46"/>
      <c r="M1393" s="49"/>
      <c r="T1393" s="48"/>
    </row>
    <row r="1394" spans="2:20" ht="26.4" x14ac:dyDescent="0.25">
      <c r="B1394" s="47"/>
      <c r="F1394" s="46"/>
      <c r="M1394" s="49"/>
      <c r="T1394" s="45"/>
    </row>
    <row r="1395" spans="2:20" ht="23.4" x14ac:dyDescent="0.25">
      <c r="B1395" s="47"/>
      <c r="F1395" s="46"/>
      <c r="M1395" s="49"/>
      <c r="T1395" s="48"/>
    </row>
    <row r="1396" spans="2:20" ht="23.4" x14ac:dyDescent="0.25">
      <c r="B1396" s="47"/>
      <c r="F1396" s="46"/>
      <c r="M1396" s="49"/>
      <c r="T1396" s="48"/>
    </row>
    <row r="1397" spans="2:20" ht="23.4" x14ac:dyDescent="0.25">
      <c r="B1397" s="47"/>
      <c r="F1397" s="46"/>
      <c r="M1397" s="49"/>
      <c r="T1397" s="48"/>
    </row>
    <row r="1398" spans="2:20" ht="23.4" x14ac:dyDescent="0.25">
      <c r="B1398" s="47"/>
      <c r="F1398" s="46"/>
      <c r="M1398" s="49"/>
      <c r="T1398" s="48"/>
    </row>
    <row r="1399" spans="2:20" ht="23.4" x14ac:dyDescent="0.25">
      <c r="B1399" s="47"/>
      <c r="F1399" s="46"/>
      <c r="M1399" s="49"/>
      <c r="T1399" s="48"/>
    </row>
    <row r="1400" spans="2:20" ht="23.4" x14ac:dyDescent="0.25">
      <c r="B1400" s="47"/>
      <c r="F1400" s="46"/>
      <c r="M1400" s="49"/>
      <c r="T1400" s="48"/>
    </row>
    <row r="1401" spans="2:20" ht="26.4" x14ac:dyDescent="0.25">
      <c r="B1401" s="47"/>
      <c r="F1401" s="46"/>
      <c r="M1401" s="49"/>
      <c r="T1401" s="45"/>
    </row>
    <row r="1402" spans="2:20" ht="23.4" x14ac:dyDescent="0.25">
      <c r="B1402" s="47"/>
      <c r="F1402" s="46"/>
      <c r="M1402" s="49"/>
      <c r="T1402" s="48"/>
    </row>
    <row r="1403" spans="2:20" ht="23.4" x14ac:dyDescent="0.25">
      <c r="B1403" s="47"/>
      <c r="F1403" s="46"/>
      <c r="M1403" s="49"/>
      <c r="T1403" s="48"/>
    </row>
    <row r="1404" spans="2:20" ht="23.4" x14ac:dyDescent="0.25">
      <c r="B1404" s="47"/>
      <c r="F1404" s="46"/>
      <c r="M1404" s="49"/>
      <c r="T1404" s="48"/>
    </row>
    <row r="1405" spans="2:20" ht="23.4" x14ac:dyDescent="0.25">
      <c r="B1405" s="47"/>
      <c r="F1405" s="46"/>
      <c r="M1405" s="49"/>
      <c r="T1405" s="48"/>
    </row>
    <row r="1406" spans="2:20" ht="23.4" x14ac:dyDescent="0.25">
      <c r="B1406" s="47"/>
      <c r="F1406" s="46"/>
      <c r="M1406" s="49"/>
      <c r="T1406" s="48"/>
    </row>
    <row r="1407" spans="2:20" ht="23.4" x14ac:dyDescent="0.25">
      <c r="B1407" s="47"/>
      <c r="F1407" s="46"/>
      <c r="M1407" s="49"/>
      <c r="T1407" s="48"/>
    </row>
    <row r="1408" spans="2:20" ht="26.4" x14ac:dyDescent="0.25">
      <c r="B1408" s="47"/>
      <c r="F1408" s="46"/>
      <c r="M1408" s="49"/>
      <c r="T1408" s="45"/>
    </row>
    <row r="1409" spans="2:20" ht="23.4" x14ac:dyDescent="0.25">
      <c r="B1409" s="47"/>
      <c r="F1409" s="46"/>
      <c r="M1409" s="49"/>
      <c r="T1409" s="48"/>
    </row>
    <row r="1410" spans="2:20" ht="23.4" x14ac:dyDescent="0.25">
      <c r="B1410" s="47"/>
      <c r="F1410" s="46"/>
      <c r="M1410" s="49"/>
      <c r="T1410" s="48"/>
    </row>
    <row r="1411" spans="2:20" ht="23.4" x14ac:dyDescent="0.25">
      <c r="B1411" s="47"/>
      <c r="F1411" s="46"/>
      <c r="M1411" s="49"/>
      <c r="T1411" s="48"/>
    </row>
    <row r="1412" spans="2:20" ht="23.4" x14ac:dyDescent="0.25">
      <c r="B1412" s="47"/>
      <c r="F1412" s="46"/>
      <c r="M1412" s="49"/>
      <c r="T1412" s="48"/>
    </row>
    <row r="1413" spans="2:20" ht="23.4" x14ac:dyDescent="0.25">
      <c r="B1413" s="47"/>
      <c r="F1413" s="46"/>
      <c r="M1413" s="49"/>
      <c r="T1413" s="48"/>
    </row>
    <row r="1414" spans="2:20" ht="23.4" x14ac:dyDescent="0.25">
      <c r="B1414" s="47"/>
      <c r="F1414" s="46"/>
      <c r="M1414" s="49"/>
      <c r="T1414" s="48"/>
    </row>
    <row r="1415" spans="2:20" ht="26.4" x14ac:dyDescent="0.25">
      <c r="B1415" s="47"/>
      <c r="F1415" s="46"/>
      <c r="M1415" s="49"/>
      <c r="T1415" s="45"/>
    </row>
    <row r="1416" spans="2:20" ht="23.4" x14ac:dyDescent="0.25">
      <c r="B1416" s="47"/>
      <c r="F1416" s="46"/>
      <c r="M1416" s="49"/>
      <c r="T1416" s="48"/>
    </row>
    <row r="1417" spans="2:20" ht="23.4" x14ac:dyDescent="0.25">
      <c r="B1417" s="47"/>
      <c r="F1417" s="46"/>
      <c r="M1417" s="49"/>
      <c r="T1417" s="48"/>
    </row>
    <row r="1418" spans="2:20" ht="23.4" x14ac:dyDescent="0.25">
      <c r="B1418" s="47"/>
      <c r="F1418" s="46"/>
      <c r="M1418" s="49"/>
      <c r="T1418" s="48"/>
    </row>
    <row r="1419" spans="2:20" ht="23.4" x14ac:dyDescent="0.25">
      <c r="B1419" s="47"/>
      <c r="F1419" s="46"/>
      <c r="M1419" s="49"/>
      <c r="T1419" s="48"/>
    </row>
    <row r="1420" spans="2:20" ht="23.4" x14ac:dyDescent="0.25">
      <c r="B1420" s="47"/>
      <c r="F1420" s="46"/>
      <c r="M1420" s="49"/>
      <c r="T1420" s="48"/>
    </row>
    <row r="1421" spans="2:20" ht="23.4" x14ac:dyDescent="0.25">
      <c r="B1421" s="47"/>
      <c r="F1421" s="46"/>
      <c r="M1421" s="49"/>
      <c r="T1421" s="48"/>
    </row>
    <row r="1422" spans="2:20" ht="26.4" x14ac:dyDescent="0.25">
      <c r="B1422" s="47"/>
      <c r="F1422" s="46"/>
      <c r="M1422" s="49"/>
      <c r="T1422" s="45"/>
    </row>
    <row r="1423" spans="2:20" ht="23.4" x14ac:dyDescent="0.25">
      <c r="B1423" s="47"/>
      <c r="F1423" s="46"/>
      <c r="M1423" s="49"/>
      <c r="T1423" s="48"/>
    </row>
    <row r="1424" spans="2:20" ht="23.4" x14ac:dyDescent="0.25">
      <c r="B1424" s="47"/>
      <c r="F1424" s="46"/>
      <c r="M1424" s="49"/>
      <c r="T1424" s="48"/>
    </row>
    <row r="1425" spans="2:20" ht="23.4" x14ac:dyDescent="0.25">
      <c r="B1425" s="47"/>
      <c r="F1425" s="46"/>
      <c r="M1425" s="49"/>
      <c r="T1425" s="48"/>
    </row>
    <row r="1426" spans="2:20" ht="23.4" x14ac:dyDescent="0.25">
      <c r="B1426" s="47"/>
      <c r="F1426" s="46"/>
      <c r="M1426" s="49"/>
      <c r="T1426" s="48"/>
    </row>
    <row r="1427" spans="2:20" ht="23.4" x14ac:dyDescent="0.25">
      <c r="B1427" s="47"/>
      <c r="F1427" s="46"/>
      <c r="M1427" s="49"/>
      <c r="T1427" s="48"/>
    </row>
    <row r="1428" spans="2:20" ht="23.4" x14ac:dyDescent="0.25">
      <c r="B1428" s="47"/>
      <c r="F1428" s="46"/>
      <c r="M1428" s="49"/>
      <c r="T1428" s="48"/>
    </row>
    <row r="1429" spans="2:20" ht="26.4" x14ac:dyDescent="0.25">
      <c r="B1429" s="47"/>
      <c r="F1429" s="46"/>
      <c r="M1429" s="49"/>
      <c r="T1429" s="45"/>
    </row>
    <row r="1430" spans="2:20" ht="23.4" x14ac:dyDescent="0.25">
      <c r="B1430" s="47"/>
      <c r="F1430" s="46"/>
      <c r="M1430" s="49"/>
      <c r="T1430" s="48"/>
    </row>
    <row r="1431" spans="2:20" ht="23.4" x14ac:dyDescent="0.25">
      <c r="B1431" s="47"/>
      <c r="F1431" s="46"/>
      <c r="M1431" s="49"/>
      <c r="T1431" s="48"/>
    </row>
    <row r="1432" spans="2:20" ht="23.4" x14ac:dyDescent="0.25">
      <c r="B1432" s="47"/>
      <c r="F1432" s="46"/>
      <c r="M1432" s="49"/>
      <c r="T1432" s="48"/>
    </row>
    <row r="1433" spans="2:20" ht="23.4" x14ac:dyDescent="0.25">
      <c r="B1433" s="47"/>
      <c r="F1433" s="46"/>
      <c r="M1433" s="49"/>
      <c r="T1433" s="48"/>
    </row>
    <row r="1434" spans="2:20" ht="23.4" x14ac:dyDescent="0.25">
      <c r="B1434" s="47"/>
      <c r="F1434" s="46"/>
      <c r="M1434" s="49"/>
      <c r="T1434" s="48"/>
    </row>
    <row r="1435" spans="2:20" ht="23.4" x14ac:dyDescent="0.25">
      <c r="B1435" s="47"/>
      <c r="F1435" s="46"/>
      <c r="M1435" s="49"/>
      <c r="T1435" s="48"/>
    </row>
    <row r="1436" spans="2:20" ht="26.4" x14ac:dyDescent="0.25">
      <c r="B1436" s="47"/>
      <c r="F1436" s="46"/>
      <c r="M1436" s="49"/>
      <c r="T1436" s="45"/>
    </row>
    <row r="1437" spans="2:20" ht="23.4" x14ac:dyDescent="0.25">
      <c r="B1437" s="47"/>
      <c r="F1437" s="46"/>
      <c r="M1437" s="49"/>
      <c r="T1437" s="48"/>
    </row>
    <row r="1438" spans="2:20" ht="23.4" x14ac:dyDescent="0.25">
      <c r="B1438" s="47"/>
      <c r="F1438" s="46"/>
      <c r="M1438" s="49"/>
      <c r="T1438" s="48"/>
    </row>
    <row r="1439" spans="2:20" ht="23.4" x14ac:dyDescent="0.25">
      <c r="B1439" s="47"/>
      <c r="F1439" s="46"/>
      <c r="M1439" s="49"/>
      <c r="T1439" s="48"/>
    </row>
    <row r="1440" spans="2:20" ht="23.4" x14ac:dyDescent="0.25">
      <c r="B1440" s="47"/>
      <c r="F1440" s="46"/>
      <c r="M1440" s="49"/>
      <c r="T1440" s="48"/>
    </row>
    <row r="1441" spans="2:20" ht="23.4" x14ac:dyDescent="0.25">
      <c r="B1441" s="47"/>
      <c r="F1441" s="46"/>
      <c r="M1441" s="49"/>
      <c r="T1441" s="48"/>
    </row>
    <row r="1442" spans="2:20" ht="23.4" x14ac:dyDescent="0.25">
      <c r="B1442" s="47"/>
      <c r="F1442" s="46"/>
      <c r="M1442" s="49"/>
      <c r="T1442" s="48"/>
    </row>
    <row r="1443" spans="2:20" ht="26.4" x14ac:dyDescent="0.25">
      <c r="B1443" s="47"/>
      <c r="F1443" s="46"/>
      <c r="M1443" s="49"/>
      <c r="T1443" s="45"/>
    </row>
    <row r="1444" spans="2:20" ht="23.4" x14ac:dyDescent="0.25">
      <c r="B1444" s="47"/>
      <c r="F1444" s="46"/>
      <c r="M1444" s="49"/>
      <c r="T1444" s="48"/>
    </row>
    <row r="1445" spans="2:20" ht="23.4" x14ac:dyDescent="0.25">
      <c r="B1445" s="47"/>
      <c r="F1445" s="46"/>
      <c r="M1445" s="49"/>
      <c r="T1445" s="48"/>
    </row>
    <row r="1446" spans="2:20" ht="23.4" x14ac:dyDescent="0.25">
      <c r="B1446" s="47"/>
      <c r="F1446" s="46"/>
      <c r="M1446" s="49"/>
      <c r="T1446" s="48"/>
    </row>
    <row r="1447" spans="2:20" ht="23.4" x14ac:dyDescent="0.25">
      <c r="B1447" s="47"/>
      <c r="F1447" s="46"/>
      <c r="M1447" s="49"/>
      <c r="T1447" s="48"/>
    </row>
    <row r="1448" spans="2:20" ht="23.4" x14ac:dyDescent="0.25">
      <c r="B1448" s="47"/>
      <c r="F1448" s="46"/>
      <c r="M1448" s="49"/>
      <c r="T1448" s="48"/>
    </row>
    <row r="1449" spans="2:20" ht="23.4" x14ac:dyDescent="0.25">
      <c r="B1449" s="47"/>
      <c r="F1449" s="46"/>
      <c r="M1449" s="49"/>
      <c r="T1449" s="48"/>
    </row>
    <row r="1450" spans="2:20" ht="26.4" x14ac:dyDescent="0.25">
      <c r="B1450" s="47"/>
      <c r="F1450" s="46"/>
      <c r="M1450" s="49"/>
      <c r="T1450" s="45"/>
    </row>
    <row r="1451" spans="2:20" ht="23.4" x14ac:dyDescent="0.25">
      <c r="B1451" s="47"/>
      <c r="F1451" s="46"/>
      <c r="M1451" s="49"/>
      <c r="T1451" s="48"/>
    </row>
    <row r="1452" spans="2:20" ht="23.4" x14ac:dyDescent="0.25">
      <c r="B1452" s="47"/>
      <c r="F1452" s="46"/>
      <c r="M1452" s="49"/>
      <c r="T1452" s="48"/>
    </row>
    <row r="1453" spans="2:20" ht="23.4" x14ac:dyDescent="0.25">
      <c r="B1453" s="47"/>
      <c r="F1453" s="46"/>
      <c r="M1453" s="49"/>
      <c r="T1453" s="48"/>
    </row>
    <row r="1454" spans="2:20" ht="23.4" x14ac:dyDescent="0.25">
      <c r="B1454" s="47"/>
      <c r="F1454" s="46"/>
      <c r="M1454" s="49"/>
      <c r="T1454" s="48"/>
    </row>
    <row r="1455" spans="2:20" ht="23.4" x14ac:dyDescent="0.25">
      <c r="B1455" s="47"/>
      <c r="F1455" s="46"/>
      <c r="M1455" s="49"/>
      <c r="T1455" s="48"/>
    </row>
    <row r="1456" spans="2:20" ht="23.4" x14ac:dyDescent="0.25">
      <c r="B1456" s="47"/>
      <c r="F1456" s="46"/>
      <c r="M1456" s="49"/>
      <c r="T1456" s="48"/>
    </row>
    <row r="1457" spans="2:20" ht="26.4" x14ac:dyDescent="0.25">
      <c r="B1457" s="47"/>
      <c r="F1457" s="46"/>
      <c r="M1457" s="49"/>
      <c r="T1457" s="45"/>
    </row>
    <row r="1458" spans="2:20" ht="23.4" x14ac:dyDescent="0.25">
      <c r="B1458" s="47"/>
      <c r="F1458" s="46"/>
      <c r="M1458" s="49"/>
      <c r="T1458" s="48"/>
    </row>
    <row r="1459" spans="2:20" ht="23.4" x14ac:dyDescent="0.25">
      <c r="B1459" s="47"/>
      <c r="F1459" s="46"/>
      <c r="M1459" s="49"/>
      <c r="T1459" s="48"/>
    </row>
    <row r="1460" spans="2:20" ht="23.4" x14ac:dyDescent="0.25">
      <c r="B1460" s="47"/>
      <c r="F1460" s="46"/>
      <c r="M1460" s="49"/>
      <c r="T1460" s="48"/>
    </row>
    <row r="1461" spans="2:20" ht="23.4" x14ac:dyDescent="0.25">
      <c r="B1461" s="47"/>
      <c r="F1461" s="46"/>
      <c r="M1461" s="49"/>
      <c r="T1461" s="48"/>
    </row>
    <row r="1462" spans="2:20" ht="23.4" x14ac:dyDescent="0.25">
      <c r="B1462" s="47"/>
      <c r="F1462" s="46"/>
      <c r="M1462" s="49"/>
      <c r="T1462" s="48"/>
    </row>
    <row r="1463" spans="2:20" ht="23.4" x14ac:dyDescent="0.25">
      <c r="B1463" s="47"/>
      <c r="F1463" s="46"/>
      <c r="M1463" s="49"/>
      <c r="T1463" s="48"/>
    </row>
    <row r="1464" spans="2:20" ht="26.4" x14ac:dyDescent="0.25">
      <c r="B1464" s="47"/>
      <c r="F1464" s="46"/>
      <c r="M1464" s="49"/>
      <c r="T1464" s="45"/>
    </row>
    <row r="1465" spans="2:20" ht="23.4" x14ac:dyDescent="0.25">
      <c r="B1465" s="47"/>
      <c r="F1465" s="46"/>
      <c r="M1465" s="49"/>
      <c r="T1465" s="48"/>
    </row>
    <row r="1466" spans="2:20" ht="23.4" x14ac:dyDescent="0.25">
      <c r="B1466" s="47"/>
      <c r="F1466" s="46"/>
      <c r="M1466" s="49"/>
      <c r="T1466" s="48"/>
    </row>
    <row r="1467" spans="2:20" ht="23.4" x14ac:dyDescent="0.25">
      <c r="B1467" s="47"/>
      <c r="F1467" s="46"/>
      <c r="M1467" s="49"/>
      <c r="T1467" s="48"/>
    </row>
    <row r="1468" spans="2:20" ht="23.4" x14ac:dyDescent="0.25">
      <c r="B1468" s="47"/>
      <c r="F1468" s="46"/>
      <c r="M1468" s="49"/>
      <c r="T1468" s="48"/>
    </row>
    <row r="1469" spans="2:20" ht="23.4" x14ac:dyDescent="0.25">
      <c r="B1469" s="47"/>
      <c r="F1469" s="46"/>
      <c r="M1469" s="49"/>
      <c r="T1469" s="48"/>
    </row>
    <row r="1470" spans="2:20" ht="23.4" x14ac:dyDescent="0.25">
      <c r="B1470" s="47"/>
      <c r="F1470" s="46"/>
      <c r="M1470" s="49"/>
      <c r="T1470" s="48"/>
    </row>
    <row r="1471" spans="2:20" ht="26.4" x14ac:dyDescent="0.25">
      <c r="B1471" s="47"/>
      <c r="F1471" s="46"/>
      <c r="M1471" s="49"/>
      <c r="T1471" s="45"/>
    </row>
    <row r="1472" spans="2:20" ht="23.4" x14ac:dyDescent="0.25">
      <c r="B1472" s="47"/>
      <c r="F1472" s="46"/>
      <c r="M1472" s="49"/>
      <c r="T1472" s="48"/>
    </row>
    <row r="1473" spans="2:20" ht="23.4" x14ac:dyDescent="0.25">
      <c r="B1473" s="47"/>
      <c r="F1473" s="46"/>
      <c r="M1473" s="49"/>
      <c r="T1473" s="48"/>
    </row>
    <row r="1474" spans="2:20" ht="23.4" x14ac:dyDescent="0.25">
      <c r="B1474" s="47"/>
      <c r="F1474" s="46"/>
      <c r="M1474" s="49"/>
      <c r="T1474" s="48"/>
    </row>
    <row r="1475" spans="2:20" ht="23.4" x14ac:dyDescent="0.25">
      <c r="B1475" s="47"/>
      <c r="F1475" s="46"/>
      <c r="M1475" s="49"/>
      <c r="T1475" s="48"/>
    </row>
    <row r="1476" spans="2:20" ht="23.4" x14ac:dyDescent="0.25">
      <c r="B1476" s="47"/>
      <c r="F1476" s="46"/>
      <c r="M1476" s="49"/>
      <c r="T1476" s="48"/>
    </row>
    <row r="1477" spans="2:20" ht="23.4" x14ac:dyDescent="0.25">
      <c r="B1477" s="47"/>
      <c r="F1477" s="46"/>
      <c r="M1477" s="49"/>
      <c r="T1477" s="48"/>
    </row>
    <row r="1478" spans="2:20" ht="26.4" x14ac:dyDescent="0.25">
      <c r="B1478" s="47"/>
      <c r="F1478" s="46"/>
      <c r="M1478" s="49"/>
      <c r="T1478" s="45"/>
    </row>
    <row r="1479" spans="2:20" ht="23.4" x14ac:dyDescent="0.25">
      <c r="B1479" s="47"/>
      <c r="F1479" s="46"/>
      <c r="M1479" s="49"/>
      <c r="T1479" s="48"/>
    </row>
    <row r="1480" spans="2:20" ht="23.4" x14ac:dyDescent="0.25">
      <c r="B1480" s="47"/>
      <c r="F1480" s="46"/>
      <c r="M1480" s="49"/>
      <c r="T1480" s="48"/>
    </row>
    <row r="1481" spans="2:20" ht="23.4" x14ac:dyDescent="0.25">
      <c r="B1481" s="47"/>
      <c r="F1481" s="46"/>
      <c r="M1481" s="49"/>
      <c r="T1481" s="48"/>
    </row>
    <row r="1482" spans="2:20" ht="23.4" x14ac:dyDescent="0.25">
      <c r="B1482" s="47"/>
      <c r="F1482" s="46"/>
      <c r="M1482" s="49"/>
      <c r="T1482" s="48"/>
    </row>
    <row r="1483" spans="2:20" ht="23.4" x14ac:dyDescent="0.25">
      <c r="B1483" s="47"/>
      <c r="F1483" s="46"/>
      <c r="M1483" s="49"/>
      <c r="T1483" s="48"/>
    </row>
    <row r="1484" spans="2:20" ht="23.4" x14ac:dyDescent="0.25">
      <c r="B1484" s="47"/>
      <c r="F1484" s="46"/>
      <c r="M1484" s="49"/>
      <c r="T1484" s="48"/>
    </row>
    <row r="1485" spans="2:20" ht="26.4" x14ac:dyDescent="0.25">
      <c r="B1485" s="47"/>
      <c r="F1485" s="46"/>
      <c r="M1485" s="49"/>
      <c r="T1485" s="45"/>
    </row>
    <row r="1486" spans="2:20" ht="23.4" x14ac:dyDescent="0.25">
      <c r="B1486" s="47"/>
      <c r="F1486" s="46"/>
      <c r="M1486" s="49"/>
      <c r="T1486" s="48"/>
    </row>
    <row r="1487" spans="2:20" ht="23.4" x14ac:dyDescent="0.25">
      <c r="B1487" s="47"/>
      <c r="F1487" s="46"/>
      <c r="M1487" s="49"/>
      <c r="T1487" s="48"/>
    </row>
    <row r="1488" spans="2:20" ht="23.4" x14ac:dyDescent="0.25">
      <c r="B1488" s="47"/>
      <c r="F1488" s="46"/>
      <c r="M1488" s="49"/>
      <c r="T1488" s="48"/>
    </row>
    <row r="1489" spans="2:20" ht="23.4" x14ac:dyDescent="0.25">
      <c r="B1489" s="47"/>
      <c r="F1489" s="46"/>
      <c r="M1489" s="49"/>
      <c r="T1489" s="48"/>
    </row>
    <row r="1490" spans="2:20" ht="23.4" x14ac:dyDescent="0.25">
      <c r="B1490" s="47"/>
      <c r="F1490" s="46"/>
      <c r="M1490" s="49"/>
      <c r="T1490" s="48"/>
    </row>
    <row r="1491" spans="2:20" ht="23.4" x14ac:dyDescent="0.25">
      <c r="B1491" s="47"/>
      <c r="F1491" s="46"/>
      <c r="M1491" s="49"/>
      <c r="T1491" s="48"/>
    </row>
    <row r="1492" spans="2:20" ht="26.4" x14ac:dyDescent="0.25">
      <c r="B1492" s="47"/>
      <c r="F1492" s="46"/>
      <c r="M1492" s="49"/>
      <c r="T1492" s="45"/>
    </row>
    <row r="1493" spans="2:20" ht="23.4" x14ac:dyDescent="0.25">
      <c r="B1493" s="47"/>
      <c r="F1493" s="46"/>
      <c r="M1493" s="49"/>
      <c r="T1493" s="48"/>
    </row>
    <row r="1494" spans="2:20" ht="23.4" x14ac:dyDescent="0.25">
      <c r="B1494" s="47"/>
      <c r="F1494" s="46"/>
      <c r="M1494" s="49"/>
      <c r="T1494" s="48"/>
    </row>
    <row r="1495" spans="2:20" ht="23.4" x14ac:dyDescent="0.25">
      <c r="B1495" s="47"/>
      <c r="F1495" s="46"/>
      <c r="M1495" s="49"/>
      <c r="T1495" s="48"/>
    </row>
    <row r="1496" spans="2:20" ht="23.4" x14ac:dyDescent="0.25">
      <c r="B1496" s="47"/>
      <c r="F1496" s="46"/>
      <c r="M1496" s="49"/>
      <c r="T1496" s="48"/>
    </row>
    <row r="1497" spans="2:20" ht="23.4" x14ac:dyDescent="0.25">
      <c r="B1497" s="47"/>
      <c r="F1497" s="46"/>
      <c r="M1497" s="49"/>
      <c r="T1497" s="48"/>
    </row>
    <row r="1498" spans="2:20" ht="23.4" x14ac:dyDescent="0.25">
      <c r="B1498" s="47"/>
      <c r="F1498" s="46"/>
      <c r="M1498" s="49"/>
      <c r="T1498" s="48"/>
    </row>
    <row r="1499" spans="2:20" ht="26.4" x14ac:dyDescent="0.25">
      <c r="B1499" s="47"/>
      <c r="F1499" s="46"/>
      <c r="M1499" s="49"/>
      <c r="T1499" s="45"/>
    </row>
    <row r="1500" spans="2:20" ht="23.4" x14ac:dyDescent="0.25">
      <c r="B1500" s="47"/>
      <c r="F1500" s="46"/>
      <c r="M1500" s="49"/>
      <c r="T1500" s="48"/>
    </row>
    <row r="1501" spans="2:20" ht="23.4" x14ac:dyDescent="0.25">
      <c r="B1501" s="47"/>
      <c r="F1501" s="46"/>
      <c r="M1501" s="49"/>
      <c r="T1501" s="48"/>
    </row>
    <row r="1502" spans="2:20" ht="23.4" x14ac:dyDescent="0.25">
      <c r="B1502" s="47"/>
      <c r="F1502" s="46"/>
      <c r="M1502" s="49"/>
      <c r="T1502" s="48"/>
    </row>
    <row r="1503" spans="2:20" ht="23.4" x14ac:dyDescent="0.25">
      <c r="B1503" s="47"/>
      <c r="F1503" s="46"/>
      <c r="M1503" s="49"/>
      <c r="T1503" s="48"/>
    </row>
    <row r="1504" spans="2:20" ht="23.4" x14ac:dyDescent="0.25">
      <c r="B1504" s="47"/>
      <c r="F1504" s="46"/>
      <c r="M1504" s="49"/>
      <c r="T1504" s="48"/>
    </row>
    <row r="1505" spans="2:20" ht="23.4" x14ac:dyDescent="0.25">
      <c r="B1505" s="47"/>
      <c r="F1505" s="46"/>
      <c r="M1505" s="49"/>
      <c r="T1505" s="48"/>
    </row>
    <row r="1506" spans="2:20" ht="26.4" x14ac:dyDescent="0.25">
      <c r="B1506" s="47"/>
      <c r="F1506" s="46"/>
      <c r="M1506" s="49"/>
      <c r="T1506" s="45"/>
    </row>
    <row r="1507" spans="2:20" ht="23.4" x14ac:dyDescent="0.25">
      <c r="B1507" s="47"/>
      <c r="F1507" s="46"/>
      <c r="M1507" s="49"/>
      <c r="T1507" s="48"/>
    </row>
    <row r="1508" spans="2:20" ht="23.4" x14ac:dyDescent="0.25">
      <c r="B1508" s="47"/>
      <c r="F1508" s="46"/>
      <c r="M1508" s="49"/>
      <c r="T1508" s="48"/>
    </row>
    <row r="1509" spans="2:20" ht="23.4" x14ac:dyDescent="0.25">
      <c r="B1509" s="47"/>
      <c r="F1509" s="46"/>
      <c r="M1509" s="49"/>
      <c r="T1509" s="48"/>
    </row>
    <row r="1510" spans="2:20" ht="23.4" x14ac:dyDescent="0.25">
      <c r="B1510" s="47"/>
      <c r="F1510" s="46"/>
      <c r="M1510" s="49"/>
      <c r="T1510" s="48"/>
    </row>
    <row r="1511" spans="2:20" ht="23.4" x14ac:dyDescent="0.25">
      <c r="B1511" s="47"/>
      <c r="F1511" s="46"/>
      <c r="M1511" s="49"/>
      <c r="T1511" s="48"/>
    </row>
    <row r="1512" spans="2:20" ht="23.4" x14ac:dyDescent="0.25">
      <c r="B1512" s="47"/>
      <c r="F1512" s="46"/>
      <c r="M1512" s="49"/>
      <c r="T1512" s="48"/>
    </row>
    <row r="1513" spans="2:20" ht="26.4" x14ac:dyDescent="0.25">
      <c r="B1513" s="47"/>
      <c r="F1513" s="46"/>
      <c r="M1513" s="49"/>
      <c r="T1513" s="45"/>
    </row>
    <row r="1514" spans="2:20" ht="23.4" x14ac:dyDescent="0.25">
      <c r="B1514" s="47"/>
      <c r="F1514" s="46"/>
      <c r="M1514" s="49"/>
      <c r="T1514" s="48"/>
    </row>
    <row r="1515" spans="2:20" ht="23.4" x14ac:dyDescent="0.25">
      <c r="B1515" s="47"/>
      <c r="F1515" s="46"/>
      <c r="M1515" s="49"/>
      <c r="T1515" s="48"/>
    </row>
    <row r="1516" spans="2:20" ht="23.4" x14ac:dyDescent="0.25">
      <c r="B1516" s="47"/>
      <c r="F1516" s="46"/>
      <c r="M1516" s="49"/>
      <c r="T1516" s="48"/>
    </row>
    <row r="1517" spans="2:20" ht="23.4" x14ac:dyDescent="0.25">
      <c r="B1517" s="47"/>
      <c r="F1517" s="46"/>
      <c r="M1517" s="49"/>
      <c r="T1517" s="48"/>
    </row>
    <row r="1518" spans="2:20" ht="23.4" x14ac:dyDescent="0.25">
      <c r="B1518" s="47"/>
      <c r="F1518" s="46"/>
      <c r="M1518" s="49"/>
      <c r="T1518" s="48"/>
    </row>
    <row r="1519" spans="2:20" ht="23.4" x14ac:dyDescent="0.25">
      <c r="B1519" s="47"/>
      <c r="F1519" s="46"/>
      <c r="M1519" s="49"/>
      <c r="T1519" s="48"/>
    </row>
    <row r="1520" spans="2:20" ht="26.4" x14ac:dyDescent="0.25">
      <c r="B1520" s="47"/>
      <c r="F1520" s="46"/>
      <c r="M1520" s="49"/>
      <c r="T1520" s="45"/>
    </row>
    <row r="1521" spans="2:20" ht="23.4" x14ac:dyDescent="0.25">
      <c r="B1521" s="47"/>
      <c r="F1521" s="46"/>
      <c r="M1521" s="49"/>
      <c r="T1521" s="48"/>
    </row>
    <row r="1522" spans="2:20" ht="23.4" x14ac:dyDescent="0.25">
      <c r="B1522" s="47"/>
      <c r="F1522" s="46"/>
      <c r="M1522" s="49"/>
      <c r="T1522" s="48"/>
    </row>
    <row r="1523" spans="2:20" ht="23.4" x14ac:dyDescent="0.25">
      <c r="B1523" s="47"/>
      <c r="F1523" s="46"/>
      <c r="M1523" s="49"/>
      <c r="T1523" s="48"/>
    </row>
    <row r="1524" spans="2:20" ht="23.4" x14ac:dyDescent="0.25">
      <c r="B1524" s="47"/>
      <c r="F1524" s="46"/>
      <c r="M1524" s="49"/>
      <c r="T1524" s="48"/>
    </row>
    <row r="1525" spans="2:20" ht="23.4" x14ac:dyDescent="0.25">
      <c r="B1525" s="47"/>
      <c r="F1525" s="46"/>
      <c r="M1525" s="49"/>
      <c r="T1525" s="48"/>
    </row>
    <row r="1526" spans="2:20" ht="23.4" x14ac:dyDescent="0.25">
      <c r="B1526" s="47"/>
      <c r="F1526" s="46"/>
      <c r="M1526" s="49"/>
      <c r="T1526" s="48"/>
    </row>
    <row r="1527" spans="2:20" ht="26.4" x14ac:dyDescent="0.25">
      <c r="B1527" s="47"/>
      <c r="F1527" s="46"/>
      <c r="M1527" s="49"/>
      <c r="T1527" s="45"/>
    </row>
    <row r="1528" spans="2:20" ht="23.4" x14ac:dyDescent="0.25">
      <c r="B1528" s="47"/>
      <c r="F1528" s="46"/>
      <c r="M1528" s="49"/>
      <c r="T1528" s="48"/>
    </row>
    <row r="1529" spans="2:20" ht="23.4" x14ac:dyDescent="0.25">
      <c r="B1529" s="47"/>
      <c r="F1529" s="46"/>
      <c r="M1529" s="49"/>
      <c r="T1529" s="48"/>
    </row>
    <row r="1530" spans="2:20" ht="23.4" x14ac:dyDescent="0.25">
      <c r="B1530" s="47"/>
      <c r="F1530" s="46"/>
      <c r="M1530" s="49"/>
      <c r="T1530" s="48"/>
    </row>
    <row r="1531" spans="2:20" ht="23.4" x14ac:dyDescent="0.25">
      <c r="B1531" s="47"/>
      <c r="F1531" s="46"/>
      <c r="M1531" s="49"/>
      <c r="T1531" s="48"/>
    </row>
    <row r="1532" spans="2:20" ht="23.4" x14ac:dyDescent="0.25">
      <c r="B1532" s="47"/>
      <c r="F1532" s="46"/>
      <c r="M1532" s="49"/>
      <c r="T1532" s="48"/>
    </row>
    <row r="1533" spans="2:20" ht="23.4" x14ac:dyDescent="0.25">
      <c r="B1533" s="47"/>
      <c r="F1533" s="46"/>
      <c r="M1533" s="49"/>
      <c r="T1533" s="48"/>
    </row>
    <row r="1534" spans="2:20" ht="26.4" x14ac:dyDescent="0.25">
      <c r="B1534" s="47"/>
      <c r="F1534" s="46"/>
      <c r="M1534" s="49"/>
      <c r="T1534" s="45"/>
    </row>
    <row r="1535" spans="2:20" ht="23.4" x14ac:dyDescent="0.25">
      <c r="B1535" s="47"/>
      <c r="F1535" s="46"/>
      <c r="M1535" s="49"/>
      <c r="T1535" s="48"/>
    </row>
    <row r="1536" spans="2:20" ht="23.4" x14ac:dyDescent="0.25">
      <c r="B1536" s="47"/>
      <c r="F1536" s="46"/>
      <c r="M1536" s="49"/>
      <c r="T1536" s="48"/>
    </row>
    <row r="1537" spans="2:20" ht="23.4" x14ac:dyDescent="0.25">
      <c r="B1537" s="47"/>
      <c r="F1537" s="46"/>
      <c r="M1537" s="49"/>
      <c r="T1537" s="48"/>
    </row>
    <row r="1538" spans="2:20" ht="23.4" x14ac:dyDescent="0.25">
      <c r="B1538" s="47"/>
      <c r="F1538" s="46"/>
      <c r="M1538" s="49"/>
      <c r="T1538" s="48"/>
    </row>
    <row r="1539" spans="2:20" ht="23.4" x14ac:dyDescent="0.25">
      <c r="B1539" s="47"/>
      <c r="F1539" s="46"/>
      <c r="M1539" s="49"/>
      <c r="T1539" s="48"/>
    </row>
    <row r="1540" spans="2:20" ht="23.4" x14ac:dyDescent="0.25">
      <c r="B1540" s="47"/>
      <c r="F1540" s="46"/>
      <c r="M1540" s="49"/>
      <c r="T1540" s="48"/>
    </row>
    <row r="1541" spans="2:20" ht="26.4" x14ac:dyDescent="0.25">
      <c r="B1541" s="47"/>
      <c r="F1541" s="46"/>
      <c r="M1541" s="49"/>
      <c r="T1541" s="45"/>
    </row>
    <row r="1542" spans="2:20" ht="23.4" x14ac:dyDescent="0.25">
      <c r="B1542" s="47"/>
      <c r="F1542" s="46"/>
      <c r="M1542" s="49"/>
      <c r="T1542" s="48"/>
    </row>
    <row r="1543" spans="2:20" ht="23.4" x14ac:dyDescent="0.25">
      <c r="B1543" s="47"/>
      <c r="F1543" s="46"/>
      <c r="M1543" s="49"/>
      <c r="T1543" s="48"/>
    </row>
    <row r="1544" spans="2:20" ht="23.4" x14ac:dyDescent="0.25">
      <c r="B1544" s="47"/>
      <c r="F1544" s="46"/>
      <c r="M1544" s="49"/>
      <c r="T1544" s="48"/>
    </row>
    <row r="1545" spans="2:20" ht="23.4" x14ac:dyDescent="0.25">
      <c r="B1545" s="47"/>
      <c r="F1545" s="46"/>
      <c r="M1545" s="49"/>
      <c r="T1545" s="48"/>
    </row>
    <row r="1546" spans="2:20" ht="23.4" x14ac:dyDescent="0.25">
      <c r="B1546" s="47"/>
      <c r="F1546" s="46"/>
      <c r="M1546" s="49"/>
      <c r="T1546" s="48"/>
    </row>
    <row r="1547" spans="2:20" ht="23.4" x14ac:dyDescent="0.25">
      <c r="B1547" s="47"/>
      <c r="F1547" s="46"/>
      <c r="M1547" s="49"/>
      <c r="T1547" s="48"/>
    </row>
    <row r="1548" spans="2:20" ht="26.4" x14ac:dyDescent="0.25">
      <c r="B1548" s="47"/>
      <c r="F1548" s="46"/>
      <c r="M1548" s="49"/>
      <c r="T1548" s="45"/>
    </row>
    <row r="1549" spans="2:20" ht="23.4" x14ac:dyDescent="0.25">
      <c r="B1549" s="47"/>
      <c r="F1549" s="46"/>
      <c r="M1549" s="49"/>
      <c r="T1549" s="48"/>
    </row>
    <row r="1550" spans="2:20" ht="23.4" x14ac:dyDescent="0.25">
      <c r="B1550" s="47"/>
      <c r="F1550" s="46"/>
      <c r="M1550" s="49"/>
      <c r="T1550" s="48"/>
    </row>
    <row r="1551" spans="2:20" ht="23.4" x14ac:dyDescent="0.25">
      <c r="B1551" s="47"/>
      <c r="F1551" s="46"/>
      <c r="M1551" s="49"/>
      <c r="T1551" s="48"/>
    </row>
    <row r="1552" spans="2:20" ht="23.4" x14ac:dyDescent="0.25">
      <c r="B1552" s="47"/>
      <c r="F1552" s="46"/>
      <c r="M1552" s="49"/>
      <c r="T1552" s="48"/>
    </row>
    <row r="1553" spans="2:20" ht="23.4" x14ac:dyDescent="0.25">
      <c r="B1553" s="47"/>
      <c r="F1553" s="46"/>
      <c r="M1553" s="49"/>
      <c r="T1553" s="48"/>
    </row>
    <row r="1554" spans="2:20" ht="23.4" x14ac:dyDescent="0.25">
      <c r="B1554" s="47"/>
      <c r="F1554" s="46"/>
      <c r="M1554" s="49"/>
      <c r="T1554" s="48"/>
    </row>
    <row r="1555" spans="2:20" ht="26.4" x14ac:dyDescent="0.25">
      <c r="B1555" s="47"/>
      <c r="F1555" s="46"/>
      <c r="M1555" s="49"/>
      <c r="T1555" s="45"/>
    </row>
    <row r="1556" spans="2:20" ht="23.4" x14ac:dyDescent="0.25">
      <c r="B1556" s="47"/>
      <c r="F1556" s="46"/>
      <c r="M1556" s="49"/>
      <c r="T1556" s="48"/>
    </row>
    <row r="1557" spans="2:20" ht="23.4" x14ac:dyDescent="0.25">
      <c r="B1557" s="47"/>
      <c r="F1557" s="46"/>
      <c r="M1557" s="49"/>
      <c r="T1557" s="48"/>
    </row>
    <row r="1558" spans="2:20" ht="23.4" x14ac:dyDescent="0.25">
      <c r="B1558" s="47"/>
      <c r="F1558" s="46"/>
      <c r="M1558" s="49"/>
      <c r="T1558" s="48"/>
    </row>
    <row r="1559" spans="2:20" ht="23.4" x14ac:dyDescent="0.25">
      <c r="B1559" s="47"/>
      <c r="F1559" s="46"/>
      <c r="M1559" s="49"/>
      <c r="T1559" s="48"/>
    </row>
    <row r="1560" spans="2:20" ht="23.4" x14ac:dyDescent="0.25">
      <c r="B1560" s="47"/>
      <c r="F1560" s="46"/>
      <c r="M1560" s="49"/>
      <c r="T1560" s="48"/>
    </row>
    <row r="1561" spans="2:20" ht="23.4" x14ac:dyDescent="0.25">
      <c r="B1561" s="47"/>
      <c r="F1561" s="46"/>
      <c r="M1561" s="49"/>
      <c r="T1561" s="48"/>
    </row>
    <row r="1562" spans="2:20" ht="26.4" x14ac:dyDescent="0.25">
      <c r="B1562" s="47"/>
      <c r="F1562" s="46"/>
      <c r="M1562" s="49"/>
      <c r="T1562" s="45"/>
    </row>
    <row r="1563" spans="2:20" ht="23.4" x14ac:dyDescent="0.25">
      <c r="B1563" s="47"/>
      <c r="F1563" s="46"/>
      <c r="M1563" s="49"/>
      <c r="T1563" s="48"/>
    </row>
    <row r="1564" spans="2:20" ht="23.4" x14ac:dyDescent="0.25">
      <c r="B1564" s="47"/>
      <c r="F1564" s="46"/>
      <c r="M1564" s="49"/>
      <c r="T1564" s="48"/>
    </row>
    <row r="1565" spans="2:20" ht="23.4" x14ac:dyDescent="0.25">
      <c r="B1565" s="47"/>
      <c r="F1565" s="46"/>
      <c r="M1565" s="49"/>
      <c r="T1565" s="48"/>
    </row>
    <row r="1566" spans="2:20" ht="23.4" x14ac:dyDescent="0.25">
      <c r="B1566" s="47"/>
      <c r="F1566" s="46"/>
      <c r="M1566" s="49"/>
      <c r="T1566" s="48"/>
    </row>
    <row r="1567" spans="2:20" ht="23.4" x14ac:dyDescent="0.25">
      <c r="B1567" s="47"/>
      <c r="F1567" s="46"/>
      <c r="M1567" s="49"/>
      <c r="T1567" s="48"/>
    </row>
    <row r="1568" spans="2:20" ht="23.4" x14ac:dyDescent="0.25">
      <c r="B1568" s="47"/>
      <c r="F1568" s="46"/>
      <c r="M1568" s="49"/>
      <c r="T1568" s="48"/>
    </row>
    <row r="1569" spans="2:20" ht="26.4" x14ac:dyDescent="0.25">
      <c r="B1569" s="47"/>
      <c r="F1569" s="46"/>
      <c r="M1569" s="49"/>
      <c r="T1569" s="45"/>
    </row>
    <row r="1570" spans="2:20" ht="23.4" x14ac:dyDescent="0.25">
      <c r="B1570" s="47"/>
      <c r="F1570" s="46"/>
      <c r="M1570" s="49"/>
      <c r="T1570" s="48"/>
    </row>
    <row r="1571" spans="2:20" ht="23.4" x14ac:dyDescent="0.25">
      <c r="B1571" s="47"/>
      <c r="F1571" s="46"/>
      <c r="M1571" s="49"/>
      <c r="T1571" s="48"/>
    </row>
    <row r="1572" spans="2:20" ht="23.4" x14ac:dyDescent="0.25">
      <c r="B1572" s="47"/>
      <c r="F1572" s="46"/>
      <c r="M1572" s="49"/>
      <c r="T1572" s="48"/>
    </row>
    <row r="1573" spans="2:20" ht="23.4" x14ac:dyDescent="0.25">
      <c r="B1573" s="47"/>
      <c r="F1573" s="46"/>
      <c r="M1573" s="49"/>
      <c r="T1573" s="48"/>
    </row>
    <row r="1574" spans="2:20" ht="23.4" x14ac:dyDescent="0.25">
      <c r="B1574" s="47"/>
      <c r="F1574" s="46"/>
      <c r="M1574" s="49"/>
      <c r="T1574" s="48"/>
    </row>
    <row r="1575" spans="2:20" ht="23.4" x14ac:dyDescent="0.25">
      <c r="B1575" s="47"/>
      <c r="F1575" s="46"/>
      <c r="M1575" s="49"/>
      <c r="T1575" s="48"/>
    </row>
    <row r="1576" spans="2:20" ht="26.4" x14ac:dyDescent="0.25">
      <c r="B1576" s="47"/>
      <c r="F1576" s="46"/>
      <c r="M1576" s="49"/>
      <c r="T1576" s="45"/>
    </row>
    <row r="1577" spans="2:20" ht="23.4" x14ac:dyDescent="0.25">
      <c r="B1577" s="47"/>
      <c r="F1577" s="46"/>
      <c r="M1577" s="49"/>
      <c r="T1577" s="48"/>
    </row>
    <row r="1578" spans="2:20" ht="23.4" x14ac:dyDescent="0.25">
      <c r="B1578" s="47"/>
      <c r="F1578" s="46"/>
      <c r="M1578" s="49"/>
      <c r="T1578" s="48"/>
    </row>
    <row r="1579" spans="2:20" ht="23.4" x14ac:dyDescent="0.25">
      <c r="B1579" s="47"/>
      <c r="F1579" s="46"/>
      <c r="M1579" s="49"/>
      <c r="T1579" s="48"/>
    </row>
    <row r="1580" spans="2:20" ht="23.4" x14ac:dyDescent="0.25">
      <c r="B1580" s="47"/>
      <c r="F1580" s="46"/>
      <c r="M1580" s="49"/>
      <c r="T1580" s="48"/>
    </row>
    <row r="1581" spans="2:20" ht="23.4" x14ac:dyDescent="0.25">
      <c r="B1581" s="47"/>
      <c r="F1581" s="46"/>
      <c r="M1581" s="49"/>
      <c r="T1581" s="48"/>
    </row>
    <row r="1582" spans="2:20" ht="23.4" x14ac:dyDescent="0.25">
      <c r="B1582" s="47"/>
      <c r="F1582" s="46"/>
      <c r="M1582" s="49"/>
      <c r="T1582" s="48"/>
    </row>
    <row r="1583" spans="2:20" ht="26.4" x14ac:dyDescent="0.25">
      <c r="B1583" s="47"/>
      <c r="F1583" s="46"/>
      <c r="M1583" s="49"/>
      <c r="T1583" s="45"/>
    </row>
    <row r="1584" spans="2:20" ht="23.4" x14ac:dyDescent="0.25">
      <c r="B1584" s="47"/>
      <c r="F1584" s="46"/>
      <c r="M1584" s="49"/>
      <c r="T1584" s="48"/>
    </row>
    <row r="1585" spans="2:20" ht="23.4" x14ac:dyDescent="0.25">
      <c r="B1585" s="47"/>
      <c r="F1585" s="46"/>
      <c r="M1585" s="49"/>
      <c r="T1585" s="48"/>
    </row>
    <row r="1586" spans="2:20" ht="23.4" x14ac:dyDescent="0.25">
      <c r="B1586" s="47"/>
      <c r="F1586" s="46"/>
      <c r="M1586" s="49"/>
      <c r="T1586" s="48"/>
    </row>
    <row r="1587" spans="2:20" ht="23.4" x14ac:dyDescent="0.25">
      <c r="B1587" s="47"/>
      <c r="F1587" s="46"/>
      <c r="M1587" s="49"/>
      <c r="T1587" s="48"/>
    </row>
    <row r="1588" spans="2:20" ht="23.4" x14ac:dyDescent="0.25">
      <c r="B1588" s="47"/>
      <c r="F1588" s="46"/>
      <c r="M1588" s="49"/>
      <c r="T1588" s="48"/>
    </row>
    <row r="1589" spans="2:20" ht="23.4" x14ac:dyDescent="0.25">
      <c r="B1589" s="47"/>
      <c r="F1589" s="46"/>
      <c r="M1589" s="49"/>
      <c r="T1589" s="48"/>
    </row>
    <row r="1590" spans="2:20" ht="26.4" x14ac:dyDescent="0.25">
      <c r="B1590" s="47"/>
      <c r="F1590" s="46"/>
      <c r="M1590" s="49"/>
      <c r="T1590" s="45"/>
    </row>
    <row r="1591" spans="2:20" ht="23.4" x14ac:dyDescent="0.25">
      <c r="B1591" s="47"/>
      <c r="F1591" s="46"/>
      <c r="M1591" s="49"/>
      <c r="T1591" s="48"/>
    </row>
    <row r="1592" spans="2:20" ht="23.4" x14ac:dyDescent="0.25">
      <c r="B1592" s="47"/>
      <c r="F1592" s="46"/>
      <c r="M1592" s="49"/>
      <c r="T1592" s="48"/>
    </row>
    <row r="1593" spans="2:20" ht="23.4" x14ac:dyDescent="0.25">
      <c r="B1593" s="47"/>
      <c r="F1593" s="46"/>
      <c r="M1593" s="49"/>
      <c r="T1593" s="48"/>
    </row>
    <row r="1594" spans="2:20" ht="23.4" x14ac:dyDescent="0.25">
      <c r="B1594" s="47"/>
      <c r="F1594" s="46"/>
      <c r="M1594" s="49"/>
      <c r="T1594" s="48"/>
    </row>
    <row r="1595" spans="2:20" ht="23.4" x14ac:dyDescent="0.25">
      <c r="B1595" s="47"/>
      <c r="F1595" s="46"/>
      <c r="M1595" s="49"/>
      <c r="T1595" s="48"/>
    </row>
    <row r="1596" spans="2:20" ht="23.4" x14ac:dyDescent="0.25">
      <c r="B1596" s="47"/>
      <c r="F1596" s="46"/>
      <c r="M1596" s="49"/>
      <c r="T1596" s="48"/>
    </row>
    <row r="1597" spans="2:20" ht="26.4" x14ac:dyDescent="0.25">
      <c r="B1597" s="47"/>
      <c r="F1597" s="46"/>
      <c r="M1597" s="49"/>
      <c r="T1597" s="45"/>
    </row>
    <row r="1598" spans="2:20" ht="23.4" x14ac:dyDescent="0.25">
      <c r="B1598" s="47"/>
      <c r="F1598" s="46"/>
      <c r="M1598" s="49"/>
      <c r="T1598" s="48"/>
    </row>
    <row r="1599" spans="2:20" ht="23.4" x14ac:dyDescent="0.25">
      <c r="B1599" s="47"/>
      <c r="F1599" s="46"/>
      <c r="M1599" s="49"/>
      <c r="T1599" s="48"/>
    </row>
    <row r="1600" spans="2:20" ht="23.4" x14ac:dyDescent="0.25">
      <c r="B1600" s="47"/>
      <c r="F1600" s="46"/>
      <c r="M1600" s="49"/>
      <c r="T1600" s="48"/>
    </row>
    <row r="1601" spans="2:20" ht="23.4" x14ac:dyDescent="0.25">
      <c r="B1601" s="47"/>
      <c r="F1601" s="46"/>
      <c r="M1601" s="49"/>
      <c r="T1601" s="48"/>
    </row>
    <row r="1602" spans="2:20" ht="23.4" x14ac:dyDescent="0.25">
      <c r="B1602" s="47"/>
      <c r="F1602" s="46"/>
      <c r="M1602" s="49"/>
      <c r="T1602" s="48"/>
    </row>
    <row r="1603" spans="2:20" ht="23.4" x14ac:dyDescent="0.25">
      <c r="B1603" s="47"/>
      <c r="F1603" s="46"/>
      <c r="M1603" s="49"/>
      <c r="T1603" s="48"/>
    </row>
    <row r="1604" spans="2:20" ht="26.4" x14ac:dyDescent="0.25">
      <c r="B1604" s="47"/>
      <c r="F1604" s="46"/>
      <c r="M1604" s="49"/>
      <c r="T1604" s="45"/>
    </row>
    <row r="1605" spans="2:20" ht="23.4" x14ac:dyDescent="0.25">
      <c r="B1605" s="47"/>
      <c r="F1605" s="46"/>
      <c r="M1605" s="49"/>
      <c r="T1605" s="48"/>
    </row>
    <row r="1606" spans="2:20" ht="23.4" x14ac:dyDescent="0.25">
      <c r="B1606" s="47"/>
      <c r="F1606" s="46"/>
      <c r="M1606" s="49"/>
      <c r="T1606" s="48"/>
    </row>
    <row r="1607" spans="2:20" ht="23.4" x14ac:dyDescent="0.25">
      <c r="B1607" s="47"/>
      <c r="F1607" s="46"/>
      <c r="M1607" s="49"/>
      <c r="T1607" s="48"/>
    </row>
    <row r="1608" spans="2:20" ht="23.4" x14ac:dyDescent="0.25">
      <c r="B1608" s="47"/>
      <c r="F1608" s="46"/>
      <c r="M1608" s="49"/>
      <c r="T1608" s="48"/>
    </row>
    <row r="1609" spans="2:20" ht="23.4" x14ac:dyDescent="0.25">
      <c r="B1609" s="47"/>
      <c r="F1609" s="46"/>
      <c r="M1609" s="49"/>
      <c r="T1609" s="48"/>
    </row>
    <row r="1610" spans="2:20" ht="23.4" x14ac:dyDescent="0.25">
      <c r="B1610" s="47"/>
      <c r="F1610" s="46"/>
      <c r="M1610" s="49"/>
      <c r="T1610" s="48"/>
    </row>
    <row r="1611" spans="2:20" ht="26.4" x14ac:dyDescent="0.25">
      <c r="B1611" s="47"/>
      <c r="F1611" s="46"/>
      <c r="M1611" s="49"/>
      <c r="T1611" s="45"/>
    </row>
    <row r="1612" spans="2:20" ht="23.4" x14ac:dyDescent="0.25">
      <c r="B1612" s="47"/>
      <c r="F1612" s="46"/>
      <c r="M1612" s="49"/>
      <c r="T1612" s="48"/>
    </row>
    <row r="1613" spans="2:20" ht="23.4" x14ac:dyDescent="0.25">
      <c r="B1613" s="47"/>
      <c r="F1613" s="46"/>
      <c r="M1613" s="49"/>
      <c r="T1613" s="48"/>
    </row>
    <row r="1614" spans="2:20" ht="23.4" x14ac:dyDescent="0.25">
      <c r="B1614" s="47"/>
      <c r="F1614" s="46"/>
      <c r="M1614" s="49"/>
      <c r="T1614" s="48"/>
    </row>
    <row r="1615" spans="2:20" ht="23.4" x14ac:dyDescent="0.25">
      <c r="B1615" s="47"/>
      <c r="F1615" s="46"/>
      <c r="M1615" s="49"/>
      <c r="T1615" s="48"/>
    </row>
    <row r="1616" spans="2:20" ht="23.4" x14ac:dyDescent="0.25">
      <c r="B1616" s="47"/>
      <c r="F1616" s="46"/>
      <c r="M1616" s="49"/>
      <c r="T1616" s="48"/>
    </row>
    <row r="1617" spans="2:20" ht="23.4" x14ac:dyDescent="0.25">
      <c r="B1617" s="47"/>
      <c r="F1617" s="46"/>
      <c r="M1617" s="49"/>
      <c r="T1617" s="48"/>
    </row>
    <row r="1618" spans="2:20" ht="26.4" x14ac:dyDescent="0.25">
      <c r="B1618" s="47"/>
      <c r="F1618" s="46"/>
      <c r="M1618" s="49"/>
      <c r="T1618" s="45"/>
    </row>
    <row r="1619" spans="2:20" ht="23.4" x14ac:dyDescent="0.25">
      <c r="B1619" s="47"/>
      <c r="F1619" s="46"/>
      <c r="M1619" s="49"/>
      <c r="T1619" s="48"/>
    </row>
    <row r="1620" spans="2:20" ht="23.4" x14ac:dyDescent="0.25">
      <c r="B1620" s="47"/>
      <c r="F1620" s="46"/>
      <c r="M1620" s="49"/>
      <c r="T1620" s="48"/>
    </row>
    <row r="1621" spans="2:20" ht="23.4" x14ac:dyDescent="0.25">
      <c r="B1621" s="47"/>
      <c r="F1621" s="46"/>
      <c r="M1621" s="49"/>
      <c r="T1621" s="48"/>
    </row>
    <row r="1622" spans="2:20" ht="23.4" x14ac:dyDescent="0.25">
      <c r="B1622" s="47"/>
      <c r="F1622" s="46"/>
      <c r="M1622" s="49"/>
      <c r="T1622" s="48"/>
    </row>
    <row r="1623" spans="2:20" ht="23.4" x14ac:dyDescent="0.25">
      <c r="B1623" s="47"/>
      <c r="F1623" s="46"/>
      <c r="M1623" s="49"/>
      <c r="T1623" s="48"/>
    </row>
    <row r="1624" spans="2:20" ht="23.4" x14ac:dyDescent="0.25">
      <c r="B1624" s="47"/>
      <c r="F1624" s="46"/>
      <c r="M1624" s="49"/>
      <c r="T1624" s="48"/>
    </row>
    <row r="1625" spans="2:20" ht="26.4" x14ac:dyDescent="0.25">
      <c r="B1625" s="47"/>
      <c r="F1625" s="46"/>
      <c r="M1625" s="49"/>
      <c r="T1625" s="45"/>
    </row>
    <row r="1626" spans="2:20" ht="23.4" x14ac:dyDescent="0.25">
      <c r="B1626" s="47"/>
      <c r="F1626" s="46"/>
      <c r="M1626" s="49"/>
      <c r="T1626" s="48"/>
    </row>
    <row r="1627" spans="2:20" ht="23.4" x14ac:dyDescent="0.25">
      <c r="B1627" s="47"/>
      <c r="F1627" s="46"/>
      <c r="M1627" s="49"/>
      <c r="T1627" s="48"/>
    </row>
    <row r="1628" spans="2:20" ht="23.4" x14ac:dyDescent="0.25">
      <c r="B1628" s="47"/>
      <c r="F1628" s="46"/>
      <c r="M1628" s="49"/>
      <c r="T1628" s="48"/>
    </row>
    <row r="1629" spans="2:20" ht="23.4" x14ac:dyDescent="0.25">
      <c r="B1629" s="47"/>
      <c r="F1629" s="46"/>
      <c r="M1629" s="49"/>
      <c r="T1629" s="48"/>
    </row>
    <row r="1630" spans="2:20" ht="23.4" x14ac:dyDescent="0.25">
      <c r="B1630" s="47"/>
      <c r="F1630" s="46"/>
      <c r="M1630" s="49"/>
      <c r="T1630" s="48"/>
    </row>
    <row r="1631" spans="2:20" ht="23.4" x14ac:dyDescent="0.25">
      <c r="B1631" s="47"/>
      <c r="F1631" s="46"/>
      <c r="M1631" s="49"/>
      <c r="T1631" s="48"/>
    </row>
    <row r="1632" spans="2:20" ht="26.4" x14ac:dyDescent="0.25">
      <c r="B1632" s="47"/>
      <c r="F1632" s="46"/>
      <c r="M1632" s="49"/>
      <c r="T1632" s="45"/>
    </row>
    <row r="1633" spans="2:20" ht="23.4" x14ac:dyDescent="0.25">
      <c r="B1633" s="47"/>
      <c r="F1633" s="46"/>
      <c r="M1633" s="49"/>
      <c r="T1633" s="48"/>
    </row>
    <row r="1634" spans="2:20" ht="23.4" x14ac:dyDescent="0.25">
      <c r="B1634" s="47"/>
      <c r="F1634" s="46"/>
      <c r="M1634" s="49"/>
      <c r="T1634" s="48"/>
    </row>
    <row r="1635" spans="2:20" ht="23.4" x14ac:dyDescent="0.25">
      <c r="B1635" s="47"/>
      <c r="F1635" s="46"/>
      <c r="M1635" s="49"/>
      <c r="T1635" s="48"/>
    </row>
    <row r="1636" spans="2:20" ht="23.4" x14ac:dyDescent="0.25">
      <c r="B1636" s="47"/>
      <c r="F1636" s="46"/>
      <c r="M1636" s="49"/>
      <c r="T1636" s="48"/>
    </row>
    <row r="1637" spans="2:20" ht="23.4" x14ac:dyDescent="0.25">
      <c r="B1637" s="47"/>
      <c r="F1637" s="46"/>
      <c r="M1637" s="49"/>
      <c r="T1637" s="48"/>
    </row>
    <row r="1638" spans="2:20" ht="23.4" x14ac:dyDescent="0.25">
      <c r="B1638" s="47"/>
      <c r="F1638" s="46"/>
      <c r="M1638" s="49"/>
      <c r="T1638" s="48"/>
    </row>
    <row r="1639" spans="2:20" ht="26.4" x14ac:dyDescent="0.25">
      <c r="B1639" s="47"/>
      <c r="F1639" s="46"/>
      <c r="M1639" s="49"/>
      <c r="T1639" s="45"/>
    </row>
    <row r="1640" spans="2:20" ht="23.4" x14ac:dyDescent="0.25">
      <c r="B1640" s="47"/>
      <c r="F1640" s="46"/>
      <c r="M1640" s="49"/>
      <c r="T1640" s="48"/>
    </row>
    <row r="1641" spans="2:20" ht="23.4" x14ac:dyDescent="0.25">
      <c r="B1641" s="47"/>
      <c r="F1641" s="46"/>
      <c r="M1641" s="49"/>
      <c r="T1641" s="48"/>
    </row>
    <row r="1642" spans="2:20" ht="23.4" x14ac:dyDescent="0.25">
      <c r="B1642" s="47"/>
      <c r="F1642" s="46"/>
      <c r="M1642" s="49"/>
      <c r="T1642" s="48"/>
    </row>
    <row r="1643" spans="2:20" ht="23.4" x14ac:dyDescent="0.25">
      <c r="B1643" s="47"/>
      <c r="F1643" s="46"/>
      <c r="M1643" s="49"/>
      <c r="T1643" s="48"/>
    </row>
    <row r="1644" spans="2:20" ht="23.4" x14ac:dyDescent="0.25">
      <c r="B1644" s="47"/>
      <c r="F1644" s="46"/>
      <c r="M1644" s="49"/>
      <c r="T1644" s="48"/>
    </row>
    <row r="1645" spans="2:20" ht="23.4" x14ac:dyDescent="0.25">
      <c r="B1645" s="47"/>
      <c r="F1645" s="46"/>
      <c r="M1645" s="49"/>
      <c r="T1645" s="48"/>
    </row>
    <row r="1646" spans="2:20" ht="26.4" x14ac:dyDescent="0.25">
      <c r="B1646" s="47"/>
      <c r="F1646" s="46"/>
      <c r="M1646" s="49"/>
      <c r="T1646" s="45"/>
    </row>
    <row r="1647" spans="2:20" ht="23.4" x14ac:dyDescent="0.25">
      <c r="B1647" s="47"/>
      <c r="F1647" s="46"/>
      <c r="M1647" s="49"/>
      <c r="T1647" s="48"/>
    </row>
    <row r="1648" spans="2:20" ht="23.4" x14ac:dyDescent="0.25">
      <c r="B1648" s="47"/>
      <c r="F1648" s="46"/>
      <c r="M1648" s="49"/>
      <c r="T1648" s="48"/>
    </row>
    <row r="1649" spans="2:20" ht="23.4" x14ac:dyDescent="0.25">
      <c r="B1649" s="47"/>
      <c r="F1649" s="46"/>
      <c r="M1649" s="49"/>
      <c r="T1649" s="48"/>
    </row>
    <row r="1650" spans="2:20" ht="23.4" x14ac:dyDescent="0.25">
      <c r="B1650" s="47"/>
      <c r="F1650" s="46"/>
      <c r="M1650" s="49"/>
      <c r="T1650" s="48"/>
    </row>
    <row r="1651" spans="2:20" ht="23.4" x14ac:dyDescent="0.25">
      <c r="B1651" s="47"/>
      <c r="F1651" s="46"/>
      <c r="M1651" s="49"/>
      <c r="T1651" s="48"/>
    </row>
    <row r="1652" spans="2:20" ht="23.4" x14ac:dyDescent="0.25">
      <c r="B1652" s="47"/>
      <c r="F1652" s="46"/>
      <c r="M1652" s="49"/>
      <c r="T1652" s="48"/>
    </row>
    <row r="1653" spans="2:20" ht="26.4" x14ac:dyDescent="0.25">
      <c r="B1653" s="47"/>
      <c r="F1653" s="46"/>
      <c r="M1653" s="49"/>
      <c r="T1653" s="45"/>
    </row>
    <row r="1654" spans="2:20" ht="23.4" x14ac:dyDescent="0.25">
      <c r="B1654" s="47"/>
      <c r="F1654" s="46"/>
      <c r="M1654" s="49"/>
      <c r="T1654" s="48"/>
    </row>
    <row r="1655" spans="2:20" ht="23.4" x14ac:dyDescent="0.25">
      <c r="B1655" s="47"/>
      <c r="F1655" s="46"/>
      <c r="M1655" s="49"/>
      <c r="T1655" s="48"/>
    </row>
    <row r="1656" spans="2:20" ht="23.4" x14ac:dyDescent="0.25">
      <c r="B1656" s="47"/>
      <c r="F1656" s="46"/>
      <c r="M1656" s="49"/>
      <c r="T1656" s="48"/>
    </row>
    <row r="1657" spans="2:20" ht="23.4" x14ac:dyDescent="0.25">
      <c r="B1657" s="47"/>
      <c r="F1657" s="46"/>
      <c r="M1657" s="49"/>
      <c r="T1657" s="48"/>
    </row>
    <row r="1658" spans="2:20" ht="23.4" x14ac:dyDescent="0.25">
      <c r="B1658" s="47"/>
      <c r="F1658" s="46"/>
      <c r="M1658" s="49"/>
      <c r="T1658" s="48"/>
    </row>
    <row r="1659" spans="2:20" ht="23.4" x14ac:dyDescent="0.25">
      <c r="B1659" s="47"/>
      <c r="F1659" s="46"/>
      <c r="M1659" s="49"/>
      <c r="T1659" s="48"/>
    </row>
    <row r="1660" spans="2:20" ht="26.4" x14ac:dyDescent="0.25">
      <c r="B1660" s="47"/>
      <c r="F1660" s="46"/>
      <c r="M1660" s="49"/>
      <c r="T1660" s="45"/>
    </row>
    <row r="1661" spans="2:20" ht="23.4" x14ac:dyDescent="0.25">
      <c r="B1661" s="47"/>
      <c r="F1661" s="46"/>
      <c r="M1661" s="49"/>
      <c r="T1661" s="48"/>
    </row>
    <row r="1662" spans="2:20" ht="23.4" x14ac:dyDescent="0.25">
      <c r="B1662" s="47"/>
      <c r="F1662" s="46"/>
      <c r="M1662" s="49"/>
      <c r="T1662" s="48"/>
    </row>
    <row r="1663" spans="2:20" ht="23.4" x14ac:dyDescent="0.25">
      <c r="B1663" s="47"/>
      <c r="F1663" s="46"/>
      <c r="M1663" s="49"/>
      <c r="T1663" s="48"/>
    </row>
    <row r="1664" spans="2:20" ht="23.4" x14ac:dyDescent="0.25">
      <c r="B1664" s="47"/>
      <c r="F1664" s="46"/>
      <c r="M1664" s="49"/>
      <c r="T1664" s="48"/>
    </row>
    <row r="1665" spans="2:20" ht="23.4" x14ac:dyDescent="0.25">
      <c r="B1665" s="47"/>
      <c r="F1665" s="46"/>
      <c r="M1665" s="49"/>
      <c r="T1665" s="48"/>
    </row>
    <row r="1666" spans="2:20" ht="23.4" x14ac:dyDescent="0.25">
      <c r="B1666" s="47"/>
      <c r="F1666" s="46"/>
      <c r="M1666" s="49"/>
      <c r="T1666" s="48"/>
    </row>
    <row r="1667" spans="2:20" ht="26.4" x14ac:dyDescent="0.25">
      <c r="B1667" s="47"/>
      <c r="F1667" s="46"/>
      <c r="M1667" s="49"/>
      <c r="T1667" s="45"/>
    </row>
    <row r="1668" spans="2:20" ht="23.4" x14ac:dyDescent="0.25">
      <c r="B1668" s="47"/>
      <c r="F1668" s="46"/>
      <c r="M1668" s="49"/>
      <c r="T1668" s="48"/>
    </row>
    <row r="1669" spans="2:20" ht="23.4" x14ac:dyDescent="0.25">
      <c r="B1669" s="47"/>
      <c r="F1669" s="46"/>
      <c r="M1669" s="49"/>
      <c r="T1669" s="48"/>
    </row>
    <row r="1670" spans="2:20" ht="23.4" x14ac:dyDescent="0.25">
      <c r="B1670" s="47"/>
      <c r="F1670" s="46"/>
      <c r="M1670" s="49"/>
      <c r="T1670" s="48"/>
    </row>
    <row r="1671" spans="2:20" ht="23.4" x14ac:dyDescent="0.25">
      <c r="B1671" s="47"/>
      <c r="F1671" s="46"/>
      <c r="M1671" s="49"/>
      <c r="T1671" s="48"/>
    </row>
    <row r="1672" spans="2:20" ht="23.4" x14ac:dyDescent="0.25">
      <c r="B1672" s="47"/>
      <c r="F1672" s="46"/>
      <c r="M1672" s="49"/>
      <c r="T1672" s="48"/>
    </row>
    <row r="1673" spans="2:20" ht="23.4" x14ac:dyDescent="0.25">
      <c r="B1673" s="47"/>
      <c r="F1673" s="46"/>
      <c r="M1673" s="49"/>
      <c r="T1673" s="48"/>
    </row>
    <row r="1674" spans="2:20" ht="26.4" x14ac:dyDescent="0.25">
      <c r="B1674" s="47"/>
      <c r="F1674" s="46"/>
      <c r="M1674" s="49"/>
      <c r="T1674" s="45"/>
    </row>
    <row r="1675" spans="2:20" ht="23.4" x14ac:dyDescent="0.25">
      <c r="B1675" s="47"/>
      <c r="F1675" s="46"/>
      <c r="M1675" s="49"/>
      <c r="T1675" s="48"/>
    </row>
    <row r="1676" spans="2:20" ht="23.4" x14ac:dyDescent="0.25">
      <c r="B1676" s="47"/>
      <c r="F1676" s="46"/>
      <c r="M1676" s="49"/>
      <c r="T1676" s="48"/>
    </row>
    <row r="1677" spans="2:20" ht="23.4" x14ac:dyDescent="0.25">
      <c r="B1677" s="47"/>
      <c r="F1677" s="46"/>
      <c r="M1677" s="49"/>
      <c r="T1677" s="48"/>
    </row>
    <row r="1678" spans="2:20" ht="23.4" x14ac:dyDescent="0.25">
      <c r="B1678" s="47"/>
      <c r="F1678" s="46"/>
      <c r="M1678" s="49"/>
      <c r="T1678" s="48"/>
    </row>
    <row r="1679" spans="2:20" ht="23.4" x14ac:dyDescent="0.25">
      <c r="B1679" s="47"/>
      <c r="F1679" s="46"/>
      <c r="M1679" s="49"/>
      <c r="T1679" s="48"/>
    </row>
    <row r="1680" spans="2:20" ht="23.4" x14ac:dyDescent="0.25">
      <c r="B1680" s="47"/>
      <c r="F1680" s="46"/>
      <c r="M1680" s="49"/>
      <c r="T1680" s="48"/>
    </row>
    <row r="1681" spans="2:20" ht="26.4" x14ac:dyDescent="0.25">
      <c r="B1681" s="47"/>
      <c r="F1681" s="46"/>
      <c r="M1681" s="49"/>
      <c r="T1681" s="45"/>
    </row>
    <row r="1682" spans="2:20" ht="23.4" x14ac:dyDescent="0.25">
      <c r="B1682" s="47"/>
      <c r="F1682" s="46"/>
      <c r="M1682" s="49"/>
      <c r="T1682" s="48"/>
    </row>
    <row r="1683" spans="2:20" ht="23.4" x14ac:dyDescent="0.25">
      <c r="B1683" s="47"/>
      <c r="F1683" s="46"/>
      <c r="M1683" s="49"/>
      <c r="T1683" s="48"/>
    </row>
    <row r="1684" spans="2:20" ht="23.4" x14ac:dyDescent="0.25">
      <c r="B1684" s="47"/>
      <c r="F1684" s="46"/>
      <c r="M1684" s="49"/>
      <c r="T1684" s="48"/>
    </row>
    <row r="1685" spans="2:20" ht="23.4" x14ac:dyDescent="0.25">
      <c r="B1685" s="47"/>
      <c r="F1685" s="46"/>
      <c r="M1685" s="49"/>
      <c r="T1685" s="48"/>
    </row>
    <row r="1686" spans="2:20" ht="23.4" x14ac:dyDescent="0.25">
      <c r="B1686" s="47"/>
      <c r="F1686" s="46"/>
      <c r="M1686" s="49"/>
      <c r="T1686" s="48"/>
    </row>
    <row r="1687" spans="2:20" ht="23.4" x14ac:dyDescent="0.25">
      <c r="B1687" s="47"/>
      <c r="F1687" s="46"/>
      <c r="M1687" s="49"/>
      <c r="T1687" s="48"/>
    </row>
    <row r="1688" spans="2:20" ht="26.4" x14ac:dyDescent="0.25">
      <c r="B1688" s="47"/>
      <c r="F1688" s="46"/>
      <c r="M1688" s="49"/>
      <c r="T1688" s="45"/>
    </row>
    <row r="1689" spans="2:20" ht="23.4" x14ac:dyDescent="0.25">
      <c r="B1689" s="47"/>
      <c r="F1689" s="46"/>
      <c r="M1689" s="49"/>
      <c r="T1689" s="48"/>
    </row>
    <row r="1690" spans="2:20" ht="23.4" x14ac:dyDescent="0.25">
      <c r="B1690" s="47"/>
      <c r="F1690" s="46"/>
      <c r="M1690" s="49"/>
      <c r="T1690" s="48"/>
    </row>
    <row r="1691" spans="2:20" ht="23.4" x14ac:dyDescent="0.25">
      <c r="B1691" s="47"/>
      <c r="F1691" s="46"/>
      <c r="M1691" s="49"/>
      <c r="T1691" s="48"/>
    </row>
    <row r="1692" spans="2:20" ht="23.4" x14ac:dyDescent="0.25">
      <c r="B1692" s="47"/>
      <c r="F1692" s="46"/>
      <c r="M1692" s="49"/>
      <c r="T1692" s="48"/>
    </row>
    <row r="1693" spans="2:20" ht="23.4" x14ac:dyDescent="0.25">
      <c r="B1693" s="47"/>
      <c r="F1693" s="46"/>
      <c r="M1693" s="49"/>
      <c r="T1693" s="48"/>
    </row>
    <row r="1694" spans="2:20" ht="23.4" x14ac:dyDescent="0.25">
      <c r="B1694" s="47"/>
      <c r="F1694" s="46"/>
      <c r="M1694" s="49"/>
      <c r="T1694" s="48"/>
    </row>
    <row r="1695" spans="2:20" ht="26.4" x14ac:dyDescent="0.25">
      <c r="B1695" s="47"/>
      <c r="F1695" s="46"/>
      <c r="M1695" s="49"/>
      <c r="T1695" s="45"/>
    </row>
    <row r="1696" spans="2:20" ht="23.4" x14ac:dyDescent="0.25">
      <c r="B1696" s="47"/>
      <c r="F1696" s="46"/>
      <c r="M1696" s="49"/>
      <c r="T1696" s="48"/>
    </row>
    <row r="1697" spans="2:20" ht="23.4" x14ac:dyDescent="0.25">
      <c r="B1697" s="47"/>
      <c r="F1697" s="46"/>
      <c r="M1697" s="49"/>
      <c r="T1697" s="48"/>
    </row>
    <row r="1698" spans="2:20" ht="23.4" x14ac:dyDescent="0.25">
      <c r="B1698" s="47"/>
      <c r="F1698" s="46"/>
      <c r="M1698" s="49"/>
      <c r="T1698" s="48"/>
    </row>
    <row r="1699" spans="2:20" ht="23.4" x14ac:dyDescent="0.25">
      <c r="B1699" s="47"/>
      <c r="F1699" s="46"/>
      <c r="M1699" s="49"/>
      <c r="T1699" s="48"/>
    </row>
    <row r="1700" spans="2:20" ht="23.4" x14ac:dyDescent="0.25">
      <c r="B1700" s="47"/>
      <c r="F1700" s="46"/>
      <c r="M1700" s="49"/>
      <c r="T1700" s="48"/>
    </row>
    <row r="1701" spans="2:20" ht="23.4" x14ac:dyDescent="0.25">
      <c r="B1701" s="47"/>
      <c r="F1701" s="46"/>
      <c r="M1701" s="49"/>
      <c r="T1701" s="48"/>
    </row>
    <row r="1702" spans="2:20" ht="26.4" x14ac:dyDescent="0.25">
      <c r="B1702" s="47"/>
      <c r="F1702" s="46"/>
      <c r="M1702" s="49"/>
      <c r="T1702" s="45"/>
    </row>
    <row r="1703" spans="2:20" ht="23.4" x14ac:dyDescent="0.25">
      <c r="B1703" s="47"/>
      <c r="F1703" s="46"/>
      <c r="M1703" s="49"/>
      <c r="T1703" s="48"/>
    </row>
    <row r="1704" spans="2:20" ht="23.4" x14ac:dyDescent="0.25">
      <c r="B1704" s="47"/>
      <c r="F1704" s="46"/>
      <c r="M1704" s="49"/>
      <c r="T1704" s="48"/>
    </row>
    <row r="1705" spans="2:20" ht="23.4" x14ac:dyDescent="0.25">
      <c r="B1705" s="47"/>
      <c r="F1705" s="46"/>
      <c r="M1705" s="49"/>
      <c r="T1705" s="48"/>
    </row>
    <row r="1706" spans="2:20" ht="23.4" x14ac:dyDescent="0.25">
      <c r="B1706" s="47"/>
      <c r="F1706" s="46"/>
      <c r="M1706" s="49"/>
      <c r="T1706" s="48"/>
    </row>
    <row r="1707" spans="2:20" ht="23.4" x14ac:dyDescent="0.25">
      <c r="B1707" s="47"/>
      <c r="F1707" s="46"/>
      <c r="M1707" s="49"/>
      <c r="T1707" s="48"/>
    </row>
    <row r="1708" spans="2:20" ht="23.4" x14ac:dyDescent="0.25">
      <c r="B1708" s="47"/>
      <c r="F1708" s="46"/>
      <c r="M1708" s="49"/>
      <c r="T1708" s="48"/>
    </row>
    <row r="1709" spans="2:20" ht="26.4" x14ac:dyDescent="0.25">
      <c r="B1709" s="47"/>
      <c r="F1709" s="46"/>
      <c r="M1709" s="49"/>
      <c r="T1709" s="45"/>
    </row>
    <row r="1710" spans="2:20" ht="23.4" x14ac:dyDescent="0.25">
      <c r="B1710" s="47"/>
      <c r="F1710" s="46"/>
      <c r="M1710" s="49"/>
      <c r="T1710" s="48"/>
    </row>
    <row r="1711" spans="2:20" ht="23.4" x14ac:dyDescent="0.25">
      <c r="B1711" s="47"/>
      <c r="F1711" s="46"/>
      <c r="M1711" s="49"/>
      <c r="T1711" s="48"/>
    </row>
    <row r="1712" spans="2:20" ht="23.4" x14ac:dyDescent="0.25">
      <c r="B1712" s="47"/>
      <c r="F1712" s="46"/>
      <c r="M1712" s="49"/>
      <c r="T1712" s="48"/>
    </row>
    <row r="1713" spans="2:20" ht="23.4" x14ac:dyDescent="0.25">
      <c r="B1713" s="47"/>
      <c r="F1713" s="46"/>
      <c r="M1713" s="49"/>
      <c r="T1713" s="48"/>
    </row>
    <row r="1714" spans="2:20" ht="23.4" x14ac:dyDescent="0.25">
      <c r="B1714" s="47"/>
      <c r="F1714" s="46"/>
      <c r="M1714" s="49"/>
      <c r="T1714" s="48"/>
    </row>
    <row r="1715" spans="2:20" ht="23.4" x14ac:dyDescent="0.25">
      <c r="B1715" s="47"/>
      <c r="F1715" s="46"/>
      <c r="M1715" s="49"/>
      <c r="T1715" s="48"/>
    </row>
    <row r="1716" spans="2:20" ht="26.4" x14ac:dyDescent="0.25">
      <c r="B1716" s="47"/>
      <c r="F1716" s="46"/>
      <c r="M1716" s="49"/>
      <c r="T1716" s="45"/>
    </row>
    <row r="1717" spans="2:20" ht="23.4" x14ac:dyDescent="0.25">
      <c r="B1717" s="47"/>
      <c r="F1717" s="46"/>
      <c r="M1717" s="49"/>
      <c r="T1717" s="48"/>
    </row>
    <row r="1718" spans="2:20" ht="23.4" x14ac:dyDescent="0.25">
      <c r="B1718" s="47"/>
      <c r="F1718" s="46"/>
      <c r="M1718" s="49"/>
      <c r="T1718" s="48"/>
    </row>
    <row r="1719" spans="2:20" ht="23.4" x14ac:dyDescent="0.25">
      <c r="B1719" s="47"/>
      <c r="F1719" s="46"/>
      <c r="M1719" s="49"/>
      <c r="T1719" s="48"/>
    </row>
    <row r="1720" spans="2:20" ht="23.4" x14ac:dyDescent="0.25">
      <c r="B1720" s="47"/>
      <c r="F1720" s="46"/>
      <c r="M1720" s="49"/>
      <c r="T1720" s="48"/>
    </row>
    <row r="1721" spans="2:20" ht="23.4" x14ac:dyDescent="0.25">
      <c r="B1721" s="47"/>
      <c r="F1721" s="46"/>
      <c r="M1721" s="49"/>
      <c r="T1721" s="48"/>
    </row>
    <row r="1722" spans="2:20" ht="23.4" x14ac:dyDescent="0.25">
      <c r="B1722" s="47"/>
      <c r="F1722" s="46"/>
      <c r="M1722" s="49"/>
      <c r="T1722" s="48"/>
    </row>
    <row r="1723" spans="2:20" ht="26.4" x14ac:dyDescent="0.25">
      <c r="B1723" s="47"/>
      <c r="F1723" s="46"/>
      <c r="M1723" s="49"/>
      <c r="T1723" s="45"/>
    </row>
    <row r="1724" spans="2:20" ht="23.4" x14ac:dyDescent="0.25">
      <c r="B1724" s="47"/>
      <c r="F1724" s="46"/>
      <c r="M1724" s="49"/>
      <c r="T1724" s="48"/>
    </row>
    <row r="1725" spans="2:20" ht="23.4" x14ac:dyDescent="0.25">
      <c r="B1725" s="47"/>
      <c r="F1725" s="46"/>
      <c r="M1725" s="49"/>
      <c r="T1725" s="48"/>
    </row>
    <row r="1726" spans="2:20" ht="23.4" x14ac:dyDescent="0.25">
      <c r="B1726" s="47"/>
      <c r="F1726" s="46"/>
      <c r="M1726" s="49"/>
      <c r="T1726" s="48"/>
    </row>
    <row r="1727" spans="2:20" ht="23.4" x14ac:dyDescent="0.25">
      <c r="B1727" s="47"/>
      <c r="F1727" s="46"/>
      <c r="M1727" s="49"/>
      <c r="T1727" s="48"/>
    </row>
    <row r="1728" spans="2:20" ht="23.4" x14ac:dyDescent="0.25">
      <c r="B1728" s="47"/>
      <c r="F1728" s="46"/>
      <c r="M1728" s="49"/>
      <c r="T1728" s="48"/>
    </row>
    <row r="1729" spans="2:20" ht="23.4" x14ac:dyDescent="0.25">
      <c r="B1729" s="47"/>
      <c r="F1729" s="46"/>
      <c r="M1729" s="49"/>
      <c r="T1729" s="48"/>
    </row>
    <row r="1730" spans="2:20" ht="26.4" x14ac:dyDescent="0.25">
      <c r="B1730" s="47"/>
      <c r="F1730" s="46"/>
      <c r="M1730" s="49"/>
      <c r="T1730" s="45"/>
    </row>
    <row r="1731" spans="2:20" ht="23.4" x14ac:dyDescent="0.25">
      <c r="B1731" s="47"/>
      <c r="F1731" s="46"/>
      <c r="M1731" s="49"/>
      <c r="T1731" s="48"/>
    </row>
    <row r="1732" spans="2:20" ht="23.4" x14ac:dyDescent="0.25">
      <c r="B1732" s="47"/>
      <c r="F1732" s="46"/>
      <c r="M1732" s="49"/>
      <c r="T1732" s="48"/>
    </row>
    <row r="1733" spans="2:20" ht="23.4" x14ac:dyDescent="0.25">
      <c r="B1733" s="47"/>
      <c r="F1733" s="46"/>
      <c r="M1733" s="49"/>
      <c r="T1733" s="48"/>
    </row>
    <row r="1734" spans="2:20" ht="23.4" x14ac:dyDescent="0.25">
      <c r="B1734" s="47"/>
      <c r="F1734" s="46"/>
      <c r="M1734" s="49"/>
      <c r="T1734" s="48"/>
    </row>
    <row r="1735" spans="2:20" ht="23.4" x14ac:dyDescent="0.25">
      <c r="B1735" s="47"/>
      <c r="F1735" s="46"/>
      <c r="M1735" s="49"/>
      <c r="T1735" s="48"/>
    </row>
    <row r="1736" spans="2:20" ht="23.4" x14ac:dyDescent="0.25">
      <c r="B1736" s="47"/>
      <c r="F1736" s="46"/>
      <c r="M1736" s="49"/>
      <c r="T1736" s="48"/>
    </row>
    <row r="1737" spans="2:20" ht="26.4" x14ac:dyDescent="0.25">
      <c r="B1737" s="47"/>
      <c r="F1737" s="46"/>
      <c r="M1737" s="49"/>
      <c r="T1737" s="45"/>
    </row>
    <row r="1738" spans="2:20" ht="23.4" x14ac:dyDescent="0.25">
      <c r="B1738" s="47"/>
      <c r="F1738" s="46"/>
      <c r="M1738" s="49"/>
      <c r="T1738" s="48"/>
    </row>
    <row r="1739" spans="2:20" ht="23.4" x14ac:dyDescent="0.25">
      <c r="B1739" s="47"/>
      <c r="F1739" s="46"/>
      <c r="M1739" s="49"/>
      <c r="T1739" s="48"/>
    </row>
    <row r="1740" spans="2:20" ht="23.4" x14ac:dyDescent="0.25">
      <c r="B1740" s="47"/>
      <c r="F1740" s="46"/>
      <c r="M1740" s="49"/>
      <c r="T1740" s="48"/>
    </row>
    <row r="1741" spans="2:20" ht="23.4" x14ac:dyDescent="0.25">
      <c r="B1741" s="47"/>
      <c r="F1741" s="46"/>
      <c r="M1741" s="49"/>
      <c r="T1741" s="48"/>
    </row>
    <row r="1742" spans="2:20" ht="23.4" x14ac:dyDescent="0.25">
      <c r="B1742" s="47"/>
      <c r="F1742" s="46"/>
      <c r="M1742" s="49"/>
      <c r="T1742" s="48"/>
    </row>
    <row r="1743" spans="2:20" ht="23.4" x14ac:dyDescent="0.25">
      <c r="B1743" s="47"/>
      <c r="F1743" s="46"/>
      <c r="M1743" s="49"/>
      <c r="T1743" s="48"/>
    </row>
    <row r="1744" spans="2:20" ht="26.4" x14ac:dyDescent="0.25">
      <c r="B1744" s="47"/>
      <c r="F1744" s="46"/>
      <c r="M1744" s="49"/>
      <c r="T1744" s="45"/>
    </row>
    <row r="1745" spans="2:20" ht="23.4" x14ac:dyDescent="0.25">
      <c r="B1745" s="47"/>
      <c r="F1745" s="46"/>
      <c r="M1745" s="49"/>
      <c r="T1745" s="48"/>
    </row>
    <row r="1746" spans="2:20" ht="23.4" x14ac:dyDescent="0.25">
      <c r="B1746" s="47"/>
      <c r="F1746" s="46"/>
      <c r="M1746" s="49"/>
      <c r="T1746" s="48"/>
    </row>
    <row r="1747" spans="2:20" ht="23.4" x14ac:dyDescent="0.25">
      <c r="B1747" s="47"/>
      <c r="F1747" s="46"/>
      <c r="M1747" s="49"/>
      <c r="T1747" s="48"/>
    </row>
    <row r="1748" spans="2:20" ht="23.4" x14ac:dyDescent="0.25">
      <c r="B1748" s="47"/>
      <c r="F1748" s="46"/>
      <c r="M1748" s="49"/>
      <c r="T1748" s="48"/>
    </row>
    <row r="1749" spans="2:20" ht="23.4" x14ac:dyDescent="0.25">
      <c r="B1749" s="47"/>
      <c r="F1749" s="46"/>
      <c r="M1749" s="49"/>
      <c r="T1749" s="48"/>
    </row>
    <row r="1750" spans="2:20" ht="23.4" x14ac:dyDescent="0.25">
      <c r="B1750" s="47"/>
      <c r="F1750" s="46"/>
      <c r="M1750" s="49"/>
      <c r="T1750" s="48"/>
    </row>
    <row r="1751" spans="2:20" ht="26.4" x14ac:dyDescent="0.25">
      <c r="B1751" s="47"/>
      <c r="F1751" s="46"/>
      <c r="M1751" s="49"/>
      <c r="T1751" s="45"/>
    </row>
    <row r="1752" spans="2:20" ht="23.4" x14ac:dyDescent="0.25">
      <c r="B1752" s="47"/>
      <c r="F1752" s="46"/>
      <c r="M1752" s="49"/>
      <c r="T1752" s="48"/>
    </row>
    <row r="1753" spans="2:20" ht="23.4" x14ac:dyDescent="0.25">
      <c r="B1753" s="47"/>
      <c r="F1753" s="46"/>
      <c r="M1753" s="49"/>
      <c r="T1753" s="48"/>
    </row>
    <row r="1754" spans="2:20" ht="23.4" x14ac:dyDescent="0.25">
      <c r="B1754" s="47"/>
      <c r="F1754" s="46"/>
      <c r="M1754" s="49"/>
      <c r="T1754" s="48"/>
    </row>
    <row r="1755" spans="2:20" ht="23.4" x14ac:dyDescent="0.25">
      <c r="B1755" s="47"/>
      <c r="F1755" s="46"/>
      <c r="M1755" s="49"/>
      <c r="T1755" s="48"/>
    </row>
    <row r="1756" spans="2:20" ht="23.4" x14ac:dyDescent="0.25">
      <c r="B1756" s="47"/>
      <c r="F1756" s="46"/>
      <c r="M1756" s="49"/>
      <c r="T1756" s="48"/>
    </row>
    <row r="1757" spans="2:20" ht="23.4" x14ac:dyDescent="0.25">
      <c r="B1757" s="47"/>
      <c r="F1757" s="46"/>
      <c r="M1757" s="49"/>
      <c r="T1757" s="48"/>
    </row>
    <row r="1758" spans="2:20" ht="26.4" x14ac:dyDescent="0.25">
      <c r="B1758" s="47"/>
      <c r="F1758" s="46"/>
      <c r="M1758" s="49"/>
      <c r="T1758" s="45"/>
    </row>
    <row r="1759" spans="2:20" ht="23.4" x14ac:dyDescent="0.25">
      <c r="B1759" s="47"/>
      <c r="F1759" s="46"/>
      <c r="M1759" s="49"/>
      <c r="T1759" s="48"/>
    </row>
    <row r="1760" spans="2:20" ht="23.4" x14ac:dyDescent="0.25">
      <c r="B1760" s="47"/>
      <c r="F1760" s="46"/>
      <c r="M1760" s="49"/>
      <c r="T1760" s="48"/>
    </row>
    <row r="1761" spans="2:20" ht="23.4" x14ac:dyDescent="0.25">
      <c r="B1761" s="47"/>
      <c r="F1761" s="46"/>
      <c r="M1761" s="49"/>
      <c r="T1761" s="48"/>
    </row>
    <row r="1762" spans="2:20" ht="23.4" x14ac:dyDescent="0.25">
      <c r="B1762" s="47"/>
      <c r="F1762" s="46"/>
      <c r="M1762" s="49"/>
      <c r="T1762" s="48"/>
    </row>
    <row r="1763" spans="2:20" ht="23.4" x14ac:dyDescent="0.25">
      <c r="B1763" s="47"/>
      <c r="F1763" s="46"/>
      <c r="M1763" s="49"/>
      <c r="T1763" s="48"/>
    </row>
    <row r="1764" spans="2:20" ht="23.4" x14ac:dyDescent="0.25">
      <c r="B1764" s="47"/>
      <c r="F1764" s="46"/>
      <c r="M1764" s="49"/>
      <c r="T1764" s="48"/>
    </row>
    <row r="1765" spans="2:20" ht="26.4" x14ac:dyDescent="0.25">
      <c r="B1765" s="47"/>
      <c r="F1765" s="46"/>
      <c r="M1765" s="49"/>
      <c r="T1765" s="45"/>
    </row>
    <row r="1766" spans="2:20" ht="23.4" x14ac:dyDescent="0.25">
      <c r="B1766" s="47"/>
      <c r="F1766" s="46"/>
      <c r="M1766" s="49"/>
      <c r="T1766" s="48"/>
    </row>
    <row r="1767" spans="2:20" ht="23.4" x14ac:dyDescent="0.25">
      <c r="B1767" s="47"/>
      <c r="F1767" s="46"/>
      <c r="M1767" s="49"/>
      <c r="T1767" s="48"/>
    </row>
    <row r="1768" spans="2:20" ht="23.4" x14ac:dyDescent="0.25">
      <c r="B1768" s="47"/>
      <c r="F1768" s="46"/>
      <c r="M1768" s="49"/>
      <c r="T1768" s="48"/>
    </row>
    <row r="1769" spans="2:20" ht="23.4" x14ac:dyDescent="0.25">
      <c r="B1769" s="47"/>
      <c r="F1769" s="46"/>
      <c r="M1769" s="49"/>
      <c r="T1769" s="48"/>
    </row>
    <row r="1770" spans="2:20" ht="23.4" x14ac:dyDescent="0.25">
      <c r="B1770" s="47"/>
      <c r="F1770" s="46"/>
      <c r="M1770" s="49"/>
      <c r="T1770" s="48"/>
    </row>
    <row r="1771" spans="2:20" ht="23.4" x14ac:dyDescent="0.25">
      <c r="B1771" s="47"/>
      <c r="F1771" s="46"/>
      <c r="M1771" s="49"/>
      <c r="T1771" s="48"/>
    </row>
    <row r="1772" spans="2:20" ht="26.4" x14ac:dyDescent="0.25">
      <c r="B1772" s="47"/>
      <c r="F1772" s="46"/>
      <c r="M1772" s="49"/>
      <c r="T1772" s="45"/>
    </row>
    <row r="1773" spans="2:20" ht="23.4" x14ac:dyDescent="0.25">
      <c r="B1773" s="47"/>
      <c r="F1773" s="46"/>
      <c r="M1773" s="49"/>
      <c r="T1773" s="48"/>
    </row>
    <row r="1774" spans="2:20" ht="23.4" x14ac:dyDescent="0.25">
      <c r="B1774" s="47"/>
      <c r="F1774" s="46"/>
      <c r="M1774" s="49"/>
      <c r="T1774" s="48"/>
    </row>
    <row r="1775" spans="2:20" ht="23.4" x14ac:dyDescent="0.25">
      <c r="B1775" s="47"/>
      <c r="F1775" s="46"/>
      <c r="M1775" s="49"/>
      <c r="T1775" s="48"/>
    </row>
    <row r="1776" spans="2:20" ht="23.4" x14ac:dyDescent="0.25">
      <c r="B1776" s="47"/>
      <c r="F1776" s="46"/>
      <c r="M1776" s="49"/>
      <c r="T1776" s="48"/>
    </row>
    <row r="1777" spans="2:20" ht="23.4" x14ac:dyDescent="0.25">
      <c r="B1777" s="47"/>
      <c r="F1777" s="46"/>
      <c r="M1777" s="49"/>
      <c r="T1777" s="48"/>
    </row>
    <row r="1778" spans="2:20" ht="23.4" x14ac:dyDescent="0.25">
      <c r="B1778" s="47"/>
      <c r="F1778" s="46"/>
      <c r="M1778" s="49"/>
      <c r="T1778" s="48"/>
    </row>
    <row r="1779" spans="2:20" ht="26.4" x14ac:dyDescent="0.25">
      <c r="B1779" s="47"/>
      <c r="F1779" s="46"/>
      <c r="M1779" s="49"/>
      <c r="T1779" s="45"/>
    </row>
    <row r="1780" spans="2:20" ht="23.4" x14ac:dyDescent="0.25">
      <c r="B1780" s="47"/>
      <c r="F1780" s="46"/>
      <c r="T1780" s="48"/>
    </row>
    <row r="1781" spans="2:20" ht="23.4" x14ac:dyDescent="0.25">
      <c r="B1781" s="47"/>
      <c r="F1781" s="46"/>
      <c r="T1781" s="48"/>
    </row>
    <row r="1782" spans="2:20" ht="23.4" x14ac:dyDescent="0.25">
      <c r="B1782" s="47"/>
      <c r="F1782" s="46"/>
      <c r="M1782" s="49"/>
      <c r="T1782" s="48"/>
    </row>
    <row r="1783" spans="2:20" ht="23.4" x14ac:dyDescent="0.25">
      <c r="B1783" s="47"/>
      <c r="F1783" s="46"/>
      <c r="M1783" s="49"/>
      <c r="T1783" s="48"/>
    </row>
    <row r="1784" spans="2:20" ht="23.4" x14ac:dyDescent="0.25">
      <c r="B1784" s="47"/>
      <c r="F1784" s="46"/>
      <c r="M1784" s="49"/>
      <c r="T1784" s="48"/>
    </row>
    <row r="1785" spans="2:20" ht="23.4" x14ac:dyDescent="0.25">
      <c r="B1785" s="47"/>
      <c r="F1785" s="46"/>
      <c r="M1785" s="49"/>
      <c r="T1785" s="48"/>
    </row>
    <row r="1786" spans="2:20" ht="26.4" x14ac:dyDescent="0.25">
      <c r="B1786" s="47"/>
      <c r="F1786" s="46"/>
      <c r="M1786" s="49"/>
      <c r="T1786" s="45"/>
    </row>
    <row r="1787" spans="2:20" ht="23.4" x14ac:dyDescent="0.25">
      <c r="B1787" s="47"/>
      <c r="F1787" s="46"/>
      <c r="M1787" s="49"/>
      <c r="T1787" s="48"/>
    </row>
    <row r="1788" spans="2:20" ht="23.4" x14ac:dyDescent="0.25">
      <c r="B1788" s="47"/>
      <c r="F1788" s="46"/>
      <c r="M1788" s="49"/>
      <c r="T1788" s="48"/>
    </row>
    <row r="1789" spans="2:20" ht="23.4" x14ac:dyDescent="0.25">
      <c r="B1789" s="47"/>
      <c r="F1789" s="46"/>
      <c r="M1789" s="49"/>
      <c r="T1789" s="48"/>
    </row>
    <row r="1790" spans="2:20" ht="23.4" x14ac:dyDescent="0.25">
      <c r="B1790" s="47"/>
      <c r="F1790" s="46"/>
      <c r="M1790" s="49"/>
      <c r="T1790" s="48"/>
    </row>
    <row r="1791" spans="2:20" ht="23.4" x14ac:dyDescent="0.25">
      <c r="B1791" s="47"/>
      <c r="F1791" s="46"/>
      <c r="M1791" s="49"/>
      <c r="T1791" s="48"/>
    </row>
    <row r="1792" spans="2:20" ht="23.4" x14ac:dyDescent="0.25">
      <c r="B1792" s="47"/>
      <c r="F1792" s="46"/>
      <c r="M1792" s="49"/>
      <c r="T1792" s="48"/>
    </row>
    <row r="1793" spans="2:20" ht="26.4" x14ac:dyDescent="0.25">
      <c r="B1793" s="47"/>
      <c r="F1793" s="46"/>
      <c r="M1793" s="49"/>
      <c r="T1793" s="45"/>
    </row>
    <row r="1794" spans="2:20" ht="23.4" x14ac:dyDescent="0.25">
      <c r="B1794" s="47"/>
      <c r="F1794" s="46"/>
      <c r="M1794" s="49"/>
      <c r="T1794" s="48"/>
    </row>
    <row r="1795" spans="2:20" ht="23.4" x14ac:dyDescent="0.25">
      <c r="B1795" s="47"/>
      <c r="F1795" s="46"/>
      <c r="M1795" s="49"/>
      <c r="T1795" s="48"/>
    </row>
    <row r="1796" spans="2:20" ht="23.4" x14ac:dyDescent="0.25">
      <c r="B1796" s="47"/>
      <c r="F1796" s="46"/>
      <c r="M1796" s="49"/>
      <c r="T1796" s="48"/>
    </row>
    <row r="1797" spans="2:20" ht="23.4" x14ac:dyDescent="0.25">
      <c r="B1797" s="47"/>
      <c r="F1797" s="46"/>
      <c r="M1797" s="49"/>
      <c r="T1797" s="48"/>
    </row>
    <row r="1798" spans="2:20" ht="23.4" x14ac:dyDescent="0.25">
      <c r="B1798" s="47"/>
      <c r="F1798" s="46"/>
      <c r="M1798" s="49"/>
      <c r="T1798" s="48"/>
    </row>
    <row r="1799" spans="2:20" ht="23.4" x14ac:dyDescent="0.25">
      <c r="B1799" s="47"/>
      <c r="F1799" s="46"/>
      <c r="M1799" s="49"/>
      <c r="T1799" s="48"/>
    </row>
    <row r="1800" spans="2:20" ht="26.4" x14ac:dyDescent="0.25">
      <c r="B1800" s="47"/>
      <c r="F1800" s="46"/>
      <c r="M1800" s="49"/>
      <c r="T1800" s="45"/>
    </row>
    <row r="1801" spans="2:20" ht="23.4" x14ac:dyDescent="0.25">
      <c r="B1801" s="47"/>
      <c r="F1801" s="46"/>
      <c r="M1801" s="49"/>
      <c r="T1801" s="48"/>
    </row>
    <row r="1802" spans="2:20" ht="23.4" x14ac:dyDescent="0.25">
      <c r="B1802" s="47"/>
      <c r="F1802" s="46"/>
      <c r="M1802" s="49"/>
      <c r="T1802" s="48"/>
    </row>
    <row r="1803" spans="2:20" ht="23.4" x14ac:dyDescent="0.25">
      <c r="B1803" s="47"/>
      <c r="F1803" s="46"/>
      <c r="M1803" s="49"/>
      <c r="T1803" s="48"/>
    </row>
    <row r="1804" spans="2:20" ht="23.4" x14ac:dyDescent="0.25">
      <c r="B1804" s="47"/>
      <c r="F1804" s="46"/>
      <c r="M1804" s="49"/>
      <c r="T1804" s="48"/>
    </row>
    <row r="1805" spans="2:20" ht="23.4" x14ac:dyDescent="0.25">
      <c r="B1805" s="47"/>
      <c r="F1805" s="46"/>
      <c r="M1805" s="49"/>
      <c r="T1805" s="48"/>
    </row>
    <row r="1806" spans="2:20" ht="23.4" x14ac:dyDescent="0.25">
      <c r="B1806" s="47"/>
      <c r="F1806" s="46"/>
      <c r="M1806" s="49"/>
      <c r="T1806" s="48"/>
    </row>
    <row r="1807" spans="2:20" ht="26.4" x14ac:dyDescent="0.25">
      <c r="B1807" s="47"/>
      <c r="F1807" s="46"/>
      <c r="M1807" s="49"/>
      <c r="T1807" s="45"/>
    </row>
    <row r="1808" spans="2:20" ht="23.4" x14ac:dyDescent="0.25">
      <c r="B1808" s="47"/>
      <c r="F1808" s="46"/>
      <c r="M1808" s="49"/>
      <c r="T1808" s="48"/>
    </row>
    <row r="1809" spans="2:20" ht="23.4" x14ac:dyDescent="0.25">
      <c r="B1809" s="47"/>
      <c r="F1809" s="46"/>
      <c r="M1809" s="49"/>
      <c r="T1809" s="48"/>
    </row>
    <row r="1810" spans="2:20" ht="23.4" x14ac:dyDescent="0.25">
      <c r="B1810" s="47"/>
      <c r="F1810" s="46"/>
      <c r="M1810" s="49"/>
      <c r="T1810" s="48"/>
    </row>
    <row r="1811" spans="2:20" ht="23.4" x14ac:dyDescent="0.25">
      <c r="B1811" s="47"/>
      <c r="F1811" s="46"/>
      <c r="M1811" s="49"/>
      <c r="T1811" s="48"/>
    </row>
    <row r="1812" spans="2:20" ht="23.4" x14ac:dyDescent="0.25">
      <c r="B1812" s="47"/>
      <c r="F1812" s="46"/>
      <c r="M1812" s="49"/>
      <c r="T1812" s="48"/>
    </row>
    <row r="1813" spans="2:20" ht="23.4" x14ac:dyDescent="0.25">
      <c r="B1813" s="47"/>
      <c r="F1813" s="46"/>
      <c r="M1813" s="49"/>
      <c r="T1813" s="48"/>
    </row>
    <row r="1814" spans="2:20" ht="26.4" x14ac:dyDescent="0.25">
      <c r="B1814" s="47"/>
      <c r="F1814" s="46"/>
      <c r="M1814" s="49"/>
      <c r="T1814" s="45"/>
    </row>
    <row r="1815" spans="2:20" ht="23.4" x14ac:dyDescent="0.25">
      <c r="B1815" s="47"/>
      <c r="F1815" s="46"/>
      <c r="M1815" s="49"/>
      <c r="T1815" s="48"/>
    </row>
    <row r="1816" spans="2:20" ht="23.4" x14ac:dyDescent="0.25">
      <c r="B1816" s="47"/>
      <c r="F1816" s="46"/>
      <c r="M1816" s="49"/>
      <c r="T1816" s="48"/>
    </row>
    <row r="1817" spans="2:20" ht="23.4" x14ac:dyDescent="0.25">
      <c r="B1817" s="47"/>
      <c r="F1817" s="46"/>
      <c r="M1817" s="49"/>
      <c r="T1817" s="48"/>
    </row>
    <row r="1818" spans="2:20" ht="23.4" x14ac:dyDescent="0.25">
      <c r="B1818" s="47"/>
      <c r="F1818" s="46"/>
      <c r="M1818" s="49"/>
      <c r="T1818" s="48"/>
    </row>
    <row r="1819" spans="2:20" ht="23.4" x14ac:dyDescent="0.25">
      <c r="B1819" s="47"/>
      <c r="F1819" s="46"/>
      <c r="M1819" s="49"/>
      <c r="T1819" s="48"/>
    </row>
    <row r="1820" spans="2:20" ht="23.4" x14ac:dyDescent="0.25">
      <c r="B1820" s="47"/>
      <c r="F1820" s="46"/>
      <c r="M1820" s="49"/>
      <c r="T1820" s="48"/>
    </row>
    <row r="1821" spans="2:20" ht="26.4" x14ac:dyDescent="0.25">
      <c r="B1821" s="47"/>
      <c r="F1821" s="46"/>
      <c r="M1821" s="49"/>
      <c r="T1821" s="45"/>
    </row>
    <row r="1822" spans="2:20" ht="23.4" x14ac:dyDescent="0.25">
      <c r="B1822" s="47"/>
      <c r="F1822" s="46"/>
      <c r="M1822" s="49"/>
      <c r="T1822" s="48"/>
    </row>
    <row r="1823" spans="2:20" ht="23.4" x14ac:dyDescent="0.25">
      <c r="B1823" s="47"/>
      <c r="F1823" s="46"/>
      <c r="M1823" s="49"/>
      <c r="T1823" s="48"/>
    </row>
    <row r="1824" spans="2:20" ht="23.4" x14ac:dyDescent="0.25">
      <c r="B1824" s="47"/>
      <c r="F1824" s="46"/>
      <c r="M1824" s="49"/>
      <c r="T1824" s="48"/>
    </row>
    <row r="1825" spans="2:20" ht="23.4" x14ac:dyDescent="0.25">
      <c r="B1825" s="47"/>
      <c r="F1825" s="46"/>
      <c r="M1825" s="49"/>
      <c r="T1825" s="48"/>
    </row>
    <row r="1826" spans="2:20" ht="23.4" x14ac:dyDescent="0.25">
      <c r="B1826" s="47"/>
      <c r="F1826" s="46"/>
      <c r="M1826" s="49"/>
      <c r="T1826" s="48"/>
    </row>
    <row r="1827" spans="2:20" ht="23.4" x14ac:dyDescent="0.25">
      <c r="B1827" s="47"/>
      <c r="F1827" s="46"/>
      <c r="M1827" s="49"/>
      <c r="T1827" s="48"/>
    </row>
    <row r="1828" spans="2:20" ht="26.4" x14ac:dyDescent="0.25">
      <c r="B1828" s="47"/>
      <c r="F1828" s="46"/>
      <c r="M1828" s="49"/>
      <c r="T1828" s="45"/>
    </row>
    <row r="1829" spans="2:20" ht="23.4" x14ac:dyDescent="0.25">
      <c r="B1829" s="47"/>
      <c r="F1829" s="46"/>
      <c r="M1829" s="49"/>
      <c r="T1829" s="48"/>
    </row>
    <row r="1830" spans="2:20" ht="23.4" x14ac:dyDescent="0.25">
      <c r="B1830" s="47"/>
      <c r="F1830" s="46"/>
      <c r="M1830" s="49"/>
      <c r="T1830" s="48"/>
    </row>
    <row r="1831" spans="2:20" ht="23.4" x14ac:dyDescent="0.25">
      <c r="B1831" s="47"/>
      <c r="F1831" s="46"/>
      <c r="M1831" s="49"/>
      <c r="T1831" s="48"/>
    </row>
    <row r="1832" spans="2:20" ht="23.4" x14ac:dyDescent="0.25">
      <c r="B1832" s="47"/>
      <c r="F1832" s="46"/>
      <c r="M1832" s="49"/>
      <c r="T1832" s="48"/>
    </row>
    <row r="1833" spans="2:20" ht="23.4" x14ac:dyDescent="0.25">
      <c r="B1833" s="47"/>
      <c r="F1833" s="46"/>
      <c r="M1833" s="49"/>
      <c r="T1833" s="48"/>
    </row>
    <row r="1834" spans="2:20" ht="23.4" x14ac:dyDescent="0.25">
      <c r="B1834" s="47"/>
      <c r="F1834" s="46"/>
      <c r="M1834" s="49"/>
      <c r="T1834" s="48"/>
    </row>
    <row r="1835" spans="2:20" ht="26.4" x14ac:dyDescent="0.25">
      <c r="B1835" s="47"/>
      <c r="F1835" s="46"/>
      <c r="M1835" s="49"/>
      <c r="T1835" s="45"/>
    </row>
    <row r="1836" spans="2:20" ht="23.4" x14ac:dyDescent="0.25">
      <c r="B1836" s="47"/>
      <c r="F1836" s="46"/>
      <c r="M1836" s="49"/>
      <c r="T1836" s="48"/>
    </row>
    <row r="1837" spans="2:20" ht="23.4" x14ac:dyDescent="0.25">
      <c r="B1837" s="47"/>
      <c r="F1837" s="46"/>
      <c r="M1837" s="49"/>
      <c r="T1837" s="48"/>
    </row>
    <row r="1838" spans="2:20" ht="23.4" x14ac:dyDescent="0.25">
      <c r="B1838" s="47"/>
      <c r="F1838" s="46"/>
      <c r="M1838" s="49"/>
      <c r="T1838" s="48"/>
    </row>
    <row r="1839" spans="2:20" ht="23.4" x14ac:dyDescent="0.25">
      <c r="B1839" s="47"/>
      <c r="F1839" s="46"/>
      <c r="M1839" s="49"/>
      <c r="T1839" s="48"/>
    </row>
    <row r="1840" spans="2:20" ht="23.4" x14ac:dyDescent="0.25">
      <c r="B1840" s="47"/>
      <c r="F1840" s="46"/>
      <c r="M1840" s="49"/>
      <c r="T1840" s="48"/>
    </row>
    <row r="1841" spans="2:20" ht="23.4" x14ac:dyDescent="0.25">
      <c r="B1841" s="47"/>
      <c r="F1841" s="46"/>
      <c r="M1841" s="49"/>
      <c r="T1841" s="48"/>
    </row>
    <row r="1842" spans="2:20" ht="26.4" x14ac:dyDescent="0.25">
      <c r="B1842" s="47"/>
      <c r="F1842" s="46"/>
      <c r="M1842" s="49"/>
      <c r="T1842" s="45"/>
    </row>
    <row r="1843" spans="2:20" ht="23.4" x14ac:dyDescent="0.25">
      <c r="B1843" s="47"/>
      <c r="F1843" s="46"/>
      <c r="M1843" s="49"/>
      <c r="T1843" s="48"/>
    </row>
    <row r="1844" spans="2:20" ht="23.4" x14ac:dyDescent="0.25">
      <c r="B1844" s="47"/>
      <c r="F1844" s="46"/>
      <c r="M1844" s="49"/>
      <c r="T1844" s="48"/>
    </row>
    <row r="1845" spans="2:20" ht="23.4" x14ac:dyDescent="0.25">
      <c r="B1845" s="47"/>
      <c r="F1845" s="46"/>
      <c r="M1845" s="49"/>
      <c r="T1845" s="48"/>
    </row>
    <row r="1846" spans="2:20" ht="23.4" x14ac:dyDescent="0.25">
      <c r="B1846" s="47"/>
      <c r="F1846" s="46"/>
      <c r="M1846" s="49"/>
      <c r="T1846" s="48"/>
    </row>
    <row r="1847" spans="2:20" ht="23.4" x14ac:dyDescent="0.25">
      <c r="B1847" s="47"/>
      <c r="F1847" s="46"/>
      <c r="M1847" s="49"/>
      <c r="T1847" s="48"/>
    </row>
    <row r="1848" spans="2:20" ht="23.4" x14ac:dyDescent="0.25">
      <c r="B1848" s="47"/>
      <c r="F1848" s="46"/>
      <c r="M1848" s="49"/>
      <c r="T1848" s="48"/>
    </row>
    <row r="1849" spans="2:20" ht="26.4" x14ac:dyDescent="0.25">
      <c r="B1849" s="47"/>
      <c r="F1849" s="46"/>
      <c r="M1849" s="49"/>
      <c r="T1849" s="45"/>
    </row>
    <row r="1850" spans="2:20" ht="23.4" x14ac:dyDescent="0.25">
      <c r="B1850" s="47"/>
      <c r="F1850" s="46"/>
      <c r="M1850" s="49"/>
      <c r="T1850" s="48"/>
    </row>
    <row r="1851" spans="2:20" ht="23.4" x14ac:dyDescent="0.25">
      <c r="B1851" s="47"/>
      <c r="F1851" s="46"/>
      <c r="M1851" s="49"/>
      <c r="T1851" s="48"/>
    </row>
    <row r="1852" spans="2:20" ht="23.4" x14ac:dyDescent="0.25">
      <c r="B1852" s="47"/>
      <c r="F1852" s="46"/>
      <c r="M1852" s="49"/>
      <c r="T1852" s="48"/>
    </row>
    <row r="1853" spans="2:20" ht="23.4" x14ac:dyDescent="0.25">
      <c r="B1853" s="47"/>
      <c r="F1853" s="46"/>
      <c r="M1853" s="49"/>
      <c r="T1853" s="48"/>
    </row>
    <row r="1854" spans="2:20" ht="23.4" x14ac:dyDescent="0.25">
      <c r="B1854" s="47"/>
      <c r="F1854" s="46"/>
      <c r="M1854" s="49"/>
      <c r="T1854" s="48"/>
    </row>
    <row r="1855" spans="2:20" ht="23.4" x14ac:dyDescent="0.25">
      <c r="B1855" s="47"/>
      <c r="F1855" s="46"/>
      <c r="M1855" s="49"/>
      <c r="T1855" s="48"/>
    </row>
    <row r="1856" spans="2:20" ht="26.4" x14ac:dyDescent="0.25">
      <c r="B1856" s="47"/>
      <c r="F1856" s="46"/>
      <c r="M1856" s="49"/>
      <c r="T1856" s="45"/>
    </row>
    <row r="1857" spans="2:20" ht="23.4" x14ac:dyDescent="0.25">
      <c r="B1857" s="47"/>
      <c r="F1857" s="46"/>
      <c r="M1857" s="49"/>
      <c r="T1857" s="48"/>
    </row>
    <row r="1858" spans="2:20" ht="23.4" x14ac:dyDescent="0.25">
      <c r="B1858" s="47"/>
      <c r="F1858" s="46"/>
      <c r="M1858" s="49"/>
      <c r="T1858" s="48"/>
    </row>
    <row r="1859" spans="2:20" ht="23.4" x14ac:dyDescent="0.25">
      <c r="B1859" s="47"/>
      <c r="F1859" s="46"/>
      <c r="M1859" s="49"/>
      <c r="T1859" s="48"/>
    </row>
    <row r="1860" spans="2:20" ht="23.4" x14ac:dyDescent="0.25">
      <c r="B1860" s="47"/>
      <c r="F1860" s="46"/>
      <c r="M1860" s="49"/>
      <c r="T1860" s="48"/>
    </row>
    <row r="1861" spans="2:20" ht="23.4" x14ac:dyDescent="0.25">
      <c r="B1861" s="47"/>
      <c r="F1861" s="46"/>
      <c r="M1861" s="49"/>
      <c r="T1861" s="48"/>
    </row>
    <row r="1862" spans="2:20" ht="23.4" x14ac:dyDescent="0.25">
      <c r="B1862" s="47"/>
      <c r="F1862" s="46"/>
      <c r="M1862" s="49"/>
      <c r="T1862" s="48"/>
    </row>
    <row r="1863" spans="2:20" ht="26.4" x14ac:dyDescent="0.25">
      <c r="B1863" s="47"/>
      <c r="F1863" s="46"/>
      <c r="M1863" s="49"/>
      <c r="T1863" s="45"/>
    </row>
    <row r="1864" spans="2:20" ht="23.4" x14ac:dyDescent="0.25">
      <c r="B1864" s="47"/>
      <c r="F1864" s="46"/>
      <c r="M1864" s="49"/>
      <c r="T1864" s="48"/>
    </row>
    <row r="1865" spans="2:20" ht="23.4" x14ac:dyDescent="0.25">
      <c r="B1865" s="47"/>
      <c r="F1865" s="46"/>
      <c r="M1865" s="49"/>
      <c r="T1865" s="48"/>
    </row>
    <row r="1866" spans="2:20" ht="23.4" x14ac:dyDescent="0.25">
      <c r="B1866" s="47"/>
      <c r="F1866" s="46"/>
      <c r="M1866" s="49"/>
      <c r="T1866" s="48"/>
    </row>
    <row r="1867" spans="2:20" ht="23.4" x14ac:dyDescent="0.25">
      <c r="B1867" s="47"/>
      <c r="F1867" s="46"/>
      <c r="M1867" s="49"/>
      <c r="T1867" s="48"/>
    </row>
    <row r="1868" spans="2:20" ht="23.4" x14ac:dyDescent="0.25">
      <c r="B1868" s="47"/>
      <c r="F1868" s="46"/>
      <c r="M1868" s="49"/>
      <c r="T1868" s="48"/>
    </row>
    <row r="1869" spans="2:20" ht="23.4" x14ac:dyDescent="0.25">
      <c r="B1869" s="47"/>
      <c r="F1869" s="46"/>
      <c r="M1869" s="49"/>
      <c r="T1869" s="48"/>
    </row>
    <row r="1870" spans="2:20" ht="26.4" x14ac:dyDescent="0.25">
      <c r="B1870" s="47"/>
      <c r="F1870" s="46"/>
      <c r="M1870" s="49"/>
      <c r="T1870" s="45"/>
    </row>
    <row r="1871" spans="2:20" ht="23.4" x14ac:dyDescent="0.25">
      <c r="B1871" s="47"/>
      <c r="F1871" s="46"/>
      <c r="M1871" s="49"/>
      <c r="T1871" s="48"/>
    </row>
    <row r="1872" spans="2:20" ht="23.4" x14ac:dyDescent="0.25">
      <c r="B1872" s="47"/>
      <c r="F1872" s="46"/>
      <c r="M1872" s="49"/>
      <c r="T1872" s="48"/>
    </row>
    <row r="1873" spans="2:20" ht="23.4" x14ac:dyDescent="0.25">
      <c r="B1873" s="47"/>
      <c r="F1873" s="46"/>
      <c r="M1873" s="49"/>
      <c r="T1873" s="48"/>
    </row>
    <row r="1874" spans="2:20" ht="23.4" x14ac:dyDescent="0.25">
      <c r="B1874" s="47"/>
      <c r="F1874" s="46"/>
      <c r="M1874" s="49"/>
      <c r="T1874" s="48"/>
    </row>
    <row r="1875" spans="2:20" ht="23.4" x14ac:dyDescent="0.25">
      <c r="B1875" s="47"/>
      <c r="F1875" s="46"/>
      <c r="M1875" s="49"/>
      <c r="T1875" s="48"/>
    </row>
    <row r="1876" spans="2:20" ht="23.4" x14ac:dyDescent="0.25">
      <c r="B1876" s="47"/>
      <c r="F1876" s="46"/>
      <c r="M1876" s="49"/>
      <c r="T1876" s="48"/>
    </row>
    <row r="1877" spans="2:20" ht="26.4" x14ac:dyDescent="0.25">
      <c r="B1877" s="47"/>
      <c r="F1877" s="46"/>
      <c r="M1877" s="49"/>
      <c r="T1877" s="45"/>
    </row>
    <row r="1878" spans="2:20" ht="23.4" x14ac:dyDescent="0.25">
      <c r="B1878" s="47"/>
      <c r="F1878" s="46"/>
      <c r="M1878" s="49"/>
      <c r="T1878" s="48"/>
    </row>
    <row r="1879" spans="2:20" ht="23.4" x14ac:dyDescent="0.25">
      <c r="B1879" s="47"/>
      <c r="F1879" s="46"/>
      <c r="M1879" s="49"/>
      <c r="T1879" s="48"/>
    </row>
    <row r="1880" spans="2:20" ht="23.4" x14ac:dyDescent="0.25">
      <c r="B1880" s="47"/>
      <c r="F1880" s="46"/>
      <c r="M1880" s="49"/>
      <c r="T1880" s="48"/>
    </row>
    <row r="1881" spans="2:20" ht="23.4" x14ac:dyDescent="0.25">
      <c r="B1881" s="47"/>
      <c r="F1881" s="46"/>
      <c r="M1881" s="49"/>
      <c r="T1881" s="48"/>
    </row>
    <row r="1882" spans="2:20" ht="23.4" x14ac:dyDescent="0.25">
      <c r="B1882" s="47"/>
      <c r="F1882" s="46"/>
      <c r="M1882" s="49"/>
      <c r="T1882" s="48"/>
    </row>
    <row r="1883" spans="2:20" ht="23.4" x14ac:dyDescent="0.25">
      <c r="B1883" s="47"/>
      <c r="F1883" s="46"/>
      <c r="M1883" s="49"/>
      <c r="T1883" s="48"/>
    </row>
    <row r="1884" spans="2:20" ht="26.4" x14ac:dyDescent="0.25">
      <c r="B1884" s="47"/>
      <c r="F1884" s="46"/>
      <c r="M1884" s="49"/>
      <c r="T1884" s="45"/>
    </row>
    <row r="1885" spans="2:20" ht="23.4" x14ac:dyDescent="0.25">
      <c r="B1885" s="47"/>
      <c r="F1885" s="46"/>
      <c r="M1885" s="49"/>
      <c r="T1885" s="48"/>
    </row>
    <row r="1886" spans="2:20" ht="23.4" x14ac:dyDescent="0.25">
      <c r="B1886" s="47"/>
      <c r="F1886" s="46"/>
      <c r="M1886" s="49"/>
      <c r="T1886" s="48"/>
    </row>
    <row r="1887" spans="2:20" ht="23.4" x14ac:dyDescent="0.25">
      <c r="B1887" s="47"/>
      <c r="F1887" s="46"/>
      <c r="M1887" s="49"/>
      <c r="T1887" s="48"/>
    </row>
    <row r="1888" spans="2:20" ht="23.4" x14ac:dyDescent="0.25">
      <c r="B1888" s="47"/>
      <c r="F1888" s="46"/>
      <c r="M1888" s="49"/>
      <c r="T1888" s="48"/>
    </row>
    <row r="1889" spans="2:20" ht="23.4" x14ac:dyDescent="0.25">
      <c r="B1889" s="47"/>
      <c r="F1889" s="46"/>
      <c r="M1889" s="49"/>
      <c r="T1889" s="48"/>
    </row>
    <row r="1890" spans="2:20" ht="23.4" x14ac:dyDescent="0.25">
      <c r="B1890" s="47"/>
      <c r="F1890" s="46"/>
      <c r="M1890" s="49"/>
      <c r="T1890" s="48"/>
    </row>
    <row r="1891" spans="2:20" ht="26.4" x14ac:dyDescent="0.25">
      <c r="B1891" s="47"/>
      <c r="F1891" s="46"/>
      <c r="M1891" s="49"/>
      <c r="T1891" s="45"/>
    </row>
    <row r="1892" spans="2:20" ht="23.4" x14ac:dyDescent="0.25">
      <c r="B1892" s="47"/>
      <c r="F1892" s="46"/>
      <c r="M1892" s="49"/>
      <c r="T1892" s="48"/>
    </row>
    <row r="1893" spans="2:20" ht="23.4" x14ac:dyDescent="0.25">
      <c r="B1893" s="47"/>
      <c r="F1893" s="46"/>
      <c r="M1893" s="49"/>
      <c r="T1893" s="48"/>
    </row>
    <row r="1894" spans="2:20" ht="23.4" x14ac:dyDescent="0.25">
      <c r="B1894" s="47"/>
      <c r="F1894" s="46"/>
      <c r="M1894" s="49"/>
      <c r="T1894" s="48"/>
    </row>
    <row r="1895" spans="2:20" ht="23.4" x14ac:dyDescent="0.25">
      <c r="B1895" s="47"/>
      <c r="F1895" s="46"/>
      <c r="M1895" s="49"/>
      <c r="T1895" s="48"/>
    </row>
    <row r="1896" spans="2:20" ht="23.4" x14ac:dyDescent="0.25">
      <c r="B1896" s="47"/>
      <c r="F1896" s="46"/>
      <c r="M1896" s="49"/>
      <c r="T1896" s="48"/>
    </row>
    <row r="1897" spans="2:20" ht="23.4" x14ac:dyDescent="0.25">
      <c r="B1897" s="47"/>
      <c r="F1897" s="46"/>
      <c r="M1897" s="49"/>
      <c r="T1897" s="48"/>
    </row>
    <row r="1898" spans="2:20" ht="26.4" x14ac:dyDescent="0.25">
      <c r="B1898" s="47"/>
      <c r="F1898" s="46"/>
      <c r="M1898" s="49"/>
      <c r="T1898" s="45"/>
    </row>
    <row r="1899" spans="2:20" ht="23.4" x14ac:dyDescent="0.25">
      <c r="B1899" s="47"/>
      <c r="F1899" s="46"/>
      <c r="M1899" s="49"/>
      <c r="T1899" s="48"/>
    </row>
    <row r="1900" spans="2:20" ht="23.4" x14ac:dyDescent="0.25">
      <c r="B1900" s="47"/>
      <c r="F1900" s="46"/>
      <c r="M1900" s="49"/>
      <c r="T1900" s="48"/>
    </row>
    <row r="1901" spans="2:20" ht="23.4" x14ac:dyDescent="0.25">
      <c r="B1901" s="47"/>
      <c r="F1901" s="46"/>
      <c r="M1901" s="49"/>
      <c r="T1901" s="48"/>
    </row>
    <row r="1902" spans="2:20" ht="23.4" x14ac:dyDescent="0.25">
      <c r="B1902" s="47"/>
      <c r="F1902" s="46"/>
      <c r="M1902" s="49"/>
      <c r="T1902" s="48"/>
    </row>
    <row r="1903" spans="2:20" ht="23.4" x14ac:dyDescent="0.25">
      <c r="B1903" s="47"/>
      <c r="F1903" s="46"/>
      <c r="M1903" s="49"/>
      <c r="T1903" s="48"/>
    </row>
    <row r="1904" spans="2:20" ht="23.4" x14ac:dyDescent="0.25">
      <c r="B1904" s="47"/>
      <c r="F1904" s="46"/>
      <c r="M1904" s="49"/>
      <c r="T1904" s="48"/>
    </row>
    <row r="1905" spans="2:20" ht="26.4" x14ac:dyDescent="0.25">
      <c r="B1905" s="47"/>
      <c r="F1905" s="46"/>
      <c r="M1905" s="49"/>
      <c r="T1905" s="45"/>
    </row>
    <row r="1906" spans="2:20" ht="23.4" x14ac:dyDescent="0.25">
      <c r="B1906" s="47"/>
      <c r="F1906" s="46"/>
      <c r="M1906" s="49"/>
      <c r="T1906" s="48"/>
    </row>
    <row r="1907" spans="2:20" ht="23.4" x14ac:dyDescent="0.25">
      <c r="B1907" s="47"/>
      <c r="F1907" s="46"/>
      <c r="M1907" s="49"/>
      <c r="T1907" s="48"/>
    </row>
    <row r="1908" spans="2:20" ht="23.4" x14ac:dyDescent="0.25">
      <c r="B1908" s="47"/>
      <c r="F1908" s="46"/>
      <c r="M1908" s="49"/>
      <c r="T1908" s="48"/>
    </row>
    <row r="1909" spans="2:20" ht="23.4" x14ac:dyDescent="0.25">
      <c r="B1909" s="47"/>
      <c r="F1909" s="46"/>
      <c r="M1909" s="49"/>
      <c r="T1909" s="48"/>
    </row>
    <row r="1910" spans="2:20" ht="23.4" x14ac:dyDescent="0.25">
      <c r="B1910" s="47"/>
      <c r="F1910" s="46"/>
      <c r="M1910" s="49"/>
      <c r="T1910" s="48"/>
    </row>
    <row r="1911" spans="2:20" ht="23.4" x14ac:dyDescent="0.25">
      <c r="B1911" s="47"/>
      <c r="F1911" s="46"/>
      <c r="M1911" s="49"/>
      <c r="T1911" s="48"/>
    </row>
    <row r="1912" spans="2:20" ht="26.4" x14ac:dyDescent="0.25">
      <c r="B1912" s="47"/>
      <c r="F1912" s="46"/>
      <c r="M1912" s="49"/>
      <c r="T1912" s="45"/>
    </row>
    <row r="1913" spans="2:20" ht="23.4" x14ac:dyDescent="0.25">
      <c r="B1913" s="47"/>
      <c r="F1913" s="46"/>
      <c r="M1913" s="49"/>
      <c r="T1913" s="48"/>
    </row>
    <row r="1914" spans="2:20" ht="23.4" x14ac:dyDescent="0.25">
      <c r="B1914" s="47"/>
      <c r="F1914" s="46"/>
      <c r="M1914" s="49"/>
      <c r="T1914" s="48"/>
    </row>
    <row r="1915" spans="2:20" ht="23.4" x14ac:dyDescent="0.25">
      <c r="B1915" s="47"/>
      <c r="F1915" s="46"/>
      <c r="M1915" s="49"/>
      <c r="T1915" s="48"/>
    </row>
    <row r="1916" spans="2:20" ht="23.4" x14ac:dyDescent="0.25">
      <c r="B1916" s="47"/>
      <c r="F1916" s="46"/>
      <c r="M1916" s="49"/>
      <c r="T1916" s="48"/>
    </row>
    <row r="1917" spans="2:20" ht="23.4" x14ac:dyDescent="0.25">
      <c r="B1917" s="47"/>
      <c r="F1917" s="46"/>
      <c r="M1917" s="49"/>
      <c r="T1917" s="48"/>
    </row>
    <row r="1918" spans="2:20" ht="23.4" x14ac:dyDescent="0.25">
      <c r="B1918" s="47"/>
      <c r="F1918" s="46"/>
      <c r="M1918" s="49"/>
      <c r="T1918" s="48"/>
    </row>
    <row r="1919" spans="2:20" ht="26.4" x14ac:dyDescent="0.25">
      <c r="B1919" s="47"/>
      <c r="F1919" s="46"/>
      <c r="M1919" s="49"/>
      <c r="T1919" s="45"/>
    </row>
    <row r="1920" spans="2:20" ht="23.4" x14ac:dyDescent="0.25">
      <c r="B1920" s="47"/>
      <c r="F1920" s="46"/>
      <c r="M1920" s="49"/>
      <c r="T1920" s="48"/>
    </row>
    <row r="1921" spans="2:20" ht="23.4" x14ac:dyDescent="0.25">
      <c r="B1921" s="47"/>
      <c r="F1921" s="46"/>
      <c r="M1921" s="49"/>
      <c r="T1921" s="48"/>
    </row>
    <row r="1922" spans="2:20" ht="23.4" x14ac:dyDescent="0.25">
      <c r="B1922" s="47"/>
      <c r="F1922" s="46"/>
      <c r="M1922" s="49"/>
      <c r="T1922" s="48"/>
    </row>
    <row r="1923" spans="2:20" ht="23.4" x14ac:dyDescent="0.25">
      <c r="B1923" s="47"/>
      <c r="F1923" s="46"/>
      <c r="M1923" s="49"/>
      <c r="T1923" s="48"/>
    </row>
    <row r="1924" spans="2:20" ht="23.4" x14ac:dyDescent="0.25">
      <c r="B1924" s="47"/>
      <c r="F1924" s="46"/>
      <c r="M1924" s="49"/>
      <c r="T1924" s="48"/>
    </row>
    <row r="1925" spans="2:20" ht="23.4" x14ac:dyDescent="0.25">
      <c r="B1925" s="47"/>
      <c r="F1925" s="46"/>
      <c r="M1925" s="49"/>
      <c r="T1925" s="48"/>
    </row>
    <row r="1926" spans="2:20" ht="26.4" x14ac:dyDescent="0.25">
      <c r="B1926" s="47"/>
      <c r="F1926" s="46"/>
      <c r="M1926" s="49"/>
      <c r="T1926" s="45"/>
    </row>
    <row r="1927" spans="2:20" ht="23.4" x14ac:dyDescent="0.25">
      <c r="B1927" s="47"/>
      <c r="F1927" s="46"/>
      <c r="M1927" s="49"/>
      <c r="T1927" s="48"/>
    </row>
    <row r="1928" spans="2:20" ht="23.4" x14ac:dyDescent="0.25">
      <c r="B1928" s="47"/>
      <c r="F1928" s="46"/>
      <c r="M1928" s="49"/>
      <c r="T1928" s="48"/>
    </row>
    <row r="1929" spans="2:20" ht="23.4" x14ac:dyDescent="0.25">
      <c r="B1929" s="47"/>
      <c r="F1929" s="46"/>
      <c r="M1929" s="49"/>
      <c r="T1929" s="48"/>
    </row>
    <row r="1930" spans="2:20" ht="23.4" x14ac:dyDescent="0.25">
      <c r="B1930" s="47"/>
      <c r="F1930" s="46"/>
      <c r="M1930" s="49"/>
      <c r="T1930" s="48"/>
    </row>
    <row r="1931" spans="2:20" ht="23.4" x14ac:dyDescent="0.25">
      <c r="B1931" s="47"/>
      <c r="F1931" s="46"/>
      <c r="M1931" s="49"/>
      <c r="T1931" s="48"/>
    </row>
    <row r="1932" spans="2:20" ht="23.4" x14ac:dyDescent="0.25">
      <c r="B1932" s="47"/>
      <c r="F1932" s="46"/>
      <c r="M1932" s="49"/>
      <c r="T1932" s="48"/>
    </row>
    <row r="1933" spans="2:20" ht="26.4" x14ac:dyDescent="0.25">
      <c r="B1933" s="47"/>
      <c r="F1933" s="46"/>
      <c r="M1933" s="49"/>
      <c r="T1933" s="45"/>
    </row>
    <row r="1934" spans="2:20" ht="23.4" x14ac:dyDescent="0.25">
      <c r="B1934" s="47"/>
      <c r="F1934" s="46"/>
      <c r="M1934" s="49"/>
      <c r="T1934" s="48"/>
    </row>
    <row r="1935" spans="2:20" ht="23.4" x14ac:dyDescent="0.25">
      <c r="B1935" s="47"/>
      <c r="F1935" s="46"/>
      <c r="M1935" s="49"/>
      <c r="T1935" s="48"/>
    </row>
    <row r="1936" spans="2:20" ht="23.4" x14ac:dyDescent="0.25">
      <c r="B1936" s="47"/>
      <c r="F1936" s="46"/>
      <c r="M1936" s="49"/>
      <c r="T1936" s="48"/>
    </row>
    <row r="1937" spans="2:20" ht="23.4" x14ac:dyDescent="0.25">
      <c r="B1937" s="47"/>
      <c r="F1937" s="46"/>
      <c r="M1937" s="49"/>
      <c r="T1937" s="48"/>
    </row>
    <row r="1938" spans="2:20" ht="23.4" x14ac:dyDescent="0.25">
      <c r="B1938" s="47"/>
      <c r="F1938" s="46"/>
      <c r="M1938" s="49"/>
      <c r="T1938" s="48"/>
    </row>
    <row r="1939" spans="2:20" ht="23.4" x14ac:dyDescent="0.25">
      <c r="B1939" s="47"/>
      <c r="F1939" s="46"/>
      <c r="M1939" s="49"/>
      <c r="T1939" s="48"/>
    </row>
    <row r="1940" spans="2:20" ht="26.4" x14ac:dyDescent="0.25">
      <c r="B1940" s="47"/>
      <c r="F1940" s="46"/>
      <c r="M1940" s="49"/>
      <c r="T1940" s="45"/>
    </row>
    <row r="1941" spans="2:20" ht="23.4" x14ac:dyDescent="0.25">
      <c r="B1941" s="47"/>
      <c r="F1941" s="46"/>
      <c r="M1941" s="49"/>
      <c r="T1941" s="48"/>
    </row>
    <row r="1942" spans="2:20" ht="23.4" x14ac:dyDescent="0.25">
      <c r="B1942" s="47"/>
      <c r="F1942" s="46"/>
      <c r="M1942" s="49"/>
      <c r="T1942" s="48"/>
    </row>
    <row r="1943" spans="2:20" ht="23.4" x14ac:dyDescent="0.25">
      <c r="B1943" s="47"/>
      <c r="F1943" s="46"/>
      <c r="M1943" s="49"/>
      <c r="T1943" s="48"/>
    </row>
    <row r="1944" spans="2:20" ht="23.4" x14ac:dyDescent="0.25">
      <c r="B1944" s="47"/>
      <c r="F1944" s="46"/>
      <c r="M1944" s="49"/>
      <c r="T1944" s="48"/>
    </row>
    <row r="1945" spans="2:20" ht="23.4" x14ac:dyDescent="0.25">
      <c r="B1945" s="47"/>
      <c r="F1945" s="46"/>
      <c r="M1945" s="49"/>
      <c r="T1945" s="48"/>
    </row>
    <row r="1946" spans="2:20" ht="23.4" x14ac:dyDescent="0.25">
      <c r="B1946" s="47"/>
      <c r="F1946" s="46"/>
      <c r="M1946" s="49"/>
      <c r="T1946" s="48"/>
    </row>
    <row r="1947" spans="2:20" ht="26.4" x14ac:dyDescent="0.25">
      <c r="B1947" s="47"/>
      <c r="F1947" s="46"/>
      <c r="M1947" s="49"/>
      <c r="T1947" s="45"/>
    </row>
    <row r="1948" spans="2:20" ht="23.4" x14ac:dyDescent="0.25">
      <c r="B1948" s="47"/>
      <c r="F1948" s="46"/>
      <c r="M1948" s="49"/>
      <c r="T1948" s="48"/>
    </row>
    <row r="1949" spans="2:20" ht="23.4" x14ac:dyDescent="0.25">
      <c r="B1949" s="47"/>
      <c r="F1949" s="46"/>
      <c r="M1949" s="49"/>
      <c r="T1949" s="48"/>
    </row>
    <row r="1950" spans="2:20" ht="23.4" x14ac:dyDescent="0.25">
      <c r="B1950" s="47"/>
      <c r="F1950" s="46"/>
      <c r="M1950" s="49"/>
      <c r="T1950" s="48"/>
    </row>
    <row r="1951" spans="2:20" ht="23.4" x14ac:dyDescent="0.25">
      <c r="B1951" s="47"/>
      <c r="F1951" s="46"/>
      <c r="M1951" s="49"/>
      <c r="T1951" s="48"/>
    </row>
    <row r="1952" spans="2:20" ht="23.4" x14ac:dyDescent="0.25">
      <c r="B1952" s="47"/>
      <c r="F1952" s="46"/>
      <c r="M1952" s="49"/>
      <c r="T1952" s="48"/>
    </row>
    <row r="1953" spans="2:20" ht="23.4" x14ac:dyDescent="0.25">
      <c r="B1953" s="47"/>
      <c r="F1953" s="46"/>
      <c r="M1953" s="49"/>
      <c r="T1953" s="48"/>
    </row>
    <row r="1954" spans="2:20" ht="26.4" x14ac:dyDescent="0.25">
      <c r="B1954" s="47"/>
      <c r="F1954" s="46"/>
      <c r="M1954" s="49"/>
      <c r="T1954" s="45"/>
    </row>
    <row r="1955" spans="2:20" ht="23.4" x14ac:dyDescent="0.25">
      <c r="B1955" s="47"/>
      <c r="F1955" s="46"/>
      <c r="M1955" s="49"/>
      <c r="T1955" s="48"/>
    </row>
    <row r="1956" spans="2:20" ht="23.4" x14ac:dyDescent="0.25">
      <c r="B1956" s="47"/>
      <c r="F1956" s="46"/>
      <c r="M1956" s="49"/>
      <c r="T1956" s="48"/>
    </row>
    <row r="1957" spans="2:20" ht="23.4" x14ac:dyDescent="0.25">
      <c r="B1957" s="47"/>
      <c r="F1957" s="46"/>
      <c r="M1957" s="49"/>
      <c r="T1957" s="48"/>
    </row>
    <row r="1958" spans="2:20" ht="23.4" x14ac:dyDescent="0.25">
      <c r="B1958" s="47"/>
      <c r="F1958" s="46"/>
      <c r="M1958" s="49"/>
      <c r="T1958" s="48"/>
    </row>
    <row r="1959" spans="2:20" ht="23.4" x14ac:dyDescent="0.25">
      <c r="B1959" s="47"/>
      <c r="F1959" s="46"/>
      <c r="M1959" s="49"/>
      <c r="T1959" s="48"/>
    </row>
    <row r="1960" spans="2:20" ht="23.4" x14ac:dyDescent="0.25">
      <c r="B1960" s="47"/>
      <c r="F1960" s="46"/>
      <c r="M1960" s="49"/>
      <c r="T1960" s="48"/>
    </row>
    <row r="1961" spans="2:20" ht="26.4" x14ac:dyDescent="0.25">
      <c r="B1961" s="47"/>
      <c r="F1961" s="46"/>
      <c r="M1961" s="49"/>
      <c r="T1961" s="45"/>
    </row>
    <row r="1962" spans="2:20" ht="23.4" x14ac:dyDescent="0.25">
      <c r="B1962" s="47"/>
      <c r="F1962" s="46"/>
      <c r="M1962" s="49"/>
      <c r="T1962" s="48"/>
    </row>
    <row r="1963" spans="2:20" ht="23.4" x14ac:dyDescent="0.25">
      <c r="B1963" s="47"/>
      <c r="F1963" s="46"/>
      <c r="M1963" s="49"/>
      <c r="T1963" s="48"/>
    </row>
    <row r="1964" spans="2:20" ht="23.4" x14ac:dyDescent="0.25">
      <c r="B1964" s="47"/>
      <c r="F1964" s="46"/>
      <c r="M1964" s="49"/>
      <c r="T1964" s="48"/>
    </row>
    <row r="1965" spans="2:20" ht="23.4" x14ac:dyDescent="0.25">
      <c r="B1965" s="47"/>
      <c r="F1965" s="46"/>
      <c r="M1965" s="49"/>
      <c r="T1965" s="48"/>
    </row>
    <row r="1966" spans="2:20" ht="23.4" x14ac:dyDescent="0.25">
      <c r="B1966" s="47"/>
      <c r="F1966" s="46"/>
      <c r="M1966" s="49"/>
      <c r="T1966" s="48"/>
    </row>
    <row r="1967" spans="2:20" ht="23.4" x14ac:dyDescent="0.25">
      <c r="B1967" s="47"/>
      <c r="F1967" s="46"/>
      <c r="M1967" s="49"/>
      <c r="T1967" s="48"/>
    </row>
    <row r="1968" spans="2:20" ht="26.4" x14ac:dyDescent="0.25">
      <c r="B1968" s="47"/>
      <c r="F1968" s="46"/>
      <c r="M1968" s="49"/>
      <c r="T1968" s="45"/>
    </row>
    <row r="1969" spans="2:20" ht="23.4" x14ac:dyDescent="0.25">
      <c r="B1969" s="47"/>
      <c r="F1969" s="46"/>
      <c r="M1969" s="49"/>
      <c r="T1969" s="48"/>
    </row>
    <row r="1970" spans="2:20" ht="23.4" x14ac:dyDescent="0.25">
      <c r="B1970" s="47"/>
      <c r="F1970" s="46"/>
      <c r="M1970" s="49"/>
      <c r="T1970" s="48"/>
    </row>
    <row r="1971" spans="2:20" ht="23.4" x14ac:dyDescent="0.25">
      <c r="B1971" s="47"/>
      <c r="F1971" s="46"/>
      <c r="M1971" s="49"/>
      <c r="T1971" s="48"/>
    </row>
    <row r="1972" spans="2:20" ht="23.4" x14ac:dyDescent="0.25">
      <c r="B1972" s="47"/>
      <c r="F1972" s="46"/>
      <c r="M1972" s="49"/>
      <c r="T1972" s="48"/>
    </row>
    <row r="1973" spans="2:20" ht="23.4" x14ac:dyDescent="0.25">
      <c r="B1973" s="47"/>
      <c r="F1973" s="46"/>
      <c r="M1973" s="49"/>
      <c r="T1973" s="48"/>
    </row>
    <row r="1974" spans="2:20" ht="23.4" x14ac:dyDescent="0.25">
      <c r="B1974" s="47"/>
      <c r="F1974" s="46"/>
      <c r="M1974" s="49"/>
      <c r="T1974" s="48"/>
    </row>
    <row r="1975" spans="2:20" ht="26.4" x14ac:dyDescent="0.25">
      <c r="B1975" s="47"/>
      <c r="F1975" s="46"/>
      <c r="M1975" s="49"/>
      <c r="T1975" s="45"/>
    </row>
    <row r="1976" spans="2:20" ht="23.4" x14ac:dyDescent="0.25">
      <c r="B1976" s="47"/>
      <c r="F1976" s="46"/>
      <c r="M1976" s="49"/>
      <c r="T1976" s="48"/>
    </row>
    <row r="1977" spans="2:20" ht="23.4" x14ac:dyDescent="0.25">
      <c r="B1977" s="47"/>
      <c r="F1977" s="46"/>
      <c r="M1977" s="49"/>
      <c r="T1977" s="48"/>
    </row>
    <row r="1978" spans="2:20" ht="23.4" x14ac:dyDescent="0.25">
      <c r="B1978" s="47"/>
      <c r="F1978" s="46"/>
      <c r="M1978" s="49"/>
      <c r="T1978" s="48"/>
    </row>
    <row r="1979" spans="2:20" ht="23.4" x14ac:dyDescent="0.25">
      <c r="B1979" s="47"/>
      <c r="F1979" s="46"/>
      <c r="M1979" s="49"/>
      <c r="T1979" s="48"/>
    </row>
    <row r="1980" spans="2:20" ht="23.4" x14ac:dyDescent="0.25">
      <c r="B1980" s="47"/>
      <c r="F1980" s="46"/>
      <c r="M1980" s="49"/>
      <c r="T1980" s="48"/>
    </row>
    <row r="1981" spans="2:20" ht="23.4" x14ac:dyDescent="0.25">
      <c r="B1981" s="47"/>
      <c r="F1981" s="46"/>
      <c r="M1981" s="49"/>
      <c r="T1981" s="48"/>
    </row>
    <row r="1982" spans="2:20" ht="26.4" x14ac:dyDescent="0.25">
      <c r="B1982" s="47"/>
      <c r="F1982" s="46"/>
      <c r="M1982" s="49"/>
      <c r="T1982" s="45"/>
    </row>
    <row r="1983" spans="2:20" ht="23.4" x14ac:dyDescent="0.25">
      <c r="B1983" s="47"/>
      <c r="F1983" s="46"/>
      <c r="M1983" s="49"/>
      <c r="T1983" s="48"/>
    </row>
    <row r="1984" spans="2:20" ht="23.4" x14ac:dyDescent="0.25">
      <c r="B1984" s="47"/>
      <c r="F1984" s="46"/>
      <c r="M1984" s="49"/>
      <c r="T1984" s="48"/>
    </row>
    <row r="1985" spans="2:20" ht="23.4" x14ac:dyDescent="0.25">
      <c r="B1985" s="47"/>
      <c r="F1985" s="46"/>
      <c r="M1985" s="49"/>
      <c r="T1985" s="48"/>
    </row>
    <row r="1986" spans="2:20" ht="23.4" x14ac:dyDescent="0.25">
      <c r="B1986" s="47"/>
      <c r="F1986" s="46"/>
      <c r="M1986" s="49"/>
      <c r="T1986" s="48"/>
    </row>
    <row r="1987" spans="2:20" ht="23.4" x14ac:dyDescent="0.25">
      <c r="B1987" s="47"/>
      <c r="F1987" s="46"/>
      <c r="M1987" s="49"/>
      <c r="T1987" s="48"/>
    </row>
    <row r="1988" spans="2:20" ht="23.4" x14ac:dyDescent="0.25">
      <c r="B1988" s="47"/>
      <c r="F1988" s="46"/>
      <c r="M1988" s="49"/>
      <c r="T1988" s="48"/>
    </row>
    <row r="1989" spans="2:20" ht="26.4" x14ac:dyDescent="0.25">
      <c r="B1989" s="47"/>
      <c r="F1989" s="46"/>
      <c r="M1989" s="49"/>
      <c r="T1989" s="45"/>
    </row>
    <row r="1990" spans="2:20" ht="23.4" x14ac:dyDescent="0.25">
      <c r="B1990" s="47"/>
      <c r="F1990" s="46"/>
      <c r="M1990" s="49"/>
      <c r="T1990" s="48"/>
    </row>
    <row r="1991" spans="2:20" ht="23.4" x14ac:dyDescent="0.25">
      <c r="B1991" s="47"/>
      <c r="F1991" s="46"/>
      <c r="M1991" s="49"/>
      <c r="T1991" s="48"/>
    </row>
    <row r="1992" spans="2:20" ht="23.4" x14ac:dyDescent="0.25">
      <c r="B1992" s="47"/>
      <c r="F1992" s="46"/>
      <c r="M1992" s="49"/>
      <c r="T1992" s="48"/>
    </row>
    <row r="1993" spans="2:20" ht="23.4" x14ac:dyDescent="0.25">
      <c r="B1993" s="47"/>
      <c r="F1993" s="46"/>
      <c r="M1993" s="49"/>
      <c r="T1993" s="48"/>
    </row>
    <row r="1994" spans="2:20" ht="23.4" x14ac:dyDescent="0.25">
      <c r="B1994" s="47"/>
      <c r="F1994" s="46"/>
      <c r="M1994" s="49"/>
      <c r="T1994" s="48"/>
    </row>
    <row r="1995" spans="2:20" ht="23.4" x14ac:dyDescent="0.25">
      <c r="B1995" s="47"/>
      <c r="F1995" s="46"/>
      <c r="M1995" s="49"/>
      <c r="T1995" s="48"/>
    </row>
    <row r="1996" spans="2:20" ht="26.4" x14ac:dyDescent="0.25">
      <c r="B1996" s="47"/>
      <c r="F1996" s="46"/>
      <c r="M1996" s="49"/>
      <c r="T1996" s="45"/>
    </row>
    <row r="1997" spans="2:20" ht="23.4" x14ac:dyDescent="0.25">
      <c r="B1997" s="47"/>
      <c r="F1997" s="46"/>
      <c r="M1997" s="49"/>
      <c r="T1997" s="48"/>
    </row>
    <row r="1998" spans="2:20" ht="23.4" x14ac:dyDescent="0.25">
      <c r="B1998" s="47"/>
      <c r="F1998" s="46"/>
      <c r="M1998" s="49"/>
      <c r="T1998" s="48"/>
    </row>
    <row r="1999" spans="2:20" ht="23.4" x14ac:dyDescent="0.25">
      <c r="B1999" s="47"/>
      <c r="F1999" s="46"/>
      <c r="M1999" s="49"/>
      <c r="T1999" s="48"/>
    </row>
    <row r="2000" spans="2:20" ht="23.4" x14ac:dyDescent="0.25">
      <c r="B2000" s="47"/>
      <c r="F2000" s="46"/>
      <c r="M2000" s="49"/>
      <c r="T2000" s="48"/>
    </row>
    <row r="2001" spans="2:20" ht="23.4" x14ac:dyDescent="0.25">
      <c r="B2001" s="47"/>
      <c r="F2001" s="46"/>
      <c r="M2001" s="49"/>
      <c r="T2001" s="48"/>
    </row>
    <row r="2002" spans="2:20" ht="23.4" x14ac:dyDescent="0.25">
      <c r="B2002" s="47"/>
      <c r="F2002" s="46"/>
      <c r="M2002" s="49"/>
      <c r="T2002" s="48"/>
    </row>
    <row r="2003" spans="2:20" ht="26.4" x14ac:dyDescent="0.25">
      <c r="B2003" s="47"/>
      <c r="F2003" s="46"/>
      <c r="M2003" s="49"/>
      <c r="T2003" s="45"/>
    </row>
    <row r="2004" spans="2:20" ht="27" thickBot="1" x14ac:dyDescent="0.3">
      <c r="B2004" s="47"/>
      <c r="F2004" s="46"/>
      <c r="M2004" s="49"/>
      <c r="T2004" s="92"/>
    </row>
    <row r="2005" spans="2:20" ht="27" thickTop="1" x14ac:dyDescent="0.25">
      <c r="B2005" s="47"/>
      <c r="F2005" s="46"/>
      <c r="M2005" s="49"/>
      <c r="T2005" s="45"/>
    </row>
    <row r="2006" spans="2:20" ht="26.4" x14ac:dyDescent="0.25">
      <c r="B2006" s="47"/>
      <c r="F2006" s="46"/>
      <c r="M2006" s="49"/>
      <c r="T2006" s="45"/>
    </row>
    <row r="2007" spans="2:20" ht="26.4" x14ac:dyDescent="0.25">
      <c r="B2007" s="47"/>
      <c r="F2007" s="46"/>
      <c r="M2007" s="49"/>
      <c r="T2007" s="45"/>
    </row>
    <row r="2008" spans="2:20" ht="26.4" x14ac:dyDescent="0.25">
      <c r="B2008" s="47"/>
      <c r="F2008" s="46"/>
      <c r="M2008" s="49"/>
      <c r="T2008" s="45"/>
    </row>
    <row r="2009" spans="2:20" ht="26.4" x14ac:dyDescent="0.25">
      <c r="B2009" s="47"/>
      <c r="F2009" s="46"/>
      <c r="M2009" s="49"/>
      <c r="T2009" s="45"/>
    </row>
    <row r="2010" spans="2:20" ht="26.4" x14ac:dyDescent="0.25">
      <c r="B2010" s="47"/>
      <c r="F2010" s="46"/>
      <c r="M2010" s="49"/>
      <c r="T2010" s="45"/>
    </row>
    <row r="2011" spans="2:20" ht="26.4" x14ac:dyDescent="0.25">
      <c r="B2011" s="47"/>
      <c r="F2011" s="46"/>
      <c r="M2011" s="49"/>
      <c r="T2011" s="45"/>
    </row>
    <row r="2012" spans="2:20" ht="26.4" x14ac:dyDescent="0.25">
      <c r="B2012" s="47"/>
      <c r="F2012" s="46"/>
      <c r="M2012" s="49"/>
      <c r="T2012" s="45"/>
    </row>
    <row r="2013" spans="2:20" ht="26.4" x14ac:dyDescent="0.25">
      <c r="B2013" s="47"/>
      <c r="F2013" s="46"/>
      <c r="M2013" s="49"/>
      <c r="T2013" s="45"/>
    </row>
    <row r="2014" spans="2:20" ht="26.4" x14ac:dyDescent="0.25">
      <c r="B2014" s="47"/>
      <c r="F2014" s="46"/>
      <c r="M2014" s="49"/>
      <c r="T2014" s="45"/>
    </row>
    <row r="2015" spans="2:20" ht="26.4" x14ac:dyDescent="0.25">
      <c r="B2015" s="47"/>
      <c r="F2015" s="46"/>
      <c r="M2015" s="49"/>
      <c r="T2015" s="45"/>
    </row>
    <row r="2016" spans="2:20" ht="26.4" x14ac:dyDescent="0.25">
      <c r="B2016" s="47"/>
      <c r="F2016" s="46"/>
      <c r="M2016" s="49"/>
      <c r="T2016" s="45"/>
    </row>
    <row r="2017" spans="2:20" ht="26.4" x14ac:dyDescent="0.25">
      <c r="B2017" s="47"/>
      <c r="F2017" s="46"/>
      <c r="M2017" s="49"/>
      <c r="T2017" s="45"/>
    </row>
    <row r="2018" spans="2:20" ht="26.4" x14ac:dyDescent="0.25">
      <c r="B2018" s="47"/>
      <c r="F2018" s="46"/>
      <c r="M2018" s="49"/>
      <c r="T2018" s="45"/>
    </row>
    <row r="2019" spans="2:20" ht="26.4" x14ac:dyDescent="0.25">
      <c r="B2019" s="47"/>
      <c r="F2019" s="46"/>
      <c r="M2019" s="49"/>
      <c r="T2019" s="45"/>
    </row>
    <row r="2020" spans="2:20" ht="26.4" x14ac:dyDescent="0.25">
      <c r="B2020" s="47"/>
      <c r="F2020" s="46"/>
      <c r="M2020" s="49"/>
      <c r="T2020" s="45"/>
    </row>
    <row r="2021" spans="2:20" ht="26.4" x14ac:dyDescent="0.25">
      <c r="B2021" s="47"/>
      <c r="F2021" s="46"/>
      <c r="M2021" s="49"/>
      <c r="T2021" s="45"/>
    </row>
    <row r="2022" spans="2:20" ht="26.4" x14ac:dyDescent="0.25">
      <c r="B2022" s="47"/>
      <c r="F2022" s="46"/>
      <c r="M2022" s="49"/>
      <c r="T2022" s="45"/>
    </row>
    <row r="2023" spans="2:20" ht="26.4" x14ac:dyDescent="0.25">
      <c r="B2023" s="47"/>
      <c r="F2023" s="46"/>
      <c r="M2023" s="49"/>
      <c r="T2023" s="45"/>
    </row>
    <row r="2024" spans="2:20" ht="26.4" x14ac:dyDescent="0.25">
      <c r="B2024" s="47"/>
      <c r="F2024" s="46"/>
      <c r="M2024" s="49"/>
      <c r="T2024" s="45"/>
    </row>
    <row r="2025" spans="2:20" ht="26.4" x14ac:dyDescent="0.25">
      <c r="B2025" s="47"/>
      <c r="F2025" s="46"/>
      <c r="M2025" s="49"/>
      <c r="T2025" s="45"/>
    </row>
    <row r="2026" spans="2:20" ht="26.4" x14ac:dyDescent="0.25">
      <c r="B2026" s="47"/>
      <c r="F2026" s="46"/>
      <c r="M2026" s="49"/>
      <c r="T2026" s="45"/>
    </row>
    <row r="2027" spans="2:20" ht="26.4" x14ac:dyDescent="0.25">
      <c r="B2027" s="47"/>
      <c r="F2027" s="46"/>
      <c r="M2027" s="49"/>
      <c r="T2027" s="45"/>
    </row>
    <row r="2028" spans="2:20" ht="26.4" x14ac:dyDescent="0.25">
      <c r="B2028" s="47"/>
      <c r="F2028" s="46"/>
      <c r="M2028" s="49"/>
      <c r="T2028" s="45"/>
    </row>
    <row r="2029" spans="2:20" ht="26.4" x14ac:dyDescent="0.25">
      <c r="B2029" s="47"/>
      <c r="F2029" s="46"/>
      <c r="M2029" s="49"/>
      <c r="T2029" s="45"/>
    </row>
    <row r="2030" spans="2:20" ht="26.4" x14ac:dyDescent="0.25">
      <c r="B2030" s="47"/>
      <c r="F2030" s="46"/>
      <c r="M2030" s="49"/>
      <c r="T2030" s="45"/>
    </row>
    <row r="2031" spans="2:20" ht="26.4" x14ac:dyDescent="0.25">
      <c r="B2031" s="47"/>
      <c r="F2031" s="46"/>
      <c r="M2031" s="49"/>
      <c r="T2031" s="45"/>
    </row>
    <row r="2032" spans="2:20" ht="26.4" x14ac:dyDescent="0.25">
      <c r="B2032" s="47"/>
      <c r="F2032" s="46"/>
      <c r="M2032" s="49"/>
      <c r="T2032" s="45"/>
    </row>
    <row r="2033" spans="2:20" ht="26.4" x14ac:dyDescent="0.25">
      <c r="B2033" s="47"/>
      <c r="F2033" s="46"/>
      <c r="M2033" s="49"/>
      <c r="T2033" s="45"/>
    </row>
    <row r="2034" spans="2:20" ht="26.4" x14ac:dyDescent="0.25">
      <c r="B2034" s="47"/>
      <c r="F2034" s="46"/>
      <c r="M2034" s="49"/>
      <c r="T2034" s="45"/>
    </row>
    <row r="2035" spans="2:20" ht="26.4" x14ac:dyDescent="0.25">
      <c r="B2035" s="47"/>
      <c r="F2035" s="46"/>
      <c r="M2035" s="49"/>
      <c r="T2035" s="45"/>
    </row>
    <row r="2036" spans="2:20" ht="26.4" x14ac:dyDescent="0.25">
      <c r="B2036" s="47"/>
      <c r="F2036" s="46"/>
      <c r="M2036" s="49"/>
      <c r="T2036" s="45"/>
    </row>
    <row r="2037" spans="2:20" ht="26.4" x14ac:dyDescent="0.25">
      <c r="B2037" s="47"/>
      <c r="F2037" s="46"/>
      <c r="M2037" s="49"/>
      <c r="T2037" s="45"/>
    </row>
    <row r="2038" spans="2:20" ht="26.4" x14ac:dyDescent="0.25">
      <c r="B2038" s="47"/>
      <c r="F2038" s="46"/>
      <c r="M2038" s="49"/>
      <c r="T2038" s="45"/>
    </row>
    <row r="2039" spans="2:20" ht="26.4" x14ac:dyDescent="0.25">
      <c r="B2039" s="47"/>
      <c r="F2039" s="46"/>
      <c r="M2039" s="49"/>
      <c r="T2039" s="45"/>
    </row>
    <row r="2040" spans="2:20" ht="26.4" x14ac:dyDescent="0.25">
      <c r="B2040" s="47"/>
      <c r="F2040" s="46"/>
      <c r="M2040" s="49"/>
      <c r="T2040" s="45"/>
    </row>
    <row r="2041" spans="2:20" ht="26.4" x14ac:dyDescent="0.25">
      <c r="B2041" s="47"/>
      <c r="F2041" s="46"/>
      <c r="M2041" s="49"/>
      <c r="T2041" s="45"/>
    </row>
    <row r="2042" spans="2:20" ht="26.4" x14ac:dyDescent="0.25">
      <c r="B2042" s="47"/>
      <c r="F2042" s="46"/>
      <c r="M2042" s="49"/>
      <c r="T2042" s="45"/>
    </row>
    <row r="2043" spans="2:20" ht="26.4" x14ac:dyDescent="0.25">
      <c r="B2043" s="47"/>
      <c r="F2043" s="46"/>
      <c r="M2043" s="49"/>
      <c r="T2043" s="45"/>
    </row>
    <row r="2044" spans="2:20" ht="26.4" x14ac:dyDescent="0.25">
      <c r="B2044" s="47"/>
      <c r="F2044" s="46"/>
      <c r="M2044" s="49"/>
      <c r="T2044" s="45"/>
    </row>
    <row r="2045" spans="2:20" ht="26.4" x14ac:dyDescent="0.25">
      <c r="B2045" s="47"/>
      <c r="F2045" s="46"/>
      <c r="M2045" s="49"/>
      <c r="T2045" s="45"/>
    </row>
    <row r="2046" spans="2:20" ht="26.4" x14ac:dyDescent="0.25">
      <c r="B2046" s="47"/>
      <c r="F2046" s="46"/>
      <c r="M2046" s="49"/>
      <c r="T2046" s="45"/>
    </row>
    <row r="2047" spans="2:20" ht="26.4" x14ac:dyDescent="0.25">
      <c r="B2047" s="47"/>
      <c r="F2047" s="46"/>
      <c r="M2047" s="49"/>
      <c r="T2047" s="45"/>
    </row>
    <row r="2048" spans="2:20" ht="26.4" x14ac:dyDescent="0.25">
      <c r="B2048" s="47"/>
      <c r="F2048" s="46"/>
      <c r="M2048" s="49"/>
      <c r="T2048" s="45"/>
    </row>
    <row r="2049" spans="2:20" ht="26.4" x14ac:dyDescent="0.25">
      <c r="B2049" s="47"/>
      <c r="F2049" s="46"/>
      <c r="M2049" s="49"/>
      <c r="T2049" s="45"/>
    </row>
    <row r="2050" spans="2:20" ht="26.4" x14ac:dyDescent="0.25">
      <c r="B2050" s="47"/>
      <c r="F2050" s="46"/>
      <c r="M2050" s="49"/>
      <c r="T2050" s="45"/>
    </row>
    <row r="2051" spans="2:20" ht="26.4" x14ac:dyDescent="0.25">
      <c r="B2051" s="47"/>
      <c r="F2051" s="46"/>
      <c r="M2051" s="49"/>
      <c r="T2051" s="45"/>
    </row>
    <row r="2052" spans="2:20" ht="26.4" x14ac:dyDescent="0.25">
      <c r="B2052" s="47"/>
      <c r="F2052" s="46"/>
      <c r="M2052" s="49"/>
      <c r="T2052" s="45"/>
    </row>
    <row r="2053" spans="2:20" ht="26.4" x14ac:dyDescent="0.25">
      <c r="B2053" s="47"/>
      <c r="F2053" s="46"/>
      <c r="M2053" s="49"/>
      <c r="T2053" s="45"/>
    </row>
    <row r="2054" spans="2:20" ht="26.4" x14ac:dyDescent="0.25">
      <c r="B2054" s="47"/>
      <c r="F2054" s="46"/>
      <c r="M2054" s="49"/>
      <c r="T2054" s="45"/>
    </row>
    <row r="2055" spans="2:20" ht="26.4" x14ac:dyDescent="0.25">
      <c r="B2055" s="47"/>
      <c r="F2055" s="46"/>
      <c r="M2055" s="49"/>
      <c r="T2055" s="45"/>
    </row>
    <row r="2056" spans="2:20" ht="26.4" x14ac:dyDescent="0.25">
      <c r="B2056" s="47"/>
      <c r="F2056" s="46"/>
      <c r="M2056" s="49"/>
      <c r="T2056" s="45"/>
    </row>
    <row r="2057" spans="2:20" ht="26.4" x14ac:dyDescent="0.25">
      <c r="B2057" s="47"/>
      <c r="F2057" s="46"/>
      <c r="M2057" s="49"/>
      <c r="T2057" s="45"/>
    </row>
    <row r="2058" spans="2:20" ht="26.4" x14ac:dyDescent="0.25">
      <c r="B2058" s="47"/>
      <c r="F2058" s="46"/>
      <c r="M2058" s="49"/>
      <c r="T2058" s="45"/>
    </row>
    <row r="2059" spans="2:20" ht="26.4" x14ac:dyDescent="0.25">
      <c r="B2059" s="47"/>
      <c r="F2059" s="46"/>
      <c r="M2059" s="49"/>
      <c r="T2059" s="45"/>
    </row>
    <row r="2060" spans="2:20" ht="26.4" x14ac:dyDescent="0.25">
      <c r="B2060" s="47"/>
      <c r="F2060" s="46"/>
      <c r="M2060" s="49"/>
      <c r="T2060" s="45"/>
    </row>
    <row r="2061" spans="2:20" ht="26.4" x14ac:dyDescent="0.25">
      <c r="B2061" s="47"/>
      <c r="F2061" s="46"/>
      <c r="M2061" s="49"/>
      <c r="T2061" s="45"/>
    </row>
    <row r="2062" spans="2:20" ht="26.4" x14ac:dyDescent="0.25">
      <c r="B2062" s="47"/>
      <c r="F2062" s="46"/>
      <c r="M2062" s="49"/>
      <c r="T2062" s="45"/>
    </row>
    <row r="2063" spans="2:20" ht="26.4" x14ac:dyDescent="0.25">
      <c r="B2063" s="47"/>
      <c r="F2063" s="46"/>
      <c r="M2063" s="49"/>
      <c r="T2063" s="45"/>
    </row>
    <row r="2064" spans="2:20" ht="26.4" x14ac:dyDescent="0.25">
      <c r="B2064" s="47"/>
      <c r="F2064" s="46"/>
      <c r="M2064" s="49"/>
      <c r="T2064" s="45"/>
    </row>
    <row r="2065" spans="2:20" ht="26.4" x14ac:dyDescent="0.25">
      <c r="B2065" s="47"/>
      <c r="F2065" s="46"/>
      <c r="M2065" s="49"/>
      <c r="T2065" s="45"/>
    </row>
    <row r="2066" spans="2:20" ht="26.4" x14ac:dyDescent="0.25">
      <c r="B2066" s="47"/>
      <c r="F2066" s="46"/>
      <c r="M2066" s="49"/>
      <c r="T2066" s="45"/>
    </row>
    <row r="2067" spans="2:20" ht="26.4" x14ac:dyDescent="0.25">
      <c r="B2067" s="47"/>
      <c r="F2067" s="46"/>
      <c r="M2067" s="49"/>
      <c r="T2067" s="45"/>
    </row>
    <row r="2068" spans="2:20" ht="26.4" x14ac:dyDescent="0.25">
      <c r="B2068" s="47"/>
      <c r="F2068" s="46"/>
      <c r="M2068" s="49"/>
      <c r="T2068" s="45"/>
    </row>
    <row r="2069" spans="2:20" ht="26.4" x14ac:dyDescent="0.25">
      <c r="B2069" s="47"/>
      <c r="F2069" s="46"/>
      <c r="M2069" s="49"/>
      <c r="T2069" s="45"/>
    </row>
    <row r="2070" spans="2:20" ht="26.4" x14ac:dyDescent="0.25">
      <c r="B2070" s="47"/>
      <c r="F2070" s="46"/>
      <c r="M2070" s="49"/>
      <c r="T2070" s="45"/>
    </row>
    <row r="2071" spans="2:20" ht="26.4" x14ac:dyDescent="0.25">
      <c r="B2071" s="47"/>
      <c r="F2071" s="46"/>
      <c r="M2071" s="49"/>
      <c r="T2071" s="45"/>
    </row>
    <row r="2072" spans="2:20" ht="26.4" x14ac:dyDescent="0.25">
      <c r="B2072" s="47"/>
      <c r="F2072" s="46"/>
      <c r="M2072" s="49"/>
      <c r="T2072" s="45"/>
    </row>
    <row r="2073" spans="2:20" ht="26.4" x14ac:dyDescent="0.25">
      <c r="B2073" s="47"/>
      <c r="F2073" s="46"/>
      <c r="M2073" s="49"/>
      <c r="T2073" s="45"/>
    </row>
    <row r="2074" spans="2:20" ht="26.4" x14ac:dyDescent="0.25">
      <c r="B2074" s="47"/>
      <c r="F2074" s="46"/>
      <c r="M2074" s="49"/>
      <c r="T2074" s="45"/>
    </row>
    <row r="2075" spans="2:20" ht="26.4" x14ac:dyDescent="0.25">
      <c r="B2075" s="47"/>
      <c r="F2075" s="46"/>
      <c r="M2075" s="49"/>
      <c r="T2075" s="45"/>
    </row>
    <row r="2076" spans="2:20" ht="26.4" x14ac:dyDescent="0.25">
      <c r="B2076" s="47"/>
      <c r="F2076" s="46"/>
      <c r="M2076" s="49"/>
      <c r="T2076" s="45"/>
    </row>
    <row r="2077" spans="2:20" ht="26.4" x14ac:dyDescent="0.25">
      <c r="B2077" s="47"/>
      <c r="F2077" s="46"/>
      <c r="M2077" s="49"/>
      <c r="T2077" s="45"/>
    </row>
    <row r="2078" spans="2:20" ht="26.4" x14ac:dyDescent="0.25">
      <c r="B2078" s="47"/>
      <c r="F2078" s="46"/>
      <c r="M2078" s="49"/>
      <c r="T2078" s="45"/>
    </row>
    <row r="2079" spans="2:20" ht="26.4" x14ac:dyDescent="0.25">
      <c r="B2079" s="47"/>
      <c r="F2079" s="46"/>
      <c r="M2079" s="49"/>
      <c r="T2079" s="45"/>
    </row>
    <row r="2080" spans="2:20" ht="26.4" x14ac:dyDescent="0.25">
      <c r="B2080" s="47"/>
      <c r="F2080" s="46"/>
      <c r="M2080" s="49"/>
      <c r="T2080" s="45"/>
    </row>
    <row r="2081" spans="2:20" ht="26.4" x14ac:dyDescent="0.25">
      <c r="B2081" s="47"/>
      <c r="F2081" s="46"/>
      <c r="M2081" s="49"/>
      <c r="T2081" s="45"/>
    </row>
    <row r="2082" spans="2:20" ht="26.4" x14ac:dyDescent="0.25">
      <c r="B2082" s="47"/>
      <c r="F2082" s="46"/>
      <c r="M2082" s="49"/>
      <c r="T2082" s="45"/>
    </row>
    <row r="2083" spans="2:20" ht="26.4" x14ac:dyDescent="0.25">
      <c r="B2083" s="47"/>
      <c r="F2083" s="46"/>
      <c r="M2083" s="49"/>
      <c r="T2083" s="45"/>
    </row>
    <row r="2084" spans="2:20" ht="26.4" x14ac:dyDescent="0.25">
      <c r="B2084" s="47"/>
      <c r="F2084" s="46"/>
      <c r="M2084" s="49"/>
      <c r="T2084" s="45"/>
    </row>
    <row r="2085" spans="2:20" ht="26.4" x14ac:dyDescent="0.25">
      <c r="B2085" s="47"/>
      <c r="F2085" s="46"/>
      <c r="M2085" s="49"/>
      <c r="T2085" s="45"/>
    </row>
    <row r="2086" spans="2:20" ht="26.4" x14ac:dyDescent="0.25">
      <c r="B2086" s="47"/>
      <c r="F2086" s="46"/>
      <c r="M2086" s="49"/>
      <c r="T2086" s="45"/>
    </row>
    <row r="2087" spans="2:20" ht="26.4" x14ac:dyDescent="0.25">
      <c r="B2087" s="47"/>
      <c r="F2087" s="46"/>
      <c r="M2087" s="49"/>
      <c r="T2087" s="45"/>
    </row>
    <row r="2088" spans="2:20" ht="26.4" x14ac:dyDescent="0.25">
      <c r="B2088" s="47"/>
      <c r="F2088" s="46"/>
      <c r="M2088" s="49"/>
      <c r="T2088" s="45"/>
    </row>
    <row r="2089" spans="2:20" ht="26.4" x14ac:dyDescent="0.25">
      <c r="B2089" s="47"/>
      <c r="F2089" s="46"/>
      <c r="M2089" s="49"/>
      <c r="T2089" s="45"/>
    </row>
    <row r="2090" spans="2:20" ht="26.4" x14ac:dyDescent="0.25">
      <c r="B2090" s="47"/>
      <c r="F2090" s="46"/>
      <c r="M2090" s="49"/>
      <c r="T2090" s="45"/>
    </row>
    <row r="2091" spans="2:20" ht="26.4" x14ac:dyDescent="0.25">
      <c r="B2091" s="47"/>
      <c r="F2091" s="46"/>
      <c r="M2091" s="49"/>
      <c r="T2091" s="45"/>
    </row>
    <row r="2092" spans="2:20" ht="26.4" x14ac:dyDescent="0.25">
      <c r="B2092" s="47"/>
      <c r="F2092" s="46"/>
      <c r="M2092" s="49"/>
      <c r="T2092" s="45"/>
    </row>
    <row r="2093" spans="2:20" ht="26.4" x14ac:dyDescent="0.25">
      <c r="B2093" s="47"/>
      <c r="F2093" s="46"/>
      <c r="M2093" s="49"/>
      <c r="T2093" s="45"/>
    </row>
    <row r="2094" spans="2:20" ht="26.4" x14ac:dyDescent="0.25">
      <c r="B2094" s="47"/>
      <c r="F2094" s="46"/>
      <c r="M2094" s="49"/>
      <c r="T2094" s="45"/>
    </row>
    <row r="2095" spans="2:20" ht="26.4" x14ac:dyDescent="0.25">
      <c r="B2095" s="47"/>
      <c r="F2095" s="46"/>
      <c r="M2095" s="49"/>
      <c r="T2095" s="45"/>
    </row>
    <row r="2096" spans="2:20" ht="26.4" x14ac:dyDescent="0.25">
      <c r="B2096" s="47"/>
      <c r="F2096" s="46"/>
      <c r="M2096" s="49"/>
      <c r="T2096" s="45"/>
    </row>
    <row r="2097" spans="2:20" ht="26.4" x14ac:dyDescent="0.25">
      <c r="B2097" s="47"/>
      <c r="F2097" s="46"/>
      <c r="M2097" s="49"/>
      <c r="T2097" s="45"/>
    </row>
    <row r="2098" spans="2:20" ht="26.4" x14ac:dyDescent="0.25">
      <c r="B2098" s="47"/>
      <c r="F2098" s="46"/>
      <c r="M2098" s="49"/>
      <c r="T2098" s="45"/>
    </row>
    <row r="2099" spans="2:20" ht="26.4" x14ac:dyDescent="0.25">
      <c r="B2099" s="47"/>
      <c r="F2099" s="46"/>
      <c r="M2099" s="49"/>
      <c r="T2099" s="45"/>
    </row>
    <row r="2100" spans="2:20" ht="26.4" x14ac:dyDescent="0.25">
      <c r="B2100" s="47"/>
      <c r="F2100" s="46"/>
      <c r="M2100" s="49"/>
      <c r="T2100" s="45"/>
    </row>
    <row r="2101" spans="2:20" ht="26.4" x14ac:dyDescent="0.25">
      <c r="B2101" s="47"/>
      <c r="F2101" s="46"/>
      <c r="M2101" s="49"/>
      <c r="T2101" s="45"/>
    </row>
    <row r="2102" spans="2:20" ht="26.4" x14ac:dyDescent="0.25">
      <c r="B2102" s="47"/>
      <c r="F2102" s="46"/>
      <c r="M2102" s="49"/>
      <c r="T2102" s="45"/>
    </row>
    <row r="2103" spans="2:20" ht="26.4" x14ac:dyDescent="0.25">
      <c r="B2103" s="47"/>
      <c r="F2103" s="46"/>
      <c r="M2103" s="49"/>
      <c r="T2103" s="45"/>
    </row>
    <row r="2104" spans="2:20" ht="26.4" x14ac:dyDescent="0.25">
      <c r="B2104" s="47"/>
      <c r="F2104" s="46"/>
      <c r="M2104" s="49"/>
      <c r="T2104" s="45"/>
    </row>
    <row r="2105" spans="2:20" ht="26.4" x14ac:dyDescent="0.25">
      <c r="B2105" s="47"/>
      <c r="F2105" s="46"/>
      <c r="M2105" s="49"/>
      <c r="T2105" s="45"/>
    </row>
    <row r="2106" spans="2:20" ht="26.4" x14ac:dyDescent="0.25">
      <c r="B2106" s="47"/>
      <c r="F2106" s="46"/>
      <c r="M2106" s="49"/>
      <c r="T2106" s="45"/>
    </row>
    <row r="2107" spans="2:20" ht="26.4" x14ac:dyDescent="0.25">
      <c r="B2107" s="47"/>
      <c r="F2107" s="46"/>
      <c r="M2107" s="49"/>
      <c r="T2107" s="45"/>
    </row>
    <row r="2108" spans="2:20" ht="26.4" x14ac:dyDescent="0.25">
      <c r="B2108" s="47"/>
      <c r="F2108" s="46"/>
      <c r="M2108" s="49"/>
      <c r="T2108" s="45"/>
    </row>
    <row r="2109" spans="2:20" ht="26.4" x14ac:dyDescent="0.25">
      <c r="B2109" s="47"/>
      <c r="F2109" s="46"/>
      <c r="M2109" s="49"/>
      <c r="T2109" s="45"/>
    </row>
    <row r="2110" spans="2:20" ht="26.4" x14ac:dyDescent="0.25">
      <c r="B2110" s="47"/>
      <c r="F2110" s="46"/>
      <c r="M2110" s="49"/>
      <c r="T2110" s="45"/>
    </row>
    <row r="2111" spans="2:20" ht="26.4" x14ac:dyDescent="0.25">
      <c r="B2111" s="47"/>
      <c r="F2111" s="46"/>
      <c r="M2111" s="49"/>
      <c r="T2111" s="45"/>
    </row>
    <row r="2112" spans="2:20" ht="26.4" x14ac:dyDescent="0.25">
      <c r="B2112" s="47"/>
      <c r="F2112" s="46"/>
      <c r="M2112" s="49"/>
      <c r="T2112" s="45"/>
    </row>
    <row r="2113" spans="2:20" ht="26.4" x14ac:dyDescent="0.25">
      <c r="B2113" s="47"/>
      <c r="F2113" s="46"/>
      <c r="M2113" s="49"/>
      <c r="T2113" s="45"/>
    </row>
    <row r="2114" spans="2:20" ht="26.4" x14ac:dyDescent="0.25">
      <c r="B2114" s="47"/>
      <c r="F2114" s="46"/>
      <c r="M2114" s="49"/>
      <c r="T2114" s="45"/>
    </row>
    <row r="2115" spans="2:20" ht="26.4" x14ac:dyDescent="0.25">
      <c r="B2115" s="47"/>
      <c r="F2115" s="46"/>
      <c r="M2115" s="49"/>
      <c r="T2115" s="45"/>
    </row>
    <row r="2116" spans="2:20" ht="26.4" x14ac:dyDescent="0.25">
      <c r="B2116" s="47"/>
      <c r="F2116" s="46"/>
      <c r="M2116" s="49"/>
      <c r="T2116" s="45"/>
    </row>
    <row r="2117" spans="2:20" ht="26.4" x14ac:dyDescent="0.25">
      <c r="B2117" s="47"/>
      <c r="F2117" s="46"/>
      <c r="M2117" s="49"/>
      <c r="T2117" s="45"/>
    </row>
    <row r="2118" spans="2:20" ht="26.4" x14ac:dyDescent="0.25">
      <c r="B2118" s="47"/>
      <c r="F2118" s="46"/>
      <c r="M2118" s="49"/>
      <c r="T2118" s="45"/>
    </row>
    <row r="2119" spans="2:20" ht="26.4" x14ac:dyDescent="0.25">
      <c r="B2119" s="47"/>
      <c r="F2119" s="46"/>
      <c r="M2119" s="49"/>
      <c r="T2119" s="45"/>
    </row>
    <row r="2120" spans="2:20" ht="26.4" x14ac:dyDescent="0.25">
      <c r="B2120" s="47"/>
      <c r="F2120" s="46"/>
      <c r="M2120" s="49"/>
      <c r="T2120" s="45"/>
    </row>
    <row r="2121" spans="2:20" ht="26.4" x14ac:dyDescent="0.25">
      <c r="B2121" s="47"/>
      <c r="F2121" s="46"/>
      <c r="M2121" s="49"/>
      <c r="T2121" s="45"/>
    </row>
    <row r="2122" spans="2:20" ht="26.4" x14ac:dyDescent="0.25">
      <c r="B2122" s="47"/>
      <c r="F2122" s="46"/>
      <c r="M2122" s="49"/>
      <c r="T2122" s="45"/>
    </row>
    <row r="2123" spans="2:20" ht="26.4" x14ac:dyDescent="0.25">
      <c r="B2123" s="47"/>
      <c r="F2123" s="46"/>
      <c r="M2123" s="49"/>
      <c r="T2123" s="45"/>
    </row>
    <row r="2124" spans="2:20" ht="26.4" x14ac:dyDescent="0.25">
      <c r="B2124" s="47"/>
      <c r="F2124" s="46"/>
      <c r="M2124" s="49"/>
      <c r="T2124" s="45"/>
    </row>
    <row r="2125" spans="2:20" ht="26.4" x14ac:dyDescent="0.25">
      <c r="B2125" s="47"/>
      <c r="F2125" s="46"/>
      <c r="M2125" s="49"/>
      <c r="T2125" s="45"/>
    </row>
    <row r="2126" spans="2:20" ht="26.4" x14ac:dyDescent="0.25">
      <c r="B2126" s="47"/>
      <c r="F2126" s="46"/>
      <c r="M2126" s="49"/>
      <c r="T2126" s="45"/>
    </row>
    <row r="2127" spans="2:20" ht="26.4" x14ac:dyDescent="0.25">
      <c r="B2127" s="47"/>
      <c r="F2127" s="46"/>
      <c r="M2127" s="49"/>
      <c r="T2127" s="45"/>
    </row>
    <row r="2128" spans="2:20" ht="26.4" x14ac:dyDescent="0.25">
      <c r="B2128" s="47"/>
      <c r="F2128" s="46"/>
      <c r="M2128" s="49"/>
      <c r="T2128" s="45"/>
    </row>
    <row r="2129" spans="2:20" ht="26.4" x14ac:dyDescent="0.25">
      <c r="B2129" s="47"/>
      <c r="F2129" s="46"/>
      <c r="M2129" s="49"/>
      <c r="T2129" s="45"/>
    </row>
    <row r="2130" spans="2:20" ht="26.4" x14ac:dyDescent="0.25">
      <c r="B2130" s="47"/>
      <c r="F2130" s="46"/>
      <c r="M2130" s="49"/>
      <c r="T2130" s="45"/>
    </row>
    <row r="2131" spans="2:20" ht="26.4" x14ac:dyDescent="0.25">
      <c r="B2131" s="47"/>
      <c r="F2131" s="46"/>
      <c r="M2131" s="49"/>
      <c r="T2131" s="45"/>
    </row>
    <row r="2132" spans="2:20" ht="26.4" x14ac:dyDescent="0.25">
      <c r="B2132" s="47"/>
      <c r="F2132" s="46"/>
      <c r="M2132" s="49"/>
      <c r="T2132" s="45"/>
    </row>
    <row r="2133" spans="2:20" ht="26.4" x14ac:dyDescent="0.25">
      <c r="B2133" s="47"/>
      <c r="F2133" s="46"/>
      <c r="M2133" s="49"/>
      <c r="T2133" s="45"/>
    </row>
    <row r="2134" spans="2:20" ht="26.4" x14ac:dyDescent="0.25">
      <c r="B2134" s="47"/>
      <c r="F2134" s="46"/>
      <c r="M2134" s="49"/>
      <c r="T2134" s="45"/>
    </row>
    <row r="2135" spans="2:20" ht="26.4" x14ac:dyDescent="0.25">
      <c r="B2135" s="47"/>
      <c r="F2135" s="46"/>
      <c r="M2135" s="49"/>
      <c r="T2135" s="45"/>
    </row>
    <row r="2136" spans="2:20" ht="26.4" x14ac:dyDescent="0.25">
      <c r="B2136" s="47"/>
      <c r="F2136" s="46"/>
      <c r="M2136" s="49"/>
      <c r="T2136" s="45"/>
    </row>
    <row r="2137" spans="2:20" ht="26.4" x14ac:dyDescent="0.25">
      <c r="B2137" s="47"/>
      <c r="F2137" s="46"/>
      <c r="M2137" s="49"/>
      <c r="T2137" s="45"/>
    </row>
    <row r="2138" spans="2:20" ht="26.4" x14ac:dyDescent="0.25">
      <c r="B2138" s="47"/>
      <c r="F2138" s="46"/>
      <c r="M2138" s="49"/>
      <c r="T2138" s="45"/>
    </row>
    <row r="2139" spans="2:20" ht="26.4" x14ac:dyDescent="0.25">
      <c r="B2139" s="47"/>
      <c r="F2139" s="46"/>
      <c r="M2139" s="49"/>
      <c r="T2139" s="45"/>
    </row>
    <row r="2140" spans="2:20" ht="26.4" x14ac:dyDescent="0.25">
      <c r="B2140" s="47"/>
      <c r="F2140" s="46"/>
      <c r="M2140" s="49"/>
      <c r="T2140" s="45"/>
    </row>
    <row r="2141" spans="2:20" ht="26.4" x14ac:dyDescent="0.25">
      <c r="B2141" s="47"/>
      <c r="F2141" s="46"/>
      <c r="M2141" s="49"/>
      <c r="T2141" s="45"/>
    </row>
    <row r="2142" spans="2:20" ht="26.4" x14ac:dyDescent="0.25">
      <c r="B2142" s="47"/>
      <c r="F2142" s="46"/>
      <c r="M2142" s="49"/>
      <c r="T2142" s="45"/>
    </row>
    <row r="2143" spans="2:20" ht="26.4" x14ac:dyDescent="0.25">
      <c r="B2143" s="47"/>
      <c r="F2143" s="46"/>
      <c r="M2143" s="49"/>
      <c r="T2143" s="45"/>
    </row>
    <row r="2144" spans="2:20" ht="26.4" x14ac:dyDescent="0.25">
      <c r="B2144" s="47"/>
      <c r="F2144" s="46"/>
      <c r="M2144" s="49"/>
      <c r="T2144" s="45"/>
    </row>
    <row r="2145" spans="2:20" ht="26.4" x14ac:dyDescent="0.25">
      <c r="B2145" s="47"/>
      <c r="F2145" s="46"/>
      <c r="M2145" s="49"/>
      <c r="T2145" s="45"/>
    </row>
    <row r="2146" spans="2:20" ht="26.4" x14ac:dyDescent="0.25">
      <c r="B2146" s="47"/>
      <c r="F2146" s="46"/>
      <c r="M2146" s="49"/>
      <c r="T2146" s="45"/>
    </row>
    <row r="2147" spans="2:20" ht="26.4" x14ac:dyDescent="0.25">
      <c r="B2147" s="47"/>
      <c r="F2147" s="46"/>
      <c r="M2147" s="49"/>
      <c r="T2147" s="45"/>
    </row>
    <row r="2148" spans="2:20" ht="26.4" x14ac:dyDescent="0.25">
      <c r="B2148" s="47"/>
      <c r="F2148" s="46"/>
      <c r="M2148" s="49"/>
      <c r="T2148" s="45"/>
    </row>
    <row r="2149" spans="2:20" ht="26.4" x14ac:dyDescent="0.25">
      <c r="B2149" s="47"/>
      <c r="F2149" s="46"/>
      <c r="M2149" s="49"/>
      <c r="T2149" s="45"/>
    </row>
    <row r="2150" spans="2:20" ht="26.4" x14ac:dyDescent="0.25">
      <c r="B2150" s="47"/>
      <c r="F2150" s="46"/>
      <c r="M2150" s="49"/>
      <c r="T2150" s="45"/>
    </row>
    <row r="2151" spans="2:20" ht="26.4" x14ac:dyDescent="0.25">
      <c r="B2151" s="47"/>
      <c r="F2151" s="46"/>
      <c r="M2151" s="49"/>
      <c r="T2151" s="45"/>
    </row>
    <row r="2152" spans="2:20" ht="26.4" x14ac:dyDescent="0.25">
      <c r="B2152" s="47"/>
      <c r="F2152" s="46"/>
      <c r="M2152" s="49"/>
      <c r="T2152" s="45"/>
    </row>
    <row r="2153" spans="2:20" ht="26.4" x14ac:dyDescent="0.25">
      <c r="B2153" s="47"/>
      <c r="F2153" s="46"/>
      <c r="M2153" s="49"/>
      <c r="T2153" s="45"/>
    </row>
    <row r="2154" spans="2:20" ht="26.4" x14ac:dyDescent="0.25">
      <c r="B2154" s="47"/>
      <c r="F2154" s="46"/>
      <c r="M2154" s="49"/>
      <c r="T2154" s="45"/>
    </row>
    <row r="2155" spans="2:20" ht="26.4" x14ac:dyDescent="0.25">
      <c r="B2155" s="47"/>
      <c r="F2155" s="46"/>
      <c r="M2155" s="49"/>
      <c r="T2155" s="45"/>
    </row>
    <row r="2156" spans="2:20" ht="26.4" x14ac:dyDescent="0.25">
      <c r="B2156" s="47"/>
      <c r="F2156" s="46"/>
      <c r="M2156" s="49"/>
      <c r="T2156" s="45"/>
    </row>
    <row r="2157" spans="2:20" ht="26.4" x14ac:dyDescent="0.25">
      <c r="B2157" s="47"/>
      <c r="F2157" s="46"/>
      <c r="M2157" s="49"/>
      <c r="T2157" s="45"/>
    </row>
    <row r="2158" spans="2:20" ht="26.4" x14ac:dyDescent="0.25">
      <c r="B2158" s="47"/>
      <c r="F2158" s="46"/>
      <c r="M2158" s="49"/>
      <c r="T2158" s="45"/>
    </row>
    <row r="2159" spans="2:20" ht="26.4" x14ac:dyDescent="0.25">
      <c r="B2159" s="47"/>
      <c r="F2159" s="46"/>
      <c r="M2159" s="49"/>
      <c r="T2159" s="45"/>
    </row>
    <row r="2160" spans="2:20" ht="26.4" x14ac:dyDescent="0.25">
      <c r="B2160" s="47"/>
      <c r="F2160" s="46"/>
      <c r="M2160" s="49"/>
      <c r="T2160" s="45"/>
    </row>
    <row r="2161" spans="2:20" ht="26.4" x14ac:dyDescent="0.25">
      <c r="B2161" s="47"/>
      <c r="F2161" s="46"/>
      <c r="M2161" s="49"/>
      <c r="T2161" s="45"/>
    </row>
    <row r="2162" spans="2:20" ht="26.4" x14ac:dyDescent="0.25">
      <c r="B2162" s="47"/>
      <c r="F2162" s="46"/>
      <c r="M2162" s="49"/>
      <c r="T2162" s="45"/>
    </row>
    <row r="2163" spans="2:20" ht="26.4" x14ac:dyDescent="0.25">
      <c r="B2163" s="47"/>
      <c r="F2163" s="46"/>
      <c r="M2163" s="49"/>
      <c r="T2163" s="45"/>
    </row>
    <row r="2164" spans="2:20" ht="26.4" x14ac:dyDescent="0.25">
      <c r="B2164" s="47"/>
      <c r="F2164" s="46"/>
      <c r="M2164" s="49"/>
      <c r="T2164" s="45"/>
    </row>
    <row r="2165" spans="2:20" ht="26.4" x14ac:dyDescent="0.25">
      <c r="B2165" s="47"/>
      <c r="F2165" s="46"/>
      <c r="M2165" s="49"/>
      <c r="T2165" s="45"/>
    </row>
    <row r="2166" spans="2:20" ht="26.4" x14ac:dyDescent="0.25">
      <c r="B2166" s="47"/>
      <c r="F2166" s="46"/>
      <c r="M2166" s="49"/>
      <c r="T2166" s="45"/>
    </row>
    <row r="2167" spans="2:20" ht="26.4" x14ac:dyDescent="0.25">
      <c r="B2167" s="47"/>
      <c r="F2167" s="46"/>
      <c r="M2167" s="49"/>
      <c r="T2167" s="45"/>
    </row>
    <row r="2168" spans="2:20" ht="26.4" x14ac:dyDescent="0.25">
      <c r="B2168" s="47"/>
      <c r="F2168" s="46"/>
      <c r="M2168" s="49"/>
      <c r="T2168" s="45"/>
    </row>
    <row r="2169" spans="2:20" ht="26.4" x14ac:dyDescent="0.25">
      <c r="B2169" s="47"/>
      <c r="F2169" s="46"/>
      <c r="M2169" s="49"/>
      <c r="T2169" s="45"/>
    </row>
    <row r="2170" spans="2:20" ht="26.4" x14ac:dyDescent="0.25">
      <c r="B2170" s="47"/>
      <c r="F2170" s="46"/>
      <c r="M2170" s="49"/>
      <c r="T2170" s="45"/>
    </row>
    <row r="2171" spans="2:20" ht="26.4" x14ac:dyDescent="0.25">
      <c r="B2171" s="47"/>
      <c r="F2171" s="46"/>
      <c r="M2171" s="49"/>
      <c r="T2171" s="45"/>
    </row>
    <row r="2172" spans="2:20" ht="26.4" x14ac:dyDescent="0.25">
      <c r="B2172" s="47"/>
      <c r="F2172" s="46"/>
      <c r="M2172" s="49"/>
      <c r="T2172" s="45"/>
    </row>
    <row r="2173" spans="2:20" ht="26.4" x14ac:dyDescent="0.25">
      <c r="B2173" s="47"/>
      <c r="F2173" s="46"/>
      <c r="M2173" s="49"/>
      <c r="T2173" s="45"/>
    </row>
    <row r="2174" spans="2:20" ht="26.4" x14ac:dyDescent="0.25">
      <c r="B2174" s="47"/>
      <c r="F2174" s="46"/>
      <c r="M2174" s="49"/>
      <c r="T2174" s="45"/>
    </row>
    <row r="2175" spans="2:20" ht="26.4" x14ac:dyDescent="0.25">
      <c r="B2175" s="47"/>
      <c r="F2175" s="46"/>
      <c r="M2175" s="49"/>
      <c r="T2175" s="45"/>
    </row>
    <row r="2176" spans="2:20" ht="26.4" x14ac:dyDescent="0.25">
      <c r="B2176" s="47"/>
      <c r="F2176" s="46"/>
      <c r="M2176" s="49"/>
      <c r="T2176" s="45"/>
    </row>
    <row r="2177" spans="2:20" ht="26.4" x14ac:dyDescent="0.25">
      <c r="B2177" s="47"/>
      <c r="F2177" s="46"/>
      <c r="M2177" s="49"/>
      <c r="T2177" s="45"/>
    </row>
    <row r="2178" spans="2:20" ht="26.4" x14ac:dyDescent="0.25">
      <c r="B2178" s="47"/>
      <c r="F2178" s="46"/>
      <c r="M2178" s="49"/>
      <c r="T2178" s="45"/>
    </row>
    <row r="2179" spans="2:20" ht="26.4" x14ac:dyDescent="0.25">
      <c r="B2179" s="47"/>
      <c r="F2179" s="46"/>
      <c r="M2179" s="49"/>
      <c r="T2179" s="45"/>
    </row>
    <row r="2180" spans="2:20" ht="26.4" x14ac:dyDescent="0.25">
      <c r="B2180" s="47"/>
      <c r="F2180" s="46"/>
      <c r="M2180" s="49"/>
      <c r="T2180" s="45"/>
    </row>
    <row r="2181" spans="2:20" ht="26.4" x14ac:dyDescent="0.25">
      <c r="B2181" s="47"/>
      <c r="F2181" s="46"/>
      <c r="M2181" s="49"/>
      <c r="T2181" s="45"/>
    </row>
    <row r="2182" spans="2:20" ht="26.4" x14ac:dyDescent="0.25">
      <c r="B2182" s="47"/>
      <c r="F2182" s="46"/>
      <c r="M2182" s="49"/>
      <c r="T2182" s="45"/>
    </row>
    <row r="2183" spans="2:20" ht="26.4" x14ac:dyDescent="0.25">
      <c r="B2183" s="47"/>
      <c r="F2183" s="46"/>
      <c r="M2183" s="49"/>
      <c r="T2183" s="45"/>
    </row>
    <row r="2184" spans="2:20" ht="26.4" x14ac:dyDescent="0.25">
      <c r="B2184" s="47"/>
      <c r="F2184" s="46"/>
      <c r="M2184" s="49"/>
      <c r="T2184" s="45"/>
    </row>
    <row r="2185" spans="2:20" ht="26.4" x14ac:dyDescent="0.25">
      <c r="B2185" s="47"/>
      <c r="F2185" s="46"/>
      <c r="M2185" s="49"/>
      <c r="T2185" s="45"/>
    </row>
    <row r="2186" spans="2:20" ht="26.4" x14ac:dyDescent="0.25">
      <c r="B2186" s="47"/>
      <c r="F2186" s="46"/>
      <c r="M2186" s="49"/>
      <c r="T2186" s="45"/>
    </row>
    <row r="2187" spans="2:20" ht="26.4" x14ac:dyDescent="0.25">
      <c r="B2187" s="47"/>
      <c r="F2187" s="46"/>
      <c r="M2187" s="49"/>
      <c r="T2187" s="45"/>
    </row>
    <row r="2188" spans="2:20" ht="26.4" x14ac:dyDescent="0.25">
      <c r="B2188" s="47"/>
      <c r="F2188" s="46"/>
      <c r="M2188" s="49"/>
      <c r="T2188" s="45"/>
    </row>
    <row r="2189" spans="2:20" ht="26.4" x14ac:dyDescent="0.25">
      <c r="B2189" s="47"/>
      <c r="F2189" s="46"/>
      <c r="M2189" s="49"/>
      <c r="T2189" s="45"/>
    </row>
    <row r="2190" spans="2:20" ht="26.4" x14ac:dyDescent="0.25">
      <c r="B2190" s="47"/>
      <c r="F2190" s="46"/>
      <c r="M2190" s="49"/>
      <c r="T2190" s="45"/>
    </row>
    <row r="2191" spans="2:20" ht="26.4" x14ac:dyDescent="0.25">
      <c r="B2191" s="47"/>
      <c r="F2191" s="46"/>
      <c r="M2191" s="49"/>
      <c r="T2191" s="45"/>
    </row>
    <row r="2192" spans="2:20" ht="26.4" x14ac:dyDescent="0.25">
      <c r="B2192" s="47"/>
      <c r="F2192" s="46"/>
      <c r="M2192" s="49"/>
      <c r="T2192" s="45"/>
    </row>
    <row r="2193" spans="2:20" ht="26.4" x14ac:dyDescent="0.25">
      <c r="B2193" s="47"/>
      <c r="F2193" s="46"/>
      <c r="M2193" s="49"/>
      <c r="T2193" s="45"/>
    </row>
    <row r="2194" spans="2:20" ht="26.4" x14ac:dyDescent="0.25">
      <c r="B2194" s="47"/>
      <c r="F2194" s="46"/>
      <c r="M2194" s="49"/>
      <c r="T2194" s="45"/>
    </row>
    <row r="2195" spans="2:20" ht="26.4" x14ac:dyDescent="0.25">
      <c r="B2195" s="47"/>
      <c r="F2195" s="46"/>
      <c r="M2195" s="49"/>
      <c r="T2195" s="45"/>
    </row>
    <row r="2196" spans="2:20" ht="26.4" x14ac:dyDescent="0.25">
      <c r="B2196" s="47"/>
      <c r="F2196" s="46"/>
      <c r="M2196" s="49"/>
      <c r="T2196" s="45"/>
    </row>
    <row r="2197" spans="2:20" ht="26.4" x14ac:dyDescent="0.25">
      <c r="B2197" s="47"/>
      <c r="F2197" s="46"/>
      <c r="M2197" s="49"/>
      <c r="T2197" s="45"/>
    </row>
    <row r="2198" spans="2:20" ht="26.4" x14ac:dyDescent="0.25">
      <c r="B2198" s="47"/>
      <c r="F2198" s="46"/>
      <c r="M2198" s="49"/>
      <c r="T2198" s="45"/>
    </row>
    <row r="2199" spans="2:20" ht="26.4" x14ac:dyDescent="0.25">
      <c r="B2199" s="47"/>
      <c r="F2199" s="46"/>
      <c r="M2199" s="49"/>
      <c r="T2199" s="45"/>
    </row>
    <row r="2200" spans="2:20" ht="26.4" x14ac:dyDescent="0.25">
      <c r="B2200" s="47"/>
      <c r="F2200" s="46"/>
      <c r="M2200" s="49"/>
      <c r="T2200" s="45"/>
    </row>
    <row r="2201" spans="2:20" ht="26.4" x14ac:dyDescent="0.25">
      <c r="B2201" s="47"/>
      <c r="F2201" s="46"/>
      <c r="M2201" s="49"/>
      <c r="T2201" s="45"/>
    </row>
    <row r="2202" spans="2:20" ht="26.4" x14ac:dyDescent="0.25">
      <c r="B2202" s="47"/>
      <c r="F2202" s="46"/>
      <c r="M2202" s="49"/>
      <c r="T2202" s="45"/>
    </row>
    <row r="2203" spans="2:20" ht="26.4" x14ac:dyDescent="0.25">
      <c r="B2203" s="47"/>
      <c r="F2203" s="46"/>
      <c r="M2203" s="49"/>
      <c r="T2203" s="45"/>
    </row>
    <row r="2204" spans="2:20" ht="26.4" x14ac:dyDescent="0.25">
      <c r="B2204" s="47"/>
      <c r="F2204" s="46"/>
      <c r="M2204" s="49"/>
      <c r="T2204" s="45"/>
    </row>
    <row r="2205" spans="2:20" ht="26.4" x14ac:dyDescent="0.25">
      <c r="B2205" s="47"/>
      <c r="F2205" s="46"/>
      <c r="M2205" s="49"/>
      <c r="T2205" s="45"/>
    </row>
    <row r="2206" spans="2:20" ht="26.4" x14ac:dyDescent="0.25">
      <c r="B2206" s="47"/>
      <c r="F2206" s="46"/>
      <c r="M2206" s="49"/>
      <c r="T2206" s="45"/>
    </row>
    <row r="2207" spans="2:20" ht="26.4" x14ac:dyDescent="0.25">
      <c r="B2207" s="47"/>
      <c r="F2207" s="46"/>
      <c r="M2207" s="49"/>
      <c r="T2207" s="45"/>
    </row>
    <row r="2208" spans="2:20" ht="26.4" x14ac:dyDescent="0.25">
      <c r="B2208" s="47"/>
      <c r="F2208" s="46"/>
      <c r="M2208" s="49"/>
      <c r="T2208" s="45"/>
    </row>
    <row r="2209" spans="2:20" ht="26.4" x14ac:dyDescent="0.25">
      <c r="B2209" s="47"/>
      <c r="F2209" s="46"/>
      <c r="M2209" s="49"/>
      <c r="T2209" s="45"/>
    </row>
    <row r="2210" spans="2:20" ht="26.4" x14ac:dyDescent="0.25">
      <c r="B2210" s="47"/>
      <c r="F2210" s="46"/>
      <c r="M2210" s="49"/>
      <c r="T2210" s="45"/>
    </row>
    <row r="2211" spans="2:20" ht="26.4" x14ac:dyDescent="0.25">
      <c r="B2211" s="47"/>
      <c r="F2211" s="46"/>
      <c r="M2211" s="49"/>
      <c r="T2211" s="45"/>
    </row>
    <row r="2212" spans="2:20" ht="26.4" x14ac:dyDescent="0.25">
      <c r="B2212" s="47"/>
      <c r="F2212" s="46"/>
      <c r="M2212" s="49"/>
      <c r="T2212" s="45"/>
    </row>
    <row r="2213" spans="2:20" ht="26.4" x14ac:dyDescent="0.25">
      <c r="B2213" s="47"/>
      <c r="F2213" s="46"/>
      <c r="M2213" s="49"/>
      <c r="T2213" s="45"/>
    </row>
    <row r="2214" spans="2:20" ht="26.4" x14ac:dyDescent="0.25">
      <c r="B2214" s="47"/>
      <c r="F2214" s="46"/>
      <c r="M2214" s="49"/>
      <c r="T2214" s="45"/>
    </row>
    <row r="2215" spans="2:20" ht="26.4" x14ac:dyDescent="0.25">
      <c r="B2215" s="47"/>
      <c r="F2215" s="46"/>
      <c r="M2215" s="49"/>
      <c r="T2215" s="45"/>
    </row>
    <row r="2216" spans="2:20" ht="26.4" x14ac:dyDescent="0.25">
      <c r="B2216" s="47"/>
      <c r="F2216" s="46"/>
      <c r="M2216" s="49"/>
      <c r="T2216" s="45"/>
    </row>
    <row r="2217" spans="2:20" ht="26.4" x14ac:dyDescent="0.25">
      <c r="B2217" s="47"/>
      <c r="F2217" s="46"/>
      <c r="M2217" s="49"/>
      <c r="T2217" s="45"/>
    </row>
    <row r="2218" spans="2:20" ht="26.4" x14ac:dyDescent="0.25">
      <c r="B2218" s="47"/>
      <c r="F2218" s="46"/>
      <c r="M2218" s="49"/>
      <c r="T2218" s="45"/>
    </row>
    <row r="2219" spans="2:20" ht="26.4" x14ac:dyDescent="0.25">
      <c r="B2219" s="47"/>
      <c r="F2219" s="46"/>
      <c r="M2219" s="49"/>
      <c r="T2219" s="45"/>
    </row>
    <row r="2220" spans="2:20" ht="26.4" x14ac:dyDescent="0.25">
      <c r="B2220" s="47"/>
      <c r="F2220" s="46"/>
      <c r="M2220" s="49"/>
      <c r="T2220" s="45"/>
    </row>
    <row r="2221" spans="2:20" ht="26.4" x14ac:dyDescent="0.25">
      <c r="B2221" s="47"/>
      <c r="F2221" s="46"/>
      <c r="M2221" s="49"/>
      <c r="T2221" s="45"/>
    </row>
    <row r="2222" spans="2:20" ht="26.4" x14ac:dyDescent="0.25">
      <c r="B2222" s="47"/>
      <c r="F2222" s="46"/>
      <c r="M2222" s="49"/>
      <c r="T2222" s="45"/>
    </row>
    <row r="2223" spans="2:20" ht="26.4" x14ac:dyDescent="0.25">
      <c r="B2223" s="47"/>
      <c r="F2223" s="46"/>
      <c r="M2223" s="49"/>
      <c r="T2223" s="45"/>
    </row>
    <row r="2224" spans="2:20" ht="26.4" x14ac:dyDescent="0.25">
      <c r="B2224" s="47"/>
      <c r="F2224" s="46"/>
      <c r="M2224" s="49"/>
      <c r="T2224" s="45"/>
    </row>
    <row r="2225" spans="2:20" ht="26.4" x14ac:dyDescent="0.25">
      <c r="B2225" s="47"/>
      <c r="F2225" s="46"/>
      <c r="M2225" s="49"/>
      <c r="T2225" s="45"/>
    </row>
    <row r="2226" spans="2:20" ht="26.4" x14ac:dyDescent="0.25">
      <c r="B2226" s="47"/>
      <c r="F2226" s="46"/>
      <c r="M2226" s="49"/>
      <c r="T2226" s="45"/>
    </row>
    <row r="2227" spans="2:20" ht="26.4" x14ac:dyDescent="0.25">
      <c r="B2227" s="47"/>
      <c r="F2227" s="46"/>
      <c r="M2227" s="49"/>
      <c r="T2227" s="45"/>
    </row>
    <row r="2228" spans="2:20" ht="26.4" x14ac:dyDescent="0.25">
      <c r="B2228" s="47"/>
      <c r="F2228" s="46"/>
      <c r="M2228" s="49"/>
      <c r="T2228" s="45"/>
    </row>
    <row r="2229" spans="2:20" ht="26.4" x14ac:dyDescent="0.25">
      <c r="B2229" s="47"/>
      <c r="F2229" s="46"/>
      <c r="M2229" s="49"/>
      <c r="T2229" s="45"/>
    </row>
    <row r="2230" spans="2:20" ht="26.4" x14ac:dyDescent="0.25">
      <c r="B2230" s="47"/>
      <c r="F2230" s="46"/>
      <c r="M2230" s="49"/>
      <c r="T2230" s="45"/>
    </row>
    <row r="2231" spans="2:20" ht="26.4" x14ac:dyDescent="0.25">
      <c r="B2231" s="47"/>
      <c r="F2231" s="46"/>
      <c r="M2231" s="49"/>
      <c r="T2231" s="45"/>
    </row>
    <row r="2232" spans="2:20" ht="26.4" x14ac:dyDescent="0.25">
      <c r="B2232" s="47"/>
      <c r="F2232" s="46"/>
      <c r="M2232" s="49"/>
      <c r="T2232" s="45"/>
    </row>
    <row r="2233" spans="2:20" ht="26.4" x14ac:dyDescent="0.25">
      <c r="B2233" s="47"/>
      <c r="F2233" s="46"/>
      <c r="M2233" s="49"/>
      <c r="T2233" s="45"/>
    </row>
    <row r="2234" spans="2:20" ht="26.4" x14ac:dyDescent="0.25">
      <c r="B2234" s="47"/>
      <c r="F2234" s="46"/>
      <c r="M2234" s="49"/>
      <c r="T2234" s="45"/>
    </row>
    <row r="2235" spans="2:20" ht="26.4" x14ac:dyDescent="0.25">
      <c r="B2235" s="47"/>
      <c r="F2235" s="46"/>
      <c r="M2235" s="49"/>
      <c r="T2235" s="45"/>
    </row>
    <row r="2236" spans="2:20" ht="26.4" x14ac:dyDescent="0.25">
      <c r="B2236" s="47"/>
      <c r="F2236" s="46"/>
      <c r="M2236" s="49"/>
      <c r="T2236" s="45"/>
    </row>
    <row r="2237" spans="2:20" ht="26.4" x14ac:dyDescent="0.25">
      <c r="B2237" s="47"/>
      <c r="F2237" s="46"/>
      <c r="M2237" s="49"/>
      <c r="T2237" s="45"/>
    </row>
    <row r="2238" spans="2:20" ht="26.4" x14ac:dyDescent="0.25">
      <c r="B2238" s="47"/>
      <c r="F2238" s="46"/>
      <c r="M2238" s="49"/>
      <c r="T2238" s="45"/>
    </row>
    <row r="2239" spans="2:20" ht="26.4" x14ac:dyDescent="0.25">
      <c r="B2239" s="47"/>
      <c r="F2239" s="46"/>
      <c r="M2239" s="49"/>
      <c r="T2239" s="45"/>
    </row>
    <row r="2240" spans="2:20" ht="26.4" x14ac:dyDescent="0.25">
      <c r="B2240" s="47"/>
      <c r="F2240" s="46"/>
      <c r="M2240" s="49"/>
      <c r="T2240" s="45"/>
    </row>
    <row r="2241" spans="2:20" ht="26.4" x14ac:dyDescent="0.25">
      <c r="B2241" s="47"/>
      <c r="F2241" s="46"/>
      <c r="M2241" s="49"/>
      <c r="T2241" s="45"/>
    </row>
    <row r="2242" spans="2:20" ht="26.4" x14ac:dyDescent="0.25">
      <c r="B2242" s="47"/>
      <c r="F2242" s="46"/>
      <c r="M2242" s="49"/>
      <c r="T2242" s="45"/>
    </row>
    <row r="2243" spans="2:20" ht="26.4" x14ac:dyDescent="0.25">
      <c r="B2243" s="47"/>
      <c r="F2243" s="46"/>
      <c r="M2243" s="49"/>
      <c r="T2243" s="45"/>
    </row>
    <row r="2244" spans="2:20" ht="26.4" x14ac:dyDescent="0.25">
      <c r="B2244" s="47"/>
      <c r="F2244" s="46"/>
      <c r="M2244" s="49"/>
      <c r="T2244" s="45"/>
    </row>
    <row r="2245" spans="2:20" ht="26.4" x14ac:dyDescent="0.25">
      <c r="B2245" s="47"/>
      <c r="F2245" s="46"/>
      <c r="M2245" s="49"/>
      <c r="T2245" s="45"/>
    </row>
    <row r="2246" spans="2:20" ht="26.4" x14ac:dyDescent="0.25">
      <c r="B2246" s="47"/>
      <c r="F2246" s="46"/>
      <c r="M2246" s="49"/>
      <c r="T2246" s="45"/>
    </row>
    <row r="2247" spans="2:20" ht="26.4" x14ac:dyDescent="0.25">
      <c r="B2247" s="47"/>
      <c r="F2247" s="46"/>
      <c r="M2247" s="49"/>
      <c r="T2247" s="45"/>
    </row>
    <row r="2248" spans="2:20" ht="26.4" x14ac:dyDescent="0.25">
      <c r="B2248" s="47"/>
      <c r="F2248" s="46"/>
      <c r="M2248" s="49"/>
      <c r="T2248" s="45"/>
    </row>
    <row r="2249" spans="2:20" ht="26.4" x14ac:dyDescent="0.25">
      <c r="B2249" s="47"/>
      <c r="F2249" s="46"/>
      <c r="M2249" s="49"/>
      <c r="T2249" s="45"/>
    </row>
    <row r="2250" spans="2:20" ht="26.4" x14ac:dyDescent="0.25">
      <c r="B2250" s="47"/>
      <c r="F2250" s="46"/>
      <c r="M2250" s="49"/>
      <c r="T2250" s="45"/>
    </row>
    <row r="2251" spans="2:20" ht="26.4" x14ac:dyDescent="0.25">
      <c r="B2251" s="47"/>
      <c r="F2251" s="46"/>
      <c r="M2251" s="49"/>
      <c r="T2251" s="45"/>
    </row>
    <row r="2252" spans="2:20" ht="26.4" x14ac:dyDescent="0.25">
      <c r="B2252" s="47"/>
      <c r="F2252" s="46"/>
      <c r="M2252" s="49"/>
      <c r="T2252" s="45"/>
    </row>
    <row r="2253" spans="2:20" ht="26.4" x14ac:dyDescent="0.25">
      <c r="B2253" s="47"/>
      <c r="F2253" s="46"/>
      <c r="M2253" s="49"/>
      <c r="T2253" s="45"/>
    </row>
    <row r="2254" spans="2:20" ht="26.4" x14ac:dyDescent="0.25">
      <c r="B2254" s="47"/>
      <c r="F2254" s="46"/>
      <c r="M2254" s="49"/>
      <c r="T2254" s="45"/>
    </row>
    <row r="2255" spans="2:20" ht="26.4" x14ac:dyDescent="0.25">
      <c r="B2255" s="47"/>
      <c r="F2255" s="46"/>
      <c r="M2255" s="49"/>
      <c r="T2255" s="45"/>
    </row>
    <row r="2256" spans="2:20" ht="26.4" x14ac:dyDescent="0.25">
      <c r="B2256" s="47"/>
      <c r="F2256" s="46"/>
      <c r="M2256" s="49"/>
      <c r="T2256" s="45"/>
    </row>
    <row r="2257" spans="2:20" ht="26.4" x14ac:dyDescent="0.25">
      <c r="B2257" s="47"/>
      <c r="F2257" s="46"/>
      <c r="M2257" s="49"/>
      <c r="T2257" s="45"/>
    </row>
    <row r="2258" spans="2:20" ht="26.4" x14ac:dyDescent="0.25">
      <c r="B2258" s="47"/>
      <c r="F2258" s="46"/>
      <c r="M2258" s="49"/>
      <c r="T2258" s="45"/>
    </row>
    <row r="2259" spans="2:20" ht="26.4" x14ac:dyDescent="0.25">
      <c r="B2259" s="47"/>
      <c r="F2259" s="46"/>
      <c r="M2259" s="49"/>
      <c r="T2259" s="45"/>
    </row>
    <row r="2260" spans="2:20" ht="26.4" x14ac:dyDescent="0.25">
      <c r="B2260" s="47"/>
      <c r="F2260" s="46"/>
      <c r="M2260" s="49"/>
      <c r="T2260" s="45"/>
    </row>
    <row r="2261" spans="2:20" ht="26.4" x14ac:dyDescent="0.25">
      <c r="B2261" s="47"/>
      <c r="F2261" s="46"/>
      <c r="M2261" s="49"/>
      <c r="T2261" s="45"/>
    </row>
    <row r="2262" spans="2:20" ht="26.4" x14ac:dyDescent="0.25">
      <c r="B2262" s="47"/>
      <c r="F2262" s="46"/>
      <c r="M2262" s="49"/>
      <c r="T2262" s="45"/>
    </row>
    <row r="2263" spans="2:20" ht="26.4" x14ac:dyDescent="0.25">
      <c r="B2263" s="47"/>
      <c r="F2263" s="46"/>
      <c r="M2263" s="49"/>
      <c r="T2263" s="45"/>
    </row>
    <row r="2264" spans="2:20" ht="26.4" x14ac:dyDescent="0.25">
      <c r="B2264" s="47"/>
      <c r="F2264" s="46"/>
      <c r="M2264" s="49"/>
      <c r="T2264" s="45"/>
    </row>
    <row r="2265" spans="2:20" ht="26.4" x14ac:dyDescent="0.25">
      <c r="B2265" s="47"/>
      <c r="F2265" s="46"/>
      <c r="M2265" s="49"/>
      <c r="T2265" s="45"/>
    </row>
    <row r="2266" spans="2:20" ht="26.4" x14ac:dyDescent="0.25">
      <c r="B2266" s="47"/>
      <c r="F2266" s="46"/>
      <c r="M2266" s="49"/>
      <c r="T2266" s="45"/>
    </row>
    <row r="2267" spans="2:20" ht="26.4" x14ac:dyDescent="0.25">
      <c r="B2267" s="47"/>
      <c r="F2267" s="46"/>
      <c r="M2267" s="49"/>
      <c r="T2267" s="45"/>
    </row>
    <row r="2268" spans="2:20" ht="26.4" x14ac:dyDescent="0.25">
      <c r="B2268" s="47"/>
      <c r="F2268" s="46"/>
      <c r="M2268" s="49"/>
      <c r="T2268" s="45"/>
    </row>
    <row r="2269" spans="2:20" ht="26.4" x14ac:dyDescent="0.25">
      <c r="B2269" s="47"/>
      <c r="F2269" s="46"/>
      <c r="M2269" s="49"/>
      <c r="T2269" s="45"/>
    </row>
    <row r="2270" spans="2:20" ht="26.4" x14ac:dyDescent="0.25">
      <c r="B2270" s="47"/>
      <c r="F2270" s="46"/>
      <c r="M2270" s="49"/>
      <c r="T2270" s="45"/>
    </row>
    <row r="2271" spans="2:20" ht="26.4" x14ac:dyDescent="0.25">
      <c r="B2271" s="47"/>
      <c r="F2271" s="46"/>
      <c r="M2271" s="49"/>
      <c r="T2271" s="45"/>
    </row>
    <row r="2272" spans="2:20" ht="26.4" x14ac:dyDescent="0.25">
      <c r="B2272" s="47"/>
      <c r="F2272" s="46"/>
      <c r="M2272" s="49"/>
      <c r="T2272" s="45"/>
    </row>
    <row r="2273" spans="2:20" ht="26.4" x14ac:dyDescent="0.25">
      <c r="B2273" s="47"/>
      <c r="F2273" s="46"/>
      <c r="M2273" s="49"/>
      <c r="T2273" s="45"/>
    </row>
    <row r="2274" spans="2:20" ht="26.4" x14ac:dyDescent="0.25">
      <c r="B2274" s="47"/>
      <c r="F2274" s="46"/>
      <c r="M2274" s="49"/>
      <c r="T2274" s="45"/>
    </row>
    <row r="2275" spans="2:20" ht="26.4" x14ac:dyDescent="0.25">
      <c r="B2275" s="47"/>
      <c r="F2275" s="46"/>
      <c r="M2275" s="49"/>
      <c r="T2275" s="45"/>
    </row>
    <row r="2276" spans="2:20" ht="26.4" x14ac:dyDescent="0.25">
      <c r="B2276" s="47"/>
      <c r="F2276" s="46"/>
      <c r="M2276" s="49"/>
      <c r="T2276" s="45"/>
    </row>
    <row r="2277" spans="2:20" ht="26.4" x14ac:dyDescent="0.25">
      <c r="B2277" s="47"/>
      <c r="F2277" s="46"/>
      <c r="M2277" s="49"/>
      <c r="T2277" s="45"/>
    </row>
    <row r="2278" spans="2:20" ht="26.4" x14ac:dyDescent="0.25">
      <c r="B2278" s="47"/>
      <c r="F2278" s="46"/>
      <c r="M2278" s="49"/>
      <c r="T2278" s="45"/>
    </row>
    <row r="2279" spans="2:20" ht="26.4" x14ac:dyDescent="0.25">
      <c r="B2279" s="47"/>
      <c r="F2279" s="46"/>
      <c r="M2279" s="49"/>
      <c r="T2279" s="45"/>
    </row>
    <row r="2280" spans="2:20" ht="26.4" x14ac:dyDescent="0.25">
      <c r="B2280" s="47"/>
      <c r="F2280" s="46"/>
      <c r="M2280" s="49"/>
      <c r="T2280" s="45"/>
    </row>
    <row r="2281" spans="2:20" ht="26.4" x14ac:dyDescent="0.25">
      <c r="B2281" s="47"/>
      <c r="F2281" s="46"/>
      <c r="M2281" s="49"/>
      <c r="T2281" s="45"/>
    </row>
    <row r="2282" spans="2:20" ht="26.4" x14ac:dyDescent="0.25">
      <c r="B2282" s="47"/>
      <c r="F2282" s="46"/>
      <c r="M2282" s="49"/>
      <c r="T2282" s="45"/>
    </row>
    <row r="2283" spans="2:20" ht="26.4" x14ac:dyDescent="0.25">
      <c r="B2283" s="47"/>
      <c r="F2283" s="46"/>
      <c r="M2283" s="49"/>
      <c r="T2283" s="45"/>
    </row>
    <row r="2284" spans="2:20" ht="26.4" x14ac:dyDescent="0.25">
      <c r="B2284" s="47"/>
      <c r="F2284" s="46"/>
      <c r="M2284" s="49"/>
      <c r="T2284" s="45"/>
    </row>
    <row r="2285" spans="2:20" ht="26.4" x14ac:dyDescent="0.25">
      <c r="B2285" s="47"/>
      <c r="F2285" s="46"/>
      <c r="M2285" s="49"/>
      <c r="T2285" s="45"/>
    </row>
    <row r="2286" spans="2:20" ht="26.4" x14ac:dyDescent="0.25">
      <c r="B2286" s="47"/>
      <c r="F2286" s="46"/>
      <c r="M2286" s="49"/>
      <c r="T2286" s="45"/>
    </row>
    <row r="2287" spans="2:20" ht="26.4" x14ac:dyDescent="0.25">
      <c r="B2287" s="47"/>
      <c r="F2287" s="46"/>
      <c r="M2287" s="49"/>
      <c r="T2287" s="45"/>
    </row>
    <row r="2288" spans="2:20" ht="26.4" x14ac:dyDescent="0.25">
      <c r="B2288" s="47"/>
      <c r="F2288" s="46"/>
      <c r="M2288" s="49"/>
      <c r="T2288" s="45"/>
    </row>
    <row r="2289" spans="2:20" ht="26.4" x14ac:dyDescent="0.25">
      <c r="B2289" s="47"/>
      <c r="F2289" s="46"/>
      <c r="M2289" s="49"/>
      <c r="T2289" s="45"/>
    </row>
    <row r="2290" spans="2:20" ht="26.4" x14ac:dyDescent="0.25">
      <c r="B2290" s="47"/>
      <c r="F2290" s="46"/>
      <c r="M2290" s="49"/>
      <c r="T2290" s="45"/>
    </row>
    <row r="2291" spans="2:20" ht="26.4" x14ac:dyDescent="0.25">
      <c r="B2291" s="47"/>
      <c r="F2291" s="46"/>
      <c r="M2291" s="49"/>
      <c r="T2291" s="45"/>
    </row>
    <row r="2292" spans="2:20" ht="26.4" x14ac:dyDescent="0.25">
      <c r="B2292" s="47"/>
      <c r="F2292" s="46"/>
      <c r="M2292" s="49"/>
      <c r="T2292" s="45"/>
    </row>
    <row r="2293" spans="2:20" ht="26.4" x14ac:dyDescent="0.25">
      <c r="B2293" s="47"/>
      <c r="F2293" s="46"/>
      <c r="M2293" s="49"/>
      <c r="T2293" s="45"/>
    </row>
    <row r="2294" spans="2:20" ht="26.4" x14ac:dyDescent="0.25">
      <c r="B2294" s="47"/>
      <c r="F2294" s="46"/>
      <c r="M2294" s="49"/>
      <c r="T2294" s="45"/>
    </row>
    <row r="2295" spans="2:20" ht="26.4" x14ac:dyDescent="0.25">
      <c r="B2295" s="47"/>
      <c r="F2295" s="46"/>
      <c r="M2295" s="49"/>
      <c r="T2295" s="45"/>
    </row>
    <row r="2296" spans="2:20" ht="26.4" x14ac:dyDescent="0.25">
      <c r="B2296" s="47"/>
      <c r="F2296" s="46"/>
      <c r="M2296" s="49"/>
      <c r="T2296" s="45"/>
    </row>
    <row r="2297" spans="2:20" ht="26.4" x14ac:dyDescent="0.25">
      <c r="B2297" s="47"/>
      <c r="F2297" s="46"/>
      <c r="M2297" s="49"/>
      <c r="T2297" s="45"/>
    </row>
    <row r="2298" spans="2:20" ht="26.4" x14ac:dyDescent="0.25">
      <c r="B2298" s="47"/>
      <c r="F2298" s="46"/>
      <c r="M2298" s="49"/>
      <c r="T2298" s="45"/>
    </row>
    <row r="2299" spans="2:20" ht="26.4" x14ac:dyDescent="0.25">
      <c r="B2299" s="47"/>
      <c r="F2299" s="46"/>
      <c r="M2299" s="49"/>
      <c r="T2299" s="45"/>
    </row>
    <row r="2300" spans="2:20" ht="26.4" x14ac:dyDescent="0.25">
      <c r="B2300" s="47"/>
      <c r="F2300" s="46"/>
      <c r="M2300" s="49"/>
      <c r="T2300" s="45"/>
    </row>
    <row r="2301" spans="2:20" ht="26.4" x14ac:dyDescent="0.25">
      <c r="B2301" s="47"/>
      <c r="F2301" s="46"/>
      <c r="M2301" s="49"/>
      <c r="T2301" s="45"/>
    </row>
    <row r="2302" spans="2:20" ht="26.4" x14ac:dyDescent="0.25">
      <c r="B2302" s="47"/>
      <c r="F2302" s="46"/>
      <c r="M2302" s="49"/>
      <c r="T2302" s="45"/>
    </row>
    <row r="2303" spans="2:20" ht="26.4" x14ac:dyDescent="0.25">
      <c r="B2303" s="47"/>
      <c r="F2303" s="46"/>
      <c r="M2303" s="49"/>
      <c r="T2303" s="45"/>
    </row>
    <row r="2304" spans="2:20" ht="26.4" x14ac:dyDescent="0.25">
      <c r="B2304" s="47"/>
      <c r="F2304" s="46"/>
      <c r="M2304" s="49"/>
      <c r="T2304" s="45"/>
    </row>
    <row r="2305" spans="2:20" ht="26.4" x14ac:dyDescent="0.25">
      <c r="B2305" s="47"/>
      <c r="F2305" s="46"/>
      <c r="M2305" s="49"/>
      <c r="T2305" s="45"/>
    </row>
    <row r="2306" spans="2:20" ht="26.4" x14ac:dyDescent="0.25">
      <c r="B2306" s="47"/>
      <c r="F2306" s="46"/>
      <c r="M2306" s="49"/>
      <c r="T2306" s="45"/>
    </row>
    <row r="2307" spans="2:20" ht="26.4" x14ac:dyDescent="0.25">
      <c r="B2307" s="47"/>
      <c r="F2307" s="46"/>
      <c r="M2307" s="49"/>
      <c r="T2307" s="45"/>
    </row>
    <row r="2308" spans="2:20" ht="26.4" x14ac:dyDescent="0.25">
      <c r="B2308" s="47"/>
      <c r="F2308" s="46"/>
      <c r="M2308" s="49"/>
      <c r="T2308" s="45"/>
    </row>
    <row r="2309" spans="2:20" ht="26.4" x14ac:dyDescent="0.25">
      <c r="B2309" s="47"/>
      <c r="F2309" s="46"/>
      <c r="M2309" s="49"/>
      <c r="T2309" s="45"/>
    </row>
    <row r="2310" spans="2:20" ht="26.4" x14ac:dyDescent="0.25">
      <c r="B2310" s="47"/>
      <c r="F2310" s="46"/>
      <c r="M2310" s="49"/>
      <c r="T2310" s="45"/>
    </row>
    <row r="2311" spans="2:20" ht="26.4" x14ac:dyDescent="0.25">
      <c r="B2311" s="47"/>
      <c r="F2311" s="46"/>
      <c r="M2311" s="49"/>
      <c r="T2311" s="45"/>
    </row>
    <row r="2312" spans="2:20" ht="26.4" x14ac:dyDescent="0.25">
      <c r="B2312" s="47"/>
      <c r="F2312" s="46"/>
      <c r="M2312" s="49"/>
      <c r="T2312" s="45"/>
    </row>
    <row r="2313" spans="2:20" ht="26.4" x14ac:dyDescent="0.25">
      <c r="B2313" s="47"/>
      <c r="F2313" s="46"/>
      <c r="M2313" s="49"/>
      <c r="T2313" s="45"/>
    </row>
    <row r="2314" spans="2:20" ht="26.4" x14ac:dyDescent="0.25">
      <c r="B2314" s="47"/>
      <c r="F2314" s="46"/>
      <c r="M2314" s="49"/>
      <c r="T2314" s="45"/>
    </row>
    <row r="2315" spans="2:20" ht="26.4" x14ac:dyDescent="0.25">
      <c r="B2315" s="47"/>
      <c r="F2315" s="46"/>
      <c r="M2315" s="49"/>
      <c r="T2315" s="45"/>
    </row>
    <row r="2316" spans="2:20" ht="26.4" x14ac:dyDescent="0.25">
      <c r="B2316" s="47"/>
      <c r="F2316" s="46"/>
      <c r="M2316" s="49"/>
      <c r="T2316" s="45"/>
    </row>
    <row r="2317" spans="2:20" ht="26.4" x14ac:dyDescent="0.25">
      <c r="B2317" s="47"/>
      <c r="F2317" s="46"/>
      <c r="M2317" s="49"/>
      <c r="T2317" s="45"/>
    </row>
    <row r="2318" spans="2:20" ht="26.4" x14ac:dyDescent="0.25">
      <c r="B2318" s="47"/>
      <c r="F2318" s="46"/>
      <c r="M2318" s="49"/>
      <c r="T2318" s="45"/>
    </row>
    <row r="2319" spans="2:20" ht="26.4" x14ac:dyDescent="0.25">
      <c r="B2319" s="47"/>
      <c r="F2319" s="46"/>
      <c r="M2319" s="49"/>
      <c r="T2319" s="45"/>
    </row>
    <row r="2320" spans="2:20" ht="26.4" x14ac:dyDescent="0.25">
      <c r="B2320" s="47"/>
      <c r="F2320" s="46"/>
      <c r="M2320" s="49"/>
      <c r="T2320" s="45"/>
    </row>
    <row r="2321" spans="2:20" ht="26.4" x14ac:dyDescent="0.25">
      <c r="B2321" s="47"/>
      <c r="F2321" s="46"/>
      <c r="M2321" s="49"/>
      <c r="T2321" s="45"/>
    </row>
    <row r="2322" spans="2:20" ht="26.4" x14ac:dyDescent="0.25">
      <c r="B2322" s="47"/>
      <c r="F2322" s="46"/>
      <c r="M2322" s="49"/>
      <c r="T2322" s="45"/>
    </row>
    <row r="2323" spans="2:20" ht="26.4" x14ac:dyDescent="0.25">
      <c r="B2323" s="47"/>
      <c r="F2323" s="46"/>
      <c r="T2323" s="45"/>
    </row>
    <row r="2324" spans="2:20" ht="26.4" x14ac:dyDescent="0.25">
      <c r="B2324" s="47"/>
      <c r="F2324" s="46"/>
      <c r="T2324" s="45"/>
    </row>
    <row r="2325" spans="2:20" ht="26.4" x14ac:dyDescent="0.25">
      <c r="B2325" s="47"/>
      <c r="F2325" s="46"/>
      <c r="T2325" s="45"/>
    </row>
    <row r="2326" spans="2:20" ht="26.4" x14ac:dyDescent="0.25">
      <c r="B2326" s="47"/>
      <c r="F2326" s="46"/>
      <c r="T2326" s="45"/>
    </row>
    <row r="2327" spans="2:20" ht="26.4" x14ac:dyDescent="0.25">
      <c r="B2327" s="47"/>
      <c r="F2327" s="46"/>
      <c r="T2327" s="45"/>
    </row>
    <row r="2328" spans="2:20" ht="26.4" x14ac:dyDescent="0.25">
      <c r="B2328" s="47"/>
      <c r="F2328" s="46"/>
      <c r="T2328" s="45"/>
    </row>
    <row r="2329" spans="2:20" ht="26.4" x14ac:dyDescent="0.25">
      <c r="B2329" s="47"/>
      <c r="F2329" s="46"/>
      <c r="T2329" s="45"/>
    </row>
    <row r="2330" spans="2:20" ht="26.4" x14ac:dyDescent="0.25">
      <c r="B2330" s="47"/>
      <c r="F2330" s="46"/>
      <c r="T2330" s="45"/>
    </row>
    <row r="2331" spans="2:20" ht="26.4" x14ac:dyDescent="0.25">
      <c r="B2331" s="47"/>
      <c r="F2331" s="46"/>
      <c r="T2331" s="45"/>
    </row>
    <row r="2332" spans="2:20" ht="26.4" x14ac:dyDescent="0.25">
      <c r="B2332" s="47"/>
      <c r="F2332" s="46"/>
      <c r="T2332" s="45"/>
    </row>
    <row r="2333" spans="2:20" ht="26.4" x14ac:dyDescent="0.25">
      <c r="B2333" s="47"/>
      <c r="F2333" s="46"/>
      <c r="T2333" s="45"/>
    </row>
    <row r="2334" spans="2:20" ht="26.4" x14ac:dyDescent="0.25">
      <c r="B2334" s="47"/>
      <c r="F2334" s="46"/>
      <c r="T2334" s="45"/>
    </row>
    <row r="2335" spans="2:20" ht="26.4" x14ac:dyDescent="0.25">
      <c r="B2335" s="47"/>
      <c r="F2335" s="46"/>
      <c r="T2335" s="45"/>
    </row>
    <row r="2336" spans="2:20" ht="26.4" x14ac:dyDescent="0.25">
      <c r="B2336" s="47"/>
      <c r="F2336" s="46"/>
      <c r="T2336" s="45"/>
    </row>
    <row r="2337" spans="2:20" ht="26.4" x14ac:dyDescent="0.25">
      <c r="B2337" s="47"/>
      <c r="F2337" s="46"/>
      <c r="T2337" s="45"/>
    </row>
    <row r="2338" spans="2:20" ht="26.4" x14ac:dyDescent="0.25">
      <c r="B2338" s="47"/>
      <c r="F2338" s="46"/>
      <c r="T2338" s="45"/>
    </row>
    <row r="2339" spans="2:20" ht="26.4" x14ac:dyDescent="0.25">
      <c r="B2339" s="47"/>
      <c r="F2339" s="46"/>
      <c r="T2339" s="45"/>
    </row>
    <row r="2340" spans="2:20" ht="26.4" x14ac:dyDescent="0.25">
      <c r="B2340" s="47"/>
      <c r="F2340" s="46"/>
      <c r="T2340" s="45"/>
    </row>
    <row r="2341" spans="2:20" ht="26.4" x14ac:dyDescent="0.25">
      <c r="B2341" s="47"/>
      <c r="F2341" s="46"/>
      <c r="T2341" s="45"/>
    </row>
    <row r="2342" spans="2:20" ht="26.4" x14ac:dyDescent="0.25">
      <c r="B2342" s="47"/>
      <c r="F2342" s="46"/>
      <c r="T2342" s="45"/>
    </row>
    <row r="2343" spans="2:20" ht="26.4" x14ac:dyDescent="0.25">
      <c r="B2343" s="47"/>
      <c r="F2343" s="46"/>
      <c r="T2343" s="45"/>
    </row>
    <row r="2344" spans="2:20" ht="26.4" x14ac:dyDescent="0.25">
      <c r="B2344" s="47"/>
      <c r="F2344" s="46"/>
      <c r="T2344" s="45"/>
    </row>
    <row r="2345" spans="2:20" ht="26.4" x14ac:dyDescent="0.25">
      <c r="B2345" s="47"/>
      <c r="F2345" s="46"/>
      <c r="T2345" s="45"/>
    </row>
    <row r="2346" spans="2:20" ht="26.4" x14ac:dyDescent="0.25">
      <c r="B2346" s="47"/>
      <c r="F2346" s="46"/>
      <c r="T2346" s="45"/>
    </row>
    <row r="2347" spans="2:20" ht="26.4" x14ac:dyDescent="0.25">
      <c r="B2347" s="47"/>
      <c r="F2347" s="46"/>
      <c r="T2347" s="45"/>
    </row>
    <row r="2348" spans="2:20" ht="26.4" x14ac:dyDescent="0.25">
      <c r="B2348" s="47"/>
      <c r="F2348" s="46"/>
      <c r="T2348" s="45"/>
    </row>
    <row r="2349" spans="2:20" ht="26.4" x14ac:dyDescent="0.25">
      <c r="B2349" s="47"/>
      <c r="F2349" s="46"/>
      <c r="T2349" s="45"/>
    </row>
    <row r="2350" spans="2:20" ht="26.4" x14ac:dyDescent="0.25">
      <c r="B2350" s="47"/>
      <c r="F2350" s="46"/>
      <c r="T2350" s="45"/>
    </row>
    <row r="2351" spans="2:20" ht="26.4" x14ac:dyDescent="0.25">
      <c r="B2351" s="47"/>
      <c r="F2351" s="46"/>
      <c r="T2351" s="45"/>
    </row>
    <row r="2352" spans="2:20" ht="26.4" x14ac:dyDescent="0.25">
      <c r="B2352" s="47"/>
      <c r="F2352" s="46"/>
      <c r="T2352" s="45"/>
    </row>
    <row r="2353" spans="2:20" ht="26.4" x14ac:dyDescent="0.25">
      <c r="B2353" s="47"/>
      <c r="F2353" s="46"/>
      <c r="T2353" s="45"/>
    </row>
    <row r="2354" spans="2:20" ht="26.4" x14ac:dyDescent="0.25">
      <c r="B2354" s="47"/>
      <c r="F2354" s="46"/>
      <c r="T2354" s="45"/>
    </row>
    <row r="2355" spans="2:20" ht="26.4" x14ac:dyDescent="0.25">
      <c r="B2355" s="47"/>
      <c r="F2355" s="46"/>
      <c r="T2355" s="45"/>
    </row>
    <row r="2356" spans="2:20" ht="26.4" x14ac:dyDescent="0.25">
      <c r="B2356" s="47"/>
      <c r="F2356" s="46"/>
      <c r="T2356" s="45"/>
    </row>
    <row r="2357" spans="2:20" ht="26.4" x14ac:dyDescent="0.25">
      <c r="B2357" s="47"/>
      <c r="F2357" s="46"/>
      <c r="T2357" s="45"/>
    </row>
    <row r="2358" spans="2:20" ht="26.4" x14ac:dyDescent="0.25">
      <c r="B2358" s="47"/>
      <c r="F2358" s="46"/>
      <c r="T2358" s="45"/>
    </row>
    <row r="2359" spans="2:20" ht="26.4" x14ac:dyDescent="0.25">
      <c r="B2359" s="47"/>
      <c r="F2359" s="46"/>
      <c r="T2359" s="45"/>
    </row>
    <row r="2360" spans="2:20" ht="26.4" x14ac:dyDescent="0.25">
      <c r="B2360" s="47"/>
      <c r="F2360" s="46"/>
      <c r="T2360" s="45"/>
    </row>
    <row r="2361" spans="2:20" ht="26.4" x14ac:dyDescent="0.25">
      <c r="B2361" s="47"/>
      <c r="F2361" s="46"/>
      <c r="T2361" s="45"/>
    </row>
    <row r="2362" spans="2:20" ht="26.4" x14ac:dyDescent="0.25">
      <c r="B2362" s="47"/>
      <c r="F2362" s="46"/>
      <c r="T2362" s="45"/>
    </row>
    <row r="2363" spans="2:20" ht="26.4" x14ac:dyDescent="0.25">
      <c r="B2363" s="47"/>
      <c r="F2363" s="46"/>
      <c r="T2363" s="45"/>
    </row>
    <row r="2364" spans="2:20" ht="26.4" x14ac:dyDescent="0.25">
      <c r="B2364" s="47"/>
      <c r="F2364" s="46"/>
      <c r="T2364" s="45"/>
    </row>
    <row r="2365" spans="2:20" ht="26.4" x14ac:dyDescent="0.25">
      <c r="B2365" s="47"/>
      <c r="F2365" s="46"/>
      <c r="T2365" s="45"/>
    </row>
    <row r="2366" spans="2:20" ht="26.4" x14ac:dyDescent="0.25">
      <c r="B2366" s="47"/>
      <c r="F2366" s="46"/>
      <c r="T2366" s="45"/>
    </row>
    <row r="2367" spans="2:20" ht="26.4" x14ac:dyDescent="0.25">
      <c r="B2367" s="47"/>
      <c r="F2367" s="46"/>
      <c r="T2367" s="45"/>
    </row>
    <row r="2368" spans="2:20" ht="26.4" x14ac:dyDescent="0.25">
      <c r="B2368" s="47"/>
      <c r="F2368" s="46"/>
      <c r="T2368" s="45"/>
    </row>
    <row r="2369" spans="2:20" ht="26.4" x14ac:dyDescent="0.25">
      <c r="B2369" s="47"/>
      <c r="F2369" s="46"/>
      <c r="T2369" s="45"/>
    </row>
    <row r="2370" spans="2:20" ht="26.4" x14ac:dyDescent="0.25">
      <c r="B2370" s="47"/>
      <c r="F2370" s="46"/>
      <c r="T2370" s="45"/>
    </row>
    <row r="2371" spans="2:20" ht="26.4" x14ac:dyDescent="0.25">
      <c r="B2371" s="47"/>
      <c r="F2371" s="46"/>
      <c r="T2371" s="45"/>
    </row>
    <row r="2372" spans="2:20" ht="26.4" x14ac:dyDescent="0.25">
      <c r="B2372" s="47"/>
      <c r="F2372" s="46"/>
      <c r="T2372" s="45"/>
    </row>
    <row r="2373" spans="2:20" ht="26.4" x14ac:dyDescent="0.25">
      <c r="B2373" s="47"/>
      <c r="F2373" s="46"/>
      <c r="T2373" s="45"/>
    </row>
    <row r="2374" spans="2:20" ht="26.4" x14ac:dyDescent="0.25">
      <c r="B2374" s="47"/>
      <c r="F2374" s="46"/>
      <c r="T2374" s="45"/>
    </row>
    <row r="2375" spans="2:20" ht="26.4" x14ac:dyDescent="0.25">
      <c r="B2375" s="47"/>
      <c r="F2375" s="46"/>
      <c r="T2375" s="45"/>
    </row>
    <row r="2376" spans="2:20" ht="26.4" x14ac:dyDescent="0.25">
      <c r="B2376" s="47"/>
      <c r="F2376" s="46"/>
      <c r="T2376" s="45"/>
    </row>
    <row r="2377" spans="2:20" ht="26.4" x14ac:dyDescent="0.25">
      <c r="B2377" s="47"/>
      <c r="F2377" s="46"/>
      <c r="T2377" s="45"/>
    </row>
    <row r="2378" spans="2:20" ht="26.4" x14ac:dyDescent="0.25">
      <c r="B2378" s="47"/>
      <c r="F2378" s="46"/>
      <c r="T2378" s="45"/>
    </row>
    <row r="2379" spans="2:20" ht="26.4" x14ac:dyDescent="0.25">
      <c r="B2379" s="47"/>
      <c r="F2379" s="46"/>
      <c r="T2379" s="45"/>
    </row>
    <row r="2380" spans="2:20" ht="26.4" x14ac:dyDescent="0.25">
      <c r="B2380" s="47"/>
      <c r="F2380" s="46"/>
      <c r="T2380" s="45"/>
    </row>
    <row r="2381" spans="2:20" ht="26.4" x14ac:dyDescent="0.25">
      <c r="B2381" s="47"/>
      <c r="F2381" s="46"/>
      <c r="T2381" s="45"/>
    </row>
    <row r="2382" spans="2:20" ht="26.4" x14ac:dyDescent="0.25">
      <c r="B2382" s="47"/>
      <c r="F2382" s="46"/>
      <c r="T2382" s="45"/>
    </row>
    <row r="2383" spans="2:20" ht="26.4" x14ac:dyDescent="0.25">
      <c r="B2383" s="47"/>
      <c r="F2383" s="46"/>
      <c r="T2383" s="45"/>
    </row>
    <row r="2384" spans="2:20" ht="26.4" x14ac:dyDescent="0.25">
      <c r="B2384" s="47"/>
      <c r="F2384" s="46"/>
      <c r="T2384" s="45"/>
    </row>
    <row r="2385" spans="2:20" ht="26.4" x14ac:dyDescent="0.25">
      <c r="B2385" s="47"/>
      <c r="F2385" s="46"/>
      <c r="T2385" s="45"/>
    </row>
    <row r="2386" spans="2:20" ht="26.4" x14ac:dyDescent="0.25">
      <c r="B2386" s="47"/>
      <c r="F2386" s="46"/>
      <c r="T2386" s="45"/>
    </row>
    <row r="2387" spans="2:20" ht="26.4" x14ac:dyDescent="0.25">
      <c r="B2387" s="47"/>
      <c r="F2387" s="46"/>
      <c r="T2387" s="45"/>
    </row>
    <row r="2388" spans="2:20" ht="26.4" x14ac:dyDescent="0.25">
      <c r="B2388" s="47"/>
      <c r="F2388" s="46"/>
      <c r="T2388" s="45"/>
    </row>
    <row r="2389" spans="2:20" ht="26.4" x14ac:dyDescent="0.25">
      <c r="B2389" s="47"/>
      <c r="F2389" s="46"/>
      <c r="T2389" s="45"/>
    </row>
    <row r="2390" spans="2:20" ht="26.4" x14ac:dyDescent="0.25">
      <c r="B2390" s="47"/>
      <c r="F2390" s="46"/>
      <c r="T2390" s="45"/>
    </row>
    <row r="2391" spans="2:20" ht="26.4" x14ac:dyDescent="0.25">
      <c r="B2391" s="47"/>
      <c r="F2391" s="46"/>
      <c r="T2391" s="45"/>
    </row>
    <row r="2392" spans="2:20" ht="26.4" x14ac:dyDescent="0.25">
      <c r="B2392" s="47"/>
      <c r="F2392" s="46"/>
      <c r="T2392" s="45"/>
    </row>
    <row r="2393" spans="2:20" ht="26.4" x14ac:dyDescent="0.25">
      <c r="B2393" s="47"/>
      <c r="F2393" s="46"/>
      <c r="T2393" s="45"/>
    </row>
    <row r="2394" spans="2:20" ht="26.4" x14ac:dyDescent="0.25">
      <c r="B2394" s="47"/>
      <c r="F2394" s="46"/>
      <c r="T2394" s="45"/>
    </row>
    <row r="2395" spans="2:20" ht="26.4" x14ac:dyDescent="0.25">
      <c r="B2395" s="47"/>
      <c r="F2395" s="46"/>
      <c r="T2395" s="45"/>
    </row>
    <row r="2396" spans="2:20" ht="26.4" x14ac:dyDescent="0.25">
      <c r="B2396" s="47"/>
      <c r="F2396" s="46"/>
      <c r="T2396" s="45"/>
    </row>
    <row r="2397" spans="2:20" ht="26.4" x14ac:dyDescent="0.25">
      <c r="B2397" s="47"/>
      <c r="F2397" s="46"/>
      <c r="T2397" s="45"/>
    </row>
    <row r="2398" spans="2:20" ht="26.4" x14ac:dyDescent="0.25">
      <c r="B2398" s="47"/>
      <c r="F2398" s="46"/>
      <c r="T2398" s="45"/>
    </row>
    <row r="2399" spans="2:20" ht="26.4" x14ac:dyDescent="0.25">
      <c r="B2399" s="47"/>
      <c r="F2399" s="46"/>
      <c r="T2399" s="45"/>
    </row>
    <row r="2400" spans="2:20" ht="26.4" x14ac:dyDescent="0.25">
      <c r="B2400" s="47"/>
      <c r="F2400" s="46"/>
      <c r="T2400" s="45"/>
    </row>
    <row r="2401" spans="2:20" ht="26.4" x14ac:dyDescent="0.25">
      <c r="B2401" s="47"/>
      <c r="F2401" s="46"/>
      <c r="T2401" s="45"/>
    </row>
    <row r="2402" spans="2:20" ht="26.4" x14ac:dyDescent="0.25">
      <c r="B2402" s="47"/>
      <c r="F2402" s="46"/>
      <c r="T2402" s="45"/>
    </row>
    <row r="2403" spans="2:20" ht="26.4" x14ac:dyDescent="0.25">
      <c r="B2403" s="47"/>
      <c r="F2403" s="46"/>
      <c r="T2403" s="45"/>
    </row>
    <row r="2404" spans="2:20" ht="26.4" x14ac:dyDescent="0.25">
      <c r="B2404" s="47"/>
      <c r="F2404" s="46"/>
      <c r="T2404" s="45"/>
    </row>
    <row r="2405" spans="2:20" ht="26.4" x14ac:dyDescent="0.25">
      <c r="B2405" s="47"/>
      <c r="F2405" s="46"/>
      <c r="T2405" s="45"/>
    </row>
    <row r="2406" spans="2:20" ht="26.4" x14ac:dyDescent="0.25">
      <c r="B2406" s="47"/>
      <c r="F2406" s="46"/>
      <c r="T2406" s="45"/>
    </row>
    <row r="2407" spans="2:20" ht="26.4" x14ac:dyDescent="0.25">
      <c r="B2407" s="47"/>
      <c r="F2407" s="46"/>
      <c r="T2407" s="45"/>
    </row>
    <row r="2408" spans="2:20" ht="26.4" x14ac:dyDescent="0.25">
      <c r="B2408" s="47"/>
      <c r="F2408" s="46"/>
      <c r="T2408" s="45"/>
    </row>
    <row r="2409" spans="2:20" ht="27" thickBot="1" x14ac:dyDescent="0.3">
      <c r="M2409" s="68"/>
      <c r="N2409" s="93"/>
      <c r="O2409" s="93"/>
      <c r="P2409" s="93"/>
      <c r="Q2409" s="93"/>
      <c r="R2409" s="93"/>
      <c r="S2409" s="93"/>
      <c r="T2409" s="92"/>
    </row>
    <row r="2410" spans="2:20" ht="29.4" thickTop="1" x14ac:dyDescent="0.25"/>
  </sheetData>
  <autoFilter ref="A1:AA1" xr:uid="{932BEC0B-CB4A-4C93-A02D-E0593B172E8A}"/>
  <pageMargins left="0.7" right="0.7" top="0.75" bottom="0.75" header="0.3" footer="0.3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9C01-A05C-4B4B-9424-F441F6424E62}">
  <sheetPr>
    <tabColor rgb="FF66FFFF"/>
  </sheetPr>
  <dimension ref="A1:T2321"/>
  <sheetViews>
    <sheetView zoomScale="70" zoomScaleNormal="70" workbookViewId="0">
      <pane xSplit="7" ySplit="1" topLeftCell="M46" activePane="bottomRight" state="frozen"/>
      <selection activeCell="G17" sqref="G17"/>
      <selection pane="topRight" activeCell="G17" sqref="G17"/>
      <selection pane="bottomLeft" activeCell="G17" sqref="G17"/>
      <selection pane="bottomRight" sqref="A1:XFD1048576"/>
    </sheetView>
  </sheetViews>
  <sheetFormatPr defaultColWidth="9.8984375" defaultRowHeight="28.8" x14ac:dyDescent="0.25"/>
  <cols>
    <col min="1" max="1" width="6.796875" style="57" bestFit="1" customWidth="1"/>
    <col min="2" max="2" width="10.09765625" style="57" bestFit="1" customWidth="1"/>
    <col min="3" max="3" width="23.296875" style="57" customWidth="1"/>
    <col min="4" max="4" width="11.09765625" style="57" customWidth="1"/>
    <col min="5" max="5" width="18.8984375" style="57" customWidth="1"/>
    <col min="6" max="6" width="9.8984375" style="57" customWidth="1"/>
    <col min="7" max="7" width="16.296875" style="57" customWidth="1"/>
    <col min="8" max="8" width="12.296875" style="57" customWidth="1"/>
    <col min="9" max="9" width="20" style="57" bestFit="1" customWidth="1"/>
    <col min="10" max="10" width="26.19921875" style="57" customWidth="1"/>
    <col min="11" max="11" width="21.09765625" style="57" customWidth="1"/>
    <col min="12" max="12" width="212.09765625" style="111" customWidth="1"/>
    <col min="13" max="13" width="16.59765625" style="57" customWidth="1"/>
    <col min="14" max="14" width="21.09765625" style="57" customWidth="1"/>
    <col min="15" max="15" width="18.59765625" style="57" customWidth="1"/>
    <col min="16" max="16" width="20.796875" style="57" customWidth="1"/>
    <col min="17" max="17" width="22.19921875" style="57" customWidth="1"/>
    <col min="18" max="18" width="21.796875" style="57" customWidth="1"/>
    <col min="19" max="19" width="14.3984375" style="57" customWidth="1"/>
    <col min="20" max="20" width="21.09765625" style="116" bestFit="1" customWidth="1"/>
    <col min="21" max="16384" width="9.8984375" style="111"/>
  </cols>
  <sheetData>
    <row r="1" spans="1:20" s="107" customFormat="1" ht="52.8" x14ac:dyDescent="0.25">
      <c r="A1" s="107" t="s">
        <v>18</v>
      </c>
      <c r="B1" s="107" t="s">
        <v>96</v>
      </c>
      <c r="C1" s="107" t="s">
        <v>97</v>
      </c>
      <c r="D1" s="107" t="s">
        <v>98</v>
      </c>
      <c r="E1" s="107" t="s">
        <v>99</v>
      </c>
      <c r="F1" s="107" t="s">
        <v>4</v>
      </c>
      <c r="G1" s="108" t="s">
        <v>100</v>
      </c>
      <c r="H1" s="107" t="s">
        <v>101</v>
      </c>
      <c r="I1" s="107" t="s">
        <v>102</v>
      </c>
      <c r="J1" s="107" t="s">
        <v>103</v>
      </c>
      <c r="K1" s="107" t="s">
        <v>104</v>
      </c>
      <c r="L1" s="107" t="s">
        <v>105</v>
      </c>
      <c r="M1" s="107" t="s">
        <v>106</v>
      </c>
      <c r="N1" s="107" t="s">
        <v>107</v>
      </c>
      <c r="O1" s="107" t="s">
        <v>108</v>
      </c>
      <c r="P1" s="107" t="s">
        <v>109</v>
      </c>
      <c r="Q1" s="107" t="s">
        <v>110</v>
      </c>
      <c r="R1" s="107" t="s">
        <v>111</v>
      </c>
      <c r="S1" s="107" t="s">
        <v>112</v>
      </c>
      <c r="T1" s="109" t="s">
        <v>113</v>
      </c>
    </row>
    <row r="2" spans="1:20" ht="23.4" x14ac:dyDescent="0.25">
      <c r="A2" s="57">
        <v>1</v>
      </c>
      <c r="B2" s="110">
        <v>244019</v>
      </c>
      <c r="C2" s="57" t="s">
        <v>114</v>
      </c>
      <c r="D2" s="57" t="s">
        <v>115</v>
      </c>
      <c r="E2" s="57" t="s">
        <v>116</v>
      </c>
      <c r="F2" s="57" t="s">
        <v>119</v>
      </c>
      <c r="G2" s="57">
        <v>2</v>
      </c>
      <c r="H2" s="57" t="s">
        <v>117</v>
      </c>
      <c r="I2" s="57" t="s">
        <v>3464</v>
      </c>
      <c r="J2" s="57" t="s">
        <v>3465</v>
      </c>
      <c r="K2" s="57" t="s">
        <v>136</v>
      </c>
      <c r="L2" s="111" t="s">
        <v>3466</v>
      </c>
      <c r="N2" s="57">
        <v>1.2E-2</v>
      </c>
      <c r="O2" s="57">
        <v>0</v>
      </c>
      <c r="P2" s="57">
        <v>0</v>
      </c>
      <c r="Q2" s="57">
        <v>0</v>
      </c>
      <c r="R2" s="57">
        <v>0</v>
      </c>
      <c r="S2" s="57">
        <v>17</v>
      </c>
      <c r="T2" s="112">
        <v>17</v>
      </c>
    </row>
    <row r="3" spans="1:20" ht="23.4" x14ac:dyDescent="0.25">
      <c r="A3" s="57">
        <v>2</v>
      </c>
      <c r="B3" s="110">
        <v>244019</v>
      </c>
      <c r="C3" s="57" t="s">
        <v>114</v>
      </c>
      <c r="D3" s="57" t="s">
        <v>115</v>
      </c>
      <c r="E3" s="57" t="s">
        <v>116</v>
      </c>
      <c r="F3" s="57" t="s">
        <v>119</v>
      </c>
      <c r="G3" s="57">
        <v>2</v>
      </c>
      <c r="H3" s="57" t="s">
        <v>117</v>
      </c>
      <c r="I3" s="57" t="s">
        <v>3467</v>
      </c>
      <c r="J3" s="57" t="s">
        <v>3468</v>
      </c>
      <c r="K3" s="57" t="s">
        <v>2104</v>
      </c>
      <c r="L3" s="111" t="s">
        <v>2812</v>
      </c>
      <c r="N3" s="57">
        <v>4.2000000000000003E-2</v>
      </c>
      <c r="O3" s="57">
        <v>0</v>
      </c>
      <c r="P3" s="57">
        <v>0</v>
      </c>
      <c r="Q3" s="57">
        <v>0</v>
      </c>
      <c r="R3" s="57">
        <v>0</v>
      </c>
      <c r="S3" s="57">
        <v>17</v>
      </c>
      <c r="T3" s="112">
        <v>17</v>
      </c>
    </row>
    <row r="4" spans="1:20" ht="23.4" x14ac:dyDescent="0.25">
      <c r="A4" s="57">
        <v>3</v>
      </c>
      <c r="B4" s="110">
        <v>244019</v>
      </c>
      <c r="C4" s="57" t="s">
        <v>114</v>
      </c>
      <c r="D4" s="57" t="s">
        <v>115</v>
      </c>
      <c r="E4" s="57" t="s">
        <v>116</v>
      </c>
      <c r="F4" s="57" t="s">
        <v>119</v>
      </c>
      <c r="G4" s="57">
        <v>2</v>
      </c>
      <c r="H4" s="57" t="s">
        <v>117</v>
      </c>
      <c r="I4" s="57" t="s">
        <v>3469</v>
      </c>
      <c r="J4" s="57" t="s">
        <v>3470</v>
      </c>
      <c r="K4" s="57" t="s">
        <v>3471</v>
      </c>
      <c r="L4" s="111" t="s">
        <v>3472</v>
      </c>
      <c r="N4" s="57">
        <v>0.316</v>
      </c>
      <c r="O4" s="57">
        <v>0</v>
      </c>
      <c r="P4" s="57">
        <v>0</v>
      </c>
      <c r="Q4" s="57">
        <v>0</v>
      </c>
      <c r="R4" s="57">
        <v>0</v>
      </c>
      <c r="S4" s="57">
        <v>17</v>
      </c>
      <c r="T4" s="112">
        <v>17</v>
      </c>
    </row>
    <row r="5" spans="1:20" ht="23.4" x14ac:dyDescent="0.25">
      <c r="A5" s="57">
        <v>4</v>
      </c>
      <c r="B5" s="110">
        <v>244019</v>
      </c>
      <c r="C5" s="57" t="s">
        <v>114</v>
      </c>
      <c r="D5" s="57" t="s">
        <v>115</v>
      </c>
      <c r="E5" s="57" t="s">
        <v>116</v>
      </c>
      <c r="F5" s="57" t="s">
        <v>119</v>
      </c>
      <c r="G5" s="57">
        <v>2</v>
      </c>
      <c r="H5" s="57" t="s">
        <v>117</v>
      </c>
      <c r="I5" s="57" t="s">
        <v>3473</v>
      </c>
      <c r="J5" s="57" t="s">
        <v>3474</v>
      </c>
      <c r="K5" s="57" t="s">
        <v>3475</v>
      </c>
      <c r="L5" s="111" t="s">
        <v>3476</v>
      </c>
      <c r="N5" s="57">
        <v>0.18</v>
      </c>
      <c r="O5" s="57">
        <v>0</v>
      </c>
      <c r="P5" s="57">
        <v>0</v>
      </c>
      <c r="Q5" s="57">
        <v>0</v>
      </c>
      <c r="R5" s="57">
        <v>0</v>
      </c>
      <c r="S5" s="57">
        <v>17</v>
      </c>
      <c r="T5" s="112">
        <v>17</v>
      </c>
    </row>
    <row r="6" spans="1:20" ht="23.4" x14ac:dyDescent="0.25">
      <c r="A6" s="57">
        <v>5</v>
      </c>
      <c r="B6" s="110">
        <v>244019</v>
      </c>
      <c r="C6" s="57" t="s">
        <v>114</v>
      </c>
      <c r="D6" s="57" t="s">
        <v>115</v>
      </c>
      <c r="E6" s="57" t="s">
        <v>116</v>
      </c>
      <c r="F6" s="57" t="s">
        <v>119</v>
      </c>
      <c r="G6" s="57">
        <v>2</v>
      </c>
      <c r="H6" s="57" t="s">
        <v>117</v>
      </c>
      <c r="I6" s="57" t="s">
        <v>3477</v>
      </c>
      <c r="J6" s="57" t="s">
        <v>718</v>
      </c>
      <c r="K6" s="57" t="s">
        <v>126</v>
      </c>
      <c r="L6" s="111" t="s">
        <v>1968</v>
      </c>
      <c r="N6" s="57">
        <v>0.20200000000000001</v>
      </c>
      <c r="O6" s="57">
        <v>0</v>
      </c>
      <c r="P6" s="57">
        <v>0</v>
      </c>
      <c r="Q6" s="57">
        <v>0</v>
      </c>
      <c r="R6" s="57">
        <v>0</v>
      </c>
      <c r="S6" s="57">
        <v>17</v>
      </c>
      <c r="T6" s="112">
        <v>17</v>
      </c>
    </row>
    <row r="7" spans="1:20" ht="23.4" x14ac:dyDescent="0.25">
      <c r="A7" s="57">
        <v>6</v>
      </c>
      <c r="B7" s="110">
        <v>244019</v>
      </c>
      <c r="C7" s="57" t="s">
        <v>114</v>
      </c>
      <c r="D7" s="57" t="s">
        <v>115</v>
      </c>
      <c r="E7" s="57" t="s">
        <v>116</v>
      </c>
      <c r="F7" s="57" t="s">
        <v>119</v>
      </c>
      <c r="G7" s="57">
        <v>2</v>
      </c>
      <c r="H7" s="57" t="s">
        <v>117</v>
      </c>
      <c r="I7" s="57" t="s">
        <v>3478</v>
      </c>
      <c r="J7" s="57" t="s">
        <v>3479</v>
      </c>
      <c r="K7" s="57" t="s">
        <v>3480</v>
      </c>
      <c r="L7" s="111" t="s">
        <v>3481</v>
      </c>
      <c r="N7" s="57">
        <v>3.9380000000000002</v>
      </c>
      <c r="O7" s="57">
        <v>0</v>
      </c>
      <c r="P7" s="57">
        <v>0</v>
      </c>
      <c r="Q7" s="57">
        <v>0</v>
      </c>
      <c r="R7" s="57">
        <v>0</v>
      </c>
      <c r="S7" s="57">
        <v>43</v>
      </c>
      <c r="T7" s="112">
        <v>43</v>
      </c>
    </row>
    <row r="8" spans="1:20" ht="23.4" x14ac:dyDescent="0.25">
      <c r="A8" s="57">
        <v>7</v>
      </c>
      <c r="B8" s="110">
        <v>244019</v>
      </c>
      <c r="C8" s="57" t="s">
        <v>114</v>
      </c>
      <c r="D8" s="57" t="s">
        <v>115</v>
      </c>
      <c r="E8" s="57" t="s">
        <v>116</v>
      </c>
      <c r="F8" s="57" t="s">
        <v>119</v>
      </c>
      <c r="G8" s="57">
        <v>2</v>
      </c>
      <c r="H8" s="57" t="s">
        <v>117</v>
      </c>
      <c r="I8" s="57" t="s">
        <v>3482</v>
      </c>
      <c r="J8" s="57" t="s">
        <v>3483</v>
      </c>
      <c r="K8" s="57" t="s">
        <v>3484</v>
      </c>
      <c r="L8" s="111" t="s">
        <v>3485</v>
      </c>
      <c r="N8" s="57">
        <v>1.208</v>
      </c>
      <c r="O8" s="57">
        <v>0</v>
      </c>
      <c r="P8" s="57">
        <v>0</v>
      </c>
      <c r="Q8" s="57">
        <v>0</v>
      </c>
      <c r="R8" s="57">
        <v>0</v>
      </c>
      <c r="S8" s="57">
        <v>22</v>
      </c>
      <c r="T8" s="112">
        <v>22</v>
      </c>
    </row>
    <row r="9" spans="1:20" ht="23.4" x14ac:dyDescent="0.25">
      <c r="A9" s="57">
        <v>8</v>
      </c>
      <c r="B9" s="110">
        <v>244019</v>
      </c>
      <c r="C9" s="57" t="s">
        <v>114</v>
      </c>
      <c r="D9" s="57" t="s">
        <v>115</v>
      </c>
      <c r="E9" s="57" t="s">
        <v>116</v>
      </c>
      <c r="F9" s="57" t="s">
        <v>119</v>
      </c>
      <c r="G9" s="57">
        <v>2</v>
      </c>
      <c r="H9" s="57" t="s">
        <v>117</v>
      </c>
      <c r="I9" s="57" t="s">
        <v>3486</v>
      </c>
      <c r="J9" s="57" t="s">
        <v>3487</v>
      </c>
      <c r="K9" s="57" t="s">
        <v>3488</v>
      </c>
      <c r="L9" s="111" t="s">
        <v>3489</v>
      </c>
      <c r="N9" s="57">
        <v>1.224</v>
      </c>
      <c r="O9" s="57">
        <v>0</v>
      </c>
      <c r="P9" s="57">
        <v>0</v>
      </c>
      <c r="Q9" s="57">
        <v>0</v>
      </c>
      <c r="R9" s="57">
        <v>0</v>
      </c>
      <c r="S9" s="57">
        <v>22</v>
      </c>
      <c r="T9" s="112">
        <v>22</v>
      </c>
    </row>
    <row r="10" spans="1:20" ht="23.4" x14ac:dyDescent="0.25">
      <c r="A10" s="57">
        <v>9</v>
      </c>
      <c r="B10" s="110">
        <v>244019</v>
      </c>
      <c r="C10" s="57" t="s">
        <v>114</v>
      </c>
      <c r="D10" s="57" t="s">
        <v>115</v>
      </c>
      <c r="E10" s="57" t="s">
        <v>116</v>
      </c>
      <c r="F10" s="57" t="s">
        <v>119</v>
      </c>
      <c r="G10" s="57">
        <v>2</v>
      </c>
      <c r="H10" s="57" t="s">
        <v>117</v>
      </c>
      <c r="I10" s="57" t="s">
        <v>3490</v>
      </c>
      <c r="J10" s="57" t="s">
        <v>3491</v>
      </c>
      <c r="K10" s="57" t="s">
        <v>3492</v>
      </c>
      <c r="L10" s="111" t="s">
        <v>3493</v>
      </c>
      <c r="N10" s="57">
        <v>1.258</v>
      </c>
      <c r="O10" s="57">
        <v>252</v>
      </c>
      <c r="P10" s="57">
        <v>3.78</v>
      </c>
      <c r="Q10" s="57">
        <v>0.2646</v>
      </c>
      <c r="R10" s="57">
        <v>0</v>
      </c>
      <c r="S10" s="57">
        <v>22</v>
      </c>
      <c r="T10" s="112">
        <v>26.04</v>
      </c>
    </row>
    <row r="11" spans="1:20" ht="23.4" x14ac:dyDescent="0.25">
      <c r="A11" s="57">
        <v>10</v>
      </c>
      <c r="B11" s="110">
        <v>244019</v>
      </c>
      <c r="C11" s="57" t="s">
        <v>114</v>
      </c>
      <c r="D11" s="57" t="s">
        <v>115</v>
      </c>
      <c r="E11" s="57" t="s">
        <v>116</v>
      </c>
      <c r="F11" s="57" t="s">
        <v>119</v>
      </c>
      <c r="G11" s="57">
        <v>2</v>
      </c>
      <c r="H11" s="57" t="s">
        <v>117</v>
      </c>
      <c r="I11" s="57" t="s">
        <v>3494</v>
      </c>
      <c r="J11" s="57" t="s">
        <v>3495</v>
      </c>
      <c r="K11" s="57" t="s">
        <v>3496</v>
      </c>
      <c r="L11" s="111" t="s">
        <v>3497</v>
      </c>
      <c r="N11" s="57">
        <v>1.17</v>
      </c>
      <c r="O11" s="57">
        <v>0</v>
      </c>
      <c r="P11" s="57">
        <v>0</v>
      </c>
      <c r="Q11" s="57">
        <v>0</v>
      </c>
      <c r="R11" s="57">
        <v>0</v>
      </c>
      <c r="S11" s="57">
        <v>22</v>
      </c>
      <c r="T11" s="112">
        <v>22</v>
      </c>
    </row>
    <row r="12" spans="1:20" ht="23.4" x14ac:dyDescent="0.25">
      <c r="A12" s="57">
        <v>11</v>
      </c>
      <c r="B12" s="110">
        <v>244019</v>
      </c>
      <c r="C12" s="57" t="s">
        <v>114</v>
      </c>
      <c r="D12" s="57" t="s">
        <v>115</v>
      </c>
      <c r="E12" s="57" t="s">
        <v>116</v>
      </c>
      <c r="F12" s="57" t="s">
        <v>119</v>
      </c>
      <c r="G12" s="57">
        <v>2</v>
      </c>
      <c r="H12" s="57" t="s">
        <v>117</v>
      </c>
      <c r="I12" s="57" t="s">
        <v>3498</v>
      </c>
      <c r="J12" s="57" t="s">
        <v>3499</v>
      </c>
      <c r="K12" s="57" t="s">
        <v>3500</v>
      </c>
      <c r="L12" s="111" t="s">
        <v>3501</v>
      </c>
      <c r="N12" s="57">
        <v>1.1339999999999999</v>
      </c>
      <c r="O12" s="57">
        <v>0</v>
      </c>
      <c r="P12" s="57">
        <v>0</v>
      </c>
      <c r="Q12" s="57">
        <v>0</v>
      </c>
      <c r="R12" s="57">
        <v>0</v>
      </c>
      <c r="S12" s="57">
        <v>22</v>
      </c>
      <c r="T12" s="112">
        <v>22</v>
      </c>
    </row>
    <row r="13" spans="1:20" ht="23.4" x14ac:dyDescent="0.25">
      <c r="A13" s="57">
        <v>12</v>
      </c>
      <c r="B13" s="110">
        <v>244019</v>
      </c>
      <c r="C13" s="57" t="s">
        <v>114</v>
      </c>
      <c r="D13" s="57" t="s">
        <v>115</v>
      </c>
      <c r="E13" s="57" t="s">
        <v>116</v>
      </c>
      <c r="F13" s="57" t="s">
        <v>119</v>
      </c>
      <c r="G13" s="57">
        <v>2</v>
      </c>
      <c r="H13" s="57" t="s">
        <v>117</v>
      </c>
      <c r="I13" s="57" t="s">
        <v>3502</v>
      </c>
      <c r="J13" s="57" t="s">
        <v>3503</v>
      </c>
      <c r="K13" s="57" t="s">
        <v>3504</v>
      </c>
      <c r="L13" s="111" t="s">
        <v>3505</v>
      </c>
      <c r="N13" s="57">
        <v>1.18</v>
      </c>
      <c r="O13" s="57">
        <v>0</v>
      </c>
      <c r="P13" s="57">
        <v>0</v>
      </c>
      <c r="Q13" s="57">
        <v>0</v>
      </c>
      <c r="R13" s="57">
        <v>0</v>
      </c>
      <c r="S13" s="57">
        <v>22</v>
      </c>
      <c r="T13" s="112">
        <v>22</v>
      </c>
    </row>
    <row r="14" spans="1:20" ht="23.4" x14ac:dyDescent="0.25">
      <c r="A14" s="57">
        <v>13</v>
      </c>
      <c r="B14" s="110">
        <v>244019</v>
      </c>
      <c r="C14" s="57" t="s">
        <v>114</v>
      </c>
      <c r="D14" s="57" t="s">
        <v>115</v>
      </c>
      <c r="E14" s="57" t="s">
        <v>116</v>
      </c>
      <c r="F14" s="57" t="s">
        <v>119</v>
      </c>
      <c r="G14" s="57">
        <v>2</v>
      </c>
      <c r="H14" s="57" t="s">
        <v>117</v>
      </c>
      <c r="I14" s="57" t="s">
        <v>3506</v>
      </c>
      <c r="J14" s="57" t="s">
        <v>3507</v>
      </c>
      <c r="K14" s="57" t="s">
        <v>3508</v>
      </c>
      <c r="L14" s="111" t="s">
        <v>3509</v>
      </c>
      <c r="N14" s="57">
        <v>1.22</v>
      </c>
      <c r="O14" s="57">
        <v>252</v>
      </c>
      <c r="P14" s="57">
        <v>3.78</v>
      </c>
      <c r="Q14" s="57">
        <v>0.2646</v>
      </c>
      <c r="R14" s="57">
        <v>0</v>
      </c>
      <c r="S14" s="57">
        <v>22</v>
      </c>
      <c r="T14" s="112">
        <v>26.04</v>
      </c>
    </row>
    <row r="15" spans="1:20" ht="23.4" x14ac:dyDescent="0.25">
      <c r="A15" s="57">
        <v>14</v>
      </c>
      <c r="B15" s="110">
        <v>244019</v>
      </c>
      <c r="C15" s="57" t="s">
        <v>114</v>
      </c>
      <c r="D15" s="57" t="s">
        <v>115</v>
      </c>
      <c r="E15" s="57" t="s">
        <v>116</v>
      </c>
      <c r="F15" s="57" t="s">
        <v>119</v>
      </c>
      <c r="G15" s="57">
        <v>2</v>
      </c>
      <c r="H15" s="57" t="s">
        <v>117</v>
      </c>
      <c r="I15" s="57" t="s">
        <v>3510</v>
      </c>
      <c r="J15" s="57" t="s">
        <v>3511</v>
      </c>
      <c r="K15" s="57" t="s">
        <v>3512</v>
      </c>
      <c r="L15" s="111" t="s">
        <v>3513</v>
      </c>
      <c r="N15" s="57">
        <v>1.256</v>
      </c>
      <c r="O15" s="57">
        <v>0</v>
      </c>
      <c r="P15" s="57">
        <v>0</v>
      </c>
      <c r="Q15" s="57">
        <v>0</v>
      </c>
      <c r="R15" s="57">
        <v>0</v>
      </c>
      <c r="S15" s="57">
        <v>22</v>
      </c>
      <c r="T15" s="112">
        <v>22</v>
      </c>
    </row>
    <row r="16" spans="1:20" ht="23.4" x14ac:dyDescent="0.25">
      <c r="A16" s="57">
        <v>15</v>
      </c>
      <c r="B16" s="110">
        <v>244019</v>
      </c>
      <c r="C16" s="57" t="s">
        <v>114</v>
      </c>
      <c r="D16" s="57" t="s">
        <v>115</v>
      </c>
      <c r="E16" s="57" t="s">
        <v>116</v>
      </c>
      <c r="F16" s="57" t="s">
        <v>119</v>
      </c>
      <c r="G16" s="57">
        <v>2</v>
      </c>
      <c r="H16" s="57" t="s">
        <v>117</v>
      </c>
      <c r="I16" s="57" t="s">
        <v>3514</v>
      </c>
      <c r="J16" s="57" t="s">
        <v>3515</v>
      </c>
      <c r="K16" s="57" t="s">
        <v>3516</v>
      </c>
      <c r="L16" s="111" t="s">
        <v>3517</v>
      </c>
      <c r="N16" s="57">
        <v>1.1399999999999999</v>
      </c>
      <c r="O16" s="57">
        <v>252</v>
      </c>
      <c r="P16" s="57">
        <v>3.78</v>
      </c>
      <c r="Q16" s="57">
        <v>0.2646</v>
      </c>
      <c r="R16" s="57">
        <v>0</v>
      </c>
      <c r="S16" s="57">
        <v>22</v>
      </c>
      <c r="T16" s="112">
        <v>26.04</v>
      </c>
    </row>
    <row r="17" spans="1:20" ht="23.4" x14ac:dyDescent="0.25">
      <c r="A17" s="57">
        <v>16</v>
      </c>
      <c r="B17" s="110">
        <v>244019</v>
      </c>
      <c r="C17" s="57" t="s">
        <v>114</v>
      </c>
      <c r="D17" s="57" t="s">
        <v>115</v>
      </c>
      <c r="E17" s="57" t="s">
        <v>116</v>
      </c>
      <c r="F17" s="57" t="s">
        <v>119</v>
      </c>
      <c r="G17" s="57">
        <v>2</v>
      </c>
      <c r="H17" s="57" t="s">
        <v>117</v>
      </c>
      <c r="I17" s="57" t="s">
        <v>3518</v>
      </c>
      <c r="J17" s="57" t="s">
        <v>3519</v>
      </c>
      <c r="K17" s="57" t="s">
        <v>3141</v>
      </c>
      <c r="L17" s="111" t="s">
        <v>3520</v>
      </c>
      <c r="N17" s="57">
        <v>2.1579999999999999</v>
      </c>
      <c r="O17" s="57">
        <v>474</v>
      </c>
      <c r="P17" s="57">
        <v>7.11</v>
      </c>
      <c r="Q17" s="57">
        <v>0.49769999999999998</v>
      </c>
      <c r="R17" s="57">
        <v>0</v>
      </c>
      <c r="S17" s="57">
        <v>33</v>
      </c>
      <c r="T17" s="112">
        <v>40.61</v>
      </c>
    </row>
    <row r="18" spans="1:20" ht="23.4" x14ac:dyDescent="0.25">
      <c r="A18" s="57">
        <v>17</v>
      </c>
      <c r="B18" s="110">
        <v>244019</v>
      </c>
      <c r="C18" s="57" t="s">
        <v>114</v>
      </c>
      <c r="D18" s="57" t="s">
        <v>115</v>
      </c>
      <c r="E18" s="57" t="s">
        <v>116</v>
      </c>
      <c r="F18" s="57" t="s">
        <v>119</v>
      </c>
      <c r="G18" s="57">
        <v>2</v>
      </c>
      <c r="H18" s="57" t="s">
        <v>117</v>
      </c>
      <c r="I18" s="57" t="s">
        <v>3521</v>
      </c>
      <c r="J18" s="57" t="s">
        <v>1352</v>
      </c>
      <c r="K18" s="57" t="s">
        <v>1353</v>
      </c>
      <c r="L18" s="111" t="s">
        <v>3522</v>
      </c>
      <c r="N18" s="57">
        <v>1.218</v>
      </c>
      <c r="O18" s="57">
        <v>252</v>
      </c>
      <c r="P18" s="57">
        <v>3.78</v>
      </c>
      <c r="Q18" s="57">
        <v>0.2646</v>
      </c>
      <c r="R18" s="57">
        <v>0</v>
      </c>
      <c r="S18" s="57">
        <v>22</v>
      </c>
      <c r="T18" s="112">
        <v>26.04</v>
      </c>
    </row>
    <row r="19" spans="1:20" ht="23.4" x14ac:dyDescent="0.25">
      <c r="A19" s="57">
        <v>18</v>
      </c>
      <c r="B19" s="110">
        <v>244019</v>
      </c>
      <c r="C19" s="57" t="s">
        <v>114</v>
      </c>
      <c r="D19" s="57" t="s">
        <v>115</v>
      </c>
      <c r="E19" s="57" t="s">
        <v>116</v>
      </c>
      <c r="F19" s="57" t="s">
        <v>119</v>
      </c>
      <c r="G19" s="57">
        <v>2</v>
      </c>
      <c r="H19" s="57" t="s">
        <v>117</v>
      </c>
      <c r="I19" s="57" t="s">
        <v>3523</v>
      </c>
      <c r="J19" s="57" t="s">
        <v>3524</v>
      </c>
      <c r="K19" s="57" t="s">
        <v>2092</v>
      </c>
      <c r="L19" s="111" t="s">
        <v>3525</v>
      </c>
      <c r="N19" s="57">
        <v>1.1359999999999999</v>
      </c>
      <c r="O19" s="57">
        <v>252</v>
      </c>
      <c r="P19" s="57">
        <v>3.78</v>
      </c>
      <c r="Q19" s="57">
        <v>0.2646</v>
      </c>
      <c r="R19" s="57">
        <v>0</v>
      </c>
      <c r="S19" s="57">
        <v>22</v>
      </c>
      <c r="T19" s="112">
        <v>26.04</v>
      </c>
    </row>
    <row r="20" spans="1:20" ht="23.4" x14ac:dyDescent="0.25">
      <c r="A20" s="57">
        <v>19</v>
      </c>
      <c r="B20" s="110">
        <v>244019</v>
      </c>
      <c r="C20" s="57" t="s">
        <v>114</v>
      </c>
      <c r="D20" s="57" t="s">
        <v>115</v>
      </c>
      <c r="E20" s="57" t="s">
        <v>116</v>
      </c>
      <c r="F20" s="57" t="s">
        <v>119</v>
      </c>
      <c r="G20" s="57">
        <v>2</v>
      </c>
      <c r="H20" s="57" t="s">
        <v>117</v>
      </c>
      <c r="I20" s="57" t="s">
        <v>3526</v>
      </c>
      <c r="J20" s="57" t="s">
        <v>3527</v>
      </c>
      <c r="K20" s="57" t="s">
        <v>2979</v>
      </c>
      <c r="L20" s="111" t="s">
        <v>3528</v>
      </c>
      <c r="N20" s="57">
        <v>1.1259999999999999</v>
      </c>
      <c r="O20" s="57">
        <v>252</v>
      </c>
      <c r="P20" s="57">
        <v>3.78</v>
      </c>
      <c r="Q20" s="57">
        <v>0.2646</v>
      </c>
      <c r="R20" s="57">
        <v>0</v>
      </c>
      <c r="S20" s="57">
        <v>22</v>
      </c>
      <c r="T20" s="112">
        <v>26.04</v>
      </c>
    </row>
    <row r="21" spans="1:20" ht="23.4" x14ac:dyDescent="0.25">
      <c r="A21" s="57">
        <v>20</v>
      </c>
      <c r="B21" s="110">
        <v>244019</v>
      </c>
      <c r="C21" s="57" t="s">
        <v>114</v>
      </c>
      <c r="D21" s="57" t="s">
        <v>115</v>
      </c>
      <c r="E21" s="57" t="s">
        <v>116</v>
      </c>
      <c r="F21" s="57" t="s">
        <v>119</v>
      </c>
      <c r="G21" s="57">
        <v>2</v>
      </c>
      <c r="H21" s="57" t="s">
        <v>117</v>
      </c>
      <c r="I21" s="57" t="s">
        <v>3529</v>
      </c>
      <c r="J21" s="57" t="s">
        <v>3530</v>
      </c>
      <c r="K21" s="57" t="s">
        <v>3531</v>
      </c>
      <c r="L21" s="111" t="s">
        <v>3532</v>
      </c>
      <c r="N21" s="57">
        <v>1.1160000000000001</v>
      </c>
      <c r="O21" s="57">
        <v>0</v>
      </c>
      <c r="P21" s="57">
        <v>0</v>
      </c>
      <c r="Q21" s="57">
        <v>0</v>
      </c>
      <c r="R21" s="57">
        <v>0</v>
      </c>
      <c r="S21" s="57">
        <v>22</v>
      </c>
      <c r="T21" s="112">
        <v>22</v>
      </c>
    </row>
    <row r="22" spans="1:20" ht="23.4" x14ac:dyDescent="0.25">
      <c r="A22" s="57">
        <v>21</v>
      </c>
      <c r="B22" s="110">
        <v>244019</v>
      </c>
      <c r="C22" s="57" t="s">
        <v>114</v>
      </c>
      <c r="D22" s="57" t="s">
        <v>115</v>
      </c>
      <c r="E22" s="57" t="s">
        <v>116</v>
      </c>
      <c r="F22" s="57" t="s">
        <v>119</v>
      </c>
      <c r="G22" s="57">
        <v>2</v>
      </c>
      <c r="H22" s="57" t="s">
        <v>117</v>
      </c>
      <c r="I22" s="57" t="s">
        <v>3533</v>
      </c>
      <c r="J22" s="57" t="s">
        <v>123</v>
      </c>
      <c r="K22" s="57" t="s">
        <v>124</v>
      </c>
      <c r="L22" s="111" t="s">
        <v>2677</v>
      </c>
      <c r="N22" s="57">
        <v>0.106</v>
      </c>
      <c r="O22" s="57">
        <v>0</v>
      </c>
      <c r="P22" s="57">
        <v>0</v>
      </c>
      <c r="Q22" s="57">
        <v>0</v>
      </c>
      <c r="R22" s="57">
        <v>0</v>
      </c>
      <c r="S22" s="57">
        <v>17</v>
      </c>
      <c r="T22" s="112">
        <v>17</v>
      </c>
    </row>
    <row r="23" spans="1:20" ht="23.4" x14ac:dyDescent="0.25">
      <c r="A23" s="57">
        <v>22</v>
      </c>
      <c r="B23" s="110">
        <v>244020</v>
      </c>
      <c r="C23" s="57" t="s">
        <v>114</v>
      </c>
      <c r="D23" s="57" t="s">
        <v>115</v>
      </c>
      <c r="E23" s="57" t="s">
        <v>116</v>
      </c>
      <c r="F23" s="57" t="s">
        <v>119</v>
      </c>
      <c r="G23" s="57">
        <v>2</v>
      </c>
      <c r="H23" s="57" t="s">
        <v>117</v>
      </c>
      <c r="I23" s="57" t="s">
        <v>3534</v>
      </c>
      <c r="J23" s="57" t="s">
        <v>3535</v>
      </c>
      <c r="K23" s="57" t="s">
        <v>2194</v>
      </c>
      <c r="L23" s="111" t="s">
        <v>2534</v>
      </c>
      <c r="N23" s="57">
        <v>16.66</v>
      </c>
      <c r="O23" s="57">
        <v>1060</v>
      </c>
      <c r="P23" s="57">
        <v>15.9</v>
      </c>
      <c r="Q23" s="57">
        <v>1.113</v>
      </c>
      <c r="R23" s="57">
        <v>0</v>
      </c>
      <c r="S23" s="57">
        <v>180</v>
      </c>
      <c r="T23" s="112">
        <v>197.01</v>
      </c>
    </row>
    <row r="24" spans="1:20" ht="23.4" x14ac:dyDescent="0.25">
      <c r="A24" s="57">
        <v>23</v>
      </c>
      <c r="B24" s="110">
        <v>244020</v>
      </c>
      <c r="C24" s="57" t="s">
        <v>114</v>
      </c>
      <c r="D24" s="57" t="s">
        <v>115</v>
      </c>
      <c r="E24" s="57" t="s">
        <v>116</v>
      </c>
      <c r="F24" s="57" t="s">
        <v>119</v>
      </c>
      <c r="G24" s="57">
        <v>2</v>
      </c>
      <c r="H24" s="57" t="s">
        <v>117</v>
      </c>
      <c r="I24" s="57" t="s">
        <v>3443</v>
      </c>
      <c r="J24" s="57" t="s">
        <v>3440</v>
      </c>
      <c r="K24" s="57" t="s">
        <v>3536</v>
      </c>
      <c r="L24" s="111" t="s">
        <v>3537</v>
      </c>
      <c r="N24" s="57">
        <v>1.244</v>
      </c>
      <c r="O24" s="57">
        <v>0</v>
      </c>
      <c r="P24" s="57">
        <v>0</v>
      </c>
      <c r="Q24" s="57">
        <v>0</v>
      </c>
      <c r="R24" s="57">
        <v>0</v>
      </c>
      <c r="S24" s="57">
        <v>22</v>
      </c>
      <c r="T24" s="112">
        <v>22</v>
      </c>
    </row>
    <row r="25" spans="1:20" ht="23.4" x14ac:dyDescent="0.25">
      <c r="A25" s="57">
        <v>24</v>
      </c>
      <c r="B25" s="110">
        <v>244020</v>
      </c>
      <c r="C25" s="57" t="s">
        <v>114</v>
      </c>
      <c r="D25" s="57" t="s">
        <v>115</v>
      </c>
      <c r="E25" s="57" t="s">
        <v>116</v>
      </c>
      <c r="F25" s="57" t="s">
        <v>119</v>
      </c>
      <c r="G25" s="57">
        <v>2</v>
      </c>
      <c r="H25" s="57" t="s">
        <v>117</v>
      </c>
      <c r="I25" s="57" t="s">
        <v>3538</v>
      </c>
      <c r="J25" s="57" t="s">
        <v>1830</v>
      </c>
      <c r="K25" s="57" t="s">
        <v>1831</v>
      </c>
      <c r="L25" s="111" t="s">
        <v>1832</v>
      </c>
      <c r="N25" s="57">
        <v>16.66</v>
      </c>
      <c r="O25" s="57">
        <v>0</v>
      </c>
      <c r="P25" s="57">
        <v>0</v>
      </c>
      <c r="Q25" s="57">
        <v>0</v>
      </c>
      <c r="R25" s="57">
        <v>0</v>
      </c>
      <c r="S25" s="57">
        <v>180</v>
      </c>
      <c r="T25" s="112">
        <v>180</v>
      </c>
    </row>
    <row r="26" spans="1:20" ht="23.4" x14ac:dyDescent="0.25">
      <c r="A26" s="57">
        <v>25</v>
      </c>
      <c r="B26" s="110">
        <v>244020</v>
      </c>
      <c r="C26" s="57" t="s">
        <v>114</v>
      </c>
      <c r="D26" s="57" t="s">
        <v>115</v>
      </c>
      <c r="E26" s="57" t="s">
        <v>116</v>
      </c>
      <c r="F26" s="57" t="s">
        <v>119</v>
      </c>
      <c r="G26" s="57">
        <v>2</v>
      </c>
      <c r="H26" s="57" t="s">
        <v>117</v>
      </c>
      <c r="I26" s="57" t="s">
        <v>3539</v>
      </c>
      <c r="J26" s="57" t="s">
        <v>3540</v>
      </c>
      <c r="K26" s="57" t="s">
        <v>3541</v>
      </c>
      <c r="L26" s="111" t="s">
        <v>3542</v>
      </c>
      <c r="N26" s="57">
        <v>2.3580000000000001</v>
      </c>
      <c r="O26" s="57">
        <v>0</v>
      </c>
      <c r="P26" s="57">
        <v>0</v>
      </c>
      <c r="Q26" s="57">
        <v>0</v>
      </c>
      <c r="R26" s="57">
        <v>0</v>
      </c>
      <c r="S26" s="57">
        <v>33</v>
      </c>
      <c r="T26" s="112">
        <v>33</v>
      </c>
    </row>
    <row r="27" spans="1:20" ht="23.4" x14ac:dyDescent="0.25">
      <c r="A27" s="57">
        <v>26</v>
      </c>
      <c r="B27" s="110">
        <v>244020</v>
      </c>
      <c r="C27" s="57" t="s">
        <v>114</v>
      </c>
      <c r="D27" s="57" t="s">
        <v>115</v>
      </c>
      <c r="E27" s="57" t="s">
        <v>116</v>
      </c>
      <c r="F27" s="57" t="s">
        <v>119</v>
      </c>
      <c r="G27" s="57">
        <v>2</v>
      </c>
      <c r="H27" s="57" t="s">
        <v>117</v>
      </c>
      <c r="I27" s="57" t="s">
        <v>3543</v>
      </c>
      <c r="J27" s="57" t="s">
        <v>3544</v>
      </c>
      <c r="K27" s="57" t="s">
        <v>3545</v>
      </c>
      <c r="L27" s="111" t="s">
        <v>3546</v>
      </c>
      <c r="N27" s="57">
        <v>1.226</v>
      </c>
      <c r="O27" s="57">
        <v>0</v>
      </c>
      <c r="P27" s="57">
        <v>0</v>
      </c>
      <c r="Q27" s="57">
        <v>0</v>
      </c>
      <c r="R27" s="57">
        <v>0</v>
      </c>
      <c r="S27" s="57">
        <v>22</v>
      </c>
      <c r="T27" s="112">
        <v>22</v>
      </c>
    </row>
    <row r="28" spans="1:20" ht="23.4" x14ac:dyDescent="0.25">
      <c r="A28" s="57">
        <v>27</v>
      </c>
      <c r="B28" s="110">
        <v>244020</v>
      </c>
      <c r="C28" s="57" t="s">
        <v>114</v>
      </c>
      <c r="D28" s="57" t="s">
        <v>115</v>
      </c>
      <c r="E28" s="57" t="s">
        <v>116</v>
      </c>
      <c r="F28" s="57" t="s">
        <v>119</v>
      </c>
      <c r="G28" s="57">
        <v>2</v>
      </c>
      <c r="H28" s="57" t="s">
        <v>117</v>
      </c>
      <c r="I28" s="57" t="s">
        <v>3547</v>
      </c>
      <c r="J28" s="57" t="s">
        <v>2469</v>
      </c>
      <c r="K28" s="57" t="s">
        <v>2470</v>
      </c>
      <c r="L28" s="111" t="s">
        <v>2471</v>
      </c>
      <c r="N28" s="57">
        <v>1.1279999999999999</v>
      </c>
      <c r="O28" s="57">
        <v>0</v>
      </c>
      <c r="P28" s="57">
        <v>0</v>
      </c>
      <c r="Q28" s="57">
        <v>0</v>
      </c>
      <c r="R28" s="57">
        <v>0</v>
      </c>
      <c r="S28" s="57">
        <v>22</v>
      </c>
      <c r="T28" s="112">
        <v>22</v>
      </c>
    </row>
    <row r="29" spans="1:20" ht="23.4" x14ac:dyDescent="0.25">
      <c r="A29" s="57">
        <v>28</v>
      </c>
      <c r="B29" s="110">
        <v>244020</v>
      </c>
      <c r="C29" s="57" t="s">
        <v>114</v>
      </c>
      <c r="D29" s="57" t="s">
        <v>115</v>
      </c>
      <c r="E29" s="57" t="s">
        <v>116</v>
      </c>
      <c r="F29" s="57" t="s">
        <v>119</v>
      </c>
      <c r="G29" s="57">
        <v>2</v>
      </c>
      <c r="H29" s="57" t="s">
        <v>117</v>
      </c>
      <c r="I29" s="57" t="s">
        <v>3548</v>
      </c>
      <c r="J29" s="57" t="s">
        <v>3549</v>
      </c>
      <c r="K29" s="57" t="s">
        <v>3550</v>
      </c>
      <c r="L29" s="111" t="s">
        <v>3551</v>
      </c>
      <c r="N29" s="57">
        <v>1.1419999999999999</v>
      </c>
      <c r="O29" s="57">
        <v>0</v>
      </c>
      <c r="P29" s="57">
        <v>0</v>
      </c>
      <c r="Q29" s="57">
        <v>0</v>
      </c>
      <c r="R29" s="57">
        <v>0</v>
      </c>
      <c r="S29" s="57">
        <v>22</v>
      </c>
      <c r="T29" s="112">
        <v>22</v>
      </c>
    </row>
    <row r="30" spans="1:20" ht="23.4" x14ac:dyDescent="0.25">
      <c r="A30" s="57">
        <v>29</v>
      </c>
      <c r="B30" s="110">
        <v>244020</v>
      </c>
      <c r="C30" s="57" t="s">
        <v>114</v>
      </c>
      <c r="D30" s="57" t="s">
        <v>115</v>
      </c>
      <c r="E30" s="57" t="s">
        <v>116</v>
      </c>
      <c r="F30" s="57" t="s">
        <v>119</v>
      </c>
      <c r="G30" s="57">
        <v>2</v>
      </c>
      <c r="H30" s="57" t="s">
        <v>117</v>
      </c>
      <c r="I30" s="57" t="s">
        <v>3552</v>
      </c>
      <c r="J30" s="57" t="s">
        <v>3553</v>
      </c>
      <c r="K30" s="57" t="s">
        <v>3554</v>
      </c>
      <c r="L30" s="111" t="s">
        <v>3555</v>
      </c>
      <c r="N30" s="57">
        <v>2.532</v>
      </c>
      <c r="O30" s="57">
        <v>0</v>
      </c>
      <c r="P30" s="57">
        <v>0</v>
      </c>
      <c r="Q30" s="57">
        <v>0</v>
      </c>
      <c r="R30" s="57">
        <v>0</v>
      </c>
      <c r="S30" s="57">
        <v>33</v>
      </c>
      <c r="T30" s="112">
        <v>33</v>
      </c>
    </row>
    <row r="31" spans="1:20" ht="23.4" x14ac:dyDescent="0.25">
      <c r="A31" s="57">
        <v>30</v>
      </c>
      <c r="B31" s="110">
        <v>244020</v>
      </c>
      <c r="C31" s="57" t="s">
        <v>114</v>
      </c>
      <c r="D31" s="57" t="s">
        <v>115</v>
      </c>
      <c r="E31" s="57" t="s">
        <v>116</v>
      </c>
      <c r="F31" s="57" t="s">
        <v>119</v>
      </c>
      <c r="G31" s="57">
        <v>2</v>
      </c>
      <c r="H31" s="57" t="s">
        <v>117</v>
      </c>
      <c r="I31" s="57" t="s">
        <v>3450</v>
      </c>
      <c r="J31" s="57" t="s">
        <v>3556</v>
      </c>
      <c r="K31" s="57" t="s">
        <v>3557</v>
      </c>
      <c r="L31" s="111" t="s">
        <v>3558</v>
      </c>
      <c r="N31" s="57">
        <v>0.62</v>
      </c>
      <c r="O31" s="57">
        <v>0</v>
      </c>
      <c r="P31" s="57">
        <v>0</v>
      </c>
      <c r="Q31" s="57">
        <v>0</v>
      </c>
      <c r="R31" s="57">
        <v>0</v>
      </c>
      <c r="S31" s="57">
        <v>17</v>
      </c>
      <c r="T31" s="112">
        <v>17</v>
      </c>
    </row>
    <row r="32" spans="1:20" ht="23.4" x14ac:dyDescent="0.25">
      <c r="A32" s="57">
        <v>31</v>
      </c>
      <c r="B32" s="110">
        <v>244020</v>
      </c>
      <c r="C32" s="57" t="s">
        <v>114</v>
      </c>
      <c r="D32" s="57" t="s">
        <v>115</v>
      </c>
      <c r="E32" s="57" t="s">
        <v>116</v>
      </c>
      <c r="F32" s="57" t="s">
        <v>119</v>
      </c>
      <c r="G32" s="57">
        <v>2</v>
      </c>
      <c r="H32" s="57" t="s">
        <v>117</v>
      </c>
      <c r="I32" s="57" t="s">
        <v>3559</v>
      </c>
      <c r="J32" s="57" t="s">
        <v>2185</v>
      </c>
      <c r="K32" s="57" t="s">
        <v>2186</v>
      </c>
      <c r="L32" s="111" t="s">
        <v>2187</v>
      </c>
      <c r="N32" s="57">
        <v>1.0960000000000001</v>
      </c>
      <c r="O32" s="57">
        <v>0</v>
      </c>
      <c r="P32" s="57">
        <v>0</v>
      </c>
      <c r="Q32" s="57">
        <v>0</v>
      </c>
      <c r="R32" s="57">
        <v>0</v>
      </c>
      <c r="S32" s="57">
        <v>22</v>
      </c>
      <c r="T32" s="112">
        <v>22</v>
      </c>
    </row>
    <row r="33" spans="1:20" ht="23.4" x14ac:dyDescent="0.25">
      <c r="A33" s="57">
        <v>32</v>
      </c>
      <c r="B33" s="110">
        <v>244020</v>
      </c>
      <c r="C33" s="57" t="s">
        <v>114</v>
      </c>
      <c r="D33" s="57" t="s">
        <v>115</v>
      </c>
      <c r="E33" s="57" t="s">
        <v>116</v>
      </c>
      <c r="F33" s="57" t="s">
        <v>119</v>
      </c>
      <c r="G33" s="57">
        <v>2</v>
      </c>
      <c r="H33" s="57" t="s">
        <v>117</v>
      </c>
      <c r="I33" s="57" t="s">
        <v>3560</v>
      </c>
      <c r="J33" s="57" t="s">
        <v>3561</v>
      </c>
      <c r="K33" s="57" t="s">
        <v>3562</v>
      </c>
      <c r="L33" s="111" t="s">
        <v>3563</v>
      </c>
      <c r="N33" s="57">
        <v>1.1200000000000001</v>
      </c>
      <c r="O33" s="57">
        <v>0</v>
      </c>
      <c r="P33" s="57">
        <v>0</v>
      </c>
      <c r="Q33" s="57">
        <v>0</v>
      </c>
      <c r="R33" s="57">
        <v>0</v>
      </c>
      <c r="S33" s="57">
        <v>22</v>
      </c>
      <c r="T33" s="112">
        <v>22</v>
      </c>
    </row>
    <row r="34" spans="1:20" ht="23.4" x14ac:dyDescent="0.25">
      <c r="A34" s="57">
        <v>33</v>
      </c>
      <c r="B34" s="110">
        <v>244020</v>
      </c>
      <c r="C34" s="57" t="s">
        <v>114</v>
      </c>
      <c r="D34" s="57" t="s">
        <v>115</v>
      </c>
      <c r="E34" s="57" t="s">
        <v>116</v>
      </c>
      <c r="F34" s="57" t="s">
        <v>119</v>
      </c>
      <c r="G34" s="57">
        <v>2</v>
      </c>
      <c r="H34" s="57" t="s">
        <v>117</v>
      </c>
      <c r="I34" s="57" t="s">
        <v>3564</v>
      </c>
      <c r="J34" s="57" t="s">
        <v>120</v>
      </c>
      <c r="K34" s="57" t="s">
        <v>121</v>
      </c>
      <c r="L34" s="111" t="s">
        <v>122</v>
      </c>
      <c r="N34" s="57">
        <v>1.214</v>
      </c>
      <c r="O34" s="57">
        <v>0</v>
      </c>
      <c r="P34" s="57">
        <v>0</v>
      </c>
      <c r="Q34" s="57">
        <v>0</v>
      </c>
      <c r="R34" s="57">
        <v>0</v>
      </c>
      <c r="S34" s="57">
        <v>22</v>
      </c>
      <c r="T34" s="112">
        <v>22</v>
      </c>
    </row>
    <row r="35" spans="1:20" ht="23.4" x14ac:dyDescent="0.25">
      <c r="A35" s="57">
        <v>34</v>
      </c>
      <c r="B35" s="110">
        <v>244020</v>
      </c>
      <c r="C35" s="57" t="s">
        <v>114</v>
      </c>
      <c r="D35" s="57" t="s">
        <v>115</v>
      </c>
      <c r="E35" s="57" t="s">
        <v>116</v>
      </c>
      <c r="F35" s="57" t="s">
        <v>119</v>
      </c>
      <c r="G35" s="57">
        <v>2</v>
      </c>
      <c r="H35" s="57" t="s">
        <v>117</v>
      </c>
      <c r="I35" s="57" t="s">
        <v>3565</v>
      </c>
      <c r="J35" s="57" t="s">
        <v>3566</v>
      </c>
      <c r="K35" s="57" t="s">
        <v>3567</v>
      </c>
      <c r="L35" s="111" t="s">
        <v>3568</v>
      </c>
      <c r="N35" s="57">
        <v>1.226</v>
      </c>
      <c r="O35" s="57">
        <v>269</v>
      </c>
      <c r="P35" s="57">
        <v>4.0350000000000001</v>
      </c>
      <c r="Q35" s="57">
        <v>0.28249999999999997</v>
      </c>
      <c r="R35" s="57">
        <v>0</v>
      </c>
      <c r="S35" s="57">
        <v>22</v>
      </c>
      <c r="T35" s="112">
        <v>26.32</v>
      </c>
    </row>
    <row r="36" spans="1:20" ht="23.4" x14ac:dyDescent="0.25">
      <c r="A36" s="57">
        <v>35</v>
      </c>
      <c r="B36" s="110">
        <v>244020</v>
      </c>
      <c r="C36" s="57" t="s">
        <v>114</v>
      </c>
      <c r="D36" s="57" t="s">
        <v>115</v>
      </c>
      <c r="E36" s="57" t="s">
        <v>116</v>
      </c>
      <c r="F36" s="57" t="s">
        <v>119</v>
      </c>
      <c r="G36" s="57">
        <v>2</v>
      </c>
      <c r="H36" s="57" t="s">
        <v>117</v>
      </c>
      <c r="I36" s="57" t="s">
        <v>3569</v>
      </c>
      <c r="J36" s="57" t="s">
        <v>3570</v>
      </c>
      <c r="K36" s="57" t="s">
        <v>3571</v>
      </c>
      <c r="L36" s="111" t="s">
        <v>3572</v>
      </c>
      <c r="N36" s="57">
        <v>1.1619999999999999</v>
      </c>
      <c r="O36" s="57">
        <v>0</v>
      </c>
      <c r="P36" s="57">
        <v>0</v>
      </c>
      <c r="Q36" s="57">
        <v>0</v>
      </c>
      <c r="R36" s="57">
        <v>0</v>
      </c>
      <c r="S36" s="57">
        <v>22</v>
      </c>
      <c r="T36" s="112">
        <v>22</v>
      </c>
    </row>
    <row r="37" spans="1:20" ht="23.4" x14ac:dyDescent="0.25">
      <c r="A37" s="57">
        <v>36</v>
      </c>
      <c r="B37" s="110">
        <v>244020</v>
      </c>
      <c r="C37" s="57" t="s">
        <v>114</v>
      </c>
      <c r="D37" s="57" t="s">
        <v>115</v>
      </c>
      <c r="E37" s="57" t="s">
        <v>116</v>
      </c>
      <c r="F37" s="57" t="s">
        <v>119</v>
      </c>
      <c r="G37" s="57">
        <v>2</v>
      </c>
      <c r="H37" s="57" t="s">
        <v>117</v>
      </c>
      <c r="I37" s="57" t="s">
        <v>3573</v>
      </c>
      <c r="J37" s="57" t="s">
        <v>3574</v>
      </c>
      <c r="K37" s="57" t="s">
        <v>3575</v>
      </c>
      <c r="L37" s="111" t="s">
        <v>3576</v>
      </c>
      <c r="N37" s="57">
        <v>1.1779999999999999</v>
      </c>
      <c r="O37" s="57">
        <v>0</v>
      </c>
      <c r="P37" s="57">
        <v>0</v>
      </c>
      <c r="Q37" s="57">
        <v>0</v>
      </c>
      <c r="R37" s="57">
        <v>0</v>
      </c>
      <c r="S37" s="57">
        <v>22</v>
      </c>
      <c r="T37" s="112">
        <v>22</v>
      </c>
    </row>
    <row r="38" spans="1:20" ht="23.4" x14ac:dyDescent="0.25">
      <c r="A38" s="57">
        <v>37</v>
      </c>
      <c r="B38" s="110">
        <v>244020</v>
      </c>
      <c r="C38" s="57" t="s">
        <v>114</v>
      </c>
      <c r="D38" s="57" t="s">
        <v>115</v>
      </c>
      <c r="E38" s="57" t="s">
        <v>116</v>
      </c>
      <c r="F38" s="57" t="s">
        <v>119</v>
      </c>
      <c r="G38" s="57">
        <v>2</v>
      </c>
      <c r="H38" s="57" t="s">
        <v>117</v>
      </c>
      <c r="I38" s="57" t="s">
        <v>3577</v>
      </c>
      <c r="J38" s="57" t="s">
        <v>3578</v>
      </c>
      <c r="K38" s="57" t="s">
        <v>3579</v>
      </c>
      <c r="L38" s="111" t="s">
        <v>3580</v>
      </c>
      <c r="N38" s="57">
        <v>1.21</v>
      </c>
      <c r="O38" s="57">
        <v>252</v>
      </c>
      <c r="P38" s="57">
        <v>3.78</v>
      </c>
      <c r="Q38" s="57">
        <v>0.2646</v>
      </c>
      <c r="R38" s="57">
        <v>0</v>
      </c>
      <c r="S38" s="57">
        <v>22</v>
      </c>
      <c r="T38" s="112">
        <v>26.04</v>
      </c>
    </row>
    <row r="39" spans="1:20" ht="23.4" x14ac:dyDescent="0.25">
      <c r="A39" s="57">
        <v>38</v>
      </c>
      <c r="B39" s="110">
        <v>244020</v>
      </c>
      <c r="C39" s="57" t="s">
        <v>114</v>
      </c>
      <c r="D39" s="57" t="s">
        <v>115</v>
      </c>
      <c r="E39" s="57" t="s">
        <v>116</v>
      </c>
      <c r="F39" s="57" t="s">
        <v>119</v>
      </c>
      <c r="G39" s="57">
        <v>2</v>
      </c>
      <c r="H39" s="57" t="s">
        <v>117</v>
      </c>
      <c r="I39" s="57" t="s">
        <v>3581</v>
      </c>
      <c r="J39" s="57" t="s">
        <v>1291</v>
      </c>
      <c r="K39" s="57" t="s">
        <v>1292</v>
      </c>
      <c r="L39" s="111" t="s">
        <v>3582</v>
      </c>
      <c r="N39" s="57">
        <v>2.3439999999999999</v>
      </c>
      <c r="O39" s="57">
        <v>508</v>
      </c>
      <c r="P39" s="57">
        <v>7.62</v>
      </c>
      <c r="Q39" s="57">
        <v>0.53339999999999999</v>
      </c>
      <c r="R39" s="57">
        <v>0</v>
      </c>
      <c r="S39" s="57">
        <v>33</v>
      </c>
      <c r="T39" s="112">
        <v>41.15</v>
      </c>
    </row>
    <row r="40" spans="1:20" ht="23.4" x14ac:dyDescent="0.25">
      <c r="A40" s="57">
        <v>39</v>
      </c>
      <c r="B40" s="110">
        <v>244020</v>
      </c>
      <c r="C40" s="57" t="s">
        <v>114</v>
      </c>
      <c r="D40" s="57" t="s">
        <v>115</v>
      </c>
      <c r="E40" s="57" t="s">
        <v>116</v>
      </c>
      <c r="F40" s="57" t="s">
        <v>119</v>
      </c>
      <c r="G40" s="57">
        <v>2</v>
      </c>
      <c r="H40" s="57" t="s">
        <v>117</v>
      </c>
      <c r="I40" s="57" t="s">
        <v>3446</v>
      </c>
      <c r="J40" s="57" t="s">
        <v>3583</v>
      </c>
      <c r="K40" s="57" t="s">
        <v>2285</v>
      </c>
      <c r="L40" s="111" t="s">
        <v>3584</v>
      </c>
      <c r="N40" s="57">
        <v>0.36399999999999999</v>
      </c>
      <c r="O40" s="57">
        <v>0</v>
      </c>
      <c r="P40" s="57">
        <v>0</v>
      </c>
      <c r="Q40" s="57">
        <v>0</v>
      </c>
      <c r="R40" s="57">
        <v>0</v>
      </c>
      <c r="S40" s="57">
        <v>17</v>
      </c>
      <c r="T40" s="112">
        <v>17</v>
      </c>
    </row>
    <row r="41" spans="1:20" ht="23.4" x14ac:dyDescent="0.25">
      <c r="A41" s="57">
        <v>40</v>
      </c>
      <c r="B41" s="110">
        <v>244020</v>
      </c>
      <c r="C41" s="57" t="s">
        <v>114</v>
      </c>
      <c r="D41" s="57" t="s">
        <v>115</v>
      </c>
      <c r="E41" s="57" t="s">
        <v>116</v>
      </c>
      <c r="F41" s="57" t="s">
        <v>119</v>
      </c>
      <c r="G41" s="57">
        <v>2</v>
      </c>
      <c r="H41" s="57" t="s">
        <v>117</v>
      </c>
      <c r="I41" s="57" t="s">
        <v>3585</v>
      </c>
      <c r="J41" s="57" t="s">
        <v>3586</v>
      </c>
      <c r="K41" s="57" t="s">
        <v>3587</v>
      </c>
      <c r="L41" s="111" t="s">
        <v>3588</v>
      </c>
      <c r="N41" s="57">
        <v>1.272</v>
      </c>
      <c r="O41" s="57">
        <v>252</v>
      </c>
      <c r="P41" s="57">
        <v>3.78</v>
      </c>
      <c r="Q41" s="57">
        <v>0.2646</v>
      </c>
      <c r="R41" s="57">
        <v>0</v>
      </c>
      <c r="S41" s="57">
        <v>22</v>
      </c>
      <c r="T41" s="112">
        <v>26.04</v>
      </c>
    </row>
    <row r="42" spans="1:20" ht="23.4" x14ac:dyDescent="0.25">
      <c r="A42" s="57">
        <v>41</v>
      </c>
      <c r="B42" s="110">
        <v>244020</v>
      </c>
      <c r="C42" s="57" t="s">
        <v>114</v>
      </c>
      <c r="D42" s="57" t="s">
        <v>115</v>
      </c>
      <c r="E42" s="57" t="s">
        <v>116</v>
      </c>
      <c r="F42" s="57" t="s">
        <v>119</v>
      </c>
      <c r="G42" s="57">
        <v>2</v>
      </c>
      <c r="H42" s="57" t="s">
        <v>117</v>
      </c>
      <c r="I42" s="57" t="s">
        <v>3589</v>
      </c>
      <c r="J42" s="57" t="s">
        <v>3590</v>
      </c>
      <c r="K42" s="57" t="s">
        <v>135</v>
      </c>
      <c r="L42" s="111" t="s">
        <v>3591</v>
      </c>
      <c r="N42" s="57">
        <v>3.5999999999999997E-2</v>
      </c>
      <c r="O42" s="57">
        <v>0</v>
      </c>
      <c r="P42" s="57">
        <v>0</v>
      </c>
      <c r="Q42" s="57">
        <v>0</v>
      </c>
      <c r="R42" s="57">
        <v>0</v>
      </c>
      <c r="S42" s="57">
        <v>17</v>
      </c>
      <c r="T42" s="112">
        <v>17</v>
      </c>
    </row>
    <row r="43" spans="1:20" ht="23.4" x14ac:dyDescent="0.25">
      <c r="A43" s="57">
        <v>42</v>
      </c>
      <c r="B43" s="110">
        <v>244020</v>
      </c>
      <c r="C43" s="57" t="s">
        <v>114</v>
      </c>
      <c r="D43" s="57" t="s">
        <v>115</v>
      </c>
      <c r="E43" s="57" t="s">
        <v>116</v>
      </c>
      <c r="F43" s="57" t="s">
        <v>119</v>
      </c>
      <c r="G43" s="57">
        <v>2</v>
      </c>
      <c r="H43" s="57" t="s">
        <v>117</v>
      </c>
      <c r="I43" s="57" t="s">
        <v>3592</v>
      </c>
      <c r="J43" s="57" t="s">
        <v>123</v>
      </c>
      <c r="K43" s="57" t="s">
        <v>124</v>
      </c>
      <c r="L43" s="111" t="s">
        <v>2677</v>
      </c>
      <c r="N43" s="57">
        <v>0.1</v>
      </c>
      <c r="O43" s="57">
        <v>0</v>
      </c>
      <c r="P43" s="57">
        <v>0</v>
      </c>
      <c r="Q43" s="57">
        <v>0</v>
      </c>
      <c r="R43" s="57">
        <v>0</v>
      </c>
      <c r="S43" s="57">
        <v>17</v>
      </c>
      <c r="T43" s="112">
        <v>17</v>
      </c>
    </row>
    <row r="44" spans="1:20" ht="23.4" x14ac:dyDescent="0.25">
      <c r="A44" s="57">
        <v>43</v>
      </c>
      <c r="B44" s="110">
        <v>244021</v>
      </c>
      <c r="C44" s="57" t="s">
        <v>114</v>
      </c>
      <c r="D44" s="57" t="s">
        <v>115</v>
      </c>
      <c r="E44" s="57" t="s">
        <v>116</v>
      </c>
      <c r="F44" s="57" t="s">
        <v>119</v>
      </c>
      <c r="G44" s="57">
        <v>2</v>
      </c>
      <c r="H44" s="57" t="s">
        <v>117</v>
      </c>
      <c r="I44" s="57" t="s">
        <v>3593</v>
      </c>
      <c r="J44" s="57" t="s">
        <v>3594</v>
      </c>
      <c r="K44" s="57" t="s">
        <v>3595</v>
      </c>
      <c r="L44" s="111" t="s">
        <v>3596</v>
      </c>
      <c r="N44" s="57">
        <v>1.6240000000000001</v>
      </c>
      <c r="O44" s="57">
        <v>0</v>
      </c>
      <c r="P44" s="57">
        <v>0</v>
      </c>
      <c r="Q44" s="57">
        <v>0</v>
      </c>
      <c r="R44" s="57">
        <v>0</v>
      </c>
      <c r="S44" s="57">
        <v>22</v>
      </c>
      <c r="T44" s="112">
        <v>22</v>
      </c>
    </row>
    <row r="45" spans="1:20" ht="23.4" x14ac:dyDescent="0.25">
      <c r="A45" s="57">
        <v>44</v>
      </c>
      <c r="B45" s="110">
        <v>244021</v>
      </c>
      <c r="C45" s="57" t="s">
        <v>114</v>
      </c>
      <c r="D45" s="57" t="s">
        <v>115</v>
      </c>
      <c r="E45" s="57" t="s">
        <v>116</v>
      </c>
      <c r="F45" s="57" t="s">
        <v>119</v>
      </c>
      <c r="G45" s="57">
        <v>2</v>
      </c>
      <c r="H45" s="57" t="s">
        <v>117</v>
      </c>
      <c r="I45" s="57" t="s">
        <v>3597</v>
      </c>
      <c r="J45" s="57" t="s">
        <v>3598</v>
      </c>
      <c r="K45" s="57" t="s">
        <v>3599</v>
      </c>
      <c r="L45" s="111" t="s">
        <v>3600</v>
      </c>
      <c r="N45" s="57">
        <v>2.4580000000000002</v>
      </c>
      <c r="O45" s="57">
        <v>0</v>
      </c>
      <c r="P45" s="57">
        <v>0</v>
      </c>
      <c r="Q45" s="57">
        <v>0</v>
      </c>
      <c r="R45" s="57">
        <v>0</v>
      </c>
      <c r="S45" s="57">
        <v>33</v>
      </c>
      <c r="T45" s="112">
        <v>33</v>
      </c>
    </row>
    <row r="46" spans="1:20" ht="23.4" x14ac:dyDescent="0.25">
      <c r="A46" s="57">
        <v>45</v>
      </c>
      <c r="B46" s="110">
        <v>244021</v>
      </c>
      <c r="C46" s="57" t="s">
        <v>114</v>
      </c>
      <c r="D46" s="57" t="s">
        <v>115</v>
      </c>
      <c r="E46" s="57" t="s">
        <v>116</v>
      </c>
      <c r="F46" s="57" t="s">
        <v>119</v>
      </c>
      <c r="G46" s="57">
        <v>2</v>
      </c>
      <c r="H46" s="57" t="s">
        <v>117</v>
      </c>
      <c r="I46" s="57" t="s">
        <v>3601</v>
      </c>
      <c r="J46" s="57" t="s">
        <v>3602</v>
      </c>
      <c r="K46" s="57" t="s">
        <v>3603</v>
      </c>
      <c r="L46" s="111" t="s">
        <v>3604</v>
      </c>
      <c r="N46" s="57">
        <v>3.9359999999999999</v>
      </c>
      <c r="O46" s="57">
        <v>0</v>
      </c>
      <c r="P46" s="57">
        <v>0</v>
      </c>
      <c r="Q46" s="57">
        <v>0</v>
      </c>
      <c r="R46" s="57">
        <v>0</v>
      </c>
      <c r="S46" s="57">
        <v>43</v>
      </c>
      <c r="T46" s="112">
        <v>43</v>
      </c>
    </row>
    <row r="47" spans="1:20" ht="23.4" x14ac:dyDescent="0.25">
      <c r="A47" s="57">
        <v>46</v>
      </c>
      <c r="B47" s="110">
        <v>244021</v>
      </c>
      <c r="C47" s="57" t="s">
        <v>114</v>
      </c>
      <c r="D47" s="57" t="s">
        <v>115</v>
      </c>
      <c r="E47" s="57" t="s">
        <v>116</v>
      </c>
      <c r="F47" s="57" t="s">
        <v>119</v>
      </c>
      <c r="G47" s="57">
        <v>2</v>
      </c>
      <c r="H47" s="57" t="s">
        <v>117</v>
      </c>
      <c r="I47" s="57" t="s">
        <v>3605</v>
      </c>
      <c r="J47" s="57" t="s">
        <v>3606</v>
      </c>
      <c r="K47" s="57" t="s">
        <v>3607</v>
      </c>
      <c r="L47" s="111" t="s">
        <v>3608</v>
      </c>
      <c r="N47" s="57">
        <v>1.218</v>
      </c>
      <c r="O47" s="57">
        <v>280</v>
      </c>
      <c r="P47" s="57">
        <v>4.2</v>
      </c>
      <c r="Q47" s="57">
        <v>0.29399999999999998</v>
      </c>
      <c r="R47" s="57">
        <v>0</v>
      </c>
      <c r="S47" s="57">
        <v>22</v>
      </c>
      <c r="T47" s="112">
        <v>26.49</v>
      </c>
    </row>
    <row r="48" spans="1:20" ht="23.4" x14ac:dyDescent="0.25">
      <c r="A48" s="57">
        <v>47</v>
      </c>
      <c r="B48" s="110">
        <v>244021</v>
      </c>
      <c r="C48" s="57" t="s">
        <v>114</v>
      </c>
      <c r="D48" s="57" t="s">
        <v>115</v>
      </c>
      <c r="E48" s="57" t="s">
        <v>116</v>
      </c>
      <c r="F48" s="57" t="s">
        <v>119</v>
      </c>
      <c r="G48" s="57">
        <v>2</v>
      </c>
      <c r="H48" s="57" t="s">
        <v>117</v>
      </c>
      <c r="I48" s="57" t="s">
        <v>3609</v>
      </c>
      <c r="J48" s="57" t="s">
        <v>3610</v>
      </c>
      <c r="K48" s="57" t="s">
        <v>3611</v>
      </c>
      <c r="L48" s="111" t="s">
        <v>3612</v>
      </c>
      <c r="N48" s="57">
        <v>1.242</v>
      </c>
      <c r="O48" s="57">
        <v>280</v>
      </c>
      <c r="P48" s="57">
        <v>4.2</v>
      </c>
      <c r="Q48" s="57">
        <v>0.29399999999999998</v>
      </c>
      <c r="R48" s="57">
        <v>0</v>
      </c>
      <c r="S48" s="57">
        <v>22</v>
      </c>
      <c r="T48" s="112">
        <v>26.49</v>
      </c>
    </row>
    <row r="49" spans="1:20" ht="23.4" x14ac:dyDescent="0.25">
      <c r="A49" s="57">
        <v>48</v>
      </c>
      <c r="B49" s="110">
        <v>244021</v>
      </c>
      <c r="C49" s="57" t="s">
        <v>114</v>
      </c>
      <c r="D49" s="57" t="s">
        <v>115</v>
      </c>
      <c r="E49" s="57" t="s">
        <v>116</v>
      </c>
      <c r="F49" s="57" t="s">
        <v>119</v>
      </c>
      <c r="G49" s="57">
        <v>2</v>
      </c>
      <c r="H49" s="57" t="s">
        <v>117</v>
      </c>
      <c r="I49" s="57" t="s">
        <v>3613</v>
      </c>
      <c r="J49" s="57" t="s">
        <v>226</v>
      </c>
      <c r="K49" s="57" t="s">
        <v>138</v>
      </c>
      <c r="L49" s="111" t="s">
        <v>622</v>
      </c>
      <c r="N49" s="57">
        <v>1.1200000000000001</v>
      </c>
      <c r="O49" s="57">
        <v>280</v>
      </c>
      <c r="P49" s="57">
        <v>4.2</v>
      </c>
      <c r="Q49" s="57">
        <v>0.29399999999999998</v>
      </c>
      <c r="R49" s="57">
        <v>0</v>
      </c>
      <c r="S49" s="57">
        <v>22</v>
      </c>
      <c r="T49" s="112">
        <v>26.49</v>
      </c>
    </row>
    <row r="50" spans="1:20" ht="23.4" x14ac:dyDescent="0.25">
      <c r="A50" s="57">
        <v>49</v>
      </c>
      <c r="B50" s="110">
        <v>244021</v>
      </c>
      <c r="C50" s="57" t="s">
        <v>114</v>
      </c>
      <c r="D50" s="57" t="s">
        <v>115</v>
      </c>
      <c r="E50" s="57" t="s">
        <v>116</v>
      </c>
      <c r="F50" s="57" t="s">
        <v>119</v>
      </c>
      <c r="G50" s="57">
        <v>2</v>
      </c>
      <c r="H50" s="57" t="s">
        <v>117</v>
      </c>
      <c r="I50" s="57" t="s">
        <v>3614</v>
      </c>
      <c r="J50" s="57" t="s">
        <v>3615</v>
      </c>
      <c r="K50" s="57" t="s">
        <v>3616</v>
      </c>
      <c r="L50" s="111" t="s">
        <v>3617</v>
      </c>
      <c r="N50" s="57">
        <v>1.196</v>
      </c>
      <c r="O50" s="57">
        <v>269</v>
      </c>
      <c r="P50" s="57">
        <v>4.0350000000000001</v>
      </c>
      <c r="Q50" s="57">
        <v>0.28249999999999997</v>
      </c>
      <c r="R50" s="57">
        <v>0</v>
      </c>
      <c r="S50" s="57">
        <v>22</v>
      </c>
      <c r="T50" s="112">
        <v>26.32</v>
      </c>
    </row>
    <row r="51" spans="1:20" ht="23.4" x14ac:dyDescent="0.25">
      <c r="A51" s="57">
        <v>50</v>
      </c>
      <c r="B51" s="110">
        <v>244021</v>
      </c>
      <c r="C51" s="57" t="s">
        <v>114</v>
      </c>
      <c r="D51" s="57" t="s">
        <v>115</v>
      </c>
      <c r="E51" s="57" t="s">
        <v>116</v>
      </c>
      <c r="F51" s="57" t="s">
        <v>119</v>
      </c>
      <c r="G51" s="57">
        <v>2</v>
      </c>
      <c r="H51" s="57" t="s">
        <v>117</v>
      </c>
      <c r="I51" s="57" t="s">
        <v>3618</v>
      </c>
      <c r="J51" s="57" t="s">
        <v>3619</v>
      </c>
      <c r="K51" s="57" t="s">
        <v>3620</v>
      </c>
      <c r="L51" s="111" t="s">
        <v>3621</v>
      </c>
      <c r="N51" s="57">
        <v>1.276</v>
      </c>
      <c r="O51" s="57">
        <v>280</v>
      </c>
      <c r="P51" s="57">
        <v>4.2</v>
      </c>
      <c r="Q51" s="57">
        <v>0.29399999999999998</v>
      </c>
      <c r="R51" s="57">
        <v>0</v>
      </c>
      <c r="S51" s="57">
        <v>22</v>
      </c>
      <c r="T51" s="112">
        <v>26.49</v>
      </c>
    </row>
    <row r="52" spans="1:20" ht="23.4" x14ac:dyDescent="0.25">
      <c r="A52" s="57">
        <v>51</v>
      </c>
      <c r="B52" s="110">
        <v>244021</v>
      </c>
      <c r="C52" s="57" t="s">
        <v>114</v>
      </c>
      <c r="D52" s="57" t="s">
        <v>115</v>
      </c>
      <c r="E52" s="57" t="s">
        <v>116</v>
      </c>
      <c r="F52" s="57" t="s">
        <v>119</v>
      </c>
      <c r="G52" s="57">
        <v>2</v>
      </c>
      <c r="H52" s="57" t="s">
        <v>117</v>
      </c>
      <c r="I52" s="57" t="s">
        <v>3622</v>
      </c>
      <c r="J52" s="57" t="s">
        <v>3623</v>
      </c>
      <c r="K52" s="57" t="s">
        <v>3624</v>
      </c>
      <c r="L52" s="111" t="s">
        <v>3625</v>
      </c>
      <c r="N52" s="57">
        <v>16.995000000000001</v>
      </c>
      <c r="O52" s="57">
        <v>0</v>
      </c>
      <c r="P52" s="57">
        <v>0</v>
      </c>
      <c r="Q52" s="57">
        <v>0</v>
      </c>
      <c r="R52" s="57">
        <v>0</v>
      </c>
      <c r="S52" s="57">
        <v>180</v>
      </c>
      <c r="T52" s="112">
        <v>180</v>
      </c>
    </row>
    <row r="53" spans="1:20" ht="23.4" x14ac:dyDescent="0.25">
      <c r="A53" s="57">
        <v>52</v>
      </c>
      <c r="B53" s="110">
        <v>244021</v>
      </c>
      <c r="C53" s="57" t="s">
        <v>114</v>
      </c>
      <c r="D53" s="57" t="s">
        <v>115</v>
      </c>
      <c r="E53" s="57" t="s">
        <v>116</v>
      </c>
      <c r="F53" s="57" t="s">
        <v>119</v>
      </c>
      <c r="G53" s="57">
        <v>2</v>
      </c>
      <c r="H53" s="57" t="s">
        <v>117</v>
      </c>
      <c r="I53" s="57" t="s">
        <v>3626</v>
      </c>
      <c r="J53" s="57" t="s">
        <v>3627</v>
      </c>
      <c r="K53" s="57" t="s">
        <v>3624</v>
      </c>
      <c r="L53" s="111" t="s">
        <v>3625</v>
      </c>
      <c r="N53" s="57">
        <v>16.995000000000001</v>
      </c>
      <c r="O53" s="57">
        <v>0</v>
      </c>
      <c r="P53" s="57">
        <v>0</v>
      </c>
      <c r="Q53" s="57">
        <v>0</v>
      </c>
      <c r="R53" s="57">
        <v>0</v>
      </c>
      <c r="S53" s="57">
        <v>180</v>
      </c>
      <c r="T53" s="112">
        <v>180</v>
      </c>
    </row>
    <row r="54" spans="1:20" ht="23.4" x14ac:dyDescent="0.25">
      <c r="A54" s="57">
        <v>53</v>
      </c>
      <c r="B54" s="110">
        <v>244021</v>
      </c>
      <c r="C54" s="57" t="s">
        <v>114</v>
      </c>
      <c r="D54" s="57" t="s">
        <v>115</v>
      </c>
      <c r="E54" s="57" t="s">
        <v>116</v>
      </c>
      <c r="F54" s="57" t="s">
        <v>119</v>
      </c>
      <c r="G54" s="57">
        <v>2</v>
      </c>
      <c r="H54" s="57" t="s">
        <v>117</v>
      </c>
      <c r="I54" s="57" t="s">
        <v>3628</v>
      </c>
      <c r="J54" s="57" t="s">
        <v>3629</v>
      </c>
      <c r="K54" s="57" t="s">
        <v>3630</v>
      </c>
      <c r="L54" s="111" t="s">
        <v>3631</v>
      </c>
      <c r="N54" s="57">
        <v>0.86799999999999999</v>
      </c>
      <c r="O54" s="57">
        <v>0</v>
      </c>
      <c r="P54" s="57">
        <v>0</v>
      </c>
      <c r="Q54" s="57">
        <v>0</v>
      </c>
      <c r="R54" s="57">
        <v>0</v>
      </c>
      <c r="S54" s="57">
        <v>17</v>
      </c>
      <c r="T54" s="112">
        <v>17</v>
      </c>
    </row>
    <row r="55" spans="1:20" ht="23.4" x14ac:dyDescent="0.25">
      <c r="A55" s="57">
        <v>54</v>
      </c>
      <c r="B55" s="110">
        <v>244021</v>
      </c>
      <c r="C55" s="57" t="s">
        <v>114</v>
      </c>
      <c r="D55" s="57" t="s">
        <v>115</v>
      </c>
      <c r="E55" s="57" t="s">
        <v>116</v>
      </c>
      <c r="F55" s="57" t="s">
        <v>119</v>
      </c>
      <c r="G55" s="57">
        <v>2</v>
      </c>
      <c r="H55" s="57" t="s">
        <v>117</v>
      </c>
      <c r="I55" s="57" t="s">
        <v>3632</v>
      </c>
      <c r="J55" s="57" t="s">
        <v>3633</v>
      </c>
      <c r="K55" s="57" t="s">
        <v>3634</v>
      </c>
      <c r="L55" s="111" t="s">
        <v>3635</v>
      </c>
      <c r="N55" s="57">
        <v>0.878</v>
      </c>
      <c r="O55" s="57">
        <v>0</v>
      </c>
      <c r="P55" s="57">
        <v>0</v>
      </c>
      <c r="Q55" s="57">
        <v>0</v>
      </c>
      <c r="R55" s="57">
        <v>0</v>
      </c>
      <c r="S55" s="57">
        <v>17</v>
      </c>
      <c r="T55" s="112">
        <v>17</v>
      </c>
    </row>
    <row r="56" spans="1:20" ht="23.4" x14ac:dyDescent="0.25">
      <c r="A56" s="57">
        <v>55</v>
      </c>
      <c r="B56" s="110">
        <v>244021</v>
      </c>
      <c r="C56" s="57" t="s">
        <v>114</v>
      </c>
      <c r="D56" s="57" t="s">
        <v>115</v>
      </c>
      <c r="E56" s="57" t="s">
        <v>116</v>
      </c>
      <c r="F56" s="57" t="s">
        <v>119</v>
      </c>
      <c r="G56" s="57">
        <v>2</v>
      </c>
      <c r="H56" s="57" t="s">
        <v>117</v>
      </c>
      <c r="I56" s="57" t="s">
        <v>3636</v>
      </c>
      <c r="J56" s="57" t="s">
        <v>3637</v>
      </c>
      <c r="K56" s="57" t="s">
        <v>3638</v>
      </c>
      <c r="L56" s="111" t="s">
        <v>3639</v>
      </c>
      <c r="N56" s="57">
        <v>0.874</v>
      </c>
      <c r="O56" s="57">
        <v>0</v>
      </c>
      <c r="P56" s="57">
        <v>0</v>
      </c>
      <c r="Q56" s="57">
        <v>0</v>
      </c>
      <c r="R56" s="57">
        <v>0</v>
      </c>
      <c r="S56" s="57">
        <v>17</v>
      </c>
      <c r="T56" s="112">
        <v>17</v>
      </c>
    </row>
    <row r="57" spans="1:20" ht="23.4" x14ac:dyDescent="0.25">
      <c r="A57" s="57">
        <v>56</v>
      </c>
      <c r="B57" s="110">
        <v>244021</v>
      </c>
      <c r="C57" s="57" t="s">
        <v>114</v>
      </c>
      <c r="D57" s="57" t="s">
        <v>115</v>
      </c>
      <c r="E57" s="57" t="s">
        <v>116</v>
      </c>
      <c r="F57" s="57" t="s">
        <v>119</v>
      </c>
      <c r="G57" s="57">
        <v>2</v>
      </c>
      <c r="H57" s="57" t="s">
        <v>117</v>
      </c>
      <c r="I57" s="57" t="s">
        <v>3454</v>
      </c>
      <c r="J57" s="57" t="s">
        <v>3452</v>
      </c>
      <c r="K57" s="57" t="s">
        <v>3640</v>
      </c>
      <c r="L57" s="111" t="s">
        <v>3641</v>
      </c>
      <c r="N57" s="57">
        <v>0.66800000000000004</v>
      </c>
      <c r="O57" s="57">
        <v>0</v>
      </c>
      <c r="P57" s="57">
        <v>0</v>
      </c>
      <c r="Q57" s="57">
        <v>0</v>
      </c>
      <c r="R57" s="57">
        <v>0</v>
      </c>
      <c r="S57" s="57">
        <v>17</v>
      </c>
      <c r="T57" s="112">
        <v>17</v>
      </c>
    </row>
    <row r="58" spans="1:20" ht="23.4" x14ac:dyDescent="0.25">
      <c r="A58" s="57">
        <v>57</v>
      </c>
      <c r="B58" s="110">
        <v>244021</v>
      </c>
      <c r="C58" s="57" t="s">
        <v>114</v>
      </c>
      <c r="D58" s="57" t="s">
        <v>115</v>
      </c>
      <c r="E58" s="57" t="s">
        <v>116</v>
      </c>
      <c r="F58" s="57" t="s">
        <v>119</v>
      </c>
      <c r="G58" s="57">
        <v>2</v>
      </c>
      <c r="H58" s="57" t="s">
        <v>117</v>
      </c>
      <c r="I58" s="57" t="s">
        <v>3642</v>
      </c>
      <c r="J58" s="57" t="s">
        <v>3643</v>
      </c>
      <c r="K58" s="57" t="s">
        <v>3644</v>
      </c>
      <c r="L58" s="111" t="s">
        <v>3645</v>
      </c>
      <c r="N58" s="57">
        <v>3.8260000000000001</v>
      </c>
      <c r="O58" s="57">
        <v>0</v>
      </c>
      <c r="P58" s="57">
        <v>0</v>
      </c>
      <c r="Q58" s="57">
        <v>0</v>
      </c>
      <c r="R58" s="57">
        <v>0</v>
      </c>
      <c r="S58" s="57">
        <v>43</v>
      </c>
      <c r="T58" s="112">
        <v>43</v>
      </c>
    </row>
    <row r="59" spans="1:20" ht="23.4" x14ac:dyDescent="0.25">
      <c r="A59" s="57">
        <v>58</v>
      </c>
      <c r="B59" s="110">
        <v>244021</v>
      </c>
      <c r="C59" s="57" t="s">
        <v>114</v>
      </c>
      <c r="D59" s="57" t="s">
        <v>115</v>
      </c>
      <c r="E59" s="57" t="s">
        <v>116</v>
      </c>
      <c r="F59" s="57" t="s">
        <v>119</v>
      </c>
      <c r="G59" s="57">
        <v>2</v>
      </c>
      <c r="H59" s="57" t="s">
        <v>117</v>
      </c>
      <c r="I59" s="57" t="s">
        <v>3646</v>
      </c>
      <c r="J59" s="57" t="s">
        <v>3647</v>
      </c>
      <c r="K59" s="57" t="s">
        <v>3648</v>
      </c>
      <c r="L59" s="111" t="s">
        <v>3649</v>
      </c>
      <c r="N59" s="57">
        <v>8.0000000000000002E-3</v>
      </c>
      <c r="O59" s="57">
        <v>0</v>
      </c>
      <c r="P59" s="57">
        <v>0</v>
      </c>
      <c r="Q59" s="57">
        <v>0</v>
      </c>
      <c r="R59" s="57">
        <v>0</v>
      </c>
      <c r="S59" s="57">
        <v>17</v>
      </c>
      <c r="T59" s="112">
        <v>17</v>
      </c>
    </row>
    <row r="60" spans="1:20" ht="23.4" x14ac:dyDescent="0.25">
      <c r="A60" s="57">
        <v>59</v>
      </c>
      <c r="B60" s="110">
        <v>244021</v>
      </c>
      <c r="C60" s="57" t="s">
        <v>114</v>
      </c>
      <c r="D60" s="57" t="s">
        <v>115</v>
      </c>
      <c r="E60" s="57" t="s">
        <v>116</v>
      </c>
      <c r="F60" s="57" t="s">
        <v>119</v>
      </c>
      <c r="G60" s="57">
        <v>2</v>
      </c>
      <c r="H60" s="57" t="s">
        <v>117</v>
      </c>
      <c r="I60" s="57" t="s">
        <v>3650</v>
      </c>
      <c r="J60" s="57" t="s">
        <v>3651</v>
      </c>
      <c r="K60" s="57" t="s">
        <v>3624</v>
      </c>
      <c r="L60" s="111" t="s">
        <v>3625</v>
      </c>
      <c r="N60" s="57">
        <v>1.6619999999999999</v>
      </c>
      <c r="O60" s="57">
        <v>0</v>
      </c>
      <c r="P60" s="57">
        <v>0</v>
      </c>
      <c r="Q60" s="57">
        <v>0</v>
      </c>
      <c r="R60" s="57">
        <v>0</v>
      </c>
      <c r="S60" s="57">
        <v>22</v>
      </c>
      <c r="T60" s="112">
        <v>22</v>
      </c>
    </row>
    <row r="61" spans="1:20" ht="23.4" x14ac:dyDescent="0.25">
      <c r="A61" s="57">
        <v>60</v>
      </c>
      <c r="B61" s="110">
        <v>244021</v>
      </c>
      <c r="C61" s="57" t="s">
        <v>114</v>
      </c>
      <c r="D61" s="57" t="s">
        <v>115</v>
      </c>
      <c r="E61" s="57" t="s">
        <v>116</v>
      </c>
      <c r="F61" s="57" t="s">
        <v>119</v>
      </c>
      <c r="G61" s="57">
        <v>2</v>
      </c>
      <c r="H61" s="57" t="s">
        <v>117</v>
      </c>
      <c r="I61" s="57" t="s">
        <v>3652</v>
      </c>
      <c r="J61" s="57" t="s">
        <v>3653</v>
      </c>
      <c r="K61" s="57" t="s">
        <v>3654</v>
      </c>
      <c r="L61" s="111" t="s">
        <v>3655</v>
      </c>
      <c r="N61" s="57">
        <v>1.03</v>
      </c>
      <c r="O61" s="57">
        <v>0</v>
      </c>
      <c r="P61" s="57">
        <v>0</v>
      </c>
      <c r="Q61" s="57">
        <v>0</v>
      </c>
      <c r="R61" s="57">
        <v>0</v>
      </c>
      <c r="S61" s="57">
        <v>22</v>
      </c>
      <c r="T61" s="112">
        <v>22</v>
      </c>
    </row>
    <row r="62" spans="1:20" ht="23.4" x14ac:dyDescent="0.25">
      <c r="A62" s="57">
        <v>61</v>
      </c>
      <c r="B62" s="110">
        <v>244021</v>
      </c>
      <c r="C62" s="57" t="s">
        <v>114</v>
      </c>
      <c r="D62" s="57" t="s">
        <v>115</v>
      </c>
      <c r="E62" s="57" t="s">
        <v>116</v>
      </c>
      <c r="F62" s="57" t="s">
        <v>119</v>
      </c>
      <c r="G62" s="57">
        <v>2</v>
      </c>
      <c r="H62" s="57" t="s">
        <v>117</v>
      </c>
      <c r="I62" s="57" t="s">
        <v>3656</v>
      </c>
      <c r="J62" s="57" t="s">
        <v>1970</v>
      </c>
      <c r="K62" s="57" t="s">
        <v>3654</v>
      </c>
      <c r="L62" s="111" t="s">
        <v>3657</v>
      </c>
      <c r="N62" s="57">
        <v>1.026</v>
      </c>
      <c r="O62" s="57">
        <v>0</v>
      </c>
      <c r="P62" s="57">
        <v>0</v>
      </c>
      <c r="Q62" s="57">
        <v>0</v>
      </c>
      <c r="R62" s="57">
        <v>0</v>
      </c>
      <c r="S62" s="57">
        <v>22</v>
      </c>
      <c r="T62" s="112">
        <v>22</v>
      </c>
    </row>
    <row r="63" spans="1:20" ht="23.4" x14ac:dyDescent="0.25">
      <c r="A63" s="57">
        <v>62</v>
      </c>
      <c r="B63" s="110">
        <v>244022</v>
      </c>
      <c r="C63" s="57" t="s">
        <v>114</v>
      </c>
      <c r="D63" s="57" t="s">
        <v>115</v>
      </c>
      <c r="E63" s="57" t="s">
        <v>116</v>
      </c>
      <c r="F63" s="57" t="s">
        <v>119</v>
      </c>
      <c r="G63" s="57">
        <v>2</v>
      </c>
      <c r="H63" s="57" t="s">
        <v>117</v>
      </c>
      <c r="I63" s="57" t="s">
        <v>3658</v>
      </c>
      <c r="J63" s="57" t="s">
        <v>3659</v>
      </c>
      <c r="K63" s="57" t="s">
        <v>3660</v>
      </c>
      <c r="L63" s="111" t="s">
        <v>3661</v>
      </c>
      <c r="N63" s="57">
        <v>1.268</v>
      </c>
      <c r="O63" s="57">
        <v>0</v>
      </c>
      <c r="P63" s="57">
        <v>0</v>
      </c>
      <c r="Q63" s="57">
        <v>0</v>
      </c>
      <c r="R63" s="57">
        <v>0</v>
      </c>
      <c r="S63" s="57">
        <v>22</v>
      </c>
      <c r="T63" s="112">
        <v>22</v>
      </c>
    </row>
    <row r="64" spans="1:20" ht="23.4" x14ac:dyDescent="0.25">
      <c r="A64" s="57">
        <v>63</v>
      </c>
      <c r="B64" s="110">
        <v>244022</v>
      </c>
      <c r="C64" s="57" t="s">
        <v>114</v>
      </c>
      <c r="D64" s="57" t="s">
        <v>115</v>
      </c>
      <c r="E64" s="57" t="s">
        <v>116</v>
      </c>
      <c r="F64" s="57" t="s">
        <v>119</v>
      </c>
      <c r="G64" s="57">
        <v>2</v>
      </c>
      <c r="H64" s="57" t="s">
        <v>117</v>
      </c>
      <c r="I64" s="57" t="s">
        <v>3662</v>
      </c>
      <c r="J64" s="57" t="s">
        <v>3663</v>
      </c>
      <c r="K64" s="57" t="s">
        <v>3664</v>
      </c>
      <c r="L64" s="111" t="s">
        <v>3665</v>
      </c>
      <c r="N64" s="57">
        <v>1.036</v>
      </c>
      <c r="O64" s="57">
        <v>0</v>
      </c>
      <c r="P64" s="57">
        <v>0</v>
      </c>
      <c r="Q64" s="57">
        <v>0</v>
      </c>
      <c r="R64" s="57">
        <v>0</v>
      </c>
      <c r="S64" s="57">
        <v>22</v>
      </c>
      <c r="T64" s="112">
        <v>22</v>
      </c>
    </row>
    <row r="65" spans="1:20" ht="23.4" x14ac:dyDescent="0.25">
      <c r="A65" s="57">
        <v>64</v>
      </c>
      <c r="B65" s="110">
        <v>244022</v>
      </c>
      <c r="C65" s="57" t="s">
        <v>114</v>
      </c>
      <c r="D65" s="57" t="s">
        <v>115</v>
      </c>
      <c r="E65" s="57" t="s">
        <v>116</v>
      </c>
      <c r="F65" s="57" t="s">
        <v>119</v>
      </c>
      <c r="G65" s="57">
        <v>2</v>
      </c>
      <c r="H65" s="57" t="s">
        <v>117</v>
      </c>
      <c r="I65" s="57" t="s">
        <v>3666</v>
      </c>
      <c r="J65" s="57" t="s">
        <v>3667</v>
      </c>
      <c r="K65" s="57" t="s">
        <v>3668</v>
      </c>
      <c r="L65" s="111" t="s">
        <v>3669</v>
      </c>
      <c r="N65" s="57">
        <v>0.96799999999999997</v>
      </c>
      <c r="O65" s="57">
        <v>230</v>
      </c>
      <c r="P65" s="57">
        <v>3.45</v>
      </c>
      <c r="Q65" s="57">
        <v>0.24149999999999999</v>
      </c>
      <c r="R65" s="57">
        <v>0</v>
      </c>
      <c r="S65" s="57">
        <v>17</v>
      </c>
      <c r="T65" s="112">
        <v>20.69</v>
      </c>
    </row>
    <row r="66" spans="1:20" ht="23.4" x14ac:dyDescent="0.25">
      <c r="A66" s="57">
        <v>65</v>
      </c>
      <c r="B66" s="110">
        <v>244022</v>
      </c>
      <c r="C66" s="57" t="s">
        <v>114</v>
      </c>
      <c r="D66" s="57" t="s">
        <v>115</v>
      </c>
      <c r="E66" s="57" t="s">
        <v>116</v>
      </c>
      <c r="F66" s="57" t="s">
        <v>119</v>
      </c>
      <c r="G66" s="57">
        <v>2</v>
      </c>
      <c r="H66" s="57" t="s">
        <v>117</v>
      </c>
      <c r="I66" s="57" t="s">
        <v>3670</v>
      </c>
      <c r="J66" s="57" t="s">
        <v>2298</v>
      </c>
      <c r="K66" s="57" t="s">
        <v>2299</v>
      </c>
      <c r="L66" s="111" t="s">
        <v>2300</v>
      </c>
      <c r="N66" s="57">
        <v>2.4500000000000002</v>
      </c>
      <c r="O66" s="57">
        <v>530</v>
      </c>
      <c r="P66" s="57">
        <v>7.95</v>
      </c>
      <c r="Q66" s="57">
        <v>0.55649999999999999</v>
      </c>
      <c r="R66" s="57">
        <v>0</v>
      </c>
      <c r="S66" s="57">
        <v>33</v>
      </c>
      <c r="T66" s="112">
        <v>41.51</v>
      </c>
    </row>
    <row r="67" spans="1:20" ht="23.4" x14ac:dyDescent="0.25">
      <c r="A67" s="57">
        <v>66</v>
      </c>
      <c r="B67" s="110">
        <v>244022</v>
      </c>
      <c r="C67" s="57" t="s">
        <v>114</v>
      </c>
      <c r="D67" s="57" t="s">
        <v>115</v>
      </c>
      <c r="E67" s="57" t="s">
        <v>116</v>
      </c>
      <c r="F67" s="57" t="s">
        <v>119</v>
      </c>
      <c r="G67" s="57">
        <v>2</v>
      </c>
      <c r="H67" s="57" t="s">
        <v>117</v>
      </c>
      <c r="I67" s="57" t="s">
        <v>3671</v>
      </c>
      <c r="J67" s="57" t="s">
        <v>3672</v>
      </c>
      <c r="K67" s="57" t="s">
        <v>3673</v>
      </c>
      <c r="L67" s="111" t="s">
        <v>3674</v>
      </c>
      <c r="N67" s="57">
        <v>1.1519999999999999</v>
      </c>
      <c r="O67" s="57">
        <v>280</v>
      </c>
      <c r="P67" s="57">
        <v>4.2</v>
      </c>
      <c r="Q67" s="57">
        <v>0.29399999999999998</v>
      </c>
      <c r="R67" s="57">
        <v>0</v>
      </c>
      <c r="S67" s="57">
        <v>22</v>
      </c>
      <c r="T67" s="112">
        <v>26.49</v>
      </c>
    </row>
    <row r="68" spans="1:20" ht="23.4" x14ac:dyDescent="0.25">
      <c r="A68" s="57">
        <v>67</v>
      </c>
      <c r="B68" s="110">
        <v>244022</v>
      </c>
      <c r="C68" s="57" t="s">
        <v>114</v>
      </c>
      <c r="D68" s="57" t="s">
        <v>115</v>
      </c>
      <c r="E68" s="57" t="s">
        <v>116</v>
      </c>
      <c r="F68" s="57" t="s">
        <v>119</v>
      </c>
      <c r="G68" s="57">
        <v>2</v>
      </c>
      <c r="H68" s="57" t="s">
        <v>117</v>
      </c>
      <c r="I68" s="57" t="s">
        <v>3675</v>
      </c>
      <c r="J68" s="57" t="s">
        <v>2083</v>
      </c>
      <c r="K68" s="57" t="s">
        <v>1811</v>
      </c>
      <c r="L68" s="111" t="s">
        <v>2084</v>
      </c>
      <c r="N68" s="57">
        <v>2.452</v>
      </c>
      <c r="O68" s="57">
        <v>0</v>
      </c>
      <c r="P68" s="57">
        <v>0</v>
      </c>
      <c r="Q68" s="57">
        <v>0</v>
      </c>
      <c r="R68" s="57">
        <v>0</v>
      </c>
      <c r="S68" s="57">
        <v>33</v>
      </c>
      <c r="T68" s="112">
        <v>33</v>
      </c>
    </row>
    <row r="69" spans="1:20" ht="23.4" x14ac:dyDescent="0.25">
      <c r="A69" s="57">
        <v>68</v>
      </c>
      <c r="B69" s="110">
        <v>244022</v>
      </c>
      <c r="C69" s="57" t="s">
        <v>114</v>
      </c>
      <c r="D69" s="57" t="s">
        <v>115</v>
      </c>
      <c r="E69" s="57" t="s">
        <v>116</v>
      </c>
      <c r="F69" s="57" t="s">
        <v>119</v>
      </c>
      <c r="G69" s="57">
        <v>2</v>
      </c>
      <c r="H69" s="57" t="s">
        <v>117</v>
      </c>
      <c r="I69" s="57" t="s">
        <v>3676</v>
      </c>
      <c r="J69" s="57" t="s">
        <v>3677</v>
      </c>
      <c r="K69" s="57" t="s">
        <v>3678</v>
      </c>
      <c r="L69" s="111" t="s">
        <v>3679</v>
      </c>
      <c r="N69" s="57">
        <v>1</v>
      </c>
      <c r="O69" s="57">
        <v>0</v>
      </c>
      <c r="P69" s="57">
        <v>0</v>
      </c>
      <c r="Q69" s="57">
        <v>0</v>
      </c>
      <c r="R69" s="57">
        <v>0</v>
      </c>
      <c r="S69" s="57">
        <v>17</v>
      </c>
      <c r="T69" s="112">
        <v>17</v>
      </c>
    </row>
    <row r="70" spans="1:20" ht="23.4" x14ac:dyDescent="0.25">
      <c r="A70" s="57">
        <v>69</v>
      </c>
      <c r="B70" s="110">
        <v>244022</v>
      </c>
      <c r="C70" s="57" t="s">
        <v>114</v>
      </c>
      <c r="D70" s="57" t="s">
        <v>115</v>
      </c>
      <c r="E70" s="57" t="s">
        <v>116</v>
      </c>
      <c r="F70" s="57" t="s">
        <v>119</v>
      </c>
      <c r="G70" s="57">
        <v>2</v>
      </c>
      <c r="H70" s="57" t="s">
        <v>117</v>
      </c>
      <c r="I70" s="57" t="s">
        <v>3680</v>
      </c>
      <c r="J70" s="57" t="s">
        <v>3127</v>
      </c>
      <c r="K70" s="57" t="s">
        <v>3128</v>
      </c>
      <c r="L70" s="111" t="s">
        <v>3129</v>
      </c>
      <c r="N70" s="57">
        <v>1.0880000000000001</v>
      </c>
      <c r="O70" s="57">
        <v>280</v>
      </c>
      <c r="P70" s="57">
        <v>4.2</v>
      </c>
      <c r="Q70" s="57">
        <v>0.29399999999999998</v>
      </c>
      <c r="R70" s="57">
        <v>0</v>
      </c>
      <c r="S70" s="57">
        <v>22</v>
      </c>
      <c r="T70" s="112">
        <v>26.49</v>
      </c>
    </row>
    <row r="71" spans="1:20" ht="23.4" x14ac:dyDescent="0.25">
      <c r="A71" s="57">
        <v>70</v>
      </c>
      <c r="B71" s="110">
        <v>244022</v>
      </c>
      <c r="C71" s="57" t="s">
        <v>114</v>
      </c>
      <c r="D71" s="57" t="s">
        <v>115</v>
      </c>
      <c r="E71" s="57" t="s">
        <v>116</v>
      </c>
      <c r="F71" s="57" t="s">
        <v>119</v>
      </c>
      <c r="G71" s="57">
        <v>2</v>
      </c>
      <c r="H71" s="57" t="s">
        <v>117</v>
      </c>
      <c r="I71" s="57" t="s">
        <v>3681</v>
      </c>
      <c r="J71" s="57" t="s">
        <v>1470</v>
      </c>
      <c r="K71" s="57" t="s">
        <v>1471</v>
      </c>
      <c r="L71" s="111" t="s">
        <v>2324</v>
      </c>
      <c r="N71" s="57">
        <v>7.01</v>
      </c>
      <c r="O71" s="57">
        <v>0</v>
      </c>
      <c r="P71" s="57">
        <v>0</v>
      </c>
      <c r="Q71" s="57">
        <v>0</v>
      </c>
      <c r="R71" s="57">
        <v>0</v>
      </c>
      <c r="S71" s="57">
        <v>90</v>
      </c>
      <c r="T71" s="112">
        <v>90</v>
      </c>
    </row>
    <row r="72" spans="1:20" ht="23.4" x14ac:dyDescent="0.25">
      <c r="A72" s="57">
        <v>71</v>
      </c>
      <c r="B72" s="110">
        <v>244022</v>
      </c>
      <c r="C72" s="57" t="s">
        <v>114</v>
      </c>
      <c r="D72" s="57" t="s">
        <v>115</v>
      </c>
      <c r="E72" s="57" t="s">
        <v>116</v>
      </c>
      <c r="F72" s="57" t="s">
        <v>119</v>
      </c>
      <c r="G72" s="57">
        <v>2</v>
      </c>
      <c r="H72" s="57" t="s">
        <v>117</v>
      </c>
      <c r="I72" s="57" t="s">
        <v>3459</v>
      </c>
      <c r="J72" s="57" t="s">
        <v>2920</v>
      </c>
      <c r="K72" s="57" t="s">
        <v>2921</v>
      </c>
      <c r="L72" s="111" t="s">
        <v>3682</v>
      </c>
      <c r="N72" s="57">
        <v>3.456</v>
      </c>
      <c r="O72" s="57">
        <v>0</v>
      </c>
      <c r="P72" s="57">
        <v>0</v>
      </c>
      <c r="Q72" s="57">
        <v>0</v>
      </c>
      <c r="R72" s="57">
        <v>0</v>
      </c>
      <c r="S72" s="57">
        <v>43</v>
      </c>
      <c r="T72" s="112">
        <v>43</v>
      </c>
    </row>
    <row r="73" spans="1:20" ht="23.4" x14ac:dyDescent="0.25">
      <c r="A73" s="57">
        <v>72</v>
      </c>
      <c r="B73" s="110">
        <v>244022</v>
      </c>
      <c r="C73" s="57" t="s">
        <v>114</v>
      </c>
      <c r="D73" s="57" t="s">
        <v>115</v>
      </c>
      <c r="E73" s="57" t="s">
        <v>116</v>
      </c>
      <c r="F73" s="57" t="s">
        <v>119</v>
      </c>
      <c r="G73" s="57">
        <v>2</v>
      </c>
      <c r="H73" s="57" t="s">
        <v>117</v>
      </c>
      <c r="I73" s="57" t="s">
        <v>3683</v>
      </c>
      <c r="J73" s="57" t="s">
        <v>2358</v>
      </c>
      <c r="K73" s="57" t="s">
        <v>2359</v>
      </c>
      <c r="L73" s="111" t="s">
        <v>2360</v>
      </c>
      <c r="N73" s="57">
        <v>1.81</v>
      </c>
      <c r="O73" s="57">
        <v>0</v>
      </c>
      <c r="P73" s="57">
        <v>0</v>
      </c>
      <c r="Q73" s="57">
        <v>0</v>
      </c>
      <c r="R73" s="57">
        <v>0</v>
      </c>
      <c r="S73" s="57">
        <v>22</v>
      </c>
      <c r="T73" s="112">
        <v>22</v>
      </c>
    </row>
    <row r="74" spans="1:20" ht="23.4" x14ac:dyDescent="0.25">
      <c r="A74" s="57">
        <v>73</v>
      </c>
      <c r="B74" s="110">
        <v>244022</v>
      </c>
      <c r="C74" s="57" t="s">
        <v>114</v>
      </c>
      <c r="D74" s="57" t="s">
        <v>115</v>
      </c>
      <c r="E74" s="57" t="s">
        <v>116</v>
      </c>
      <c r="F74" s="57" t="s">
        <v>119</v>
      </c>
      <c r="G74" s="57">
        <v>2</v>
      </c>
      <c r="H74" s="57" t="s">
        <v>117</v>
      </c>
      <c r="I74" s="57" t="s">
        <v>3684</v>
      </c>
      <c r="J74" s="57" t="s">
        <v>3685</v>
      </c>
      <c r="K74" s="57" t="s">
        <v>3686</v>
      </c>
      <c r="L74" s="111" t="s">
        <v>3687</v>
      </c>
      <c r="N74" s="57">
        <v>5.45</v>
      </c>
      <c r="O74" s="57">
        <v>0</v>
      </c>
      <c r="P74" s="57">
        <v>0</v>
      </c>
      <c r="Q74" s="57">
        <v>0</v>
      </c>
      <c r="R74" s="57">
        <v>0</v>
      </c>
      <c r="S74" s="57">
        <v>70</v>
      </c>
      <c r="T74" s="112">
        <v>70</v>
      </c>
    </row>
    <row r="75" spans="1:20" ht="23.4" x14ac:dyDescent="0.25">
      <c r="A75" s="57">
        <v>74</v>
      </c>
      <c r="B75" s="110">
        <v>244022</v>
      </c>
      <c r="C75" s="57" t="s">
        <v>114</v>
      </c>
      <c r="D75" s="57" t="s">
        <v>115</v>
      </c>
      <c r="E75" s="57" t="s">
        <v>116</v>
      </c>
      <c r="F75" s="57" t="s">
        <v>119</v>
      </c>
      <c r="G75" s="57">
        <v>2</v>
      </c>
      <c r="H75" s="57" t="s">
        <v>117</v>
      </c>
      <c r="I75" s="57" t="s">
        <v>3688</v>
      </c>
      <c r="J75" s="57" t="s">
        <v>3689</v>
      </c>
      <c r="K75" s="57" t="s">
        <v>3686</v>
      </c>
      <c r="L75" s="111" t="s">
        <v>3687</v>
      </c>
      <c r="N75" s="57">
        <v>5.96</v>
      </c>
      <c r="O75" s="57">
        <v>0</v>
      </c>
      <c r="P75" s="57">
        <v>0</v>
      </c>
      <c r="Q75" s="57">
        <v>0</v>
      </c>
      <c r="R75" s="57">
        <v>0</v>
      </c>
      <c r="S75" s="57">
        <v>70</v>
      </c>
      <c r="T75" s="112">
        <v>70</v>
      </c>
    </row>
    <row r="76" spans="1:20" ht="23.4" x14ac:dyDescent="0.25">
      <c r="A76" s="57">
        <v>75</v>
      </c>
      <c r="B76" s="110">
        <v>244022</v>
      </c>
      <c r="C76" s="57" t="s">
        <v>114</v>
      </c>
      <c r="D76" s="57" t="s">
        <v>115</v>
      </c>
      <c r="E76" s="57" t="s">
        <v>116</v>
      </c>
      <c r="F76" s="57" t="s">
        <v>119</v>
      </c>
      <c r="G76" s="57">
        <v>2</v>
      </c>
      <c r="H76" s="57" t="s">
        <v>117</v>
      </c>
      <c r="I76" s="57" t="s">
        <v>3690</v>
      </c>
      <c r="J76" s="57" t="s">
        <v>2197</v>
      </c>
      <c r="K76" s="57" t="s">
        <v>1482</v>
      </c>
      <c r="L76" s="111" t="s">
        <v>2479</v>
      </c>
      <c r="N76" s="57">
        <v>16.995000000000001</v>
      </c>
      <c r="O76" s="57">
        <v>0</v>
      </c>
      <c r="P76" s="57">
        <v>0</v>
      </c>
      <c r="Q76" s="57">
        <v>0</v>
      </c>
      <c r="R76" s="57">
        <v>0</v>
      </c>
      <c r="S76" s="57">
        <v>180</v>
      </c>
      <c r="T76" s="112">
        <v>180</v>
      </c>
    </row>
    <row r="77" spans="1:20" ht="23.4" x14ac:dyDescent="0.25">
      <c r="A77" s="57">
        <v>76</v>
      </c>
      <c r="B77" s="110">
        <v>244022</v>
      </c>
      <c r="C77" s="57" t="s">
        <v>114</v>
      </c>
      <c r="D77" s="57" t="s">
        <v>115</v>
      </c>
      <c r="E77" s="57" t="s">
        <v>116</v>
      </c>
      <c r="F77" s="57" t="s">
        <v>119</v>
      </c>
      <c r="G77" s="57">
        <v>2</v>
      </c>
      <c r="H77" s="57" t="s">
        <v>117</v>
      </c>
      <c r="I77" s="57" t="s">
        <v>3691</v>
      </c>
      <c r="J77" s="57" t="s">
        <v>3692</v>
      </c>
      <c r="K77" s="57" t="s">
        <v>3693</v>
      </c>
      <c r="L77" s="111" t="s">
        <v>3694</v>
      </c>
      <c r="N77" s="57">
        <v>2.1640000000000001</v>
      </c>
      <c r="O77" s="57">
        <v>0</v>
      </c>
      <c r="P77" s="57">
        <v>0</v>
      </c>
      <c r="Q77" s="57">
        <v>0</v>
      </c>
      <c r="R77" s="57">
        <v>0</v>
      </c>
      <c r="S77" s="57">
        <v>33</v>
      </c>
      <c r="T77" s="112">
        <v>33</v>
      </c>
    </row>
    <row r="78" spans="1:20" ht="23.4" x14ac:dyDescent="0.25">
      <c r="A78" s="57">
        <v>77</v>
      </c>
      <c r="B78" s="110">
        <v>244022</v>
      </c>
      <c r="C78" s="57" t="s">
        <v>114</v>
      </c>
      <c r="D78" s="57" t="s">
        <v>115</v>
      </c>
      <c r="E78" s="57" t="s">
        <v>116</v>
      </c>
      <c r="F78" s="57" t="s">
        <v>119</v>
      </c>
      <c r="G78" s="57">
        <v>2</v>
      </c>
      <c r="H78" s="57" t="s">
        <v>117</v>
      </c>
      <c r="I78" s="57" t="s">
        <v>3695</v>
      </c>
      <c r="J78" s="57" t="s">
        <v>3696</v>
      </c>
      <c r="K78" s="57" t="s">
        <v>3697</v>
      </c>
      <c r="L78" s="111" t="s">
        <v>3698</v>
      </c>
      <c r="N78" s="57">
        <v>1.02</v>
      </c>
      <c r="O78" s="57">
        <v>249</v>
      </c>
      <c r="P78" s="57">
        <v>3.7349999999999999</v>
      </c>
      <c r="Q78" s="57">
        <v>0.26150000000000001</v>
      </c>
      <c r="R78" s="57">
        <v>0</v>
      </c>
      <c r="S78" s="57">
        <v>22</v>
      </c>
      <c r="T78" s="112">
        <v>26</v>
      </c>
    </row>
    <row r="79" spans="1:20" ht="23.4" x14ac:dyDescent="0.25">
      <c r="A79" s="57">
        <v>78</v>
      </c>
      <c r="B79" s="110">
        <v>244022</v>
      </c>
      <c r="C79" s="57" t="s">
        <v>114</v>
      </c>
      <c r="D79" s="57" t="s">
        <v>115</v>
      </c>
      <c r="E79" s="57" t="s">
        <v>116</v>
      </c>
      <c r="F79" s="57" t="s">
        <v>119</v>
      </c>
      <c r="G79" s="57">
        <v>2</v>
      </c>
      <c r="H79" s="57" t="s">
        <v>117</v>
      </c>
      <c r="I79" s="57" t="s">
        <v>3699</v>
      </c>
      <c r="J79" s="57" t="s">
        <v>3700</v>
      </c>
      <c r="K79" s="57" t="s">
        <v>3701</v>
      </c>
      <c r="L79" s="111" t="s">
        <v>3702</v>
      </c>
      <c r="N79" s="57">
        <v>1.258</v>
      </c>
      <c r="O79" s="57">
        <v>280</v>
      </c>
      <c r="P79" s="57">
        <v>4.2</v>
      </c>
      <c r="Q79" s="57">
        <v>0.29399999999999998</v>
      </c>
      <c r="R79" s="57">
        <v>0</v>
      </c>
      <c r="S79" s="57">
        <v>22</v>
      </c>
      <c r="T79" s="112">
        <v>26.49</v>
      </c>
    </row>
    <row r="80" spans="1:20" ht="23.4" x14ac:dyDescent="0.25">
      <c r="A80" s="57">
        <v>79</v>
      </c>
      <c r="B80" s="110">
        <v>244022</v>
      </c>
      <c r="C80" s="57" t="s">
        <v>114</v>
      </c>
      <c r="D80" s="57" t="s">
        <v>115</v>
      </c>
      <c r="E80" s="57" t="s">
        <v>116</v>
      </c>
      <c r="F80" s="57" t="s">
        <v>119</v>
      </c>
      <c r="G80" s="57">
        <v>2</v>
      </c>
      <c r="H80" s="57" t="s">
        <v>117</v>
      </c>
      <c r="I80" s="57" t="s">
        <v>3703</v>
      </c>
      <c r="J80" s="57" t="s">
        <v>123</v>
      </c>
      <c r="K80" s="57" t="s">
        <v>124</v>
      </c>
      <c r="L80" s="111" t="s">
        <v>3438</v>
      </c>
      <c r="N80" s="57">
        <v>3.7999999999999999E-2</v>
      </c>
      <c r="O80" s="57">
        <v>0</v>
      </c>
      <c r="P80" s="57">
        <v>0</v>
      </c>
      <c r="Q80" s="57">
        <v>0</v>
      </c>
      <c r="R80" s="57">
        <v>0</v>
      </c>
      <c r="S80" s="57">
        <v>17</v>
      </c>
      <c r="T80" s="112">
        <v>17</v>
      </c>
    </row>
    <row r="81" spans="1:20" ht="23.4" x14ac:dyDescent="0.25">
      <c r="A81" s="57">
        <v>80</v>
      </c>
      <c r="B81" s="110">
        <v>244023</v>
      </c>
      <c r="C81" s="57" t="s">
        <v>114</v>
      </c>
      <c r="D81" s="57" t="s">
        <v>115</v>
      </c>
      <c r="E81" s="57" t="s">
        <v>116</v>
      </c>
      <c r="F81" s="57" t="s">
        <v>119</v>
      </c>
      <c r="G81" s="57">
        <v>2</v>
      </c>
      <c r="H81" s="57" t="s">
        <v>117</v>
      </c>
      <c r="I81" s="57" t="s">
        <v>3708</v>
      </c>
      <c r="J81" s="57" t="s">
        <v>3709</v>
      </c>
      <c r="K81" s="57" t="s">
        <v>3710</v>
      </c>
      <c r="L81" s="111" t="s">
        <v>3711</v>
      </c>
      <c r="N81" s="57">
        <v>0.67</v>
      </c>
      <c r="O81" s="57">
        <v>0</v>
      </c>
      <c r="P81" s="57">
        <v>0</v>
      </c>
      <c r="Q81" s="57">
        <v>0</v>
      </c>
      <c r="R81" s="57">
        <v>0</v>
      </c>
      <c r="S81" s="57">
        <v>17</v>
      </c>
      <c r="T81" s="112">
        <v>17</v>
      </c>
    </row>
    <row r="82" spans="1:20" ht="23.4" x14ac:dyDescent="0.25">
      <c r="A82" s="57">
        <v>81</v>
      </c>
      <c r="B82" s="110">
        <v>244023</v>
      </c>
      <c r="C82" s="57" t="s">
        <v>114</v>
      </c>
      <c r="D82" s="57" t="s">
        <v>115</v>
      </c>
      <c r="E82" s="57" t="s">
        <v>116</v>
      </c>
      <c r="F82" s="57" t="s">
        <v>119</v>
      </c>
      <c r="G82" s="57">
        <v>2</v>
      </c>
      <c r="H82" s="57" t="s">
        <v>117</v>
      </c>
      <c r="I82" s="57" t="s">
        <v>3712</v>
      </c>
      <c r="J82" s="57" t="s">
        <v>1754</v>
      </c>
      <c r="K82" s="57" t="s">
        <v>1755</v>
      </c>
      <c r="L82" s="111" t="s">
        <v>3713</v>
      </c>
      <c r="N82" s="57">
        <v>1.244</v>
      </c>
      <c r="O82" s="57">
        <v>230</v>
      </c>
      <c r="P82" s="57">
        <v>3.45</v>
      </c>
      <c r="Q82" s="57">
        <v>0.24149999999999999</v>
      </c>
      <c r="R82" s="57">
        <v>0</v>
      </c>
      <c r="S82" s="57">
        <v>22</v>
      </c>
      <c r="T82" s="112">
        <v>25.69</v>
      </c>
    </row>
    <row r="83" spans="1:20" ht="23.4" x14ac:dyDescent="0.25">
      <c r="A83" s="57">
        <v>82</v>
      </c>
      <c r="B83" s="110">
        <v>244023</v>
      </c>
      <c r="C83" s="57" t="s">
        <v>114</v>
      </c>
      <c r="D83" s="57" t="s">
        <v>115</v>
      </c>
      <c r="E83" s="57" t="s">
        <v>116</v>
      </c>
      <c r="F83" s="57" t="s">
        <v>119</v>
      </c>
      <c r="G83" s="57">
        <v>2</v>
      </c>
      <c r="H83" s="57" t="s">
        <v>117</v>
      </c>
      <c r="I83" s="57" t="s">
        <v>3714</v>
      </c>
      <c r="J83" s="57" t="s">
        <v>3715</v>
      </c>
      <c r="K83" s="57" t="s">
        <v>3716</v>
      </c>
      <c r="L83" s="111" t="s">
        <v>3717</v>
      </c>
      <c r="N83" s="57">
        <v>0.69399999999999995</v>
      </c>
      <c r="O83" s="57">
        <v>0</v>
      </c>
      <c r="P83" s="57">
        <v>0</v>
      </c>
      <c r="Q83" s="57">
        <v>0</v>
      </c>
      <c r="R83" s="57">
        <v>0</v>
      </c>
      <c r="S83" s="57">
        <v>17</v>
      </c>
      <c r="T83" s="112">
        <v>17</v>
      </c>
    </row>
    <row r="84" spans="1:20" ht="23.4" x14ac:dyDescent="0.25">
      <c r="A84" s="57">
        <v>83</v>
      </c>
      <c r="B84" s="110">
        <v>244023</v>
      </c>
      <c r="C84" s="57" t="s">
        <v>114</v>
      </c>
      <c r="D84" s="57" t="s">
        <v>115</v>
      </c>
      <c r="E84" s="57" t="s">
        <v>116</v>
      </c>
      <c r="F84" s="57" t="s">
        <v>119</v>
      </c>
      <c r="G84" s="57">
        <v>2</v>
      </c>
      <c r="H84" s="57" t="s">
        <v>117</v>
      </c>
      <c r="I84" s="57" t="s">
        <v>3718</v>
      </c>
      <c r="J84" s="57" t="s">
        <v>3719</v>
      </c>
      <c r="K84" s="57" t="s">
        <v>3720</v>
      </c>
      <c r="L84" s="111" t="s">
        <v>3721</v>
      </c>
      <c r="N84" s="57">
        <v>1.242</v>
      </c>
      <c r="O84" s="57">
        <v>230</v>
      </c>
      <c r="P84" s="57">
        <v>3.45</v>
      </c>
      <c r="Q84" s="57">
        <v>0.24149999999999999</v>
      </c>
      <c r="R84" s="57">
        <v>0</v>
      </c>
      <c r="S84" s="57">
        <v>22</v>
      </c>
      <c r="T84" s="112">
        <v>25.69</v>
      </c>
    </row>
    <row r="85" spans="1:20" ht="23.4" x14ac:dyDescent="0.25">
      <c r="A85" s="57">
        <v>84</v>
      </c>
      <c r="B85" s="110">
        <v>244023</v>
      </c>
      <c r="C85" s="57" t="s">
        <v>114</v>
      </c>
      <c r="D85" s="57" t="s">
        <v>115</v>
      </c>
      <c r="E85" s="57" t="s">
        <v>116</v>
      </c>
      <c r="F85" s="57" t="s">
        <v>119</v>
      </c>
      <c r="G85" s="57">
        <v>2</v>
      </c>
      <c r="H85" s="57" t="s">
        <v>117</v>
      </c>
      <c r="I85" s="57" t="s">
        <v>3722</v>
      </c>
      <c r="J85" s="57" t="s">
        <v>3723</v>
      </c>
      <c r="K85" s="57" t="s">
        <v>3724</v>
      </c>
      <c r="L85" s="111" t="s">
        <v>3725</v>
      </c>
      <c r="N85" s="57">
        <v>0.66800000000000004</v>
      </c>
      <c r="O85" s="57">
        <v>0</v>
      </c>
      <c r="P85" s="57">
        <v>0</v>
      </c>
      <c r="Q85" s="57">
        <v>0</v>
      </c>
      <c r="R85" s="57">
        <v>0</v>
      </c>
      <c r="S85" s="57">
        <v>17</v>
      </c>
      <c r="T85" s="112">
        <v>17</v>
      </c>
    </row>
    <row r="86" spans="1:20" ht="23.4" x14ac:dyDescent="0.25">
      <c r="A86" s="57">
        <v>85</v>
      </c>
      <c r="B86" s="110">
        <v>244023</v>
      </c>
      <c r="C86" s="57" t="s">
        <v>114</v>
      </c>
      <c r="D86" s="57" t="s">
        <v>115</v>
      </c>
      <c r="E86" s="57" t="s">
        <v>116</v>
      </c>
      <c r="F86" s="57" t="s">
        <v>119</v>
      </c>
      <c r="G86" s="57">
        <v>2</v>
      </c>
      <c r="H86" s="57" t="s">
        <v>117</v>
      </c>
      <c r="I86" s="57" t="s">
        <v>3726</v>
      </c>
      <c r="J86" s="57" t="s">
        <v>3727</v>
      </c>
      <c r="K86" s="57" t="s">
        <v>3728</v>
      </c>
      <c r="L86" s="111" t="s">
        <v>3729</v>
      </c>
      <c r="N86" s="57">
        <v>1.746</v>
      </c>
      <c r="O86" s="57">
        <v>330</v>
      </c>
      <c r="P86" s="57">
        <v>4.95</v>
      </c>
      <c r="Q86" s="57">
        <v>0.34649999999999997</v>
      </c>
      <c r="R86" s="57">
        <v>0</v>
      </c>
      <c r="S86" s="57">
        <v>22</v>
      </c>
      <c r="T86" s="112">
        <v>27.3</v>
      </c>
    </row>
    <row r="87" spans="1:20" ht="23.4" x14ac:dyDescent="0.25">
      <c r="A87" s="57">
        <v>86</v>
      </c>
      <c r="B87" s="110">
        <v>244023</v>
      </c>
      <c r="C87" s="57" t="s">
        <v>114</v>
      </c>
      <c r="D87" s="57" t="s">
        <v>115</v>
      </c>
      <c r="E87" s="57" t="s">
        <v>116</v>
      </c>
      <c r="F87" s="57" t="s">
        <v>119</v>
      </c>
      <c r="G87" s="57">
        <v>2</v>
      </c>
      <c r="H87" s="57" t="s">
        <v>117</v>
      </c>
      <c r="I87" s="57" t="s">
        <v>3730</v>
      </c>
      <c r="J87" s="57" t="s">
        <v>3731</v>
      </c>
      <c r="K87" s="57" t="s">
        <v>3732</v>
      </c>
      <c r="L87" s="111" t="s">
        <v>3733</v>
      </c>
      <c r="N87" s="57">
        <v>1.242</v>
      </c>
      <c r="O87" s="57">
        <v>0</v>
      </c>
      <c r="P87" s="57">
        <v>0</v>
      </c>
      <c r="Q87" s="57">
        <v>0</v>
      </c>
      <c r="R87" s="57">
        <v>0</v>
      </c>
      <c r="S87" s="57">
        <v>22</v>
      </c>
      <c r="T87" s="112">
        <v>22</v>
      </c>
    </row>
    <row r="88" spans="1:20" ht="23.4" x14ac:dyDescent="0.25">
      <c r="A88" s="57">
        <v>87</v>
      </c>
      <c r="B88" s="110">
        <v>244023</v>
      </c>
      <c r="C88" s="57" t="s">
        <v>114</v>
      </c>
      <c r="D88" s="57" t="s">
        <v>115</v>
      </c>
      <c r="E88" s="57" t="s">
        <v>116</v>
      </c>
      <c r="F88" s="57" t="s">
        <v>119</v>
      </c>
      <c r="G88" s="57">
        <v>2</v>
      </c>
      <c r="H88" s="57" t="s">
        <v>117</v>
      </c>
      <c r="I88" s="57" t="s">
        <v>3734</v>
      </c>
      <c r="J88" s="57" t="s">
        <v>3735</v>
      </c>
      <c r="K88" s="57" t="s">
        <v>3736</v>
      </c>
      <c r="L88" s="111" t="s">
        <v>3737</v>
      </c>
      <c r="N88" s="57">
        <v>1.1759999999999999</v>
      </c>
      <c r="O88" s="57">
        <v>230</v>
      </c>
      <c r="P88" s="57">
        <v>3.45</v>
      </c>
      <c r="Q88" s="57">
        <v>0.24149999999999999</v>
      </c>
      <c r="R88" s="57">
        <v>15</v>
      </c>
      <c r="S88" s="57">
        <v>37</v>
      </c>
      <c r="T88" s="112">
        <v>40.69</v>
      </c>
    </row>
    <row r="89" spans="1:20" ht="23.4" x14ac:dyDescent="0.25">
      <c r="A89" s="57">
        <v>88</v>
      </c>
      <c r="B89" s="110">
        <v>244023</v>
      </c>
      <c r="C89" s="57" t="s">
        <v>114</v>
      </c>
      <c r="D89" s="57" t="s">
        <v>115</v>
      </c>
      <c r="E89" s="57" t="s">
        <v>116</v>
      </c>
      <c r="F89" s="57" t="s">
        <v>119</v>
      </c>
      <c r="G89" s="57">
        <v>2</v>
      </c>
      <c r="H89" s="57" t="s">
        <v>117</v>
      </c>
      <c r="I89" s="57" t="s">
        <v>3738</v>
      </c>
      <c r="J89" s="57" t="s">
        <v>3739</v>
      </c>
      <c r="K89" s="57" t="s">
        <v>3740</v>
      </c>
      <c r="L89" s="111" t="s">
        <v>3741</v>
      </c>
      <c r="N89" s="57">
        <v>0.67400000000000004</v>
      </c>
      <c r="O89" s="57">
        <v>0</v>
      </c>
      <c r="P89" s="57">
        <v>0</v>
      </c>
      <c r="Q89" s="57">
        <v>0</v>
      </c>
      <c r="R89" s="57">
        <v>0</v>
      </c>
      <c r="S89" s="57">
        <v>17</v>
      </c>
      <c r="T89" s="112">
        <v>17</v>
      </c>
    </row>
    <row r="90" spans="1:20" ht="23.4" x14ac:dyDescent="0.25">
      <c r="A90" s="57">
        <v>89</v>
      </c>
      <c r="B90" s="110">
        <v>244023</v>
      </c>
      <c r="C90" s="57" t="s">
        <v>114</v>
      </c>
      <c r="D90" s="57" t="s">
        <v>115</v>
      </c>
      <c r="E90" s="57" t="s">
        <v>116</v>
      </c>
      <c r="F90" s="57" t="s">
        <v>119</v>
      </c>
      <c r="G90" s="57">
        <v>2</v>
      </c>
      <c r="H90" s="57" t="s">
        <v>117</v>
      </c>
      <c r="I90" s="57" t="s">
        <v>3742</v>
      </c>
      <c r="J90" s="57" t="s">
        <v>3743</v>
      </c>
      <c r="K90" s="57" t="s">
        <v>3744</v>
      </c>
      <c r="L90" s="111" t="s">
        <v>3745</v>
      </c>
      <c r="N90" s="57">
        <v>0.66</v>
      </c>
      <c r="O90" s="57">
        <v>130</v>
      </c>
      <c r="P90" s="57">
        <v>1.95</v>
      </c>
      <c r="Q90" s="57">
        <v>0.13650000000000001</v>
      </c>
      <c r="R90" s="57">
        <v>0</v>
      </c>
      <c r="S90" s="57">
        <v>17</v>
      </c>
      <c r="T90" s="112">
        <v>19.09</v>
      </c>
    </row>
    <row r="91" spans="1:20" ht="23.4" x14ac:dyDescent="0.25">
      <c r="A91" s="57">
        <v>90</v>
      </c>
      <c r="B91" s="110">
        <v>244023</v>
      </c>
      <c r="C91" s="57" t="s">
        <v>114</v>
      </c>
      <c r="D91" s="57" t="s">
        <v>115</v>
      </c>
      <c r="E91" s="57" t="s">
        <v>116</v>
      </c>
      <c r="F91" s="57" t="s">
        <v>119</v>
      </c>
      <c r="G91" s="57">
        <v>2</v>
      </c>
      <c r="H91" s="57" t="s">
        <v>117</v>
      </c>
      <c r="I91" s="57" t="s">
        <v>3746</v>
      </c>
      <c r="J91" s="57" t="s">
        <v>3561</v>
      </c>
      <c r="K91" s="57" t="s">
        <v>3562</v>
      </c>
      <c r="L91" s="111" t="s">
        <v>3563</v>
      </c>
      <c r="N91" s="57">
        <v>0.69199999999999995</v>
      </c>
      <c r="O91" s="57">
        <v>0</v>
      </c>
      <c r="P91" s="57">
        <v>0</v>
      </c>
      <c r="Q91" s="57">
        <v>0</v>
      </c>
      <c r="R91" s="57">
        <v>0</v>
      </c>
      <c r="S91" s="57">
        <v>17</v>
      </c>
      <c r="T91" s="112">
        <v>17</v>
      </c>
    </row>
    <row r="92" spans="1:20" ht="23.4" x14ac:dyDescent="0.25">
      <c r="A92" s="57">
        <v>91</v>
      </c>
      <c r="B92" s="110">
        <v>244023</v>
      </c>
      <c r="C92" s="57" t="s">
        <v>114</v>
      </c>
      <c r="D92" s="57" t="s">
        <v>115</v>
      </c>
      <c r="E92" s="57" t="s">
        <v>116</v>
      </c>
      <c r="F92" s="57" t="s">
        <v>119</v>
      </c>
      <c r="G92" s="57">
        <v>2</v>
      </c>
      <c r="H92" s="57" t="s">
        <v>117</v>
      </c>
      <c r="I92" s="57" t="s">
        <v>3747</v>
      </c>
      <c r="J92" s="57" t="s">
        <v>3748</v>
      </c>
      <c r="K92" s="57" t="s">
        <v>3749</v>
      </c>
      <c r="L92" s="111" t="s">
        <v>3750</v>
      </c>
      <c r="N92" s="57">
        <v>1.228</v>
      </c>
      <c r="O92" s="57">
        <v>0</v>
      </c>
      <c r="P92" s="57">
        <v>0</v>
      </c>
      <c r="Q92" s="57">
        <v>0</v>
      </c>
      <c r="R92" s="57">
        <v>0</v>
      </c>
      <c r="S92" s="57">
        <v>22</v>
      </c>
      <c r="T92" s="112">
        <v>22</v>
      </c>
    </row>
    <row r="93" spans="1:20" ht="23.4" x14ac:dyDescent="0.25">
      <c r="A93" s="57">
        <v>92</v>
      </c>
      <c r="B93" s="110">
        <v>244023</v>
      </c>
      <c r="C93" s="57" t="s">
        <v>114</v>
      </c>
      <c r="D93" s="57" t="s">
        <v>115</v>
      </c>
      <c r="E93" s="57" t="s">
        <v>116</v>
      </c>
      <c r="F93" s="57" t="s">
        <v>119</v>
      </c>
      <c r="G93" s="57">
        <v>2</v>
      </c>
      <c r="H93" s="57" t="s">
        <v>117</v>
      </c>
      <c r="I93" s="57" t="s">
        <v>3751</v>
      </c>
      <c r="J93" s="57" t="s">
        <v>3615</v>
      </c>
      <c r="K93" s="57" t="s">
        <v>3616</v>
      </c>
      <c r="L93" s="111" t="s">
        <v>3617</v>
      </c>
      <c r="N93" s="57">
        <v>2.1160000000000001</v>
      </c>
      <c r="O93" s="57">
        <v>530</v>
      </c>
      <c r="P93" s="57">
        <v>7.95</v>
      </c>
      <c r="Q93" s="57">
        <v>0.55649999999999999</v>
      </c>
      <c r="R93" s="57">
        <v>0</v>
      </c>
      <c r="S93" s="57">
        <v>33</v>
      </c>
      <c r="T93" s="112">
        <v>41.51</v>
      </c>
    </row>
    <row r="94" spans="1:20" ht="23.4" x14ac:dyDescent="0.25">
      <c r="A94" s="57">
        <v>93</v>
      </c>
      <c r="B94" s="110">
        <v>244023</v>
      </c>
      <c r="C94" s="57" t="s">
        <v>114</v>
      </c>
      <c r="D94" s="57" t="s">
        <v>115</v>
      </c>
      <c r="E94" s="57" t="s">
        <v>116</v>
      </c>
      <c r="F94" s="57" t="s">
        <v>119</v>
      </c>
      <c r="G94" s="57">
        <v>2</v>
      </c>
      <c r="H94" s="57" t="s">
        <v>117</v>
      </c>
      <c r="I94" s="57" t="s">
        <v>3752</v>
      </c>
      <c r="J94" s="57" t="s">
        <v>3753</v>
      </c>
      <c r="K94" s="57" t="s">
        <v>3754</v>
      </c>
      <c r="L94" s="111" t="s">
        <v>3755</v>
      </c>
      <c r="N94" s="57">
        <v>0.69799999999999995</v>
      </c>
      <c r="O94" s="57">
        <v>130</v>
      </c>
      <c r="P94" s="57">
        <v>1.95</v>
      </c>
      <c r="Q94" s="57">
        <v>0.13650000000000001</v>
      </c>
      <c r="R94" s="57">
        <v>0</v>
      </c>
      <c r="S94" s="57">
        <v>17</v>
      </c>
      <c r="T94" s="112">
        <v>19.09</v>
      </c>
    </row>
    <row r="95" spans="1:20" ht="23.4" x14ac:dyDescent="0.25">
      <c r="A95" s="57">
        <v>94</v>
      </c>
      <c r="B95" s="110">
        <v>244023</v>
      </c>
      <c r="C95" s="57" t="s">
        <v>114</v>
      </c>
      <c r="D95" s="57" t="s">
        <v>115</v>
      </c>
      <c r="E95" s="57" t="s">
        <v>116</v>
      </c>
      <c r="F95" s="57" t="s">
        <v>119</v>
      </c>
      <c r="G95" s="57">
        <v>2</v>
      </c>
      <c r="H95" s="57" t="s">
        <v>117</v>
      </c>
      <c r="I95" s="57" t="s">
        <v>3756</v>
      </c>
      <c r="J95" s="57" t="s">
        <v>3757</v>
      </c>
      <c r="K95" s="57" t="s">
        <v>3758</v>
      </c>
      <c r="L95" s="111" t="s">
        <v>3759</v>
      </c>
      <c r="N95" s="57">
        <v>1.24</v>
      </c>
      <c r="O95" s="57">
        <v>230</v>
      </c>
      <c r="P95" s="57">
        <v>3.45</v>
      </c>
      <c r="Q95" s="57">
        <v>0.24149999999999999</v>
      </c>
      <c r="R95" s="57">
        <v>0</v>
      </c>
      <c r="S95" s="57">
        <v>22</v>
      </c>
      <c r="T95" s="112">
        <v>25.69</v>
      </c>
    </row>
    <row r="96" spans="1:20" ht="23.4" x14ac:dyDescent="0.25">
      <c r="A96" s="57">
        <v>95</v>
      </c>
      <c r="B96" s="110">
        <v>244023</v>
      </c>
      <c r="C96" s="57" t="s">
        <v>114</v>
      </c>
      <c r="D96" s="57" t="s">
        <v>115</v>
      </c>
      <c r="E96" s="57" t="s">
        <v>116</v>
      </c>
      <c r="F96" s="57" t="s">
        <v>119</v>
      </c>
      <c r="G96" s="57">
        <v>2</v>
      </c>
      <c r="H96" s="57" t="s">
        <v>117</v>
      </c>
      <c r="I96" s="57" t="s">
        <v>3760</v>
      </c>
      <c r="J96" s="57" t="s">
        <v>3761</v>
      </c>
      <c r="K96" s="57" t="s">
        <v>3762</v>
      </c>
      <c r="L96" s="111" t="s">
        <v>3763</v>
      </c>
      <c r="N96" s="57">
        <v>1.238</v>
      </c>
      <c r="O96" s="57">
        <v>230</v>
      </c>
      <c r="P96" s="57">
        <v>3.45</v>
      </c>
      <c r="Q96" s="57">
        <v>0.24149999999999999</v>
      </c>
      <c r="R96" s="57">
        <v>0</v>
      </c>
      <c r="S96" s="57">
        <v>22</v>
      </c>
      <c r="T96" s="112">
        <v>25.69</v>
      </c>
    </row>
    <row r="97" spans="1:20" ht="23.4" x14ac:dyDescent="0.25">
      <c r="A97" s="57">
        <v>96</v>
      </c>
      <c r="B97" s="110">
        <v>244023</v>
      </c>
      <c r="C97" s="57" t="s">
        <v>114</v>
      </c>
      <c r="D97" s="57" t="s">
        <v>115</v>
      </c>
      <c r="E97" s="57" t="s">
        <v>116</v>
      </c>
      <c r="F97" s="57" t="s">
        <v>119</v>
      </c>
      <c r="G97" s="57">
        <v>2</v>
      </c>
      <c r="H97" s="57" t="s">
        <v>117</v>
      </c>
      <c r="I97" s="57" t="s">
        <v>3764</v>
      </c>
      <c r="J97" s="57" t="s">
        <v>3765</v>
      </c>
      <c r="K97" s="57" t="s">
        <v>3766</v>
      </c>
      <c r="L97" s="111" t="s">
        <v>3767</v>
      </c>
      <c r="N97" s="57">
        <v>3.6040000000000001</v>
      </c>
      <c r="O97" s="57">
        <v>0</v>
      </c>
      <c r="P97" s="57">
        <v>0</v>
      </c>
      <c r="Q97" s="57">
        <v>0</v>
      </c>
      <c r="R97" s="57">
        <v>0</v>
      </c>
      <c r="S97" s="57">
        <v>43</v>
      </c>
      <c r="T97" s="112">
        <v>43</v>
      </c>
    </row>
    <row r="98" spans="1:20" ht="23.4" x14ac:dyDescent="0.25">
      <c r="A98" s="57">
        <v>97</v>
      </c>
      <c r="B98" s="110">
        <v>244023</v>
      </c>
      <c r="C98" s="57" t="s">
        <v>114</v>
      </c>
      <c r="D98" s="57" t="s">
        <v>115</v>
      </c>
      <c r="E98" s="57" t="s">
        <v>116</v>
      </c>
      <c r="F98" s="57" t="s">
        <v>119</v>
      </c>
      <c r="G98" s="57">
        <v>2</v>
      </c>
      <c r="H98" s="57" t="s">
        <v>117</v>
      </c>
      <c r="I98" s="57" t="s">
        <v>3768</v>
      </c>
      <c r="J98" s="57" t="s">
        <v>3769</v>
      </c>
      <c r="K98" s="57" t="s">
        <v>3770</v>
      </c>
      <c r="L98" s="111" t="s">
        <v>3771</v>
      </c>
      <c r="N98" s="57">
        <v>0.66</v>
      </c>
      <c r="O98" s="57">
        <v>0</v>
      </c>
      <c r="P98" s="57">
        <v>0</v>
      </c>
      <c r="Q98" s="57">
        <v>0</v>
      </c>
      <c r="R98" s="57">
        <v>0</v>
      </c>
      <c r="S98" s="57">
        <v>17</v>
      </c>
      <c r="T98" s="112">
        <v>17</v>
      </c>
    </row>
    <row r="99" spans="1:20" ht="23.4" x14ac:dyDescent="0.25">
      <c r="A99" s="57">
        <v>98</v>
      </c>
      <c r="B99" s="110">
        <v>244023</v>
      </c>
      <c r="C99" s="57" t="s">
        <v>114</v>
      </c>
      <c r="D99" s="57" t="s">
        <v>115</v>
      </c>
      <c r="E99" s="57" t="s">
        <v>116</v>
      </c>
      <c r="F99" s="57" t="s">
        <v>119</v>
      </c>
      <c r="G99" s="57">
        <v>2</v>
      </c>
      <c r="H99" s="57" t="s">
        <v>117</v>
      </c>
      <c r="I99" s="57" t="s">
        <v>3772</v>
      </c>
      <c r="J99" s="57" t="s">
        <v>3773</v>
      </c>
      <c r="K99" s="57" t="s">
        <v>3774</v>
      </c>
      <c r="L99" s="111" t="s">
        <v>3775</v>
      </c>
      <c r="N99" s="57">
        <v>0.99399999999999999</v>
      </c>
      <c r="O99" s="57">
        <v>230</v>
      </c>
      <c r="P99" s="57">
        <v>3.45</v>
      </c>
      <c r="Q99" s="57">
        <v>0.24149999999999999</v>
      </c>
      <c r="R99" s="57">
        <v>0</v>
      </c>
      <c r="S99" s="57">
        <v>17</v>
      </c>
      <c r="T99" s="112">
        <v>20.69</v>
      </c>
    </row>
    <row r="100" spans="1:20" ht="23.4" x14ac:dyDescent="0.25">
      <c r="A100" s="57">
        <v>99</v>
      </c>
      <c r="B100" s="110">
        <v>244023</v>
      </c>
      <c r="C100" s="57" t="s">
        <v>114</v>
      </c>
      <c r="D100" s="57" t="s">
        <v>115</v>
      </c>
      <c r="E100" s="57" t="s">
        <v>116</v>
      </c>
      <c r="F100" s="57" t="s">
        <v>119</v>
      </c>
      <c r="G100" s="57">
        <v>2</v>
      </c>
      <c r="H100" s="57" t="s">
        <v>117</v>
      </c>
      <c r="I100" s="57" t="s">
        <v>3776</v>
      </c>
      <c r="J100" s="57" t="s">
        <v>3152</v>
      </c>
      <c r="K100" s="57" t="s">
        <v>3153</v>
      </c>
      <c r="L100" s="111" t="s">
        <v>3154</v>
      </c>
      <c r="N100" s="57">
        <v>0.66600000000000004</v>
      </c>
      <c r="O100" s="57">
        <v>0</v>
      </c>
      <c r="P100" s="57">
        <v>0</v>
      </c>
      <c r="Q100" s="57">
        <v>0</v>
      </c>
      <c r="R100" s="57">
        <v>0</v>
      </c>
      <c r="S100" s="57">
        <v>17</v>
      </c>
      <c r="T100" s="112">
        <v>17</v>
      </c>
    </row>
    <row r="101" spans="1:20" ht="23.4" x14ac:dyDescent="0.25">
      <c r="A101" s="57">
        <v>100</v>
      </c>
      <c r="B101" s="110">
        <v>244023</v>
      </c>
      <c r="C101" s="57" t="s">
        <v>114</v>
      </c>
      <c r="D101" s="57" t="s">
        <v>115</v>
      </c>
      <c r="E101" s="57" t="s">
        <v>116</v>
      </c>
      <c r="F101" s="57" t="s">
        <v>119</v>
      </c>
      <c r="G101" s="57">
        <v>2</v>
      </c>
      <c r="H101" s="57" t="s">
        <v>117</v>
      </c>
      <c r="I101" s="57" t="s">
        <v>3777</v>
      </c>
      <c r="J101" s="57" t="s">
        <v>3778</v>
      </c>
      <c r="K101" s="57" t="s">
        <v>2076</v>
      </c>
      <c r="L101" s="111" t="s">
        <v>3779</v>
      </c>
      <c r="N101" s="57">
        <v>16.995000000000001</v>
      </c>
      <c r="O101" s="57">
        <v>0</v>
      </c>
      <c r="P101" s="57">
        <v>0</v>
      </c>
      <c r="Q101" s="57">
        <v>0</v>
      </c>
      <c r="R101" s="57">
        <v>0</v>
      </c>
      <c r="S101" s="57">
        <v>180</v>
      </c>
      <c r="T101" s="112">
        <v>180</v>
      </c>
    </row>
    <row r="102" spans="1:20" ht="23.4" x14ac:dyDescent="0.25">
      <c r="A102" s="57">
        <v>101</v>
      </c>
      <c r="B102" s="110">
        <v>244023</v>
      </c>
      <c r="C102" s="57" t="s">
        <v>114</v>
      </c>
      <c r="D102" s="57" t="s">
        <v>115</v>
      </c>
      <c r="E102" s="57" t="s">
        <v>116</v>
      </c>
      <c r="F102" s="57" t="s">
        <v>119</v>
      </c>
      <c r="G102" s="57">
        <v>2</v>
      </c>
      <c r="H102" s="57" t="s">
        <v>117</v>
      </c>
      <c r="I102" s="57" t="s">
        <v>3780</v>
      </c>
      <c r="J102" s="57" t="s">
        <v>1520</v>
      </c>
      <c r="K102" s="57" t="s">
        <v>1521</v>
      </c>
      <c r="L102" s="111" t="s">
        <v>3781</v>
      </c>
      <c r="N102" s="57">
        <v>2.42</v>
      </c>
      <c r="O102" s="57">
        <v>0</v>
      </c>
      <c r="P102" s="57">
        <v>0</v>
      </c>
      <c r="Q102" s="57">
        <v>0</v>
      </c>
      <c r="R102" s="57">
        <v>0</v>
      </c>
      <c r="S102" s="57">
        <v>33</v>
      </c>
      <c r="T102" s="112">
        <v>33</v>
      </c>
    </row>
    <row r="103" spans="1:20" ht="23.4" x14ac:dyDescent="0.25">
      <c r="A103" s="57">
        <v>102</v>
      </c>
      <c r="B103" s="110">
        <v>244023</v>
      </c>
      <c r="C103" s="57" t="s">
        <v>114</v>
      </c>
      <c r="D103" s="57" t="s">
        <v>115</v>
      </c>
      <c r="E103" s="57" t="s">
        <v>116</v>
      </c>
      <c r="F103" s="57" t="s">
        <v>119</v>
      </c>
      <c r="G103" s="57">
        <v>2</v>
      </c>
      <c r="H103" s="57" t="s">
        <v>117</v>
      </c>
      <c r="I103" s="57" t="s">
        <v>3782</v>
      </c>
      <c r="J103" s="57" t="s">
        <v>3783</v>
      </c>
      <c r="K103" s="57" t="s">
        <v>3784</v>
      </c>
      <c r="L103" s="111" t="s">
        <v>3785</v>
      </c>
      <c r="N103" s="57">
        <v>1.1439999999999999</v>
      </c>
      <c r="O103" s="57">
        <v>280</v>
      </c>
      <c r="P103" s="57">
        <v>4.2</v>
      </c>
      <c r="Q103" s="57">
        <v>0.29399999999999998</v>
      </c>
      <c r="R103" s="57">
        <v>15</v>
      </c>
      <c r="S103" s="57">
        <v>37</v>
      </c>
      <c r="T103" s="112">
        <v>41.49</v>
      </c>
    </row>
    <row r="104" spans="1:20" ht="23.4" x14ac:dyDescent="0.25">
      <c r="A104" s="57">
        <v>103</v>
      </c>
      <c r="B104" s="110">
        <v>244023</v>
      </c>
      <c r="C104" s="57" t="s">
        <v>114</v>
      </c>
      <c r="D104" s="57" t="s">
        <v>115</v>
      </c>
      <c r="E104" s="57" t="s">
        <v>116</v>
      </c>
      <c r="F104" s="57" t="s">
        <v>119</v>
      </c>
      <c r="G104" s="57">
        <v>2</v>
      </c>
      <c r="H104" s="57" t="s">
        <v>117</v>
      </c>
      <c r="I104" s="57" t="s">
        <v>3786</v>
      </c>
      <c r="J104" s="57" t="s">
        <v>3787</v>
      </c>
      <c r="K104" s="57" t="s">
        <v>3788</v>
      </c>
      <c r="L104" s="111" t="s">
        <v>3789</v>
      </c>
      <c r="N104" s="57">
        <v>1.2</v>
      </c>
      <c r="O104" s="57">
        <v>0</v>
      </c>
      <c r="P104" s="57">
        <v>0</v>
      </c>
      <c r="Q104" s="57">
        <v>0</v>
      </c>
      <c r="R104" s="57">
        <v>0</v>
      </c>
      <c r="S104" s="57">
        <v>22</v>
      </c>
      <c r="T104" s="112">
        <v>22</v>
      </c>
    </row>
    <row r="105" spans="1:20" ht="23.4" x14ac:dyDescent="0.25">
      <c r="A105" s="57">
        <v>104</v>
      </c>
      <c r="B105" s="110">
        <v>244023</v>
      </c>
      <c r="C105" s="57" t="s">
        <v>114</v>
      </c>
      <c r="D105" s="57" t="s">
        <v>115</v>
      </c>
      <c r="E105" s="57" t="s">
        <v>116</v>
      </c>
      <c r="F105" s="57" t="s">
        <v>119</v>
      </c>
      <c r="G105" s="57">
        <v>2</v>
      </c>
      <c r="H105" s="57" t="s">
        <v>117</v>
      </c>
      <c r="I105" s="57" t="s">
        <v>3790</v>
      </c>
      <c r="J105" s="57" t="s">
        <v>3791</v>
      </c>
      <c r="K105" s="57" t="s">
        <v>3792</v>
      </c>
      <c r="L105" s="111" t="s">
        <v>3793</v>
      </c>
      <c r="N105" s="57">
        <v>1.234</v>
      </c>
      <c r="O105" s="57">
        <v>0</v>
      </c>
      <c r="P105" s="57">
        <v>0</v>
      </c>
      <c r="Q105" s="57">
        <v>0</v>
      </c>
      <c r="R105" s="57">
        <v>0</v>
      </c>
      <c r="S105" s="57">
        <v>22</v>
      </c>
      <c r="T105" s="112">
        <v>22</v>
      </c>
    </row>
    <row r="106" spans="1:20" ht="23.4" x14ac:dyDescent="0.25">
      <c r="A106" s="57">
        <v>105</v>
      </c>
      <c r="B106" s="110">
        <v>244023</v>
      </c>
      <c r="C106" s="57" t="s">
        <v>114</v>
      </c>
      <c r="D106" s="57" t="s">
        <v>115</v>
      </c>
      <c r="E106" s="57" t="s">
        <v>116</v>
      </c>
      <c r="F106" s="57" t="s">
        <v>119</v>
      </c>
      <c r="G106" s="57">
        <v>2</v>
      </c>
      <c r="H106" s="57" t="s">
        <v>117</v>
      </c>
      <c r="I106" s="57" t="s">
        <v>3794</v>
      </c>
      <c r="J106" s="57" t="s">
        <v>3795</v>
      </c>
      <c r="K106" s="57" t="s">
        <v>2375</v>
      </c>
      <c r="L106" s="111" t="s">
        <v>3796</v>
      </c>
      <c r="N106" s="57">
        <v>0.88600000000000001</v>
      </c>
      <c r="O106" s="57">
        <v>0</v>
      </c>
      <c r="P106" s="57">
        <v>0</v>
      </c>
      <c r="Q106" s="57">
        <v>0</v>
      </c>
      <c r="R106" s="57">
        <v>0</v>
      </c>
      <c r="S106" s="57">
        <v>17</v>
      </c>
      <c r="T106" s="112">
        <v>17</v>
      </c>
    </row>
    <row r="107" spans="1:20" ht="23.4" x14ac:dyDescent="0.25">
      <c r="A107" s="57">
        <v>106</v>
      </c>
      <c r="B107" s="110">
        <v>244023</v>
      </c>
      <c r="C107" s="57" t="s">
        <v>114</v>
      </c>
      <c r="D107" s="57" t="s">
        <v>115</v>
      </c>
      <c r="E107" s="57" t="s">
        <v>116</v>
      </c>
      <c r="F107" s="57" t="s">
        <v>119</v>
      </c>
      <c r="G107" s="57">
        <v>2</v>
      </c>
      <c r="H107" s="57" t="s">
        <v>117</v>
      </c>
      <c r="I107" s="57" t="s">
        <v>3797</v>
      </c>
      <c r="J107" s="57" t="s">
        <v>3798</v>
      </c>
      <c r="K107" s="57" t="s">
        <v>3799</v>
      </c>
      <c r="L107" s="111" t="s">
        <v>3800</v>
      </c>
      <c r="N107" s="57">
        <v>0.874</v>
      </c>
      <c r="O107" s="57">
        <v>180</v>
      </c>
      <c r="P107" s="57">
        <v>2.7</v>
      </c>
      <c r="Q107" s="57">
        <v>0.189</v>
      </c>
      <c r="R107" s="57">
        <v>15</v>
      </c>
      <c r="S107" s="57">
        <v>32</v>
      </c>
      <c r="T107" s="112">
        <v>34.89</v>
      </c>
    </row>
    <row r="108" spans="1:20" ht="23.4" x14ac:dyDescent="0.25">
      <c r="A108" s="57">
        <v>107</v>
      </c>
      <c r="B108" s="110">
        <v>244023</v>
      </c>
      <c r="C108" s="57" t="s">
        <v>114</v>
      </c>
      <c r="D108" s="57" t="s">
        <v>115</v>
      </c>
      <c r="E108" s="57" t="s">
        <v>116</v>
      </c>
      <c r="F108" s="57" t="s">
        <v>119</v>
      </c>
      <c r="G108" s="57">
        <v>2</v>
      </c>
      <c r="H108" s="57" t="s">
        <v>117</v>
      </c>
      <c r="I108" s="57" t="s">
        <v>3801</v>
      </c>
      <c r="J108" s="57" t="s">
        <v>3802</v>
      </c>
      <c r="K108" s="57" t="s">
        <v>3803</v>
      </c>
      <c r="L108" s="111" t="s">
        <v>3804</v>
      </c>
      <c r="N108" s="57">
        <v>0.89800000000000002</v>
      </c>
      <c r="O108" s="57">
        <v>0</v>
      </c>
      <c r="P108" s="57">
        <v>0</v>
      </c>
      <c r="Q108" s="57">
        <v>0</v>
      </c>
      <c r="R108" s="57">
        <v>0</v>
      </c>
      <c r="S108" s="57">
        <v>17</v>
      </c>
      <c r="T108" s="112">
        <v>17</v>
      </c>
    </row>
    <row r="109" spans="1:20" ht="23.4" x14ac:dyDescent="0.25">
      <c r="A109" s="57">
        <v>108</v>
      </c>
      <c r="B109" s="110">
        <v>244023</v>
      </c>
      <c r="C109" s="57" t="s">
        <v>114</v>
      </c>
      <c r="D109" s="57" t="s">
        <v>115</v>
      </c>
      <c r="E109" s="57" t="s">
        <v>116</v>
      </c>
      <c r="F109" s="57" t="s">
        <v>119</v>
      </c>
      <c r="G109" s="57">
        <v>2</v>
      </c>
      <c r="H109" s="57" t="s">
        <v>117</v>
      </c>
      <c r="I109" s="57" t="s">
        <v>3805</v>
      </c>
      <c r="J109" s="57" t="s">
        <v>3806</v>
      </c>
      <c r="K109" s="57" t="s">
        <v>3807</v>
      </c>
      <c r="L109" s="111" t="s">
        <v>3808</v>
      </c>
      <c r="N109" s="57">
        <v>0.90200000000000002</v>
      </c>
      <c r="O109" s="57">
        <v>0</v>
      </c>
      <c r="P109" s="57">
        <v>0</v>
      </c>
      <c r="Q109" s="57">
        <v>0</v>
      </c>
      <c r="R109" s="57">
        <v>0</v>
      </c>
      <c r="S109" s="57">
        <v>17</v>
      </c>
      <c r="T109" s="112">
        <v>17</v>
      </c>
    </row>
    <row r="110" spans="1:20" ht="23.4" x14ac:dyDescent="0.25">
      <c r="A110" s="57">
        <v>109</v>
      </c>
      <c r="B110" s="110">
        <v>244023</v>
      </c>
      <c r="C110" s="57" t="s">
        <v>114</v>
      </c>
      <c r="D110" s="57" t="s">
        <v>115</v>
      </c>
      <c r="E110" s="57" t="s">
        <v>116</v>
      </c>
      <c r="F110" s="57" t="s">
        <v>119</v>
      </c>
      <c r="G110" s="57">
        <v>2</v>
      </c>
      <c r="H110" s="57" t="s">
        <v>117</v>
      </c>
      <c r="I110" s="57" t="s">
        <v>3809</v>
      </c>
      <c r="J110" s="57" t="s">
        <v>3810</v>
      </c>
      <c r="K110" s="57" t="s">
        <v>3811</v>
      </c>
      <c r="L110" s="111" t="s">
        <v>3812</v>
      </c>
      <c r="N110" s="57">
        <v>0.67400000000000004</v>
      </c>
      <c r="O110" s="57">
        <v>130</v>
      </c>
      <c r="P110" s="57">
        <v>1.95</v>
      </c>
      <c r="Q110" s="57">
        <v>0.13650000000000001</v>
      </c>
      <c r="R110" s="57">
        <v>0</v>
      </c>
      <c r="S110" s="57">
        <v>17</v>
      </c>
      <c r="T110" s="112">
        <v>19.09</v>
      </c>
    </row>
    <row r="111" spans="1:20" ht="23.4" x14ac:dyDescent="0.25">
      <c r="A111" s="57">
        <v>110</v>
      </c>
      <c r="B111" s="110">
        <v>244023</v>
      </c>
      <c r="C111" s="57" t="s">
        <v>114</v>
      </c>
      <c r="D111" s="57" t="s">
        <v>115</v>
      </c>
      <c r="E111" s="57" t="s">
        <v>116</v>
      </c>
      <c r="F111" s="57" t="s">
        <v>119</v>
      </c>
      <c r="G111" s="57">
        <v>2</v>
      </c>
      <c r="H111" s="57" t="s">
        <v>117</v>
      </c>
      <c r="I111" s="57" t="s">
        <v>3813</v>
      </c>
      <c r="J111" s="57" t="s">
        <v>3814</v>
      </c>
      <c r="K111" s="57" t="s">
        <v>3815</v>
      </c>
      <c r="L111" s="111" t="s">
        <v>3816</v>
      </c>
      <c r="N111" s="57">
        <v>0.64800000000000002</v>
      </c>
      <c r="O111" s="57">
        <v>130</v>
      </c>
      <c r="P111" s="57">
        <v>1.95</v>
      </c>
      <c r="Q111" s="57">
        <v>0.13650000000000001</v>
      </c>
      <c r="R111" s="57">
        <v>0</v>
      </c>
      <c r="S111" s="57">
        <v>17</v>
      </c>
      <c r="T111" s="112">
        <v>19.09</v>
      </c>
    </row>
    <row r="112" spans="1:20" ht="23.4" x14ac:dyDescent="0.25">
      <c r="A112" s="57">
        <v>111</v>
      </c>
      <c r="B112" s="110">
        <v>244023</v>
      </c>
      <c r="C112" s="57" t="s">
        <v>114</v>
      </c>
      <c r="D112" s="57" t="s">
        <v>115</v>
      </c>
      <c r="E112" s="57" t="s">
        <v>116</v>
      </c>
      <c r="F112" s="57" t="s">
        <v>119</v>
      </c>
      <c r="G112" s="57">
        <v>2</v>
      </c>
      <c r="H112" s="57" t="s">
        <v>117</v>
      </c>
      <c r="I112" s="57" t="s">
        <v>3463</v>
      </c>
      <c r="J112" s="57" t="s">
        <v>3461</v>
      </c>
      <c r="K112" s="57" t="s">
        <v>3817</v>
      </c>
      <c r="L112" s="111" t="s">
        <v>3818</v>
      </c>
      <c r="N112" s="57">
        <v>2.0299999999999998</v>
      </c>
      <c r="O112" s="57">
        <v>0</v>
      </c>
      <c r="P112" s="57">
        <v>0</v>
      </c>
      <c r="Q112" s="57">
        <v>0</v>
      </c>
      <c r="R112" s="57">
        <v>0</v>
      </c>
      <c r="S112" s="57">
        <v>33</v>
      </c>
      <c r="T112" s="112">
        <v>33</v>
      </c>
    </row>
    <row r="113" spans="1:20" ht="23.4" x14ac:dyDescent="0.25">
      <c r="A113" s="57">
        <v>112</v>
      </c>
      <c r="B113" s="110">
        <v>244023</v>
      </c>
      <c r="C113" s="57" t="s">
        <v>114</v>
      </c>
      <c r="D113" s="57" t="s">
        <v>115</v>
      </c>
      <c r="E113" s="57" t="s">
        <v>116</v>
      </c>
      <c r="F113" s="57" t="s">
        <v>119</v>
      </c>
      <c r="G113" s="57">
        <v>2</v>
      </c>
      <c r="H113" s="57" t="s">
        <v>117</v>
      </c>
      <c r="I113" s="57" t="s">
        <v>3819</v>
      </c>
      <c r="J113" s="57" t="s">
        <v>3820</v>
      </c>
      <c r="K113" s="57" t="s">
        <v>3821</v>
      </c>
      <c r="L113" s="111" t="s">
        <v>3822</v>
      </c>
      <c r="N113" s="57">
        <v>0.86599999999999999</v>
      </c>
      <c r="O113" s="57">
        <v>0</v>
      </c>
      <c r="P113" s="57">
        <v>0</v>
      </c>
      <c r="Q113" s="57">
        <v>0</v>
      </c>
      <c r="R113" s="57">
        <v>0</v>
      </c>
      <c r="S113" s="57">
        <v>17</v>
      </c>
      <c r="T113" s="112">
        <v>17</v>
      </c>
    </row>
    <row r="114" spans="1:20" ht="23.4" x14ac:dyDescent="0.25">
      <c r="A114" s="57">
        <v>113</v>
      </c>
      <c r="B114" s="110">
        <v>244023</v>
      </c>
      <c r="C114" s="57" t="s">
        <v>114</v>
      </c>
      <c r="D114" s="57" t="s">
        <v>115</v>
      </c>
      <c r="E114" s="57" t="s">
        <v>116</v>
      </c>
      <c r="F114" s="57" t="s">
        <v>119</v>
      </c>
      <c r="G114" s="57">
        <v>2</v>
      </c>
      <c r="H114" s="57" t="s">
        <v>117</v>
      </c>
      <c r="I114" s="57" t="s">
        <v>3823</v>
      </c>
      <c r="J114" s="57" t="s">
        <v>3824</v>
      </c>
      <c r="K114" s="57" t="s">
        <v>3825</v>
      </c>
      <c r="L114" s="111" t="s">
        <v>3826</v>
      </c>
      <c r="N114" s="57">
        <v>0.89800000000000002</v>
      </c>
      <c r="O114" s="57">
        <v>0</v>
      </c>
      <c r="P114" s="57">
        <v>0</v>
      </c>
      <c r="Q114" s="57">
        <v>0</v>
      </c>
      <c r="R114" s="57">
        <v>0</v>
      </c>
      <c r="S114" s="57">
        <v>17</v>
      </c>
      <c r="T114" s="112">
        <v>17</v>
      </c>
    </row>
    <row r="115" spans="1:20" ht="23.4" x14ac:dyDescent="0.25">
      <c r="A115" s="57">
        <v>114</v>
      </c>
      <c r="B115" s="110">
        <v>244023</v>
      </c>
      <c r="C115" s="57" t="s">
        <v>114</v>
      </c>
      <c r="D115" s="57" t="s">
        <v>115</v>
      </c>
      <c r="E115" s="57" t="s">
        <v>116</v>
      </c>
      <c r="F115" s="57" t="s">
        <v>119</v>
      </c>
      <c r="G115" s="57">
        <v>2</v>
      </c>
      <c r="H115" s="57" t="s">
        <v>117</v>
      </c>
      <c r="I115" s="57" t="s">
        <v>3827</v>
      </c>
      <c r="J115" s="57" t="s">
        <v>3828</v>
      </c>
      <c r="K115" s="57" t="s">
        <v>3829</v>
      </c>
      <c r="L115" s="111" t="s">
        <v>3830</v>
      </c>
      <c r="N115" s="57">
        <v>16.995000000000001</v>
      </c>
      <c r="O115" s="57">
        <v>1025</v>
      </c>
      <c r="P115" s="57">
        <v>15.375</v>
      </c>
      <c r="Q115" s="57">
        <v>1.0763</v>
      </c>
      <c r="R115" s="57">
        <v>0</v>
      </c>
      <c r="S115" s="57">
        <v>180</v>
      </c>
      <c r="T115" s="112">
        <v>196.45</v>
      </c>
    </row>
    <row r="116" spans="1:20" ht="23.4" x14ac:dyDescent="0.25">
      <c r="A116" s="57">
        <v>115</v>
      </c>
      <c r="B116" s="110">
        <v>244023</v>
      </c>
      <c r="C116" s="57" t="s">
        <v>114</v>
      </c>
      <c r="D116" s="57" t="s">
        <v>115</v>
      </c>
      <c r="E116" s="57" t="s">
        <v>116</v>
      </c>
      <c r="F116" s="57" t="s">
        <v>119</v>
      </c>
      <c r="G116" s="57">
        <v>2</v>
      </c>
      <c r="H116" s="57" t="s">
        <v>117</v>
      </c>
      <c r="I116" s="57" t="s">
        <v>3831</v>
      </c>
      <c r="J116" s="57" t="s">
        <v>3832</v>
      </c>
      <c r="K116" s="57" t="s">
        <v>3829</v>
      </c>
      <c r="L116" s="111" t="s">
        <v>3830</v>
      </c>
      <c r="N116" s="57">
        <v>16.995000000000001</v>
      </c>
      <c r="O116" s="57">
        <v>1025</v>
      </c>
      <c r="P116" s="57">
        <v>15.375</v>
      </c>
      <c r="Q116" s="57">
        <v>1.0763</v>
      </c>
      <c r="R116" s="57">
        <v>0</v>
      </c>
      <c r="S116" s="57">
        <v>180</v>
      </c>
      <c r="T116" s="112">
        <v>196.45</v>
      </c>
    </row>
    <row r="117" spans="1:20" ht="23.4" x14ac:dyDescent="0.25">
      <c r="A117" s="57">
        <v>116</v>
      </c>
      <c r="B117" s="110">
        <v>244023</v>
      </c>
      <c r="C117" s="57" t="s">
        <v>114</v>
      </c>
      <c r="D117" s="57" t="s">
        <v>115</v>
      </c>
      <c r="E117" s="57" t="s">
        <v>116</v>
      </c>
      <c r="F117" s="57" t="s">
        <v>119</v>
      </c>
      <c r="G117" s="57">
        <v>2</v>
      </c>
      <c r="H117" s="57" t="s">
        <v>117</v>
      </c>
      <c r="I117" s="57" t="s">
        <v>3833</v>
      </c>
      <c r="J117" s="57" t="s">
        <v>1768</v>
      </c>
      <c r="K117" s="57" t="s">
        <v>1769</v>
      </c>
      <c r="L117" s="111" t="s">
        <v>3834</v>
      </c>
      <c r="N117" s="57">
        <v>1.218</v>
      </c>
      <c r="O117" s="57">
        <v>230</v>
      </c>
      <c r="P117" s="57">
        <v>3.45</v>
      </c>
      <c r="Q117" s="57">
        <v>0.24149999999999999</v>
      </c>
      <c r="R117" s="57">
        <v>0</v>
      </c>
      <c r="S117" s="57">
        <v>22</v>
      </c>
      <c r="T117" s="112">
        <v>25.69</v>
      </c>
    </row>
    <row r="118" spans="1:20" ht="23.4" x14ac:dyDescent="0.25">
      <c r="A118" s="57">
        <v>117</v>
      </c>
      <c r="B118" s="110">
        <v>244023</v>
      </c>
      <c r="C118" s="57" t="s">
        <v>114</v>
      </c>
      <c r="D118" s="57" t="s">
        <v>115</v>
      </c>
      <c r="E118" s="57" t="s">
        <v>116</v>
      </c>
      <c r="F118" s="57" t="s">
        <v>119</v>
      </c>
      <c r="G118" s="57">
        <v>2</v>
      </c>
      <c r="H118" s="57" t="s">
        <v>117</v>
      </c>
      <c r="I118" s="57" t="s">
        <v>3835</v>
      </c>
      <c r="J118" s="57" t="s">
        <v>3836</v>
      </c>
      <c r="K118" s="57" t="s">
        <v>3837</v>
      </c>
      <c r="L118" s="111" t="s">
        <v>3838</v>
      </c>
      <c r="N118" s="57">
        <v>1.236</v>
      </c>
      <c r="O118" s="57">
        <v>230</v>
      </c>
      <c r="P118" s="57">
        <v>3.45</v>
      </c>
      <c r="Q118" s="57">
        <v>0.24149999999999999</v>
      </c>
      <c r="R118" s="57">
        <v>0</v>
      </c>
      <c r="S118" s="57">
        <v>22</v>
      </c>
      <c r="T118" s="112">
        <v>25.69</v>
      </c>
    </row>
    <row r="119" spans="1:20" ht="23.4" x14ac:dyDescent="0.25">
      <c r="A119" s="57">
        <v>118</v>
      </c>
      <c r="B119" s="110">
        <v>244023</v>
      </c>
      <c r="C119" s="57" t="s">
        <v>114</v>
      </c>
      <c r="D119" s="57" t="s">
        <v>115</v>
      </c>
      <c r="E119" s="57" t="s">
        <v>116</v>
      </c>
      <c r="F119" s="57" t="s">
        <v>119</v>
      </c>
      <c r="G119" s="57">
        <v>2</v>
      </c>
      <c r="H119" s="57" t="s">
        <v>117</v>
      </c>
      <c r="I119" s="57" t="s">
        <v>3839</v>
      </c>
      <c r="J119" s="57" t="s">
        <v>1373</v>
      </c>
      <c r="K119" s="57" t="s">
        <v>1374</v>
      </c>
      <c r="L119" s="111" t="s">
        <v>3840</v>
      </c>
      <c r="N119" s="57">
        <v>2.3420000000000001</v>
      </c>
      <c r="O119" s="57">
        <v>430</v>
      </c>
      <c r="P119" s="57">
        <v>6.45</v>
      </c>
      <c r="Q119" s="57">
        <v>0.45150000000000001</v>
      </c>
      <c r="R119" s="57">
        <v>0</v>
      </c>
      <c r="S119" s="57">
        <v>33</v>
      </c>
      <c r="T119" s="112">
        <v>39.9</v>
      </c>
    </row>
    <row r="120" spans="1:20" ht="23.4" x14ac:dyDescent="0.25">
      <c r="A120" s="57">
        <v>119</v>
      </c>
      <c r="B120" s="110">
        <v>244023</v>
      </c>
      <c r="C120" s="57" t="s">
        <v>114</v>
      </c>
      <c r="D120" s="57" t="s">
        <v>115</v>
      </c>
      <c r="E120" s="57" t="s">
        <v>116</v>
      </c>
      <c r="F120" s="57" t="s">
        <v>119</v>
      </c>
      <c r="G120" s="57">
        <v>2</v>
      </c>
      <c r="H120" s="57" t="s">
        <v>117</v>
      </c>
      <c r="I120" s="57" t="s">
        <v>3841</v>
      </c>
      <c r="J120" s="57" t="s">
        <v>3842</v>
      </c>
      <c r="K120" s="57" t="s">
        <v>3843</v>
      </c>
      <c r="L120" s="111" t="s">
        <v>3844</v>
      </c>
      <c r="N120" s="57">
        <v>0.65</v>
      </c>
      <c r="O120" s="57">
        <v>130</v>
      </c>
      <c r="P120" s="57">
        <v>1.95</v>
      </c>
      <c r="Q120" s="57">
        <v>0.13650000000000001</v>
      </c>
      <c r="R120" s="57">
        <v>0</v>
      </c>
      <c r="S120" s="57">
        <v>17</v>
      </c>
      <c r="T120" s="112">
        <v>19.09</v>
      </c>
    </row>
    <row r="121" spans="1:20" ht="23.4" x14ac:dyDescent="0.25">
      <c r="A121" s="57">
        <v>120</v>
      </c>
      <c r="B121" s="110">
        <v>244023</v>
      </c>
      <c r="C121" s="57" t="s">
        <v>114</v>
      </c>
      <c r="D121" s="57" t="s">
        <v>115</v>
      </c>
      <c r="E121" s="57" t="s">
        <v>116</v>
      </c>
      <c r="F121" s="57" t="s">
        <v>119</v>
      </c>
      <c r="G121" s="57">
        <v>2</v>
      </c>
      <c r="H121" s="57" t="s">
        <v>117</v>
      </c>
      <c r="I121" s="57" t="s">
        <v>3845</v>
      </c>
      <c r="J121" s="57" t="s">
        <v>3846</v>
      </c>
      <c r="K121" s="57" t="s">
        <v>3847</v>
      </c>
      <c r="L121" s="111" t="s">
        <v>3848</v>
      </c>
      <c r="N121" s="57">
        <v>0.878</v>
      </c>
      <c r="O121" s="57">
        <v>0</v>
      </c>
      <c r="P121" s="57">
        <v>0</v>
      </c>
      <c r="Q121" s="57">
        <v>0</v>
      </c>
      <c r="R121" s="57">
        <v>0</v>
      </c>
      <c r="S121" s="57">
        <v>17</v>
      </c>
      <c r="T121" s="112">
        <v>17</v>
      </c>
    </row>
    <row r="122" spans="1:20" ht="23.4" x14ac:dyDescent="0.25">
      <c r="A122" s="57">
        <v>121</v>
      </c>
      <c r="B122" s="110">
        <v>244023</v>
      </c>
      <c r="C122" s="57" t="s">
        <v>114</v>
      </c>
      <c r="D122" s="57" t="s">
        <v>115</v>
      </c>
      <c r="E122" s="57" t="s">
        <v>116</v>
      </c>
      <c r="F122" s="57" t="s">
        <v>119</v>
      </c>
      <c r="G122" s="57">
        <v>2</v>
      </c>
      <c r="H122" s="57" t="s">
        <v>117</v>
      </c>
      <c r="I122" s="57" t="s">
        <v>3849</v>
      </c>
      <c r="J122" s="57" t="s">
        <v>3850</v>
      </c>
      <c r="K122" s="57" t="s">
        <v>3851</v>
      </c>
      <c r="L122" s="111" t="s">
        <v>3852</v>
      </c>
      <c r="N122" s="57">
        <v>0.88200000000000001</v>
      </c>
      <c r="O122" s="57">
        <v>0</v>
      </c>
      <c r="P122" s="57">
        <v>0</v>
      </c>
      <c r="Q122" s="57">
        <v>0</v>
      </c>
      <c r="R122" s="57">
        <v>0</v>
      </c>
      <c r="S122" s="57">
        <v>17</v>
      </c>
      <c r="T122" s="112">
        <v>17</v>
      </c>
    </row>
    <row r="123" spans="1:20" ht="23.4" x14ac:dyDescent="0.25">
      <c r="A123" s="57">
        <v>122</v>
      </c>
      <c r="B123" s="110">
        <v>244023</v>
      </c>
      <c r="C123" s="57" t="s">
        <v>114</v>
      </c>
      <c r="D123" s="57" t="s">
        <v>115</v>
      </c>
      <c r="E123" s="57" t="s">
        <v>116</v>
      </c>
      <c r="F123" s="57" t="s">
        <v>119</v>
      </c>
      <c r="G123" s="57">
        <v>2</v>
      </c>
      <c r="H123" s="57" t="s">
        <v>117</v>
      </c>
      <c r="I123" s="57" t="s">
        <v>3853</v>
      </c>
      <c r="J123" s="57" t="s">
        <v>3854</v>
      </c>
      <c r="K123" s="57" t="s">
        <v>3855</v>
      </c>
      <c r="L123" s="111" t="s">
        <v>3856</v>
      </c>
      <c r="N123" s="57">
        <v>1.248</v>
      </c>
      <c r="O123" s="57">
        <v>0</v>
      </c>
      <c r="P123" s="57">
        <v>0</v>
      </c>
      <c r="Q123" s="57">
        <v>0</v>
      </c>
      <c r="R123" s="57">
        <v>0</v>
      </c>
      <c r="S123" s="57">
        <v>22</v>
      </c>
      <c r="T123" s="112">
        <v>22</v>
      </c>
    </row>
    <row r="124" spans="1:20" ht="23.4" x14ac:dyDescent="0.25">
      <c r="A124" s="57">
        <v>123</v>
      </c>
      <c r="B124" s="110">
        <v>244023</v>
      </c>
      <c r="C124" s="57" t="s">
        <v>114</v>
      </c>
      <c r="D124" s="57" t="s">
        <v>115</v>
      </c>
      <c r="E124" s="57" t="s">
        <v>116</v>
      </c>
      <c r="F124" s="57" t="s">
        <v>119</v>
      </c>
      <c r="G124" s="57">
        <v>2</v>
      </c>
      <c r="H124" s="57" t="s">
        <v>117</v>
      </c>
      <c r="I124" s="57" t="s">
        <v>3857</v>
      </c>
      <c r="J124" s="57" t="s">
        <v>3858</v>
      </c>
      <c r="K124" s="57" t="s">
        <v>3859</v>
      </c>
      <c r="L124" s="111" t="s">
        <v>3860</v>
      </c>
      <c r="N124" s="57">
        <v>1.22</v>
      </c>
      <c r="O124" s="57">
        <v>0</v>
      </c>
      <c r="P124" s="57">
        <v>0</v>
      </c>
      <c r="Q124" s="57">
        <v>0</v>
      </c>
      <c r="R124" s="57">
        <v>0</v>
      </c>
      <c r="S124" s="57">
        <v>22</v>
      </c>
      <c r="T124" s="112">
        <v>22</v>
      </c>
    </row>
    <row r="125" spans="1:20" ht="23.4" x14ac:dyDescent="0.25">
      <c r="A125" s="57">
        <v>124</v>
      </c>
      <c r="B125" s="110">
        <v>244023</v>
      </c>
      <c r="C125" s="57" t="s">
        <v>114</v>
      </c>
      <c r="D125" s="57" t="s">
        <v>115</v>
      </c>
      <c r="E125" s="57" t="s">
        <v>116</v>
      </c>
      <c r="F125" s="57" t="s">
        <v>119</v>
      </c>
      <c r="G125" s="57">
        <v>2</v>
      </c>
      <c r="H125" s="57" t="s">
        <v>117</v>
      </c>
      <c r="I125" s="57" t="s">
        <v>3861</v>
      </c>
      <c r="J125" s="57" t="s">
        <v>3862</v>
      </c>
      <c r="K125" s="57" t="s">
        <v>3863</v>
      </c>
      <c r="L125" s="111" t="s">
        <v>3864</v>
      </c>
      <c r="N125" s="57">
        <v>0.89200000000000002</v>
      </c>
      <c r="O125" s="57">
        <v>0</v>
      </c>
      <c r="P125" s="57">
        <v>0</v>
      </c>
      <c r="Q125" s="57">
        <v>0</v>
      </c>
      <c r="R125" s="57">
        <v>0</v>
      </c>
      <c r="S125" s="57">
        <v>17</v>
      </c>
      <c r="T125" s="112">
        <v>17</v>
      </c>
    </row>
    <row r="126" spans="1:20" ht="23.4" x14ac:dyDescent="0.25">
      <c r="A126" s="57">
        <v>125</v>
      </c>
      <c r="B126" s="110">
        <v>244023</v>
      </c>
      <c r="C126" s="57" t="s">
        <v>114</v>
      </c>
      <c r="D126" s="57" t="s">
        <v>115</v>
      </c>
      <c r="E126" s="57" t="s">
        <v>116</v>
      </c>
      <c r="F126" s="57" t="s">
        <v>119</v>
      </c>
      <c r="G126" s="57">
        <v>2</v>
      </c>
      <c r="H126" s="57" t="s">
        <v>117</v>
      </c>
      <c r="I126" s="57" t="s">
        <v>3865</v>
      </c>
      <c r="J126" s="57" t="s">
        <v>3866</v>
      </c>
      <c r="K126" s="57" t="s">
        <v>3867</v>
      </c>
      <c r="L126" s="111" t="s">
        <v>3868</v>
      </c>
      <c r="N126" s="57">
        <v>1.63</v>
      </c>
      <c r="O126" s="57">
        <v>0</v>
      </c>
      <c r="P126" s="57">
        <v>0</v>
      </c>
      <c r="Q126" s="57">
        <v>0</v>
      </c>
      <c r="R126" s="57">
        <v>0</v>
      </c>
      <c r="S126" s="57">
        <v>22</v>
      </c>
      <c r="T126" s="112">
        <v>22</v>
      </c>
    </row>
    <row r="127" spans="1:20" ht="23.4" x14ac:dyDescent="0.25">
      <c r="A127" s="57">
        <v>126</v>
      </c>
      <c r="B127" s="110">
        <v>244023</v>
      </c>
      <c r="C127" s="57" t="s">
        <v>114</v>
      </c>
      <c r="D127" s="57" t="s">
        <v>115</v>
      </c>
      <c r="E127" s="57" t="s">
        <v>116</v>
      </c>
      <c r="F127" s="57" t="s">
        <v>119</v>
      </c>
      <c r="G127" s="57">
        <v>2</v>
      </c>
      <c r="H127" s="57" t="s">
        <v>117</v>
      </c>
      <c r="I127" s="57" t="s">
        <v>3869</v>
      </c>
      <c r="J127" s="57" t="s">
        <v>3870</v>
      </c>
      <c r="K127" s="57" t="s">
        <v>3871</v>
      </c>
      <c r="L127" s="111" t="s">
        <v>3872</v>
      </c>
      <c r="N127" s="57">
        <v>0.89400000000000002</v>
      </c>
      <c r="O127" s="57">
        <v>0</v>
      </c>
      <c r="P127" s="57">
        <v>0</v>
      </c>
      <c r="Q127" s="57">
        <v>0</v>
      </c>
      <c r="R127" s="57">
        <v>0</v>
      </c>
      <c r="S127" s="57">
        <v>17</v>
      </c>
      <c r="T127" s="112">
        <v>17</v>
      </c>
    </row>
    <row r="128" spans="1:20" ht="23.4" x14ac:dyDescent="0.25">
      <c r="A128" s="57">
        <v>127</v>
      </c>
      <c r="B128" s="110">
        <v>244023</v>
      </c>
      <c r="C128" s="57" t="s">
        <v>114</v>
      </c>
      <c r="D128" s="57" t="s">
        <v>115</v>
      </c>
      <c r="E128" s="57" t="s">
        <v>116</v>
      </c>
      <c r="F128" s="57" t="s">
        <v>119</v>
      </c>
      <c r="G128" s="57">
        <v>2</v>
      </c>
      <c r="H128" s="57" t="s">
        <v>117</v>
      </c>
      <c r="I128" s="57" t="s">
        <v>3873</v>
      </c>
      <c r="J128" s="57" t="s">
        <v>3874</v>
      </c>
      <c r="K128" s="57" t="s">
        <v>3875</v>
      </c>
      <c r="L128" s="111" t="s">
        <v>3876</v>
      </c>
      <c r="N128" s="57">
        <v>1.62</v>
      </c>
      <c r="O128" s="57">
        <v>330</v>
      </c>
      <c r="P128" s="57">
        <v>4.95</v>
      </c>
      <c r="Q128" s="57">
        <v>0.34649999999999997</v>
      </c>
      <c r="R128" s="57">
        <v>15</v>
      </c>
      <c r="S128" s="57">
        <v>37</v>
      </c>
      <c r="T128" s="112">
        <v>42.3</v>
      </c>
    </row>
    <row r="129" spans="1:20" ht="23.4" x14ac:dyDescent="0.25">
      <c r="A129" s="57">
        <v>128</v>
      </c>
      <c r="B129" s="110">
        <v>244023</v>
      </c>
      <c r="C129" s="57" t="s">
        <v>114</v>
      </c>
      <c r="D129" s="57" t="s">
        <v>115</v>
      </c>
      <c r="E129" s="57" t="s">
        <v>116</v>
      </c>
      <c r="F129" s="57" t="s">
        <v>119</v>
      </c>
      <c r="G129" s="57">
        <v>2</v>
      </c>
      <c r="H129" s="57" t="s">
        <v>117</v>
      </c>
      <c r="I129" s="57" t="s">
        <v>3877</v>
      </c>
      <c r="J129" s="57" t="s">
        <v>3878</v>
      </c>
      <c r="K129" s="57" t="s">
        <v>3879</v>
      </c>
      <c r="L129" s="111" t="s">
        <v>3880</v>
      </c>
      <c r="N129" s="57">
        <v>1.0660000000000001</v>
      </c>
      <c r="O129" s="57">
        <v>0</v>
      </c>
      <c r="P129" s="57">
        <v>0</v>
      </c>
      <c r="Q129" s="57">
        <v>0</v>
      </c>
      <c r="R129" s="57">
        <v>0</v>
      </c>
      <c r="S129" s="57">
        <v>22</v>
      </c>
      <c r="T129" s="112">
        <v>22</v>
      </c>
    </row>
    <row r="130" spans="1:20" ht="23.4" x14ac:dyDescent="0.25">
      <c r="A130" s="57">
        <v>129</v>
      </c>
      <c r="B130" s="110">
        <v>244023</v>
      </c>
      <c r="C130" s="57" t="s">
        <v>114</v>
      </c>
      <c r="D130" s="57" t="s">
        <v>115</v>
      </c>
      <c r="E130" s="57" t="s">
        <v>116</v>
      </c>
      <c r="F130" s="57" t="s">
        <v>119</v>
      </c>
      <c r="G130" s="57">
        <v>2</v>
      </c>
      <c r="H130" s="57" t="s">
        <v>117</v>
      </c>
      <c r="I130" s="57" t="s">
        <v>3881</v>
      </c>
      <c r="J130" s="57" t="s">
        <v>3882</v>
      </c>
      <c r="K130" s="57" t="s">
        <v>3883</v>
      </c>
      <c r="L130" s="111" t="s">
        <v>3884</v>
      </c>
      <c r="N130" s="57">
        <v>1.0780000000000001</v>
      </c>
      <c r="O130" s="57">
        <v>230</v>
      </c>
      <c r="P130" s="57">
        <v>3.45</v>
      </c>
      <c r="Q130" s="57">
        <v>0.24149999999999999</v>
      </c>
      <c r="R130" s="57">
        <v>0</v>
      </c>
      <c r="S130" s="57">
        <v>22</v>
      </c>
      <c r="T130" s="112">
        <v>25.69</v>
      </c>
    </row>
    <row r="131" spans="1:20" ht="23.4" x14ac:dyDescent="0.25">
      <c r="A131" s="57">
        <v>130</v>
      </c>
      <c r="B131" s="110">
        <v>244023</v>
      </c>
      <c r="C131" s="57" t="s">
        <v>114</v>
      </c>
      <c r="D131" s="57" t="s">
        <v>115</v>
      </c>
      <c r="E131" s="57" t="s">
        <v>116</v>
      </c>
      <c r="F131" s="57" t="s">
        <v>119</v>
      </c>
      <c r="G131" s="57">
        <v>2</v>
      </c>
      <c r="H131" s="57" t="s">
        <v>117</v>
      </c>
      <c r="I131" s="57" t="s">
        <v>3885</v>
      </c>
      <c r="J131" s="57" t="s">
        <v>3886</v>
      </c>
      <c r="K131" s="57" t="s">
        <v>3322</v>
      </c>
      <c r="L131" s="111" t="s">
        <v>3323</v>
      </c>
      <c r="N131" s="57">
        <v>0.64200000000000002</v>
      </c>
      <c r="O131" s="57">
        <v>0</v>
      </c>
      <c r="P131" s="57">
        <v>0</v>
      </c>
      <c r="Q131" s="57">
        <v>0</v>
      </c>
      <c r="R131" s="57">
        <v>0</v>
      </c>
      <c r="S131" s="57">
        <v>17</v>
      </c>
      <c r="T131" s="112">
        <v>17</v>
      </c>
    </row>
    <row r="132" spans="1:20" ht="23.4" x14ac:dyDescent="0.25">
      <c r="A132" s="57">
        <v>131</v>
      </c>
      <c r="B132" s="110">
        <v>244023</v>
      </c>
      <c r="C132" s="57" t="s">
        <v>114</v>
      </c>
      <c r="D132" s="57" t="s">
        <v>115</v>
      </c>
      <c r="E132" s="57" t="s">
        <v>116</v>
      </c>
      <c r="F132" s="57" t="s">
        <v>119</v>
      </c>
      <c r="G132" s="57">
        <v>2</v>
      </c>
      <c r="H132" s="57" t="s">
        <v>117</v>
      </c>
      <c r="I132" s="57" t="s">
        <v>3887</v>
      </c>
      <c r="J132" s="57" t="s">
        <v>3888</v>
      </c>
      <c r="K132" s="57" t="s">
        <v>3889</v>
      </c>
      <c r="L132" s="111" t="s">
        <v>3890</v>
      </c>
      <c r="N132" s="57">
        <v>0.88</v>
      </c>
      <c r="O132" s="57">
        <v>0</v>
      </c>
      <c r="P132" s="57">
        <v>0</v>
      </c>
      <c r="Q132" s="57">
        <v>0</v>
      </c>
      <c r="R132" s="57">
        <v>0</v>
      </c>
      <c r="S132" s="57">
        <v>17</v>
      </c>
      <c r="T132" s="112">
        <v>17</v>
      </c>
    </row>
    <row r="133" spans="1:20" ht="23.4" x14ac:dyDescent="0.25">
      <c r="A133" s="57">
        <v>132</v>
      </c>
      <c r="B133" s="110">
        <v>244023</v>
      </c>
      <c r="C133" s="57" t="s">
        <v>114</v>
      </c>
      <c r="D133" s="57" t="s">
        <v>115</v>
      </c>
      <c r="E133" s="57" t="s">
        <v>116</v>
      </c>
      <c r="F133" s="57" t="s">
        <v>119</v>
      </c>
      <c r="G133" s="57">
        <v>2</v>
      </c>
      <c r="H133" s="57" t="s">
        <v>117</v>
      </c>
      <c r="I133" s="57" t="s">
        <v>3891</v>
      </c>
      <c r="J133" s="57" t="s">
        <v>3892</v>
      </c>
      <c r="K133" s="57" t="s">
        <v>3893</v>
      </c>
      <c r="L133" s="111" t="s">
        <v>3894</v>
      </c>
      <c r="N133" s="57">
        <v>0.88800000000000001</v>
      </c>
      <c r="O133" s="57">
        <v>0</v>
      </c>
      <c r="P133" s="57">
        <v>0</v>
      </c>
      <c r="Q133" s="57">
        <v>0</v>
      </c>
      <c r="R133" s="57">
        <v>0</v>
      </c>
      <c r="S133" s="57">
        <v>17</v>
      </c>
      <c r="T133" s="112">
        <v>17</v>
      </c>
    </row>
    <row r="134" spans="1:20" ht="23.4" x14ac:dyDescent="0.25">
      <c r="A134" s="57">
        <v>133</v>
      </c>
      <c r="B134" s="110">
        <v>244023</v>
      </c>
      <c r="C134" s="57" t="s">
        <v>114</v>
      </c>
      <c r="D134" s="57" t="s">
        <v>115</v>
      </c>
      <c r="E134" s="57" t="s">
        <v>116</v>
      </c>
      <c r="F134" s="57" t="s">
        <v>119</v>
      </c>
      <c r="G134" s="57">
        <v>2</v>
      </c>
      <c r="H134" s="57" t="s">
        <v>117</v>
      </c>
      <c r="I134" s="57" t="s">
        <v>3895</v>
      </c>
      <c r="J134" s="57" t="s">
        <v>3896</v>
      </c>
      <c r="K134" s="57" t="s">
        <v>3897</v>
      </c>
      <c r="L134" s="111" t="s">
        <v>3898</v>
      </c>
      <c r="N134" s="57">
        <v>1.4079999999999999</v>
      </c>
      <c r="O134" s="57">
        <v>0</v>
      </c>
      <c r="P134" s="57">
        <v>0</v>
      </c>
      <c r="Q134" s="57">
        <v>0</v>
      </c>
      <c r="R134" s="57">
        <v>0</v>
      </c>
      <c r="S134" s="57">
        <v>22</v>
      </c>
      <c r="T134" s="112">
        <v>22</v>
      </c>
    </row>
    <row r="135" spans="1:20" ht="23.4" x14ac:dyDescent="0.25">
      <c r="A135" s="57">
        <v>134</v>
      </c>
      <c r="B135" s="110">
        <v>244023</v>
      </c>
      <c r="C135" s="57" t="s">
        <v>114</v>
      </c>
      <c r="D135" s="57" t="s">
        <v>115</v>
      </c>
      <c r="E135" s="57" t="s">
        <v>116</v>
      </c>
      <c r="F135" s="57" t="s">
        <v>119</v>
      </c>
      <c r="G135" s="57">
        <v>2</v>
      </c>
      <c r="H135" s="57" t="s">
        <v>117</v>
      </c>
      <c r="I135" s="57" t="s">
        <v>3899</v>
      </c>
      <c r="J135" s="57" t="s">
        <v>3900</v>
      </c>
      <c r="K135" s="57" t="s">
        <v>1994</v>
      </c>
      <c r="L135" s="111" t="s">
        <v>3901</v>
      </c>
      <c r="N135" s="57">
        <v>0.996</v>
      </c>
      <c r="O135" s="57">
        <v>230</v>
      </c>
      <c r="P135" s="57">
        <v>3.45</v>
      </c>
      <c r="Q135" s="57">
        <v>0.24149999999999999</v>
      </c>
      <c r="R135" s="57">
        <v>0</v>
      </c>
      <c r="S135" s="57">
        <v>17</v>
      </c>
      <c r="T135" s="112">
        <v>20.69</v>
      </c>
    </row>
    <row r="136" spans="1:20" ht="23.4" x14ac:dyDescent="0.25">
      <c r="A136" s="57">
        <v>135</v>
      </c>
      <c r="B136" s="110">
        <v>244023</v>
      </c>
      <c r="C136" s="57" t="s">
        <v>114</v>
      </c>
      <c r="D136" s="57" t="s">
        <v>115</v>
      </c>
      <c r="E136" s="57" t="s">
        <v>116</v>
      </c>
      <c r="F136" s="57" t="s">
        <v>119</v>
      </c>
      <c r="G136" s="57">
        <v>2</v>
      </c>
      <c r="H136" s="57" t="s">
        <v>117</v>
      </c>
      <c r="I136" s="57" t="s">
        <v>3902</v>
      </c>
      <c r="J136" s="57" t="s">
        <v>3903</v>
      </c>
      <c r="K136" s="57" t="s">
        <v>3904</v>
      </c>
      <c r="L136" s="111" t="s">
        <v>3905</v>
      </c>
      <c r="N136" s="57">
        <v>0.998</v>
      </c>
      <c r="O136" s="57">
        <v>0</v>
      </c>
      <c r="P136" s="57">
        <v>0</v>
      </c>
      <c r="Q136" s="57">
        <v>0</v>
      </c>
      <c r="R136" s="57">
        <v>0</v>
      </c>
      <c r="S136" s="57">
        <v>17</v>
      </c>
      <c r="T136" s="112">
        <v>17</v>
      </c>
    </row>
    <row r="137" spans="1:20" ht="23.4" x14ac:dyDescent="0.25">
      <c r="A137" s="57">
        <v>136</v>
      </c>
      <c r="B137" s="110">
        <v>244023</v>
      </c>
      <c r="C137" s="57" t="s">
        <v>114</v>
      </c>
      <c r="D137" s="57" t="s">
        <v>115</v>
      </c>
      <c r="E137" s="57" t="s">
        <v>116</v>
      </c>
      <c r="F137" s="57" t="s">
        <v>119</v>
      </c>
      <c r="G137" s="57">
        <v>2</v>
      </c>
      <c r="H137" s="57" t="s">
        <v>117</v>
      </c>
      <c r="I137" s="57" t="s">
        <v>3906</v>
      </c>
      <c r="J137" s="57" t="s">
        <v>3907</v>
      </c>
      <c r="K137" s="57" t="s">
        <v>3908</v>
      </c>
      <c r="L137" s="111" t="s">
        <v>3909</v>
      </c>
      <c r="N137" s="57">
        <v>1.228</v>
      </c>
      <c r="O137" s="57">
        <v>230</v>
      </c>
      <c r="P137" s="57">
        <v>3.45</v>
      </c>
      <c r="Q137" s="57">
        <v>0.24149999999999999</v>
      </c>
      <c r="R137" s="57">
        <v>0</v>
      </c>
      <c r="S137" s="57">
        <v>22</v>
      </c>
      <c r="T137" s="112">
        <v>25.69</v>
      </c>
    </row>
    <row r="138" spans="1:20" ht="23.4" x14ac:dyDescent="0.25">
      <c r="A138" s="57">
        <v>137</v>
      </c>
      <c r="B138" s="110">
        <v>244023</v>
      </c>
      <c r="C138" s="57" t="s">
        <v>114</v>
      </c>
      <c r="D138" s="57" t="s">
        <v>115</v>
      </c>
      <c r="E138" s="57" t="s">
        <v>116</v>
      </c>
      <c r="F138" s="57" t="s">
        <v>119</v>
      </c>
      <c r="G138" s="57">
        <v>2</v>
      </c>
      <c r="H138" s="57" t="s">
        <v>117</v>
      </c>
      <c r="I138" s="57" t="s">
        <v>3910</v>
      </c>
      <c r="J138" s="57" t="s">
        <v>169</v>
      </c>
      <c r="K138" s="57" t="s">
        <v>131</v>
      </c>
      <c r="L138" s="111" t="s">
        <v>170</v>
      </c>
      <c r="N138" s="57">
        <v>1.276</v>
      </c>
      <c r="O138" s="57">
        <v>0</v>
      </c>
      <c r="P138" s="57">
        <v>0</v>
      </c>
      <c r="Q138" s="57">
        <v>0</v>
      </c>
      <c r="R138" s="57">
        <v>0</v>
      </c>
      <c r="S138" s="57">
        <v>22</v>
      </c>
      <c r="T138" s="112">
        <v>22</v>
      </c>
    </row>
    <row r="139" spans="1:20" ht="23.4" x14ac:dyDescent="0.25">
      <c r="A139" s="57">
        <v>138</v>
      </c>
      <c r="B139" s="110">
        <v>244023</v>
      </c>
      <c r="C139" s="57" t="s">
        <v>114</v>
      </c>
      <c r="D139" s="57" t="s">
        <v>115</v>
      </c>
      <c r="E139" s="57" t="s">
        <v>116</v>
      </c>
      <c r="F139" s="57" t="s">
        <v>119</v>
      </c>
      <c r="G139" s="57">
        <v>2</v>
      </c>
      <c r="H139" s="57" t="s">
        <v>117</v>
      </c>
      <c r="I139" s="57" t="s">
        <v>3911</v>
      </c>
      <c r="J139" s="57" t="s">
        <v>3912</v>
      </c>
      <c r="K139" s="57" t="s">
        <v>3913</v>
      </c>
      <c r="L139" s="111" t="s">
        <v>3914</v>
      </c>
      <c r="N139" s="57">
        <v>0.98</v>
      </c>
      <c r="O139" s="57">
        <v>0</v>
      </c>
      <c r="P139" s="57">
        <v>0</v>
      </c>
      <c r="Q139" s="57">
        <v>0</v>
      </c>
      <c r="R139" s="57">
        <v>0</v>
      </c>
      <c r="S139" s="57">
        <v>17</v>
      </c>
      <c r="T139" s="112">
        <v>17</v>
      </c>
    </row>
    <row r="140" spans="1:20" ht="23.4" x14ac:dyDescent="0.25">
      <c r="A140" s="57">
        <v>139</v>
      </c>
      <c r="B140" s="110">
        <v>244023</v>
      </c>
      <c r="C140" s="57" t="s">
        <v>114</v>
      </c>
      <c r="D140" s="57" t="s">
        <v>115</v>
      </c>
      <c r="E140" s="57" t="s">
        <v>116</v>
      </c>
      <c r="F140" s="57" t="s">
        <v>119</v>
      </c>
      <c r="G140" s="57">
        <v>2</v>
      </c>
      <c r="H140" s="57" t="s">
        <v>117</v>
      </c>
      <c r="I140" s="57" t="s">
        <v>3915</v>
      </c>
      <c r="J140" s="57" t="s">
        <v>3916</v>
      </c>
      <c r="K140" s="57" t="s">
        <v>3917</v>
      </c>
      <c r="L140" s="111" t="s">
        <v>3918</v>
      </c>
      <c r="N140" s="57">
        <v>1.044</v>
      </c>
      <c r="O140" s="57">
        <v>0</v>
      </c>
      <c r="P140" s="57">
        <v>0</v>
      </c>
      <c r="Q140" s="57">
        <v>0</v>
      </c>
      <c r="R140" s="57">
        <v>0</v>
      </c>
      <c r="S140" s="57">
        <v>22</v>
      </c>
      <c r="T140" s="112">
        <v>22</v>
      </c>
    </row>
    <row r="141" spans="1:20" ht="23.4" x14ac:dyDescent="0.25">
      <c r="A141" s="57">
        <v>140</v>
      </c>
      <c r="B141" s="110">
        <v>244023</v>
      </c>
      <c r="C141" s="57" t="s">
        <v>114</v>
      </c>
      <c r="D141" s="57" t="s">
        <v>115</v>
      </c>
      <c r="E141" s="57" t="s">
        <v>116</v>
      </c>
      <c r="F141" s="57" t="s">
        <v>119</v>
      </c>
      <c r="G141" s="57">
        <v>2</v>
      </c>
      <c r="H141" s="57" t="s">
        <v>117</v>
      </c>
      <c r="I141" s="57" t="s">
        <v>3919</v>
      </c>
      <c r="J141" s="57" t="s">
        <v>1447</v>
      </c>
      <c r="K141" s="57" t="s">
        <v>1448</v>
      </c>
      <c r="L141" s="111" t="s">
        <v>3920</v>
      </c>
      <c r="N141" s="57">
        <v>1.056</v>
      </c>
      <c r="O141" s="57">
        <v>0</v>
      </c>
      <c r="P141" s="57">
        <v>0</v>
      </c>
      <c r="Q141" s="57">
        <v>0</v>
      </c>
      <c r="R141" s="57">
        <v>0</v>
      </c>
      <c r="S141" s="57">
        <v>22</v>
      </c>
      <c r="T141" s="112">
        <v>22</v>
      </c>
    </row>
    <row r="142" spans="1:20" ht="23.4" x14ac:dyDescent="0.25">
      <c r="A142" s="57">
        <v>141</v>
      </c>
      <c r="B142" s="110">
        <v>244023</v>
      </c>
      <c r="C142" s="57" t="s">
        <v>114</v>
      </c>
      <c r="D142" s="57" t="s">
        <v>115</v>
      </c>
      <c r="E142" s="57" t="s">
        <v>116</v>
      </c>
      <c r="F142" s="57" t="s">
        <v>119</v>
      </c>
      <c r="G142" s="57">
        <v>2</v>
      </c>
      <c r="H142" s="57" t="s">
        <v>117</v>
      </c>
      <c r="I142" s="57" t="s">
        <v>3921</v>
      </c>
      <c r="J142" s="57" t="s">
        <v>3922</v>
      </c>
      <c r="K142" s="57" t="s">
        <v>3923</v>
      </c>
      <c r="L142" s="111" t="s">
        <v>3924</v>
      </c>
      <c r="N142" s="57">
        <v>1.046</v>
      </c>
      <c r="O142" s="57">
        <v>199</v>
      </c>
      <c r="P142" s="57">
        <v>2.9849999999999999</v>
      </c>
      <c r="Q142" s="57">
        <v>0.20899999999999999</v>
      </c>
      <c r="R142" s="57">
        <v>0</v>
      </c>
      <c r="S142" s="57">
        <v>22</v>
      </c>
      <c r="T142" s="112">
        <v>25.19</v>
      </c>
    </row>
    <row r="143" spans="1:20" ht="23.4" x14ac:dyDescent="0.25">
      <c r="A143" s="57">
        <v>142</v>
      </c>
      <c r="B143" s="110">
        <v>244023</v>
      </c>
      <c r="C143" s="57" t="s">
        <v>114</v>
      </c>
      <c r="D143" s="57" t="s">
        <v>115</v>
      </c>
      <c r="E143" s="57" t="s">
        <v>116</v>
      </c>
      <c r="F143" s="57" t="s">
        <v>119</v>
      </c>
      <c r="G143" s="57">
        <v>2</v>
      </c>
      <c r="H143" s="57" t="s">
        <v>117</v>
      </c>
      <c r="I143" s="57" t="s">
        <v>3925</v>
      </c>
      <c r="J143" s="57" t="s">
        <v>3926</v>
      </c>
      <c r="K143" s="57" t="s">
        <v>2104</v>
      </c>
      <c r="L143" s="111" t="s">
        <v>3927</v>
      </c>
      <c r="N143" s="57">
        <v>4.8000000000000001E-2</v>
      </c>
      <c r="O143" s="57">
        <v>0</v>
      </c>
      <c r="P143" s="57">
        <v>0</v>
      </c>
      <c r="Q143" s="57">
        <v>0</v>
      </c>
      <c r="R143" s="57">
        <v>0</v>
      </c>
      <c r="S143" s="57">
        <v>17</v>
      </c>
      <c r="T143" s="112">
        <v>17</v>
      </c>
    </row>
    <row r="144" spans="1:20" ht="23.4" x14ac:dyDescent="0.25">
      <c r="A144" s="57">
        <v>143</v>
      </c>
      <c r="B144" s="110">
        <v>244024</v>
      </c>
      <c r="C144" s="57" t="s">
        <v>114</v>
      </c>
      <c r="D144" s="57" t="s">
        <v>115</v>
      </c>
      <c r="E144" s="57" t="s">
        <v>116</v>
      </c>
      <c r="F144" s="57" t="s">
        <v>149</v>
      </c>
      <c r="G144" s="57">
        <v>2</v>
      </c>
      <c r="H144" s="57" t="s">
        <v>117</v>
      </c>
      <c r="I144" s="57" t="s">
        <v>3928</v>
      </c>
      <c r="J144" s="57" t="s">
        <v>3929</v>
      </c>
      <c r="K144" s="57" t="s">
        <v>3930</v>
      </c>
      <c r="L144" s="111" t="s">
        <v>3931</v>
      </c>
      <c r="M144" s="57" t="s">
        <v>118</v>
      </c>
      <c r="N144" s="57">
        <v>1.2</v>
      </c>
      <c r="O144" s="57" t="s">
        <v>3932</v>
      </c>
      <c r="P144" s="57">
        <v>0</v>
      </c>
      <c r="Q144" s="57">
        <v>0</v>
      </c>
      <c r="R144" s="57">
        <v>0</v>
      </c>
      <c r="S144" s="57">
        <v>22</v>
      </c>
      <c r="T144" s="112">
        <v>22</v>
      </c>
    </row>
    <row r="145" spans="1:20" ht="23.4" x14ac:dyDescent="0.25">
      <c r="A145" s="57">
        <v>144</v>
      </c>
      <c r="B145" s="110">
        <v>244024</v>
      </c>
      <c r="C145" s="57" t="s">
        <v>114</v>
      </c>
      <c r="D145" s="57" t="s">
        <v>115</v>
      </c>
      <c r="E145" s="57" t="s">
        <v>116</v>
      </c>
      <c r="F145" s="57" t="s">
        <v>119</v>
      </c>
      <c r="G145" s="57">
        <v>2</v>
      </c>
      <c r="H145" s="57" t="s">
        <v>117</v>
      </c>
      <c r="I145" s="57" t="s">
        <v>3933</v>
      </c>
      <c r="J145" s="57" t="s">
        <v>2852</v>
      </c>
      <c r="K145" s="57" t="s">
        <v>2853</v>
      </c>
      <c r="L145" s="111" t="s">
        <v>2854</v>
      </c>
      <c r="N145" s="57">
        <v>1.248</v>
      </c>
      <c r="O145" s="57">
        <v>0</v>
      </c>
      <c r="P145" s="57">
        <v>0</v>
      </c>
      <c r="Q145" s="57">
        <v>0</v>
      </c>
      <c r="R145" s="57">
        <v>0</v>
      </c>
      <c r="S145" s="57">
        <v>22</v>
      </c>
      <c r="T145" s="112">
        <v>22</v>
      </c>
    </row>
    <row r="146" spans="1:20" ht="23.4" x14ac:dyDescent="0.25">
      <c r="A146" s="57">
        <v>145</v>
      </c>
      <c r="B146" s="110">
        <v>244024</v>
      </c>
      <c r="C146" s="57" t="s">
        <v>114</v>
      </c>
      <c r="D146" s="57" t="s">
        <v>115</v>
      </c>
      <c r="E146" s="57" t="s">
        <v>116</v>
      </c>
      <c r="F146" s="57" t="s">
        <v>119</v>
      </c>
      <c r="G146" s="57">
        <v>2</v>
      </c>
      <c r="H146" s="57" t="s">
        <v>117</v>
      </c>
      <c r="I146" s="57" t="s">
        <v>3934</v>
      </c>
      <c r="J146" s="57" t="s">
        <v>3935</v>
      </c>
      <c r="K146" s="57" t="s">
        <v>2789</v>
      </c>
      <c r="L146" s="111" t="s">
        <v>3936</v>
      </c>
      <c r="N146" s="57">
        <v>0.61599999999999999</v>
      </c>
      <c r="O146" s="57">
        <v>130</v>
      </c>
      <c r="P146" s="57">
        <v>1.95</v>
      </c>
      <c r="Q146" s="57">
        <v>0.13650000000000001</v>
      </c>
      <c r="R146" s="57">
        <v>0</v>
      </c>
      <c r="S146" s="57">
        <v>17</v>
      </c>
      <c r="T146" s="112">
        <v>19.09</v>
      </c>
    </row>
    <row r="147" spans="1:20" ht="23.4" x14ac:dyDescent="0.25">
      <c r="A147" s="57">
        <v>146</v>
      </c>
      <c r="B147" s="110">
        <v>244024</v>
      </c>
      <c r="C147" s="57" t="s">
        <v>114</v>
      </c>
      <c r="D147" s="57" t="s">
        <v>115</v>
      </c>
      <c r="E147" s="57" t="s">
        <v>116</v>
      </c>
      <c r="F147" s="57" t="s">
        <v>119</v>
      </c>
      <c r="G147" s="57">
        <v>2</v>
      </c>
      <c r="H147" s="57" t="s">
        <v>117</v>
      </c>
      <c r="I147" s="57" t="s">
        <v>3937</v>
      </c>
      <c r="J147" s="57" t="s">
        <v>3938</v>
      </c>
      <c r="K147" s="57" t="s">
        <v>3939</v>
      </c>
      <c r="L147" s="111" t="s">
        <v>3940</v>
      </c>
      <c r="N147" s="57">
        <v>1.264</v>
      </c>
      <c r="O147" s="57">
        <v>0</v>
      </c>
      <c r="P147" s="57">
        <v>0</v>
      </c>
      <c r="Q147" s="57">
        <v>0</v>
      </c>
      <c r="R147" s="57">
        <v>0</v>
      </c>
      <c r="S147" s="57">
        <v>22</v>
      </c>
      <c r="T147" s="112">
        <v>22</v>
      </c>
    </row>
    <row r="148" spans="1:20" ht="23.4" x14ac:dyDescent="0.25">
      <c r="A148" s="57">
        <v>147</v>
      </c>
      <c r="B148" s="110">
        <v>244024</v>
      </c>
      <c r="C148" s="57" t="s">
        <v>114</v>
      </c>
      <c r="D148" s="57" t="s">
        <v>115</v>
      </c>
      <c r="E148" s="57" t="s">
        <v>116</v>
      </c>
      <c r="F148" s="57" t="s">
        <v>119</v>
      </c>
      <c r="G148" s="57">
        <v>2</v>
      </c>
      <c r="H148" s="57" t="s">
        <v>117</v>
      </c>
      <c r="I148" s="57" t="s">
        <v>3941</v>
      </c>
      <c r="J148" s="57" t="s">
        <v>3942</v>
      </c>
      <c r="K148" s="57" t="s">
        <v>3943</v>
      </c>
      <c r="L148" s="111" t="s">
        <v>3944</v>
      </c>
      <c r="N148" s="57">
        <v>0.66600000000000004</v>
      </c>
      <c r="O148" s="57">
        <v>0</v>
      </c>
      <c r="P148" s="57">
        <v>0</v>
      </c>
      <c r="Q148" s="57">
        <v>0</v>
      </c>
      <c r="R148" s="57">
        <v>0</v>
      </c>
      <c r="S148" s="57">
        <v>17</v>
      </c>
      <c r="T148" s="112">
        <v>17</v>
      </c>
    </row>
    <row r="149" spans="1:20" ht="23.4" x14ac:dyDescent="0.25">
      <c r="A149" s="57">
        <v>148</v>
      </c>
      <c r="B149" s="110">
        <v>244024</v>
      </c>
      <c r="C149" s="57" t="s">
        <v>114</v>
      </c>
      <c r="D149" s="57" t="s">
        <v>115</v>
      </c>
      <c r="E149" s="57" t="s">
        <v>116</v>
      </c>
      <c r="F149" s="57" t="s">
        <v>119</v>
      </c>
      <c r="G149" s="57">
        <v>2</v>
      </c>
      <c r="H149" s="57" t="s">
        <v>117</v>
      </c>
      <c r="I149" s="57" t="s">
        <v>3945</v>
      </c>
      <c r="J149" s="57" t="s">
        <v>3946</v>
      </c>
      <c r="K149" s="57" t="s">
        <v>3947</v>
      </c>
      <c r="L149" s="111" t="s">
        <v>3948</v>
      </c>
      <c r="N149" s="57">
        <v>0.67800000000000005</v>
      </c>
      <c r="O149" s="57">
        <v>0</v>
      </c>
      <c r="P149" s="57">
        <v>0</v>
      </c>
      <c r="Q149" s="57">
        <v>0</v>
      </c>
      <c r="R149" s="57">
        <v>0</v>
      </c>
      <c r="S149" s="57">
        <v>17</v>
      </c>
      <c r="T149" s="112">
        <v>17</v>
      </c>
    </row>
    <row r="150" spans="1:20" ht="23.4" x14ac:dyDescent="0.25">
      <c r="A150" s="57">
        <v>149</v>
      </c>
      <c r="B150" s="110">
        <v>244024</v>
      </c>
      <c r="C150" s="57" t="s">
        <v>114</v>
      </c>
      <c r="D150" s="57" t="s">
        <v>115</v>
      </c>
      <c r="E150" s="57" t="s">
        <v>116</v>
      </c>
      <c r="F150" s="57" t="s">
        <v>119</v>
      </c>
      <c r="G150" s="57">
        <v>2</v>
      </c>
      <c r="H150" s="57" t="s">
        <v>117</v>
      </c>
      <c r="I150" s="57" t="s">
        <v>3949</v>
      </c>
      <c r="J150" s="57" t="s">
        <v>3950</v>
      </c>
      <c r="K150" s="57" t="s">
        <v>3951</v>
      </c>
      <c r="L150" s="111" t="s">
        <v>3952</v>
      </c>
      <c r="N150" s="57">
        <v>0.69</v>
      </c>
      <c r="O150" s="57">
        <v>130</v>
      </c>
      <c r="P150" s="57">
        <v>1.95</v>
      </c>
      <c r="Q150" s="57">
        <v>0.13650000000000001</v>
      </c>
      <c r="R150" s="57">
        <v>0</v>
      </c>
      <c r="S150" s="57">
        <v>17</v>
      </c>
      <c r="T150" s="112">
        <v>19.09</v>
      </c>
    </row>
    <row r="151" spans="1:20" ht="23.4" x14ac:dyDescent="0.25">
      <c r="A151" s="57">
        <v>150</v>
      </c>
      <c r="B151" s="110">
        <v>244024</v>
      </c>
      <c r="C151" s="57" t="s">
        <v>114</v>
      </c>
      <c r="D151" s="57" t="s">
        <v>115</v>
      </c>
      <c r="E151" s="57" t="s">
        <v>116</v>
      </c>
      <c r="F151" s="57" t="s">
        <v>119</v>
      </c>
      <c r="G151" s="57">
        <v>2</v>
      </c>
      <c r="H151" s="57" t="s">
        <v>117</v>
      </c>
      <c r="I151" s="57" t="s">
        <v>3953</v>
      </c>
      <c r="J151" s="57" t="s">
        <v>3954</v>
      </c>
      <c r="K151" s="57" t="s">
        <v>3955</v>
      </c>
      <c r="L151" s="111" t="s">
        <v>3956</v>
      </c>
      <c r="N151" s="57">
        <v>0.68400000000000005</v>
      </c>
      <c r="O151" s="57">
        <v>130</v>
      </c>
      <c r="P151" s="57">
        <v>1.95</v>
      </c>
      <c r="Q151" s="57">
        <v>0.13650000000000001</v>
      </c>
      <c r="R151" s="57">
        <v>0</v>
      </c>
      <c r="S151" s="57">
        <v>17</v>
      </c>
      <c r="T151" s="112">
        <v>19.09</v>
      </c>
    </row>
    <row r="152" spans="1:20" ht="23.4" x14ac:dyDescent="0.25">
      <c r="A152" s="57">
        <v>151</v>
      </c>
      <c r="B152" s="110">
        <v>244024</v>
      </c>
      <c r="C152" s="57" t="s">
        <v>114</v>
      </c>
      <c r="D152" s="57" t="s">
        <v>115</v>
      </c>
      <c r="E152" s="57" t="s">
        <v>116</v>
      </c>
      <c r="F152" s="57" t="s">
        <v>119</v>
      </c>
      <c r="G152" s="57">
        <v>2</v>
      </c>
      <c r="H152" s="57" t="s">
        <v>117</v>
      </c>
      <c r="I152" s="57" t="s">
        <v>3957</v>
      </c>
      <c r="J152" s="57" t="s">
        <v>3958</v>
      </c>
      <c r="K152" s="57" t="s">
        <v>3959</v>
      </c>
      <c r="L152" s="111" t="s">
        <v>3960</v>
      </c>
      <c r="N152" s="57">
        <v>1.248</v>
      </c>
      <c r="O152" s="57">
        <v>0</v>
      </c>
      <c r="P152" s="57">
        <v>0</v>
      </c>
      <c r="Q152" s="57">
        <v>0</v>
      </c>
      <c r="R152" s="57">
        <v>0</v>
      </c>
      <c r="S152" s="57">
        <v>22</v>
      </c>
      <c r="T152" s="112">
        <v>22</v>
      </c>
    </row>
    <row r="153" spans="1:20" ht="23.4" x14ac:dyDescent="0.25">
      <c r="A153" s="57">
        <v>152</v>
      </c>
      <c r="B153" s="110">
        <v>244024</v>
      </c>
      <c r="C153" s="57" t="s">
        <v>114</v>
      </c>
      <c r="D153" s="57" t="s">
        <v>115</v>
      </c>
      <c r="E153" s="57" t="s">
        <v>116</v>
      </c>
      <c r="F153" s="57" t="s">
        <v>119</v>
      </c>
      <c r="G153" s="57">
        <v>2</v>
      </c>
      <c r="H153" s="57" t="s">
        <v>117</v>
      </c>
      <c r="I153" s="57" t="s">
        <v>3961</v>
      </c>
      <c r="J153" s="57" t="s">
        <v>3962</v>
      </c>
      <c r="K153" s="57" t="s">
        <v>3963</v>
      </c>
      <c r="L153" s="111" t="s">
        <v>3964</v>
      </c>
      <c r="N153" s="57">
        <v>0.878</v>
      </c>
      <c r="O153" s="57">
        <v>0</v>
      </c>
      <c r="P153" s="57">
        <v>0</v>
      </c>
      <c r="Q153" s="57">
        <v>0</v>
      </c>
      <c r="R153" s="57">
        <v>0</v>
      </c>
      <c r="S153" s="57">
        <v>17</v>
      </c>
      <c r="T153" s="112">
        <v>17</v>
      </c>
    </row>
    <row r="154" spans="1:20" ht="23.4" x14ac:dyDescent="0.25">
      <c r="A154" s="57">
        <v>153</v>
      </c>
      <c r="B154" s="110">
        <v>244024</v>
      </c>
      <c r="C154" s="57" t="s">
        <v>114</v>
      </c>
      <c r="D154" s="57" t="s">
        <v>115</v>
      </c>
      <c r="E154" s="57" t="s">
        <v>116</v>
      </c>
      <c r="F154" s="57" t="s">
        <v>119</v>
      </c>
      <c r="G154" s="57">
        <v>2</v>
      </c>
      <c r="H154" s="57" t="s">
        <v>117</v>
      </c>
      <c r="I154" s="57" t="s">
        <v>3965</v>
      </c>
      <c r="J154" s="57" t="s">
        <v>3966</v>
      </c>
      <c r="K154" s="57" t="s">
        <v>3967</v>
      </c>
      <c r="L154" s="111" t="s">
        <v>3968</v>
      </c>
      <c r="N154" s="57">
        <v>0.88600000000000001</v>
      </c>
      <c r="O154" s="57">
        <v>0</v>
      </c>
      <c r="P154" s="57">
        <v>0</v>
      </c>
      <c r="Q154" s="57">
        <v>0</v>
      </c>
      <c r="R154" s="57">
        <v>0</v>
      </c>
      <c r="S154" s="57">
        <v>17</v>
      </c>
      <c r="T154" s="112">
        <v>17</v>
      </c>
    </row>
    <row r="155" spans="1:20" ht="23.4" x14ac:dyDescent="0.25">
      <c r="A155" s="57">
        <v>154</v>
      </c>
      <c r="B155" s="110">
        <v>244024</v>
      </c>
      <c r="C155" s="57" t="s">
        <v>114</v>
      </c>
      <c r="D155" s="57" t="s">
        <v>115</v>
      </c>
      <c r="E155" s="57" t="s">
        <v>116</v>
      </c>
      <c r="F155" s="57" t="s">
        <v>119</v>
      </c>
      <c r="G155" s="57">
        <v>2</v>
      </c>
      <c r="H155" s="57" t="s">
        <v>117</v>
      </c>
      <c r="I155" s="57" t="s">
        <v>3969</v>
      </c>
      <c r="J155" s="57" t="s">
        <v>3970</v>
      </c>
      <c r="K155" s="57" t="s">
        <v>3971</v>
      </c>
      <c r="L155" s="111" t="s">
        <v>3972</v>
      </c>
      <c r="N155" s="57">
        <v>0.66200000000000003</v>
      </c>
      <c r="O155" s="57">
        <v>130</v>
      </c>
      <c r="P155" s="57">
        <v>1.95</v>
      </c>
      <c r="Q155" s="57">
        <v>0.13650000000000001</v>
      </c>
      <c r="R155" s="57">
        <v>0</v>
      </c>
      <c r="S155" s="57">
        <v>17</v>
      </c>
      <c r="T155" s="112">
        <v>19.09</v>
      </c>
    </row>
    <row r="156" spans="1:20" ht="23.4" x14ac:dyDescent="0.25">
      <c r="A156" s="57">
        <v>155</v>
      </c>
      <c r="B156" s="110">
        <v>244024</v>
      </c>
      <c r="C156" s="57" t="s">
        <v>114</v>
      </c>
      <c r="D156" s="57" t="s">
        <v>115</v>
      </c>
      <c r="E156" s="57" t="s">
        <v>116</v>
      </c>
      <c r="F156" s="57" t="s">
        <v>119</v>
      </c>
      <c r="G156" s="57">
        <v>2</v>
      </c>
      <c r="H156" s="57" t="s">
        <v>117</v>
      </c>
      <c r="I156" s="57" t="s">
        <v>3973</v>
      </c>
      <c r="J156" s="57" t="s">
        <v>3974</v>
      </c>
      <c r="K156" s="57" t="s">
        <v>3975</v>
      </c>
      <c r="L156" s="111" t="s">
        <v>3976</v>
      </c>
      <c r="N156" s="57">
        <v>1.226</v>
      </c>
      <c r="O156" s="57">
        <v>230</v>
      </c>
      <c r="P156" s="57">
        <v>3.45</v>
      </c>
      <c r="Q156" s="57">
        <v>0.24149999999999999</v>
      </c>
      <c r="R156" s="57">
        <v>0</v>
      </c>
      <c r="S156" s="57">
        <v>22</v>
      </c>
      <c r="T156" s="112">
        <v>25.69</v>
      </c>
    </row>
    <row r="157" spans="1:20" ht="23.4" x14ac:dyDescent="0.25">
      <c r="A157" s="57">
        <v>156</v>
      </c>
      <c r="B157" s="110">
        <v>244024</v>
      </c>
      <c r="C157" s="57" t="s">
        <v>114</v>
      </c>
      <c r="D157" s="57" t="s">
        <v>115</v>
      </c>
      <c r="E157" s="57" t="s">
        <v>116</v>
      </c>
      <c r="F157" s="57" t="s">
        <v>119</v>
      </c>
      <c r="G157" s="57">
        <v>2</v>
      </c>
      <c r="H157" s="57" t="s">
        <v>117</v>
      </c>
      <c r="I157" s="57" t="s">
        <v>3977</v>
      </c>
      <c r="J157" s="57" t="s">
        <v>3978</v>
      </c>
      <c r="K157" s="57" t="s">
        <v>3979</v>
      </c>
      <c r="L157" s="111" t="s">
        <v>3980</v>
      </c>
      <c r="N157" s="57">
        <v>1.282</v>
      </c>
      <c r="O157" s="57">
        <v>230</v>
      </c>
      <c r="P157" s="57">
        <v>3.45</v>
      </c>
      <c r="Q157" s="57">
        <v>0.24149999999999999</v>
      </c>
      <c r="R157" s="57">
        <v>0</v>
      </c>
      <c r="S157" s="57">
        <v>22</v>
      </c>
      <c r="T157" s="112">
        <v>25.69</v>
      </c>
    </row>
    <row r="158" spans="1:20" ht="23.4" x14ac:dyDescent="0.25">
      <c r="A158" s="57">
        <v>157</v>
      </c>
      <c r="B158" s="110">
        <v>244024</v>
      </c>
      <c r="C158" s="57" t="s">
        <v>114</v>
      </c>
      <c r="D158" s="57" t="s">
        <v>115</v>
      </c>
      <c r="E158" s="57" t="s">
        <v>116</v>
      </c>
      <c r="F158" s="57" t="s">
        <v>119</v>
      </c>
      <c r="G158" s="57">
        <v>2</v>
      </c>
      <c r="H158" s="57" t="s">
        <v>117</v>
      </c>
      <c r="I158" s="57" t="s">
        <v>3981</v>
      </c>
      <c r="J158" s="57" t="s">
        <v>3377</v>
      </c>
      <c r="K158" s="57" t="s">
        <v>3378</v>
      </c>
      <c r="L158" s="111" t="s">
        <v>3379</v>
      </c>
      <c r="N158" s="57">
        <v>2.246</v>
      </c>
      <c r="O158" s="57">
        <v>530</v>
      </c>
      <c r="P158" s="57">
        <v>7.95</v>
      </c>
      <c r="Q158" s="57">
        <v>0.55649999999999999</v>
      </c>
      <c r="R158" s="57">
        <v>0</v>
      </c>
      <c r="S158" s="57">
        <v>33</v>
      </c>
      <c r="T158" s="112">
        <v>41.51</v>
      </c>
    </row>
    <row r="159" spans="1:20" ht="23.4" x14ac:dyDescent="0.25">
      <c r="A159" s="57">
        <v>158</v>
      </c>
      <c r="B159" s="110">
        <v>244024</v>
      </c>
      <c r="C159" s="57" t="s">
        <v>114</v>
      </c>
      <c r="D159" s="57" t="s">
        <v>115</v>
      </c>
      <c r="E159" s="57" t="s">
        <v>116</v>
      </c>
      <c r="F159" s="57" t="s">
        <v>119</v>
      </c>
      <c r="G159" s="57">
        <v>2</v>
      </c>
      <c r="H159" s="57" t="s">
        <v>117</v>
      </c>
      <c r="I159" s="57" t="s">
        <v>3982</v>
      </c>
      <c r="J159" s="57" t="s">
        <v>3983</v>
      </c>
      <c r="K159" s="57" t="s">
        <v>3984</v>
      </c>
      <c r="L159" s="111" t="s">
        <v>3985</v>
      </c>
      <c r="N159" s="57">
        <v>1.212</v>
      </c>
      <c r="O159" s="57">
        <v>0</v>
      </c>
      <c r="P159" s="57">
        <v>0</v>
      </c>
      <c r="Q159" s="57">
        <v>0</v>
      </c>
      <c r="R159" s="57">
        <v>0</v>
      </c>
      <c r="S159" s="57">
        <v>22</v>
      </c>
      <c r="T159" s="112">
        <v>22</v>
      </c>
    </row>
    <row r="160" spans="1:20" ht="23.4" x14ac:dyDescent="0.25">
      <c r="A160" s="57">
        <v>159</v>
      </c>
      <c r="B160" s="110">
        <v>244024</v>
      </c>
      <c r="C160" s="57" t="s">
        <v>114</v>
      </c>
      <c r="D160" s="57" t="s">
        <v>115</v>
      </c>
      <c r="E160" s="57" t="s">
        <v>116</v>
      </c>
      <c r="F160" s="57" t="s">
        <v>119</v>
      </c>
      <c r="G160" s="57">
        <v>2</v>
      </c>
      <c r="H160" s="57" t="s">
        <v>117</v>
      </c>
      <c r="I160" s="57" t="s">
        <v>3986</v>
      </c>
      <c r="J160" s="57" t="s">
        <v>3987</v>
      </c>
      <c r="K160" s="57" t="s">
        <v>3988</v>
      </c>
      <c r="L160" s="111" t="s">
        <v>3989</v>
      </c>
      <c r="N160" s="57">
        <v>0.66600000000000004</v>
      </c>
      <c r="O160" s="57">
        <v>130</v>
      </c>
      <c r="P160" s="57">
        <v>1.95</v>
      </c>
      <c r="Q160" s="57">
        <v>0.13650000000000001</v>
      </c>
      <c r="R160" s="57">
        <v>0</v>
      </c>
      <c r="S160" s="57">
        <v>17</v>
      </c>
      <c r="T160" s="112">
        <v>19.09</v>
      </c>
    </row>
    <row r="161" spans="1:20" ht="23.4" x14ac:dyDescent="0.25">
      <c r="A161" s="57">
        <v>160</v>
      </c>
      <c r="B161" s="110">
        <v>244024</v>
      </c>
      <c r="C161" s="57" t="s">
        <v>114</v>
      </c>
      <c r="D161" s="57" t="s">
        <v>115</v>
      </c>
      <c r="E161" s="57" t="s">
        <v>116</v>
      </c>
      <c r="F161" s="57" t="s">
        <v>119</v>
      </c>
      <c r="G161" s="57">
        <v>2</v>
      </c>
      <c r="H161" s="57" t="s">
        <v>117</v>
      </c>
      <c r="I161" s="57" t="s">
        <v>3990</v>
      </c>
      <c r="J161" s="57" t="s">
        <v>256</v>
      </c>
      <c r="K161" s="57" t="s">
        <v>250</v>
      </c>
      <c r="L161" s="111" t="s">
        <v>3991</v>
      </c>
      <c r="N161" s="57">
        <v>0.70599999999999996</v>
      </c>
      <c r="O161" s="57">
        <v>0</v>
      </c>
      <c r="P161" s="57">
        <v>0</v>
      </c>
      <c r="Q161" s="57">
        <v>0</v>
      </c>
      <c r="R161" s="57">
        <v>0</v>
      </c>
      <c r="S161" s="57">
        <v>17</v>
      </c>
      <c r="T161" s="112">
        <v>17</v>
      </c>
    </row>
    <row r="162" spans="1:20" ht="23.4" x14ac:dyDescent="0.25">
      <c r="A162" s="57">
        <v>161</v>
      </c>
      <c r="B162" s="110">
        <v>244024</v>
      </c>
      <c r="C162" s="57" t="s">
        <v>114</v>
      </c>
      <c r="D162" s="57" t="s">
        <v>115</v>
      </c>
      <c r="E162" s="57" t="s">
        <v>116</v>
      </c>
      <c r="F162" s="57" t="s">
        <v>119</v>
      </c>
      <c r="G162" s="57">
        <v>2</v>
      </c>
      <c r="H162" s="57" t="s">
        <v>117</v>
      </c>
      <c r="I162" s="57" t="s">
        <v>3992</v>
      </c>
      <c r="J162" s="57" t="s">
        <v>3993</v>
      </c>
      <c r="K162" s="57" t="s">
        <v>3994</v>
      </c>
      <c r="L162" s="111" t="s">
        <v>3995</v>
      </c>
      <c r="N162" s="57">
        <v>5.76</v>
      </c>
      <c r="O162" s="57">
        <v>0</v>
      </c>
      <c r="P162" s="57">
        <v>0</v>
      </c>
      <c r="Q162" s="57">
        <v>0</v>
      </c>
      <c r="R162" s="57">
        <v>0</v>
      </c>
      <c r="S162" s="57">
        <v>70</v>
      </c>
      <c r="T162" s="112">
        <v>70</v>
      </c>
    </row>
    <row r="163" spans="1:20" ht="23.4" x14ac:dyDescent="0.25">
      <c r="A163" s="57">
        <v>162</v>
      </c>
      <c r="B163" s="110">
        <v>244024</v>
      </c>
      <c r="C163" s="57" t="s">
        <v>114</v>
      </c>
      <c r="D163" s="57" t="s">
        <v>115</v>
      </c>
      <c r="E163" s="57" t="s">
        <v>116</v>
      </c>
      <c r="F163" s="57" t="s">
        <v>119</v>
      </c>
      <c r="G163" s="57">
        <v>2</v>
      </c>
      <c r="H163" s="57" t="s">
        <v>117</v>
      </c>
      <c r="I163" s="57" t="s">
        <v>3996</v>
      </c>
      <c r="J163" s="57" t="s">
        <v>3997</v>
      </c>
      <c r="K163" s="57" t="s">
        <v>3998</v>
      </c>
      <c r="L163" s="111" t="s">
        <v>3999</v>
      </c>
      <c r="N163" s="57">
        <v>1.252</v>
      </c>
      <c r="O163" s="57">
        <v>0</v>
      </c>
      <c r="P163" s="57">
        <v>0</v>
      </c>
      <c r="Q163" s="57">
        <v>0</v>
      </c>
      <c r="R163" s="57">
        <v>0</v>
      </c>
      <c r="S163" s="57">
        <v>22</v>
      </c>
      <c r="T163" s="112">
        <v>22</v>
      </c>
    </row>
    <row r="164" spans="1:20" ht="23.4" x14ac:dyDescent="0.25">
      <c r="A164" s="57">
        <v>163</v>
      </c>
      <c r="B164" s="110">
        <v>244024</v>
      </c>
      <c r="C164" s="57" t="s">
        <v>114</v>
      </c>
      <c r="D164" s="57" t="s">
        <v>115</v>
      </c>
      <c r="E164" s="57" t="s">
        <v>116</v>
      </c>
      <c r="F164" s="57" t="s">
        <v>119</v>
      </c>
      <c r="G164" s="57">
        <v>2</v>
      </c>
      <c r="H164" s="57" t="s">
        <v>117</v>
      </c>
      <c r="I164" s="57" t="s">
        <v>4000</v>
      </c>
      <c r="J164" s="57" t="s">
        <v>4001</v>
      </c>
      <c r="K164" s="57" t="s">
        <v>4002</v>
      </c>
      <c r="L164" s="111" t="s">
        <v>4003</v>
      </c>
      <c r="N164" s="57">
        <v>1.218</v>
      </c>
      <c r="O164" s="57">
        <v>230</v>
      </c>
      <c r="P164" s="57">
        <v>3.45</v>
      </c>
      <c r="Q164" s="57">
        <v>0.24149999999999999</v>
      </c>
      <c r="R164" s="57">
        <v>0</v>
      </c>
      <c r="S164" s="57">
        <v>22</v>
      </c>
      <c r="T164" s="112">
        <v>25.69</v>
      </c>
    </row>
    <row r="165" spans="1:20" ht="23.4" x14ac:dyDescent="0.25">
      <c r="A165" s="57">
        <v>164</v>
      </c>
      <c r="B165" s="110">
        <v>244024</v>
      </c>
      <c r="C165" s="57" t="s">
        <v>114</v>
      </c>
      <c r="D165" s="57" t="s">
        <v>115</v>
      </c>
      <c r="E165" s="57" t="s">
        <v>116</v>
      </c>
      <c r="F165" s="57" t="s">
        <v>119</v>
      </c>
      <c r="G165" s="57">
        <v>2</v>
      </c>
      <c r="H165" s="57" t="s">
        <v>117</v>
      </c>
      <c r="I165" s="57" t="s">
        <v>4004</v>
      </c>
      <c r="J165" s="57" t="s">
        <v>4005</v>
      </c>
      <c r="K165" s="57" t="s">
        <v>4006</v>
      </c>
      <c r="L165" s="111" t="s">
        <v>4007</v>
      </c>
      <c r="N165" s="57">
        <v>0.65800000000000003</v>
      </c>
      <c r="O165" s="57">
        <v>0</v>
      </c>
      <c r="P165" s="57">
        <v>0</v>
      </c>
      <c r="Q165" s="57">
        <v>0</v>
      </c>
      <c r="R165" s="57">
        <v>0</v>
      </c>
      <c r="S165" s="57">
        <v>17</v>
      </c>
      <c r="T165" s="112">
        <v>17</v>
      </c>
    </row>
    <row r="166" spans="1:20" ht="23.4" x14ac:dyDescent="0.25">
      <c r="A166" s="57">
        <v>165</v>
      </c>
      <c r="B166" s="110">
        <v>244024</v>
      </c>
      <c r="C166" s="57" t="s">
        <v>114</v>
      </c>
      <c r="D166" s="57" t="s">
        <v>115</v>
      </c>
      <c r="E166" s="57" t="s">
        <v>116</v>
      </c>
      <c r="F166" s="57" t="s">
        <v>119</v>
      </c>
      <c r="G166" s="57">
        <v>2</v>
      </c>
      <c r="H166" s="57" t="s">
        <v>117</v>
      </c>
      <c r="I166" s="57" t="s">
        <v>4008</v>
      </c>
      <c r="J166" s="57" t="s">
        <v>4009</v>
      </c>
      <c r="K166" s="57" t="s">
        <v>4010</v>
      </c>
      <c r="L166" s="111" t="s">
        <v>4011</v>
      </c>
      <c r="N166" s="57">
        <v>1.76</v>
      </c>
      <c r="O166" s="57">
        <v>330</v>
      </c>
      <c r="P166" s="57">
        <v>4.95</v>
      </c>
      <c r="Q166" s="57">
        <v>0.34649999999999997</v>
      </c>
      <c r="R166" s="57">
        <v>0</v>
      </c>
      <c r="S166" s="57">
        <v>22</v>
      </c>
      <c r="T166" s="112">
        <v>27.3</v>
      </c>
    </row>
    <row r="167" spans="1:20" ht="23.4" x14ac:dyDescent="0.25">
      <c r="A167" s="57">
        <v>166</v>
      </c>
      <c r="B167" s="110">
        <v>244024</v>
      </c>
      <c r="C167" s="57" t="s">
        <v>114</v>
      </c>
      <c r="D167" s="57" t="s">
        <v>115</v>
      </c>
      <c r="E167" s="57" t="s">
        <v>116</v>
      </c>
      <c r="F167" s="57" t="s">
        <v>119</v>
      </c>
      <c r="G167" s="57">
        <v>2</v>
      </c>
      <c r="H167" s="57" t="s">
        <v>117</v>
      </c>
      <c r="I167" s="57" t="s">
        <v>4012</v>
      </c>
      <c r="J167" s="57" t="s">
        <v>4013</v>
      </c>
      <c r="K167" s="57" t="s">
        <v>4014</v>
      </c>
      <c r="L167" s="111" t="s">
        <v>4015</v>
      </c>
      <c r="N167" s="57">
        <v>4.0019999999999998</v>
      </c>
      <c r="O167" s="57">
        <v>0</v>
      </c>
      <c r="P167" s="57">
        <v>0</v>
      </c>
      <c r="Q167" s="57">
        <v>0</v>
      </c>
      <c r="R167" s="57">
        <v>0</v>
      </c>
      <c r="S167" s="57">
        <v>53</v>
      </c>
      <c r="T167" s="112">
        <v>53</v>
      </c>
    </row>
    <row r="168" spans="1:20" ht="23.4" x14ac:dyDescent="0.25">
      <c r="A168" s="57">
        <v>167</v>
      </c>
      <c r="B168" s="110">
        <v>244024</v>
      </c>
      <c r="C168" s="57" t="s">
        <v>114</v>
      </c>
      <c r="D168" s="57" t="s">
        <v>115</v>
      </c>
      <c r="E168" s="57" t="s">
        <v>116</v>
      </c>
      <c r="F168" s="57" t="s">
        <v>119</v>
      </c>
      <c r="G168" s="57">
        <v>2</v>
      </c>
      <c r="H168" s="57" t="s">
        <v>117</v>
      </c>
      <c r="I168" s="57" t="s">
        <v>4016</v>
      </c>
      <c r="J168" s="57" t="s">
        <v>4017</v>
      </c>
      <c r="K168" s="57" t="s">
        <v>4018</v>
      </c>
      <c r="L168" s="111" t="s">
        <v>4019</v>
      </c>
      <c r="N168" s="57">
        <v>1.1659999999999999</v>
      </c>
      <c r="O168" s="57">
        <v>0</v>
      </c>
      <c r="P168" s="57">
        <v>0</v>
      </c>
      <c r="Q168" s="57">
        <v>0</v>
      </c>
      <c r="R168" s="57">
        <v>0</v>
      </c>
      <c r="S168" s="57">
        <v>22</v>
      </c>
      <c r="T168" s="112">
        <v>22</v>
      </c>
    </row>
    <row r="169" spans="1:20" ht="23.4" x14ac:dyDescent="0.25">
      <c r="A169" s="57">
        <v>168</v>
      </c>
      <c r="B169" s="110">
        <v>244024</v>
      </c>
      <c r="C169" s="57" t="s">
        <v>114</v>
      </c>
      <c r="D169" s="57" t="s">
        <v>115</v>
      </c>
      <c r="E169" s="57" t="s">
        <v>116</v>
      </c>
      <c r="F169" s="57" t="s">
        <v>119</v>
      </c>
      <c r="G169" s="57">
        <v>2</v>
      </c>
      <c r="H169" s="57" t="s">
        <v>117</v>
      </c>
      <c r="I169" s="57" t="s">
        <v>4020</v>
      </c>
      <c r="J169" s="57" t="s">
        <v>4021</v>
      </c>
      <c r="K169" s="57" t="s">
        <v>4022</v>
      </c>
      <c r="L169" s="111" t="s">
        <v>4023</v>
      </c>
      <c r="N169" s="57">
        <v>1.1619999999999999</v>
      </c>
      <c r="O169" s="57">
        <v>0</v>
      </c>
      <c r="P169" s="57">
        <v>0</v>
      </c>
      <c r="Q169" s="57">
        <v>0</v>
      </c>
      <c r="R169" s="57">
        <v>0</v>
      </c>
      <c r="S169" s="57">
        <v>22</v>
      </c>
      <c r="T169" s="112">
        <v>22</v>
      </c>
    </row>
    <row r="170" spans="1:20" ht="23.4" x14ac:dyDescent="0.25">
      <c r="A170" s="57">
        <v>169</v>
      </c>
      <c r="B170" s="110">
        <v>244024</v>
      </c>
      <c r="C170" s="57" t="s">
        <v>114</v>
      </c>
      <c r="D170" s="57" t="s">
        <v>115</v>
      </c>
      <c r="E170" s="57" t="s">
        <v>116</v>
      </c>
      <c r="F170" s="57" t="s">
        <v>119</v>
      </c>
      <c r="G170" s="57">
        <v>2</v>
      </c>
      <c r="H170" s="57" t="s">
        <v>117</v>
      </c>
      <c r="I170" s="57" t="s">
        <v>4024</v>
      </c>
      <c r="J170" s="57" t="s">
        <v>4025</v>
      </c>
      <c r="K170" s="57" t="s">
        <v>4026</v>
      </c>
      <c r="L170" s="111" t="s">
        <v>4027</v>
      </c>
      <c r="N170" s="57">
        <v>1.1100000000000001</v>
      </c>
      <c r="O170" s="57">
        <v>0</v>
      </c>
      <c r="P170" s="57">
        <v>0</v>
      </c>
      <c r="Q170" s="57">
        <v>0</v>
      </c>
      <c r="R170" s="57">
        <v>0</v>
      </c>
      <c r="S170" s="57">
        <v>22</v>
      </c>
      <c r="T170" s="112">
        <v>22</v>
      </c>
    </row>
    <row r="171" spans="1:20" ht="23.4" x14ac:dyDescent="0.25">
      <c r="A171" s="57">
        <v>170</v>
      </c>
      <c r="B171" s="110">
        <v>244024</v>
      </c>
      <c r="C171" s="57" t="s">
        <v>114</v>
      </c>
      <c r="D171" s="57" t="s">
        <v>115</v>
      </c>
      <c r="E171" s="57" t="s">
        <v>116</v>
      </c>
      <c r="F171" s="57" t="s">
        <v>119</v>
      </c>
      <c r="G171" s="57">
        <v>2</v>
      </c>
      <c r="H171" s="57" t="s">
        <v>117</v>
      </c>
      <c r="I171" s="57" t="s">
        <v>4028</v>
      </c>
      <c r="J171" s="57" t="s">
        <v>4029</v>
      </c>
      <c r="K171" s="57" t="s">
        <v>4030</v>
      </c>
      <c r="L171" s="111" t="s">
        <v>4031</v>
      </c>
      <c r="N171" s="57">
        <v>0.69399999999999995</v>
      </c>
      <c r="O171" s="57">
        <v>0</v>
      </c>
      <c r="P171" s="57">
        <v>0</v>
      </c>
      <c r="Q171" s="57">
        <v>0</v>
      </c>
      <c r="R171" s="57">
        <v>0</v>
      </c>
      <c r="S171" s="57">
        <v>17</v>
      </c>
      <c r="T171" s="112">
        <v>17</v>
      </c>
    </row>
    <row r="172" spans="1:20" ht="23.4" x14ac:dyDescent="0.25">
      <c r="A172" s="57">
        <v>171</v>
      </c>
      <c r="B172" s="110">
        <v>244024</v>
      </c>
      <c r="C172" s="57" t="s">
        <v>114</v>
      </c>
      <c r="D172" s="57" t="s">
        <v>115</v>
      </c>
      <c r="E172" s="57" t="s">
        <v>116</v>
      </c>
      <c r="F172" s="57" t="s">
        <v>119</v>
      </c>
      <c r="G172" s="57">
        <v>2</v>
      </c>
      <c r="H172" s="57" t="s">
        <v>117</v>
      </c>
      <c r="I172" s="57" t="s">
        <v>4032</v>
      </c>
      <c r="J172" s="57" t="s">
        <v>3619</v>
      </c>
      <c r="K172" s="57" t="s">
        <v>3620</v>
      </c>
      <c r="L172" s="111" t="s">
        <v>3621</v>
      </c>
      <c r="N172" s="57">
        <v>1.264</v>
      </c>
      <c r="O172" s="57">
        <v>280</v>
      </c>
      <c r="P172" s="57">
        <v>4.2</v>
      </c>
      <c r="Q172" s="57">
        <v>0.29399999999999998</v>
      </c>
      <c r="R172" s="57">
        <v>0</v>
      </c>
      <c r="S172" s="57">
        <v>22</v>
      </c>
      <c r="T172" s="112">
        <v>26.49</v>
      </c>
    </row>
    <row r="173" spans="1:20" ht="23.4" x14ac:dyDescent="0.25">
      <c r="A173" s="57">
        <v>172</v>
      </c>
      <c r="B173" s="110">
        <v>244024</v>
      </c>
      <c r="C173" s="57" t="s">
        <v>114</v>
      </c>
      <c r="D173" s="57" t="s">
        <v>115</v>
      </c>
      <c r="E173" s="57" t="s">
        <v>116</v>
      </c>
      <c r="F173" s="57" t="s">
        <v>119</v>
      </c>
      <c r="G173" s="57">
        <v>2</v>
      </c>
      <c r="H173" s="57" t="s">
        <v>117</v>
      </c>
      <c r="I173" s="57" t="s">
        <v>4033</v>
      </c>
      <c r="J173" s="57" t="s">
        <v>169</v>
      </c>
      <c r="K173" s="57" t="s">
        <v>131</v>
      </c>
      <c r="L173" s="111" t="s">
        <v>170</v>
      </c>
      <c r="N173" s="57">
        <v>0.68200000000000005</v>
      </c>
      <c r="O173" s="57">
        <v>0</v>
      </c>
      <c r="P173" s="57">
        <v>0</v>
      </c>
      <c r="Q173" s="57">
        <v>0</v>
      </c>
      <c r="R173" s="57">
        <v>0</v>
      </c>
      <c r="S173" s="57">
        <v>17</v>
      </c>
      <c r="T173" s="112">
        <v>17</v>
      </c>
    </row>
    <row r="174" spans="1:20" ht="23.4" x14ac:dyDescent="0.25">
      <c r="A174" s="57">
        <v>173</v>
      </c>
      <c r="B174" s="110">
        <v>244024</v>
      </c>
      <c r="C174" s="57" t="s">
        <v>114</v>
      </c>
      <c r="D174" s="57" t="s">
        <v>115</v>
      </c>
      <c r="E174" s="57" t="s">
        <v>116</v>
      </c>
      <c r="F174" s="57" t="s">
        <v>119</v>
      </c>
      <c r="G174" s="57">
        <v>2</v>
      </c>
      <c r="H174" s="57" t="s">
        <v>117</v>
      </c>
      <c r="I174" s="57" t="s">
        <v>4034</v>
      </c>
      <c r="J174" s="57" t="s">
        <v>4035</v>
      </c>
      <c r="K174" s="57" t="s">
        <v>4036</v>
      </c>
      <c r="L174" s="111" t="s">
        <v>4037</v>
      </c>
      <c r="N174" s="57">
        <v>16.66</v>
      </c>
      <c r="O174" s="57">
        <v>0</v>
      </c>
      <c r="P174" s="57">
        <v>0</v>
      </c>
      <c r="Q174" s="57">
        <v>0</v>
      </c>
      <c r="R174" s="57">
        <v>0</v>
      </c>
      <c r="S174" s="57">
        <v>180</v>
      </c>
      <c r="T174" s="112">
        <v>180</v>
      </c>
    </row>
    <row r="175" spans="1:20" ht="23.4" x14ac:dyDescent="0.25">
      <c r="A175" s="57">
        <v>174</v>
      </c>
      <c r="B175" s="110">
        <v>244024</v>
      </c>
      <c r="C175" s="57" t="s">
        <v>114</v>
      </c>
      <c r="D175" s="57" t="s">
        <v>115</v>
      </c>
      <c r="E175" s="57" t="s">
        <v>116</v>
      </c>
      <c r="F175" s="57" t="s">
        <v>119</v>
      </c>
      <c r="G175" s="57">
        <v>2</v>
      </c>
      <c r="H175" s="57" t="s">
        <v>117</v>
      </c>
      <c r="I175" s="57" t="s">
        <v>4038</v>
      </c>
      <c r="J175" s="57" t="s">
        <v>4039</v>
      </c>
      <c r="K175" s="57" t="s">
        <v>4040</v>
      </c>
      <c r="L175" s="111" t="s">
        <v>4041</v>
      </c>
      <c r="N175" s="57">
        <v>5.79</v>
      </c>
      <c r="O175" s="57">
        <v>0</v>
      </c>
      <c r="P175" s="57">
        <v>0</v>
      </c>
      <c r="Q175" s="57">
        <v>0</v>
      </c>
      <c r="R175" s="57">
        <v>0</v>
      </c>
      <c r="S175" s="57">
        <v>70</v>
      </c>
      <c r="T175" s="112">
        <v>70</v>
      </c>
    </row>
    <row r="176" spans="1:20" ht="23.4" x14ac:dyDescent="0.25">
      <c r="A176" s="57">
        <v>175</v>
      </c>
      <c r="B176" s="110">
        <v>244024</v>
      </c>
      <c r="C176" s="57" t="s">
        <v>114</v>
      </c>
      <c r="D176" s="57" t="s">
        <v>115</v>
      </c>
      <c r="E176" s="57" t="s">
        <v>116</v>
      </c>
      <c r="F176" s="57" t="s">
        <v>119</v>
      </c>
      <c r="G176" s="57">
        <v>2</v>
      </c>
      <c r="H176" s="57" t="s">
        <v>117</v>
      </c>
      <c r="I176" s="57" t="s">
        <v>4042</v>
      </c>
      <c r="J176" s="57" t="s">
        <v>814</v>
      </c>
      <c r="K176" s="57" t="s">
        <v>815</v>
      </c>
      <c r="L176" s="111" t="s">
        <v>816</v>
      </c>
      <c r="N176" s="57">
        <v>0.69599999999999995</v>
      </c>
      <c r="O176" s="57">
        <v>130</v>
      </c>
      <c r="P176" s="57">
        <v>1.95</v>
      </c>
      <c r="Q176" s="57">
        <v>0.13650000000000001</v>
      </c>
      <c r="R176" s="57">
        <v>0</v>
      </c>
      <c r="S176" s="57">
        <v>17</v>
      </c>
      <c r="T176" s="112">
        <v>19.09</v>
      </c>
    </row>
    <row r="177" spans="1:20" ht="23.4" x14ac:dyDescent="0.25">
      <c r="A177" s="57">
        <v>176</v>
      </c>
      <c r="B177" s="110">
        <v>244024</v>
      </c>
      <c r="C177" s="57" t="s">
        <v>114</v>
      </c>
      <c r="D177" s="57" t="s">
        <v>115</v>
      </c>
      <c r="E177" s="57" t="s">
        <v>116</v>
      </c>
      <c r="F177" s="57" t="s">
        <v>119</v>
      </c>
      <c r="G177" s="57">
        <v>2</v>
      </c>
      <c r="H177" s="57" t="s">
        <v>117</v>
      </c>
      <c r="I177" s="57" t="s">
        <v>4043</v>
      </c>
      <c r="J177" s="57" t="s">
        <v>4044</v>
      </c>
      <c r="K177" s="57" t="s">
        <v>4045</v>
      </c>
      <c r="L177" s="111" t="s">
        <v>4046</v>
      </c>
      <c r="N177" s="57">
        <v>0.68400000000000005</v>
      </c>
      <c r="O177" s="57">
        <v>130</v>
      </c>
      <c r="P177" s="57">
        <v>1.95</v>
      </c>
      <c r="Q177" s="57">
        <v>0.13650000000000001</v>
      </c>
      <c r="R177" s="57">
        <v>0</v>
      </c>
      <c r="S177" s="57">
        <v>17</v>
      </c>
      <c r="T177" s="112">
        <v>19.09</v>
      </c>
    </row>
    <row r="178" spans="1:20" ht="23.4" x14ac:dyDescent="0.25">
      <c r="A178" s="57">
        <v>177</v>
      </c>
      <c r="B178" s="110">
        <v>244024</v>
      </c>
      <c r="C178" s="57" t="s">
        <v>114</v>
      </c>
      <c r="D178" s="57" t="s">
        <v>115</v>
      </c>
      <c r="E178" s="57" t="s">
        <v>116</v>
      </c>
      <c r="F178" s="57" t="s">
        <v>119</v>
      </c>
      <c r="G178" s="57">
        <v>2</v>
      </c>
      <c r="H178" s="57" t="s">
        <v>117</v>
      </c>
      <c r="I178" s="57" t="s">
        <v>4047</v>
      </c>
      <c r="J178" s="57" t="s">
        <v>4048</v>
      </c>
      <c r="K178" s="57" t="s">
        <v>4049</v>
      </c>
      <c r="L178" s="111" t="s">
        <v>4050</v>
      </c>
      <c r="N178" s="57">
        <v>1.1180000000000001</v>
      </c>
      <c r="O178" s="57">
        <v>280</v>
      </c>
      <c r="P178" s="57">
        <v>4.2</v>
      </c>
      <c r="Q178" s="57">
        <v>0.29399999999999998</v>
      </c>
      <c r="R178" s="57">
        <v>0</v>
      </c>
      <c r="S178" s="57">
        <v>22</v>
      </c>
      <c r="T178" s="112">
        <v>26.49</v>
      </c>
    </row>
    <row r="179" spans="1:20" ht="23.4" x14ac:dyDescent="0.25">
      <c r="A179" s="57">
        <v>178</v>
      </c>
      <c r="B179" s="110">
        <v>244024</v>
      </c>
      <c r="C179" s="57" t="s">
        <v>114</v>
      </c>
      <c r="D179" s="57" t="s">
        <v>115</v>
      </c>
      <c r="E179" s="57" t="s">
        <v>116</v>
      </c>
      <c r="F179" s="57" t="s">
        <v>119</v>
      </c>
      <c r="G179" s="57">
        <v>2</v>
      </c>
      <c r="H179" s="57" t="s">
        <v>117</v>
      </c>
      <c r="I179" s="57" t="s">
        <v>4051</v>
      </c>
      <c r="J179" s="57" t="s">
        <v>4052</v>
      </c>
      <c r="K179" s="57" t="s">
        <v>4053</v>
      </c>
      <c r="L179" s="111" t="s">
        <v>4054</v>
      </c>
      <c r="N179" s="57">
        <v>1.026</v>
      </c>
      <c r="O179" s="57">
        <v>199</v>
      </c>
      <c r="P179" s="57">
        <v>2.9849999999999999</v>
      </c>
      <c r="Q179" s="57">
        <v>0.20899999999999999</v>
      </c>
      <c r="R179" s="57">
        <v>0</v>
      </c>
      <c r="S179" s="57">
        <v>22</v>
      </c>
      <c r="T179" s="112">
        <v>25.19</v>
      </c>
    </row>
    <row r="180" spans="1:20" ht="23.4" x14ac:dyDescent="0.25">
      <c r="A180" s="57">
        <v>179</v>
      </c>
      <c r="B180" s="110">
        <v>244024</v>
      </c>
      <c r="C180" s="57" t="s">
        <v>114</v>
      </c>
      <c r="D180" s="57" t="s">
        <v>115</v>
      </c>
      <c r="E180" s="57" t="s">
        <v>116</v>
      </c>
      <c r="F180" s="57" t="s">
        <v>119</v>
      </c>
      <c r="G180" s="57">
        <v>2</v>
      </c>
      <c r="H180" s="57" t="s">
        <v>117</v>
      </c>
      <c r="I180" s="57" t="s">
        <v>4055</v>
      </c>
      <c r="J180" s="57" t="s">
        <v>4056</v>
      </c>
      <c r="K180" s="57" t="s">
        <v>4057</v>
      </c>
      <c r="L180" s="111" t="s">
        <v>4058</v>
      </c>
      <c r="N180" s="57">
        <v>1.76</v>
      </c>
      <c r="O180" s="57">
        <v>0</v>
      </c>
      <c r="P180" s="57">
        <v>0</v>
      </c>
      <c r="Q180" s="57">
        <v>0</v>
      </c>
      <c r="R180" s="57">
        <v>0</v>
      </c>
      <c r="S180" s="57">
        <v>22</v>
      </c>
      <c r="T180" s="112">
        <v>22</v>
      </c>
    </row>
    <row r="181" spans="1:20" ht="23.4" x14ac:dyDescent="0.25">
      <c r="A181" s="57">
        <v>180</v>
      </c>
      <c r="B181" s="110">
        <v>244024</v>
      </c>
      <c r="C181" s="57" t="s">
        <v>114</v>
      </c>
      <c r="D181" s="57" t="s">
        <v>115</v>
      </c>
      <c r="E181" s="57" t="s">
        <v>116</v>
      </c>
      <c r="F181" s="57" t="s">
        <v>119</v>
      </c>
      <c r="G181" s="57">
        <v>2</v>
      </c>
      <c r="H181" s="57" t="s">
        <v>117</v>
      </c>
      <c r="I181" s="57" t="s">
        <v>4059</v>
      </c>
      <c r="J181" s="57" t="s">
        <v>4060</v>
      </c>
      <c r="K181" s="57" t="s">
        <v>4061</v>
      </c>
      <c r="L181" s="111" t="s">
        <v>4062</v>
      </c>
      <c r="N181" s="57">
        <v>1.75</v>
      </c>
      <c r="O181" s="57">
        <v>330</v>
      </c>
      <c r="P181" s="57">
        <v>4.95</v>
      </c>
      <c r="Q181" s="57">
        <v>0.34649999999999997</v>
      </c>
      <c r="R181" s="57">
        <v>0</v>
      </c>
      <c r="S181" s="57">
        <v>22</v>
      </c>
      <c r="T181" s="112">
        <v>27.3</v>
      </c>
    </row>
    <row r="182" spans="1:20" ht="23.4" x14ac:dyDescent="0.25">
      <c r="A182" s="57">
        <v>181</v>
      </c>
      <c r="B182" s="110">
        <v>244024</v>
      </c>
      <c r="C182" s="57" t="s">
        <v>114</v>
      </c>
      <c r="D182" s="57" t="s">
        <v>115</v>
      </c>
      <c r="E182" s="57" t="s">
        <v>116</v>
      </c>
      <c r="F182" s="57" t="s">
        <v>119</v>
      </c>
      <c r="G182" s="57">
        <v>2</v>
      </c>
      <c r="H182" s="57" t="s">
        <v>117</v>
      </c>
      <c r="I182" s="57" t="s">
        <v>4063</v>
      </c>
      <c r="J182" s="57" t="s">
        <v>4064</v>
      </c>
      <c r="K182" s="57" t="s">
        <v>4065</v>
      </c>
      <c r="L182" s="111" t="s">
        <v>4066</v>
      </c>
      <c r="N182" s="57">
        <v>1.236</v>
      </c>
      <c r="O182" s="57">
        <v>0</v>
      </c>
      <c r="P182" s="57">
        <v>0</v>
      </c>
      <c r="Q182" s="57">
        <v>0</v>
      </c>
      <c r="R182" s="57">
        <v>0</v>
      </c>
      <c r="S182" s="57">
        <v>22</v>
      </c>
      <c r="T182" s="112">
        <v>22</v>
      </c>
    </row>
    <row r="183" spans="1:20" ht="23.4" x14ac:dyDescent="0.25">
      <c r="A183" s="57">
        <v>182</v>
      </c>
      <c r="B183" s="110">
        <v>244024</v>
      </c>
      <c r="C183" s="57" t="s">
        <v>114</v>
      </c>
      <c r="D183" s="57" t="s">
        <v>115</v>
      </c>
      <c r="E183" s="57" t="s">
        <v>116</v>
      </c>
      <c r="F183" s="57" t="s">
        <v>119</v>
      </c>
      <c r="G183" s="57">
        <v>2</v>
      </c>
      <c r="H183" s="57" t="s">
        <v>117</v>
      </c>
      <c r="I183" s="57" t="s">
        <v>4067</v>
      </c>
      <c r="J183" s="57" t="s">
        <v>4068</v>
      </c>
      <c r="K183" s="57" t="s">
        <v>4069</v>
      </c>
      <c r="L183" s="111" t="s">
        <v>4070</v>
      </c>
      <c r="N183" s="57">
        <v>1.786</v>
      </c>
      <c r="O183" s="57">
        <v>0</v>
      </c>
      <c r="P183" s="57">
        <v>0</v>
      </c>
      <c r="Q183" s="57">
        <v>0</v>
      </c>
      <c r="R183" s="57">
        <v>0</v>
      </c>
      <c r="S183" s="57">
        <v>22</v>
      </c>
      <c r="T183" s="112">
        <v>22</v>
      </c>
    </row>
    <row r="184" spans="1:20" ht="23.4" x14ac:dyDescent="0.25">
      <c r="A184" s="57">
        <v>183</v>
      </c>
      <c r="B184" s="110">
        <v>244024</v>
      </c>
      <c r="C184" s="57" t="s">
        <v>114</v>
      </c>
      <c r="D184" s="57" t="s">
        <v>115</v>
      </c>
      <c r="E184" s="57" t="s">
        <v>116</v>
      </c>
      <c r="F184" s="57" t="s">
        <v>119</v>
      </c>
      <c r="G184" s="57">
        <v>2</v>
      </c>
      <c r="H184" s="57" t="s">
        <v>117</v>
      </c>
      <c r="I184" s="57" t="s">
        <v>4071</v>
      </c>
      <c r="J184" s="57" t="s">
        <v>4072</v>
      </c>
      <c r="K184" s="57" t="s">
        <v>4073</v>
      </c>
      <c r="L184" s="111" t="s">
        <v>4074</v>
      </c>
      <c r="N184" s="57">
        <v>1.748</v>
      </c>
      <c r="O184" s="57">
        <v>330</v>
      </c>
      <c r="P184" s="57">
        <v>4.95</v>
      </c>
      <c r="Q184" s="57">
        <v>0.34649999999999997</v>
      </c>
      <c r="R184" s="57">
        <v>0</v>
      </c>
      <c r="S184" s="57">
        <v>22</v>
      </c>
      <c r="T184" s="112">
        <v>27.3</v>
      </c>
    </row>
    <row r="185" spans="1:20" ht="23.4" x14ac:dyDescent="0.25">
      <c r="A185" s="57">
        <v>184</v>
      </c>
      <c r="B185" s="110">
        <v>244024</v>
      </c>
      <c r="C185" s="57" t="s">
        <v>114</v>
      </c>
      <c r="D185" s="57" t="s">
        <v>115</v>
      </c>
      <c r="E185" s="57" t="s">
        <v>116</v>
      </c>
      <c r="F185" s="57" t="s">
        <v>119</v>
      </c>
      <c r="G185" s="57">
        <v>2</v>
      </c>
      <c r="H185" s="57" t="s">
        <v>117</v>
      </c>
      <c r="I185" s="57" t="s">
        <v>4075</v>
      </c>
      <c r="J185" s="57" t="s">
        <v>4076</v>
      </c>
      <c r="K185" s="57" t="s">
        <v>4077</v>
      </c>
      <c r="L185" s="111" t="s">
        <v>4078</v>
      </c>
      <c r="N185" s="57">
        <v>0.69599999999999995</v>
      </c>
      <c r="O185" s="57">
        <v>130</v>
      </c>
      <c r="P185" s="57">
        <v>1.95</v>
      </c>
      <c r="Q185" s="57">
        <v>0.13650000000000001</v>
      </c>
      <c r="R185" s="57">
        <v>0</v>
      </c>
      <c r="S185" s="57">
        <v>17</v>
      </c>
      <c r="T185" s="112">
        <v>19.09</v>
      </c>
    </row>
    <row r="186" spans="1:20" ht="23.4" x14ac:dyDescent="0.25">
      <c r="A186" s="57">
        <v>185</v>
      </c>
      <c r="B186" s="110">
        <v>244024</v>
      </c>
      <c r="C186" s="57" t="s">
        <v>114</v>
      </c>
      <c r="D186" s="57" t="s">
        <v>115</v>
      </c>
      <c r="E186" s="57" t="s">
        <v>116</v>
      </c>
      <c r="F186" s="57" t="s">
        <v>119</v>
      </c>
      <c r="G186" s="57">
        <v>2</v>
      </c>
      <c r="H186" s="57" t="s">
        <v>117</v>
      </c>
      <c r="I186" s="57" t="s">
        <v>4079</v>
      </c>
      <c r="J186" s="57" t="s">
        <v>4080</v>
      </c>
      <c r="K186" s="57" t="s">
        <v>138</v>
      </c>
      <c r="L186" s="111" t="s">
        <v>4081</v>
      </c>
      <c r="N186" s="57">
        <v>1.29</v>
      </c>
      <c r="O186" s="57">
        <v>230</v>
      </c>
      <c r="P186" s="57">
        <v>3.45</v>
      </c>
      <c r="Q186" s="57">
        <v>0.24149999999999999</v>
      </c>
      <c r="R186" s="57">
        <v>0</v>
      </c>
      <c r="S186" s="57">
        <v>22</v>
      </c>
      <c r="T186" s="112">
        <v>25.69</v>
      </c>
    </row>
    <row r="187" spans="1:20" ht="23.4" x14ac:dyDescent="0.25">
      <c r="A187" s="57">
        <v>186</v>
      </c>
      <c r="B187" s="110">
        <v>244024</v>
      </c>
      <c r="C187" s="57" t="s">
        <v>114</v>
      </c>
      <c r="D187" s="57" t="s">
        <v>115</v>
      </c>
      <c r="E187" s="57" t="s">
        <v>116</v>
      </c>
      <c r="F187" s="57" t="s">
        <v>119</v>
      </c>
      <c r="G187" s="57">
        <v>2</v>
      </c>
      <c r="H187" s="57" t="s">
        <v>117</v>
      </c>
      <c r="I187" s="57" t="s">
        <v>4082</v>
      </c>
      <c r="J187" s="57" t="s">
        <v>4083</v>
      </c>
      <c r="K187" s="57" t="s">
        <v>4084</v>
      </c>
      <c r="L187" s="111" t="s">
        <v>4085</v>
      </c>
      <c r="N187" s="57">
        <v>0.69</v>
      </c>
      <c r="O187" s="57">
        <v>130</v>
      </c>
      <c r="P187" s="57">
        <v>1.95</v>
      </c>
      <c r="Q187" s="57">
        <v>0.13650000000000001</v>
      </c>
      <c r="R187" s="57">
        <v>0</v>
      </c>
      <c r="S187" s="57">
        <v>17</v>
      </c>
      <c r="T187" s="112">
        <v>19.09</v>
      </c>
    </row>
    <row r="188" spans="1:20" ht="23.4" x14ac:dyDescent="0.25">
      <c r="A188" s="57">
        <v>187</v>
      </c>
      <c r="B188" s="110">
        <v>244024</v>
      </c>
      <c r="C188" s="57" t="s">
        <v>114</v>
      </c>
      <c r="D188" s="57" t="s">
        <v>115</v>
      </c>
      <c r="E188" s="57" t="s">
        <v>116</v>
      </c>
      <c r="F188" s="57" t="s">
        <v>119</v>
      </c>
      <c r="G188" s="57">
        <v>2</v>
      </c>
      <c r="H188" s="57" t="s">
        <v>117</v>
      </c>
      <c r="I188" s="57" t="s">
        <v>4086</v>
      </c>
      <c r="J188" s="57" t="s">
        <v>150</v>
      </c>
      <c r="K188" s="57" t="s">
        <v>142</v>
      </c>
      <c r="L188" s="111" t="s">
        <v>257</v>
      </c>
      <c r="N188" s="57">
        <v>0.66200000000000003</v>
      </c>
      <c r="O188" s="57">
        <v>130</v>
      </c>
      <c r="P188" s="57">
        <v>1.95</v>
      </c>
      <c r="Q188" s="57">
        <v>0.13650000000000001</v>
      </c>
      <c r="R188" s="57">
        <v>0</v>
      </c>
      <c r="S188" s="57">
        <v>17</v>
      </c>
      <c r="T188" s="112">
        <v>19.09</v>
      </c>
    </row>
    <row r="189" spans="1:20" ht="23.4" x14ac:dyDescent="0.25">
      <c r="A189" s="57">
        <v>188</v>
      </c>
      <c r="B189" s="110">
        <v>244024</v>
      </c>
      <c r="C189" s="57" t="s">
        <v>114</v>
      </c>
      <c r="D189" s="57" t="s">
        <v>115</v>
      </c>
      <c r="E189" s="57" t="s">
        <v>116</v>
      </c>
      <c r="F189" s="57" t="s">
        <v>119</v>
      </c>
      <c r="G189" s="57">
        <v>2</v>
      </c>
      <c r="H189" s="57" t="s">
        <v>117</v>
      </c>
      <c r="I189" s="57" t="s">
        <v>4087</v>
      </c>
      <c r="J189" s="57" t="s">
        <v>4088</v>
      </c>
      <c r="K189" s="57" t="s">
        <v>4089</v>
      </c>
      <c r="L189" s="111" t="s">
        <v>4090</v>
      </c>
      <c r="N189" s="57">
        <v>0.69599999999999995</v>
      </c>
      <c r="O189" s="57">
        <v>130</v>
      </c>
      <c r="P189" s="57">
        <v>1.95</v>
      </c>
      <c r="Q189" s="57">
        <v>0.13650000000000001</v>
      </c>
      <c r="R189" s="57">
        <v>0</v>
      </c>
      <c r="S189" s="57">
        <v>17</v>
      </c>
      <c r="T189" s="112">
        <v>19.09</v>
      </c>
    </row>
    <row r="190" spans="1:20" ht="23.4" x14ac:dyDescent="0.25">
      <c r="A190" s="57">
        <v>189</v>
      </c>
      <c r="B190" s="110">
        <v>244024</v>
      </c>
      <c r="C190" s="57" t="s">
        <v>114</v>
      </c>
      <c r="D190" s="57" t="s">
        <v>115</v>
      </c>
      <c r="E190" s="57" t="s">
        <v>116</v>
      </c>
      <c r="F190" s="57" t="s">
        <v>119</v>
      </c>
      <c r="G190" s="57">
        <v>2</v>
      </c>
      <c r="H190" s="57" t="s">
        <v>117</v>
      </c>
      <c r="I190" s="57" t="s">
        <v>4091</v>
      </c>
      <c r="J190" s="57" t="s">
        <v>4092</v>
      </c>
      <c r="K190" s="57" t="s">
        <v>4093</v>
      </c>
      <c r="L190" s="111" t="s">
        <v>4094</v>
      </c>
      <c r="N190" s="57">
        <v>1.29</v>
      </c>
      <c r="O190" s="57">
        <v>230</v>
      </c>
      <c r="P190" s="57">
        <v>3.45</v>
      </c>
      <c r="Q190" s="57">
        <v>0.24149999999999999</v>
      </c>
      <c r="R190" s="57">
        <v>0</v>
      </c>
      <c r="S190" s="57">
        <v>22</v>
      </c>
      <c r="T190" s="112">
        <v>25.69</v>
      </c>
    </row>
    <row r="191" spans="1:20" ht="23.4" x14ac:dyDescent="0.25">
      <c r="A191" s="57">
        <v>190</v>
      </c>
      <c r="B191" s="110">
        <v>244024</v>
      </c>
      <c r="C191" s="57" t="s">
        <v>114</v>
      </c>
      <c r="D191" s="57" t="s">
        <v>115</v>
      </c>
      <c r="E191" s="57" t="s">
        <v>116</v>
      </c>
      <c r="F191" s="57" t="s">
        <v>119</v>
      </c>
      <c r="G191" s="57">
        <v>2</v>
      </c>
      <c r="H191" s="57" t="s">
        <v>117</v>
      </c>
      <c r="I191" s="57" t="s">
        <v>4095</v>
      </c>
      <c r="J191" s="57" t="s">
        <v>4096</v>
      </c>
      <c r="K191" s="57" t="s">
        <v>4097</v>
      </c>
      <c r="L191" s="111" t="s">
        <v>4098</v>
      </c>
      <c r="N191" s="57">
        <v>0.64800000000000002</v>
      </c>
      <c r="O191" s="57">
        <v>130</v>
      </c>
      <c r="P191" s="57">
        <v>1.95</v>
      </c>
      <c r="Q191" s="57">
        <v>0.13650000000000001</v>
      </c>
      <c r="R191" s="57">
        <v>0</v>
      </c>
      <c r="S191" s="57">
        <v>17</v>
      </c>
      <c r="T191" s="112">
        <v>19.09</v>
      </c>
    </row>
    <row r="192" spans="1:20" ht="23.4" x14ac:dyDescent="0.25">
      <c r="A192" s="57">
        <v>191</v>
      </c>
      <c r="B192" s="110">
        <v>244024</v>
      </c>
      <c r="C192" s="57" t="s">
        <v>114</v>
      </c>
      <c r="D192" s="57" t="s">
        <v>115</v>
      </c>
      <c r="E192" s="57" t="s">
        <v>116</v>
      </c>
      <c r="F192" s="57" t="s">
        <v>119</v>
      </c>
      <c r="G192" s="57">
        <v>2</v>
      </c>
      <c r="H192" s="57" t="s">
        <v>117</v>
      </c>
      <c r="I192" s="57" t="s">
        <v>4099</v>
      </c>
      <c r="J192" s="57" t="s">
        <v>4100</v>
      </c>
      <c r="K192" s="57" t="s">
        <v>4101</v>
      </c>
      <c r="L192" s="111" t="s">
        <v>4102</v>
      </c>
      <c r="N192" s="57">
        <v>0.69399999999999995</v>
      </c>
      <c r="O192" s="57">
        <v>130</v>
      </c>
      <c r="P192" s="57">
        <v>1.95</v>
      </c>
      <c r="Q192" s="57">
        <v>0.13650000000000001</v>
      </c>
      <c r="R192" s="57">
        <v>0</v>
      </c>
      <c r="S192" s="57">
        <v>17</v>
      </c>
      <c r="T192" s="112">
        <v>19.09</v>
      </c>
    </row>
    <row r="193" spans="1:20" ht="23.4" x14ac:dyDescent="0.25">
      <c r="A193" s="57">
        <v>192</v>
      </c>
      <c r="B193" s="110">
        <v>244024</v>
      </c>
      <c r="C193" s="57" t="s">
        <v>114</v>
      </c>
      <c r="D193" s="57" t="s">
        <v>115</v>
      </c>
      <c r="E193" s="57" t="s">
        <v>116</v>
      </c>
      <c r="F193" s="57" t="s">
        <v>119</v>
      </c>
      <c r="G193" s="57">
        <v>2</v>
      </c>
      <c r="H193" s="57" t="s">
        <v>117</v>
      </c>
      <c r="I193" s="57" t="s">
        <v>4103</v>
      </c>
      <c r="J193" s="57" t="s">
        <v>4104</v>
      </c>
      <c r="K193" s="57" t="s">
        <v>4105</v>
      </c>
      <c r="L193" s="111" t="s">
        <v>4106</v>
      </c>
      <c r="N193" s="57">
        <v>1.278</v>
      </c>
      <c r="O193" s="57">
        <v>230</v>
      </c>
      <c r="P193" s="57">
        <v>3.45</v>
      </c>
      <c r="Q193" s="57">
        <v>0.24149999999999999</v>
      </c>
      <c r="R193" s="57">
        <v>0</v>
      </c>
      <c r="S193" s="57">
        <v>22</v>
      </c>
      <c r="T193" s="112">
        <v>25.69</v>
      </c>
    </row>
    <row r="194" spans="1:20" ht="23.4" x14ac:dyDescent="0.25">
      <c r="A194" s="57">
        <v>193</v>
      </c>
      <c r="B194" s="110">
        <v>244024</v>
      </c>
      <c r="C194" s="57" t="s">
        <v>114</v>
      </c>
      <c r="D194" s="57" t="s">
        <v>115</v>
      </c>
      <c r="E194" s="57" t="s">
        <v>116</v>
      </c>
      <c r="F194" s="57" t="s">
        <v>119</v>
      </c>
      <c r="G194" s="57">
        <v>2</v>
      </c>
      <c r="H194" s="57" t="s">
        <v>117</v>
      </c>
      <c r="I194" s="57" t="s">
        <v>4107</v>
      </c>
      <c r="J194" s="57" t="s">
        <v>4108</v>
      </c>
      <c r="K194" s="57" t="s">
        <v>4109</v>
      </c>
      <c r="L194" s="111" t="s">
        <v>4110</v>
      </c>
      <c r="N194" s="57">
        <v>0.69799999999999995</v>
      </c>
      <c r="O194" s="57">
        <v>0</v>
      </c>
      <c r="P194" s="57">
        <v>0</v>
      </c>
      <c r="Q194" s="57">
        <v>0</v>
      </c>
      <c r="R194" s="57">
        <v>0</v>
      </c>
      <c r="S194" s="57">
        <v>17</v>
      </c>
      <c r="T194" s="112">
        <v>17</v>
      </c>
    </row>
    <row r="195" spans="1:20" ht="23.4" x14ac:dyDescent="0.25">
      <c r="A195" s="57">
        <v>194</v>
      </c>
      <c r="B195" s="110">
        <v>244024</v>
      </c>
      <c r="C195" s="57" t="s">
        <v>114</v>
      </c>
      <c r="D195" s="57" t="s">
        <v>115</v>
      </c>
      <c r="E195" s="57" t="s">
        <v>116</v>
      </c>
      <c r="F195" s="57" t="s">
        <v>119</v>
      </c>
      <c r="G195" s="57">
        <v>2</v>
      </c>
      <c r="H195" s="57" t="s">
        <v>117</v>
      </c>
      <c r="I195" s="57" t="s">
        <v>4111</v>
      </c>
      <c r="J195" s="57" t="s">
        <v>4112</v>
      </c>
      <c r="K195" s="57" t="s">
        <v>4113</v>
      </c>
      <c r="L195" s="111" t="s">
        <v>4114</v>
      </c>
      <c r="N195" s="57">
        <v>0.65600000000000003</v>
      </c>
      <c r="O195" s="57">
        <v>0</v>
      </c>
      <c r="P195" s="57">
        <v>0</v>
      </c>
      <c r="Q195" s="57">
        <v>0</v>
      </c>
      <c r="R195" s="57">
        <v>0</v>
      </c>
      <c r="S195" s="57">
        <v>17</v>
      </c>
      <c r="T195" s="112">
        <v>17</v>
      </c>
    </row>
    <row r="196" spans="1:20" ht="23.4" x14ac:dyDescent="0.25">
      <c r="A196" s="57">
        <v>195</v>
      </c>
      <c r="B196" s="110">
        <v>244024</v>
      </c>
      <c r="C196" s="57" t="s">
        <v>114</v>
      </c>
      <c r="D196" s="57" t="s">
        <v>115</v>
      </c>
      <c r="E196" s="57" t="s">
        <v>116</v>
      </c>
      <c r="F196" s="57" t="s">
        <v>119</v>
      </c>
      <c r="G196" s="57">
        <v>2</v>
      </c>
      <c r="H196" s="57" t="s">
        <v>117</v>
      </c>
      <c r="I196" s="57" t="s">
        <v>4115</v>
      </c>
      <c r="J196" s="57" t="s">
        <v>4116</v>
      </c>
      <c r="K196" s="57" t="s">
        <v>4117</v>
      </c>
      <c r="L196" s="111" t="s">
        <v>4118</v>
      </c>
      <c r="N196" s="57">
        <v>0.66</v>
      </c>
      <c r="O196" s="57">
        <v>0</v>
      </c>
      <c r="P196" s="57">
        <v>0</v>
      </c>
      <c r="Q196" s="57">
        <v>0</v>
      </c>
      <c r="R196" s="57">
        <v>0</v>
      </c>
      <c r="S196" s="57">
        <v>17</v>
      </c>
      <c r="T196" s="112">
        <v>17</v>
      </c>
    </row>
    <row r="197" spans="1:20" ht="23.4" x14ac:dyDescent="0.25">
      <c r="A197" s="57">
        <v>196</v>
      </c>
      <c r="B197" s="110">
        <v>244024</v>
      </c>
      <c r="C197" s="57" t="s">
        <v>114</v>
      </c>
      <c r="D197" s="57" t="s">
        <v>115</v>
      </c>
      <c r="E197" s="57" t="s">
        <v>116</v>
      </c>
      <c r="F197" s="57" t="s">
        <v>119</v>
      </c>
      <c r="G197" s="57">
        <v>2</v>
      </c>
      <c r="H197" s="57" t="s">
        <v>117</v>
      </c>
      <c r="I197" s="57" t="s">
        <v>4119</v>
      </c>
      <c r="J197" s="57" t="s">
        <v>4120</v>
      </c>
      <c r="K197" s="57" t="s">
        <v>2088</v>
      </c>
      <c r="L197" s="111" t="s">
        <v>4121</v>
      </c>
      <c r="N197" s="57">
        <v>3.2120000000000002</v>
      </c>
      <c r="O197" s="57">
        <v>530</v>
      </c>
      <c r="P197" s="57">
        <v>7.95</v>
      </c>
      <c r="Q197" s="57">
        <v>0.55649999999999999</v>
      </c>
      <c r="R197" s="57">
        <v>0</v>
      </c>
      <c r="S197" s="57">
        <v>43</v>
      </c>
      <c r="T197" s="112">
        <v>51.51</v>
      </c>
    </row>
    <row r="198" spans="1:20" ht="23.4" x14ac:dyDescent="0.25">
      <c r="A198" s="57">
        <v>197</v>
      </c>
      <c r="B198" s="110">
        <v>244024</v>
      </c>
      <c r="C198" s="57" t="s">
        <v>114</v>
      </c>
      <c r="D198" s="57" t="s">
        <v>115</v>
      </c>
      <c r="E198" s="57" t="s">
        <v>116</v>
      </c>
      <c r="F198" s="57" t="s">
        <v>119</v>
      </c>
      <c r="G198" s="57">
        <v>2</v>
      </c>
      <c r="H198" s="57" t="s">
        <v>117</v>
      </c>
      <c r="I198" s="57" t="s">
        <v>4122</v>
      </c>
      <c r="J198" s="57" t="s">
        <v>4123</v>
      </c>
      <c r="K198" s="57" t="s">
        <v>4124</v>
      </c>
      <c r="L198" s="111" t="s">
        <v>4125</v>
      </c>
      <c r="N198" s="57">
        <v>0.72799999999999998</v>
      </c>
      <c r="O198" s="57">
        <v>130</v>
      </c>
      <c r="P198" s="57">
        <v>1.95</v>
      </c>
      <c r="Q198" s="57">
        <v>0.13650000000000001</v>
      </c>
      <c r="R198" s="57">
        <v>0</v>
      </c>
      <c r="S198" s="57">
        <v>17</v>
      </c>
      <c r="T198" s="112">
        <v>19.09</v>
      </c>
    </row>
    <row r="199" spans="1:20" ht="23.4" x14ac:dyDescent="0.25">
      <c r="A199" s="57">
        <v>198</v>
      </c>
      <c r="B199" s="110">
        <v>244024</v>
      </c>
      <c r="C199" s="57" t="s">
        <v>114</v>
      </c>
      <c r="D199" s="57" t="s">
        <v>115</v>
      </c>
      <c r="E199" s="57" t="s">
        <v>116</v>
      </c>
      <c r="F199" s="57" t="s">
        <v>119</v>
      </c>
      <c r="G199" s="57">
        <v>2</v>
      </c>
      <c r="H199" s="57" t="s">
        <v>117</v>
      </c>
      <c r="I199" s="57" t="s">
        <v>4126</v>
      </c>
      <c r="J199" s="57" t="s">
        <v>4127</v>
      </c>
      <c r="K199" s="57" t="s">
        <v>4128</v>
      </c>
      <c r="L199" s="111" t="s">
        <v>4129</v>
      </c>
      <c r="N199" s="57">
        <v>1.3520000000000001</v>
      </c>
      <c r="O199" s="57">
        <v>230</v>
      </c>
      <c r="P199" s="57">
        <v>3.45</v>
      </c>
      <c r="Q199" s="57">
        <v>0.24149999999999999</v>
      </c>
      <c r="R199" s="57">
        <v>0</v>
      </c>
      <c r="S199" s="57">
        <v>22</v>
      </c>
      <c r="T199" s="112">
        <v>25.69</v>
      </c>
    </row>
    <row r="200" spans="1:20" ht="23.4" x14ac:dyDescent="0.25">
      <c r="A200" s="57">
        <v>199</v>
      </c>
      <c r="B200" s="110">
        <v>244024</v>
      </c>
      <c r="C200" s="57" t="s">
        <v>114</v>
      </c>
      <c r="D200" s="57" t="s">
        <v>115</v>
      </c>
      <c r="E200" s="57" t="s">
        <v>116</v>
      </c>
      <c r="F200" s="57" t="s">
        <v>119</v>
      </c>
      <c r="G200" s="57">
        <v>2</v>
      </c>
      <c r="H200" s="57" t="s">
        <v>117</v>
      </c>
      <c r="I200" s="57" t="s">
        <v>4130</v>
      </c>
      <c r="J200" s="57" t="s">
        <v>1780</v>
      </c>
      <c r="K200" s="57" t="s">
        <v>1781</v>
      </c>
      <c r="L200" s="111" t="s">
        <v>1782</v>
      </c>
      <c r="N200" s="57">
        <v>1.3320000000000001</v>
      </c>
      <c r="O200" s="57">
        <v>230</v>
      </c>
      <c r="P200" s="57">
        <v>3.45</v>
      </c>
      <c r="Q200" s="57">
        <v>0.24149999999999999</v>
      </c>
      <c r="R200" s="57">
        <v>0</v>
      </c>
      <c r="S200" s="57">
        <v>22</v>
      </c>
      <c r="T200" s="112">
        <v>25.69</v>
      </c>
    </row>
    <row r="201" spans="1:20" ht="23.4" x14ac:dyDescent="0.25">
      <c r="A201" s="57">
        <v>200</v>
      </c>
      <c r="B201" s="110">
        <v>244024</v>
      </c>
      <c r="C201" s="57" t="s">
        <v>114</v>
      </c>
      <c r="D201" s="57" t="s">
        <v>115</v>
      </c>
      <c r="E201" s="57" t="s">
        <v>116</v>
      </c>
      <c r="F201" s="57" t="s">
        <v>119</v>
      </c>
      <c r="G201" s="57">
        <v>2</v>
      </c>
      <c r="H201" s="57" t="s">
        <v>117</v>
      </c>
      <c r="I201" s="57" t="s">
        <v>4131</v>
      </c>
      <c r="J201" s="57" t="s">
        <v>4132</v>
      </c>
      <c r="K201" s="57" t="s">
        <v>4133</v>
      </c>
      <c r="L201" s="111" t="s">
        <v>4134</v>
      </c>
      <c r="N201" s="57">
        <v>1.264</v>
      </c>
      <c r="O201" s="57">
        <v>230</v>
      </c>
      <c r="P201" s="57">
        <v>3.45</v>
      </c>
      <c r="Q201" s="57">
        <v>0.24149999999999999</v>
      </c>
      <c r="R201" s="57">
        <v>0</v>
      </c>
      <c r="S201" s="57">
        <v>22</v>
      </c>
      <c r="T201" s="112">
        <v>25.69</v>
      </c>
    </row>
    <row r="202" spans="1:20" ht="23.4" x14ac:dyDescent="0.25">
      <c r="A202" s="57">
        <v>201</v>
      </c>
      <c r="B202" s="110">
        <v>244024</v>
      </c>
      <c r="C202" s="57" t="s">
        <v>114</v>
      </c>
      <c r="D202" s="57" t="s">
        <v>115</v>
      </c>
      <c r="E202" s="57" t="s">
        <v>116</v>
      </c>
      <c r="F202" s="57" t="s">
        <v>119</v>
      </c>
      <c r="G202" s="57">
        <v>2</v>
      </c>
      <c r="H202" s="57" t="s">
        <v>117</v>
      </c>
      <c r="I202" s="57" t="s">
        <v>4135</v>
      </c>
      <c r="J202" s="57" t="s">
        <v>272</v>
      </c>
      <c r="K202" s="57" t="s">
        <v>273</v>
      </c>
      <c r="L202" s="111" t="s">
        <v>274</v>
      </c>
      <c r="N202" s="57">
        <v>1.3360000000000001</v>
      </c>
      <c r="O202" s="57">
        <v>0</v>
      </c>
      <c r="P202" s="57">
        <v>0</v>
      </c>
      <c r="Q202" s="57">
        <v>0</v>
      </c>
      <c r="R202" s="57">
        <v>0</v>
      </c>
      <c r="S202" s="57">
        <v>22</v>
      </c>
      <c r="T202" s="112">
        <v>22</v>
      </c>
    </row>
    <row r="203" spans="1:20" ht="23.4" x14ac:dyDescent="0.25">
      <c r="A203" s="57">
        <v>202</v>
      </c>
      <c r="B203" s="110">
        <v>244024</v>
      </c>
      <c r="C203" s="57" t="s">
        <v>114</v>
      </c>
      <c r="D203" s="57" t="s">
        <v>115</v>
      </c>
      <c r="E203" s="57" t="s">
        <v>116</v>
      </c>
      <c r="F203" s="57" t="s">
        <v>119</v>
      </c>
      <c r="G203" s="57">
        <v>2</v>
      </c>
      <c r="H203" s="57" t="s">
        <v>117</v>
      </c>
      <c r="I203" s="57" t="s">
        <v>4136</v>
      </c>
      <c r="J203" s="57" t="s">
        <v>1054</v>
      </c>
      <c r="K203" s="57" t="s">
        <v>2609</v>
      </c>
      <c r="L203" s="111" t="s">
        <v>4137</v>
      </c>
      <c r="N203" s="57">
        <v>1.3120000000000001</v>
      </c>
      <c r="O203" s="57">
        <v>0</v>
      </c>
      <c r="P203" s="57">
        <v>0</v>
      </c>
      <c r="Q203" s="57">
        <v>0</v>
      </c>
      <c r="R203" s="57">
        <v>0</v>
      </c>
      <c r="S203" s="57">
        <v>22</v>
      </c>
      <c r="T203" s="112">
        <v>22</v>
      </c>
    </row>
    <row r="204" spans="1:20" ht="23.4" x14ac:dyDescent="0.25">
      <c r="A204" s="57">
        <v>203</v>
      </c>
      <c r="B204" s="110">
        <v>244024</v>
      </c>
      <c r="C204" s="57" t="s">
        <v>114</v>
      </c>
      <c r="D204" s="57" t="s">
        <v>115</v>
      </c>
      <c r="E204" s="57" t="s">
        <v>116</v>
      </c>
      <c r="F204" s="57" t="s">
        <v>119</v>
      </c>
      <c r="G204" s="57">
        <v>2</v>
      </c>
      <c r="H204" s="57" t="s">
        <v>117</v>
      </c>
      <c r="I204" s="57" t="s">
        <v>4138</v>
      </c>
      <c r="J204" s="57" t="s">
        <v>4139</v>
      </c>
      <c r="K204" s="57" t="s">
        <v>4140</v>
      </c>
      <c r="L204" s="111" t="s">
        <v>4141</v>
      </c>
      <c r="N204" s="57">
        <v>0.69799999999999995</v>
      </c>
      <c r="O204" s="57">
        <v>0</v>
      </c>
      <c r="P204" s="57">
        <v>0</v>
      </c>
      <c r="Q204" s="57">
        <v>0</v>
      </c>
      <c r="R204" s="57">
        <v>0</v>
      </c>
      <c r="S204" s="57">
        <v>17</v>
      </c>
      <c r="T204" s="112">
        <v>17</v>
      </c>
    </row>
    <row r="205" spans="1:20" ht="23.4" x14ac:dyDescent="0.25">
      <c r="A205" s="57">
        <v>204</v>
      </c>
      <c r="B205" s="110">
        <v>244024</v>
      </c>
      <c r="C205" s="57" t="s">
        <v>114</v>
      </c>
      <c r="D205" s="57" t="s">
        <v>115</v>
      </c>
      <c r="E205" s="57" t="s">
        <v>116</v>
      </c>
      <c r="F205" s="57" t="s">
        <v>119</v>
      </c>
      <c r="G205" s="57">
        <v>2</v>
      </c>
      <c r="H205" s="57" t="s">
        <v>117</v>
      </c>
      <c r="I205" s="57" t="s">
        <v>4142</v>
      </c>
      <c r="J205" s="57" t="s">
        <v>4143</v>
      </c>
      <c r="K205" s="57" t="s">
        <v>4144</v>
      </c>
      <c r="L205" s="111" t="s">
        <v>4145</v>
      </c>
      <c r="N205" s="57">
        <v>2.4540000000000002</v>
      </c>
      <c r="O205" s="57">
        <v>0</v>
      </c>
      <c r="P205" s="57">
        <v>0</v>
      </c>
      <c r="Q205" s="57">
        <v>0</v>
      </c>
      <c r="R205" s="57">
        <v>0</v>
      </c>
      <c r="S205" s="57">
        <v>33</v>
      </c>
      <c r="T205" s="112">
        <v>33</v>
      </c>
    </row>
    <row r="206" spans="1:20" ht="23.4" x14ac:dyDescent="0.25">
      <c r="A206" s="57">
        <v>205</v>
      </c>
      <c r="B206" s="110">
        <v>244024</v>
      </c>
      <c r="C206" s="57" t="s">
        <v>114</v>
      </c>
      <c r="D206" s="57" t="s">
        <v>115</v>
      </c>
      <c r="E206" s="57" t="s">
        <v>116</v>
      </c>
      <c r="F206" s="57" t="s">
        <v>119</v>
      </c>
      <c r="G206" s="57">
        <v>2</v>
      </c>
      <c r="H206" s="57" t="s">
        <v>117</v>
      </c>
      <c r="I206" s="57" t="s">
        <v>4146</v>
      </c>
      <c r="J206" s="57" t="s">
        <v>4147</v>
      </c>
      <c r="K206" s="57" t="s">
        <v>4148</v>
      </c>
      <c r="L206" s="111" t="s">
        <v>4149</v>
      </c>
      <c r="N206" s="57">
        <v>0.68799999999999994</v>
      </c>
      <c r="O206" s="57">
        <v>0</v>
      </c>
      <c r="P206" s="57">
        <v>0</v>
      </c>
      <c r="Q206" s="57">
        <v>0</v>
      </c>
      <c r="R206" s="57">
        <v>0</v>
      </c>
      <c r="S206" s="57">
        <v>17</v>
      </c>
      <c r="T206" s="112">
        <v>17</v>
      </c>
    </row>
    <row r="207" spans="1:20" ht="23.4" x14ac:dyDescent="0.25">
      <c r="A207" s="57">
        <v>206</v>
      </c>
      <c r="B207" s="110">
        <v>244026</v>
      </c>
      <c r="C207" s="57" t="s">
        <v>114</v>
      </c>
      <c r="D207" s="57" t="s">
        <v>115</v>
      </c>
      <c r="E207" s="57" t="s">
        <v>116</v>
      </c>
      <c r="F207" s="57" t="s">
        <v>119</v>
      </c>
      <c r="G207" s="57">
        <v>2</v>
      </c>
      <c r="H207" s="57" t="s">
        <v>117</v>
      </c>
      <c r="I207" s="57" t="s">
        <v>4150</v>
      </c>
      <c r="J207" s="57" t="s">
        <v>4151</v>
      </c>
      <c r="K207" s="57" t="s">
        <v>4152</v>
      </c>
      <c r="L207" s="111" t="s">
        <v>4153</v>
      </c>
      <c r="N207" s="57">
        <v>1.03</v>
      </c>
      <c r="O207" s="57">
        <v>230</v>
      </c>
      <c r="P207" s="57">
        <v>3.45</v>
      </c>
      <c r="Q207" s="57">
        <v>0.24149999999999999</v>
      </c>
      <c r="R207" s="57">
        <v>0</v>
      </c>
      <c r="S207" s="57">
        <v>22</v>
      </c>
      <c r="T207" s="112">
        <v>25.69</v>
      </c>
    </row>
    <row r="208" spans="1:20" ht="23.4" x14ac:dyDescent="0.25">
      <c r="A208" s="57">
        <v>207</v>
      </c>
      <c r="B208" s="110">
        <v>244208</v>
      </c>
      <c r="C208" s="57" t="s">
        <v>114</v>
      </c>
      <c r="D208" s="57" t="s">
        <v>115</v>
      </c>
      <c r="E208" s="57" t="s">
        <v>116</v>
      </c>
      <c r="F208" s="57" t="s">
        <v>119</v>
      </c>
      <c r="G208" s="57">
        <v>2</v>
      </c>
      <c r="H208" s="57" t="s">
        <v>117</v>
      </c>
      <c r="I208" s="57" t="s">
        <v>4154</v>
      </c>
      <c r="J208" s="57" t="s">
        <v>4155</v>
      </c>
      <c r="K208" s="57" t="s">
        <v>4156</v>
      </c>
      <c r="L208" s="111" t="s">
        <v>4157</v>
      </c>
      <c r="N208" s="57">
        <v>1.736</v>
      </c>
      <c r="O208" s="57">
        <v>330</v>
      </c>
      <c r="P208" s="57">
        <v>4.95</v>
      </c>
      <c r="Q208" s="57">
        <v>0.34649999999999997</v>
      </c>
      <c r="R208" s="57">
        <v>0</v>
      </c>
      <c r="S208" s="57">
        <v>22</v>
      </c>
      <c r="T208" s="112">
        <v>27.3</v>
      </c>
    </row>
    <row r="209" spans="1:20" ht="23.4" x14ac:dyDescent="0.25">
      <c r="A209" s="57">
        <v>208</v>
      </c>
      <c r="B209" s="110">
        <v>244026</v>
      </c>
      <c r="C209" s="57" t="s">
        <v>114</v>
      </c>
      <c r="D209" s="57" t="s">
        <v>115</v>
      </c>
      <c r="E209" s="57" t="s">
        <v>116</v>
      </c>
      <c r="F209" s="57" t="s">
        <v>119</v>
      </c>
      <c r="G209" s="57">
        <v>2</v>
      </c>
      <c r="H209" s="57" t="s">
        <v>117</v>
      </c>
      <c r="I209" s="57" t="s">
        <v>4158</v>
      </c>
      <c r="J209" s="57" t="s">
        <v>4159</v>
      </c>
      <c r="K209" s="57" t="s">
        <v>3611</v>
      </c>
      <c r="L209" s="111" t="s">
        <v>4160</v>
      </c>
      <c r="N209" s="57">
        <v>0.67200000000000004</v>
      </c>
      <c r="O209" s="57">
        <v>130</v>
      </c>
      <c r="P209" s="57">
        <v>1.95</v>
      </c>
      <c r="Q209" s="57">
        <v>0.13650000000000001</v>
      </c>
      <c r="R209" s="57">
        <v>0</v>
      </c>
      <c r="S209" s="57">
        <v>17</v>
      </c>
      <c r="T209" s="112">
        <v>19.09</v>
      </c>
    </row>
    <row r="210" spans="1:20" ht="23.4" x14ac:dyDescent="0.25">
      <c r="A210" s="57">
        <v>209</v>
      </c>
      <c r="B210" s="110">
        <v>244026</v>
      </c>
      <c r="C210" s="57" t="s">
        <v>114</v>
      </c>
      <c r="D210" s="57" t="s">
        <v>115</v>
      </c>
      <c r="E210" s="57" t="s">
        <v>116</v>
      </c>
      <c r="F210" s="57" t="s">
        <v>119</v>
      </c>
      <c r="G210" s="57">
        <v>2</v>
      </c>
      <c r="H210" s="57" t="s">
        <v>117</v>
      </c>
      <c r="I210" s="57" t="s">
        <v>4161</v>
      </c>
      <c r="J210" s="57" t="s">
        <v>4162</v>
      </c>
      <c r="K210" s="57" t="s">
        <v>4163</v>
      </c>
      <c r="L210" s="111" t="s">
        <v>4164</v>
      </c>
      <c r="N210" s="57">
        <v>1.216</v>
      </c>
      <c r="O210" s="57">
        <v>230</v>
      </c>
      <c r="P210" s="57">
        <v>3.45</v>
      </c>
      <c r="Q210" s="57">
        <v>0.24149999999999999</v>
      </c>
      <c r="R210" s="57">
        <v>0</v>
      </c>
      <c r="S210" s="57">
        <v>22</v>
      </c>
      <c r="T210" s="112">
        <v>25.69</v>
      </c>
    </row>
    <row r="211" spans="1:20" ht="23.4" x14ac:dyDescent="0.25">
      <c r="A211" s="57">
        <v>210</v>
      </c>
      <c r="B211" s="110">
        <v>244026</v>
      </c>
      <c r="C211" s="57" t="s">
        <v>114</v>
      </c>
      <c r="D211" s="57" t="s">
        <v>115</v>
      </c>
      <c r="E211" s="57" t="s">
        <v>116</v>
      </c>
      <c r="F211" s="57" t="s">
        <v>119</v>
      </c>
      <c r="G211" s="57">
        <v>2</v>
      </c>
      <c r="H211" s="57" t="s">
        <v>117</v>
      </c>
      <c r="I211" s="57" t="s">
        <v>4165</v>
      </c>
      <c r="J211" s="57" t="s">
        <v>4166</v>
      </c>
      <c r="K211" s="57" t="s">
        <v>4167</v>
      </c>
      <c r="L211" s="111" t="s">
        <v>4168</v>
      </c>
      <c r="N211" s="57">
        <v>0.66600000000000004</v>
      </c>
      <c r="O211" s="57">
        <v>130</v>
      </c>
      <c r="P211" s="57">
        <v>1.95</v>
      </c>
      <c r="Q211" s="57">
        <v>0.13650000000000001</v>
      </c>
      <c r="R211" s="57">
        <v>0</v>
      </c>
      <c r="S211" s="57">
        <v>17</v>
      </c>
      <c r="T211" s="112">
        <v>19.09</v>
      </c>
    </row>
    <row r="212" spans="1:20" ht="23.4" x14ac:dyDescent="0.25">
      <c r="A212" s="57">
        <v>211</v>
      </c>
      <c r="B212" s="110">
        <v>244026</v>
      </c>
      <c r="C212" s="57" t="s">
        <v>114</v>
      </c>
      <c r="D212" s="57" t="s">
        <v>115</v>
      </c>
      <c r="E212" s="57" t="s">
        <v>116</v>
      </c>
      <c r="F212" s="57" t="s">
        <v>119</v>
      </c>
      <c r="G212" s="57">
        <v>2</v>
      </c>
      <c r="H212" s="57" t="s">
        <v>117</v>
      </c>
      <c r="I212" s="57" t="s">
        <v>4169</v>
      </c>
      <c r="J212" s="57" t="s">
        <v>4170</v>
      </c>
      <c r="K212" s="57" t="s">
        <v>4171</v>
      </c>
      <c r="L212" s="111" t="s">
        <v>4172</v>
      </c>
      <c r="N212" s="57">
        <v>0.68200000000000005</v>
      </c>
      <c r="O212" s="57">
        <v>0</v>
      </c>
      <c r="P212" s="57">
        <v>0</v>
      </c>
      <c r="Q212" s="57">
        <v>0</v>
      </c>
      <c r="R212" s="57">
        <v>0</v>
      </c>
      <c r="S212" s="57">
        <v>17</v>
      </c>
      <c r="T212" s="112">
        <v>17</v>
      </c>
    </row>
    <row r="213" spans="1:20" ht="23.4" x14ac:dyDescent="0.25">
      <c r="A213" s="57">
        <v>212</v>
      </c>
      <c r="B213" s="110">
        <v>244026</v>
      </c>
      <c r="C213" s="57" t="s">
        <v>114</v>
      </c>
      <c r="D213" s="57" t="s">
        <v>115</v>
      </c>
      <c r="E213" s="57" t="s">
        <v>116</v>
      </c>
      <c r="F213" s="57" t="s">
        <v>119</v>
      </c>
      <c r="G213" s="57">
        <v>2</v>
      </c>
      <c r="H213" s="57" t="s">
        <v>117</v>
      </c>
      <c r="I213" s="57" t="s">
        <v>4173</v>
      </c>
      <c r="J213" s="57" t="s">
        <v>4174</v>
      </c>
      <c r="K213" s="57" t="s">
        <v>4175</v>
      </c>
      <c r="L213" s="111" t="s">
        <v>4176</v>
      </c>
      <c r="N213" s="57">
        <v>1.27</v>
      </c>
      <c r="O213" s="57">
        <v>0</v>
      </c>
      <c r="P213" s="57">
        <v>0</v>
      </c>
      <c r="Q213" s="57">
        <v>0</v>
      </c>
      <c r="R213" s="57">
        <v>0</v>
      </c>
      <c r="S213" s="57">
        <v>22</v>
      </c>
      <c r="T213" s="112">
        <v>22</v>
      </c>
    </row>
    <row r="214" spans="1:20" ht="23.4" x14ac:dyDescent="0.25">
      <c r="A214" s="57">
        <v>213</v>
      </c>
      <c r="B214" s="110">
        <v>244026</v>
      </c>
      <c r="C214" s="57" t="s">
        <v>114</v>
      </c>
      <c r="D214" s="57" t="s">
        <v>115</v>
      </c>
      <c r="E214" s="57" t="s">
        <v>116</v>
      </c>
      <c r="F214" s="57" t="s">
        <v>119</v>
      </c>
      <c r="G214" s="57">
        <v>2</v>
      </c>
      <c r="H214" s="57" t="s">
        <v>117</v>
      </c>
      <c r="I214" s="57" t="s">
        <v>4177</v>
      </c>
      <c r="J214" s="57" t="s">
        <v>4178</v>
      </c>
      <c r="K214" s="57" t="s">
        <v>4179</v>
      </c>
      <c r="L214" s="111" t="s">
        <v>4180</v>
      </c>
      <c r="N214" s="57">
        <v>1.28</v>
      </c>
      <c r="O214" s="57">
        <v>0</v>
      </c>
      <c r="P214" s="57">
        <v>0</v>
      </c>
      <c r="Q214" s="57">
        <v>0</v>
      </c>
      <c r="R214" s="57">
        <v>0</v>
      </c>
      <c r="S214" s="57">
        <v>22</v>
      </c>
      <c r="T214" s="112">
        <v>22</v>
      </c>
    </row>
    <row r="215" spans="1:20" ht="23.4" x14ac:dyDescent="0.25">
      <c r="A215" s="57">
        <v>214</v>
      </c>
      <c r="B215" s="110">
        <v>244026</v>
      </c>
      <c r="C215" s="57" t="s">
        <v>114</v>
      </c>
      <c r="D215" s="57" t="s">
        <v>115</v>
      </c>
      <c r="E215" s="57" t="s">
        <v>116</v>
      </c>
      <c r="F215" s="57" t="s">
        <v>119</v>
      </c>
      <c r="G215" s="57">
        <v>2</v>
      </c>
      <c r="H215" s="57" t="s">
        <v>117</v>
      </c>
      <c r="I215" s="57" t="s">
        <v>4181</v>
      </c>
      <c r="J215" s="57" t="s">
        <v>4182</v>
      </c>
      <c r="K215" s="57" t="s">
        <v>4183</v>
      </c>
      <c r="L215" s="111" t="s">
        <v>4184</v>
      </c>
      <c r="N215" s="57">
        <v>3.012</v>
      </c>
      <c r="O215" s="57">
        <v>0</v>
      </c>
      <c r="P215" s="57">
        <v>0</v>
      </c>
      <c r="Q215" s="57">
        <v>0</v>
      </c>
      <c r="R215" s="57">
        <v>0</v>
      </c>
      <c r="S215" s="57">
        <v>43</v>
      </c>
      <c r="T215" s="112">
        <v>43</v>
      </c>
    </row>
    <row r="216" spans="1:20" ht="23.4" x14ac:dyDescent="0.25">
      <c r="A216" s="57">
        <v>215</v>
      </c>
      <c r="B216" s="110">
        <v>244026</v>
      </c>
      <c r="C216" s="57" t="s">
        <v>114</v>
      </c>
      <c r="D216" s="57" t="s">
        <v>115</v>
      </c>
      <c r="E216" s="57" t="s">
        <v>116</v>
      </c>
      <c r="F216" s="57" t="s">
        <v>119</v>
      </c>
      <c r="G216" s="57">
        <v>2</v>
      </c>
      <c r="H216" s="57" t="s">
        <v>117</v>
      </c>
      <c r="I216" s="57" t="s">
        <v>4185</v>
      </c>
      <c r="J216" s="57" t="s">
        <v>4186</v>
      </c>
      <c r="K216" s="57" t="s">
        <v>4187</v>
      </c>
      <c r="L216" s="111" t="s">
        <v>4188</v>
      </c>
      <c r="N216" s="57">
        <v>3.17</v>
      </c>
      <c r="O216" s="57">
        <v>0</v>
      </c>
      <c r="P216" s="57">
        <v>0</v>
      </c>
      <c r="Q216" s="57">
        <v>0</v>
      </c>
      <c r="R216" s="57">
        <v>0</v>
      </c>
      <c r="S216" s="57">
        <v>43</v>
      </c>
      <c r="T216" s="112">
        <v>43</v>
      </c>
    </row>
    <row r="217" spans="1:20" ht="23.4" x14ac:dyDescent="0.25">
      <c r="A217" s="57">
        <v>216</v>
      </c>
      <c r="B217" s="110">
        <v>244026</v>
      </c>
      <c r="C217" s="57" t="s">
        <v>114</v>
      </c>
      <c r="D217" s="57" t="s">
        <v>115</v>
      </c>
      <c r="E217" s="57" t="s">
        <v>116</v>
      </c>
      <c r="F217" s="57" t="s">
        <v>119</v>
      </c>
      <c r="G217" s="57">
        <v>2</v>
      </c>
      <c r="H217" s="57" t="s">
        <v>117</v>
      </c>
      <c r="I217" s="57" t="s">
        <v>4189</v>
      </c>
      <c r="J217" s="57" t="s">
        <v>4190</v>
      </c>
      <c r="K217" s="57" t="s">
        <v>4191</v>
      </c>
      <c r="L217" s="111" t="s">
        <v>4192</v>
      </c>
      <c r="N217" s="57">
        <v>0.69</v>
      </c>
      <c r="O217" s="57">
        <v>0</v>
      </c>
      <c r="P217" s="57">
        <v>0</v>
      </c>
      <c r="Q217" s="57">
        <v>0</v>
      </c>
      <c r="R217" s="57">
        <v>0</v>
      </c>
      <c r="S217" s="57">
        <v>17</v>
      </c>
      <c r="T217" s="112">
        <v>17</v>
      </c>
    </row>
    <row r="218" spans="1:20" ht="23.4" x14ac:dyDescent="0.25">
      <c r="A218" s="57">
        <v>217</v>
      </c>
      <c r="B218" s="110">
        <v>244026</v>
      </c>
      <c r="C218" s="57" t="s">
        <v>114</v>
      </c>
      <c r="D218" s="57" t="s">
        <v>115</v>
      </c>
      <c r="E218" s="57" t="s">
        <v>116</v>
      </c>
      <c r="F218" s="57" t="s">
        <v>119</v>
      </c>
      <c r="G218" s="57">
        <v>2</v>
      </c>
      <c r="H218" s="57" t="s">
        <v>117</v>
      </c>
      <c r="I218" s="57" t="s">
        <v>4193</v>
      </c>
      <c r="J218" s="57" t="s">
        <v>4194</v>
      </c>
      <c r="K218" s="57" t="s">
        <v>3545</v>
      </c>
      <c r="L218" s="111" t="s">
        <v>4195</v>
      </c>
      <c r="N218" s="57">
        <v>1.6220000000000001</v>
      </c>
      <c r="O218" s="57">
        <v>0</v>
      </c>
      <c r="P218" s="57">
        <v>0</v>
      </c>
      <c r="Q218" s="57">
        <v>0</v>
      </c>
      <c r="R218" s="57">
        <v>0</v>
      </c>
      <c r="S218" s="57">
        <v>22</v>
      </c>
      <c r="T218" s="112">
        <v>22</v>
      </c>
    </row>
    <row r="219" spans="1:20" ht="23.4" x14ac:dyDescent="0.25">
      <c r="A219" s="57">
        <v>218</v>
      </c>
      <c r="B219" s="110">
        <v>244026</v>
      </c>
      <c r="C219" s="57" t="s">
        <v>114</v>
      </c>
      <c r="D219" s="57" t="s">
        <v>115</v>
      </c>
      <c r="E219" s="57" t="s">
        <v>116</v>
      </c>
      <c r="F219" s="57" t="s">
        <v>119</v>
      </c>
      <c r="G219" s="57">
        <v>2</v>
      </c>
      <c r="H219" s="57" t="s">
        <v>117</v>
      </c>
      <c r="I219" s="57" t="s">
        <v>4196</v>
      </c>
      <c r="J219" s="57" t="s">
        <v>4197</v>
      </c>
      <c r="K219" s="57" t="s">
        <v>4198</v>
      </c>
      <c r="L219" s="111" t="s">
        <v>4199</v>
      </c>
      <c r="N219" s="57">
        <v>2.0019999999999998</v>
      </c>
      <c r="O219" s="57">
        <v>0</v>
      </c>
      <c r="P219" s="57">
        <v>0</v>
      </c>
      <c r="Q219" s="57">
        <v>0</v>
      </c>
      <c r="R219" s="57">
        <v>0</v>
      </c>
      <c r="S219" s="57">
        <v>33</v>
      </c>
      <c r="T219" s="112">
        <v>33</v>
      </c>
    </row>
    <row r="220" spans="1:20" ht="23.4" x14ac:dyDescent="0.25">
      <c r="A220" s="57">
        <v>219</v>
      </c>
      <c r="B220" s="110">
        <v>244026</v>
      </c>
      <c r="C220" s="57" t="s">
        <v>114</v>
      </c>
      <c r="D220" s="57" t="s">
        <v>115</v>
      </c>
      <c r="E220" s="57" t="s">
        <v>116</v>
      </c>
      <c r="F220" s="57" t="s">
        <v>119</v>
      </c>
      <c r="G220" s="57">
        <v>2</v>
      </c>
      <c r="H220" s="57" t="s">
        <v>117</v>
      </c>
      <c r="I220" s="57" t="s">
        <v>4200</v>
      </c>
      <c r="J220" s="57" t="s">
        <v>4201</v>
      </c>
      <c r="K220" s="57" t="s">
        <v>4202</v>
      </c>
      <c r="L220" s="111" t="s">
        <v>4203</v>
      </c>
      <c r="N220" s="57">
        <v>1.208</v>
      </c>
      <c r="O220" s="57">
        <v>0</v>
      </c>
      <c r="P220" s="57">
        <v>0</v>
      </c>
      <c r="Q220" s="57">
        <v>0</v>
      </c>
      <c r="R220" s="57">
        <v>0</v>
      </c>
      <c r="S220" s="57">
        <v>22</v>
      </c>
      <c r="T220" s="112">
        <v>22</v>
      </c>
    </row>
    <row r="221" spans="1:20" ht="23.4" x14ac:dyDescent="0.25">
      <c r="A221" s="57">
        <v>220</v>
      </c>
      <c r="B221" s="110">
        <v>244026</v>
      </c>
      <c r="C221" s="57" t="s">
        <v>114</v>
      </c>
      <c r="D221" s="57" t="s">
        <v>115</v>
      </c>
      <c r="E221" s="57" t="s">
        <v>116</v>
      </c>
      <c r="F221" s="57" t="s">
        <v>119</v>
      </c>
      <c r="G221" s="57">
        <v>2</v>
      </c>
      <c r="H221" s="57" t="s">
        <v>117</v>
      </c>
      <c r="I221" s="57" t="s">
        <v>4204</v>
      </c>
      <c r="J221" s="57" t="s">
        <v>4205</v>
      </c>
      <c r="K221" s="57" t="s">
        <v>4206</v>
      </c>
      <c r="L221" s="111" t="s">
        <v>4207</v>
      </c>
      <c r="N221" s="57">
        <v>0.66400000000000003</v>
      </c>
      <c r="O221" s="57">
        <v>0</v>
      </c>
      <c r="P221" s="57">
        <v>0</v>
      </c>
      <c r="Q221" s="57">
        <v>0</v>
      </c>
      <c r="R221" s="57">
        <v>0</v>
      </c>
      <c r="S221" s="57">
        <v>17</v>
      </c>
      <c r="T221" s="112">
        <v>17</v>
      </c>
    </row>
    <row r="222" spans="1:20" ht="23.4" x14ac:dyDescent="0.25">
      <c r="A222" s="57">
        <v>221</v>
      </c>
      <c r="B222" s="110">
        <v>244026</v>
      </c>
      <c r="C222" s="57" t="s">
        <v>114</v>
      </c>
      <c r="D222" s="57" t="s">
        <v>115</v>
      </c>
      <c r="E222" s="57" t="s">
        <v>116</v>
      </c>
      <c r="F222" s="57" t="s">
        <v>119</v>
      </c>
      <c r="G222" s="57">
        <v>2</v>
      </c>
      <c r="H222" s="57" t="s">
        <v>117</v>
      </c>
      <c r="I222" s="57" t="s">
        <v>4208</v>
      </c>
      <c r="J222" s="57" t="s">
        <v>4209</v>
      </c>
      <c r="K222" s="57" t="s">
        <v>4210</v>
      </c>
      <c r="L222" s="111" t="s">
        <v>4211</v>
      </c>
      <c r="N222" s="57">
        <v>0.69</v>
      </c>
      <c r="O222" s="57">
        <v>130</v>
      </c>
      <c r="P222" s="57">
        <v>1.95</v>
      </c>
      <c r="Q222" s="57">
        <v>0.13650000000000001</v>
      </c>
      <c r="R222" s="57">
        <v>0</v>
      </c>
      <c r="S222" s="57">
        <v>17</v>
      </c>
      <c r="T222" s="112">
        <v>19.09</v>
      </c>
    </row>
    <row r="223" spans="1:20" ht="23.4" x14ac:dyDescent="0.25">
      <c r="A223" s="57">
        <v>222</v>
      </c>
      <c r="B223" s="110">
        <v>244026</v>
      </c>
      <c r="C223" s="57" t="s">
        <v>114</v>
      </c>
      <c r="D223" s="57" t="s">
        <v>115</v>
      </c>
      <c r="E223" s="57" t="s">
        <v>116</v>
      </c>
      <c r="F223" s="57" t="s">
        <v>119</v>
      </c>
      <c r="G223" s="57">
        <v>2</v>
      </c>
      <c r="H223" s="57" t="s">
        <v>117</v>
      </c>
      <c r="I223" s="57" t="s">
        <v>4212</v>
      </c>
      <c r="J223" s="57" t="s">
        <v>4213</v>
      </c>
      <c r="K223" s="57" t="s">
        <v>4214</v>
      </c>
      <c r="L223" s="111" t="s">
        <v>4215</v>
      </c>
      <c r="N223" s="57">
        <v>0.72399999999999998</v>
      </c>
      <c r="O223" s="57">
        <v>130</v>
      </c>
      <c r="P223" s="57">
        <v>1.95</v>
      </c>
      <c r="Q223" s="57">
        <v>0.13650000000000001</v>
      </c>
      <c r="R223" s="57">
        <v>0</v>
      </c>
      <c r="S223" s="57">
        <v>17</v>
      </c>
      <c r="T223" s="112">
        <v>19.09</v>
      </c>
    </row>
    <row r="224" spans="1:20" ht="23.4" x14ac:dyDescent="0.25">
      <c r="A224" s="57">
        <v>223</v>
      </c>
      <c r="B224" s="110">
        <v>244026</v>
      </c>
      <c r="C224" s="57" t="s">
        <v>114</v>
      </c>
      <c r="D224" s="57" t="s">
        <v>115</v>
      </c>
      <c r="E224" s="57" t="s">
        <v>116</v>
      </c>
      <c r="F224" s="57" t="s">
        <v>119</v>
      </c>
      <c r="G224" s="57">
        <v>2</v>
      </c>
      <c r="H224" s="57" t="s">
        <v>117</v>
      </c>
      <c r="I224" s="57" t="s">
        <v>4216</v>
      </c>
      <c r="J224" s="57" t="s">
        <v>4217</v>
      </c>
      <c r="K224" s="57" t="s">
        <v>4218</v>
      </c>
      <c r="L224" s="111" t="s">
        <v>4219</v>
      </c>
      <c r="N224" s="57">
        <v>0.67600000000000005</v>
      </c>
      <c r="O224" s="57">
        <v>130</v>
      </c>
      <c r="P224" s="57">
        <v>1.95</v>
      </c>
      <c r="Q224" s="57">
        <v>0.13650000000000001</v>
      </c>
      <c r="R224" s="57">
        <v>0</v>
      </c>
      <c r="S224" s="57">
        <v>17</v>
      </c>
      <c r="T224" s="112">
        <v>19.09</v>
      </c>
    </row>
    <row r="225" spans="1:20" ht="23.4" x14ac:dyDescent="0.25">
      <c r="A225" s="57">
        <v>224</v>
      </c>
      <c r="B225" s="110">
        <v>244026</v>
      </c>
      <c r="C225" s="57" t="s">
        <v>114</v>
      </c>
      <c r="D225" s="57" t="s">
        <v>115</v>
      </c>
      <c r="E225" s="57" t="s">
        <v>116</v>
      </c>
      <c r="F225" s="57" t="s">
        <v>119</v>
      </c>
      <c r="G225" s="57">
        <v>2</v>
      </c>
      <c r="H225" s="57" t="s">
        <v>117</v>
      </c>
      <c r="I225" s="57" t="s">
        <v>4220</v>
      </c>
      <c r="J225" s="57" t="s">
        <v>4221</v>
      </c>
      <c r="K225" s="57" t="s">
        <v>4222</v>
      </c>
      <c r="L225" s="111" t="s">
        <v>4223</v>
      </c>
      <c r="N225" s="57">
        <v>0.68799999999999994</v>
      </c>
      <c r="O225" s="57">
        <v>130</v>
      </c>
      <c r="P225" s="57">
        <v>1.95</v>
      </c>
      <c r="Q225" s="57">
        <v>0.13650000000000001</v>
      </c>
      <c r="R225" s="57">
        <v>0</v>
      </c>
      <c r="S225" s="57">
        <v>17</v>
      </c>
      <c r="T225" s="112">
        <v>19.09</v>
      </c>
    </row>
    <row r="226" spans="1:20" ht="23.4" x14ac:dyDescent="0.25">
      <c r="A226" s="57">
        <v>225</v>
      </c>
      <c r="B226" s="110">
        <v>244026</v>
      </c>
      <c r="C226" s="57" t="s">
        <v>114</v>
      </c>
      <c r="D226" s="57" t="s">
        <v>115</v>
      </c>
      <c r="E226" s="57" t="s">
        <v>116</v>
      </c>
      <c r="F226" s="57" t="s">
        <v>119</v>
      </c>
      <c r="G226" s="57">
        <v>2</v>
      </c>
      <c r="H226" s="57" t="s">
        <v>117</v>
      </c>
      <c r="I226" s="57" t="s">
        <v>4224</v>
      </c>
      <c r="J226" s="57" t="s">
        <v>4225</v>
      </c>
      <c r="K226" s="57" t="s">
        <v>4226</v>
      </c>
      <c r="L226" s="111" t="s">
        <v>4227</v>
      </c>
      <c r="N226" s="57">
        <v>0.66800000000000004</v>
      </c>
      <c r="O226" s="57">
        <v>0</v>
      </c>
      <c r="P226" s="57">
        <v>0</v>
      </c>
      <c r="Q226" s="57">
        <v>0</v>
      </c>
      <c r="R226" s="57">
        <v>0</v>
      </c>
      <c r="S226" s="57">
        <v>17</v>
      </c>
      <c r="T226" s="112">
        <v>17</v>
      </c>
    </row>
    <row r="227" spans="1:20" ht="23.4" x14ac:dyDescent="0.25">
      <c r="A227" s="57">
        <v>226</v>
      </c>
      <c r="B227" s="110">
        <v>244026</v>
      </c>
      <c r="C227" s="57" t="s">
        <v>114</v>
      </c>
      <c r="D227" s="57" t="s">
        <v>115</v>
      </c>
      <c r="E227" s="57" t="s">
        <v>116</v>
      </c>
      <c r="F227" s="57" t="s">
        <v>119</v>
      </c>
      <c r="G227" s="57">
        <v>2</v>
      </c>
      <c r="H227" s="57" t="s">
        <v>117</v>
      </c>
      <c r="I227" s="57" t="s">
        <v>4228</v>
      </c>
      <c r="J227" s="57" t="s">
        <v>4229</v>
      </c>
      <c r="K227" s="57" t="s">
        <v>4230</v>
      </c>
      <c r="L227" s="111" t="s">
        <v>4231</v>
      </c>
      <c r="N227" s="57">
        <v>1.8420000000000001</v>
      </c>
      <c r="O227" s="57">
        <v>330</v>
      </c>
      <c r="P227" s="57">
        <v>4.95</v>
      </c>
      <c r="Q227" s="57">
        <v>0.34649999999999997</v>
      </c>
      <c r="R227" s="57">
        <v>0</v>
      </c>
      <c r="S227" s="57">
        <v>22</v>
      </c>
      <c r="T227" s="112">
        <v>27.3</v>
      </c>
    </row>
    <row r="228" spans="1:20" ht="23.4" x14ac:dyDescent="0.25">
      <c r="A228" s="57">
        <v>227</v>
      </c>
      <c r="B228" s="110">
        <v>244026</v>
      </c>
      <c r="C228" s="57" t="s">
        <v>114</v>
      </c>
      <c r="D228" s="57" t="s">
        <v>115</v>
      </c>
      <c r="E228" s="57" t="s">
        <v>116</v>
      </c>
      <c r="F228" s="57" t="s">
        <v>119</v>
      </c>
      <c r="G228" s="57">
        <v>2</v>
      </c>
      <c r="H228" s="57" t="s">
        <v>117</v>
      </c>
      <c r="I228" s="57" t="s">
        <v>4232</v>
      </c>
      <c r="J228" s="57" t="s">
        <v>4233</v>
      </c>
      <c r="K228" s="57" t="s">
        <v>4234</v>
      </c>
      <c r="L228" s="111" t="s">
        <v>4235</v>
      </c>
      <c r="N228" s="57">
        <v>1.216</v>
      </c>
      <c r="O228" s="57">
        <v>0</v>
      </c>
      <c r="P228" s="57">
        <v>0</v>
      </c>
      <c r="Q228" s="57">
        <v>0</v>
      </c>
      <c r="R228" s="57">
        <v>0</v>
      </c>
      <c r="S228" s="57">
        <v>22</v>
      </c>
      <c r="T228" s="112">
        <v>22</v>
      </c>
    </row>
    <row r="229" spans="1:20" ht="23.4" x14ac:dyDescent="0.25">
      <c r="A229" s="57">
        <v>228</v>
      </c>
      <c r="B229" s="110">
        <v>244026</v>
      </c>
      <c r="C229" s="57" t="s">
        <v>114</v>
      </c>
      <c r="D229" s="57" t="s">
        <v>115</v>
      </c>
      <c r="E229" s="57" t="s">
        <v>116</v>
      </c>
      <c r="F229" s="57" t="s">
        <v>119</v>
      </c>
      <c r="G229" s="57">
        <v>2</v>
      </c>
      <c r="H229" s="57" t="s">
        <v>117</v>
      </c>
      <c r="I229" s="57" t="s">
        <v>4236</v>
      </c>
      <c r="J229" s="57" t="s">
        <v>4237</v>
      </c>
      <c r="K229" s="57" t="s">
        <v>4238</v>
      </c>
      <c r="L229" s="111" t="s">
        <v>4239</v>
      </c>
      <c r="N229" s="57">
        <v>1.1619999999999999</v>
      </c>
      <c r="O229" s="57">
        <v>0</v>
      </c>
      <c r="P229" s="57">
        <v>0</v>
      </c>
      <c r="Q229" s="57">
        <v>0</v>
      </c>
      <c r="R229" s="57">
        <v>0</v>
      </c>
      <c r="S229" s="57">
        <v>22</v>
      </c>
      <c r="T229" s="112">
        <v>22</v>
      </c>
    </row>
    <row r="230" spans="1:20" ht="23.4" x14ac:dyDescent="0.25">
      <c r="A230" s="57">
        <v>229</v>
      </c>
      <c r="B230" s="110">
        <v>244026</v>
      </c>
      <c r="C230" s="57" t="s">
        <v>114</v>
      </c>
      <c r="D230" s="57" t="s">
        <v>115</v>
      </c>
      <c r="E230" s="57" t="s">
        <v>116</v>
      </c>
      <c r="F230" s="57" t="s">
        <v>119</v>
      </c>
      <c r="G230" s="57">
        <v>2</v>
      </c>
      <c r="H230" s="57" t="s">
        <v>117</v>
      </c>
      <c r="I230" s="57" t="s">
        <v>4240</v>
      </c>
      <c r="J230" s="57" t="s">
        <v>4241</v>
      </c>
      <c r="K230" s="57" t="s">
        <v>4242</v>
      </c>
      <c r="L230" s="111" t="s">
        <v>4243</v>
      </c>
      <c r="N230" s="57">
        <v>0.68</v>
      </c>
      <c r="O230" s="57">
        <v>130</v>
      </c>
      <c r="P230" s="57">
        <v>1.95</v>
      </c>
      <c r="Q230" s="57">
        <v>0.13650000000000001</v>
      </c>
      <c r="R230" s="57">
        <v>0</v>
      </c>
      <c r="S230" s="57">
        <v>17</v>
      </c>
      <c r="T230" s="112">
        <v>19.09</v>
      </c>
    </row>
    <row r="231" spans="1:20" ht="23.4" x14ac:dyDescent="0.25">
      <c r="A231" s="57">
        <v>230</v>
      </c>
      <c r="B231" s="110">
        <v>244026</v>
      </c>
      <c r="C231" s="57" t="s">
        <v>114</v>
      </c>
      <c r="D231" s="57" t="s">
        <v>115</v>
      </c>
      <c r="E231" s="57" t="s">
        <v>116</v>
      </c>
      <c r="F231" s="57" t="s">
        <v>119</v>
      </c>
      <c r="G231" s="57">
        <v>2</v>
      </c>
      <c r="H231" s="57" t="s">
        <v>117</v>
      </c>
      <c r="I231" s="57" t="s">
        <v>4244</v>
      </c>
      <c r="J231" s="57" t="s">
        <v>4245</v>
      </c>
      <c r="K231" s="57" t="s">
        <v>4246</v>
      </c>
      <c r="L231" s="111" t="s">
        <v>4247</v>
      </c>
      <c r="N231" s="57">
        <v>1.1579999999999999</v>
      </c>
      <c r="O231" s="57">
        <v>229</v>
      </c>
      <c r="P231" s="57">
        <v>3.4350000000000001</v>
      </c>
      <c r="Q231" s="57">
        <v>0.24049999999999999</v>
      </c>
      <c r="R231" s="57">
        <v>0</v>
      </c>
      <c r="S231" s="57">
        <v>22</v>
      </c>
      <c r="T231" s="112">
        <v>25.68</v>
      </c>
    </row>
    <row r="232" spans="1:20" ht="23.4" x14ac:dyDescent="0.25">
      <c r="A232" s="57">
        <v>231</v>
      </c>
      <c r="B232" s="110">
        <v>244026</v>
      </c>
      <c r="C232" s="57" t="s">
        <v>114</v>
      </c>
      <c r="D232" s="57" t="s">
        <v>115</v>
      </c>
      <c r="E232" s="57" t="s">
        <v>116</v>
      </c>
      <c r="F232" s="57" t="s">
        <v>119</v>
      </c>
      <c r="G232" s="57">
        <v>2</v>
      </c>
      <c r="H232" s="57" t="s">
        <v>117</v>
      </c>
      <c r="I232" s="57" t="s">
        <v>4248</v>
      </c>
      <c r="J232" s="57" t="s">
        <v>3511</v>
      </c>
      <c r="K232" s="57" t="s">
        <v>3512</v>
      </c>
      <c r="L232" s="111" t="s">
        <v>4249</v>
      </c>
      <c r="N232" s="57">
        <v>1.0760000000000001</v>
      </c>
      <c r="O232" s="57">
        <v>0</v>
      </c>
      <c r="P232" s="57">
        <v>0</v>
      </c>
      <c r="Q232" s="57">
        <v>0</v>
      </c>
      <c r="R232" s="57">
        <v>0</v>
      </c>
      <c r="S232" s="57">
        <v>22</v>
      </c>
      <c r="T232" s="112">
        <v>22</v>
      </c>
    </row>
    <row r="233" spans="1:20" ht="23.4" x14ac:dyDescent="0.25">
      <c r="A233" s="57">
        <v>232</v>
      </c>
      <c r="B233" s="110">
        <v>244026</v>
      </c>
      <c r="C233" s="57" t="s">
        <v>114</v>
      </c>
      <c r="D233" s="57" t="s">
        <v>115</v>
      </c>
      <c r="E233" s="57" t="s">
        <v>116</v>
      </c>
      <c r="F233" s="57" t="s">
        <v>119</v>
      </c>
      <c r="G233" s="57">
        <v>2</v>
      </c>
      <c r="H233" s="57" t="s">
        <v>117</v>
      </c>
      <c r="I233" s="57" t="s">
        <v>4250</v>
      </c>
      <c r="J233" s="57" t="s">
        <v>4251</v>
      </c>
      <c r="K233" s="57" t="s">
        <v>3893</v>
      </c>
      <c r="L233" s="111" t="s">
        <v>4252</v>
      </c>
      <c r="N233" s="57">
        <v>1.1819999999999999</v>
      </c>
      <c r="O233" s="57">
        <v>0</v>
      </c>
      <c r="P233" s="57">
        <v>0</v>
      </c>
      <c r="Q233" s="57">
        <v>0</v>
      </c>
      <c r="R233" s="57">
        <v>0</v>
      </c>
      <c r="S233" s="57">
        <v>22</v>
      </c>
      <c r="T233" s="112">
        <v>22</v>
      </c>
    </row>
    <row r="234" spans="1:20" ht="23.4" x14ac:dyDescent="0.25">
      <c r="A234" s="57">
        <v>233</v>
      </c>
      <c r="B234" s="110">
        <v>244026</v>
      </c>
      <c r="C234" s="57" t="s">
        <v>114</v>
      </c>
      <c r="D234" s="57" t="s">
        <v>115</v>
      </c>
      <c r="E234" s="57" t="s">
        <v>116</v>
      </c>
      <c r="F234" s="57" t="s">
        <v>119</v>
      </c>
      <c r="G234" s="57">
        <v>2</v>
      </c>
      <c r="H234" s="57" t="s">
        <v>117</v>
      </c>
      <c r="I234" s="57" t="s">
        <v>4253</v>
      </c>
      <c r="J234" s="57" t="s">
        <v>4254</v>
      </c>
      <c r="K234" s="57" t="s">
        <v>4255</v>
      </c>
      <c r="L234" s="111" t="s">
        <v>4256</v>
      </c>
      <c r="N234" s="57">
        <v>3.298</v>
      </c>
      <c r="O234" s="57">
        <v>0</v>
      </c>
      <c r="P234" s="57">
        <v>0</v>
      </c>
      <c r="Q234" s="57">
        <v>0</v>
      </c>
      <c r="R234" s="57">
        <v>0</v>
      </c>
      <c r="S234" s="57">
        <v>43</v>
      </c>
      <c r="T234" s="112">
        <v>43</v>
      </c>
    </row>
    <row r="235" spans="1:20" ht="23.4" x14ac:dyDescent="0.25">
      <c r="A235" s="57">
        <v>234</v>
      </c>
      <c r="B235" s="110">
        <v>244026</v>
      </c>
      <c r="C235" s="57" t="s">
        <v>114</v>
      </c>
      <c r="D235" s="57" t="s">
        <v>115</v>
      </c>
      <c r="E235" s="57" t="s">
        <v>116</v>
      </c>
      <c r="F235" s="57" t="s">
        <v>119</v>
      </c>
      <c r="G235" s="57">
        <v>2</v>
      </c>
      <c r="H235" s="57" t="s">
        <v>117</v>
      </c>
      <c r="I235" s="57" t="s">
        <v>4257</v>
      </c>
      <c r="J235" s="57" t="s">
        <v>4258</v>
      </c>
      <c r="K235" s="57" t="s">
        <v>4259</v>
      </c>
      <c r="L235" s="111" t="s">
        <v>4260</v>
      </c>
      <c r="N235" s="57">
        <v>1.216</v>
      </c>
      <c r="O235" s="57">
        <v>0</v>
      </c>
      <c r="P235" s="57">
        <v>0</v>
      </c>
      <c r="Q235" s="57">
        <v>0</v>
      </c>
      <c r="R235" s="57">
        <v>0</v>
      </c>
      <c r="S235" s="57">
        <v>22</v>
      </c>
      <c r="T235" s="112">
        <v>22</v>
      </c>
    </row>
    <row r="236" spans="1:20" ht="23.4" x14ac:dyDescent="0.25">
      <c r="A236" s="57">
        <v>235</v>
      </c>
      <c r="B236" s="110">
        <v>244026</v>
      </c>
      <c r="C236" s="57" t="s">
        <v>114</v>
      </c>
      <c r="D236" s="57" t="s">
        <v>115</v>
      </c>
      <c r="E236" s="57" t="s">
        <v>116</v>
      </c>
      <c r="F236" s="57" t="s">
        <v>119</v>
      </c>
      <c r="G236" s="57">
        <v>2</v>
      </c>
      <c r="H236" s="57" t="s">
        <v>117</v>
      </c>
      <c r="I236" s="57" t="s">
        <v>4261</v>
      </c>
      <c r="J236" s="57" t="s">
        <v>4262</v>
      </c>
      <c r="K236" s="57" t="s">
        <v>4263</v>
      </c>
      <c r="L236" s="111" t="s">
        <v>4264</v>
      </c>
      <c r="N236" s="57">
        <v>1.264</v>
      </c>
      <c r="O236" s="57">
        <v>230</v>
      </c>
      <c r="P236" s="57">
        <v>3.45</v>
      </c>
      <c r="Q236" s="57">
        <v>0.24149999999999999</v>
      </c>
      <c r="R236" s="57">
        <v>0</v>
      </c>
      <c r="S236" s="57">
        <v>22</v>
      </c>
      <c r="T236" s="112">
        <v>25.69</v>
      </c>
    </row>
    <row r="237" spans="1:20" ht="23.4" x14ac:dyDescent="0.25">
      <c r="A237" s="57">
        <v>236</v>
      </c>
      <c r="B237" s="110">
        <v>244026</v>
      </c>
      <c r="C237" s="57" t="s">
        <v>114</v>
      </c>
      <c r="D237" s="57" t="s">
        <v>115</v>
      </c>
      <c r="E237" s="57" t="s">
        <v>116</v>
      </c>
      <c r="F237" s="57" t="s">
        <v>119</v>
      </c>
      <c r="G237" s="57">
        <v>2</v>
      </c>
      <c r="H237" s="57" t="s">
        <v>117</v>
      </c>
      <c r="I237" s="57" t="s">
        <v>4265</v>
      </c>
      <c r="J237" s="57" t="s">
        <v>4266</v>
      </c>
      <c r="K237" s="57" t="s">
        <v>4267</v>
      </c>
      <c r="L237" s="111" t="s">
        <v>4268</v>
      </c>
      <c r="N237" s="57">
        <v>1.296</v>
      </c>
      <c r="O237" s="57">
        <v>0</v>
      </c>
      <c r="P237" s="57">
        <v>0</v>
      </c>
      <c r="Q237" s="57">
        <v>0</v>
      </c>
      <c r="R237" s="57">
        <v>0</v>
      </c>
      <c r="S237" s="57">
        <v>22</v>
      </c>
      <c r="T237" s="112">
        <v>22</v>
      </c>
    </row>
    <row r="238" spans="1:20" ht="23.4" x14ac:dyDescent="0.25">
      <c r="A238" s="57">
        <v>237</v>
      </c>
      <c r="B238" s="110">
        <v>244026</v>
      </c>
      <c r="C238" s="57" t="s">
        <v>114</v>
      </c>
      <c r="D238" s="57" t="s">
        <v>115</v>
      </c>
      <c r="E238" s="57" t="s">
        <v>116</v>
      </c>
      <c r="F238" s="57" t="s">
        <v>119</v>
      </c>
      <c r="G238" s="57">
        <v>2</v>
      </c>
      <c r="H238" s="57" t="s">
        <v>117</v>
      </c>
      <c r="I238" s="57" t="s">
        <v>4269</v>
      </c>
      <c r="J238" s="57" t="s">
        <v>4270</v>
      </c>
      <c r="K238" s="57" t="s">
        <v>4271</v>
      </c>
      <c r="L238" s="111" t="s">
        <v>4272</v>
      </c>
      <c r="N238" s="57">
        <v>0.224</v>
      </c>
      <c r="O238" s="57">
        <v>0</v>
      </c>
      <c r="P238" s="57">
        <v>0</v>
      </c>
      <c r="Q238" s="57">
        <v>0</v>
      </c>
      <c r="R238" s="57">
        <v>0</v>
      </c>
      <c r="S238" s="57">
        <v>17</v>
      </c>
      <c r="T238" s="112">
        <v>17</v>
      </c>
    </row>
    <row r="239" spans="1:20" ht="23.4" x14ac:dyDescent="0.25">
      <c r="A239" s="57">
        <v>238</v>
      </c>
      <c r="B239" s="110">
        <v>244026</v>
      </c>
      <c r="C239" s="57" t="s">
        <v>114</v>
      </c>
      <c r="D239" s="57" t="s">
        <v>115</v>
      </c>
      <c r="E239" s="57" t="s">
        <v>116</v>
      </c>
      <c r="F239" s="57" t="s">
        <v>119</v>
      </c>
      <c r="G239" s="57">
        <v>2</v>
      </c>
      <c r="H239" s="57" t="s">
        <v>117</v>
      </c>
      <c r="I239" s="57" t="s">
        <v>4273</v>
      </c>
      <c r="J239" s="57" t="s">
        <v>4274</v>
      </c>
      <c r="K239" s="57" t="s">
        <v>4275</v>
      </c>
      <c r="L239" s="111" t="s">
        <v>4276</v>
      </c>
      <c r="N239" s="57">
        <v>0.82399999999999995</v>
      </c>
      <c r="O239" s="57">
        <v>0</v>
      </c>
      <c r="P239" s="57">
        <v>0</v>
      </c>
      <c r="Q239" s="57">
        <v>0</v>
      </c>
      <c r="R239" s="57">
        <v>0</v>
      </c>
      <c r="S239" s="57">
        <v>17</v>
      </c>
      <c r="T239" s="112">
        <v>17</v>
      </c>
    </row>
    <row r="240" spans="1:20" ht="23.4" x14ac:dyDescent="0.25">
      <c r="A240" s="57">
        <v>239</v>
      </c>
      <c r="B240" s="110">
        <v>244027</v>
      </c>
      <c r="C240" s="57" t="s">
        <v>114</v>
      </c>
      <c r="D240" s="57" t="s">
        <v>115</v>
      </c>
      <c r="E240" s="57" t="s">
        <v>116</v>
      </c>
      <c r="F240" s="57" t="s">
        <v>119</v>
      </c>
      <c r="G240" s="57">
        <v>2</v>
      </c>
      <c r="H240" s="57" t="s">
        <v>117</v>
      </c>
      <c r="I240" s="57" t="s">
        <v>4306</v>
      </c>
      <c r="J240" s="57" t="s">
        <v>4307</v>
      </c>
      <c r="K240" s="57" t="s">
        <v>185</v>
      </c>
      <c r="L240" s="111" t="s">
        <v>186</v>
      </c>
      <c r="N240" s="57">
        <v>0.65400000000000003</v>
      </c>
      <c r="O240" s="57">
        <v>130</v>
      </c>
      <c r="P240" s="57">
        <v>1.95</v>
      </c>
      <c r="Q240" s="57">
        <v>0.13650000000000001</v>
      </c>
      <c r="R240" s="57">
        <v>0</v>
      </c>
      <c r="S240" s="57">
        <v>17</v>
      </c>
      <c r="T240" s="112">
        <v>19.09</v>
      </c>
    </row>
    <row r="241" spans="1:20" ht="23.4" x14ac:dyDescent="0.25">
      <c r="A241" s="57">
        <v>240</v>
      </c>
      <c r="B241" s="110">
        <v>244027</v>
      </c>
      <c r="C241" s="57" t="s">
        <v>114</v>
      </c>
      <c r="D241" s="57" t="s">
        <v>115</v>
      </c>
      <c r="E241" s="57" t="s">
        <v>116</v>
      </c>
      <c r="F241" s="57" t="s">
        <v>119</v>
      </c>
      <c r="G241" s="57">
        <v>2</v>
      </c>
      <c r="H241" s="57" t="s">
        <v>117</v>
      </c>
      <c r="I241" s="57" t="s">
        <v>4308</v>
      </c>
      <c r="J241" s="57" t="s">
        <v>4309</v>
      </c>
      <c r="K241" s="57" t="s">
        <v>4310</v>
      </c>
      <c r="L241" s="111" t="s">
        <v>4311</v>
      </c>
      <c r="N241" s="57">
        <v>1.254</v>
      </c>
      <c r="O241" s="57">
        <v>0</v>
      </c>
      <c r="P241" s="57">
        <v>0</v>
      </c>
      <c r="Q241" s="57">
        <v>0</v>
      </c>
      <c r="R241" s="57">
        <v>0</v>
      </c>
      <c r="S241" s="57">
        <v>22</v>
      </c>
      <c r="T241" s="112">
        <v>22</v>
      </c>
    </row>
    <row r="242" spans="1:20" ht="23.4" x14ac:dyDescent="0.25">
      <c r="A242" s="57">
        <v>241</v>
      </c>
      <c r="B242" s="110">
        <v>244027</v>
      </c>
      <c r="C242" s="57" t="s">
        <v>114</v>
      </c>
      <c r="D242" s="57" t="s">
        <v>115</v>
      </c>
      <c r="E242" s="57" t="s">
        <v>116</v>
      </c>
      <c r="F242" s="57" t="s">
        <v>119</v>
      </c>
      <c r="G242" s="57">
        <v>2</v>
      </c>
      <c r="H242" s="57" t="s">
        <v>117</v>
      </c>
      <c r="I242" s="57" t="s">
        <v>4312</v>
      </c>
      <c r="J242" s="57" t="s">
        <v>4313</v>
      </c>
      <c r="K242" s="57" t="s">
        <v>4314</v>
      </c>
      <c r="L242" s="111" t="s">
        <v>4315</v>
      </c>
      <c r="N242" s="57">
        <v>0.66400000000000003</v>
      </c>
      <c r="O242" s="57">
        <v>0</v>
      </c>
      <c r="P242" s="57">
        <v>0</v>
      </c>
      <c r="Q242" s="57">
        <v>0</v>
      </c>
      <c r="R242" s="57">
        <v>0</v>
      </c>
      <c r="S242" s="57">
        <v>17</v>
      </c>
      <c r="T242" s="112">
        <v>17</v>
      </c>
    </row>
    <row r="243" spans="1:20" ht="23.4" x14ac:dyDescent="0.25">
      <c r="A243" s="57">
        <v>242</v>
      </c>
      <c r="B243" s="110">
        <v>244027</v>
      </c>
      <c r="C243" s="57" t="s">
        <v>114</v>
      </c>
      <c r="D243" s="57" t="s">
        <v>115</v>
      </c>
      <c r="E243" s="57" t="s">
        <v>116</v>
      </c>
      <c r="F243" s="57" t="s">
        <v>119</v>
      </c>
      <c r="G243" s="57">
        <v>2</v>
      </c>
      <c r="H243" s="57" t="s">
        <v>117</v>
      </c>
      <c r="I243" s="57" t="s">
        <v>3707</v>
      </c>
      <c r="J243" s="57" t="s">
        <v>4316</v>
      </c>
      <c r="K243" s="57" t="s">
        <v>4317</v>
      </c>
      <c r="L243" s="111" t="s">
        <v>4318</v>
      </c>
      <c r="N243" s="57">
        <v>0.248</v>
      </c>
      <c r="O243" s="57">
        <v>0</v>
      </c>
      <c r="P243" s="57">
        <v>0</v>
      </c>
      <c r="Q243" s="57">
        <v>0</v>
      </c>
      <c r="R243" s="57">
        <v>0</v>
      </c>
      <c r="S243" s="57">
        <v>17</v>
      </c>
      <c r="T243" s="112">
        <v>17</v>
      </c>
    </row>
    <row r="244" spans="1:20" ht="23.4" x14ac:dyDescent="0.25">
      <c r="A244" s="57">
        <v>243</v>
      </c>
      <c r="B244" s="110">
        <v>244027</v>
      </c>
      <c r="C244" s="57" t="s">
        <v>114</v>
      </c>
      <c r="D244" s="57" t="s">
        <v>115</v>
      </c>
      <c r="E244" s="57" t="s">
        <v>116</v>
      </c>
      <c r="F244" s="57" t="s">
        <v>119</v>
      </c>
      <c r="G244" s="57">
        <v>2</v>
      </c>
      <c r="H244" s="57" t="s">
        <v>117</v>
      </c>
      <c r="I244" s="57" t="s">
        <v>4319</v>
      </c>
      <c r="J244" s="57" t="s">
        <v>4320</v>
      </c>
      <c r="K244" s="57" t="s">
        <v>4321</v>
      </c>
      <c r="L244" s="111" t="s">
        <v>4322</v>
      </c>
      <c r="N244" s="57">
        <v>3.4540000000000002</v>
      </c>
      <c r="O244" s="57">
        <v>0</v>
      </c>
      <c r="P244" s="57">
        <v>0</v>
      </c>
      <c r="Q244" s="57">
        <v>0</v>
      </c>
      <c r="R244" s="57">
        <v>0</v>
      </c>
      <c r="S244" s="57">
        <v>43</v>
      </c>
      <c r="T244" s="112">
        <v>43</v>
      </c>
    </row>
    <row r="245" spans="1:20" ht="23.4" x14ac:dyDescent="0.25">
      <c r="A245" s="57">
        <v>244</v>
      </c>
      <c r="B245" s="110">
        <v>244027</v>
      </c>
      <c r="C245" s="57" t="s">
        <v>114</v>
      </c>
      <c r="D245" s="57" t="s">
        <v>115</v>
      </c>
      <c r="E245" s="57" t="s">
        <v>116</v>
      </c>
      <c r="F245" s="57" t="s">
        <v>119</v>
      </c>
      <c r="G245" s="57">
        <v>2</v>
      </c>
      <c r="H245" s="57" t="s">
        <v>117</v>
      </c>
      <c r="I245" s="57" t="s">
        <v>4323</v>
      </c>
      <c r="J245" s="57" t="s">
        <v>3127</v>
      </c>
      <c r="K245" s="57" t="s">
        <v>3128</v>
      </c>
      <c r="L245" s="111" t="s">
        <v>3129</v>
      </c>
      <c r="N245" s="57">
        <v>1.1040000000000001</v>
      </c>
      <c r="O245" s="57">
        <v>229</v>
      </c>
      <c r="P245" s="57">
        <v>3.4350000000000001</v>
      </c>
      <c r="Q245" s="57">
        <v>0.24049999999999999</v>
      </c>
      <c r="R245" s="57">
        <v>0</v>
      </c>
      <c r="S245" s="57">
        <v>22</v>
      </c>
      <c r="T245" s="112">
        <v>25.68</v>
      </c>
    </row>
    <row r="246" spans="1:20" ht="23.4" x14ac:dyDescent="0.25">
      <c r="A246" s="57">
        <v>245</v>
      </c>
      <c r="B246" s="110">
        <v>244027</v>
      </c>
      <c r="C246" s="57" t="s">
        <v>114</v>
      </c>
      <c r="D246" s="57" t="s">
        <v>115</v>
      </c>
      <c r="E246" s="57" t="s">
        <v>116</v>
      </c>
      <c r="F246" s="57" t="s">
        <v>119</v>
      </c>
      <c r="G246" s="57">
        <v>2</v>
      </c>
      <c r="H246" s="57" t="s">
        <v>117</v>
      </c>
      <c r="I246" s="57" t="s">
        <v>4324</v>
      </c>
      <c r="J246" s="57" t="s">
        <v>4325</v>
      </c>
      <c r="K246" s="57" t="s">
        <v>4326</v>
      </c>
      <c r="L246" s="111" t="s">
        <v>4327</v>
      </c>
      <c r="N246" s="57">
        <v>0.628</v>
      </c>
      <c r="O246" s="57">
        <v>130</v>
      </c>
      <c r="P246" s="57">
        <v>1.95</v>
      </c>
      <c r="Q246" s="57">
        <v>0.13650000000000001</v>
      </c>
      <c r="R246" s="57">
        <v>0</v>
      </c>
      <c r="S246" s="57">
        <v>17</v>
      </c>
      <c r="T246" s="112">
        <v>19.09</v>
      </c>
    </row>
    <row r="247" spans="1:20" ht="23.4" x14ac:dyDescent="0.25">
      <c r="A247" s="57">
        <v>246</v>
      </c>
      <c r="B247" s="110">
        <v>244027</v>
      </c>
      <c r="C247" s="57" t="s">
        <v>114</v>
      </c>
      <c r="D247" s="57" t="s">
        <v>115</v>
      </c>
      <c r="E247" s="57" t="s">
        <v>116</v>
      </c>
      <c r="F247" s="57" t="s">
        <v>119</v>
      </c>
      <c r="G247" s="57">
        <v>2</v>
      </c>
      <c r="H247" s="57" t="s">
        <v>117</v>
      </c>
      <c r="I247" s="57" t="s">
        <v>4328</v>
      </c>
      <c r="J247" s="57" t="s">
        <v>4329</v>
      </c>
      <c r="K247" s="57" t="s">
        <v>4330</v>
      </c>
      <c r="L247" s="111" t="s">
        <v>4331</v>
      </c>
      <c r="N247" s="57">
        <v>0.89</v>
      </c>
      <c r="O247" s="57">
        <v>0</v>
      </c>
      <c r="P247" s="57">
        <v>0</v>
      </c>
      <c r="Q247" s="57">
        <v>0</v>
      </c>
      <c r="R247" s="57">
        <v>0</v>
      </c>
      <c r="S247" s="57">
        <v>17</v>
      </c>
      <c r="T247" s="112">
        <v>17</v>
      </c>
    </row>
    <row r="248" spans="1:20" ht="23.4" x14ac:dyDescent="0.25">
      <c r="A248" s="57">
        <v>247</v>
      </c>
      <c r="B248" s="110">
        <v>244027</v>
      </c>
      <c r="C248" s="57" t="s">
        <v>114</v>
      </c>
      <c r="D248" s="57" t="s">
        <v>115</v>
      </c>
      <c r="E248" s="57" t="s">
        <v>116</v>
      </c>
      <c r="F248" s="57" t="s">
        <v>119</v>
      </c>
      <c r="G248" s="57">
        <v>2</v>
      </c>
      <c r="H248" s="57" t="s">
        <v>117</v>
      </c>
      <c r="I248" s="57" t="s">
        <v>4332</v>
      </c>
      <c r="J248" s="57" t="s">
        <v>4333</v>
      </c>
      <c r="K248" s="57" t="s">
        <v>4334</v>
      </c>
      <c r="L248" s="111" t="s">
        <v>4335</v>
      </c>
      <c r="N248" s="57">
        <v>0.88400000000000001</v>
      </c>
      <c r="O248" s="57">
        <v>0</v>
      </c>
      <c r="P248" s="57">
        <v>0</v>
      </c>
      <c r="Q248" s="57">
        <v>0</v>
      </c>
      <c r="R248" s="57">
        <v>0</v>
      </c>
      <c r="S248" s="57">
        <v>17</v>
      </c>
      <c r="T248" s="112">
        <v>17</v>
      </c>
    </row>
    <row r="249" spans="1:20" ht="23.4" x14ac:dyDescent="0.25">
      <c r="A249" s="57">
        <v>248</v>
      </c>
      <c r="B249" s="110">
        <v>244027</v>
      </c>
      <c r="C249" s="57" t="s">
        <v>114</v>
      </c>
      <c r="D249" s="57" t="s">
        <v>115</v>
      </c>
      <c r="E249" s="57" t="s">
        <v>116</v>
      </c>
      <c r="F249" s="57" t="s">
        <v>119</v>
      </c>
      <c r="G249" s="57">
        <v>2</v>
      </c>
      <c r="H249" s="57" t="s">
        <v>117</v>
      </c>
      <c r="I249" s="57" t="s">
        <v>4336</v>
      </c>
      <c r="J249" s="57" t="s">
        <v>4337</v>
      </c>
      <c r="K249" s="57" t="s">
        <v>4338</v>
      </c>
      <c r="L249" s="111" t="s">
        <v>4339</v>
      </c>
      <c r="N249" s="57">
        <v>3.1440000000000001</v>
      </c>
      <c r="O249" s="57">
        <v>0</v>
      </c>
      <c r="P249" s="57">
        <v>0</v>
      </c>
      <c r="Q249" s="57">
        <v>0</v>
      </c>
      <c r="R249" s="57">
        <v>0</v>
      </c>
      <c r="S249" s="57">
        <v>43</v>
      </c>
      <c r="T249" s="112">
        <v>43</v>
      </c>
    </row>
    <row r="250" spans="1:20" ht="23.4" x14ac:dyDescent="0.25">
      <c r="A250" s="57">
        <v>249</v>
      </c>
      <c r="B250" s="110">
        <v>244027</v>
      </c>
      <c r="C250" s="57" t="s">
        <v>114</v>
      </c>
      <c r="D250" s="57" t="s">
        <v>115</v>
      </c>
      <c r="E250" s="57" t="s">
        <v>116</v>
      </c>
      <c r="F250" s="57" t="s">
        <v>119</v>
      </c>
      <c r="G250" s="57">
        <v>2</v>
      </c>
      <c r="H250" s="57" t="s">
        <v>117</v>
      </c>
      <c r="I250" s="57" t="s">
        <v>4340</v>
      </c>
      <c r="J250" s="57" t="s">
        <v>4341</v>
      </c>
      <c r="K250" s="57" t="s">
        <v>4342</v>
      </c>
      <c r="L250" s="111" t="s">
        <v>4343</v>
      </c>
      <c r="N250" s="57">
        <v>0.66600000000000004</v>
      </c>
      <c r="O250" s="57">
        <v>130</v>
      </c>
      <c r="P250" s="57">
        <v>1.95</v>
      </c>
      <c r="Q250" s="57">
        <v>0.13650000000000001</v>
      </c>
      <c r="R250" s="57">
        <v>0</v>
      </c>
      <c r="S250" s="57">
        <v>17</v>
      </c>
      <c r="T250" s="112">
        <v>19.09</v>
      </c>
    </row>
    <row r="251" spans="1:20" ht="23.4" x14ac:dyDescent="0.25">
      <c r="A251" s="57">
        <v>250</v>
      </c>
      <c r="B251" s="110">
        <v>244027</v>
      </c>
      <c r="C251" s="57" t="s">
        <v>114</v>
      </c>
      <c r="D251" s="57" t="s">
        <v>115</v>
      </c>
      <c r="E251" s="57" t="s">
        <v>116</v>
      </c>
      <c r="F251" s="57" t="s">
        <v>119</v>
      </c>
      <c r="G251" s="57">
        <v>2</v>
      </c>
      <c r="H251" s="57" t="s">
        <v>117</v>
      </c>
      <c r="I251" s="57" t="s">
        <v>4344</v>
      </c>
      <c r="J251" s="57" t="s">
        <v>4345</v>
      </c>
      <c r="K251" s="57" t="s">
        <v>4346</v>
      </c>
      <c r="L251" s="111" t="s">
        <v>4347</v>
      </c>
      <c r="N251" s="57">
        <v>0.66600000000000004</v>
      </c>
      <c r="O251" s="57">
        <v>0</v>
      </c>
      <c r="P251" s="57">
        <v>0</v>
      </c>
      <c r="Q251" s="57">
        <v>0</v>
      </c>
      <c r="R251" s="57">
        <v>0</v>
      </c>
      <c r="S251" s="57">
        <v>17</v>
      </c>
      <c r="T251" s="112">
        <v>17</v>
      </c>
    </row>
    <row r="252" spans="1:20" ht="23.4" x14ac:dyDescent="0.25">
      <c r="A252" s="57">
        <v>251</v>
      </c>
      <c r="B252" s="110">
        <v>244027</v>
      </c>
      <c r="C252" s="57" t="s">
        <v>114</v>
      </c>
      <c r="D252" s="57" t="s">
        <v>115</v>
      </c>
      <c r="E252" s="57" t="s">
        <v>116</v>
      </c>
      <c r="F252" s="57" t="s">
        <v>119</v>
      </c>
      <c r="G252" s="57">
        <v>2</v>
      </c>
      <c r="H252" s="57" t="s">
        <v>117</v>
      </c>
      <c r="I252" s="57" t="s">
        <v>4348</v>
      </c>
      <c r="J252" s="57" t="s">
        <v>4349</v>
      </c>
      <c r="K252" s="57" t="s">
        <v>4350</v>
      </c>
      <c r="L252" s="111" t="s">
        <v>4351</v>
      </c>
      <c r="N252" s="57">
        <v>0.68</v>
      </c>
      <c r="O252" s="57">
        <v>130</v>
      </c>
      <c r="P252" s="57">
        <v>1.95</v>
      </c>
      <c r="Q252" s="57">
        <v>0.13650000000000001</v>
      </c>
      <c r="R252" s="57">
        <v>0</v>
      </c>
      <c r="S252" s="57">
        <v>17</v>
      </c>
      <c r="T252" s="112">
        <v>19.09</v>
      </c>
    </row>
    <row r="253" spans="1:20" ht="23.4" x14ac:dyDescent="0.25">
      <c r="A253" s="57">
        <v>252</v>
      </c>
      <c r="B253" s="110">
        <v>244027</v>
      </c>
      <c r="C253" s="57" t="s">
        <v>114</v>
      </c>
      <c r="D253" s="57" t="s">
        <v>115</v>
      </c>
      <c r="E253" s="57" t="s">
        <v>116</v>
      </c>
      <c r="F253" s="57" t="s">
        <v>119</v>
      </c>
      <c r="G253" s="57">
        <v>2</v>
      </c>
      <c r="H253" s="57" t="s">
        <v>117</v>
      </c>
      <c r="I253" s="57" t="s">
        <v>4352</v>
      </c>
      <c r="J253" s="57" t="s">
        <v>4353</v>
      </c>
      <c r="K253" s="57" t="s">
        <v>4354</v>
      </c>
      <c r="L253" s="111" t="s">
        <v>4355</v>
      </c>
      <c r="N253" s="57">
        <v>3.508</v>
      </c>
      <c r="O253" s="57">
        <v>630</v>
      </c>
      <c r="P253" s="57">
        <v>9.4499999999999993</v>
      </c>
      <c r="Q253" s="57">
        <v>0.66149999999999998</v>
      </c>
      <c r="R253" s="57">
        <v>0</v>
      </c>
      <c r="S253" s="57">
        <v>43</v>
      </c>
      <c r="T253" s="112">
        <v>53.11</v>
      </c>
    </row>
    <row r="254" spans="1:20" ht="23.4" x14ac:dyDescent="0.25">
      <c r="A254" s="57">
        <v>253</v>
      </c>
      <c r="B254" s="110">
        <v>244027</v>
      </c>
      <c r="C254" s="57" t="s">
        <v>114</v>
      </c>
      <c r="D254" s="57" t="s">
        <v>115</v>
      </c>
      <c r="E254" s="57" t="s">
        <v>116</v>
      </c>
      <c r="F254" s="57" t="s">
        <v>119</v>
      </c>
      <c r="G254" s="57">
        <v>2</v>
      </c>
      <c r="H254" s="57" t="s">
        <v>117</v>
      </c>
      <c r="I254" s="57" t="s">
        <v>4356</v>
      </c>
      <c r="J254" s="57" t="s">
        <v>4357</v>
      </c>
      <c r="K254" s="57" t="s">
        <v>4358</v>
      </c>
      <c r="L254" s="111" t="s">
        <v>4359</v>
      </c>
      <c r="N254" s="57">
        <v>0.68</v>
      </c>
      <c r="O254" s="57">
        <v>130</v>
      </c>
      <c r="P254" s="57">
        <v>1.95</v>
      </c>
      <c r="Q254" s="57">
        <v>0.13650000000000001</v>
      </c>
      <c r="R254" s="57">
        <v>0</v>
      </c>
      <c r="S254" s="57">
        <v>17</v>
      </c>
      <c r="T254" s="112">
        <v>19.09</v>
      </c>
    </row>
    <row r="255" spans="1:20" ht="23.4" x14ac:dyDescent="0.25">
      <c r="A255" s="57">
        <v>254</v>
      </c>
      <c r="B255" s="110">
        <v>244027</v>
      </c>
      <c r="C255" s="57" t="s">
        <v>114</v>
      </c>
      <c r="D255" s="57" t="s">
        <v>115</v>
      </c>
      <c r="E255" s="57" t="s">
        <v>116</v>
      </c>
      <c r="F255" s="57" t="s">
        <v>119</v>
      </c>
      <c r="G255" s="57">
        <v>2</v>
      </c>
      <c r="H255" s="57" t="s">
        <v>117</v>
      </c>
      <c r="I255" s="57" t="s">
        <v>4360</v>
      </c>
      <c r="J255" s="57" t="s">
        <v>4361</v>
      </c>
      <c r="K255" s="57" t="s">
        <v>4362</v>
      </c>
      <c r="L255" s="111" t="s">
        <v>4363</v>
      </c>
      <c r="N255" s="57">
        <v>0.65600000000000003</v>
      </c>
      <c r="O255" s="57">
        <v>130</v>
      </c>
      <c r="P255" s="57">
        <v>1.95</v>
      </c>
      <c r="Q255" s="57">
        <v>0.13650000000000001</v>
      </c>
      <c r="R255" s="57">
        <v>0</v>
      </c>
      <c r="S255" s="57">
        <v>17</v>
      </c>
      <c r="T255" s="112">
        <v>19.09</v>
      </c>
    </row>
    <row r="256" spans="1:20" ht="23.4" x14ac:dyDescent="0.25">
      <c r="A256" s="57">
        <v>255</v>
      </c>
      <c r="B256" s="110">
        <v>244027</v>
      </c>
      <c r="C256" s="57" t="s">
        <v>114</v>
      </c>
      <c r="D256" s="57" t="s">
        <v>115</v>
      </c>
      <c r="E256" s="57" t="s">
        <v>116</v>
      </c>
      <c r="F256" s="57" t="s">
        <v>119</v>
      </c>
      <c r="G256" s="57">
        <v>2</v>
      </c>
      <c r="H256" s="57" t="s">
        <v>117</v>
      </c>
      <c r="I256" s="57" t="s">
        <v>4364</v>
      </c>
      <c r="J256" s="57" t="s">
        <v>3527</v>
      </c>
      <c r="K256" s="57" t="s">
        <v>2979</v>
      </c>
      <c r="L256" s="111" t="s">
        <v>3528</v>
      </c>
      <c r="N256" s="57">
        <v>1.256</v>
      </c>
      <c r="O256" s="57">
        <v>230</v>
      </c>
      <c r="P256" s="57">
        <v>3.45</v>
      </c>
      <c r="Q256" s="57">
        <v>0.24149999999999999</v>
      </c>
      <c r="R256" s="57">
        <v>0</v>
      </c>
      <c r="S256" s="57">
        <v>22</v>
      </c>
      <c r="T256" s="112">
        <v>25.69</v>
      </c>
    </row>
    <row r="257" spans="1:20" ht="23.4" x14ac:dyDescent="0.25">
      <c r="A257" s="57">
        <v>256</v>
      </c>
      <c r="B257" s="110">
        <v>244027</v>
      </c>
      <c r="C257" s="57" t="s">
        <v>114</v>
      </c>
      <c r="D257" s="57" t="s">
        <v>115</v>
      </c>
      <c r="E257" s="57" t="s">
        <v>116</v>
      </c>
      <c r="F257" s="57" t="s">
        <v>119</v>
      </c>
      <c r="G257" s="57">
        <v>2</v>
      </c>
      <c r="H257" s="57" t="s">
        <v>117</v>
      </c>
      <c r="I257" s="57" t="s">
        <v>4365</v>
      </c>
      <c r="J257" s="57" t="s">
        <v>4366</v>
      </c>
      <c r="K257" s="57" t="s">
        <v>4367</v>
      </c>
      <c r="L257" s="111" t="s">
        <v>4368</v>
      </c>
      <c r="N257" s="57">
        <v>0.71</v>
      </c>
      <c r="O257" s="57">
        <v>0</v>
      </c>
      <c r="P257" s="57">
        <v>0</v>
      </c>
      <c r="Q257" s="57">
        <v>0</v>
      </c>
      <c r="R257" s="57">
        <v>0</v>
      </c>
      <c r="S257" s="57">
        <v>17</v>
      </c>
      <c r="T257" s="112">
        <v>17</v>
      </c>
    </row>
    <row r="258" spans="1:20" ht="23.4" x14ac:dyDescent="0.25">
      <c r="A258" s="57">
        <v>257</v>
      </c>
      <c r="B258" s="110">
        <v>244027</v>
      </c>
      <c r="C258" s="57" t="s">
        <v>114</v>
      </c>
      <c r="D258" s="57" t="s">
        <v>115</v>
      </c>
      <c r="E258" s="57" t="s">
        <v>116</v>
      </c>
      <c r="F258" s="57" t="s">
        <v>119</v>
      </c>
      <c r="G258" s="57">
        <v>2</v>
      </c>
      <c r="H258" s="57" t="s">
        <v>117</v>
      </c>
      <c r="I258" s="57" t="s">
        <v>4369</v>
      </c>
      <c r="J258" s="57" t="s">
        <v>4370</v>
      </c>
      <c r="K258" s="57" t="s">
        <v>3061</v>
      </c>
      <c r="L258" s="111" t="s">
        <v>4371</v>
      </c>
      <c r="N258" s="57">
        <v>0.64600000000000002</v>
      </c>
      <c r="O258" s="57">
        <v>0</v>
      </c>
      <c r="P258" s="57">
        <v>0</v>
      </c>
      <c r="Q258" s="57">
        <v>0</v>
      </c>
      <c r="R258" s="57">
        <v>0</v>
      </c>
      <c r="S258" s="57">
        <v>17</v>
      </c>
      <c r="T258" s="112">
        <v>17</v>
      </c>
    </row>
    <row r="259" spans="1:20" ht="23.4" x14ac:dyDescent="0.25">
      <c r="A259" s="57">
        <v>258</v>
      </c>
      <c r="B259" s="110">
        <v>244027</v>
      </c>
      <c r="C259" s="57" t="s">
        <v>114</v>
      </c>
      <c r="D259" s="57" t="s">
        <v>115</v>
      </c>
      <c r="E259" s="57" t="s">
        <v>116</v>
      </c>
      <c r="F259" s="57" t="s">
        <v>119</v>
      </c>
      <c r="G259" s="57">
        <v>2</v>
      </c>
      <c r="H259" s="57" t="s">
        <v>117</v>
      </c>
      <c r="I259" s="57" t="s">
        <v>4372</v>
      </c>
      <c r="J259" s="57" t="s">
        <v>4373</v>
      </c>
      <c r="K259" s="57" t="s">
        <v>4374</v>
      </c>
      <c r="L259" s="111" t="s">
        <v>4375</v>
      </c>
      <c r="N259" s="57">
        <v>5.69</v>
      </c>
      <c r="O259" s="57">
        <v>0</v>
      </c>
      <c r="P259" s="57">
        <v>0</v>
      </c>
      <c r="Q259" s="57">
        <v>0</v>
      </c>
      <c r="R259" s="57">
        <v>0</v>
      </c>
      <c r="S259" s="57">
        <v>70</v>
      </c>
      <c r="T259" s="112">
        <v>70</v>
      </c>
    </row>
    <row r="260" spans="1:20" ht="23.4" x14ac:dyDescent="0.25">
      <c r="A260" s="57">
        <v>259</v>
      </c>
      <c r="B260" s="110">
        <v>244027</v>
      </c>
      <c r="C260" s="57" t="s">
        <v>114</v>
      </c>
      <c r="D260" s="57" t="s">
        <v>115</v>
      </c>
      <c r="E260" s="57" t="s">
        <v>116</v>
      </c>
      <c r="F260" s="57" t="s">
        <v>119</v>
      </c>
      <c r="G260" s="57">
        <v>2</v>
      </c>
      <c r="H260" s="57" t="s">
        <v>117</v>
      </c>
      <c r="I260" s="57" t="s">
        <v>4376</v>
      </c>
      <c r="J260" s="57" t="s">
        <v>4377</v>
      </c>
      <c r="K260" s="57" t="s">
        <v>4374</v>
      </c>
      <c r="L260" s="111" t="s">
        <v>4378</v>
      </c>
      <c r="N260" s="57">
        <v>16.66</v>
      </c>
      <c r="O260" s="57">
        <v>0</v>
      </c>
      <c r="P260" s="57">
        <v>0</v>
      </c>
      <c r="Q260" s="57">
        <v>0</v>
      </c>
      <c r="R260" s="57">
        <v>0</v>
      </c>
      <c r="S260" s="57">
        <v>180</v>
      </c>
      <c r="T260" s="112">
        <v>180</v>
      </c>
    </row>
    <row r="261" spans="1:20" ht="23.4" x14ac:dyDescent="0.25">
      <c r="A261" s="57">
        <v>260</v>
      </c>
      <c r="B261" s="110">
        <v>244027</v>
      </c>
      <c r="C261" s="57" t="s">
        <v>114</v>
      </c>
      <c r="D261" s="57" t="s">
        <v>115</v>
      </c>
      <c r="E261" s="57" t="s">
        <v>116</v>
      </c>
      <c r="F261" s="57" t="s">
        <v>119</v>
      </c>
      <c r="G261" s="57">
        <v>2</v>
      </c>
      <c r="H261" s="57" t="s">
        <v>117</v>
      </c>
      <c r="I261" s="57" t="s">
        <v>4379</v>
      </c>
      <c r="J261" s="57" t="s">
        <v>4380</v>
      </c>
      <c r="K261" s="57" t="s">
        <v>4381</v>
      </c>
      <c r="L261" s="111" t="s">
        <v>4382</v>
      </c>
      <c r="N261" s="57">
        <v>0.42799999999999999</v>
      </c>
      <c r="O261" s="57">
        <v>0</v>
      </c>
      <c r="P261" s="57">
        <v>0</v>
      </c>
      <c r="Q261" s="57">
        <v>0</v>
      </c>
      <c r="R261" s="57">
        <v>0</v>
      </c>
      <c r="S261" s="57">
        <v>17</v>
      </c>
      <c r="T261" s="112">
        <v>17</v>
      </c>
    </row>
    <row r="262" spans="1:20" ht="23.4" x14ac:dyDescent="0.25">
      <c r="A262" s="57">
        <v>261</v>
      </c>
      <c r="B262" s="110">
        <v>244027</v>
      </c>
      <c r="C262" s="57" t="s">
        <v>114</v>
      </c>
      <c r="D262" s="57" t="s">
        <v>115</v>
      </c>
      <c r="E262" s="57" t="s">
        <v>116</v>
      </c>
      <c r="F262" s="57" t="s">
        <v>119</v>
      </c>
      <c r="G262" s="57">
        <v>2</v>
      </c>
      <c r="H262" s="57" t="s">
        <v>117</v>
      </c>
      <c r="I262" s="57" t="s">
        <v>4383</v>
      </c>
      <c r="J262" s="57" t="s">
        <v>4384</v>
      </c>
      <c r="K262" s="57" t="s">
        <v>4385</v>
      </c>
      <c r="L262" s="111" t="s">
        <v>4386</v>
      </c>
      <c r="N262" s="57">
        <v>0.38600000000000001</v>
      </c>
      <c r="O262" s="57">
        <v>0</v>
      </c>
      <c r="P262" s="57">
        <v>0</v>
      </c>
      <c r="Q262" s="57">
        <v>0</v>
      </c>
      <c r="R262" s="57">
        <v>0</v>
      </c>
      <c r="S262" s="57">
        <v>17</v>
      </c>
      <c r="T262" s="112">
        <v>17</v>
      </c>
    </row>
    <row r="263" spans="1:20" ht="23.4" x14ac:dyDescent="0.25">
      <c r="A263" s="57">
        <v>262</v>
      </c>
      <c r="B263" s="110">
        <v>244027</v>
      </c>
      <c r="C263" s="57" t="s">
        <v>114</v>
      </c>
      <c r="D263" s="57" t="s">
        <v>115</v>
      </c>
      <c r="E263" s="57" t="s">
        <v>116</v>
      </c>
      <c r="F263" s="57" t="s">
        <v>119</v>
      </c>
      <c r="G263" s="57">
        <v>2</v>
      </c>
      <c r="H263" s="57" t="s">
        <v>117</v>
      </c>
      <c r="I263" s="57" t="s">
        <v>4387</v>
      </c>
      <c r="J263" s="57" t="s">
        <v>123</v>
      </c>
      <c r="K263" s="57" t="s">
        <v>124</v>
      </c>
      <c r="L263" s="111" t="s">
        <v>4388</v>
      </c>
      <c r="N263" s="57">
        <v>0.16200000000000001</v>
      </c>
      <c r="O263" s="57">
        <v>0</v>
      </c>
      <c r="P263" s="57">
        <v>0</v>
      </c>
      <c r="Q263" s="57">
        <v>0</v>
      </c>
      <c r="R263" s="57">
        <v>0</v>
      </c>
      <c r="S263" s="57">
        <v>17</v>
      </c>
      <c r="T263" s="112">
        <v>17</v>
      </c>
    </row>
    <row r="264" spans="1:20" ht="23.4" x14ac:dyDescent="0.25">
      <c r="A264" s="57">
        <v>263</v>
      </c>
      <c r="B264" s="110">
        <v>244027</v>
      </c>
      <c r="C264" s="57" t="s">
        <v>114</v>
      </c>
      <c r="D264" s="57" t="s">
        <v>115</v>
      </c>
      <c r="E264" s="57" t="s">
        <v>116</v>
      </c>
      <c r="F264" s="57" t="s">
        <v>119</v>
      </c>
      <c r="G264" s="57">
        <v>2</v>
      </c>
      <c r="H264" s="57" t="s">
        <v>117</v>
      </c>
      <c r="I264" s="57" t="s">
        <v>4389</v>
      </c>
      <c r="J264" s="57" t="s">
        <v>4390</v>
      </c>
      <c r="K264" s="57" t="s">
        <v>2954</v>
      </c>
      <c r="L264" s="111" t="s">
        <v>4391</v>
      </c>
      <c r="N264" s="57">
        <v>0.35399999999999998</v>
      </c>
      <c r="O264" s="57">
        <v>0</v>
      </c>
      <c r="P264" s="57">
        <v>0</v>
      </c>
      <c r="Q264" s="57">
        <v>0</v>
      </c>
      <c r="R264" s="57">
        <v>0</v>
      </c>
      <c r="S264" s="57">
        <v>17</v>
      </c>
      <c r="T264" s="112">
        <v>17</v>
      </c>
    </row>
    <row r="265" spans="1:20" ht="23.4" x14ac:dyDescent="0.25">
      <c r="A265" s="57">
        <v>264</v>
      </c>
      <c r="B265" s="110">
        <v>244028</v>
      </c>
      <c r="C265" s="57" t="s">
        <v>114</v>
      </c>
      <c r="D265" s="57" t="s">
        <v>115</v>
      </c>
      <c r="E265" s="57" t="s">
        <v>116</v>
      </c>
      <c r="F265" s="57" t="s">
        <v>119</v>
      </c>
      <c r="G265" s="57">
        <v>2</v>
      </c>
      <c r="H265" s="57" t="s">
        <v>117</v>
      </c>
      <c r="I265" s="57" t="s">
        <v>4392</v>
      </c>
      <c r="J265" s="57" t="s">
        <v>4393</v>
      </c>
      <c r="K265" s="57" t="s">
        <v>3975</v>
      </c>
      <c r="L265" s="111" t="s">
        <v>4394</v>
      </c>
      <c r="N265" s="57">
        <v>1.264</v>
      </c>
      <c r="O265" s="57">
        <v>230</v>
      </c>
      <c r="P265" s="57">
        <v>3.45</v>
      </c>
      <c r="Q265" s="57">
        <v>0.24149999999999999</v>
      </c>
      <c r="R265" s="57">
        <v>0</v>
      </c>
      <c r="S265" s="57">
        <v>22</v>
      </c>
      <c r="T265" s="112">
        <v>25.69</v>
      </c>
    </row>
    <row r="266" spans="1:20" ht="23.4" x14ac:dyDescent="0.25">
      <c r="A266" s="57">
        <v>265</v>
      </c>
      <c r="B266" s="110">
        <v>244028</v>
      </c>
      <c r="C266" s="57" t="s">
        <v>114</v>
      </c>
      <c r="D266" s="57" t="s">
        <v>115</v>
      </c>
      <c r="E266" s="57" t="s">
        <v>116</v>
      </c>
      <c r="F266" s="57" t="s">
        <v>119</v>
      </c>
      <c r="G266" s="57">
        <v>2</v>
      </c>
      <c r="H266" s="57" t="s">
        <v>117</v>
      </c>
      <c r="I266" s="57" t="s">
        <v>4395</v>
      </c>
      <c r="J266" s="57" t="s">
        <v>4396</v>
      </c>
      <c r="K266" s="57" t="s">
        <v>4397</v>
      </c>
      <c r="L266" s="111" t="s">
        <v>4398</v>
      </c>
      <c r="N266" s="57">
        <v>0.67800000000000005</v>
      </c>
      <c r="O266" s="57">
        <v>130</v>
      </c>
      <c r="P266" s="57">
        <v>1.95</v>
      </c>
      <c r="Q266" s="57">
        <v>0.13650000000000001</v>
      </c>
      <c r="R266" s="57">
        <v>0</v>
      </c>
      <c r="S266" s="57">
        <v>17</v>
      </c>
      <c r="T266" s="112">
        <v>19.09</v>
      </c>
    </row>
    <row r="267" spans="1:20" ht="23.4" x14ac:dyDescent="0.25">
      <c r="A267" s="57">
        <v>266</v>
      </c>
      <c r="B267" s="110">
        <v>244028</v>
      </c>
      <c r="C267" s="57" t="s">
        <v>114</v>
      </c>
      <c r="D267" s="57" t="s">
        <v>115</v>
      </c>
      <c r="E267" s="57" t="s">
        <v>116</v>
      </c>
      <c r="F267" s="57" t="s">
        <v>119</v>
      </c>
      <c r="G267" s="57">
        <v>2</v>
      </c>
      <c r="H267" s="57" t="s">
        <v>117</v>
      </c>
      <c r="I267" s="57" t="s">
        <v>4399</v>
      </c>
      <c r="J267" s="57" t="s">
        <v>4400</v>
      </c>
      <c r="K267" s="57" t="s">
        <v>4401</v>
      </c>
      <c r="L267" s="111" t="s">
        <v>4402</v>
      </c>
      <c r="N267" s="57">
        <v>0.83599999999999997</v>
      </c>
      <c r="O267" s="57">
        <v>130</v>
      </c>
      <c r="P267" s="57">
        <v>1.95</v>
      </c>
      <c r="Q267" s="57">
        <v>0.13650000000000001</v>
      </c>
      <c r="R267" s="57">
        <v>0</v>
      </c>
      <c r="S267" s="57">
        <v>17</v>
      </c>
      <c r="T267" s="112">
        <v>19.09</v>
      </c>
    </row>
    <row r="268" spans="1:20" ht="23.4" x14ac:dyDescent="0.25">
      <c r="A268" s="57">
        <v>267</v>
      </c>
      <c r="B268" s="110">
        <v>244028</v>
      </c>
      <c r="C268" s="57" t="s">
        <v>114</v>
      </c>
      <c r="D268" s="57" t="s">
        <v>115</v>
      </c>
      <c r="E268" s="57" t="s">
        <v>116</v>
      </c>
      <c r="F268" s="57" t="s">
        <v>119</v>
      </c>
      <c r="G268" s="57">
        <v>2</v>
      </c>
      <c r="H268" s="57" t="s">
        <v>117</v>
      </c>
      <c r="I268" s="57" t="s">
        <v>4403</v>
      </c>
      <c r="J268" s="57" t="s">
        <v>4404</v>
      </c>
      <c r="K268" s="57" t="s">
        <v>4405</v>
      </c>
      <c r="L268" s="111" t="s">
        <v>4406</v>
      </c>
      <c r="N268" s="57">
        <v>0.67600000000000005</v>
      </c>
      <c r="O268" s="57">
        <v>130</v>
      </c>
      <c r="P268" s="57">
        <v>1.95</v>
      </c>
      <c r="Q268" s="57">
        <v>0.13650000000000001</v>
      </c>
      <c r="R268" s="57">
        <v>0</v>
      </c>
      <c r="S268" s="57">
        <v>17</v>
      </c>
      <c r="T268" s="112">
        <v>19.09</v>
      </c>
    </row>
    <row r="269" spans="1:20" ht="23.4" x14ac:dyDescent="0.25">
      <c r="A269" s="57">
        <v>268</v>
      </c>
      <c r="B269" s="110">
        <v>244028</v>
      </c>
      <c r="C269" s="57" t="s">
        <v>114</v>
      </c>
      <c r="D269" s="57" t="s">
        <v>115</v>
      </c>
      <c r="E269" s="57" t="s">
        <v>116</v>
      </c>
      <c r="F269" s="57" t="s">
        <v>119</v>
      </c>
      <c r="G269" s="57">
        <v>2</v>
      </c>
      <c r="H269" s="57" t="s">
        <v>117</v>
      </c>
      <c r="I269" s="57" t="s">
        <v>4407</v>
      </c>
      <c r="J269" s="57" t="s">
        <v>4408</v>
      </c>
      <c r="K269" s="57" t="s">
        <v>4409</v>
      </c>
      <c r="L269" s="111" t="s">
        <v>4410</v>
      </c>
      <c r="N269" s="57">
        <v>0.66800000000000004</v>
      </c>
      <c r="O269" s="57">
        <v>130</v>
      </c>
      <c r="P269" s="57">
        <v>1.95</v>
      </c>
      <c r="Q269" s="57">
        <v>0.13650000000000001</v>
      </c>
      <c r="R269" s="57">
        <v>0</v>
      </c>
      <c r="S269" s="57">
        <v>17</v>
      </c>
      <c r="T269" s="112">
        <v>19.09</v>
      </c>
    </row>
    <row r="270" spans="1:20" ht="23.4" x14ac:dyDescent="0.25">
      <c r="A270" s="57">
        <v>269</v>
      </c>
      <c r="B270" s="110">
        <v>244028</v>
      </c>
      <c r="C270" s="57" t="s">
        <v>114</v>
      </c>
      <c r="D270" s="57" t="s">
        <v>115</v>
      </c>
      <c r="E270" s="57" t="s">
        <v>116</v>
      </c>
      <c r="F270" s="57" t="s">
        <v>119</v>
      </c>
      <c r="G270" s="57">
        <v>2</v>
      </c>
      <c r="H270" s="57" t="s">
        <v>117</v>
      </c>
      <c r="I270" s="57" t="s">
        <v>4411</v>
      </c>
      <c r="J270" s="57" t="s">
        <v>4412</v>
      </c>
      <c r="K270" s="57" t="s">
        <v>4413</v>
      </c>
      <c r="L270" s="111" t="s">
        <v>4414</v>
      </c>
      <c r="N270" s="57">
        <v>1.222</v>
      </c>
      <c r="O270" s="57">
        <v>230</v>
      </c>
      <c r="P270" s="57">
        <v>3.45</v>
      </c>
      <c r="Q270" s="57">
        <v>0.24149999999999999</v>
      </c>
      <c r="R270" s="57">
        <v>0</v>
      </c>
      <c r="S270" s="57">
        <v>22</v>
      </c>
      <c r="T270" s="112">
        <v>25.69</v>
      </c>
    </row>
    <row r="271" spans="1:20" ht="23.4" x14ac:dyDescent="0.25">
      <c r="A271" s="57">
        <v>270</v>
      </c>
      <c r="B271" s="110">
        <v>244028</v>
      </c>
      <c r="C271" s="57" t="s">
        <v>114</v>
      </c>
      <c r="D271" s="57" t="s">
        <v>115</v>
      </c>
      <c r="E271" s="57" t="s">
        <v>116</v>
      </c>
      <c r="F271" s="57" t="s">
        <v>119</v>
      </c>
      <c r="G271" s="57">
        <v>2</v>
      </c>
      <c r="H271" s="57" t="s">
        <v>117</v>
      </c>
      <c r="I271" s="57" t="s">
        <v>4415</v>
      </c>
      <c r="J271" s="57" t="s">
        <v>4416</v>
      </c>
      <c r="K271" s="57" t="s">
        <v>4417</v>
      </c>
      <c r="L271" s="111" t="s">
        <v>4418</v>
      </c>
      <c r="N271" s="57">
        <v>0.65800000000000003</v>
      </c>
      <c r="O271" s="57">
        <v>130</v>
      </c>
      <c r="P271" s="57">
        <v>1.95</v>
      </c>
      <c r="Q271" s="57">
        <v>0.13650000000000001</v>
      </c>
      <c r="R271" s="57">
        <v>0</v>
      </c>
      <c r="S271" s="57">
        <v>17</v>
      </c>
      <c r="T271" s="112">
        <v>19.09</v>
      </c>
    </row>
    <row r="272" spans="1:20" ht="23.4" x14ac:dyDescent="0.25">
      <c r="A272" s="57">
        <v>271</v>
      </c>
      <c r="B272" s="110">
        <v>244028</v>
      </c>
      <c r="C272" s="57" t="s">
        <v>114</v>
      </c>
      <c r="D272" s="57" t="s">
        <v>115</v>
      </c>
      <c r="E272" s="57" t="s">
        <v>116</v>
      </c>
      <c r="F272" s="57" t="s">
        <v>119</v>
      </c>
      <c r="G272" s="57">
        <v>2</v>
      </c>
      <c r="H272" s="57" t="s">
        <v>117</v>
      </c>
      <c r="I272" s="57" t="s">
        <v>4419</v>
      </c>
      <c r="J272" s="57" t="s">
        <v>4420</v>
      </c>
      <c r="K272" s="57" t="s">
        <v>3624</v>
      </c>
      <c r="L272" s="111" t="s">
        <v>3625</v>
      </c>
      <c r="N272" s="57">
        <v>0.86399999999999999</v>
      </c>
      <c r="O272" s="57">
        <v>0</v>
      </c>
      <c r="P272" s="57">
        <v>0</v>
      </c>
      <c r="Q272" s="57">
        <v>0</v>
      </c>
      <c r="R272" s="57">
        <v>0</v>
      </c>
      <c r="S272" s="57">
        <v>17</v>
      </c>
      <c r="T272" s="112">
        <v>17</v>
      </c>
    </row>
    <row r="273" spans="1:20" ht="23.4" x14ac:dyDescent="0.25">
      <c r="A273" s="57">
        <v>272</v>
      </c>
      <c r="B273" s="110">
        <v>244028</v>
      </c>
      <c r="C273" s="57" t="s">
        <v>114</v>
      </c>
      <c r="D273" s="57" t="s">
        <v>115</v>
      </c>
      <c r="E273" s="57" t="s">
        <v>116</v>
      </c>
      <c r="F273" s="57" t="s">
        <v>119</v>
      </c>
      <c r="G273" s="57">
        <v>2</v>
      </c>
      <c r="H273" s="57" t="s">
        <v>117</v>
      </c>
      <c r="I273" s="57" t="s">
        <v>4421</v>
      </c>
      <c r="J273" s="57" t="s">
        <v>3578</v>
      </c>
      <c r="K273" s="57" t="s">
        <v>3579</v>
      </c>
      <c r="L273" s="111" t="s">
        <v>3580</v>
      </c>
      <c r="N273" s="57">
        <v>1.282</v>
      </c>
      <c r="O273" s="57">
        <v>230</v>
      </c>
      <c r="P273" s="57">
        <v>3.45</v>
      </c>
      <c r="Q273" s="57">
        <v>0.24149999999999999</v>
      </c>
      <c r="R273" s="57">
        <v>0</v>
      </c>
      <c r="S273" s="57">
        <v>22</v>
      </c>
      <c r="T273" s="112">
        <v>25.69</v>
      </c>
    </row>
    <row r="274" spans="1:20" ht="23.4" x14ac:dyDescent="0.25">
      <c r="A274" s="57">
        <v>273</v>
      </c>
      <c r="B274" s="110">
        <v>244028</v>
      </c>
      <c r="C274" s="57" t="s">
        <v>114</v>
      </c>
      <c r="D274" s="57" t="s">
        <v>115</v>
      </c>
      <c r="E274" s="57" t="s">
        <v>116</v>
      </c>
      <c r="F274" s="57" t="s">
        <v>119</v>
      </c>
      <c r="G274" s="57">
        <v>2</v>
      </c>
      <c r="H274" s="57" t="s">
        <v>117</v>
      </c>
      <c r="I274" s="57" t="s">
        <v>4422</v>
      </c>
      <c r="J274" s="57" t="s">
        <v>4423</v>
      </c>
      <c r="K274" s="57" t="s">
        <v>4424</v>
      </c>
      <c r="L274" s="111" t="s">
        <v>4425</v>
      </c>
      <c r="N274" s="57">
        <v>1.1319999999999999</v>
      </c>
      <c r="O274" s="57">
        <v>280</v>
      </c>
      <c r="P274" s="57">
        <v>4.2</v>
      </c>
      <c r="Q274" s="57">
        <v>0.29399999999999998</v>
      </c>
      <c r="R274" s="57">
        <v>0</v>
      </c>
      <c r="S274" s="57">
        <v>22</v>
      </c>
      <c r="T274" s="112">
        <v>26.49</v>
      </c>
    </row>
    <row r="275" spans="1:20" ht="23.4" x14ac:dyDescent="0.25">
      <c r="A275" s="57">
        <v>274</v>
      </c>
      <c r="B275" s="110">
        <v>244028</v>
      </c>
      <c r="C275" s="57" t="s">
        <v>114</v>
      </c>
      <c r="D275" s="57" t="s">
        <v>115</v>
      </c>
      <c r="E275" s="57" t="s">
        <v>116</v>
      </c>
      <c r="F275" s="57" t="s">
        <v>119</v>
      </c>
      <c r="G275" s="57">
        <v>2</v>
      </c>
      <c r="H275" s="57" t="s">
        <v>117</v>
      </c>
      <c r="I275" s="57" t="s">
        <v>4426</v>
      </c>
      <c r="J275" s="57" t="s">
        <v>3743</v>
      </c>
      <c r="K275" s="57" t="s">
        <v>3744</v>
      </c>
      <c r="L275" s="111" t="s">
        <v>3745</v>
      </c>
      <c r="N275" s="57">
        <v>0.66400000000000003</v>
      </c>
      <c r="O275" s="57">
        <v>130</v>
      </c>
      <c r="P275" s="57">
        <v>1.95</v>
      </c>
      <c r="Q275" s="57">
        <v>0.13650000000000001</v>
      </c>
      <c r="R275" s="57">
        <v>0</v>
      </c>
      <c r="S275" s="57">
        <v>17</v>
      </c>
      <c r="T275" s="112">
        <v>19.09</v>
      </c>
    </row>
    <row r="276" spans="1:20" ht="23.4" x14ac:dyDescent="0.25">
      <c r="A276" s="57">
        <v>275</v>
      </c>
      <c r="B276" s="110">
        <v>244028</v>
      </c>
      <c r="C276" s="57" t="s">
        <v>114</v>
      </c>
      <c r="D276" s="57" t="s">
        <v>115</v>
      </c>
      <c r="E276" s="57" t="s">
        <v>116</v>
      </c>
      <c r="F276" s="57" t="s">
        <v>119</v>
      </c>
      <c r="G276" s="57">
        <v>2</v>
      </c>
      <c r="H276" s="57" t="s">
        <v>117</v>
      </c>
      <c r="I276" s="57" t="s">
        <v>4427</v>
      </c>
      <c r="J276" s="57" t="s">
        <v>4428</v>
      </c>
      <c r="K276" s="57" t="s">
        <v>4429</v>
      </c>
      <c r="L276" s="111" t="s">
        <v>4430</v>
      </c>
      <c r="N276" s="57">
        <v>0.80800000000000005</v>
      </c>
      <c r="O276" s="57">
        <v>130</v>
      </c>
      <c r="P276" s="57">
        <v>1.95</v>
      </c>
      <c r="Q276" s="57">
        <v>0.13650000000000001</v>
      </c>
      <c r="R276" s="57">
        <v>0</v>
      </c>
      <c r="S276" s="57">
        <v>17</v>
      </c>
      <c r="T276" s="112">
        <v>19.09</v>
      </c>
    </row>
    <row r="277" spans="1:20" ht="23.4" x14ac:dyDescent="0.25">
      <c r="A277" s="57">
        <v>276</v>
      </c>
      <c r="B277" s="110">
        <v>244028</v>
      </c>
      <c r="C277" s="57" t="s">
        <v>114</v>
      </c>
      <c r="D277" s="57" t="s">
        <v>115</v>
      </c>
      <c r="E277" s="57" t="s">
        <v>116</v>
      </c>
      <c r="F277" s="57" t="s">
        <v>119</v>
      </c>
      <c r="G277" s="57">
        <v>2</v>
      </c>
      <c r="H277" s="57" t="s">
        <v>117</v>
      </c>
      <c r="I277" s="57" t="s">
        <v>4431</v>
      </c>
      <c r="J277" s="57" t="s">
        <v>4432</v>
      </c>
      <c r="K277" s="57" t="s">
        <v>4433</v>
      </c>
      <c r="L277" s="111" t="s">
        <v>4434</v>
      </c>
      <c r="N277" s="57">
        <v>1.1439999999999999</v>
      </c>
      <c r="O277" s="57">
        <v>230</v>
      </c>
      <c r="P277" s="57">
        <v>3.45</v>
      </c>
      <c r="Q277" s="57">
        <v>0.24149999999999999</v>
      </c>
      <c r="R277" s="57">
        <v>0</v>
      </c>
      <c r="S277" s="57">
        <v>22</v>
      </c>
      <c r="T277" s="112">
        <v>25.69</v>
      </c>
    </row>
    <row r="278" spans="1:20" ht="23.4" x14ac:dyDescent="0.25">
      <c r="A278" s="57">
        <v>277</v>
      </c>
      <c r="B278" s="110">
        <v>244028</v>
      </c>
      <c r="C278" s="57" t="s">
        <v>114</v>
      </c>
      <c r="D278" s="57" t="s">
        <v>115</v>
      </c>
      <c r="E278" s="57" t="s">
        <v>116</v>
      </c>
      <c r="F278" s="57" t="s">
        <v>119</v>
      </c>
      <c r="G278" s="57">
        <v>2</v>
      </c>
      <c r="H278" s="57" t="s">
        <v>117</v>
      </c>
      <c r="I278" s="57" t="s">
        <v>4435</v>
      </c>
      <c r="J278" s="57" t="s">
        <v>4116</v>
      </c>
      <c r="K278" s="57" t="s">
        <v>4117</v>
      </c>
      <c r="L278" s="111" t="s">
        <v>4118</v>
      </c>
      <c r="N278" s="57">
        <v>0.55800000000000005</v>
      </c>
      <c r="O278" s="57">
        <v>0</v>
      </c>
      <c r="P278" s="57">
        <v>0</v>
      </c>
      <c r="Q278" s="57">
        <v>0</v>
      </c>
      <c r="R278" s="57">
        <v>0</v>
      </c>
      <c r="S278" s="57">
        <v>17</v>
      </c>
      <c r="T278" s="112">
        <v>17</v>
      </c>
    </row>
    <row r="279" spans="1:20" ht="23.4" x14ac:dyDescent="0.25">
      <c r="A279" s="57">
        <v>278</v>
      </c>
      <c r="B279" s="110">
        <v>244028</v>
      </c>
      <c r="C279" s="57" t="s">
        <v>114</v>
      </c>
      <c r="D279" s="57" t="s">
        <v>115</v>
      </c>
      <c r="E279" s="57" t="s">
        <v>116</v>
      </c>
      <c r="F279" s="57" t="s">
        <v>119</v>
      </c>
      <c r="G279" s="57">
        <v>2</v>
      </c>
      <c r="H279" s="57" t="s">
        <v>117</v>
      </c>
      <c r="I279" s="57" t="s">
        <v>4436</v>
      </c>
      <c r="J279" s="57" t="s">
        <v>4437</v>
      </c>
      <c r="K279" s="57" t="s">
        <v>4438</v>
      </c>
      <c r="L279" s="111" t="s">
        <v>4439</v>
      </c>
      <c r="N279" s="57">
        <v>0.996</v>
      </c>
      <c r="O279" s="57">
        <v>0</v>
      </c>
      <c r="P279" s="57">
        <v>0</v>
      </c>
      <c r="Q279" s="57">
        <v>0</v>
      </c>
      <c r="R279" s="57">
        <v>0</v>
      </c>
      <c r="S279" s="57">
        <v>17</v>
      </c>
      <c r="T279" s="112">
        <v>17</v>
      </c>
    </row>
    <row r="280" spans="1:20" ht="23.4" x14ac:dyDescent="0.25">
      <c r="A280" s="57">
        <v>279</v>
      </c>
      <c r="B280" s="110">
        <v>244028</v>
      </c>
      <c r="C280" s="57" t="s">
        <v>114</v>
      </c>
      <c r="D280" s="57" t="s">
        <v>115</v>
      </c>
      <c r="E280" s="57" t="s">
        <v>116</v>
      </c>
      <c r="F280" s="57" t="s">
        <v>119</v>
      </c>
      <c r="G280" s="57">
        <v>2</v>
      </c>
      <c r="H280" s="57" t="s">
        <v>117</v>
      </c>
      <c r="I280" s="57" t="s">
        <v>4440</v>
      </c>
      <c r="J280" s="57" t="s">
        <v>4441</v>
      </c>
      <c r="K280" s="57" t="s">
        <v>4442</v>
      </c>
      <c r="L280" s="111" t="s">
        <v>4443</v>
      </c>
      <c r="N280" s="57">
        <v>0.84399999999999997</v>
      </c>
      <c r="O280" s="57">
        <v>0</v>
      </c>
      <c r="P280" s="57">
        <v>0</v>
      </c>
      <c r="Q280" s="57">
        <v>0</v>
      </c>
      <c r="R280" s="57">
        <v>0</v>
      </c>
      <c r="S280" s="57">
        <v>17</v>
      </c>
      <c r="T280" s="112">
        <v>17</v>
      </c>
    </row>
    <row r="281" spans="1:20" ht="23.4" x14ac:dyDescent="0.25">
      <c r="A281" s="57">
        <v>280</v>
      </c>
      <c r="B281" s="110">
        <v>244028</v>
      </c>
      <c r="C281" s="57" t="s">
        <v>114</v>
      </c>
      <c r="D281" s="57" t="s">
        <v>115</v>
      </c>
      <c r="E281" s="57" t="s">
        <v>116</v>
      </c>
      <c r="F281" s="57" t="s">
        <v>119</v>
      </c>
      <c r="G281" s="57">
        <v>2</v>
      </c>
      <c r="H281" s="57" t="s">
        <v>117</v>
      </c>
      <c r="I281" s="57" t="s">
        <v>4444</v>
      </c>
      <c r="J281" s="57" t="s">
        <v>4445</v>
      </c>
      <c r="K281" s="57" t="s">
        <v>4446</v>
      </c>
      <c r="L281" s="111" t="s">
        <v>4447</v>
      </c>
      <c r="N281" s="57">
        <v>1.26</v>
      </c>
      <c r="O281" s="57">
        <v>0</v>
      </c>
      <c r="P281" s="57">
        <v>0</v>
      </c>
      <c r="Q281" s="57">
        <v>0</v>
      </c>
      <c r="R281" s="57">
        <v>0</v>
      </c>
      <c r="S281" s="57">
        <v>22</v>
      </c>
      <c r="T281" s="112">
        <v>22</v>
      </c>
    </row>
    <row r="282" spans="1:20" ht="23.4" x14ac:dyDescent="0.25">
      <c r="A282" s="57">
        <v>281</v>
      </c>
      <c r="B282" s="110">
        <v>244028</v>
      </c>
      <c r="C282" s="57" t="s">
        <v>114</v>
      </c>
      <c r="D282" s="57" t="s">
        <v>115</v>
      </c>
      <c r="E282" s="57" t="s">
        <v>116</v>
      </c>
      <c r="F282" s="57" t="s">
        <v>119</v>
      </c>
      <c r="G282" s="57">
        <v>2</v>
      </c>
      <c r="H282" s="57" t="s">
        <v>117</v>
      </c>
      <c r="I282" s="57" t="s">
        <v>4448</v>
      </c>
      <c r="J282" s="57" t="s">
        <v>4449</v>
      </c>
      <c r="K282" s="57" t="s">
        <v>3079</v>
      </c>
      <c r="L282" s="111" t="s">
        <v>4450</v>
      </c>
      <c r="N282" s="57">
        <v>1.8540000000000001</v>
      </c>
      <c r="O282" s="57">
        <v>0</v>
      </c>
      <c r="P282" s="57">
        <v>0</v>
      </c>
      <c r="Q282" s="57">
        <v>0</v>
      </c>
      <c r="R282" s="57">
        <v>0</v>
      </c>
      <c r="S282" s="57">
        <v>22</v>
      </c>
      <c r="T282" s="112">
        <v>22</v>
      </c>
    </row>
    <row r="283" spans="1:20" ht="23.4" x14ac:dyDescent="0.25">
      <c r="A283" s="57">
        <v>282</v>
      </c>
      <c r="B283" s="110">
        <v>244028</v>
      </c>
      <c r="C283" s="57" t="s">
        <v>114</v>
      </c>
      <c r="D283" s="57" t="s">
        <v>115</v>
      </c>
      <c r="E283" s="57" t="s">
        <v>116</v>
      </c>
      <c r="F283" s="57" t="s">
        <v>119</v>
      </c>
      <c r="G283" s="57">
        <v>2</v>
      </c>
      <c r="H283" s="57" t="s">
        <v>117</v>
      </c>
      <c r="I283" s="57" t="s">
        <v>4451</v>
      </c>
      <c r="J283" s="57" t="s">
        <v>4452</v>
      </c>
      <c r="K283" s="57" t="s">
        <v>4453</v>
      </c>
      <c r="L283" s="111" t="s">
        <v>4454</v>
      </c>
      <c r="N283" s="57">
        <v>0.92400000000000004</v>
      </c>
      <c r="O283" s="57">
        <v>0</v>
      </c>
      <c r="P283" s="57">
        <v>0</v>
      </c>
      <c r="Q283" s="57">
        <v>0</v>
      </c>
      <c r="R283" s="57">
        <v>0</v>
      </c>
      <c r="S283" s="57">
        <v>17</v>
      </c>
      <c r="T283" s="112">
        <v>17</v>
      </c>
    </row>
    <row r="284" spans="1:20" ht="23.4" x14ac:dyDescent="0.25">
      <c r="A284" s="57">
        <v>283</v>
      </c>
      <c r="B284" s="110">
        <v>244029</v>
      </c>
      <c r="C284" s="57" t="s">
        <v>114</v>
      </c>
      <c r="D284" s="57" t="s">
        <v>115</v>
      </c>
      <c r="E284" s="57" t="s">
        <v>116</v>
      </c>
      <c r="F284" s="57" t="s">
        <v>119</v>
      </c>
      <c r="G284" s="57">
        <v>2</v>
      </c>
      <c r="H284" s="57" t="s">
        <v>117</v>
      </c>
      <c r="I284" s="57" t="s">
        <v>4455</v>
      </c>
      <c r="J284" s="57" t="s">
        <v>4456</v>
      </c>
      <c r="K284" s="57" t="s">
        <v>4457</v>
      </c>
      <c r="L284" s="111" t="s">
        <v>4458</v>
      </c>
      <c r="N284" s="57">
        <v>0.72199999999999998</v>
      </c>
      <c r="O284" s="57">
        <v>0</v>
      </c>
      <c r="P284" s="57">
        <v>0</v>
      </c>
      <c r="Q284" s="57">
        <v>0</v>
      </c>
      <c r="R284" s="57">
        <v>0</v>
      </c>
      <c r="S284" s="57">
        <v>17</v>
      </c>
      <c r="T284" s="112">
        <v>17</v>
      </c>
    </row>
    <row r="285" spans="1:20" ht="23.4" x14ac:dyDescent="0.25">
      <c r="A285" s="57">
        <v>284</v>
      </c>
      <c r="B285" s="110">
        <v>244029</v>
      </c>
      <c r="C285" s="57" t="s">
        <v>114</v>
      </c>
      <c r="D285" s="57" t="s">
        <v>115</v>
      </c>
      <c r="E285" s="57" t="s">
        <v>116</v>
      </c>
      <c r="F285" s="57" t="s">
        <v>119</v>
      </c>
      <c r="G285" s="57">
        <v>2</v>
      </c>
      <c r="H285" s="57" t="s">
        <v>117</v>
      </c>
      <c r="I285" s="57" t="s">
        <v>4459</v>
      </c>
      <c r="J285" s="57" t="s">
        <v>4460</v>
      </c>
      <c r="K285" s="57" t="s">
        <v>4461</v>
      </c>
      <c r="L285" s="111" t="s">
        <v>4462</v>
      </c>
      <c r="N285" s="57">
        <v>1.268</v>
      </c>
      <c r="O285" s="57">
        <v>0</v>
      </c>
      <c r="P285" s="57">
        <v>0</v>
      </c>
      <c r="Q285" s="57">
        <v>0</v>
      </c>
      <c r="R285" s="57">
        <v>0</v>
      </c>
      <c r="S285" s="57">
        <v>22</v>
      </c>
      <c r="T285" s="112">
        <v>22</v>
      </c>
    </row>
    <row r="286" spans="1:20" ht="23.4" x14ac:dyDescent="0.25">
      <c r="A286" s="57">
        <v>285</v>
      </c>
      <c r="B286" s="110">
        <v>244029</v>
      </c>
      <c r="C286" s="57" t="s">
        <v>114</v>
      </c>
      <c r="D286" s="57" t="s">
        <v>115</v>
      </c>
      <c r="E286" s="57" t="s">
        <v>116</v>
      </c>
      <c r="F286" s="57" t="s">
        <v>119</v>
      </c>
      <c r="G286" s="57">
        <v>2</v>
      </c>
      <c r="H286" s="57" t="s">
        <v>117</v>
      </c>
      <c r="I286" s="57" t="s">
        <v>4463</v>
      </c>
      <c r="J286" s="57" t="s">
        <v>4464</v>
      </c>
      <c r="K286" s="57" t="s">
        <v>4465</v>
      </c>
      <c r="L286" s="111" t="s">
        <v>4466</v>
      </c>
      <c r="N286" s="57">
        <v>0.69</v>
      </c>
      <c r="O286" s="57">
        <v>0</v>
      </c>
      <c r="P286" s="57">
        <v>0</v>
      </c>
      <c r="Q286" s="57">
        <v>0</v>
      </c>
      <c r="R286" s="57">
        <v>0</v>
      </c>
      <c r="S286" s="57">
        <v>17</v>
      </c>
      <c r="T286" s="112">
        <v>17</v>
      </c>
    </row>
    <row r="287" spans="1:20" ht="23.4" x14ac:dyDescent="0.25">
      <c r="A287" s="57">
        <v>286</v>
      </c>
      <c r="B287" s="110">
        <v>244029</v>
      </c>
      <c r="C287" s="57" t="s">
        <v>114</v>
      </c>
      <c r="D287" s="57" t="s">
        <v>115</v>
      </c>
      <c r="E287" s="57" t="s">
        <v>116</v>
      </c>
      <c r="F287" s="57" t="s">
        <v>119</v>
      </c>
      <c r="G287" s="57">
        <v>2</v>
      </c>
      <c r="H287" s="57" t="s">
        <v>117</v>
      </c>
      <c r="I287" s="57" t="s">
        <v>4467</v>
      </c>
      <c r="J287" s="57" t="s">
        <v>4468</v>
      </c>
      <c r="K287" s="57" t="s">
        <v>4469</v>
      </c>
      <c r="L287" s="111" t="s">
        <v>4470</v>
      </c>
      <c r="N287" s="57">
        <v>1.222</v>
      </c>
      <c r="O287" s="57">
        <v>0</v>
      </c>
      <c r="P287" s="57">
        <v>0</v>
      </c>
      <c r="Q287" s="57">
        <v>0</v>
      </c>
      <c r="R287" s="57">
        <v>0</v>
      </c>
      <c r="S287" s="57">
        <v>22</v>
      </c>
      <c r="T287" s="112">
        <v>22</v>
      </c>
    </row>
    <row r="288" spans="1:20" ht="23.4" x14ac:dyDescent="0.25">
      <c r="A288" s="57">
        <v>287</v>
      </c>
      <c r="B288" s="110">
        <v>244029</v>
      </c>
      <c r="C288" s="57" t="s">
        <v>114</v>
      </c>
      <c r="D288" s="57" t="s">
        <v>115</v>
      </c>
      <c r="E288" s="57" t="s">
        <v>116</v>
      </c>
      <c r="F288" s="57" t="s">
        <v>119</v>
      </c>
      <c r="G288" s="57">
        <v>2</v>
      </c>
      <c r="H288" s="57" t="s">
        <v>117</v>
      </c>
      <c r="I288" s="57" t="s">
        <v>4471</v>
      </c>
      <c r="J288" s="57" t="s">
        <v>2465</v>
      </c>
      <c r="K288" s="57" t="s">
        <v>2466</v>
      </c>
      <c r="L288" s="111" t="s">
        <v>2467</v>
      </c>
      <c r="N288" s="57">
        <v>0.59799999999999998</v>
      </c>
      <c r="O288" s="57">
        <v>130</v>
      </c>
      <c r="P288" s="57">
        <v>1.95</v>
      </c>
      <c r="Q288" s="57">
        <v>0.13650000000000001</v>
      </c>
      <c r="R288" s="57">
        <v>0</v>
      </c>
      <c r="S288" s="57">
        <v>17</v>
      </c>
      <c r="T288" s="112">
        <v>19.09</v>
      </c>
    </row>
    <row r="289" spans="1:20" ht="23.4" x14ac:dyDescent="0.25">
      <c r="A289" s="57">
        <v>288</v>
      </c>
      <c r="B289" s="110">
        <v>244029</v>
      </c>
      <c r="C289" s="57" t="s">
        <v>114</v>
      </c>
      <c r="D289" s="57" t="s">
        <v>115</v>
      </c>
      <c r="E289" s="57" t="s">
        <v>116</v>
      </c>
      <c r="F289" s="57" t="s">
        <v>119</v>
      </c>
      <c r="G289" s="57">
        <v>2</v>
      </c>
      <c r="H289" s="57" t="s">
        <v>117</v>
      </c>
      <c r="I289" s="57" t="s">
        <v>4472</v>
      </c>
      <c r="J289" s="57" t="s">
        <v>2590</v>
      </c>
      <c r="K289" s="57" t="s">
        <v>2591</v>
      </c>
      <c r="L289" s="111" t="s">
        <v>2592</v>
      </c>
      <c r="N289" s="57">
        <v>1.216</v>
      </c>
      <c r="O289" s="57">
        <v>230</v>
      </c>
      <c r="P289" s="57">
        <v>3.45</v>
      </c>
      <c r="Q289" s="57">
        <v>0.24149999999999999</v>
      </c>
      <c r="R289" s="57">
        <v>0</v>
      </c>
      <c r="S289" s="57">
        <v>22</v>
      </c>
      <c r="T289" s="112">
        <v>25.69</v>
      </c>
    </row>
    <row r="290" spans="1:20" ht="23.4" x14ac:dyDescent="0.25">
      <c r="A290" s="57">
        <v>289</v>
      </c>
      <c r="B290" s="110">
        <v>244029</v>
      </c>
      <c r="C290" s="57" t="s">
        <v>114</v>
      </c>
      <c r="D290" s="57" t="s">
        <v>115</v>
      </c>
      <c r="E290" s="57" t="s">
        <v>116</v>
      </c>
      <c r="F290" s="57" t="s">
        <v>119</v>
      </c>
      <c r="G290" s="57">
        <v>2</v>
      </c>
      <c r="H290" s="57" t="s">
        <v>117</v>
      </c>
      <c r="I290" s="57" t="s">
        <v>4473</v>
      </c>
      <c r="J290" s="57" t="s">
        <v>4474</v>
      </c>
      <c r="K290" s="57" t="s">
        <v>4475</v>
      </c>
      <c r="L290" s="111" t="s">
        <v>4476</v>
      </c>
      <c r="N290" s="57">
        <v>0.65400000000000003</v>
      </c>
      <c r="O290" s="57">
        <v>130</v>
      </c>
      <c r="P290" s="57">
        <v>1.95</v>
      </c>
      <c r="Q290" s="57">
        <v>0.13650000000000001</v>
      </c>
      <c r="R290" s="57">
        <v>0</v>
      </c>
      <c r="S290" s="57">
        <v>17</v>
      </c>
      <c r="T290" s="112">
        <v>19.09</v>
      </c>
    </row>
    <row r="291" spans="1:20" ht="23.4" x14ac:dyDescent="0.25">
      <c r="A291" s="57">
        <v>290</v>
      </c>
      <c r="B291" s="110">
        <v>244029</v>
      </c>
      <c r="C291" s="57" t="s">
        <v>114</v>
      </c>
      <c r="D291" s="57" t="s">
        <v>115</v>
      </c>
      <c r="E291" s="57" t="s">
        <v>116</v>
      </c>
      <c r="F291" s="57" t="s">
        <v>119</v>
      </c>
      <c r="G291" s="57">
        <v>2</v>
      </c>
      <c r="H291" s="57" t="s">
        <v>117</v>
      </c>
      <c r="I291" s="57" t="s">
        <v>4477</v>
      </c>
      <c r="J291" s="57" t="s">
        <v>4478</v>
      </c>
      <c r="K291" s="57" t="s">
        <v>4479</v>
      </c>
      <c r="L291" s="111" t="s">
        <v>4480</v>
      </c>
      <c r="N291" s="57">
        <v>1.194</v>
      </c>
      <c r="O291" s="57">
        <v>230</v>
      </c>
      <c r="P291" s="57">
        <v>3.45</v>
      </c>
      <c r="Q291" s="57">
        <v>0.24149999999999999</v>
      </c>
      <c r="R291" s="57">
        <v>0</v>
      </c>
      <c r="S291" s="57">
        <v>22</v>
      </c>
      <c r="T291" s="112">
        <v>25.69</v>
      </c>
    </row>
    <row r="292" spans="1:20" ht="23.4" x14ac:dyDescent="0.25">
      <c r="A292" s="57">
        <v>291</v>
      </c>
      <c r="B292" s="110">
        <v>244029</v>
      </c>
      <c r="C292" s="57" t="s">
        <v>114</v>
      </c>
      <c r="D292" s="57" t="s">
        <v>115</v>
      </c>
      <c r="E292" s="57" t="s">
        <v>116</v>
      </c>
      <c r="F292" s="57" t="s">
        <v>119</v>
      </c>
      <c r="G292" s="57">
        <v>2</v>
      </c>
      <c r="H292" s="57" t="s">
        <v>117</v>
      </c>
      <c r="I292" s="57" t="s">
        <v>4481</v>
      </c>
      <c r="J292" s="57" t="s">
        <v>4482</v>
      </c>
      <c r="K292" s="57" t="s">
        <v>4483</v>
      </c>
      <c r="L292" s="111" t="s">
        <v>4484</v>
      </c>
      <c r="N292" s="57">
        <v>0.622</v>
      </c>
      <c r="O292" s="57">
        <v>0</v>
      </c>
      <c r="P292" s="57">
        <v>0</v>
      </c>
      <c r="Q292" s="57">
        <v>0</v>
      </c>
      <c r="R292" s="57">
        <v>0</v>
      </c>
      <c r="S292" s="57">
        <v>17</v>
      </c>
      <c r="T292" s="112">
        <v>17</v>
      </c>
    </row>
    <row r="293" spans="1:20" ht="23.4" x14ac:dyDescent="0.25">
      <c r="A293" s="57">
        <v>292</v>
      </c>
      <c r="B293" s="110">
        <v>244029</v>
      </c>
      <c r="C293" s="57" t="s">
        <v>114</v>
      </c>
      <c r="D293" s="57" t="s">
        <v>115</v>
      </c>
      <c r="E293" s="57" t="s">
        <v>116</v>
      </c>
      <c r="F293" s="57" t="s">
        <v>119</v>
      </c>
      <c r="G293" s="57">
        <v>2</v>
      </c>
      <c r="H293" s="57" t="s">
        <v>117</v>
      </c>
      <c r="I293" s="57" t="s">
        <v>4485</v>
      </c>
      <c r="J293" s="57" t="s">
        <v>2465</v>
      </c>
      <c r="K293" s="57" t="s">
        <v>2466</v>
      </c>
      <c r="L293" s="111" t="s">
        <v>2467</v>
      </c>
      <c r="N293" s="57">
        <v>0.59599999999999997</v>
      </c>
      <c r="O293" s="57">
        <v>130</v>
      </c>
      <c r="P293" s="57">
        <v>1.95</v>
      </c>
      <c r="Q293" s="57">
        <v>0.13650000000000001</v>
      </c>
      <c r="R293" s="57">
        <v>0</v>
      </c>
      <c r="S293" s="57">
        <v>17</v>
      </c>
      <c r="T293" s="112">
        <v>19.09</v>
      </c>
    </row>
    <row r="294" spans="1:20" ht="23.4" x14ac:dyDescent="0.25">
      <c r="A294" s="57">
        <v>293</v>
      </c>
      <c r="B294" s="110">
        <v>244029</v>
      </c>
      <c r="C294" s="57" t="s">
        <v>114</v>
      </c>
      <c r="D294" s="57" t="s">
        <v>115</v>
      </c>
      <c r="E294" s="57" t="s">
        <v>116</v>
      </c>
      <c r="F294" s="57" t="s">
        <v>119</v>
      </c>
      <c r="G294" s="57">
        <v>2</v>
      </c>
      <c r="H294" s="57" t="s">
        <v>117</v>
      </c>
      <c r="I294" s="57" t="s">
        <v>4486</v>
      </c>
      <c r="J294" s="57" t="s">
        <v>4487</v>
      </c>
      <c r="K294" s="57" t="s">
        <v>4488</v>
      </c>
      <c r="L294" s="111" t="s">
        <v>4489</v>
      </c>
      <c r="N294" s="57">
        <v>0.61599999999999999</v>
      </c>
      <c r="O294" s="57">
        <v>130</v>
      </c>
      <c r="P294" s="57">
        <v>1.95</v>
      </c>
      <c r="Q294" s="57">
        <v>0.13650000000000001</v>
      </c>
      <c r="R294" s="57">
        <v>0</v>
      </c>
      <c r="S294" s="57">
        <v>17</v>
      </c>
      <c r="T294" s="112">
        <v>19.09</v>
      </c>
    </row>
    <row r="295" spans="1:20" ht="23.4" x14ac:dyDescent="0.25">
      <c r="A295" s="57">
        <v>294</v>
      </c>
      <c r="B295" s="110">
        <v>244029</v>
      </c>
      <c r="C295" s="57" t="s">
        <v>114</v>
      </c>
      <c r="D295" s="57" t="s">
        <v>115</v>
      </c>
      <c r="E295" s="57" t="s">
        <v>116</v>
      </c>
      <c r="F295" s="57" t="s">
        <v>119</v>
      </c>
      <c r="G295" s="57">
        <v>2</v>
      </c>
      <c r="H295" s="57" t="s">
        <v>117</v>
      </c>
      <c r="I295" s="57" t="s">
        <v>4490</v>
      </c>
      <c r="J295" s="57" t="s">
        <v>4333</v>
      </c>
      <c r="K295" s="57" t="s">
        <v>4334</v>
      </c>
      <c r="L295" s="111" t="s">
        <v>4335</v>
      </c>
      <c r="N295" s="57">
        <v>1.1140000000000001</v>
      </c>
      <c r="O295" s="57">
        <v>0</v>
      </c>
      <c r="P295" s="57">
        <v>0</v>
      </c>
      <c r="Q295" s="57">
        <v>0</v>
      </c>
      <c r="R295" s="57">
        <v>0</v>
      </c>
      <c r="S295" s="57">
        <v>22</v>
      </c>
      <c r="T295" s="112">
        <v>22</v>
      </c>
    </row>
    <row r="296" spans="1:20" ht="23.4" x14ac:dyDescent="0.25">
      <c r="A296" s="57">
        <v>295</v>
      </c>
      <c r="B296" s="110">
        <v>244029</v>
      </c>
      <c r="C296" s="57" t="s">
        <v>114</v>
      </c>
      <c r="D296" s="57" t="s">
        <v>115</v>
      </c>
      <c r="E296" s="57" t="s">
        <v>116</v>
      </c>
      <c r="F296" s="57" t="s">
        <v>119</v>
      </c>
      <c r="G296" s="57">
        <v>2</v>
      </c>
      <c r="H296" s="57" t="s">
        <v>117</v>
      </c>
      <c r="I296" s="57" t="s">
        <v>4491</v>
      </c>
      <c r="J296" s="57" t="s">
        <v>1360</v>
      </c>
      <c r="K296" s="57" t="s">
        <v>1361</v>
      </c>
      <c r="L296" s="111" t="s">
        <v>4492</v>
      </c>
      <c r="N296" s="57">
        <v>1.274</v>
      </c>
      <c r="O296" s="57">
        <v>230</v>
      </c>
      <c r="P296" s="57">
        <v>3.45</v>
      </c>
      <c r="Q296" s="57">
        <v>0.24149999999999999</v>
      </c>
      <c r="R296" s="57">
        <v>0</v>
      </c>
      <c r="S296" s="57">
        <v>22</v>
      </c>
      <c r="T296" s="112">
        <v>25.69</v>
      </c>
    </row>
    <row r="297" spans="1:20" ht="23.4" x14ac:dyDescent="0.25">
      <c r="A297" s="57">
        <v>296</v>
      </c>
      <c r="B297" s="110">
        <v>244029</v>
      </c>
      <c r="C297" s="57" t="s">
        <v>114</v>
      </c>
      <c r="D297" s="57" t="s">
        <v>115</v>
      </c>
      <c r="E297" s="57" t="s">
        <v>116</v>
      </c>
      <c r="F297" s="57" t="s">
        <v>119</v>
      </c>
      <c r="G297" s="57">
        <v>2</v>
      </c>
      <c r="H297" s="57" t="s">
        <v>117</v>
      </c>
      <c r="I297" s="57" t="s">
        <v>4493</v>
      </c>
      <c r="J297" s="57" t="s">
        <v>4494</v>
      </c>
      <c r="K297" s="57" t="s">
        <v>4495</v>
      </c>
      <c r="L297" s="111" t="s">
        <v>4496</v>
      </c>
      <c r="N297" s="57">
        <v>0.62</v>
      </c>
      <c r="O297" s="57">
        <v>130</v>
      </c>
      <c r="P297" s="57">
        <v>1.95</v>
      </c>
      <c r="Q297" s="57">
        <v>0.13650000000000001</v>
      </c>
      <c r="R297" s="57">
        <v>0</v>
      </c>
      <c r="S297" s="57">
        <v>17</v>
      </c>
      <c r="T297" s="112">
        <v>19.09</v>
      </c>
    </row>
    <row r="298" spans="1:20" ht="23.4" x14ac:dyDescent="0.25">
      <c r="A298" s="57">
        <v>297</v>
      </c>
      <c r="B298" s="110">
        <v>244029</v>
      </c>
      <c r="C298" s="57" t="s">
        <v>114</v>
      </c>
      <c r="D298" s="57" t="s">
        <v>115</v>
      </c>
      <c r="E298" s="57" t="s">
        <v>116</v>
      </c>
      <c r="F298" s="57" t="s">
        <v>119</v>
      </c>
      <c r="G298" s="57">
        <v>2</v>
      </c>
      <c r="H298" s="57" t="s">
        <v>117</v>
      </c>
      <c r="I298" s="57" t="s">
        <v>4497</v>
      </c>
      <c r="J298" s="57" t="s">
        <v>4498</v>
      </c>
      <c r="K298" s="57" t="s">
        <v>4499</v>
      </c>
      <c r="L298" s="111" t="s">
        <v>4500</v>
      </c>
      <c r="N298" s="57">
        <v>0.60399999999999998</v>
      </c>
      <c r="O298" s="57">
        <v>0</v>
      </c>
      <c r="P298" s="57">
        <v>0</v>
      </c>
      <c r="Q298" s="57">
        <v>0</v>
      </c>
      <c r="R298" s="57">
        <v>0</v>
      </c>
      <c r="S298" s="57">
        <v>17</v>
      </c>
      <c r="T298" s="112">
        <v>17</v>
      </c>
    </row>
    <row r="299" spans="1:20" ht="23.4" x14ac:dyDescent="0.25">
      <c r="A299" s="57">
        <v>298</v>
      </c>
      <c r="B299" s="110">
        <v>244029</v>
      </c>
      <c r="C299" s="57" t="s">
        <v>114</v>
      </c>
      <c r="D299" s="57" t="s">
        <v>115</v>
      </c>
      <c r="E299" s="57" t="s">
        <v>116</v>
      </c>
      <c r="F299" s="57" t="s">
        <v>119</v>
      </c>
      <c r="G299" s="57">
        <v>2</v>
      </c>
      <c r="H299" s="57" t="s">
        <v>117</v>
      </c>
      <c r="I299" s="57" t="s">
        <v>4501</v>
      </c>
      <c r="J299" s="57" t="s">
        <v>4502</v>
      </c>
      <c r="K299" s="57" t="s">
        <v>4503</v>
      </c>
      <c r="L299" s="111" t="s">
        <v>4504</v>
      </c>
      <c r="N299" s="57">
        <v>0.68600000000000005</v>
      </c>
      <c r="O299" s="57">
        <v>130</v>
      </c>
      <c r="P299" s="57">
        <v>1.95</v>
      </c>
      <c r="Q299" s="57">
        <v>0.13650000000000001</v>
      </c>
      <c r="R299" s="57">
        <v>0</v>
      </c>
      <c r="S299" s="57">
        <v>17</v>
      </c>
      <c r="T299" s="112">
        <v>19.09</v>
      </c>
    </row>
    <row r="300" spans="1:20" ht="23.4" x14ac:dyDescent="0.25">
      <c r="A300" s="57">
        <v>299</v>
      </c>
      <c r="B300" s="110">
        <v>244029</v>
      </c>
      <c r="C300" s="57" t="s">
        <v>114</v>
      </c>
      <c r="D300" s="57" t="s">
        <v>115</v>
      </c>
      <c r="E300" s="57" t="s">
        <v>116</v>
      </c>
      <c r="F300" s="57" t="s">
        <v>119</v>
      </c>
      <c r="G300" s="57">
        <v>2</v>
      </c>
      <c r="H300" s="57" t="s">
        <v>117</v>
      </c>
      <c r="I300" s="57" t="s">
        <v>4505</v>
      </c>
      <c r="J300" s="57" t="s">
        <v>4159</v>
      </c>
      <c r="K300" s="57" t="s">
        <v>3611</v>
      </c>
      <c r="L300" s="111" t="s">
        <v>4160</v>
      </c>
      <c r="N300" s="57">
        <v>0.62</v>
      </c>
      <c r="O300" s="57">
        <v>130</v>
      </c>
      <c r="P300" s="57">
        <v>1.95</v>
      </c>
      <c r="Q300" s="57">
        <v>0.13650000000000001</v>
      </c>
      <c r="R300" s="57">
        <v>0</v>
      </c>
      <c r="S300" s="57">
        <v>17</v>
      </c>
      <c r="T300" s="112">
        <v>19.09</v>
      </c>
    </row>
    <row r="301" spans="1:20" ht="23.4" x14ac:dyDescent="0.25">
      <c r="A301" s="57">
        <v>300</v>
      </c>
      <c r="B301" s="110">
        <v>244029</v>
      </c>
      <c r="C301" s="57" t="s">
        <v>114</v>
      </c>
      <c r="D301" s="57" t="s">
        <v>115</v>
      </c>
      <c r="E301" s="57" t="s">
        <v>116</v>
      </c>
      <c r="F301" s="57" t="s">
        <v>119</v>
      </c>
      <c r="G301" s="57">
        <v>2</v>
      </c>
      <c r="H301" s="57" t="s">
        <v>117</v>
      </c>
      <c r="I301" s="57" t="s">
        <v>4506</v>
      </c>
      <c r="J301" s="57" t="s">
        <v>4507</v>
      </c>
      <c r="K301" s="57" t="s">
        <v>4508</v>
      </c>
      <c r="L301" s="111" t="s">
        <v>4509</v>
      </c>
      <c r="N301" s="57">
        <v>1.1000000000000001</v>
      </c>
      <c r="O301" s="57">
        <v>230</v>
      </c>
      <c r="P301" s="57">
        <v>3.45</v>
      </c>
      <c r="Q301" s="57">
        <v>0.24149999999999999</v>
      </c>
      <c r="R301" s="57">
        <v>0</v>
      </c>
      <c r="S301" s="57">
        <v>22</v>
      </c>
      <c r="T301" s="112">
        <v>25.69</v>
      </c>
    </row>
    <row r="302" spans="1:20" ht="23.4" x14ac:dyDescent="0.25">
      <c r="A302" s="57">
        <v>301</v>
      </c>
      <c r="B302" s="110">
        <v>244029</v>
      </c>
      <c r="C302" s="57" t="s">
        <v>114</v>
      </c>
      <c r="D302" s="57" t="s">
        <v>115</v>
      </c>
      <c r="E302" s="57" t="s">
        <v>116</v>
      </c>
      <c r="F302" s="57" t="s">
        <v>119</v>
      </c>
      <c r="G302" s="57">
        <v>2</v>
      </c>
      <c r="H302" s="57" t="s">
        <v>117</v>
      </c>
      <c r="I302" s="57" t="s">
        <v>4510</v>
      </c>
      <c r="J302" s="57" t="s">
        <v>4511</v>
      </c>
      <c r="K302" s="57" t="s">
        <v>4512</v>
      </c>
      <c r="L302" s="111" t="s">
        <v>4513</v>
      </c>
      <c r="N302" s="57">
        <v>1.08</v>
      </c>
      <c r="O302" s="57">
        <v>230</v>
      </c>
      <c r="P302" s="57">
        <v>3.45</v>
      </c>
      <c r="Q302" s="57">
        <v>0.24149999999999999</v>
      </c>
      <c r="R302" s="57">
        <v>0</v>
      </c>
      <c r="S302" s="57">
        <v>22</v>
      </c>
      <c r="T302" s="112">
        <v>25.69</v>
      </c>
    </row>
    <row r="303" spans="1:20" ht="23.4" x14ac:dyDescent="0.25">
      <c r="A303" s="57">
        <v>302</v>
      </c>
      <c r="B303" s="110">
        <v>244029</v>
      </c>
      <c r="C303" s="57" t="s">
        <v>114</v>
      </c>
      <c r="D303" s="57" t="s">
        <v>115</v>
      </c>
      <c r="E303" s="57" t="s">
        <v>116</v>
      </c>
      <c r="F303" s="57" t="s">
        <v>119</v>
      </c>
      <c r="G303" s="57">
        <v>2</v>
      </c>
      <c r="H303" s="57" t="s">
        <v>117</v>
      </c>
      <c r="I303" s="57" t="s">
        <v>4514</v>
      </c>
      <c r="J303" s="57" t="s">
        <v>4515</v>
      </c>
      <c r="K303" s="57" t="s">
        <v>4516</v>
      </c>
      <c r="L303" s="111" t="s">
        <v>4517</v>
      </c>
      <c r="N303" s="57">
        <v>1.6120000000000001</v>
      </c>
      <c r="O303" s="57">
        <v>0</v>
      </c>
      <c r="P303" s="57">
        <v>0</v>
      </c>
      <c r="Q303" s="57">
        <v>0</v>
      </c>
      <c r="R303" s="57">
        <v>0</v>
      </c>
      <c r="S303" s="57">
        <v>22</v>
      </c>
      <c r="T303" s="112">
        <v>22</v>
      </c>
    </row>
    <row r="304" spans="1:20" ht="23.4" x14ac:dyDescent="0.25">
      <c r="A304" s="57">
        <v>303</v>
      </c>
      <c r="B304" s="110">
        <v>244029</v>
      </c>
      <c r="C304" s="57" t="s">
        <v>114</v>
      </c>
      <c r="D304" s="57" t="s">
        <v>115</v>
      </c>
      <c r="E304" s="57" t="s">
        <v>116</v>
      </c>
      <c r="F304" s="57" t="s">
        <v>119</v>
      </c>
      <c r="G304" s="57">
        <v>2</v>
      </c>
      <c r="H304" s="57" t="s">
        <v>117</v>
      </c>
      <c r="I304" s="57" t="s">
        <v>4518</v>
      </c>
      <c r="J304" s="57" t="s">
        <v>4519</v>
      </c>
      <c r="K304" s="57" t="s">
        <v>4520</v>
      </c>
      <c r="L304" s="111" t="s">
        <v>4521</v>
      </c>
      <c r="N304" s="57">
        <v>0.54</v>
      </c>
      <c r="O304" s="57">
        <v>0</v>
      </c>
      <c r="P304" s="57">
        <v>0</v>
      </c>
      <c r="Q304" s="57">
        <v>0</v>
      </c>
      <c r="R304" s="57">
        <v>0</v>
      </c>
      <c r="S304" s="57">
        <v>17</v>
      </c>
      <c r="T304" s="112">
        <v>17</v>
      </c>
    </row>
    <row r="305" spans="1:20" ht="23.4" x14ac:dyDescent="0.25">
      <c r="A305" s="57">
        <v>304</v>
      </c>
      <c r="B305" s="110">
        <v>244029</v>
      </c>
      <c r="C305" s="57" t="s">
        <v>114</v>
      </c>
      <c r="D305" s="57" t="s">
        <v>115</v>
      </c>
      <c r="E305" s="57" t="s">
        <v>116</v>
      </c>
      <c r="F305" s="57" t="s">
        <v>119</v>
      </c>
      <c r="G305" s="57">
        <v>2</v>
      </c>
      <c r="H305" s="57" t="s">
        <v>117</v>
      </c>
      <c r="I305" s="57" t="s">
        <v>4522</v>
      </c>
      <c r="J305" s="57" t="s">
        <v>3653</v>
      </c>
      <c r="K305" s="57" t="s">
        <v>3654</v>
      </c>
      <c r="L305" s="111" t="s">
        <v>4523</v>
      </c>
      <c r="N305" s="57">
        <v>1.4359999999999999</v>
      </c>
      <c r="O305" s="57">
        <v>0</v>
      </c>
      <c r="P305" s="57">
        <v>0</v>
      </c>
      <c r="Q305" s="57">
        <v>0</v>
      </c>
      <c r="R305" s="57">
        <v>0</v>
      </c>
      <c r="S305" s="57">
        <v>22</v>
      </c>
      <c r="T305" s="112">
        <v>22</v>
      </c>
    </row>
    <row r="306" spans="1:20" ht="23.4" x14ac:dyDescent="0.25">
      <c r="A306" s="57">
        <v>305</v>
      </c>
      <c r="B306" s="110">
        <v>244029</v>
      </c>
      <c r="C306" s="57" t="s">
        <v>114</v>
      </c>
      <c r="D306" s="57" t="s">
        <v>115</v>
      </c>
      <c r="E306" s="57" t="s">
        <v>116</v>
      </c>
      <c r="F306" s="57" t="s">
        <v>119</v>
      </c>
      <c r="G306" s="57">
        <v>2</v>
      </c>
      <c r="H306" s="57" t="s">
        <v>117</v>
      </c>
      <c r="I306" s="57" t="s">
        <v>4524</v>
      </c>
      <c r="J306" s="57" t="s">
        <v>1970</v>
      </c>
      <c r="K306" s="57" t="s">
        <v>3654</v>
      </c>
      <c r="L306" s="111" t="s">
        <v>4525</v>
      </c>
      <c r="N306" s="57">
        <v>0.872</v>
      </c>
      <c r="O306" s="57">
        <v>0</v>
      </c>
      <c r="P306" s="57">
        <v>0</v>
      </c>
      <c r="Q306" s="57">
        <v>0</v>
      </c>
      <c r="R306" s="57">
        <v>0</v>
      </c>
      <c r="S306" s="57">
        <v>17</v>
      </c>
      <c r="T306" s="112">
        <v>17</v>
      </c>
    </row>
    <row r="307" spans="1:20" ht="23.4" x14ac:dyDescent="0.25">
      <c r="A307" s="57">
        <v>306</v>
      </c>
      <c r="B307" s="110">
        <v>244030</v>
      </c>
      <c r="C307" s="57" t="s">
        <v>114</v>
      </c>
      <c r="D307" s="57" t="s">
        <v>115</v>
      </c>
      <c r="E307" s="57" t="s">
        <v>116</v>
      </c>
      <c r="F307" s="57" t="s">
        <v>119</v>
      </c>
      <c r="G307" s="57">
        <v>2</v>
      </c>
      <c r="H307" s="57" t="s">
        <v>117</v>
      </c>
      <c r="I307" s="57" t="s">
        <v>4283</v>
      </c>
      <c r="J307" s="57" t="s">
        <v>4281</v>
      </c>
      <c r="K307" s="57" t="s">
        <v>4526</v>
      </c>
      <c r="L307" s="111" t="s">
        <v>4527</v>
      </c>
      <c r="N307" s="57">
        <v>0.25800000000000001</v>
      </c>
      <c r="O307" s="57">
        <v>0</v>
      </c>
      <c r="P307" s="57">
        <v>0</v>
      </c>
      <c r="Q307" s="57">
        <v>0</v>
      </c>
      <c r="R307" s="57">
        <v>0</v>
      </c>
      <c r="S307" s="57">
        <v>17</v>
      </c>
      <c r="T307" s="112">
        <v>17</v>
      </c>
    </row>
    <row r="308" spans="1:20" ht="23.4" x14ac:dyDescent="0.25">
      <c r="A308" s="57">
        <v>307</v>
      </c>
      <c r="B308" s="110">
        <v>244030</v>
      </c>
      <c r="C308" s="57" t="s">
        <v>114</v>
      </c>
      <c r="D308" s="57" t="s">
        <v>115</v>
      </c>
      <c r="E308" s="57" t="s">
        <v>116</v>
      </c>
      <c r="F308" s="57" t="s">
        <v>119</v>
      </c>
      <c r="G308" s="57">
        <v>2</v>
      </c>
      <c r="H308" s="57" t="s">
        <v>117</v>
      </c>
      <c r="I308" s="57" t="s">
        <v>4528</v>
      </c>
      <c r="J308" s="57" t="s">
        <v>4529</v>
      </c>
      <c r="K308" s="57" t="s">
        <v>4530</v>
      </c>
      <c r="L308" s="111" t="s">
        <v>4531</v>
      </c>
      <c r="N308" s="57">
        <v>0.66</v>
      </c>
      <c r="O308" s="57">
        <v>0</v>
      </c>
      <c r="P308" s="57">
        <v>0</v>
      </c>
      <c r="Q308" s="57">
        <v>0</v>
      </c>
      <c r="R308" s="57">
        <v>0</v>
      </c>
      <c r="S308" s="57">
        <v>17</v>
      </c>
      <c r="T308" s="112">
        <v>17</v>
      </c>
    </row>
    <row r="309" spans="1:20" ht="23.4" x14ac:dyDescent="0.25">
      <c r="A309" s="57">
        <v>308</v>
      </c>
      <c r="B309" s="110">
        <v>244030</v>
      </c>
      <c r="C309" s="57" t="s">
        <v>114</v>
      </c>
      <c r="D309" s="57" t="s">
        <v>115</v>
      </c>
      <c r="E309" s="57" t="s">
        <v>116</v>
      </c>
      <c r="F309" s="57" t="s">
        <v>119</v>
      </c>
      <c r="G309" s="57">
        <v>2</v>
      </c>
      <c r="H309" s="57" t="s">
        <v>117</v>
      </c>
      <c r="I309" s="57" t="s">
        <v>4532</v>
      </c>
      <c r="J309" s="57" t="s">
        <v>4533</v>
      </c>
      <c r="K309" s="57" t="s">
        <v>4534</v>
      </c>
      <c r="L309" s="111" t="s">
        <v>4535</v>
      </c>
      <c r="N309" s="57">
        <v>1.1399999999999999</v>
      </c>
      <c r="O309" s="57">
        <v>0</v>
      </c>
      <c r="P309" s="57">
        <v>0</v>
      </c>
      <c r="Q309" s="57">
        <v>0</v>
      </c>
      <c r="R309" s="57">
        <v>15</v>
      </c>
      <c r="S309" s="57">
        <v>37</v>
      </c>
      <c r="T309" s="112">
        <v>37</v>
      </c>
    </row>
    <row r="310" spans="1:20" ht="23.4" x14ac:dyDescent="0.25">
      <c r="A310" s="57">
        <v>309</v>
      </c>
      <c r="B310" s="110">
        <v>244030</v>
      </c>
      <c r="C310" s="57" t="s">
        <v>114</v>
      </c>
      <c r="D310" s="57" t="s">
        <v>115</v>
      </c>
      <c r="E310" s="57" t="s">
        <v>116</v>
      </c>
      <c r="F310" s="57" t="s">
        <v>119</v>
      </c>
      <c r="G310" s="57">
        <v>2</v>
      </c>
      <c r="H310" s="57" t="s">
        <v>117</v>
      </c>
      <c r="I310" s="57" t="s">
        <v>4536</v>
      </c>
      <c r="J310" s="57" t="s">
        <v>4537</v>
      </c>
      <c r="K310" s="57" t="s">
        <v>4538</v>
      </c>
      <c r="L310" s="111" t="s">
        <v>4539</v>
      </c>
      <c r="N310" s="57">
        <v>0.59799999999999998</v>
      </c>
      <c r="O310" s="57">
        <v>0</v>
      </c>
      <c r="P310" s="57">
        <v>0</v>
      </c>
      <c r="Q310" s="57">
        <v>0</v>
      </c>
      <c r="R310" s="57">
        <v>0</v>
      </c>
      <c r="S310" s="57">
        <v>17</v>
      </c>
      <c r="T310" s="112">
        <v>17</v>
      </c>
    </row>
    <row r="311" spans="1:20" ht="23.4" x14ac:dyDescent="0.25">
      <c r="A311" s="57">
        <v>310</v>
      </c>
      <c r="B311" s="110">
        <v>244030</v>
      </c>
      <c r="C311" s="57" t="s">
        <v>114</v>
      </c>
      <c r="D311" s="57" t="s">
        <v>115</v>
      </c>
      <c r="E311" s="57" t="s">
        <v>116</v>
      </c>
      <c r="F311" s="57" t="s">
        <v>119</v>
      </c>
      <c r="G311" s="57">
        <v>2</v>
      </c>
      <c r="H311" s="57" t="s">
        <v>117</v>
      </c>
      <c r="I311" s="57" t="s">
        <v>4540</v>
      </c>
      <c r="J311" s="57" t="s">
        <v>4541</v>
      </c>
      <c r="K311" s="57" t="s">
        <v>4542</v>
      </c>
      <c r="L311" s="111" t="s">
        <v>4543</v>
      </c>
      <c r="N311" s="57">
        <v>0.71799999999999997</v>
      </c>
      <c r="O311" s="57">
        <v>130</v>
      </c>
      <c r="P311" s="57">
        <v>1.95</v>
      </c>
      <c r="Q311" s="57">
        <v>0.13650000000000001</v>
      </c>
      <c r="R311" s="57">
        <v>0</v>
      </c>
      <c r="S311" s="57">
        <v>17</v>
      </c>
      <c r="T311" s="112">
        <v>19.09</v>
      </c>
    </row>
    <row r="312" spans="1:20" ht="23.4" x14ac:dyDescent="0.25">
      <c r="A312" s="57">
        <v>311</v>
      </c>
      <c r="B312" s="110">
        <v>244030</v>
      </c>
      <c r="C312" s="57" t="s">
        <v>114</v>
      </c>
      <c r="D312" s="57" t="s">
        <v>115</v>
      </c>
      <c r="E312" s="57" t="s">
        <v>116</v>
      </c>
      <c r="F312" s="57" t="s">
        <v>119</v>
      </c>
      <c r="G312" s="57">
        <v>2</v>
      </c>
      <c r="H312" s="57" t="s">
        <v>117</v>
      </c>
      <c r="I312" s="57" t="s">
        <v>4544</v>
      </c>
      <c r="J312" s="57" t="s">
        <v>4545</v>
      </c>
      <c r="K312" s="57" t="s">
        <v>4546</v>
      </c>
      <c r="L312" s="111" t="s">
        <v>4547</v>
      </c>
      <c r="N312" s="57">
        <v>0.67800000000000005</v>
      </c>
      <c r="O312" s="57">
        <v>130</v>
      </c>
      <c r="P312" s="57">
        <v>1.95</v>
      </c>
      <c r="Q312" s="57">
        <v>0.13650000000000001</v>
      </c>
      <c r="R312" s="57">
        <v>0</v>
      </c>
      <c r="S312" s="57">
        <v>17</v>
      </c>
      <c r="T312" s="112">
        <v>19.09</v>
      </c>
    </row>
    <row r="313" spans="1:20" ht="23.4" x14ac:dyDescent="0.25">
      <c r="A313" s="57">
        <v>312</v>
      </c>
      <c r="B313" s="110">
        <v>244030</v>
      </c>
      <c r="C313" s="57" t="s">
        <v>114</v>
      </c>
      <c r="D313" s="57" t="s">
        <v>115</v>
      </c>
      <c r="E313" s="57" t="s">
        <v>116</v>
      </c>
      <c r="F313" s="57" t="s">
        <v>119</v>
      </c>
      <c r="G313" s="57">
        <v>2</v>
      </c>
      <c r="H313" s="57" t="s">
        <v>117</v>
      </c>
      <c r="I313" s="57" t="s">
        <v>4548</v>
      </c>
      <c r="J313" s="57" t="s">
        <v>4549</v>
      </c>
      <c r="K313" s="57" t="s">
        <v>4550</v>
      </c>
      <c r="L313" s="111" t="s">
        <v>4551</v>
      </c>
      <c r="N313" s="57">
        <v>0.67600000000000005</v>
      </c>
      <c r="O313" s="57">
        <v>130</v>
      </c>
      <c r="P313" s="57">
        <v>1.95</v>
      </c>
      <c r="Q313" s="57">
        <v>0.13650000000000001</v>
      </c>
      <c r="R313" s="57">
        <v>0</v>
      </c>
      <c r="S313" s="57">
        <v>17</v>
      </c>
      <c r="T313" s="112">
        <v>19.09</v>
      </c>
    </row>
    <row r="314" spans="1:20" ht="23.4" x14ac:dyDescent="0.25">
      <c r="A314" s="57">
        <v>313</v>
      </c>
      <c r="B314" s="110">
        <v>244030</v>
      </c>
      <c r="C314" s="57" t="s">
        <v>114</v>
      </c>
      <c r="D314" s="57" t="s">
        <v>115</v>
      </c>
      <c r="E314" s="57" t="s">
        <v>116</v>
      </c>
      <c r="F314" s="57" t="s">
        <v>119</v>
      </c>
      <c r="G314" s="57">
        <v>2</v>
      </c>
      <c r="H314" s="57" t="s">
        <v>117</v>
      </c>
      <c r="I314" s="57" t="s">
        <v>4552</v>
      </c>
      <c r="J314" s="57" t="s">
        <v>4553</v>
      </c>
      <c r="K314" s="57" t="s">
        <v>4554</v>
      </c>
      <c r="L314" s="111" t="s">
        <v>4555</v>
      </c>
      <c r="N314" s="57">
        <v>0.66200000000000003</v>
      </c>
      <c r="O314" s="57">
        <v>130</v>
      </c>
      <c r="P314" s="57">
        <v>1.95</v>
      </c>
      <c r="Q314" s="57">
        <v>0.13650000000000001</v>
      </c>
      <c r="R314" s="57">
        <v>0</v>
      </c>
      <c r="S314" s="57">
        <v>17</v>
      </c>
      <c r="T314" s="112">
        <v>19.09</v>
      </c>
    </row>
    <row r="315" spans="1:20" ht="23.4" x14ac:dyDescent="0.25">
      <c r="A315" s="57">
        <v>314</v>
      </c>
      <c r="B315" s="110">
        <v>244030</v>
      </c>
      <c r="C315" s="57" t="s">
        <v>114</v>
      </c>
      <c r="D315" s="57" t="s">
        <v>115</v>
      </c>
      <c r="E315" s="57" t="s">
        <v>116</v>
      </c>
      <c r="F315" s="57" t="s">
        <v>119</v>
      </c>
      <c r="G315" s="57">
        <v>2</v>
      </c>
      <c r="H315" s="57" t="s">
        <v>117</v>
      </c>
      <c r="I315" s="57" t="s">
        <v>4556</v>
      </c>
      <c r="J315" s="57" t="s">
        <v>4557</v>
      </c>
      <c r="K315" s="57" t="s">
        <v>4558</v>
      </c>
      <c r="L315" s="111" t="s">
        <v>4559</v>
      </c>
      <c r="N315" s="57">
        <v>0.66600000000000004</v>
      </c>
      <c r="O315" s="57">
        <v>130</v>
      </c>
      <c r="P315" s="57">
        <v>1.95</v>
      </c>
      <c r="Q315" s="57">
        <v>0.13650000000000001</v>
      </c>
      <c r="R315" s="57">
        <v>0</v>
      </c>
      <c r="S315" s="57">
        <v>17</v>
      </c>
      <c r="T315" s="112">
        <v>19.09</v>
      </c>
    </row>
    <row r="316" spans="1:20" ht="23.4" x14ac:dyDescent="0.25">
      <c r="A316" s="57">
        <v>315</v>
      </c>
      <c r="B316" s="110">
        <v>244030</v>
      </c>
      <c r="C316" s="57" t="s">
        <v>114</v>
      </c>
      <c r="D316" s="57" t="s">
        <v>115</v>
      </c>
      <c r="E316" s="57" t="s">
        <v>116</v>
      </c>
      <c r="F316" s="57" t="s">
        <v>119</v>
      </c>
      <c r="G316" s="57">
        <v>2</v>
      </c>
      <c r="H316" s="57" t="s">
        <v>117</v>
      </c>
      <c r="I316" s="57" t="s">
        <v>4560</v>
      </c>
      <c r="J316" s="57" t="s">
        <v>4561</v>
      </c>
      <c r="K316" s="57" t="s">
        <v>4562</v>
      </c>
      <c r="L316" s="111" t="s">
        <v>4563</v>
      </c>
      <c r="N316" s="57">
        <v>0.66600000000000004</v>
      </c>
      <c r="O316" s="57">
        <v>130</v>
      </c>
      <c r="P316" s="57">
        <v>1.95</v>
      </c>
      <c r="Q316" s="57">
        <v>0.13650000000000001</v>
      </c>
      <c r="R316" s="57">
        <v>0</v>
      </c>
      <c r="S316" s="57">
        <v>17</v>
      </c>
      <c r="T316" s="112">
        <v>19.09</v>
      </c>
    </row>
    <row r="317" spans="1:20" ht="23.4" x14ac:dyDescent="0.25">
      <c r="A317" s="57">
        <v>316</v>
      </c>
      <c r="B317" s="110">
        <v>244030</v>
      </c>
      <c r="C317" s="57" t="s">
        <v>114</v>
      </c>
      <c r="D317" s="57" t="s">
        <v>115</v>
      </c>
      <c r="E317" s="57" t="s">
        <v>116</v>
      </c>
      <c r="F317" s="57" t="s">
        <v>119</v>
      </c>
      <c r="G317" s="57">
        <v>2</v>
      </c>
      <c r="H317" s="57" t="s">
        <v>117</v>
      </c>
      <c r="I317" s="57" t="s">
        <v>4564</v>
      </c>
      <c r="J317" s="57" t="s">
        <v>4565</v>
      </c>
      <c r="K317" s="57" t="s">
        <v>4566</v>
      </c>
      <c r="L317" s="111" t="s">
        <v>4567</v>
      </c>
      <c r="N317" s="57">
        <v>1.722</v>
      </c>
      <c r="O317" s="57">
        <v>330</v>
      </c>
      <c r="P317" s="57">
        <v>4.95</v>
      </c>
      <c r="Q317" s="57">
        <v>0.34649999999999997</v>
      </c>
      <c r="R317" s="57">
        <v>0</v>
      </c>
      <c r="S317" s="57">
        <v>22</v>
      </c>
      <c r="T317" s="112">
        <v>27.3</v>
      </c>
    </row>
    <row r="318" spans="1:20" ht="23.4" x14ac:dyDescent="0.25">
      <c r="A318" s="57">
        <v>317</v>
      </c>
      <c r="B318" s="110">
        <v>244030</v>
      </c>
      <c r="C318" s="57" t="s">
        <v>114</v>
      </c>
      <c r="D318" s="57" t="s">
        <v>115</v>
      </c>
      <c r="E318" s="57" t="s">
        <v>116</v>
      </c>
      <c r="F318" s="57" t="s">
        <v>119</v>
      </c>
      <c r="G318" s="57">
        <v>2</v>
      </c>
      <c r="H318" s="57" t="s">
        <v>117</v>
      </c>
      <c r="I318" s="57" t="s">
        <v>4568</v>
      </c>
      <c r="J318" s="57" t="s">
        <v>4569</v>
      </c>
      <c r="K318" s="57" t="s">
        <v>4570</v>
      </c>
      <c r="L318" s="111" t="s">
        <v>4571</v>
      </c>
      <c r="N318" s="57">
        <v>0.65600000000000003</v>
      </c>
      <c r="O318" s="57">
        <v>130</v>
      </c>
      <c r="P318" s="57">
        <v>1.95</v>
      </c>
      <c r="Q318" s="57">
        <v>0.13650000000000001</v>
      </c>
      <c r="R318" s="57">
        <v>0</v>
      </c>
      <c r="S318" s="57">
        <v>17</v>
      </c>
      <c r="T318" s="112">
        <v>19.09</v>
      </c>
    </row>
    <row r="319" spans="1:20" ht="23.4" x14ac:dyDescent="0.25">
      <c r="A319" s="57">
        <v>318</v>
      </c>
      <c r="B319" s="110">
        <v>244030</v>
      </c>
      <c r="C319" s="57" t="s">
        <v>114</v>
      </c>
      <c r="D319" s="57" t="s">
        <v>115</v>
      </c>
      <c r="E319" s="57" t="s">
        <v>116</v>
      </c>
      <c r="F319" s="57" t="s">
        <v>119</v>
      </c>
      <c r="G319" s="57">
        <v>2</v>
      </c>
      <c r="H319" s="57" t="s">
        <v>117</v>
      </c>
      <c r="I319" s="57" t="s">
        <v>4572</v>
      </c>
      <c r="J319" s="57" t="s">
        <v>4573</v>
      </c>
      <c r="K319" s="57" t="s">
        <v>4574</v>
      </c>
      <c r="L319" s="111" t="s">
        <v>4575</v>
      </c>
      <c r="N319" s="57">
        <v>0.64200000000000002</v>
      </c>
      <c r="O319" s="57">
        <v>130</v>
      </c>
      <c r="P319" s="57">
        <v>1.95</v>
      </c>
      <c r="Q319" s="57">
        <v>0.13650000000000001</v>
      </c>
      <c r="R319" s="57">
        <v>0</v>
      </c>
      <c r="S319" s="57">
        <v>17</v>
      </c>
      <c r="T319" s="112">
        <v>19.09</v>
      </c>
    </row>
    <row r="320" spans="1:20" ht="23.4" x14ac:dyDescent="0.25">
      <c r="A320" s="57">
        <v>319</v>
      </c>
      <c r="B320" s="110">
        <v>244030</v>
      </c>
      <c r="C320" s="57" t="s">
        <v>114</v>
      </c>
      <c r="D320" s="57" t="s">
        <v>115</v>
      </c>
      <c r="E320" s="57" t="s">
        <v>116</v>
      </c>
      <c r="F320" s="57" t="s">
        <v>119</v>
      </c>
      <c r="G320" s="57">
        <v>2</v>
      </c>
      <c r="H320" s="57" t="s">
        <v>117</v>
      </c>
      <c r="I320" s="57" t="s">
        <v>4576</v>
      </c>
      <c r="J320" s="57" t="s">
        <v>4577</v>
      </c>
      <c r="K320" s="57" t="s">
        <v>4578</v>
      </c>
      <c r="L320" s="111" t="s">
        <v>4579</v>
      </c>
      <c r="N320" s="57">
        <v>0.66200000000000003</v>
      </c>
      <c r="O320" s="57">
        <v>130</v>
      </c>
      <c r="P320" s="57">
        <v>1.95</v>
      </c>
      <c r="Q320" s="57">
        <v>0.13650000000000001</v>
      </c>
      <c r="R320" s="57">
        <v>0</v>
      </c>
      <c r="S320" s="57">
        <v>17</v>
      </c>
      <c r="T320" s="112">
        <v>19.09</v>
      </c>
    </row>
    <row r="321" spans="1:20" ht="23.4" x14ac:dyDescent="0.25">
      <c r="A321" s="57">
        <v>320</v>
      </c>
      <c r="B321" s="110">
        <v>244030</v>
      </c>
      <c r="C321" s="57" t="s">
        <v>114</v>
      </c>
      <c r="D321" s="57" t="s">
        <v>115</v>
      </c>
      <c r="E321" s="57" t="s">
        <v>116</v>
      </c>
      <c r="F321" s="57" t="s">
        <v>119</v>
      </c>
      <c r="G321" s="57">
        <v>2</v>
      </c>
      <c r="H321" s="57" t="s">
        <v>117</v>
      </c>
      <c r="I321" s="57" t="s">
        <v>4580</v>
      </c>
      <c r="J321" s="57" t="s">
        <v>4581</v>
      </c>
      <c r="K321" s="57" t="s">
        <v>1699</v>
      </c>
      <c r="L321" s="111" t="s">
        <v>4582</v>
      </c>
      <c r="N321" s="57">
        <v>1.3120000000000001</v>
      </c>
      <c r="O321" s="57">
        <v>230</v>
      </c>
      <c r="P321" s="57">
        <v>3.45</v>
      </c>
      <c r="Q321" s="57">
        <v>0.24149999999999999</v>
      </c>
      <c r="R321" s="57">
        <v>0</v>
      </c>
      <c r="S321" s="57">
        <v>22</v>
      </c>
      <c r="T321" s="112">
        <v>25.69</v>
      </c>
    </row>
    <row r="322" spans="1:20" ht="23.4" x14ac:dyDescent="0.25">
      <c r="A322" s="57">
        <v>321</v>
      </c>
      <c r="B322" s="110">
        <v>244030</v>
      </c>
      <c r="C322" s="57" t="s">
        <v>114</v>
      </c>
      <c r="D322" s="57" t="s">
        <v>115</v>
      </c>
      <c r="E322" s="57" t="s">
        <v>116</v>
      </c>
      <c r="F322" s="57" t="s">
        <v>119</v>
      </c>
      <c r="G322" s="57">
        <v>2</v>
      </c>
      <c r="H322" s="57" t="s">
        <v>117</v>
      </c>
      <c r="I322" s="57" t="s">
        <v>4583</v>
      </c>
      <c r="J322" s="57" t="s">
        <v>4584</v>
      </c>
      <c r="K322" s="57" t="s">
        <v>4585</v>
      </c>
      <c r="L322" s="111" t="s">
        <v>4586</v>
      </c>
      <c r="N322" s="57">
        <v>1.69</v>
      </c>
      <c r="O322" s="57">
        <v>0</v>
      </c>
      <c r="P322" s="57">
        <v>0</v>
      </c>
      <c r="Q322" s="57">
        <v>0</v>
      </c>
      <c r="R322" s="57">
        <v>0</v>
      </c>
      <c r="S322" s="57">
        <v>22</v>
      </c>
      <c r="T322" s="112">
        <v>22</v>
      </c>
    </row>
    <row r="323" spans="1:20" ht="23.4" x14ac:dyDescent="0.25">
      <c r="A323" s="57">
        <v>322</v>
      </c>
      <c r="B323" s="110">
        <v>244030</v>
      </c>
      <c r="C323" s="57" t="s">
        <v>114</v>
      </c>
      <c r="D323" s="57" t="s">
        <v>115</v>
      </c>
      <c r="E323" s="57" t="s">
        <v>116</v>
      </c>
      <c r="F323" s="57" t="s">
        <v>119</v>
      </c>
      <c r="G323" s="57">
        <v>2</v>
      </c>
      <c r="H323" s="57" t="s">
        <v>117</v>
      </c>
      <c r="I323" s="57" t="s">
        <v>4587</v>
      </c>
      <c r="J323" s="57" t="s">
        <v>4588</v>
      </c>
      <c r="K323" s="57" t="s">
        <v>4589</v>
      </c>
      <c r="L323" s="111" t="s">
        <v>4590</v>
      </c>
      <c r="N323" s="57">
        <v>0.67600000000000005</v>
      </c>
      <c r="O323" s="57">
        <v>130</v>
      </c>
      <c r="P323" s="57">
        <v>1.95</v>
      </c>
      <c r="Q323" s="57">
        <v>0.13650000000000001</v>
      </c>
      <c r="R323" s="57">
        <v>0</v>
      </c>
      <c r="S323" s="57">
        <v>17</v>
      </c>
      <c r="T323" s="112">
        <v>19.09</v>
      </c>
    </row>
    <row r="324" spans="1:20" ht="23.4" x14ac:dyDescent="0.25">
      <c r="A324" s="57">
        <v>323</v>
      </c>
      <c r="B324" s="110">
        <v>244030</v>
      </c>
      <c r="C324" s="57" t="s">
        <v>114</v>
      </c>
      <c r="D324" s="57" t="s">
        <v>115</v>
      </c>
      <c r="E324" s="57" t="s">
        <v>116</v>
      </c>
      <c r="F324" s="57" t="s">
        <v>119</v>
      </c>
      <c r="G324" s="57">
        <v>2</v>
      </c>
      <c r="H324" s="57" t="s">
        <v>117</v>
      </c>
      <c r="I324" s="57" t="s">
        <v>4591</v>
      </c>
      <c r="J324" s="57" t="s">
        <v>4592</v>
      </c>
      <c r="K324" s="57" t="s">
        <v>4593</v>
      </c>
      <c r="L324" s="111" t="s">
        <v>4594</v>
      </c>
      <c r="N324" s="57">
        <v>0.68400000000000005</v>
      </c>
      <c r="O324" s="57">
        <v>0</v>
      </c>
      <c r="P324" s="57">
        <v>0</v>
      </c>
      <c r="Q324" s="57">
        <v>0</v>
      </c>
      <c r="R324" s="57">
        <v>0</v>
      </c>
      <c r="S324" s="57">
        <v>17</v>
      </c>
      <c r="T324" s="112">
        <v>17</v>
      </c>
    </row>
    <row r="325" spans="1:20" ht="23.4" x14ac:dyDescent="0.25">
      <c r="A325" s="57">
        <v>324</v>
      </c>
      <c r="B325" s="110">
        <v>244030</v>
      </c>
      <c r="C325" s="57" t="s">
        <v>114</v>
      </c>
      <c r="D325" s="57" t="s">
        <v>115</v>
      </c>
      <c r="E325" s="57" t="s">
        <v>116</v>
      </c>
      <c r="F325" s="57" t="s">
        <v>119</v>
      </c>
      <c r="G325" s="57">
        <v>2</v>
      </c>
      <c r="H325" s="57" t="s">
        <v>117</v>
      </c>
      <c r="I325" s="57" t="s">
        <v>4595</v>
      </c>
      <c r="J325" s="57" t="s">
        <v>4596</v>
      </c>
      <c r="K325" s="57" t="s">
        <v>4597</v>
      </c>
      <c r="L325" s="111" t="s">
        <v>4598</v>
      </c>
      <c r="N325" s="57">
        <v>0.54</v>
      </c>
      <c r="O325" s="57">
        <v>0</v>
      </c>
      <c r="P325" s="57">
        <v>0</v>
      </c>
      <c r="Q325" s="57">
        <v>0</v>
      </c>
      <c r="R325" s="57">
        <v>0</v>
      </c>
      <c r="S325" s="57">
        <v>17</v>
      </c>
      <c r="T325" s="112">
        <v>17</v>
      </c>
    </row>
    <row r="326" spans="1:20" ht="23.4" x14ac:dyDescent="0.25">
      <c r="A326" s="57">
        <v>325</v>
      </c>
      <c r="B326" s="110">
        <v>244030</v>
      </c>
      <c r="C326" s="57" t="s">
        <v>114</v>
      </c>
      <c r="D326" s="57" t="s">
        <v>115</v>
      </c>
      <c r="E326" s="57" t="s">
        <v>116</v>
      </c>
      <c r="F326" s="57" t="s">
        <v>119</v>
      </c>
      <c r="G326" s="57">
        <v>2</v>
      </c>
      <c r="H326" s="57" t="s">
        <v>117</v>
      </c>
      <c r="I326" s="57" t="s">
        <v>4599</v>
      </c>
      <c r="J326" s="57" t="s">
        <v>4600</v>
      </c>
      <c r="K326" s="57" t="s">
        <v>4601</v>
      </c>
      <c r="L326" s="111" t="s">
        <v>4602</v>
      </c>
      <c r="N326" s="57">
        <v>1.244</v>
      </c>
      <c r="O326" s="57">
        <v>230</v>
      </c>
      <c r="P326" s="57">
        <v>3.45</v>
      </c>
      <c r="Q326" s="57">
        <v>0.24149999999999999</v>
      </c>
      <c r="R326" s="57">
        <v>0</v>
      </c>
      <c r="S326" s="57">
        <v>22</v>
      </c>
      <c r="T326" s="112">
        <v>25.69</v>
      </c>
    </row>
    <row r="327" spans="1:20" ht="23.4" x14ac:dyDescent="0.25">
      <c r="A327" s="57">
        <v>326</v>
      </c>
      <c r="B327" s="110">
        <v>244030</v>
      </c>
      <c r="C327" s="57" t="s">
        <v>114</v>
      </c>
      <c r="D327" s="57" t="s">
        <v>115</v>
      </c>
      <c r="E327" s="57" t="s">
        <v>116</v>
      </c>
      <c r="F327" s="57" t="s">
        <v>119</v>
      </c>
      <c r="G327" s="57">
        <v>2</v>
      </c>
      <c r="H327" s="57" t="s">
        <v>117</v>
      </c>
      <c r="I327" s="57" t="s">
        <v>4603</v>
      </c>
      <c r="J327" s="57" t="s">
        <v>4604</v>
      </c>
      <c r="K327" s="57" t="s">
        <v>4605</v>
      </c>
      <c r="L327" s="111" t="s">
        <v>4606</v>
      </c>
      <c r="N327" s="57">
        <v>0.67600000000000005</v>
      </c>
      <c r="O327" s="57">
        <v>130</v>
      </c>
      <c r="P327" s="57">
        <v>1.95</v>
      </c>
      <c r="Q327" s="57">
        <v>0.13650000000000001</v>
      </c>
      <c r="R327" s="57">
        <v>0</v>
      </c>
      <c r="S327" s="57">
        <v>17</v>
      </c>
      <c r="T327" s="112">
        <v>19.09</v>
      </c>
    </row>
    <row r="328" spans="1:20" ht="23.4" x14ac:dyDescent="0.25">
      <c r="A328" s="57">
        <v>327</v>
      </c>
      <c r="B328" s="110">
        <v>244030</v>
      </c>
      <c r="C328" s="57" t="s">
        <v>114</v>
      </c>
      <c r="D328" s="57" t="s">
        <v>115</v>
      </c>
      <c r="E328" s="57" t="s">
        <v>116</v>
      </c>
      <c r="F328" s="57" t="s">
        <v>119</v>
      </c>
      <c r="G328" s="57">
        <v>2</v>
      </c>
      <c r="H328" s="57" t="s">
        <v>117</v>
      </c>
      <c r="I328" s="57" t="s">
        <v>4607</v>
      </c>
      <c r="J328" s="57" t="s">
        <v>4608</v>
      </c>
      <c r="K328" s="57" t="s">
        <v>4609</v>
      </c>
      <c r="L328" s="111" t="s">
        <v>4610</v>
      </c>
      <c r="N328" s="57">
        <v>0.69</v>
      </c>
      <c r="O328" s="57">
        <v>130</v>
      </c>
      <c r="P328" s="57">
        <v>1.95</v>
      </c>
      <c r="Q328" s="57">
        <v>0.13650000000000001</v>
      </c>
      <c r="R328" s="57">
        <v>0</v>
      </c>
      <c r="S328" s="57">
        <v>17</v>
      </c>
      <c r="T328" s="112">
        <v>19.09</v>
      </c>
    </row>
    <row r="329" spans="1:20" ht="23.4" x14ac:dyDescent="0.25">
      <c r="A329" s="57">
        <v>328</v>
      </c>
      <c r="B329" s="110">
        <v>244030</v>
      </c>
      <c r="C329" s="57" t="s">
        <v>114</v>
      </c>
      <c r="D329" s="57" t="s">
        <v>115</v>
      </c>
      <c r="E329" s="57" t="s">
        <v>116</v>
      </c>
      <c r="F329" s="57" t="s">
        <v>119</v>
      </c>
      <c r="G329" s="57">
        <v>2</v>
      </c>
      <c r="H329" s="57" t="s">
        <v>117</v>
      </c>
      <c r="I329" s="57" t="s">
        <v>4611</v>
      </c>
      <c r="J329" s="57" t="s">
        <v>4612</v>
      </c>
      <c r="K329" s="57" t="s">
        <v>3531</v>
      </c>
      <c r="L329" s="111" t="s">
        <v>4613</v>
      </c>
      <c r="N329" s="57">
        <v>1.1040000000000001</v>
      </c>
      <c r="O329" s="57">
        <v>0</v>
      </c>
      <c r="P329" s="57">
        <v>0</v>
      </c>
      <c r="Q329" s="57">
        <v>0</v>
      </c>
      <c r="R329" s="57">
        <v>0</v>
      </c>
      <c r="S329" s="57">
        <v>22</v>
      </c>
      <c r="T329" s="112">
        <v>22</v>
      </c>
    </row>
    <row r="330" spans="1:20" ht="23.4" x14ac:dyDescent="0.25">
      <c r="A330" s="57">
        <v>329</v>
      </c>
      <c r="B330" s="110">
        <v>244030</v>
      </c>
      <c r="C330" s="57" t="s">
        <v>114</v>
      </c>
      <c r="D330" s="57" t="s">
        <v>115</v>
      </c>
      <c r="E330" s="57" t="s">
        <v>116</v>
      </c>
      <c r="F330" s="57" t="s">
        <v>119</v>
      </c>
      <c r="G330" s="57">
        <v>2</v>
      </c>
      <c r="H330" s="57" t="s">
        <v>117</v>
      </c>
      <c r="I330" s="57" t="s">
        <v>4614</v>
      </c>
      <c r="J330" s="57" t="s">
        <v>4615</v>
      </c>
      <c r="K330" s="57" t="s">
        <v>4616</v>
      </c>
      <c r="L330" s="111" t="s">
        <v>4617</v>
      </c>
      <c r="N330" s="57">
        <v>1.044</v>
      </c>
      <c r="O330" s="57">
        <v>0</v>
      </c>
      <c r="P330" s="57">
        <v>0</v>
      </c>
      <c r="Q330" s="57">
        <v>0</v>
      </c>
      <c r="R330" s="57">
        <v>0</v>
      </c>
      <c r="S330" s="57">
        <v>22</v>
      </c>
      <c r="T330" s="112">
        <v>22</v>
      </c>
    </row>
    <row r="331" spans="1:20" ht="23.4" x14ac:dyDescent="0.25">
      <c r="A331" s="57">
        <v>330</v>
      </c>
      <c r="B331" s="110">
        <v>244030</v>
      </c>
      <c r="C331" s="57" t="s">
        <v>114</v>
      </c>
      <c r="D331" s="57" t="s">
        <v>115</v>
      </c>
      <c r="E331" s="57" t="s">
        <v>116</v>
      </c>
      <c r="F331" s="57" t="s">
        <v>119</v>
      </c>
      <c r="G331" s="57">
        <v>2</v>
      </c>
      <c r="H331" s="57" t="s">
        <v>117</v>
      </c>
      <c r="I331" s="57" t="s">
        <v>4618</v>
      </c>
      <c r="J331" s="57" t="s">
        <v>4619</v>
      </c>
      <c r="K331" s="57" t="s">
        <v>4620</v>
      </c>
      <c r="L331" s="111" t="s">
        <v>4621</v>
      </c>
      <c r="N331" s="57">
        <v>1.1180000000000001</v>
      </c>
      <c r="O331" s="57">
        <v>0</v>
      </c>
      <c r="P331" s="57">
        <v>0</v>
      </c>
      <c r="Q331" s="57">
        <v>0</v>
      </c>
      <c r="R331" s="57">
        <v>0</v>
      </c>
      <c r="S331" s="57">
        <v>22</v>
      </c>
      <c r="T331" s="112">
        <v>22</v>
      </c>
    </row>
    <row r="332" spans="1:20" ht="23.4" x14ac:dyDescent="0.25">
      <c r="A332" s="57">
        <v>331</v>
      </c>
      <c r="B332" s="110">
        <v>244030</v>
      </c>
      <c r="C332" s="57" t="s">
        <v>114</v>
      </c>
      <c r="D332" s="57" t="s">
        <v>115</v>
      </c>
      <c r="E332" s="57" t="s">
        <v>116</v>
      </c>
      <c r="F332" s="57" t="s">
        <v>119</v>
      </c>
      <c r="G332" s="57">
        <v>2</v>
      </c>
      <c r="H332" s="57" t="s">
        <v>117</v>
      </c>
      <c r="I332" s="57" t="s">
        <v>4622</v>
      </c>
      <c r="J332" s="57" t="s">
        <v>4623</v>
      </c>
      <c r="K332" s="57" t="s">
        <v>4624</v>
      </c>
      <c r="L332" s="111" t="s">
        <v>4625</v>
      </c>
      <c r="N332" s="57">
        <v>0.64200000000000002</v>
      </c>
      <c r="O332" s="57">
        <v>0</v>
      </c>
      <c r="P332" s="57">
        <v>0</v>
      </c>
      <c r="Q332" s="57">
        <v>0</v>
      </c>
      <c r="R332" s="57">
        <v>0</v>
      </c>
      <c r="S332" s="57">
        <v>17</v>
      </c>
      <c r="T332" s="112">
        <v>17</v>
      </c>
    </row>
    <row r="333" spans="1:20" ht="23.4" x14ac:dyDescent="0.25">
      <c r="A333" s="57">
        <v>332</v>
      </c>
      <c r="B333" s="110">
        <v>244030</v>
      </c>
      <c r="C333" s="57" t="s">
        <v>114</v>
      </c>
      <c r="D333" s="57" t="s">
        <v>115</v>
      </c>
      <c r="E333" s="57" t="s">
        <v>116</v>
      </c>
      <c r="F333" s="57" t="s">
        <v>119</v>
      </c>
      <c r="G333" s="57">
        <v>2</v>
      </c>
      <c r="H333" s="57" t="s">
        <v>117</v>
      </c>
      <c r="I333" s="57" t="s">
        <v>4626</v>
      </c>
      <c r="J333" s="57" t="s">
        <v>4627</v>
      </c>
      <c r="K333" s="57" t="s">
        <v>4628</v>
      </c>
      <c r="L333" s="111" t="s">
        <v>4629</v>
      </c>
      <c r="N333" s="57">
        <v>0.60799999999999998</v>
      </c>
      <c r="O333" s="57">
        <v>0</v>
      </c>
      <c r="P333" s="57">
        <v>0</v>
      </c>
      <c r="Q333" s="57">
        <v>0</v>
      </c>
      <c r="R333" s="57">
        <v>0</v>
      </c>
      <c r="S333" s="57">
        <v>17</v>
      </c>
      <c r="T333" s="112">
        <v>17</v>
      </c>
    </row>
    <row r="334" spans="1:20" ht="23.4" x14ac:dyDescent="0.25">
      <c r="A334" s="57">
        <v>333</v>
      </c>
      <c r="B334" s="110">
        <v>244030</v>
      </c>
      <c r="C334" s="57" t="s">
        <v>114</v>
      </c>
      <c r="D334" s="57" t="s">
        <v>115</v>
      </c>
      <c r="E334" s="57" t="s">
        <v>116</v>
      </c>
      <c r="F334" s="57" t="s">
        <v>119</v>
      </c>
      <c r="G334" s="57">
        <v>2</v>
      </c>
      <c r="H334" s="57" t="s">
        <v>117</v>
      </c>
      <c r="I334" s="57" t="s">
        <v>4630</v>
      </c>
      <c r="J334" s="57" t="s">
        <v>4631</v>
      </c>
      <c r="K334" s="57" t="s">
        <v>4632</v>
      </c>
      <c r="L334" s="111" t="s">
        <v>4633</v>
      </c>
      <c r="N334" s="57">
        <v>1.258</v>
      </c>
      <c r="O334" s="57">
        <v>0</v>
      </c>
      <c r="P334" s="57">
        <v>0</v>
      </c>
      <c r="Q334" s="57">
        <v>0</v>
      </c>
      <c r="R334" s="57">
        <v>0</v>
      </c>
      <c r="S334" s="57">
        <v>22</v>
      </c>
      <c r="T334" s="112">
        <v>22</v>
      </c>
    </row>
    <row r="335" spans="1:20" ht="23.4" x14ac:dyDescent="0.25">
      <c r="A335" s="57">
        <v>334</v>
      </c>
      <c r="B335" s="110">
        <v>244030</v>
      </c>
      <c r="C335" s="57" t="s">
        <v>114</v>
      </c>
      <c r="D335" s="57" t="s">
        <v>115</v>
      </c>
      <c r="E335" s="57" t="s">
        <v>116</v>
      </c>
      <c r="F335" s="57" t="s">
        <v>119</v>
      </c>
      <c r="G335" s="57">
        <v>2</v>
      </c>
      <c r="H335" s="57" t="s">
        <v>117</v>
      </c>
      <c r="I335" s="57" t="s">
        <v>4634</v>
      </c>
      <c r="J335" s="57" t="s">
        <v>2729</v>
      </c>
      <c r="K335" s="57" t="s">
        <v>2730</v>
      </c>
      <c r="L335" s="111" t="s">
        <v>2731</v>
      </c>
      <c r="N335" s="57">
        <v>1.3480000000000001</v>
      </c>
      <c r="O335" s="57">
        <v>0</v>
      </c>
      <c r="P335" s="57">
        <v>0</v>
      </c>
      <c r="Q335" s="57">
        <v>0</v>
      </c>
      <c r="R335" s="57">
        <v>0</v>
      </c>
      <c r="S335" s="57">
        <v>22</v>
      </c>
      <c r="T335" s="112">
        <v>22</v>
      </c>
    </row>
    <row r="336" spans="1:20" ht="23.4" x14ac:dyDescent="0.25">
      <c r="A336" s="57">
        <v>335</v>
      </c>
      <c r="B336" s="110">
        <v>244030</v>
      </c>
      <c r="C336" s="57" t="s">
        <v>114</v>
      </c>
      <c r="D336" s="57" t="s">
        <v>115</v>
      </c>
      <c r="E336" s="57" t="s">
        <v>116</v>
      </c>
      <c r="F336" s="57" t="s">
        <v>119</v>
      </c>
      <c r="G336" s="57">
        <v>2</v>
      </c>
      <c r="H336" s="57" t="s">
        <v>117</v>
      </c>
      <c r="I336" s="57" t="s">
        <v>4635</v>
      </c>
      <c r="J336" s="57" t="s">
        <v>4636</v>
      </c>
      <c r="K336" s="57" t="s">
        <v>4637</v>
      </c>
      <c r="L336" s="111" t="s">
        <v>4638</v>
      </c>
      <c r="N336" s="57">
        <v>1.258</v>
      </c>
      <c r="O336" s="57">
        <v>0</v>
      </c>
      <c r="P336" s="57">
        <v>0</v>
      </c>
      <c r="Q336" s="57">
        <v>0</v>
      </c>
      <c r="R336" s="57">
        <v>0</v>
      </c>
      <c r="S336" s="57">
        <v>22</v>
      </c>
      <c r="T336" s="112">
        <v>22</v>
      </c>
    </row>
    <row r="337" spans="1:20" ht="23.4" x14ac:dyDescent="0.25">
      <c r="A337" s="57">
        <v>336</v>
      </c>
      <c r="B337" s="110">
        <v>244030</v>
      </c>
      <c r="C337" s="57" t="s">
        <v>114</v>
      </c>
      <c r="D337" s="57" t="s">
        <v>115</v>
      </c>
      <c r="E337" s="57" t="s">
        <v>116</v>
      </c>
      <c r="F337" s="57" t="s">
        <v>119</v>
      </c>
      <c r="G337" s="57">
        <v>2</v>
      </c>
      <c r="H337" s="57" t="s">
        <v>117</v>
      </c>
      <c r="I337" s="57" t="s">
        <v>4639</v>
      </c>
      <c r="J337" s="57" t="s">
        <v>169</v>
      </c>
      <c r="K337" s="57" t="s">
        <v>131</v>
      </c>
      <c r="L337" s="111" t="s">
        <v>170</v>
      </c>
      <c r="N337" s="57">
        <v>0.68600000000000005</v>
      </c>
      <c r="O337" s="57">
        <v>0</v>
      </c>
      <c r="P337" s="57">
        <v>0</v>
      </c>
      <c r="Q337" s="57">
        <v>0</v>
      </c>
      <c r="R337" s="57">
        <v>0</v>
      </c>
      <c r="S337" s="57">
        <v>17</v>
      </c>
      <c r="T337" s="112">
        <v>17</v>
      </c>
    </row>
    <row r="338" spans="1:20" ht="23.4" x14ac:dyDescent="0.25">
      <c r="A338" s="57">
        <v>337</v>
      </c>
      <c r="B338" s="110">
        <v>244030</v>
      </c>
      <c r="C338" s="57" t="s">
        <v>114</v>
      </c>
      <c r="D338" s="57" t="s">
        <v>115</v>
      </c>
      <c r="E338" s="57" t="s">
        <v>116</v>
      </c>
      <c r="F338" s="57" t="s">
        <v>119</v>
      </c>
      <c r="G338" s="57">
        <v>2</v>
      </c>
      <c r="H338" s="57" t="s">
        <v>117</v>
      </c>
      <c r="I338" s="57" t="s">
        <v>4640</v>
      </c>
      <c r="J338" s="57" t="s">
        <v>4641</v>
      </c>
      <c r="K338" s="57" t="s">
        <v>4642</v>
      </c>
      <c r="L338" s="111" t="s">
        <v>4643</v>
      </c>
      <c r="N338" s="57">
        <v>1.226</v>
      </c>
      <c r="O338" s="57">
        <v>0</v>
      </c>
      <c r="P338" s="57">
        <v>0</v>
      </c>
      <c r="Q338" s="57">
        <v>0</v>
      </c>
      <c r="R338" s="57">
        <v>0</v>
      </c>
      <c r="S338" s="57">
        <v>22</v>
      </c>
      <c r="T338" s="112">
        <v>22</v>
      </c>
    </row>
    <row r="339" spans="1:20" ht="23.4" x14ac:dyDescent="0.25">
      <c r="A339" s="57">
        <v>338</v>
      </c>
      <c r="B339" s="110">
        <v>244030</v>
      </c>
      <c r="C339" s="57" t="s">
        <v>114</v>
      </c>
      <c r="D339" s="57" t="s">
        <v>115</v>
      </c>
      <c r="E339" s="57" t="s">
        <v>116</v>
      </c>
      <c r="F339" s="57" t="s">
        <v>119</v>
      </c>
      <c r="G339" s="57">
        <v>2</v>
      </c>
      <c r="H339" s="57" t="s">
        <v>117</v>
      </c>
      <c r="I339" s="57" t="s">
        <v>4644</v>
      </c>
      <c r="J339" s="57" t="s">
        <v>4645</v>
      </c>
      <c r="K339" s="57" t="s">
        <v>4646</v>
      </c>
      <c r="L339" s="111" t="s">
        <v>4647</v>
      </c>
      <c r="N339" s="57">
        <v>1.1160000000000001</v>
      </c>
      <c r="O339" s="57">
        <v>230</v>
      </c>
      <c r="P339" s="57">
        <v>3.45</v>
      </c>
      <c r="Q339" s="57">
        <v>0.24149999999999999</v>
      </c>
      <c r="R339" s="57">
        <v>0</v>
      </c>
      <c r="S339" s="57">
        <v>22</v>
      </c>
      <c r="T339" s="112">
        <v>25.69</v>
      </c>
    </row>
    <row r="340" spans="1:20" ht="23.4" x14ac:dyDescent="0.25">
      <c r="A340" s="57">
        <v>339</v>
      </c>
      <c r="B340" s="110">
        <v>244030</v>
      </c>
      <c r="C340" s="57" t="s">
        <v>114</v>
      </c>
      <c r="D340" s="57" t="s">
        <v>115</v>
      </c>
      <c r="E340" s="57" t="s">
        <v>116</v>
      </c>
      <c r="F340" s="57" t="s">
        <v>119</v>
      </c>
      <c r="G340" s="57">
        <v>2</v>
      </c>
      <c r="H340" s="57" t="s">
        <v>117</v>
      </c>
      <c r="I340" s="57" t="s">
        <v>4648</v>
      </c>
      <c r="J340" s="57" t="s">
        <v>718</v>
      </c>
      <c r="K340" s="57" t="s">
        <v>126</v>
      </c>
      <c r="L340" s="111" t="s">
        <v>4649</v>
      </c>
      <c r="N340" s="57">
        <v>3.5999999999999997E-2</v>
      </c>
      <c r="O340" s="57">
        <v>0</v>
      </c>
      <c r="P340" s="57">
        <v>0</v>
      </c>
      <c r="Q340" s="57">
        <v>0</v>
      </c>
      <c r="R340" s="57">
        <v>0</v>
      </c>
      <c r="S340" s="57">
        <v>17</v>
      </c>
      <c r="T340" s="112">
        <v>17</v>
      </c>
    </row>
    <row r="341" spans="1:20" ht="23.4" x14ac:dyDescent="0.25">
      <c r="A341" s="57">
        <v>340</v>
      </c>
      <c r="B341" s="110">
        <v>244031</v>
      </c>
      <c r="C341" s="57" t="s">
        <v>114</v>
      </c>
      <c r="D341" s="57" t="s">
        <v>115</v>
      </c>
      <c r="E341" s="57" t="s">
        <v>116</v>
      </c>
      <c r="F341" s="57" t="s">
        <v>119</v>
      </c>
      <c r="G341" s="57">
        <v>2</v>
      </c>
      <c r="H341" s="57" t="s">
        <v>117</v>
      </c>
      <c r="I341" s="57" t="s">
        <v>4706</v>
      </c>
      <c r="J341" s="57" t="s">
        <v>4707</v>
      </c>
      <c r="K341" s="57" t="s">
        <v>4708</v>
      </c>
      <c r="L341" s="111" t="s">
        <v>4709</v>
      </c>
      <c r="N341" s="57">
        <v>1.9059999999999999</v>
      </c>
      <c r="O341" s="57">
        <v>0</v>
      </c>
      <c r="P341" s="57">
        <v>0</v>
      </c>
      <c r="Q341" s="57">
        <v>0</v>
      </c>
      <c r="R341" s="57">
        <v>0</v>
      </c>
      <c r="S341" s="57">
        <v>22</v>
      </c>
      <c r="T341" s="112">
        <v>22</v>
      </c>
    </row>
    <row r="342" spans="1:20" ht="23.4" x14ac:dyDescent="0.25">
      <c r="A342" s="57">
        <v>341</v>
      </c>
      <c r="B342" s="110">
        <v>244031</v>
      </c>
      <c r="C342" s="57" t="s">
        <v>114</v>
      </c>
      <c r="D342" s="57" t="s">
        <v>115</v>
      </c>
      <c r="E342" s="57" t="s">
        <v>116</v>
      </c>
      <c r="F342" s="57" t="s">
        <v>119</v>
      </c>
      <c r="G342" s="57">
        <v>2</v>
      </c>
      <c r="H342" s="57" t="s">
        <v>117</v>
      </c>
      <c r="I342" s="57" t="s">
        <v>4305</v>
      </c>
      <c r="J342" s="57" t="s">
        <v>4710</v>
      </c>
      <c r="K342" s="57" t="s">
        <v>2609</v>
      </c>
      <c r="L342" s="111" t="s">
        <v>4137</v>
      </c>
      <c r="N342" s="57">
        <v>1.232</v>
      </c>
      <c r="O342" s="57">
        <v>0</v>
      </c>
      <c r="P342" s="57">
        <v>0</v>
      </c>
      <c r="Q342" s="57">
        <v>0</v>
      </c>
      <c r="R342" s="57">
        <v>0</v>
      </c>
      <c r="S342" s="57">
        <v>22</v>
      </c>
      <c r="T342" s="112">
        <v>22</v>
      </c>
    </row>
    <row r="343" spans="1:20" ht="23.4" x14ac:dyDescent="0.25">
      <c r="A343" s="57">
        <v>342</v>
      </c>
      <c r="B343" s="110">
        <v>244031</v>
      </c>
      <c r="C343" s="57" t="s">
        <v>114</v>
      </c>
      <c r="D343" s="57" t="s">
        <v>115</v>
      </c>
      <c r="E343" s="57" t="s">
        <v>116</v>
      </c>
      <c r="F343" s="57" t="s">
        <v>119</v>
      </c>
      <c r="G343" s="57">
        <v>2</v>
      </c>
      <c r="H343" s="57" t="s">
        <v>117</v>
      </c>
      <c r="I343" s="57" t="s">
        <v>4711</v>
      </c>
      <c r="J343" s="57" t="s">
        <v>1768</v>
      </c>
      <c r="K343" s="57" t="s">
        <v>1769</v>
      </c>
      <c r="L343" s="111" t="s">
        <v>3834</v>
      </c>
      <c r="N343" s="57">
        <v>2.1859999999999999</v>
      </c>
      <c r="O343" s="57">
        <v>420</v>
      </c>
      <c r="P343" s="57">
        <v>6.3</v>
      </c>
      <c r="Q343" s="57">
        <v>0.441</v>
      </c>
      <c r="R343" s="57">
        <v>0</v>
      </c>
      <c r="S343" s="57">
        <v>33</v>
      </c>
      <c r="T343" s="112">
        <v>39.74</v>
      </c>
    </row>
    <row r="344" spans="1:20" ht="23.4" x14ac:dyDescent="0.25">
      <c r="A344" s="57">
        <v>343</v>
      </c>
      <c r="B344" s="110">
        <v>244031</v>
      </c>
      <c r="C344" s="57" t="s">
        <v>114</v>
      </c>
      <c r="D344" s="57" t="s">
        <v>115</v>
      </c>
      <c r="E344" s="57" t="s">
        <v>116</v>
      </c>
      <c r="F344" s="57" t="s">
        <v>119</v>
      </c>
      <c r="G344" s="57">
        <v>2</v>
      </c>
      <c r="H344" s="57" t="s">
        <v>117</v>
      </c>
      <c r="I344" s="57" t="s">
        <v>4712</v>
      </c>
      <c r="J344" s="57" t="s">
        <v>4713</v>
      </c>
      <c r="K344" s="57" t="s">
        <v>4714</v>
      </c>
      <c r="L344" s="111" t="s">
        <v>4715</v>
      </c>
      <c r="N344" s="57">
        <v>0.66400000000000003</v>
      </c>
      <c r="O344" s="57">
        <v>0</v>
      </c>
      <c r="P344" s="57">
        <v>0</v>
      </c>
      <c r="Q344" s="57">
        <v>0</v>
      </c>
      <c r="R344" s="57">
        <v>0</v>
      </c>
      <c r="S344" s="57">
        <v>17</v>
      </c>
      <c r="T344" s="112">
        <v>17</v>
      </c>
    </row>
    <row r="345" spans="1:20" ht="23.4" x14ac:dyDescent="0.25">
      <c r="A345" s="57">
        <v>344</v>
      </c>
      <c r="B345" s="110">
        <v>244031</v>
      </c>
      <c r="C345" s="57" t="s">
        <v>114</v>
      </c>
      <c r="D345" s="57" t="s">
        <v>115</v>
      </c>
      <c r="E345" s="57" t="s">
        <v>116</v>
      </c>
      <c r="F345" s="57" t="s">
        <v>119</v>
      </c>
      <c r="G345" s="57">
        <v>2</v>
      </c>
      <c r="H345" s="57" t="s">
        <v>117</v>
      </c>
      <c r="I345" s="57" t="s">
        <v>4716</v>
      </c>
      <c r="J345" s="57" t="s">
        <v>4717</v>
      </c>
      <c r="K345" s="57" t="s">
        <v>132</v>
      </c>
      <c r="L345" s="111" t="s">
        <v>4718</v>
      </c>
      <c r="N345" s="57">
        <v>1.798</v>
      </c>
      <c r="O345" s="57">
        <v>0</v>
      </c>
      <c r="P345" s="57">
        <v>0</v>
      </c>
      <c r="Q345" s="57">
        <v>0</v>
      </c>
      <c r="R345" s="57">
        <v>0</v>
      </c>
      <c r="S345" s="57">
        <v>22</v>
      </c>
      <c r="T345" s="112">
        <v>22</v>
      </c>
    </row>
    <row r="346" spans="1:20" ht="23.4" x14ac:dyDescent="0.25">
      <c r="A346" s="57">
        <v>345</v>
      </c>
      <c r="B346" s="110">
        <v>244031</v>
      </c>
      <c r="C346" s="57" t="s">
        <v>114</v>
      </c>
      <c r="D346" s="57" t="s">
        <v>115</v>
      </c>
      <c r="E346" s="57" t="s">
        <v>116</v>
      </c>
      <c r="F346" s="57" t="s">
        <v>119</v>
      </c>
      <c r="G346" s="57">
        <v>2</v>
      </c>
      <c r="H346" s="57" t="s">
        <v>117</v>
      </c>
      <c r="I346" s="57" t="s">
        <v>4719</v>
      </c>
      <c r="J346" s="57" t="s">
        <v>4720</v>
      </c>
      <c r="K346" s="57" t="s">
        <v>4721</v>
      </c>
      <c r="L346" s="111" t="s">
        <v>4722</v>
      </c>
      <c r="N346" s="57">
        <v>0.78400000000000003</v>
      </c>
      <c r="O346" s="57">
        <v>0</v>
      </c>
      <c r="P346" s="57">
        <v>0</v>
      </c>
      <c r="Q346" s="57">
        <v>0</v>
      </c>
      <c r="R346" s="57">
        <v>0</v>
      </c>
      <c r="S346" s="57">
        <v>17</v>
      </c>
      <c r="T346" s="112">
        <v>17</v>
      </c>
    </row>
    <row r="347" spans="1:20" ht="23.4" x14ac:dyDescent="0.25">
      <c r="A347" s="57">
        <v>346</v>
      </c>
      <c r="B347" s="110">
        <v>244031</v>
      </c>
      <c r="C347" s="57" t="s">
        <v>114</v>
      </c>
      <c r="D347" s="57" t="s">
        <v>115</v>
      </c>
      <c r="E347" s="57" t="s">
        <v>116</v>
      </c>
      <c r="F347" s="57" t="s">
        <v>119</v>
      </c>
      <c r="G347" s="57">
        <v>2</v>
      </c>
      <c r="H347" s="57" t="s">
        <v>117</v>
      </c>
      <c r="I347" s="57" t="s">
        <v>4723</v>
      </c>
      <c r="J347" s="57" t="s">
        <v>4724</v>
      </c>
      <c r="K347" s="57" t="s">
        <v>4725</v>
      </c>
      <c r="L347" s="111" t="s">
        <v>4726</v>
      </c>
      <c r="N347" s="57">
        <v>0.86799999999999999</v>
      </c>
      <c r="O347" s="57">
        <v>180</v>
      </c>
      <c r="P347" s="57">
        <v>2.7</v>
      </c>
      <c r="Q347" s="57">
        <v>0.189</v>
      </c>
      <c r="R347" s="57">
        <v>0</v>
      </c>
      <c r="S347" s="57">
        <v>17</v>
      </c>
      <c r="T347" s="112">
        <v>19.89</v>
      </c>
    </row>
    <row r="348" spans="1:20" ht="23.4" x14ac:dyDescent="0.25">
      <c r="A348" s="57">
        <v>347</v>
      </c>
      <c r="B348" s="110">
        <v>244031</v>
      </c>
      <c r="C348" s="57" t="s">
        <v>114</v>
      </c>
      <c r="D348" s="57" t="s">
        <v>115</v>
      </c>
      <c r="E348" s="57" t="s">
        <v>116</v>
      </c>
      <c r="F348" s="57" t="s">
        <v>119</v>
      </c>
      <c r="G348" s="57">
        <v>2</v>
      </c>
      <c r="H348" s="57" t="s">
        <v>117</v>
      </c>
      <c r="I348" s="57" t="s">
        <v>4727</v>
      </c>
      <c r="J348" s="57" t="s">
        <v>4728</v>
      </c>
      <c r="K348" s="57" t="s">
        <v>4729</v>
      </c>
      <c r="L348" s="111" t="s">
        <v>4730</v>
      </c>
      <c r="N348" s="57">
        <v>0.70199999999999996</v>
      </c>
      <c r="O348" s="57">
        <v>130</v>
      </c>
      <c r="P348" s="57">
        <v>1.95</v>
      </c>
      <c r="Q348" s="57">
        <v>0.13650000000000001</v>
      </c>
      <c r="R348" s="57">
        <v>0</v>
      </c>
      <c r="S348" s="57">
        <v>17</v>
      </c>
      <c r="T348" s="112">
        <v>19.09</v>
      </c>
    </row>
    <row r="349" spans="1:20" ht="23.4" x14ac:dyDescent="0.25">
      <c r="A349" s="57">
        <v>348</v>
      </c>
      <c r="B349" s="110">
        <v>244031</v>
      </c>
      <c r="C349" s="57" t="s">
        <v>114</v>
      </c>
      <c r="D349" s="57" t="s">
        <v>115</v>
      </c>
      <c r="E349" s="57" t="s">
        <v>116</v>
      </c>
      <c r="F349" s="57" t="s">
        <v>119</v>
      </c>
      <c r="G349" s="57">
        <v>2</v>
      </c>
      <c r="H349" s="57" t="s">
        <v>117</v>
      </c>
      <c r="I349" s="57" t="s">
        <v>4731</v>
      </c>
      <c r="J349" s="57" t="s">
        <v>4309</v>
      </c>
      <c r="K349" s="57" t="s">
        <v>4310</v>
      </c>
      <c r="L349" s="111" t="s">
        <v>4311</v>
      </c>
      <c r="N349" s="57">
        <v>1.17</v>
      </c>
      <c r="O349" s="57">
        <v>0</v>
      </c>
      <c r="P349" s="57">
        <v>0</v>
      </c>
      <c r="Q349" s="57">
        <v>0</v>
      </c>
      <c r="R349" s="57">
        <v>0</v>
      </c>
      <c r="S349" s="57">
        <v>22</v>
      </c>
      <c r="T349" s="112">
        <v>22</v>
      </c>
    </row>
    <row r="350" spans="1:20" ht="23.4" x14ac:dyDescent="0.25">
      <c r="A350" s="57">
        <v>349</v>
      </c>
      <c r="B350" s="110">
        <v>244031</v>
      </c>
      <c r="C350" s="57" t="s">
        <v>114</v>
      </c>
      <c r="D350" s="57" t="s">
        <v>115</v>
      </c>
      <c r="E350" s="57" t="s">
        <v>116</v>
      </c>
      <c r="F350" s="57" t="s">
        <v>119</v>
      </c>
      <c r="G350" s="57">
        <v>2</v>
      </c>
      <c r="H350" s="57" t="s">
        <v>117</v>
      </c>
      <c r="I350" s="57" t="s">
        <v>4732</v>
      </c>
      <c r="J350" s="57" t="s">
        <v>4733</v>
      </c>
      <c r="K350" s="57" t="s">
        <v>4734</v>
      </c>
      <c r="L350" s="111" t="s">
        <v>4735</v>
      </c>
      <c r="N350" s="57">
        <v>1.1459999999999999</v>
      </c>
      <c r="O350" s="57">
        <v>0</v>
      </c>
      <c r="P350" s="57">
        <v>0</v>
      </c>
      <c r="Q350" s="57">
        <v>0</v>
      </c>
      <c r="R350" s="57">
        <v>0</v>
      </c>
      <c r="S350" s="57">
        <v>22</v>
      </c>
      <c r="T350" s="112">
        <v>22</v>
      </c>
    </row>
    <row r="351" spans="1:20" ht="23.4" x14ac:dyDescent="0.25">
      <c r="A351" s="57">
        <v>350</v>
      </c>
      <c r="B351" s="110">
        <v>244031</v>
      </c>
      <c r="C351" s="57" t="s">
        <v>114</v>
      </c>
      <c r="D351" s="57" t="s">
        <v>115</v>
      </c>
      <c r="E351" s="57" t="s">
        <v>116</v>
      </c>
      <c r="F351" s="57" t="s">
        <v>119</v>
      </c>
      <c r="G351" s="57">
        <v>2</v>
      </c>
      <c r="H351" s="57" t="s">
        <v>117</v>
      </c>
      <c r="I351" s="57" t="s">
        <v>4736</v>
      </c>
      <c r="J351" s="57" t="s">
        <v>4737</v>
      </c>
      <c r="K351" s="57" t="s">
        <v>4738</v>
      </c>
      <c r="L351" s="111" t="s">
        <v>4739</v>
      </c>
      <c r="N351" s="57">
        <v>1.24</v>
      </c>
      <c r="O351" s="57">
        <v>230</v>
      </c>
      <c r="P351" s="57">
        <v>3.45</v>
      </c>
      <c r="Q351" s="57">
        <v>0.24149999999999999</v>
      </c>
      <c r="R351" s="57">
        <v>0</v>
      </c>
      <c r="S351" s="57">
        <v>22</v>
      </c>
      <c r="T351" s="112">
        <v>25.69</v>
      </c>
    </row>
    <row r="352" spans="1:20" ht="23.4" x14ac:dyDescent="0.25">
      <c r="A352" s="57">
        <v>351</v>
      </c>
      <c r="B352" s="110">
        <v>244031</v>
      </c>
      <c r="C352" s="57" t="s">
        <v>114</v>
      </c>
      <c r="D352" s="57" t="s">
        <v>115</v>
      </c>
      <c r="E352" s="57" t="s">
        <v>116</v>
      </c>
      <c r="F352" s="57" t="s">
        <v>119</v>
      </c>
      <c r="G352" s="57">
        <v>2</v>
      </c>
      <c r="H352" s="57" t="s">
        <v>117</v>
      </c>
      <c r="I352" s="57" t="s">
        <v>4740</v>
      </c>
      <c r="J352" s="57" t="s">
        <v>4741</v>
      </c>
      <c r="K352" s="57" t="s">
        <v>4742</v>
      </c>
      <c r="L352" s="111" t="s">
        <v>4743</v>
      </c>
      <c r="N352" s="57">
        <v>0.67800000000000005</v>
      </c>
      <c r="O352" s="57">
        <v>0</v>
      </c>
      <c r="P352" s="57">
        <v>0</v>
      </c>
      <c r="Q352" s="57">
        <v>0</v>
      </c>
      <c r="R352" s="57">
        <v>0</v>
      </c>
      <c r="S352" s="57">
        <v>17</v>
      </c>
      <c r="T352" s="112">
        <v>17</v>
      </c>
    </row>
    <row r="353" spans="1:20" ht="23.4" x14ac:dyDescent="0.25">
      <c r="A353" s="57">
        <v>352</v>
      </c>
      <c r="B353" s="110">
        <v>244031</v>
      </c>
      <c r="C353" s="57" t="s">
        <v>114</v>
      </c>
      <c r="D353" s="57" t="s">
        <v>115</v>
      </c>
      <c r="E353" s="57" t="s">
        <v>116</v>
      </c>
      <c r="F353" s="57" t="s">
        <v>119</v>
      </c>
      <c r="G353" s="57">
        <v>2</v>
      </c>
      <c r="H353" s="57" t="s">
        <v>117</v>
      </c>
      <c r="I353" s="57" t="s">
        <v>4744</v>
      </c>
      <c r="J353" s="57" t="s">
        <v>4745</v>
      </c>
      <c r="K353" s="57" t="s">
        <v>4746</v>
      </c>
      <c r="L353" s="111" t="s">
        <v>4747</v>
      </c>
      <c r="N353" s="57">
        <v>0.72799999999999998</v>
      </c>
      <c r="O353" s="57">
        <v>0</v>
      </c>
      <c r="P353" s="57">
        <v>0</v>
      </c>
      <c r="Q353" s="57">
        <v>0</v>
      </c>
      <c r="R353" s="57">
        <v>0</v>
      </c>
      <c r="S353" s="57">
        <v>17</v>
      </c>
      <c r="T353" s="112">
        <v>17</v>
      </c>
    </row>
    <row r="354" spans="1:20" ht="23.4" x14ac:dyDescent="0.25">
      <c r="A354" s="57">
        <v>353</v>
      </c>
      <c r="B354" s="110">
        <v>244031</v>
      </c>
      <c r="C354" s="57" t="s">
        <v>114</v>
      </c>
      <c r="D354" s="57" t="s">
        <v>115</v>
      </c>
      <c r="E354" s="57" t="s">
        <v>116</v>
      </c>
      <c r="F354" s="57" t="s">
        <v>119</v>
      </c>
      <c r="G354" s="57">
        <v>2</v>
      </c>
      <c r="H354" s="57" t="s">
        <v>117</v>
      </c>
      <c r="I354" s="57" t="s">
        <v>4748</v>
      </c>
      <c r="J354" s="57" t="s">
        <v>4749</v>
      </c>
      <c r="K354" s="57" t="s">
        <v>4750</v>
      </c>
      <c r="L354" s="111" t="s">
        <v>4751</v>
      </c>
      <c r="N354" s="57">
        <v>0.79200000000000004</v>
      </c>
      <c r="O354" s="57">
        <v>160</v>
      </c>
      <c r="P354" s="57">
        <v>2.4</v>
      </c>
      <c r="Q354" s="57">
        <v>0.16800000000000001</v>
      </c>
      <c r="R354" s="57">
        <v>0</v>
      </c>
      <c r="S354" s="57">
        <v>17</v>
      </c>
      <c r="T354" s="112">
        <v>19.57</v>
      </c>
    </row>
    <row r="355" spans="1:20" ht="23.4" x14ac:dyDescent="0.25">
      <c r="A355" s="57">
        <v>354</v>
      </c>
      <c r="B355" s="110">
        <v>244031</v>
      </c>
      <c r="C355" s="57" t="s">
        <v>114</v>
      </c>
      <c r="D355" s="57" t="s">
        <v>115</v>
      </c>
      <c r="E355" s="57" t="s">
        <v>116</v>
      </c>
      <c r="F355" s="57" t="s">
        <v>119</v>
      </c>
      <c r="G355" s="57">
        <v>2</v>
      </c>
      <c r="H355" s="57" t="s">
        <v>117</v>
      </c>
      <c r="I355" s="57" t="s">
        <v>4752</v>
      </c>
      <c r="J355" s="57" t="s">
        <v>316</v>
      </c>
      <c r="K355" s="57" t="s">
        <v>317</v>
      </c>
      <c r="L355" s="111" t="s">
        <v>318</v>
      </c>
      <c r="N355" s="57">
        <v>0.69199999999999995</v>
      </c>
      <c r="O355" s="57">
        <v>0</v>
      </c>
      <c r="P355" s="57">
        <v>0</v>
      </c>
      <c r="Q355" s="57">
        <v>0</v>
      </c>
      <c r="R355" s="57">
        <v>0</v>
      </c>
      <c r="S355" s="57">
        <v>17</v>
      </c>
      <c r="T355" s="112">
        <v>17</v>
      </c>
    </row>
    <row r="356" spans="1:20" ht="23.4" x14ac:dyDescent="0.25">
      <c r="A356" s="57">
        <v>355</v>
      </c>
      <c r="B356" s="110">
        <v>244031</v>
      </c>
      <c r="C356" s="57" t="s">
        <v>114</v>
      </c>
      <c r="D356" s="57" t="s">
        <v>115</v>
      </c>
      <c r="E356" s="57" t="s">
        <v>116</v>
      </c>
      <c r="F356" s="57" t="s">
        <v>119</v>
      </c>
      <c r="G356" s="57">
        <v>2</v>
      </c>
      <c r="H356" s="57" t="s">
        <v>117</v>
      </c>
      <c r="I356" s="57" t="s">
        <v>4753</v>
      </c>
      <c r="J356" s="57" t="s">
        <v>4754</v>
      </c>
      <c r="K356" s="57" t="s">
        <v>4755</v>
      </c>
      <c r="L356" s="111" t="s">
        <v>4756</v>
      </c>
      <c r="N356" s="57">
        <v>0.70799999999999996</v>
      </c>
      <c r="O356" s="57">
        <v>0</v>
      </c>
      <c r="P356" s="57">
        <v>0</v>
      </c>
      <c r="Q356" s="57">
        <v>0</v>
      </c>
      <c r="R356" s="57">
        <v>0</v>
      </c>
      <c r="S356" s="57">
        <v>17</v>
      </c>
      <c r="T356" s="112">
        <v>17</v>
      </c>
    </row>
    <row r="357" spans="1:20" ht="23.4" x14ac:dyDescent="0.25">
      <c r="A357" s="57">
        <v>356</v>
      </c>
      <c r="B357" s="110">
        <v>244031</v>
      </c>
      <c r="C357" s="57" t="s">
        <v>114</v>
      </c>
      <c r="D357" s="57" t="s">
        <v>115</v>
      </c>
      <c r="E357" s="57" t="s">
        <v>116</v>
      </c>
      <c r="F357" s="57" t="s">
        <v>119</v>
      </c>
      <c r="G357" s="57">
        <v>2</v>
      </c>
      <c r="H357" s="57" t="s">
        <v>117</v>
      </c>
      <c r="I357" s="57" t="s">
        <v>4757</v>
      </c>
      <c r="J357" s="57" t="s">
        <v>4758</v>
      </c>
      <c r="K357" s="57" t="s">
        <v>4759</v>
      </c>
      <c r="L357" s="111" t="s">
        <v>4760</v>
      </c>
      <c r="N357" s="57">
        <v>0.68</v>
      </c>
      <c r="O357" s="57">
        <v>130</v>
      </c>
      <c r="P357" s="57">
        <v>1.95</v>
      </c>
      <c r="Q357" s="57">
        <v>0.13650000000000001</v>
      </c>
      <c r="R357" s="57">
        <v>0</v>
      </c>
      <c r="S357" s="57">
        <v>17</v>
      </c>
      <c r="T357" s="112">
        <v>19.09</v>
      </c>
    </row>
    <row r="358" spans="1:20" ht="23.4" x14ac:dyDescent="0.25">
      <c r="A358" s="57">
        <v>357</v>
      </c>
      <c r="B358" s="110">
        <v>244031</v>
      </c>
      <c r="C358" s="57" t="s">
        <v>114</v>
      </c>
      <c r="D358" s="57" t="s">
        <v>115</v>
      </c>
      <c r="E358" s="57" t="s">
        <v>116</v>
      </c>
      <c r="F358" s="57" t="s">
        <v>119</v>
      </c>
      <c r="G358" s="57">
        <v>2</v>
      </c>
      <c r="H358" s="57" t="s">
        <v>117</v>
      </c>
      <c r="I358" s="57" t="s">
        <v>4761</v>
      </c>
      <c r="J358" s="57" t="s">
        <v>4762</v>
      </c>
      <c r="K358" s="57" t="s">
        <v>4763</v>
      </c>
      <c r="L358" s="111" t="s">
        <v>4764</v>
      </c>
      <c r="N358" s="57">
        <v>1.236</v>
      </c>
      <c r="O358" s="57">
        <v>230</v>
      </c>
      <c r="P358" s="57">
        <v>3.45</v>
      </c>
      <c r="Q358" s="57">
        <v>0.24149999999999999</v>
      </c>
      <c r="R358" s="57">
        <v>0</v>
      </c>
      <c r="S358" s="57">
        <v>22</v>
      </c>
      <c r="T358" s="112">
        <v>25.69</v>
      </c>
    </row>
    <row r="359" spans="1:20" ht="23.4" x14ac:dyDescent="0.25">
      <c r="A359" s="57">
        <v>358</v>
      </c>
      <c r="B359" s="110">
        <v>244031</v>
      </c>
      <c r="C359" s="57" t="s">
        <v>114</v>
      </c>
      <c r="D359" s="57" t="s">
        <v>115</v>
      </c>
      <c r="E359" s="57" t="s">
        <v>116</v>
      </c>
      <c r="F359" s="57" t="s">
        <v>119</v>
      </c>
      <c r="G359" s="57">
        <v>2</v>
      </c>
      <c r="H359" s="57" t="s">
        <v>117</v>
      </c>
      <c r="I359" s="57" t="s">
        <v>4765</v>
      </c>
      <c r="J359" s="57" t="s">
        <v>4766</v>
      </c>
      <c r="K359" s="57" t="s">
        <v>1379</v>
      </c>
      <c r="L359" s="111" t="s">
        <v>4767</v>
      </c>
      <c r="N359" s="57">
        <v>1.468</v>
      </c>
      <c r="O359" s="57">
        <v>0</v>
      </c>
      <c r="P359" s="57">
        <v>0</v>
      </c>
      <c r="Q359" s="57">
        <v>0</v>
      </c>
      <c r="R359" s="57">
        <v>0</v>
      </c>
      <c r="S359" s="57">
        <v>22</v>
      </c>
      <c r="T359" s="112">
        <v>22</v>
      </c>
    </row>
    <row r="360" spans="1:20" ht="23.4" x14ac:dyDescent="0.25">
      <c r="A360" s="57">
        <v>359</v>
      </c>
      <c r="B360" s="110">
        <v>244031</v>
      </c>
      <c r="C360" s="57" t="s">
        <v>114</v>
      </c>
      <c r="D360" s="57" t="s">
        <v>115</v>
      </c>
      <c r="E360" s="57" t="s">
        <v>116</v>
      </c>
      <c r="F360" s="57" t="s">
        <v>119</v>
      </c>
      <c r="G360" s="57">
        <v>2</v>
      </c>
      <c r="H360" s="57" t="s">
        <v>117</v>
      </c>
      <c r="I360" s="57" t="s">
        <v>4768</v>
      </c>
      <c r="J360" s="57" t="s">
        <v>4769</v>
      </c>
      <c r="K360" s="57" t="s">
        <v>185</v>
      </c>
      <c r="L360" s="111" t="s">
        <v>186</v>
      </c>
      <c r="N360" s="57">
        <v>0.77800000000000002</v>
      </c>
      <c r="O360" s="57">
        <v>160</v>
      </c>
      <c r="P360" s="57">
        <v>2.4</v>
      </c>
      <c r="Q360" s="57">
        <v>0.16800000000000001</v>
      </c>
      <c r="R360" s="57">
        <v>0</v>
      </c>
      <c r="S360" s="57">
        <v>17</v>
      </c>
      <c r="T360" s="112">
        <v>19.57</v>
      </c>
    </row>
    <row r="361" spans="1:20" ht="23.4" x14ac:dyDescent="0.25">
      <c r="A361" s="57">
        <v>360</v>
      </c>
      <c r="B361" s="110">
        <v>244031</v>
      </c>
      <c r="C361" s="57" t="s">
        <v>114</v>
      </c>
      <c r="D361" s="57" t="s">
        <v>115</v>
      </c>
      <c r="E361" s="57" t="s">
        <v>116</v>
      </c>
      <c r="F361" s="57" t="s">
        <v>119</v>
      </c>
      <c r="G361" s="57">
        <v>2</v>
      </c>
      <c r="H361" s="57" t="s">
        <v>117</v>
      </c>
      <c r="I361" s="57" t="s">
        <v>4770</v>
      </c>
      <c r="J361" s="57" t="s">
        <v>4771</v>
      </c>
      <c r="K361" s="57" t="s">
        <v>4772</v>
      </c>
      <c r="L361" s="111" t="s">
        <v>4773</v>
      </c>
      <c r="N361" s="57">
        <v>0.67200000000000004</v>
      </c>
      <c r="O361" s="57">
        <v>0</v>
      </c>
      <c r="P361" s="57">
        <v>0</v>
      </c>
      <c r="Q361" s="57">
        <v>0</v>
      </c>
      <c r="R361" s="57">
        <v>0</v>
      </c>
      <c r="S361" s="57">
        <v>17</v>
      </c>
      <c r="T361" s="112">
        <v>17</v>
      </c>
    </row>
    <row r="362" spans="1:20" ht="23.4" x14ac:dyDescent="0.25">
      <c r="A362" s="57">
        <v>361</v>
      </c>
      <c r="B362" s="110">
        <v>244031</v>
      </c>
      <c r="C362" s="57" t="s">
        <v>114</v>
      </c>
      <c r="D362" s="57" t="s">
        <v>115</v>
      </c>
      <c r="E362" s="57" t="s">
        <v>116</v>
      </c>
      <c r="F362" s="57" t="s">
        <v>119</v>
      </c>
      <c r="G362" s="57">
        <v>2</v>
      </c>
      <c r="H362" s="57" t="s">
        <v>117</v>
      </c>
      <c r="I362" s="57" t="s">
        <v>4774</v>
      </c>
      <c r="J362" s="57" t="s">
        <v>3152</v>
      </c>
      <c r="K362" s="57" t="s">
        <v>3153</v>
      </c>
      <c r="L362" s="111" t="s">
        <v>3154</v>
      </c>
      <c r="N362" s="57">
        <v>0.77200000000000002</v>
      </c>
      <c r="O362" s="57">
        <v>0</v>
      </c>
      <c r="P362" s="57">
        <v>0</v>
      </c>
      <c r="Q362" s="57">
        <v>0</v>
      </c>
      <c r="R362" s="57">
        <v>0</v>
      </c>
      <c r="S362" s="57">
        <v>17</v>
      </c>
      <c r="T362" s="112">
        <v>17</v>
      </c>
    </row>
    <row r="363" spans="1:20" ht="23.4" x14ac:dyDescent="0.25">
      <c r="A363" s="57">
        <v>362</v>
      </c>
      <c r="B363" s="110">
        <v>244031</v>
      </c>
      <c r="C363" s="57" t="s">
        <v>114</v>
      </c>
      <c r="D363" s="57" t="s">
        <v>115</v>
      </c>
      <c r="E363" s="57" t="s">
        <v>116</v>
      </c>
      <c r="F363" s="57" t="s">
        <v>119</v>
      </c>
      <c r="G363" s="57">
        <v>2</v>
      </c>
      <c r="H363" s="57" t="s">
        <v>117</v>
      </c>
      <c r="I363" s="57" t="s">
        <v>4775</v>
      </c>
      <c r="J363" s="57" t="s">
        <v>3127</v>
      </c>
      <c r="K363" s="57" t="s">
        <v>3128</v>
      </c>
      <c r="L363" s="111" t="s">
        <v>3129</v>
      </c>
      <c r="N363" s="57">
        <v>1.1339999999999999</v>
      </c>
      <c r="O363" s="57">
        <v>225</v>
      </c>
      <c r="P363" s="57">
        <v>3.375</v>
      </c>
      <c r="Q363" s="57">
        <v>0.23630000000000001</v>
      </c>
      <c r="R363" s="57">
        <v>0</v>
      </c>
      <c r="S363" s="57">
        <v>22</v>
      </c>
      <c r="T363" s="112">
        <v>25.61</v>
      </c>
    </row>
    <row r="364" spans="1:20" ht="23.4" x14ac:dyDescent="0.25">
      <c r="A364" s="57">
        <v>363</v>
      </c>
      <c r="B364" s="110">
        <v>244031</v>
      </c>
      <c r="C364" s="57" t="s">
        <v>114</v>
      </c>
      <c r="D364" s="57" t="s">
        <v>115</v>
      </c>
      <c r="E364" s="57" t="s">
        <v>116</v>
      </c>
      <c r="F364" s="57" t="s">
        <v>119</v>
      </c>
      <c r="G364" s="57">
        <v>2</v>
      </c>
      <c r="H364" s="57" t="s">
        <v>117</v>
      </c>
      <c r="I364" s="57" t="s">
        <v>4776</v>
      </c>
      <c r="J364" s="57" t="s">
        <v>4777</v>
      </c>
      <c r="K364" s="57" t="s">
        <v>4778</v>
      </c>
      <c r="L364" s="111" t="s">
        <v>4779</v>
      </c>
      <c r="N364" s="57">
        <v>1.1919999999999999</v>
      </c>
      <c r="O364" s="57">
        <v>0</v>
      </c>
      <c r="P364" s="57">
        <v>0</v>
      </c>
      <c r="Q364" s="57">
        <v>0</v>
      </c>
      <c r="R364" s="57">
        <v>0</v>
      </c>
      <c r="S364" s="57">
        <v>22</v>
      </c>
      <c r="T364" s="112">
        <v>22</v>
      </c>
    </row>
    <row r="365" spans="1:20" ht="23.4" x14ac:dyDescent="0.25">
      <c r="A365" s="57">
        <v>364</v>
      </c>
      <c r="B365" s="110">
        <v>244031</v>
      </c>
      <c r="C365" s="57" t="s">
        <v>114</v>
      </c>
      <c r="D365" s="57" t="s">
        <v>115</v>
      </c>
      <c r="E365" s="57" t="s">
        <v>116</v>
      </c>
      <c r="F365" s="57" t="s">
        <v>119</v>
      </c>
      <c r="G365" s="57">
        <v>2</v>
      </c>
      <c r="H365" s="57" t="s">
        <v>117</v>
      </c>
      <c r="I365" s="57" t="s">
        <v>4780</v>
      </c>
      <c r="J365" s="57" t="s">
        <v>4781</v>
      </c>
      <c r="K365" s="57" t="s">
        <v>499</v>
      </c>
      <c r="L365" s="111" t="s">
        <v>4782</v>
      </c>
      <c r="N365" s="57">
        <v>1.6220000000000001</v>
      </c>
      <c r="O365" s="57">
        <v>0</v>
      </c>
      <c r="P365" s="57">
        <v>0</v>
      </c>
      <c r="Q365" s="57">
        <v>0</v>
      </c>
      <c r="R365" s="57">
        <v>0</v>
      </c>
      <c r="S365" s="57">
        <v>22</v>
      </c>
      <c r="T365" s="112">
        <v>22</v>
      </c>
    </row>
    <row r="366" spans="1:20" ht="23.4" x14ac:dyDescent="0.25">
      <c r="A366" s="57">
        <v>365</v>
      </c>
      <c r="B366" s="110">
        <v>244031</v>
      </c>
      <c r="C366" s="57" t="s">
        <v>114</v>
      </c>
      <c r="D366" s="57" t="s">
        <v>115</v>
      </c>
      <c r="E366" s="57" t="s">
        <v>116</v>
      </c>
      <c r="F366" s="57" t="s">
        <v>119</v>
      </c>
      <c r="G366" s="57">
        <v>2</v>
      </c>
      <c r="H366" s="57" t="s">
        <v>117</v>
      </c>
      <c r="I366" s="57" t="s">
        <v>4783</v>
      </c>
      <c r="J366" s="57" t="s">
        <v>4784</v>
      </c>
      <c r="K366" s="57" t="s">
        <v>4785</v>
      </c>
      <c r="L366" s="111" t="s">
        <v>4786</v>
      </c>
      <c r="N366" s="57">
        <v>1.218</v>
      </c>
      <c r="O366" s="57">
        <v>230</v>
      </c>
      <c r="P366" s="57">
        <v>3.45</v>
      </c>
      <c r="Q366" s="57">
        <v>0.24149999999999999</v>
      </c>
      <c r="R366" s="57">
        <v>0</v>
      </c>
      <c r="S366" s="57">
        <v>22</v>
      </c>
      <c r="T366" s="112">
        <v>25.69</v>
      </c>
    </row>
    <row r="367" spans="1:20" ht="23.4" x14ac:dyDescent="0.25">
      <c r="A367" s="57">
        <v>366</v>
      </c>
      <c r="B367" s="110">
        <v>244031</v>
      </c>
      <c r="C367" s="57" t="s">
        <v>114</v>
      </c>
      <c r="D367" s="57" t="s">
        <v>115</v>
      </c>
      <c r="E367" s="57" t="s">
        <v>116</v>
      </c>
      <c r="F367" s="57" t="s">
        <v>119</v>
      </c>
      <c r="G367" s="57">
        <v>2</v>
      </c>
      <c r="H367" s="57" t="s">
        <v>117</v>
      </c>
      <c r="I367" s="57" t="s">
        <v>4787</v>
      </c>
      <c r="J367" s="57" t="s">
        <v>4788</v>
      </c>
      <c r="K367" s="57" t="s">
        <v>4789</v>
      </c>
      <c r="L367" s="111" t="s">
        <v>4790</v>
      </c>
      <c r="N367" s="57">
        <v>1.1679999999999999</v>
      </c>
      <c r="O367" s="57">
        <v>230</v>
      </c>
      <c r="P367" s="57">
        <v>3.45</v>
      </c>
      <c r="Q367" s="57">
        <v>0.24149999999999999</v>
      </c>
      <c r="R367" s="57">
        <v>0</v>
      </c>
      <c r="S367" s="57">
        <v>22</v>
      </c>
      <c r="T367" s="112">
        <v>25.69</v>
      </c>
    </row>
    <row r="368" spans="1:20" ht="23.4" x14ac:dyDescent="0.25">
      <c r="A368" s="57">
        <v>367</v>
      </c>
      <c r="B368" s="110">
        <v>244031</v>
      </c>
      <c r="C368" s="57" t="s">
        <v>114</v>
      </c>
      <c r="D368" s="57" t="s">
        <v>115</v>
      </c>
      <c r="E368" s="57" t="s">
        <v>116</v>
      </c>
      <c r="F368" s="57" t="s">
        <v>119</v>
      </c>
      <c r="G368" s="57">
        <v>2</v>
      </c>
      <c r="H368" s="57" t="s">
        <v>117</v>
      </c>
      <c r="I368" s="57" t="s">
        <v>4791</v>
      </c>
      <c r="J368" s="57" t="s">
        <v>4792</v>
      </c>
      <c r="K368" s="57" t="s">
        <v>4793</v>
      </c>
      <c r="L368" s="111" t="s">
        <v>4794</v>
      </c>
      <c r="N368" s="57">
        <v>0.68600000000000005</v>
      </c>
      <c r="O368" s="57">
        <v>130</v>
      </c>
      <c r="P368" s="57">
        <v>1.95</v>
      </c>
      <c r="Q368" s="57">
        <v>0.13650000000000001</v>
      </c>
      <c r="R368" s="57">
        <v>0</v>
      </c>
      <c r="S368" s="57">
        <v>17</v>
      </c>
      <c r="T368" s="112">
        <v>19.09</v>
      </c>
    </row>
    <row r="369" spans="1:20" ht="23.4" x14ac:dyDescent="0.25">
      <c r="A369" s="57">
        <v>368</v>
      </c>
      <c r="B369" s="110">
        <v>244031</v>
      </c>
      <c r="C369" s="57" t="s">
        <v>114</v>
      </c>
      <c r="D369" s="57" t="s">
        <v>115</v>
      </c>
      <c r="E369" s="57" t="s">
        <v>116</v>
      </c>
      <c r="F369" s="57" t="s">
        <v>119</v>
      </c>
      <c r="G369" s="57">
        <v>2</v>
      </c>
      <c r="H369" s="57" t="s">
        <v>117</v>
      </c>
      <c r="I369" s="57" t="s">
        <v>4795</v>
      </c>
      <c r="J369" s="57" t="s">
        <v>4796</v>
      </c>
      <c r="K369" s="57" t="s">
        <v>4797</v>
      </c>
      <c r="L369" s="111" t="s">
        <v>4798</v>
      </c>
      <c r="N369" s="57">
        <v>1.248</v>
      </c>
      <c r="O369" s="57">
        <v>0</v>
      </c>
      <c r="P369" s="57">
        <v>0</v>
      </c>
      <c r="Q369" s="57">
        <v>0</v>
      </c>
      <c r="R369" s="57">
        <v>0</v>
      </c>
      <c r="S369" s="57">
        <v>22</v>
      </c>
      <c r="T369" s="112">
        <v>22</v>
      </c>
    </row>
    <row r="370" spans="1:20" ht="23.4" x14ac:dyDescent="0.25">
      <c r="A370" s="57">
        <v>369</v>
      </c>
      <c r="B370" s="110">
        <v>244031</v>
      </c>
      <c r="C370" s="57" t="s">
        <v>114</v>
      </c>
      <c r="D370" s="57" t="s">
        <v>115</v>
      </c>
      <c r="E370" s="57" t="s">
        <v>116</v>
      </c>
      <c r="F370" s="57" t="s">
        <v>119</v>
      </c>
      <c r="G370" s="57">
        <v>2</v>
      </c>
      <c r="H370" s="57" t="s">
        <v>117</v>
      </c>
      <c r="I370" s="57" t="s">
        <v>4799</v>
      </c>
      <c r="J370" s="57" t="s">
        <v>4800</v>
      </c>
      <c r="K370" s="57" t="s">
        <v>4801</v>
      </c>
      <c r="L370" s="111" t="s">
        <v>4802</v>
      </c>
      <c r="N370" s="57">
        <v>0.68600000000000005</v>
      </c>
      <c r="O370" s="57">
        <v>130</v>
      </c>
      <c r="P370" s="57">
        <v>1.95</v>
      </c>
      <c r="Q370" s="57">
        <v>0.13650000000000001</v>
      </c>
      <c r="R370" s="57">
        <v>0</v>
      </c>
      <c r="S370" s="57">
        <v>17</v>
      </c>
      <c r="T370" s="112">
        <v>19.09</v>
      </c>
    </row>
    <row r="371" spans="1:20" ht="23.4" x14ac:dyDescent="0.25">
      <c r="A371" s="57">
        <v>370</v>
      </c>
      <c r="B371" s="110">
        <v>244031</v>
      </c>
      <c r="C371" s="57" t="s">
        <v>114</v>
      </c>
      <c r="D371" s="57" t="s">
        <v>115</v>
      </c>
      <c r="E371" s="57" t="s">
        <v>116</v>
      </c>
      <c r="F371" s="57" t="s">
        <v>119</v>
      </c>
      <c r="G371" s="57">
        <v>2</v>
      </c>
      <c r="H371" s="57" t="s">
        <v>117</v>
      </c>
      <c r="I371" s="57" t="s">
        <v>4803</v>
      </c>
      <c r="J371" s="57" t="s">
        <v>4804</v>
      </c>
      <c r="K371" s="57" t="s">
        <v>4805</v>
      </c>
      <c r="L371" s="111" t="s">
        <v>4806</v>
      </c>
      <c r="N371" s="57">
        <v>0.68400000000000005</v>
      </c>
      <c r="O371" s="57">
        <v>130</v>
      </c>
      <c r="P371" s="57">
        <v>1.95</v>
      </c>
      <c r="Q371" s="57">
        <v>0.13650000000000001</v>
      </c>
      <c r="R371" s="57">
        <v>0</v>
      </c>
      <c r="S371" s="57">
        <v>17</v>
      </c>
      <c r="T371" s="112">
        <v>19.09</v>
      </c>
    </row>
    <row r="372" spans="1:20" ht="23.4" x14ac:dyDescent="0.25">
      <c r="A372" s="57">
        <v>371</v>
      </c>
      <c r="B372" s="110">
        <v>244031</v>
      </c>
      <c r="C372" s="57" t="s">
        <v>114</v>
      </c>
      <c r="D372" s="57" t="s">
        <v>115</v>
      </c>
      <c r="E372" s="57" t="s">
        <v>116</v>
      </c>
      <c r="F372" s="57" t="s">
        <v>119</v>
      </c>
      <c r="G372" s="57">
        <v>2</v>
      </c>
      <c r="H372" s="57" t="s">
        <v>117</v>
      </c>
      <c r="I372" s="57" t="s">
        <v>4807</v>
      </c>
      <c r="J372" s="57" t="s">
        <v>4808</v>
      </c>
      <c r="K372" s="57" t="s">
        <v>4809</v>
      </c>
      <c r="L372" s="111" t="s">
        <v>4810</v>
      </c>
      <c r="N372" s="57">
        <v>0.78800000000000003</v>
      </c>
      <c r="O372" s="57">
        <v>0</v>
      </c>
      <c r="P372" s="57">
        <v>0</v>
      </c>
      <c r="Q372" s="57">
        <v>0</v>
      </c>
      <c r="R372" s="57">
        <v>0</v>
      </c>
      <c r="S372" s="57">
        <v>17</v>
      </c>
      <c r="T372" s="112">
        <v>17</v>
      </c>
    </row>
    <row r="373" spans="1:20" ht="23.4" x14ac:dyDescent="0.25">
      <c r="A373" s="57">
        <v>372</v>
      </c>
      <c r="B373" s="110">
        <v>244031</v>
      </c>
      <c r="C373" s="57" t="s">
        <v>114</v>
      </c>
      <c r="D373" s="57" t="s">
        <v>115</v>
      </c>
      <c r="E373" s="57" t="s">
        <v>116</v>
      </c>
      <c r="F373" s="57" t="s">
        <v>119</v>
      </c>
      <c r="G373" s="57">
        <v>2</v>
      </c>
      <c r="H373" s="57" t="s">
        <v>117</v>
      </c>
      <c r="I373" s="57" t="s">
        <v>4811</v>
      </c>
      <c r="J373" s="57" t="s">
        <v>4812</v>
      </c>
      <c r="K373" s="57" t="s">
        <v>4813</v>
      </c>
      <c r="L373" s="111" t="s">
        <v>4814</v>
      </c>
      <c r="N373" s="57">
        <v>1.1599999999999999</v>
      </c>
      <c r="O373" s="57">
        <v>0</v>
      </c>
      <c r="P373" s="57">
        <v>0</v>
      </c>
      <c r="Q373" s="57">
        <v>0</v>
      </c>
      <c r="R373" s="57">
        <v>0</v>
      </c>
      <c r="S373" s="57">
        <v>22</v>
      </c>
      <c r="T373" s="112">
        <v>22</v>
      </c>
    </row>
    <row r="374" spans="1:20" ht="23.4" x14ac:dyDescent="0.25">
      <c r="A374" s="57">
        <v>373</v>
      </c>
      <c r="B374" s="110">
        <v>244031</v>
      </c>
      <c r="C374" s="57" t="s">
        <v>114</v>
      </c>
      <c r="D374" s="57" t="s">
        <v>115</v>
      </c>
      <c r="E374" s="57" t="s">
        <v>116</v>
      </c>
      <c r="F374" s="57" t="s">
        <v>119</v>
      </c>
      <c r="G374" s="57">
        <v>2</v>
      </c>
      <c r="H374" s="57" t="s">
        <v>117</v>
      </c>
      <c r="I374" s="57" t="s">
        <v>4815</v>
      </c>
      <c r="J374" s="57" t="s">
        <v>4816</v>
      </c>
      <c r="K374" s="57" t="s">
        <v>4817</v>
      </c>
      <c r="L374" s="111" t="s">
        <v>4818</v>
      </c>
      <c r="N374" s="57">
        <v>1.266</v>
      </c>
      <c r="O374" s="57">
        <v>230</v>
      </c>
      <c r="P374" s="57">
        <v>3.45</v>
      </c>
      <c r="Q374" s="57">
        <v>0.24149999999999999</v>
      </c>
      <c r="R374" s="57">
        <v>0</v>
      </c>
      <c r="S374" s="57">
        <v>22</v>
      </c>
      <c r="T374" s="112">
        <v>25.69</v>
      </c>
    </row>
    <row r="375" spans="1:20" ht="23.4" x14ac:dyDescent="0.25">
      <c r="A375" s="57">
        <v>374</v>
      </c>
      <c r="B375" s="110">
        <v>244031</v>
      </c>
      <c r="C375" s="57" t="s">
        <v>114</v>
      </c>
      <c r="D375" s="57" t="s">
        <v>115</v>
      </c>
      <c r="E375" s="57" t="s">
        <v>116</v>
      </c>
      <c r="F375" s="57" t="s">
        <v>119</v>
      </c>
      <c r="G375" s="57">
        <v>2</v>
      </c>
      <c r="H375" s="57" t="s">
        <v>117</v>
      </c>
      <c r="I375" s="57" t="s">
        <v>4819</v>
      </c>
      <c r="J375" s="57" t="s">
        <v>4820</v>
      </c>
      <c r="K375" s="57" t="s">
        <v>4821</v>
      </c>
      <c r="L375" s="111" t="s">
        <v>4822</v>
      </c>
      <c r="N375" s="57">
        <v>0.65600000000000003</v>
      </c>
      <c r="O375" s="57">
        <v>0</v>
      </c>
      <c r="P375" s="57">
        <v>0</v>
      </c>
      <c r="Q375" s="57">
        <v>0</v>
      </c>
      <c r="R375" s="57">
        <v>0</v>
      </c>
      <c r="S375" s="57">
        <v>17</v>
      </c>
      <c r="T375" s="112">
        <v>17</v>
      </c>
    </row>
    <row r="376" spans="1:20" ht="23.4" x14ac:dyDescent="0.25">
      <c r="A376" s="57">
        <v>375</v>
      </c>
      <c r="B376" s="110">
        <v>244031</v>
      </c>
      <c r="C376" s="57" t="s">
        <v>114</v>
      </c>
      <c r="D376" s="57" t="s">
        <v>115</v>
      </c>
      <c r="E376" s="57" t="s">
        <v>116</v>
      </c>
      <c r="F376" s="57" t="s">
        <v>119</v>
      </c>
      <c r="G376" s="57">
        <v>2</v>
      </c>
      <c r="H376" s="57" t="s">
        <v>117</v>
      </c>
      <c r="I376" s="57" t="s">
        <v>4823</v>
      </c>
      <c r="J376" s="57" t="s">
        <v>4824</v>
      </c>
      <c r="K376" s="57" t="s">
        <v>4825</v>
      </c>
      <c r="L376" s="111" t="s">
        <v>4826</v>
      </c>
      <c r="N376" s="57">
        <v>1.222</v>
      </c>
      <c r="O376" s="57">
        <v>225</v>
      </c>
      <c r="P376" s="57">
        <v>3.375</v>
      </c>
      <c r="Q376" s="57">
        <v>0.23630000000000001</v>
      </c>
      <c r="R376" s="57">
        <v>0</v>
      </c>
      <c r="S376" s="57">
        <v>22</v>
      </c>
      <c r="T376" s="112">
        <v>25.61</v>
      </c>
    </row>
    <row r="377" spans="1:20" ht="23.4" x14ac:dyDescent="0.25">
      <c r="A377" s="57">
        <v>376</v>
      </c>
      <c r="B377" s="110">
        <v>244031</v>
      </c>
      <c r="C377" s="57" t="s">
        <v>114</v>
      </c>
      <c r="D377" s="57" t="s">
        <v>115</v>
      </c>
      <c r="E377" s="57" t="s">
        <v>116</v>
      </c>
      <c r="F377" s="57" t="s">
        <v>119</v>
      </c>
      <c r="G377" s="57">
        <v>2</v>
      </c>
      <c r="H377" s="57" t="s">
        <v>117</v>
      </c>
      <c r="I377" s="57" t="s">
        <v>4827</v>
      </c>
      <c r="J377" s="57" t="s">
        <v>4828</v>
      </c>
      <c r="K377" s="57" t="s">
        <v>4829</v>
      </c>
      <c r="L377" s="111" t="s">
        <v>4830</v>
      </c>
      <c r="N377" s="57">
        <v>2.41</v>
      </c>
      <c r="O377" s="57">
        <v>0</v>
      </c>
      <c r="P377" s="57">
        <v>0</v>
      </c>
      <c r="Q377" s="57">
        <v>0</v>
      </c>
      <c r="R377" s="57">
        <v>0</v>
      </c>
      <c r="S377" s="57">
        <v>33</v>
      </c>
      <c r="T377" s="112">
        <v>33</v>
      </c>
    </row>
    <row r="378" spans="1:20" ht="23.4" x14ac:dyDescent="0.25">
      <c r="A378" s="57">
        <v>377</v>
      </c>
      <c r="B378" s="110">
        <v>244031</v>
      </c>
      <c r="C378" s="57" t="s">
        <v>114</v>
      </c>
      <c r="D378" s="57" t="s">
        <v>115</v>
      </c>
      <c r="E378" s="57" t="s">
        <v>116</v>
      </c>
      <c r="F378" s="57" t="s">
        <v>119</v>
      </c>
      <c r="G378" s="57">
        <v>2</v>
      </c>
      <c r="H378" s="57" t="s">
        <v>117</v>
      </c>
      <c r="I378" s="57" t="s">
        <v>4831</v>
      </c>
      <c r="J378" s="57" t="s">
        <v>3515</v>
      </c>
      <c r="K378" s="57" t="s">
        <v>3516</v>
      </c>
      <c r="L378" s="111" t="s">
        <v>3517</v>
      </c>
      <c r="N378" s="57">
        <v>1.274</v>
      </c>
      <c r="O378" s="57">
        <v>225</v>
      </c>
      <c r="P378" s="57">
        <v>3.375</v>
      </c>
      <c r="Q378" s="57">
        <v>0.23630000000000001</v>
      </c>
      <c r="R378" s="57">
        <v>0</v>
      </c>
      <c r="S378" s="57">
        <v>22</v>
      </c>
      <c r="T378" s="112">
        <v>25.61</v>
      </c>
    </row>
    <row r="379" spans="1:20" ht="23.4" x14ac:dyDescent="0.25">
      <c r="A379" s="57">
        <v>378</v>
      </c>
      <c r="B379" s="110">
        <v>244031</v>
      </c>
      <c r="C379" s="57" t="s">
        <v>114</v>
      </c>
      <c r="D379" s="57" t="s">
        <v>115</v>
      </c>
      <c r="E379" s="57" t="s">
        <v>116</v>
      </c>
      <c r="F379" s="57" t="s">
        <v>119</v>
      </c>
      <c r="G379" s="57">
        <v>2</v>
      </c>
      <c r="H379" s="57" t="s">
        <v>117</v>
      </c>
      <c r="I379" s="57" t="s">
        <v>4832</v>
      </c>
      <c r="J379" s="57" t="s">
        <v>4833</v>
      </c>
      <c r="K379" s="57" t="s">
        <v>4834</v>
      </c>
      <c r="L379" s="111" t="s">
        <v>4835</v>
      </c>
      <c r="N379" s="57">
        <v>0.71</v>
      </c>
      <c r="O379" s="57">
        <v>130</v>
      </c>
      <c r="P379" s="57">
        <v>1.95</v>
      </c>
      <c r="Q379" s="57">
        <v>0.13650000000000001</v>
      </c>
      <c r="R379" s="57">
        <v>0</v>
      </c>
      <c r="S379" s="57">
        <v>17</v>
      </c>
      <c r="T379" s="112">
        <v>19.09</v>
      </c>
    </row>
    <row r="380" spans="1:20" ht="23.4" x14ac:dyDescent="0.25">
      <c r="A380" s="57">
        <v>379</v>
      </c>
      <c r="B380" s="110">
        <v>244031</v>
      </c>
      <c r="C380" s="57" t="s">
        <v>114</v>
      </c>
      <c r="D380" s="57" t="s">
        <v>115</v>
      </c>
      <c r="E380" s="57" t="s">
        <v>116</v>
      </c>
      <c r="F380" s="57" t="s">
        <v>119</v>
      </c>
      <c r="G380" s="57">
        <v>2</v>
      </c>
      <c r="H380" s="57" t="s">
        <v>117</v>
      </c>
      <c r="I380" s="57" t="s">
        <v>4836</v>
      </c>
      <c r="J380" s="57" t="s">
        <v>4837</v>
      </c>
      <c r="K380" s="57" t="s">
        <v>4413</v>
      </c>
      <c r="L380" s="111" t="s">
        <v>4838</v>
      </c>
      <c r="N380" s="57">
        <v>1.248</v>
      </c>
      <c r="O380" s="57">
        <v>0</v>
      </c>
      <c r="P380" s="57">
        <v>0</v>
      </c>
      <c r="Q380" s="57">
        <v>0</v>
      </c>
      <c r="R380" s="57">
        <v>0</v>
      </c>
      <c r="S380" s="57">
        <v>22</v>
      </c>
      <c r="T380" s="112">
        <v>22</v>
      </c>
    </row>
    <row r="381" spans="1:20" ht="23.4" x14ac:dyDescent="0.25">
      <c r="A381" s="57">
        <v>380</v>
      </c>
      <c r="B381" s="110">
        <v>244031</v>
      </c>
      <c r="C381" s="57" t="s">
        <v>114</v>
      </c>
      <c r="D381" s="57" t="s">
        <v>115</v>
      </c>
      <c r="E381" s="57" t="s">
        <v>116</v>
      </c>
      <c r="F381" s="57" t="s">
        <v>119</v>
      </c>
      <c r="G381" s="57">
        <v>2</v>
      </c>
      <c r="H381" s="57" t="s">
        <v>117</v>
      </c>
      <c r="I381" s="57" t="s">
        <v>4839</v>
      </c>
      <c r="J381" s="57" t="s">
        <v>4840</v>
      </c>
      <c r="K381" s="57" t="s">
        <v>1404</v>
      </c>
      <c r="L381" s="111" t="s">
        <v>4841</v>
      </c>
      <c r="N381" s="57">
        <v>1.26</v>
      </c>
      <c r="O381" s="57">
        <v>0</v>
      </c>
      <c r="P381" s="57">
        <v>0</v>
      </c>
      <c r="Q381" s="57">
        <v>0</v>
      </c>
      <c r="R381" s="57">
        <v>0</v>
      </c>
      <c r="S381" s="57">
        <v>22</v>
      </c>
      <c r="T381" s="112">
        <v>22</v>
      </c>
    </row>
    <row r="382" spans="1:20" ht="23.4" x14ac:dyDescent="0.25">
      <c r="A382" s="57">
        <v>381</v>
      </c>
      <c r="B382" s="110">
        <v>244031</v>
      </c>
      <c r="C382" s="57" t="s">
        <v>114</v>
      </c>
      <c r="D382" s="57" t="s">
        <v>115</v>
      </c>
      <c r="E382" s="57" t="s">
        <v>116</v>
      </c>
      <c r="F382" s="57" t="s">
        <v>119</v>
      </c>
      <c r="G382" s="57">
        <v>2</v>
      </c>
      <c r="H382" s="57" t="s">
        <v>117</v>
      </c>
      <c r="I382" s="57" t="s">
        <v>4842</v>
      </c>
      <c r="J382" s="57" t="s">
        <v>4843</v>
      </c>
      <c r="K382" s="57" t="s">
        <v>4844</v>
      </c>
      <c r="L382" s="111" t="s">
        <v>4845</v>
      </c>
      <c r="N382" s="57">
        <v>0.62</v>
      </c>
      <c r="O382" s="57">
        <v>0</v>
      </c>
      <c r="P382" s="57">
        <v>0</v>
      </c>
      <c r="Q382" s="57">
        <v>0</v>
      </c>
      <c r="R382" s="57">
        <v>0</v>
      </c>
      <c r="S382" s="57">
        <v>17</v>
      </c>
      <c r="T382" s="112">
        <v>17</v>
      </c>
    </row>
    <row r="383" spans="1:20" ht="23.4" x14ac:dyDescent="0.25">
      <c r="A383" s="57">
        <v>382</v>
      </c>
      <c r="B383" s="110">
        <v>244031</v>
      </c>
      <c r="C383" s="57" t="s">
        <v>114</v>
      </c>
      <c r="D383" s="57" t="s">
        <v>115</v>
      </c>
      <c r="E383" s="57" t="s">
        <v>116</v>
      </c>
      <c r="F383" s="57" t="s">
        <v>119</v>
      </c>
      <c r="G383" s="57">
        <v>2</v>
      </c>
      <c r="H383" s="57" t="s">
        <v>117</v>
      </c>
      <c r="I383" s="57" t="s">
        <v>4846</v>
      </c>
      <c r="J383" s="57" t="s">
        <v>4847</v>
      </c>
      <c r="K383" s="57" t="s">
        <v>4848</v>
      </c>
      <c r="L383" s="111" t="s">
        <v>4849</v>
      </c>
      <c r="N383" s="57">
        <v>0.70399999999999996</v>
      </c>
      <c r="O383" s="57">
        <v>0</v>
      </c>
      <c r="P383" s="57">
        <v>0</v>
      </c>
      <c r="Q383" s="57">
        <v>0</v>
      </c>
      <c r="R383" s="57">
        <v>0</v>
      </c>
      <c r="S383" s="57">
        <v>17</v>
      </c>
      <c r="T383" s="112">
        <v>17</v>
      </c>
    </row>
    <row r="384" spans="1:20" ht="23.4" x14ac:dyDescent="0.25">
      <c r="A384" s="57">
        <v>383</v>
      </c>
      <c r="B384" s="110">
        <v>244033</v>
      </c>
      <c r="C384" s="57" t="s">
        <v>114</v>
      </c>
      <c r="D384" s="57" t="s">
        <v>115</v>
      </c>
      <c r="E384" s="57" t="s">
        <v>116</v>
      </c>
      <c r="F384" s="57" t="s">
        <v>119</v>
      </c>
      <c r="G384" s="57">
        <v>2</v>
      </c>
      <c r="H384" s="57" t="s">
        <v>117</v>
      </c>
      <c r="I384" s="57" t="s">
        <v>4850</v>
      </c>
      <c r="J384" s="57" t="s">
        <v>4851</v>
      </c>
      <c r="K384" s="57" t="s">
        <v>4852</v>
      </c>
      <c r="L384" s="111" t="s">
        <v>4853</v>
      </c>
      <c r="N384" s="57">
        <v>1.242</v>
      </c>
      <c r="O384" s="57">
        <v>230</v>
      </c>
      <c r="P384" s="57">
        <v>3.45</v>
      </c>
      <c r="Q384" s="57">
        <v>0.24149999999999999</v>
      </c>
      <c r="R384" s="57">
        <v>0</v>
      </c>
      <c r="S384" s="57">
        <v>22</v>
      </c>
      <c r="T384" s="112">
        <v>25.69</v>
      </c>
    </row>
    <row r="385" spans="1:20" ht="23.4" x14ac:dyDescent="0.25">
      <c r="A385" s="57">
        <v>384</v>
      </c>
      <c r="B385" s="110">
        <v>244033</v>
      </c>
      <c r="C385" s="57" t="s">
        <v>114</v>
      </c>
      <c r="D385" s="57" t="s">
        <v>115</v>
      </c>
      <c r="E385" s="57" t="s">
        <v>116</v>
      </c>
      <c r="F385" s="57" t="s">
        <v>119</v>
      </c>
      <c r="G385" s="57">
        <v>2</v>
      </c>
      <c r="H385" s="57" t="s">
        <v>117</v>
      </c>
      <c r="I385" s="57" t="s">
        <v>4854</v>
      </c>
      <c r="J385" s="57" t="s">
        <v>4855</v>
      </c>
      <c r="K385" s="57" t="s">
        <v>4856</v>
      </c>
      <c r="L385" s="111" t="s">
        <v>4857</v>
      </c>
      <c r="N385" s="57">
        <v>0.65600000000000003</v>
      </c>
      <c r="O385" s="57">
        <v>130</v>
      </c>
      <c r="P385" s="57">
        <v>1.95</v>
      </c>
      <c r="Q385" s="57">
        <v>0.13650000000000001</v>
      </c>
      <c r="R385" s="57">
        <v>0</v>
      </c>
      <c r="S385" s="57">
        <v>17</v>
      </c>
      <c r="T385" s="112">
        <v>19.09</v>
      </c>
    </row>
    <row r="386" spans="1:20" ht="23.4" x14ac:dyDescent="0.25">
      <c r="A386" s="57">
        <v>385</v>
      </c>
      <c r="B386" s="110">
        <v>244033</v>
      </c>
      <c r="C386" s="57" t="s">
        <v>114</v>
      </c>
      <c r="D386" s="57" t="s">
        <v>115</v>
      </c>
      <c r="E386" s="57" t="s">
        <v>116</v>
      </c>
      <c r="F386" s="57" t="s">
        <v>119</v>
      </c>
      <c r="G386" s="57">
        <v>2</v>
      </c>
      <c r="H386" s="57" t="s">
        <v>117</v>
      </c>
      <c r="I386" s="57" t="s">
        <v>4858</v>
      </c>
      <c r="J386" s="57" t="s">
        <v>4859</v>
      </c>
      <c r="K386" s="57" t="s">
        <v>4860</v>
      </c>
      <c r="L386" s="111" t="s">
        <v>4861</v>
      </c>
      <c r="N386" s="57">
        <v>1.0980000000000001</v>
      </c>
      <c r="O386" s="57">
        <v>225</v>
      </c>
      <c r="P386" s="57">
        <v>3.375</v>
      </c>
      <c r="Q386" s="57">
        <v>0.23630000000000001</v>
      </c>
      <c r="R386" s="57">
        <v>0</v>
      </c>
      <c r="S386" s="57">
        <v>22</v>
      </c>
      <c r="T386" s="112">
        <v>25.61</v>
      </c>
    </row>
    <row r="387" spans="1:20" ht="23.4" x14ac:dyDescent="0.25">
      <c r="A387" s="57">
        <v>386</v>
      </c>
      <c r="B387" s="110">
        <v>244033</v>
      </c>
      <c r="C387" s="57" t="s">
        <v>114</v>
      </c>
      <c r="D387" s="57" t="s">
        <v>115</v>
      </c>
      <c r="E387" s="57" t="s">
        <v>116</v>
      </c>
      <c r="F387" s="57" t="s">
        <v>119</v>
      </c>
      <c r="G387" s="57">
        <v>2</v>
      </c>
      <c r="H387" s="57" t="s">
        <v>117</v>
      </c>
      <c r="I387" s="57" t="s">
        <v>4862</v>
      </c>
      <c r="J387" s="57" t="s">
        <v>4863</v>
      </c>
      <c r="K387" s="57" t="s">
        <v>4864</v>
      </c>
      <c r="L387" s="111" t="s">
        <v>4865</v>
      </c>
      <c r="N387" s="57">
        <v>0.60199999999999998</v>
      </c>
      <c r="O387" s="57">
        <v>130</v>
      </c>
      <c r="P387" s="57">
        <v>1.95</v>
      </c>
      <c r="Q387" s="57">
        <v>0.13650000000000001</v>
      </c>
      <c r="R387" s="57">
        <v>0</v>
      </c>
      <c r="S387" s="57">
        <v>17</v>
      </c>
      <c r="T387" s="112">
        <v>19.09</v>
      </c>
    </row>
    <row r="388" spans="1:20" ht="23.4" x14ac:dyDescent="0.25">
      <c r="A388" s="57">
        <v>387</v>
      </c>
      <c r="B388" s="110">
        <v>244033</v>
      </c>
      <c r="C388" s="57" t="s">
        <v>114</v>
      </c>
      <c r="D388" s="57" t="s">
        <v>115</v>
      </c>
      <c r="E388" s="57" t="s">
        <v>116</v>
      </c>
      <c r="F388" s="57" t="s">
        <v>119</v>
      </c>
      <c r="G388" s="57">
        <v>2</v>
      </c>
      <c r="H388" s="57" t="s">
        <v>117</v>
      </c>
      <c r="I388" s="57" t="s">
        <v>4866</v>
      </c>
      <c r="J388" s="57" t="s">
        <v>4867</v>
      </c>
      <c r="K388" s="57" t="s">
        <v>4868</v>
      </c>
      <c r="L388" s="111" t="s">
        <v>4869</v>
      </c>
      <c r="N388" s="57">
        <v>1.1559999999999999</v>
      </c>
      <c r="O388" s="57">
        <v>230</v>
      </c>
      <c r="P388" s="57">
        <v>3.45</v>
      </c>
      <c r="Q388" s="57">
        <v>0.24149999999999999</v>
      </c>
      <c r="R388" s="57">
        <v>0</v>
      </c>
      <c r="S388" s="57">
        <v>22</v>
      </c>
      <c r="T388" s="112">
        <v>25.69</v>
      </c>
    </row>
    <row r="389" spans="1:20" ht="23.4" x14ac:dyDescent="0.25">
      <c r="A389" s="57">
        <v>388</v>
      </c>
      <c r="B389" s="110">
        <v>244033</v>
      </c>
      <c r="C389" s="57" t="s">
        <v>114</v>
      </c>
      <c r="D389" s="57" t="s">
        <v>115</v>
      </c>
      <c r="E389" s="57" t="s">
        <v>116</v>
      </c>
      <c r="F389" s="57" t="s">
        <v>119</v>
      </c>
      <c r="G389" s="57">
        <v>2</v>
      </c>
      <c r="H389" s="57" t="s">
        <v>117</v>
      </c>
      <c r="I389" s="57" t="s">
        <v>4870</v>
      </c>
      <c r="J389" s="57" t="s">
        <v>4871</v>
      </c>
      <c r="K389" s="57" t="s">
        <v>4872</v>
      </c>
      <c r="L389" s="111" t="s">
        <v>4873</v>
      </c>
      <c r="N389" s="57">
        <v>0.68</v>
      </c>
      <c r="O389" s="57">
        <v>130</v>
      </c>
      <c r="P389" s="57">
        <v>1.95</v>
      </c>
      <c r="Q389" s="57">
        <v>0.13650000000000001</v>
      </c>
      <c r="R389" s="57">
        <v>0</v>
      </c>
      <c r="S389" s="57">
        <v>17</v>
      </c>
      <c r="T389" s="112">
        <v>19.09</v>
      </c>
    </row>
    <row r="390" spans="1:20" ht="23.4" x14ac:dyDescent="0.25">
      <c r="A390" s="57">
        <v>389</v>
      </c>
      <c r="B390" s="110">
        <v>244033</v>
      </c>
      <c r="C390" s="57" t="s">
        <v>114</v>
      </c>
      <c r="D390" s="57" t="s">
        <v>115</v>
      </c>
      <c r="E390" s="57" t="s">
        <v>116</v>
      </c>
      <c r="F390" s="57" t="s">
        <v>119</v>
      </c>
      <c r="G390" s="57">
        <v>2</v>
      </c>
      <c r="H390" s="57" t="s">
        <v>117</v>
      </c>
      <c r="I390" s="57" t="s">
        <v>4874</v>
      </c>
      <c r="J390" s="57" t="s">
        <v>4875</v>
      </c>
      <c r="K390" s="57" t="s">
        <v>4876</v>
      </c>
      <c r="L390" s="111" t="s">
        <v>4877</v>
      </c>
      <c r="N390" s="57">
        <v>0.68200000000000005</v>
      </c>
      <c r="O390" s="57">
        <v>130</v>
      </c>
      <c r="P390" s="57">
        <v>1.95</v>
      </c>
      <c r="Q390" s="57">
        <v>0.13650000000000001</v>
      </c>
      <c r="R390" s="57">
        <v>0</v>
      </c>
      <c r="S390" s="57">
        <v>17</v>
      </c>
      <c r="T390" s="112">
        <v>19.09</v>
      </c>
    </row>
    <row r="391" spans="1:20" ht="23.4" x14ac:dyDescent="0.25">
      <c r="A391" s="57">
        <v>390</v>
      </c>
      <c r="B391" s="110">
        <v>244033</v>
      </c>
      <c r="C391" s="57" t="s">
        <v>114</v>
      </c>
      <c r="D391" s="57" t="s">
        <v>115</v>
      </c>
      <c r="E391" s="57" t="s">
        <v>116</v>
      </c>
      <c r="F391" s="57" t="s">
        <v>119</v>
      </c>
      <c r="G391" s="57">
        <v>2</v>
      </c>
      <c r="H391" s="57" t="s">
        <v>117</v>
      </c>
      <c r="I391" s="57" t="s">
        <v>4878</v>
      </c>
      <c r="J391" s="57" t="s">
        <v>4879</v>
      </c>
      <c r="K391" s="57" t="s">
        <v>4880</v>
      </c>
      <c r="L391" s="111" t="s">
        <v>4881</v>
      </c>
      <c r="N391" s="57">
        <v>0.85</v>
      </c>
      <c r="O391" s="57">
        <v>160</v>
      </c>
      <c r="P391" s="57">
        <v>2.4</v>
      </c>
      <c r="Q391" s="57">
        <v>0.16800000000000001</v>
      </c>
      <c r="R391" s="57">
        <v>0</v>
      </c>
      <c r="S391" s="57">
        <v>17</v>
      </c>
      <c r="T391" s="112">
        <v>19.57</v>
      </c>
    </row>
    <row r="392" spans="1:20" ht="23.4" x14ac:dyDescent="0.25">
      <c r="A392" s="57">
        <v>391</v>
      </c>
      <c r="B392" s="110">
        <v>244033</v>
      </c>
      <c r="C392" s="57" t="s">
        <v>114</v>
      </c>
      <c r="D392" s="57" t="s">
        <v>115</v>
      </c>
      <c r="E392" s="57" t="s">
        <v>116</v>
      </c>
      <c r="F392" s="57" t="s">
        <v>119</v>
      </c>
      <c r="G392" s="57">
        <v>2</v>
      </c>
      <c r="H392" s="57" t="s">
        <v>117</v>
      </c>
      <c r="I392" s="57" t="s">
        <v>4882</v>
      </c>
      <c r="J392" s="57" t="s">
        <v>4883</v>
      </c>
      <c r="K392" s="57" t="s">
        <v>4884</v>
      </c>
      <c r="L392" s="111" t="s">
        <v>4885</v>
      </c>
      <c r="N392" s="57">
        <v>0.66200000000000003</v>
      </c>
      <c r="O392" s="57">
        <v>130</v>
      </c>
      <c r="P392" s="57">
        <v>1.95</v>
      </c>
      <c r="Q392" s="57">
        <v>0.13650000000000001</v>
      </c>
      <c r="R392" s="57">
        <v>0</v>
      </c>
      <c r="S392" s="57">
        <v>17</v>
      </c>
      <c r="T392" s="112">
        <v>19.09</v>
      </c>
    </row>
    <row r="393" spans="1:20" ht="23.4" x14ac:dyDescent="0.25">
      <c r="A393" s="57">
        <v>392</v>
      </c>
      <c r="B393" s="110">
        <v>244033</v>
      </c>
      <c r="C393" s="57" t="s">
        <v>114</v>
      </c>
      <c r="D393" s="57" t="s">
        <v>115</v>
      </c>
      <c r="E393" s="57" t="s">
        <v>116</v>
      </c>
      <c r="F393" s="57" t="s">
        <v>119</v>
      </c>
      <c r="G393" s="57">
        <v>2</v>
      </c>
      <c r="H393" s="57" t="s">
        <v>117</v>
      </c>
      <c r="I393" s="57" t="s">
        <v>4886</v>
      </c>
      <c r="J393" s="57" t="s">
        <v>4408</v>
      </c>
      <c r="K393" s="57" t="s">
        <v>4409</v>
      </c>
      <c r="L393" s="111" t="s">
        <v>4887</v>
      </c>
      <c r="N393" s="57">
        <v>0.65800000000000003</v>
      </c>
      <c r="O393" s="57">
        <v>130</v>
      </c>
      <c r="P393" s="57">
        <v>1.95</v>
      </c>
      <c r="Q393" s="57">
        <v>0.13650000000000001</v>
      </c>
      <c r="R393" s="57">
        <v>0</v>
      </c>
      <c r="S393" s="57">
        <v>17</v>
      </c>
      <c r="T393" s="112">
        <v>19.09</v>
      </c>
    </row>
    <row r="394" spans="1:20" ht="23.4" x14ac:dyDescent="0.25">
      <c r="A394" s="57">
        <v>393</v>
      </c>
      <c r="B394" s="110">
        <v>244033</v>
      </c>
      <c r="C394" s="57" t="s">
        <v>114</v>
      </c>
      <c r="D394" s="57" t="s">
        <v>115</v>
      </c>
      <c r="E394" s="57" t="s">
        <v>116</v>
      </c>
      <c r="F394" s="57" t="s">
        <v>119</v>
      </c>
      <c r="G394" s="57">
        <v>2</v>
      </c>
      <c r="H394" s="57" t="s">
        <v>117</v>
      </c>
      <c r="I394" s="57" t="s">
        <v>4888</v>
      </c>
      <c r="J394" s="57" t="s">
        <v>150</v>
      </c>
      <c r="K394" s="57" t="s">
        <v>142</v>
      </c>
      <c r="L394" s="111" t="s">
        <v>257</v>
      </c>
      <c r="N394" s="57">
        <v>0.89</v>
      </c>
      <c r="O394" s="57">
        <v>160</v>
      </c>
      <c r="P394" s="57">
        <v>2.4</v>
      </c>
      <c r="Q394" s="57">
        <v>0.16800000000000001</v>
      </c>
      <c r="R394" s="57">
        <v>0</v>
      </c>
      <c r="S394" s="57">
        <v>17</v>
      </c>
      <c r="T394" s="112">
        <v>19.57</v>
      </c>
    </row>
    <row r="395" spans="1:20" ht="23.4" x14ac:dyDescent="0.25">
      <c r="A395" s="57">
        <v>394</v>
      </c>
      <c r="B395" s="110">
        <v>244033</v>
      </c>
      <c r="C395" s="57" t="s">
        <v>114</v>
      </c>
      <c r="D395" s="57" t="s">
        <v>115</v>
      </c>
      <c r="E395" s="57" t="s">
        <v>116</v>
      </c>
      <c r="F395" s="57" t="s">
        <v>119</v>
      </c>
      <c r="G395" s="57">
        <v>2</v>
      </c>
      <c r="H395" s="57" t="s">
        <v>117</v>
      </c>
      <c r="I395" s="57" t="s">
        <v>4889</v>
      </c>
      <c r="J395" s="57" t="s">
        <v>4890</v>
      </c>
      <c r="K395" s="57" t="s">
        <v>4891</v>
      </c>
      <c r="L395" s="111" t="s">
        <v>4892</v>
      </c>
      <c r="N395" s="57">
        <v>1.446</v>
      </c>
      <c r="O395" s="57">
        <v>260</v>
      </c>
      <c r="P395" s="57">
        <v>3.9</v>
      </c>
      <c r="Q395" s="57">
        <v>0.27300000000000002</v>
      </c>
      <c r="R395" s="57">
        <v>0</v>
      </c>
      <c r="S395" s="57">
        <v>22</v>
      </c>
      <c r="T395" s="112">
        <v>26.17</v>
      </c>
    </row>
    <row r="396" spans="1:20" ht="23.4" x14ac:dyDescent="0.25">
      <c r="A396" s="57">
        <v>395</v>
      </c>
      <c r="B396" s="110">
        <v>244033</v>
      </c>
      <c r="C396" s="57" t="s">
        <v>114</v>
      </c>
      <c r="D396" s="57" t="s">
        <v>115</v>
      </c>
      <c r="E396" s="57" t="s">
        <v>116</v>
      </c>
      <c r="F396" s="57" t="s">
        <v>119</v>
      </c>
      <c r="G396" s="57">
        <v>2</v>
      </c>
      <c r="H396" s="57" t="s">
        <v>117</v>
      </c>
      <c r="I396" s="57" t="s">
        <v>4893</v>
      </c>
      <c r="J396" s="57" t="s">
        <v>4088</v>
      </c>
      <c r="K396" s="57" t="s">
        <v>4089</v>
      </c>
      <c r="L396" s="111" t="s">
        <v>4090</v>
      </c>
      <c r="N396" s="57">
        <v>0.73</v>
      </c>
      <c r="O396" s="57">
        <v>160</v>
      </c>
      <c r="P396" s="57">
        <v>2.4</v>
      </c>
      <c r="Q396" s="57">
        <v>0.16800000000000001</v>
      </c>
      <c r="R396" s="57">
        <v>0</v>
      </c>
      <c r="S396" s="57">
        <v>17</v>
      </c>
      <c r="T396" s="112">
        <v>19.57</v>
      </c>
    </row>
    <row r="397" spans="1:20" ht="23.4" x14ac:dyDescent="0.25">
      <c r="A397" s="57">
        <v>396</v>
      </c>
      <c r="B397" s="110">
        <v>244033</v>
      </c>
      <c r="C397" s="57" t="s">
        <v>114</v>
      </c>
      <c r="D397" s="57" t="s">
        <v>115</v>
      </c>
      <c r="E397" s="57" t="s">
        <v>116</v>
      </c>
      <c r="F397" s="57" t="s">
        <v>119</v>
      </c>
      <c r="G397" s="57">
        <v>2</v>
      </c>
      <c r="H397" s="57" t="s">
        <v>117</v>
      </c>
      <c r="I397" s="57" t="s">
        <v>4894</v>
      </c>
      <c r="J397" s="57" t="s">
        <v>4895</v>
      </c>
      <c r="K397" s="57" t="s">
        <v>4896</v>
      </c>
      <c r="L397" s="111" t="s">
        <v>4897</v>
      </c>
      <c r="N397" s="57">
        <v>1.236</v>
      </c>
      <c r="O397" s="57">
        <v>0</v>
      </c>
      <c r="P397" s="57">
        <v>0</v>
      </c>
      <c r="Q397" s="57">
        <v>0</v>
      </c>
      <c r="R397" s="57">
        <v>0</v>
      </c>
      <c r="S397" s="57">
        <v>22</v>
      </c>
      <c r="T397" s="112">
        <v>22</v>
      </c>
    </row>
    <row r="398" spans="1:20" ht="23.4" x14ac:dyDescent="0.25">
      <c r="A398" s="57">
        <v>397</v>
      </c>
      <c r="B398" s="110">
        <v>244033</v>
      </c>
      <c r="C398" s="57" t="s">
        <v>114</v>
      </c>
      <c r="D398" s="57" t="s">
        <v>115</v>
      </c>
      <c r="E398" s="57" t="s">
        <v>116</v>
      </c>
      <c r="F398" s="57" t="s">
        <v>119</v>
      </c>
      <c r="G398" s="57">
        <v>2</v>
      </c>
      <c r="H398" s="57" t="s">
        <v>117</v>
      </c>
      <c r="I398" s="57" t="s">
        <v>4898</v>
      </c>
      <c r="J398" s="57" t="s">
        <v>3060</v>
      </c>
      <c r="K398" s="57" t="s">
        <v>3061</v>
      </c>
      <c r="L398" s="111" t="s">
        <v>3062</v>
      </c>
      <c r="N398" s="57">
        <v>0.65800000000000003</v>
      </c>
      <c r="O398" s="57">
        <v>0</v>
      </c>
      <c r="P398" s="57">
        <v>0</v>
      </c>
      <c r="Q398" s="57">
        <v>0</v>
      </c>
      <c r="R398" s="57">
        <v>0</v>
      </c>
      <c r="S398" s="57">
        <v>17</v>
      </c>
      <c r="T398" s="112">
        <v>17</v>
      </c>
    </row>
    <row r="399" spans="1:20" ht="23.4" x14ac:dyDescent="0.25">
      <c r="A399" s="57">
        <v>398</v>
      </c>
      <c r="B399" s="110">
        <v>244033</v>
      </c>
      <c r="C399" s="57" t="s">
        <v>114</v>
      </c>
      <c r="D399" s="57" t="s">
        <v>115</v>
      </c>
      <c r="E399" s="57" t="s">
        <v>116</v>
      </c>
      <c r="F399" s="57" t="s">
        <v>119</v>
      </c>
      <c r="G399" s="57">
        <v>2</v>
      </c>
      <c r="H399" s="57" t="s">
        <v>117</v>
      </c>
      <c r="I399" s="57" t="s">
        <v>4899</v>
      </c>
      <c r="J399" s="57" t="s">
        <v>4900</v>
      </c>
      <c r="K399" s="57" t="s">
        <v>4901</v>
      </c>
      <c r="L399" s="111" t="s">
        <v>4902</v>
      </c>
      <c r="N399" s="57">
        <v>0.628</v>
      </c>
      <c r="O399" s="57">
        <v>0</v>
      </c>
      <c r="P399" s="57">
        <v>0</v>
      </c>
      <c r="Q399" s="57">
        <v>0</v>
      </c>
      <c r="R399" s="57">
        <v>0</v>
      </c>
      <c r="S399" s="57">
        <v>17</v>
      </c>
      <c r="T399" s="112">
        <v>17</v>
      </c>
    </row>
    <row r="400" spans="1:20" ht="23.4" x14ac:dyDescent="0.25">
      <c r="A400" s="57">
        <v>399</v>
      </c>
      <c r="B400" s="110">
        <v>244033</v>
      </c>
      <c r="C400" s="57" t="s">
        <v>114</v>
      </c>
      <c r="D400" s="57" t="s">
        <v>115</v>
      </c>
      <c r="E400" s="57" t="s">
        <v>116</v>
      </c>
      <c r="F400" s="57" t="s">
        <v>119</v>
      </c>
      <c r="G400" s="57">
        <v>2</v>
      </c>
      <c r="H400" s="57" t="s">
        <v>117</v>
      </c>
      <c r="I400" s="57" t="s">
        <v>4903</v>
      </c>
      <c r="J400" s="57" t="s">
        <v>4904</v>
      </c>
      <c r="K400" s="57" t="s">
        <v>4905</v>
      </c>
      <c r="L400" s="111" t="s">
        <v>4906</v>
      </c>
      <c r="N400" s="57">
        <v>0.63</v>
      </c>
      <c r="O400" s="57">
        <v>0</v>
      </c>
      <c r="P400" s="57">
        <v>0</v>
      </c>
      <c r="Q400" s="57">
        <v>0</v>
      </c>
      <c r="R400" s="57">
        <v>0</v>
      </c>
      <c r="S400" s="57">
        <v>17</v>
      </c>
      <c r="T400" s="112">
        <v>17</v>
      </c>
    </row>
    <row r="401" spans="1:20" ht="23.4" x14ac:dyDescent="0.25">
      <c r="A401" s="57">
        <v>400</v>
      </c>
      <c r="B401" s="110">
        <v>244033</v>
      </c>
      <c r="C401" s="57" t="s">
        <v>114</v>
      </c>
      <c r="D401" s="57" t="s">
        <v>115</v>
      </c>
      <c r="E401" s="57" t="s">
        <v>116</v>
      </c>
      <c r="F401" s="57" t="s">
        <v>119</v>
      </c>
      <c r="G401" s="57">
        <v>2</v>
      </c>
      <c r="H401" s="57" t="s">
        <v>117</v>
      </c>
      <c r="I401" s="57" t="s">
        <v>4907</v>
      </c>
      <c r="J401" s="57" t="s">
        <v>4908</v>
      </c>
      <c r="K401" s="57" t="s">
        <v>4238</v>
      </c>
      <c r="L401" s="111" t="s">
        <v>4909</v>
      </c>
      <c r="N401" s="57">
        <v>1.1379999999999999</v>
      </c>
      <c r="O401" s="57">
        <v>0</v>
      </c>
      <c r="P401" s="57">
        <v>0</v>
      </c>
      <c r="Q401" s="57">
        <v>0</v>
      </c>
      <c r="R401" s="57">
        <v>0</v>
      </c>
      <c r="S401" s="57">
        <v>22</v>
      </c>
      <c r="T401" s="112">
        <v>22</v>
      </c>
    </row>
    <row r="402" spans="1:20" ht="23.4" x14ac:dyDescent="0.25">
      <c r="A402" s="57">
        <v>401</v>
      </c>
      <c r="B402" s="110">
        <v>244033</v>
      </c>
      <c r="C402" s="57" t="s">
        <v>114</v>
      </c>
      <c r="D402" s="57" t="s">
        <v>115</v>
      </c>
      <c r="E402" s="57" t="s">
        <v>116</v>
      </c>
      <c r="F402" s="57" t="s">
        <v>119</v>
      </c>
      <c r="G402" s="57">
        <v>2</v>
      </c>
      <c r="H402" s="57" t="s">
        <v>117</v>
      </c>
      <c r="I402" s="57" t="s">
        <v>4910</v>
      </c>
      <c r="J402" s="57" t="s">
        <v>4911</v>
      </c>
      <c r="K402" s="57" t="s">
        <v>4912</v>
      </c>
      <c r="L402" s="111" t="s">
        <v>4913</v>
      </c>
      <c r="N402" s="57">
        <v>1.1619999999999999</v>
      </c>
      <c r="O402" s="57">
        <v>0</v>
      </c>
      <c r="P402" s="57">
        <v>0</v>
      </c>
      <c r="Q402" s="57">
        <v>0</v>
      </c>
      <c r="R402" s="57">
        <v>0</v>
      </c>
      <c r="S402" s="57">
        <v>22</v>
      </c>
      <c r="T402" s="112">
        <v>22</v>
      </c>
    </row>
    <row r="403" spans="1:20" ht="23.4" x14ac:dyDescent="0.25">
      <c r="A403" s="57">
        <v>402</v>
      </c>
      <c r="B403" s="110">
        <v>244033</v>
      </c>
      <c r="C403" s="57" t="s">
        <v>114</v>
      </c>
      <c r="D403" s="57" t="s">
        <v>115</v>
      </c>
      <c r="E403" s="57" t="s">
        <v>116</v>
      </c>
      <c r="F403" s="57" t="s">
        <v>119</v>
      </c>
      <c r="G403" s="57">
        <v>2</v>
      </c>
      <c r="H403" s="57" t="s">
        <v>117</v>
      </c>
      <c r="I403" s="57" t="s">
        <v>4914</v>
      </c>
      <c r="J403" s="57" t="s">
        <v>4915</v>
      </c>
      <c r="K403" s="57" t="s">
        <v>4916</v>
      </c>
      <c r="L403" s="111" t="s">
        <v>4917</v>
      </c>
      <c r="N403" s="57">
        <v>1.26</v>
      </c>
      <c r="O403" s="57">
        <v>0</v>
      </c>
      <c r="P403" s="57">
        <v>0</v>
      </c>
      <c r="Q403" s="57">
        <v>0</v>
      </c>
      <c r="R403" s="57">
        <v>0</v>
      </c>
      <c r="S403" s="57">
        <v>22</v>
      </c>
      <c r="T403" s="112">
        <v>22</v>
      </c>
    </row>
    <row r="404" spans="1:20" ht="23.4" x14ac:dyDescent="0.25">
      <c r="A404" s="57">
        <v>403</v>
      </c>
      <c r="B404" s="110">
        <v>244033</v>
      </c>
      <c r="C404" s="57" t="s">
        <v>114</v>
      </c>
      <c r="D404" s="57" t="s">
        <v>115</v>
      </c>
      <c r="E404" s="57" t="s">
        <v>116</v>
      </c>
      <c r="F404" s="57" t="s">
        <v>119</v>
      </c>
      <c r="G404" s="57">
        <v>2</v>
      </c>
      <c r="H404" s="57" t="s">
        <v>117</v>
      </c>
      <c r="I404" s="57" t="s">
        <v>4918</v>
      </c>
      <c r="J404" s="57" t="s">
        <v>3337</v>
      </c>
      <c r="K404" s="57" t="s">
        <v>3338</v>
      </c>
      <c r="L404" s="111" t="s">
        <v>4919</v>
      </c>
      <c r="N404" s="57">
        <v>0.872</v>
      </c>
      <c r="O404" s="57">
        <v>0</v>
      </c>
      <c r="P404" s="57">
        <v>0</v>
      </c>
      <c r="Q404" s="57">
        <v>0</v>
      </c>
      <c r="R404" s="57">
        <v>0</v>
      </c>
      <c r="S404" s="57">
        <v>17</v>
      </c>
      <c r="T404" s="112">
        <v>17</v>
      </c>
    </row>
    <row r="405" spans="1:20" ht="23.4" x14ac:dyDescent="0.25">
      <c r="A405" s="57">
        <v>404</v>
      </c>
      <c r="B405" s="110">
        <v>244033</v>
      </c>
      <c r="C405" s="57" t="s">
        <v>114</v>
      </c>
      <c r="D405" s="57" t="s">
        <v>115</v>
      </c>
      <c r="E405" s="57" t="s">
        <v>116</v>
      </c>
      <c r="F405" s="57" t="s">
        <v>119</v>
      </c>
      <c r="G405" s="57">
        <v>2</v>
      </c>
      <c r="H405" s="57" t="s">
        <v>117</v>
      </c>
      <c r="I405" s="57" t="s">
        <v>4920</v>
      </c>
      <c r="J405" s="57" t="s">
        <v>4005</v>
      </c>
      <c r="K405" s="57" t="s">
        <v>4006</v>
      </c>
      <c r="L405" s="111" t="s">
        <v>4007</v>
      </c>
      <c r="N405" s="57">
        <v>0.78</v>
      </c>
      <c r="O405" s="57">
        <v>0</v>
      </c>
      <c r="P405" s="57">
        <v>0</v>
      </c>
      <c r="Q405" s="57">
        <v>0</v>
      </c>
      <c r="R405" s="57">
        <v>0</v>
      </c>
      <c r="S405" s="57">
        <v>17</v>
      </c>
      <c r="T405" s="112">
        <v>17</v>
      </c>
    </row>
    <row r="406" spans="1:20" ht="23.4" x14ac:dyDescent="0.25">
      <c r="A406" s="57">
        <v>405</v>
      </c>
      <c r="B406" s="110">
        <v>244033</v>
      </c>
      <c r="C406" s="57" t="s">
        <v>114</v>
      </c>
      <c r="D406" s="57" t="s">
        <v>115</v>
      </c>
      <c r="E406" s="57" t="s">
        <v>116</v>
      </c>
      <c r="F406" s="57" t="s">
        <v>119</v>
      </c>
      <c r="G406" s="57">
        <v>2</v>
      </c>
      <c r="H406" s="57" t="s">
        <v>117</v>
      </c>
      <c r="I406" s="57" t="s">
        <v>4921</v>
      </c>
      <c r="J406" s="57" t="s">
        <v>4922</v>
      </c>
      <c r="K406" s="57" t="s">
        <v>4457</v>
      </c>
      <c r="L406" s="111" t="s">
        <v>4923</v>
      </c>
      <c r="N406" s="57">
        <v>0.83199999999999996</v>
      </c>
      <c r="O406" s="57">
        <v>0</v>
      </c>
      <c r="P406" s="57">
        <v>0</v>
      </c>
      <c r="Q406" s="57">
        <v>0</v>
      </c>
      <c r="R406" s="57">
        <v>0</v>
      </c>
      <c r="S406" s="57">
        <v>17</v>
      </c>
      <c r="T406" s="112">
        <v>17</v>
      </c>
    </row>
    <row r="407" spans="1:20" ht="23.4" x14ac:dyDescent="0.25">
      <c r="A407" s="57">
        <v>406</v>
      </c>
      <c r="B407" s="110">
        <v>244033</v>
      </c>
      <c r="C407" s="57" t="s">
        <v>114</v>
      </c>
      <c r="D407" s="57" t="s">
        <v>115</v>
      </c>
      <c r="E407" s="57" t="s">
        <v>116</v>
      </c>
      <c r="F407" s="57" t="s">
        <v>119</v>
      </c>
      <c r="G407" s="57">
        <v>2</v>
      </c>
      <c r="H407" s="57" t="s">
        <v>117</v>
      </c>
      <c r="I407" s="57" t="s">
        <v>4924</v>
      </c>
      <c r="J407" s="57" t="s">
        <v>4925</v>
      </c>
      <c r="K407" s="57" t="s">
        <v>4926</v>
      </c>
      <c r="L407" s="111" t="s">
        <v>4927</v>
      </c>
      <c r="N407" s="57">
        <v>0.92800000000000005</v>
      </c>
      <c r="O407" s="57">
        <v>0</v>
      </c>
      <c r="P407" s="57">
        <v>0</v>
      </c>
      <c r="Q407" s="57">
        <v>0</v>
      </c>
      <c r="R407" s="57">
        <v>0</v>
      </c>
      <c r="S407" s="57">
        <v>17</v>
      </c>
      <c r="T407" s="112">
        <v>17</v>
      </c>
    </row>
    <row r="408" spans="1:20" ht="23.4" x14ac:dyDescent="0.25">
      <c r="A408" s="57">
        <v>407</v>
      </c>
      <c r="B408" s="110">
        <v>244033</v>
      </c>
      <c r="C408" s="57" t="s">
        <v>114</v>
      </c>
      <c r="D408" s="57" t="s">
        <v>115</v>
      </c>
      <c r="E408" s="57" t="s">
        <v>116</v>
      </c>
      <c r="F408" s="57" t="s">
        <v>119</v>
      </c>
      <c r="G408" s="57">
        <v>2</v>
      </c>
      <c r="H408" s="57" t="s">
        <v>117</v>
      </c>
      <c r="I408" s="57" t="s">
        <v>4928</v>
      </c>
      <c r="J408" s="57" t="s">
        <v>4929</v>
      </c>
      <c r="K408" s="57" t="s">
        <v>4930</v>
      </c>
      <c r="L408" s="111" t="s">
        <v>4931</v>
      </c>
      <c r="N408" s="57">
        <v>0.67</v>
      </c>
      <c r="O408" s="57">
        <v>130</v>
      </c>
      <c r="P408" s="57">
        <v>1.95</v>
      </c>
      <c r="Q408" s="57">
        <v>0.13650000000000001</v>
      </c>
      <c r="R408" s="57">
        <v>0</v>
      </c>
      <c r="S408" s="57">
        <v>17</v>
      </c>
      <c r="T408" s="112">
        <v>19.09</v>
      </c>
    </row>
    <row r="409" spans="1:20" ht="23.4" x14ac:dyDescent="0.25">
      <c r="A409" s="57">
        <v>408</v>
      </c>
      <c r="B409" s="110">
        <v>244033</v>
      </c>
      <c r="C409" s="57" t="s">
        <v>114</v>
      </c>
      <c r="D409" s="57" t="s">
        <v>115</v>
      </c>
      <c r="E409" s="57" t="s">
        <v>116</v>
      </c>
      <c r="F409" s="57" t="s">
        <v>119</v>
      </c>
      <c r="G409" s="57">
        <v>2</v>
      </c>
      <c r="H409" s="57" t="s">
        <v>117</v>
      </c>
      <c r="I409" s="57" t="s">
        <v>4932</v>
      </c>
      <c r="J409" s="57" t="s">
        <v>4933</v>
      </c>
      <c r="K409" s="57" t="s">
        <v>4934</v>
      </c>
      <c r="L409" s="111" t="s">
        <v>4935</v>
      </c>
      <c r="N409" s="57">
        <v>0.69</v>
      </c>
      <c r="O409" s="57">
        <v>0</v>
      </c>
      <c r="P409" s="57">
        <v>0</v>
      </c>
      <c r="Q409" s="57">
        <v>0</v>
      </c>
      <c r="R409" s="57">
        <v>0</v>
      </c>
      <c r="S409" s="57">
        <v>17</v>
      </c>
      <c r="T409" s="112">
        <v>17</v>
      </c>
    </row>
    <row r="410" spans="1:20" ht="23.4" x14ac:dyDescent="0.25">
      <c r="A410" s="57">
        <v>409</v>
      </c>
      <c r="B410" s="110">
        <v>244033</v>
      </c>
      <c r="C410" s="57" t="s">
        <v>114</v>
      </c>
      <c r="D410" s="57" t="s">
        <v>115</v>
      </c>
      <c r="E410" s="57" t="s">
        <v>116</v>
      </c>
      <c r="F410" s="57" t="s">
        <v>119</v>
      </c>
      <c r="G410" s="57">
        <v>2</v>
      </c>
      <c r="H410" s="57" t="s">
        <v>117</v>
      </c>
      <c r="I410" s="57" t="s">
        <v>4936</v>
      </c>
      <c r="J410" s="57" t="s">
        <v>4937</v>
      </c>
      <c r="K410" s="57" t="s">
        <v>4938</v>
      </c>
      <c r="L410" s="111" t="s">
        <v>4939</v>
      </c>
      <c r="N410" s="57">
        <v>1.0760000000000001</v>
      </c>
      <c r="O410" s="57">
        <v>225</v>
      </c>
      <c r="P410" s="57">
        <v>3.375</v>
      </c>
      <c r="Q410" s="57">
        <v>0.23630000000000001</v>
      </c>
      <c r="R410" s="57">
        <v>0</v>
      </c>
      <c r="S410" s="57">
        <v>22</v>
      </c>
      <c r="T410" s="112">
        <v>25.61</v>
      </c>
    </row>
    <row r="411" spans="1:20" ht="23.4" x14ac:dyDescent="0.25">
      <c r="A411" s="57">
        <v>410</v>
      </c>
      <c r="B411" s="110">
        <v>244033</v>
      </c>
      <c r="C411" s="57" t="s">
        <v>114</v>
      </c>
      <c r="D411" s="57" t="s">
        <v>115</v>
      </c>
      <c r="E411" s="57" t="s">
        <v>116</v>
      </c>
      <c r="F411" s="57" t="s">
        <v>119</v>
      </c>
      <c r="G411" s="57">
        <v>2</v>
      </c>
      <c r="H411" s="57" t="s">
        <v>117</v>
      </c>
      <c r="I411" s="57" t="s">
        <v>4940</v>
      </c>
      <c r="J411" s="57" t="s">
        <v>4941</v>
      </c>
      <c r="K411" s="57" t="s">
        <v>4942</v>
      </c>
      <c r="L411" s="111" t="s">
        <v>4943</v>
      </c>
      <c r="N411" s="57">
        <v>0.67</v>
      </c>
      <c r="O411" s="57">
        <v>0</v>
      </c>
      <c r="P411" s="57">
        <v>0</v>
      </c>
      <c r="Q411" s="57">
        <v>0</v>
      </c>
      <c r="R411" s="57">
        <v>0</v>
      </c>
      <c r="S411" s="57">
        <v>17</v>
      </c>
      <c r="T411" s="112">
        <v>17</v>
      </c>
    </row>
    <row r="412" spans="1:20" ht="23.4" x14ac:dyDescent="0.25">
      <c r="A412" s="57">
        <v>411</v>
      </c>
      <c r="B412" s="110">
        <v>244033</v>
      </c>
      <c r="C412" s="57" t="s">
        <v>114</v>
      </c>
      <c r="D412" s="57" t="s">
        <v>115</v>
      </c>
      <c r="E412" s="57" t="s">
        <v>116</v>
      </c>
      <c r="F412" s="57" t="s">
        <v>119</v>
      </c>
      <c r="G412" s="57">
        <v>2</v>
      </c>
      <c r="H412" s="57" t="s">
        <v>117</v>
      </c>
      <c r="I412" s="57" t="s">
        <v>4944</v>
      </c>
      <c r="J412" s="57" t="s">
        <v>4945</v>
      </c>
      <c r="K412" s="57" t="s">
        <v>4946</v>
      </c>
      <c r="L412" s="111" t="s">
        <v>4947</v>
      </c>
      <c r="N412" s="57">
        <v>0.68</v>
      </c>
      <c r="O412" s="57">
        <v>130</v>
      </c>
      <c r="P412" s="57">
        <v>1.95</v>
      </c>
      <c r="Q412" s="57">
        <v>0.13650000000000001</v>
      </c>
      <c r="R412" s="57">
        <v>0</v>
      </c>
      <c r="S412" s="57">
        <v>17</v>
      </c>
      <c r="T412" s="112">
        <v>19.09</v>
      </c>
    </row>
    <row r="413" spans="1:20" ht="23.4" x14ac:dyDescent="0.25">
      <c r="A413" s="57">
        <v>412</v>
      </c>
      <c r="B413" s="110">
        <v>244033</v>
      </c>
      <c r="C413" s="57" t="s">
        <v>114</v>
      </c>
      <c r="D413" s="57" t="s">
        <v>115</v>
      </c>
      <c r="E413" s="57" t="s">
        <v>116</v>
      </c>
      <c r="F413" s="57" t="s">
        <v>119</v>
      </c>
      <c r="G413" s="57">
        <v>2</v>
      </c>
      <c r="H413" s="57" t="s">
        <v>117</v>
      </c>
      <c r="I413" s="57" t="s">
        <v>4948</v>
      </c>
      <c r="J413" s="57" t="s">
        <v>4949</v>
      </c>
      <c r="K413" s="57" t="s">
        <v>4950</v>
      </c>
      <c r="L413" s="111" t="s">
        <v>4951</v>
      </c>
      <c r="N413" s="57">
        <v>0.69199999999999995</v>
      </c>
      <c r="O413" s="57">
        <v>130</v>
      </c>
      <c r="P413" s="57">
        <v>1.95</v>
      </c>
      <c r="Q413" s="57">
        <v>0.13650000000000001</v>
      </c>
      <c r="R413" s="57">
        <v>0</v>
      </c>
      <c r="S413" s="57">
        <v>17</v>
      </c>
      <c r="T413" s="112">
        <v>19.09</v>
      </c>
    </row>
    <row r="414" spans="1:20" ht="23.4" x14ac:dyDescent="0.25">
      <c r="A414" s="57">
        <v>413</v>
      </c>
      <c r="B414" s="110">
        <v>244033</v>
      </c>
      <c r="C414" s="57" t="s">
        <v>114</v>
      </c>
      <c r="D414" s="57" t="s">
        <v>115</v>
      </c>
      <c r="E414" s="57" t="s">
        <v>116</v>
      </c>
      <c r="F414" s="57" t="s">
        <v>119</v>
      </c>
      <c r="G414" s="57">
        <v>2</v>
      </c>
      <c r="H414" s="57" t="s">
        <v>117</v>
      </c>
      <c r="I414" s="57" t="s">
        <v>4952</v>
      </c>
      <c r="J414" s="57" t="s">
        <v>4209</v>
      </c>
      <c r="K414" s="57" t="s">
        <v>4210</v>
      </c>
      <c r="L414" s="111" t="s">
        <v>4211</v>
      </c>
      <c r="N414" s="57">
        <v>0.80600000000000005</v>
      </c>
      <c r="O414" s="57">
        <v>160</v>
      </c>
      <c r="P414" s="57">
        <v>2.4</v>
      </c>
      <c r="Q414" s="57">
        <v>0.16800000000000001</v>
      </c>
      <c r="R414" s="57">
        <v>0</v>
      </c>
      <c r="S414" s="57">
        <v>17</v>
      </c>
      <c r="T414" s="112">
        <v>19.57</v>
      </c>
    </row>
    <row r="415" spans="1:20" ht="23.4" x14ac:dyDescent="0.25">
      <c r="A415" s="57">
        <v>414</v>
      </c>
      <c r="B415" s="110">
        <v>244033</v>
      </c>
      <c r="C415" s="57" t="s">
        <v>114</v>
      </c>
      <c r="D415" s="57" t="s">
        <v>115</v>
      </c>
      <c r="E415" s="57" t="s">
        <v>116</v>
      </c>
      <c r="F415" s="57" t="s">
        <v>119</v>
      </c>
      <c r="G415" s="57">
        <v>2</v>
      </c>
      <c r="H415" s="57" t="s">
        <v>117</v>
      </c>
      <c r="I415" s="57" t="s">
        <v>4953</v>
      </c>
      <c r="J415" s="57" t="s">
        <v>4954</v>
      </c>
      <c r="K415" s="57" t="s">
        <v>4955</v>
      </c>
      <c r="L415" s="111" t="s">
        <v>4956</v>
      </c>
      <c r="N415" s="57">
        <v>1.1579999999999999</v>
      </c>
      <c r="O415" s="57">
        <v>280</v>
      </c>
      <c r="P415" s="57">
        <v>4.2</v>
      </c>
      <c r="Q415" s="57">
        <v>0.29399999999999998</v>
      </c>
      <c r="R415" s="57">
        <v>0</v>
      </c>
      <c r="S415" s="57">
        <v>22</v>
      </c>
      <c r="T415" s="112">
        <v>26.49</v>
      </c>
    </row>
    <row r="416" spans="1:20" ht="23.4" x14ac:dyDescent="0.25">
      <c r="A416" s="57">
        <v>415</v>
      </c>
      <c r="B416" s="110">
        <v>244033</v>
      </c>
      <c r="C416" s="57" t="s">
        <v>114</v>
      </c>
      <c r="D416" s="57" t="s">
        <v>115</v>
      </c>
      <c r="E416" s="57" t="s">
        <v>116</v>
      </c>
      <c r="F416" s="57" t="s">
        <v>119</v>
      </c>
      <c r="G416" s="57">
        <v>2</v>
      </c>
      <c r="H416" s="57" t="s">
        <v>117</v>
      </c>
      <c r="I416" s="57" t="s">
        <v>4957</v>
      </c>
      <c r="J416" s="57" t="s">
        <v>4958</v>
      </c>
      <c r="K416" s="57" t="s">
        <v>4959</v>
      </c>
      <c r="L416" s="111" t="s">
        <v>4960</v>
      </c>
      <c r="N416" s="57">
        <v>1.282</v>
      </c>
      <c r="O416" s="57">
        <v>230</v>
      </c>
      <c r="P416" s="57">
        <v>3.45</v>
      </c>
      <c r="Q416" s="57">
        <v>0.24149999999999999</v>
      </c>
      <c r="R416" s="57">
        <v>0</v>
      </c>
      <c r="S416" s="57">
        <v>22</v>
      </c>
      <c r="T416" s="112">
        <v>25.69</v>
      </c>
    </row>
    <row r="417" spans="1:20" ht="23.4" x14ac:dyDescent="0.25">
      <c r="A417" s="57">
        <v>416</v>
      </c>
      <c r="B417" s="110">
        <v>244033</v>
      </c>
      <c r="C417" s="57" t="s">
        <v>114</v>
      </c>
      <c r="D417" s="57" t="s">
        <v>115</v>
      </c>
      <c r="E417" s="57" t="s">
        <v>116</v>
      </c>
      <c r="F417" s="57" t="s">
        <v>119</v>
      </c>
      <c r="G417" s="57">
        <v>2</v>
      </c>
      <c r="H417" s="57" t="s">
        <v>117</v>
      </c>
      <c r="I417" s="57" t="s">
        <v>4961</v>
      </c>
      <c r="J417" s="57" t="s">
        <v>4962</v>
      </c>
      <c r="K417" s="57" t="s">
        <v>4963</v>
      </c>
      <c r="L417" s="111" t="s">
        <v>4964</v>
      </c>
      <c r="N417" s="57">
        <v>0.61</v>
      </c>
      <c r="O417" s="57">
        <v>130</v>
      </c>
      <c r="P417" s="57">
        <v>1.95</v>
      </c>
      <c r="Q417" s="57">
        <v>0.13650000000000001</v>
      </c>
      <c r="R417" s="57">
        <v>0</v>
      </c>
      <c r="S417" s="57">
        <v>17</v>
      </c>
      <c r="T417" s="112">
        <v>19.09</v>
      </c>
    </row>
    <row r="418" spans="1:20" ht="23.4" x14ac:dyDescent="0.25">
      <c r="A418" s="57">
        <v>417</v>
      </c>
      <c r="B418" s="110">
        <v>244033</v>
      </c>
      <c r="C418" s="57" t="s">
        <v>114</v>
      </c>
      <c r="D418" s="57" t="s">
        <v>115</v>
      </c>
      <c r="E418" s="57" t="s">
        <v>116</v>
      </c>
      <c r="F418" s="57" t="s">
        <v>119</v>
      </c>
      <c r="G418" s="57">
        <v>2</v>
      </c>
      <c r="H418" s="57" t="s">
        <v>117</v>
      </c>
      <c r="I418" s="57" t="s">
        <v>4965</v>
      </c>
      <c r="J418" s="57" t="s">
        <v>4966</v>
      </c>
      <c r="K418" s="57" t="s">
        <v>4967</v>
      </c>
      <c r="L418" s="111" t="s">
        <v>4968</v>
      </c>
      <c r="N418" s="57">
        <v>0.66400000000000003</v>
      </c>
      <c r="O418" s="57">
        <v>0</v>
      </c>
      <c r="P418" s="57">
        <v>0</v>
      </c>
      <c r="Q418" s="57">
        <v>0</v>
      </c>
      <c r="R418" s="57">
        <v>0</v>
      </c>
      <c r="S418" s="57">
        <v>17</v>
      </c>
      <c r="T418" s="112">
        <v>17</v>
      </c>
    </row>
    <row r="419" spans="1:20" ht="23.4" x14ac:dyDescent="0.25">
      <c r="A419" s="57">
        <v>418</v>
      </c>
      <c r="B419" s="110">
        <v>244033</v>
      </c>
      <c r="C419" s="57" t="s">
        <v>114</v>
      </c>
      <c r="D419" s="57" t="s">
        <v>115</v>
      </c>
      <c r="E419" s="57" t="s">
        <v>116</v>
      </c>
      <c r="F419" s="57" t="s">
        <v>119</v>
      </c>
      <c r="G419" s="57">
        <v>2</v>
      </c>
      <c r="H419" s="57" t="s">
        <v>117</v>
      </c>
      <c r="I419" s="57" t="s">
        <v>4969</v>
      </c>
      <c r="J419" s="57" t="s">
        <v>4970</v>
      </c>
      <c r="K419" s="57" t="s">
        <v>4971</v>
      </c>
      <c r="L419" s="111" t="s">
        <v>4972</v>
      </c>
      <c r="N419" s="57">
        <v>1.9039999999999999</v>
      </c>
      <c r="O419" s="57">
        <v>330</v>
      </c>
      <c r="P419" s="57">
        <v>4.95</v>
      </c>
      <c r="Q419" s="57">
        <v>0.34649999999999997</v>
      </c>
      <c r="R419" s="57">
        <v>0</v>
      </c>
      <c r="S419" s="57">
        <v>22</v>
      </c>
      <c r="T419" s="112">
        <v>27.3</v>
      </c>
    </row>
    <row r="420" spans="1:20" ht="23.4" x14ac:dyDescent="0.25">
      <c r="A420" s="57">
        <v>419</v>
      </c>
      <c r="B420" s="110">
        <v>244033</v>
      </c>
      <c r="C420" s="57" t="s">
        <v>114</v>
      </c>
      <c r="D420" s="57" t="s">
        <v>115</v>
      </c>
      <c r="E420" s="57" t="s">
        <v>116</v>
      </c>
      <c r="F420" s="57" t="s">
        <v>119</v>
      </c>
      <c r="G420" s="57">
        <v>2</v>
      </c>
      <c r="H420" s="57" t="s">
        <v>117</v>
      </c>
      <c r="I420" s="57" t="s">
        <v>4973</v>
      </c>
      <c r="J420" s="57" t="s">
        <v>4974</v>
      </c>
      <c r="K420" s="57" t="s">
        <v>4975</v>
      </c>
      <c r="L420" s="111" t="s">
        <v>4976</v>
      </c>
      <c r="N420" s="57">
        <v>1.716</v>
      </c>
      <c r="O420" s="57">
        <v>355</v>
      </c>
      <c r="P420" s="57">
        <v>5.3250000000000002</v>
      </c>
      <c r="Q420" s="57">
        <v>0.37269999999999998</v>
      </c>
      <c r="R420" s="57">
        <v>0</v>
      </c>
      <c r="S420" s="57">
        <v>22</v>
      </c>
      <c r="T420" s="112">
        <v>27.7</v>
      </c>
    </row>
    <row r="421" spans="1:20" ht="23.4" x14ac:dyDescent="0.25">
      <c r="A421" s="57">
        <v>420</v>
      </c>
      <c r="B421" s="110">
        <v>244033</v>
      </c>
      <c r="C421" s="57" t="s">
        <v>114</v>
      </c>
      <c r="D421" s="57" t="s">
        <v>115</v>
      </c>
      <c r="E421" s="57" t="s">
        <v>116</v>
      </c>
      <c r="F421" s="57" t="s">
        <v>119</v>
      </c>
      <c r="G421" s="57">
        <v>2</v>
      </c>
      <c r="H421" s="57" t="s">
        <v>117</v>
      </c>
      <c r="I421" s="57" t="s">
        <v>4977</v>
      </c>
      <c r="J421" s="57" t="s">
        <v>4978</v>
      </c>
      <c r="K421" s="57" t="s">
        <v>4979</v>
      </c>
      <c r="L421" s="111" t="s">
        <v>4980</v>
      </c>
      <c r="N421" s="57">
        <v>0.66800000000000004</v>
      </c>
      <c r="O421" s="57">
        <v>130</v>
      </c>
      <c r="P421" s="57">
        <v>1.95</v>
      </c>
      <c r="Q421" s="57">
        <v>0.13650000000000001</v>
      </c>
      <c r="R421" s="57">
        <v>0</v>
      </c>
      <c r="S421" s="57">
        <v>17</v>
      </c>
      <c r="T421" s="112">
        <v>19.09</v>
      </c>
    </row>
    <row r="422" spans="1:20" ht="23.4" x14ac:dyDescent="0.25">
      <c r="A422" s="57">
        <v>421</v>
      </c>
      <c r="B422" s="110">
        <v>244033</v>
      </c>
      <c r="C422" s="57" t="s">
        <v>114</v>
      </c>
      <c r="D422" s="57" t="s">
        <v>115</v>
      </c>
      <c r="E422" s="57" t="s">
        <v>116</v>
      </c>
      <c r="F422" s="57" t="s">
        <v>119</v>
      </c>
      <c r="G422" s="57">
        <v>2</v>
      </c>
      <c r="H422" s="57" t="s">
        <v>117</v>
      </c>
      <c r="I422" s="57" t="s">
        <v>4981</v>
      </c>
      <c r="J422" s="57" t="s">
        <v>4982</v>
      </c>
      <c r="K422" s="57" t="s">
        <v>4983</v>
      </c>
      <c r="L422" s="111" t="s">
        <v>4984</v>
      </c>
      <c r="N422" s="57">
        <v>0.38600000000000001</v>
      </c>
      <c r="O422" s="57">
        <v>0</v>
      </c>
      <c r="P422" s="57">
        <v>0</v>
      </c>
      <c r="Q422" s="57">
        <v>0</v>
      </c>
      <c r="R422" s="57">
        <v>0</v>
      </c>
      <c r="S422" s="57">
        <v>17</v>
      </c>
      <c r="T422" s="112">
        <v>17</v>
      </c>
    </row>
    <row r="423" spans="1:20" ht="23.4" x14ac:dyDescent="0.25">
      <c r="A423" s="57">
        <v>422</v>
      </c>
      <c r="B423" s="110">
        <v>244033</v>
      </c>
      <c r="C423" s="57" t="s">
        <v>114</v>
      </c>
      <c r="D423" s="57" t="s">
        <v>115</v>
      </c>
      <c r="E423" s="57" t="s">
        <v>116</v>
      </c>
      <c r="F423" s="57" t="s">
        <v>119</v>
      </c>
      <c r="G423" s="57">
        <v>2</v>
      </c>
      <c r="H423" s="57" t="s">
        <v>117</v>
      </c>
      <c r="I423" s="57" t="s">
        <v>4985</v>
      </c>
      <c r="J423" s="57" t="s">
        <v>4986</v>
      </c>
      <c r="K423" s="57" t="s">
        <v>4987</v>
      </c>
      <c r="L423" s="111" t="s">
        <v>4988</v>
      </c>
      <c r="N423" s="57">
        <v>0.35599999999999998</v>
      </c>
      <c r="O423" s="57">
        <v>0</v>
      </c>
      <c r="P423" s="57">
        <v>0</v>
      </c>
      <c r="Q423" s="57">
        <v>0</v>
      </c>
      <c r="R423" s="57">
        <v>0</v>
      </c>
      <c r="S423" s="57">
        <v>17</v>
      </c>
      <c r="T423" s="112">
        <v>17</v>
      </c>
    </row>
    <row r="424" spans="1:20" ht="23.4" x14ac:dyDescent="0.25">
      <c r="A424" s="57">
        <v>423</v>
      </c>
      <c r="B424" s="110">
        <v>244033</v>
      </c>
      <c r="C424" s="57" t="s">
        <v>114</v>
      </c>
      <c r="D424" s="57" t="s">
        <v>115</v>
      </c>
      <c r="E424" s="57" t="s">
        <v>116</v>
      </c>
      <c r="F424" s="57" t="s">
        <v>119</v>
      </c>
      <c r="G424" s="57">
        <v>2</v>
      </c>
      <c r="H424" s="57" t="s">
        <v>117</v>
      </c>
      <c r="I424" s="57" t="s">
        <v>4989</v>
      </c>
      <c r="J424" s="57" t="s">
        <v>4990</v>
      </c>
      <c r="K424" s="57" t="s">
        <v>136</v>
      </c>
      <c r="L424" s="111" t="s">
        <v>4991</v>
      </c>
      <c r="N424" s="57">
        <v>0.378</v>
      </c>
      <c r="O424" s="57">
        <v>0</v>
      </c>
      <c r="P424" s="57">
        <v>0</v>
      </c>
      <c r="Q424" s="57">
        <v>0</v>
      </c>
      <c r="R424" s="57">
        <v>0</v>
      </c>
      <c r="S424" s="57">
        <v>17</v>
      </c>
      <c r="T424" s="112">
        <v>17</v>
      </c>
    </row>
    <row r="425" spans="1:20" ht="23.4" x14ac:dyDescent="0.25">
      <c r="A425" s="57">
        <v>424</v>
      </c>
      <c r="B425" s="110">
        <v>244033</v>
      </c>
      <c r="C425" s="57" t="s">
        <v>114</v>
      </c>
      <c r="D425" s="57" t="s">
        <v>115</v>
      </c>
      <c r="E425" s="57" t="s">
        <v>116</v>
      </c>
      <c r="F425" s="57" t="s">
        <v>119</v>
      </c>
      <c r="G425" s="57">
        <v>2</v>
      </c>
      <c r="H425" s="57" t="s">
        <v>117</v>
      </c>
      <c r="I425" s="57" t="s">
        <v>4992</v>
      </c>
      <c r="J425" s="57" t="s">
        <v>2107</v>
      </c>
      <c r="K425" s="57" t="s">
        <v>2108</v>
      </c>
      <c r="L425" s="111" t="s">
        <v>2109</v>
      </c>
      <c r="N425" s="57">
        <v>2.1999999999999999E-2</v>
      </c>
      <c r="O425" s="57">
        <v>0</v>
      </c>
      <c r="P425" s="57">
        <v>0</v>
      </c>
      <c r="Q425" s="57">
        <v>0</v>
      </c>
      <c r="R425" s="57">
        <v>0</v>
      </c>
      <c r="S425" s="57">
        <v>17</v>
      </c>
      <c r="T425" s="112">
        <v>17</v>
      </c>
    </row>
    <row r="426" spans="1:20" ht="23.4" x14ac:dyDescent="0.25">
      <c r="A426" s="57">
        <v>425</v>
      </c>
      <c r="B426" s="110">
        <v>244033</v>
      </c>
      <c r="C426" s="57" t="s">
        <v>114</v>
      </c>
      <c r="D426" s="57" t="s">
        <v>115</v>
      </c>
      <c r="E426" s="57" t="s">
        <v>116</v>
      </c>
      <c r="F426" s="57" t="s">
        <v>119</v>
      </c>
      <c r="G426" s="57">
        <v>2</v>
      </c>
      <c r="H426" s="57" t="s">
        <v>117</v>
      </c>
      <c r="I426" s="57" t="s">
        <v>4993</v>
      </c>
      <c r="J426" s="57" t="s">
        <v>2131</v>
      </c>
      <c r="K426" s="57" t="s">
        <v>134</v>
      </c>
      <c r="L426" s="111" t="s">
        <v>2132</v>
      </c>
      <c r="N426" s="57">
        <v>3.2000000000000001E-2</v>
      </c>
      <c r="O426" s="57">
        <v>0</v>
      </c>
      <c r="P426" s="57">
        <v>0</v>
      </c>
      <c r="Q426" s="57">
        <v>0</v>
      </c>
      <c r="R426" s="57">
        <v>0</v>
      </c>
      <c r="S426" s="57">
        <v>17</v>
      </c>
      <c r="T426" s="112">
        <v>17</v>
      </c>
    </row>
    <row r="427" spans="1:20" ht="23.4" x14ac:dyDescent="0.25">
      <c r="A427" s="57">
        <v>426</v>
      </c>
      <c r="B427" s="110">
        <v>244033</v>
      </c>
      <c r="C427" s="57" t="s">
        <v>114</v>
      </c>
      <c r="D427" s="57" t="s">
        <v>115</v>
      </c>
      <c r="E427" s="57" t="s">
        <v>116</v>
      </c>
      <c r="F427" s="57" t="s">
        <v>119</v>
      </c>
      <c r="G427" s="57">
        <v>2</v>
      </c>
      <c r="H427" s="57" t="s">
        <v>117</v>
      </c>
      <c r="I427" s="57" t="s">
        <v>4994</v>
      </c>
      <c r="J427" s="57" t="s">
        <v>4995</v>
      </c>
      <c r="K427" s="57" t="s">
        <v>2104</v>
      </c>
      <c r="L427" s="111" t="s">
        <v>2812</v>
      </c>
      <c r="N427" s="57">
        <v>0.08</v>
      </c>
      <c r="O427" s="57">
        <v>0</v>
      </c>
      <c r="P427" s="57">
        <v>0</v>
      </c>
      <c r="Q427" s="57">
        <v>0</v>
      </c>
      <c r="R427" s="57">
        <v>0</v>
      </c>
      <c r="S427" s="57">
        <v>17</v>
      </c>
      <c r="T427" s="112">
        <v>17</v>
      </c>
    </row>
    <row r="428" spans="1:20" ht="23.4" x14ac:dyDescent="0.25">
      <c r="A428" s="57">
        <v>427</v>
      </c>
      <c r="B428" s="110">
        <v>244033</v>
      </c>
      <c r="C428" s="57" t="s">
        <v>114</v>
      </c>
      <c r="D428" s="57" t="s">
        <v>115</v>
      </c>
      <c r="E428" s="57" t="s">
        <v>116</v>
      </c>
      <c r="F428" s="57" t="s">
        <v>119</v>
      </c>
      <c r="G428" s="57">
        <v>2</v>
      </c>
      <c r="H428" s="57" t="s">
        <v>117</v>
      </c>
      <c r="I428" s="57" t="s">
        <v>4996</v>
      </c>
      <c r="J428" s="57" t="s">
        <v>4997</v>
      </c>
      <c r="K428" s="57" t="s">
        <v>2043</v>
      </c>
      <c r="L428" s="111" t="s">
        <v>4998</v>
      </c>
      <c r="N428" s="57">
        <v>16.995000000000001</v>
      </c>
      <c r="O428" s="57">
        <v>0</v>
      </c>
      <c r="P428" s="57">
        <v>0</v>
      </c>
      <c r="Q428" s="57">
        <v>0</v>
      </c>
      <c r="R428" s="57">
        <v>15</v>
      </c>
      <c r="S428" s="57">
        <v>195</v>
      </c>
      <c r="T428" s="112">
        <v>195</v>
      </c>
    </row>
    <row r="429" spans="1:20" ht="23.4" x14ac:dyDescent="0.25">
      <c r="A429" s="57">
        <v>428</v>
      </c>
      <c r="B429" s="110">
        <v>244033</v>
      </c>
      <c r="C429" s="57" t="s">
        <v>114</v>
      </c>
      <c r="D429" s="57" t="s">
        <v>115</v>
      </c>
      <c r="E429" s="57" t="s">
        <v>116</v>
      </c>
      <c r="F429" s="57" t="s">
        <v>119</v>
      </c>
      <c r="G429" s="57">
        <v>2</v>
      </c>
      <c r="H429" s="57" t="s">
        <v>117</v>
      </c>
      <c r="I429" s="57" t="s">
        <v>4999</v>
      </c>
      <c r="J429" s="57" t="s">
        <v>5000</v>
      </c>
      <c r="K429" s="57" t="s">
        <v>3471</v>
      </c>
      <c r="L429" s="111" t="s">
        <v>5001</v>
      </c>
      <c r="N429" s="57">
        <v>0.78</v>
      </c>
      <c r="O429" s="57">
        <v>0</v>
      </c>
      <c r="P429" s="57">
        <v>0</v>
      </c>
      <c r="Q429" s="57">
        <v>0</v>
      </c>
      <c r="R429" s="57">
        <v>0</v>
      </c>
      <c r="S429" s="57">
        <v>17</v>
      </c>
      <c r="T429" s="112">
        <v>17</v>
      </c>
    </row>
    <row r="430" spans="1:20" ht="23.4" x14ac:dyDescent="0.25">
      <c r="A430" s="57">
        <v>429</v>
      </c>
      <c r="B430" s="110">
        <v>244033</v>
      </c>
      <c r="C430" s="57" t="s">
        <v>114</v>
      </c>
      <c r="D430" s="57" t="s">
        <v>115</v>
      </c>
      <c r="E430" s="57" t="s">
        <v>116</v>
      </c>
      <c r="F430" s="57" t="s">
        <v>119</v>
      </c>
      <c r="G430" s="57">
        <v>2</v>
      </c>
      <c r="H430" s="57" t="s">
        <v>117</v>
      </c>
      <c r="I430" s="57" t="s">
        <v>5002</v>
      </c>
      <c r="J430" s="57" t="s">
        <v>5003</v>
      </c>
      <c r="K430" s="57" t="s">
        <v>5004</v>
      </c>
      <c r="L430" s="111" t="s">
        <v>5005</v>
      </c>
      <c r="N430" s="57">
        <v>0.35799999999999998</v>
      </c>
      <c r="O430" s="57">
        <v>0</v>
      </c>
      <c r="P430" s="57">
        <v>0</v>
      </c>
      <c r="Q430" s="57">
        <v>0</v>
      </c>
      <c r="R430" s="57">
        <v>0</v>
      </c>
      <c r="S430" s="57">
        <v>17</v>
      </c>
      <c r="T430" s="112">
        <v>17</v>
      </c>
    </row>
    <row r="431" spans="1:20" ht="23.4" x14ac:dyDescent="0.25">
      <c r="A431" s="57">
        <v>430</v>
      </c>
      <c r="B431" s="110">
        <v>244033</v>
      </c>
      <c r="C431" s="57" t="s">
        <v>114</v>
      </c>
      <c r="D431" s="57" t="s">
        <v>115</v>
      </c>
      <c r="E431" s="57" t="s">
        <v>116</v>
      </c>
      <c r="F431" s="57" t="s">
        <v>119</v>
      </c>
      <c r="G431" s="57">
        <v>2</v>
      </c>
      <c r="H431" s="57" t="s">
        <v>117</v>
      </c>
      <c r="I431" s="57" t="s">
        <v>5006</v>
      </c>
      <c r="J431" s="57" t="s">
        <v>5007</v>
      </c>
      <c r="K431" s="57" t="s">
        <v>5008</v>
      </c>
      <c r="L431" s="111" t="s">
        <v>5009</v>
      </c>
      <c r="N431" s="57">
        <v>0.314</v>
      </c>
      <c r="O431" s="57">
        <v>0</v>
      </c>
      <c r="P431" s="57">
        <v>0</v>
      </c>
      <c r="Q431" s="57">
        <v>0</v>
      </c>
      <c r="R431" s="57">
        <v>0</v>
      </c>
      <c r="S431" s="57">
        <v>17</v>
      </c>
      <c r="T431" s="112">
        <v>17</v>
      </c>
    </row>
    <row r="432" spans="1:20" ht="23.4" x14ac:dyDescent="0.25">
      <c r="A432" s="57">
        <v>431</v>
      </c>
      <c r="B432" s="110">
        <v>244033</v>
      </c>
      <c r="C432" s="57" t="s">
        <v>114</v>
      </c>
      <c r="D432" s="57" t="s">
        <v>115</v>
      </c>
      <c r="E432" s="57" t="s">
        <v>116</v>
      </c>
      <c r="F432" s="57" t="s">
        <v>119</v>
      </c>
      <c r="G432" s="57">
        <v>2</v>
      </c>
      <c r="H432" s="57" t="s">
        <v>117</v>
      </c>
      <c r="I432" s="57" t="s">
        <v>5010</v>
      </c>
      <c r="J432" s="57" t="s">
        <v>2946</v>
      </c>
      <c r="K432" s="57" t="s">
        <v>134</v>
      </c>
      <c r="L432" s="111" t="s">
        <v>2947</v>
      </c>
      <c r="N432" s="57">
        <v>0.28599999999999998</v>
      </c>
      <c r="O432" s="57">
        <v>0</v>
      </c>
      <c r="P432" s="57">
        <v>0</v>
      </c>
      <c r="Q432" s="57">
        <v>0</v>
      </c>
      <c r="R432" s="57">
        <v>0</v>
      </c>
      <c r="S432" s="57">
        <v>17</v>
      </c>
      <c r="T432" s="112">
        <v>17</v>
      </c>
    </row>
    <row r="433" spans="1:20" ht="23.4" x14ac:dyDescent="0.25">
      <c r="A433" s="57">
        <v>432</v>
      </c>
      <c r="B433" s="110">
        <v>244034</v>
      </c>
      <c r="C433" s="57" t="s">
        <v>114</v>
      </c>
      <c r="D433" s="57" t="s">
        <v>115</v>
      </c>
      <c r="E433" s="57" t="s">
        <v>116</v>
      </c>
      <c r="F433" s="57" t="s">
        <v>119</v>
      </c>
      <c r="G433" s="57">
        <v>2</v>
      </c>
      <c r="H433" s="57" t="s">
        <v>117</v>
      </c>
      <c r="I433" s="57" t="s">
        <v>5011</v>
      </c>
      <c r="J433" s="57" t="s">
        <v>5012</v>
      </c>
      <c r="K433" s="57" t="s">
        <v>302</v>
      </c>
      <c r="L433" s="111" t="s">
        <v>5013</v>
      </c>
      <c r="N433" s="57">
        <v>0.39800000000000002</v>
      </c>
      <c r="O433" s="57">
        <v>0</v>
      </c>
      <c r="P433" s="57">
        <v>0</v>
      </c>
      <c r="Q433" s="57">
        <v>0</v>
      </c>
      <c r="R433" s="57">
        <v>0</v>
      </c>
      <c r="S433" s="57">
        <v>17</v>
      </c>
      <c r="T433" s="112">
        <v>17</v>
      </c>
    </row>
    <row r="434" spans="1:20" ht="23.4" x14ac:dyDescent="0.25">
      <c r="A434" s="57">
        <v>433</v>
      </c>
      <c r="B434" s="110">
        <v>244034</v>
      </c>
      <c r="C434" s="57" t="s">
        <v>114</v>
      </c>
      <c r="D434" s="57" t="s">
        <v>115</v>
      </c>
      <c r="E434" s="57" t="s">
        <v>116</v>
      </c>
      <c r="F434" s="57" t="s">
        <v>119</v>
      </c>
      <c r="G434" s="57">
        <v>2</v>
      </c>
      <c r="H434" s="57" t="s">
        <v>117</v>
      </c>
      <c r="I434" s="57" t="s">
        <v>5014</v>
      </c>
      <c r="J434" s="57" t="s">
        <v>5015</v>
      </c>
      <c r="K434" s="57" t="s">
        <v>136</v>
      </c>
      <c r="L434" s="111" t="s">
        <v>5016</v>
      </c>
      <c r="N434" s="57">
        <v>0.01</v>
      </c>
      <c r="O434" s="57">
        <v>0</v>
      </c>
      <c r="P434" s="57">
        <v>0</v>
      </c>
      <c r="Q434" s="57">
        <v>0</v>
      </c>
      <c r="R434" s="57">
        <v>0</v>
      </c>
      <c r="S434" s="57">
        <v>17</v>
      </c>
      <c r="T434" s="112">
        <v>17</v>
      </c>
    </row>
    <row r="435" spans="1:20" ht="23.4" x14ac:dyDescent="0.25">
      <c r="A435" s="57">
        <v>434</v>
      </c>
      <c r="B435" s="110">
        <v>244034</v>
      </c>
      <c r="C435" s="57" t="s">
        <v>114</v>
      </c>
      <c r="D435" s="57" t="s">
        <v>115</v>
      </c>
      <c r="E435" s="57" t="s">
        <v>116</v>
      </c>
      <c r="F435" s="57" t="s">
        <v>119</v>
      </c>
      <c r="G435" s="57">
        <v>2</v>
      </c>
      <c r="H435" s="57" t="s">
        <v>117</v>
      </c>
      <c r="I435" s="57" t="s">
        <v>5017</v>
      </c>
      <c r="J435" s="57" t="s">
        <v>5018</v>
      </c>
      <c r="K435" s="57" t="s">
        <v>136</v>
      </c>
      <c r="L435" s="111" t="s">
        <v>5019</v>
      </c>
      <c r="N435" s="57">
        <v>0.01</v>
      </c>
      <c r="O435" s="57">
        <v>0</v>
      </c>
      <c r="P435" s="57">
        <v>0</v>
      </c>
      <c r="Q435" s="57">
        <v>0</v>
      </c>
      <c r="R435" s="57">
        <v>0</v>
      </c>
      <c r="S435" s="57">
        <v>17</v>
      </c>
      <c r="T435" s="112">
        <v>17</v>
      </c>
    </row>
    <row r="436" spans="1:20" ht="23.4" x14ac:dyDescent="0.25">
      <c r="A436" s="57">
        <v>435</v>
      </c>
      <c r="B436" s="110">
        <v>244034</v>
      </c>
      <c r="C436" s="57" t="s">
        <v>114</v>
      </c>
      <c r="D436" s="57" t="s">
        <v>115</v>
      </c>
      <c r="E436" s="57" t="s">
        <v>116</v>
      </c>
      <c r="F436" s="57" t="s">
        <v>119</v>
      </c>
      <c r="G436" s="57">
        <v>2</v>
      </c>
      <c r="H436" s="57" t="s">
        <v>117</v>
      </c>
      <c r="I436" s="57" t="s">
        <v>5020</v>
      </c>
      <c r="J436" s="57" t="s">
        <v>5021</v>
      </c>
      <c r="K436" s="57" t="s">
        <v>136</v>
      </c>
      <c r="L436" s="111" t="s">
        <v>5022</v>
      </c>
      <c r="N436" s="57">
        <v>0.01</v>
      </c>
      <c r="O436" s="57">
        <v>0</v>
      </c>
      <c r="P436" s="57">
        <v>0</v>
      </c>
      <c r="Q436" s="57">
        <v>0</v>
      </c>
      <c r="R436" s="57">
        <v>0</v>
      </c>
      <c r="S436" s="57">
        <v>17</v>
      </c>
      <c r="T436" s="112">
        <v>17</v>
      </c>
    </row>
    <row r="437" spans="1:20" ht="23.4" x14ac:dyDescent="0.25">
      <c r="A437" s="57">
        <v>436</v>
      </c>
      <c r="B437" s="110">
        <v>244034</v>
      </c>
      <c r="C437" s="57" t="s">
        <v>114</v>
      </c>
      <c r="D437" s="57" t="s">
        <v>115</v>
      </c>
      <c r="E437" s="57" t="s">
        <v>116</v>
      </c>
      <c r="F437" s="57" t="s">
        <v>119</v>
      </c>
      <c r="G437" s="57">
        <v>2</v>
      </c>
      <c r="H437" s="57" t="s">
        <v>117</v>
      </c>
      <c r="I437" s="57" t="s">
        <v>5023</v>
      </c>
      <c r="J437" s="57" t="s">
        <v>3610</v>
      </c>
      <c r="K437" s="57" t="s">
        <v>3611</v>
      </c>
      <c r="L437" s="111" t="s">
        <v>3612</v>
      </c>
      <c r="N437" s="57">
        <v>0.82</v>
      </c>
      <c r="O437" s="57">
        <v>150</v>
      </c>
      <c r="P437" s="57">
        <v>2.25</v>
      </c>
      <c r="Q437" s="57">
        <v>0.1575</v>
      </c>
      <c r="R437" s="57">
        <v>0</v>
      </c>
      <c r="S437" s="57">
        <v>17</v>
      </c>
      <c r="T437" s="112">
        <v>19.41</v>
      </c>
    </row>
    <row r="438" spans="1:20" ht="23.4" x14ac:dyDescent="0.25">
      <c r="A438" s="57">
        <v>437</v>
      </c>
      <c r="B438" s="110">
        <v>244034</v>
      </c>
      <c r="C438" s="57" t="s">
        <v>114</v>
      </c>
      <c r="D438" s="57" t="s">
        <v>115</v>
      </c>
      <c r="E438" s="57" t="s">
        <v>116</v>
      </c>
      <c r="F438" s="57" t="s">
        <v>119</v>
      </c>
      <c r="G438" s="57">
        <v>2</v>
      </c>
      <c r="H438" s="57" t="s">
        <v>117</v>
      </c>
      <c r="I438" s="57" t="s">
        <v>5024</v>
      </c>
      <c r="J438" s="57" t="s">
        <v>5025</v>
      </c>
      <c r="K438" s="57" t="s">
        <v>5026</v>
      </c>
      <c r="L438" s="111" t="s">
        <v>5027</v>
      </c>
      <c r="N438" s="57">
        <v>0.89800000000000002</v>
      </c>
      <c r="O438" s="57">
        <v>0</v>
      </c>
      <c r="P438" s="57">
        <v>0</v>
      </c>
      <c r="Q438" s="57">
        <v>0</v>
      </c>
      <c r="R438" s="57">
        <v>0</v>
      </c>
      <c r="S438" s="57">
        <v>17</v>
      </c>
      <c r="T438" s="112">
        <v>17</v>
      </c>
    </row>
    <row r="439" spans="1:20" ht="23.4" x14ac:dyDescent="0.25">
      <c r="A439" s="57">
        <v>438</v>
      </c>
      <c r="B439" s="110">
        <v>244034</v>
      </c>
      <c r="C439" s="57" t="s">
        <v>114</v>
      </c>
      <c r="D439" s="57" t="s">
        <v>115</v>
      </c>
      <c r="E439" s="57" t="s">
        <v>116</v>
      </c>
      <c r="F439" s="57" t="s">
        <v>119</v>
      </c>
      <c r="G439" s="57">
        <v>2</v>
      </c>
      <c r="H439" s="57" t="s">
        <v>117</v>
      </c>
      <c r="I439" s="57" t="s">
        <v>5028</v>
      </c>
      <c r="J439" s="57" t="s">
        <v>5029</v>
      </c>
      <c r="K439" s="57" t="s">
        <v>5030</v>
      </c>
      <c r="L439" s="111" t="s">
        <v>5031</v>
      </c>
      <c r="N439" s="57">
        <v>2.4460000000000002</v>
      </c>
      <c r="O439" s="57">
        <v>428</v>
      </c>
      <c r="P439" s="57">
        <v>6.42</v>
      </c>
      <c r="Q439" s="57">
        <v>0.44940000000000002</v>
      </c>
      <c r="R439" s="57">
        <v>0</v>
      </c>
      <c r="S439" s="57">
        <v>33</v>
      </c>
      <c r="T439" s="112">
        <v>39.869999999999997</v>
      </c>
    </row>
    <row r="440" spans="1:20" ht="23.4" x14ac:dyDescent="0.25">
      <c r="A440" s="57">
        <v>439</v>
      </c>
      <c r="B440" s="110">
        <v>244034</v>
      </c>
      <c r="C440" s="57" t="s">
        <v>114</v>
      </c>
      <c r="D440" s="57" t="s">
        <v>115</v>
      </c>
      <c r="E440" s="57" t="s">
        <v>116</v>
      </c>
      <c r="F440" s="57" t="s">
        <v>119</v>
      </c>
      <c r="G440" s="57">
        <v>2</v>
      </c>
      <c r="H440" s="57" t="s">
        <v>117</v>
      </c>
      <c r="I440" s="57" t="s">
        <v>5032</v>
      </c>
      <c r="J440" s="57" t="s">
        <v>5033</v>
      </c>
      <c r="K440" s="57" t="s">
        <v>5034</v>
      </c>
      <c r="L440" s="111" t="s">
        <v>5035</v>
      </c>
      <c r="N440" s="57">
        <v>0.69</v>
      </c>
      <c r="O440" s="57">
        <v>130</v>
      </c>
      <c r="P440" s="57">
        <v>1.95</v>
      </c>
      <c r="Q440" s="57">
        <v>0.13650000000000001</v>
      </c>
      <c r="R440" s="57">
        <v>0</v>
      </c>
      <c r="S440" s="57">
        <v>17</v>
      </c>
      <c r="T440" s="112">
        <v>19.09</v>
      </c>
    </row>
    <row r="441" spans="1:20" ht="23.4" x14ac:dyDescent="0.25">
      <c r="A441" s="57">
        <v>440</v>
      </c>
      <c r="B441" s="110">
        <v>244034</v>
      </c>
      <c r="C441" s="57" t="s">
        <v>114</v>
      </c>
      <c r="D441" s="57" t="s">
        <v>115</v>
      </c>
      <c r="E441" s="57" t="s">
        <v>116</v>
      </c>
      <c r="F441" s="57" t="s">
        <v>119</v>
      </c>
      <c r="G441" s="57">
        <v>2</v>
      </c>
      <c r="H441" s="57" t="s">
        <v>117</v>
      </c>
      <c r="I441" s="57" t="s">
        <v>5036</v>
      </c>
      <c r="J441" s="57" t="s">
        <v>5037</v>
      </c>
      <c r="K441" s="57" t="s">
        <v>132</v>
      </c>
      <c r="L441" s="111" t="s">
        <v>5038</v>
      </c>
      <c r="N441" s="57">
        <v>1.262</v>
      </c>
      <c r="O441" s="57">
        <v>0</v>
      </c>
      <c r="P441" s="57">
        <v>0</v>
      </c>
      <c r="Q441" s="57">
        <v>0</v>
      </c>
      <c r="R441" s="57">
        <v>0</v>
      </c>
      <c r="S441" s="57">
        <v>22</v>
      </c>
      <c r="T441" s="112">
        <v>22</v>
      </c>
    </row>
    <row r="442" spans="1:20" ht="23.4" x14ac:dyDescent="0.25">
      <c r="A442" s="57">
        <v>441</v>
      </c>
      <c r="B442" s="110">
        <v>244034</v>
      </c>
      <c r="C442" s="57" t="s">
        <v>114</v>
      </c>
      <c r="D442" s="57" t="s">
        <v>115</v>
      </c>
      <c r="E442" s="57" t="s">
        <v>116</v>
      </c>
      <c r="F442" s="57" t="s">
        <v>119</v>
      </c>
      <c r="G442" s="57">
        <v>2</v>
      </c>
      <c r="H442" s="57" t="s">
        <v>117</v>
      </c>
      <c r="I442" s="57" t="s">
        <v>5039</v>
      </c>
      <c r="J442" s="57" t="s">
        <v>4001</v>
      </c>
      <c r="K442" s="57" t="s">
        <v>4002</v>
      </c>
      <c r="L442" s="111" t="s">
        <v>4003</v>
      </c>
      <c r="N442" s="57">
        <v>1.24</v>
      </c>
      <c r="O442" s="57">
        <v>230</v>
      </c>
      <c r="P442" s="57">
        <v>3.45</v>
      </c>
      <c r="Q442" s="57">
        <v>0.24149999999999999</v>
      </c>
      <c r="R442" s="57">
        <v>0</v>
      </c>
      <c r="S442" s="57">
        <v>22</v>
      </c>
      <c r="T442" s="112">
        <v>25.69</v>
      </c>
    </row>
    <row r="443" spans="1:20" ht="23.4" x14ac:dyDescent="0.25">
      <c r="A443" s="57">
        <v>442</v>
      </c>
      <c r="B443" s="110">
        <v>244034</v>
      </c>
      <c r="C443" s="57" t="s">
        <v>114</v>
      </c>
      <c r="D443" s="57" t="s">
        <v>115</v>
      </c>
      <c r="E443" s="57" t="s">
        <v>116</v>
      </c>
      <c r="F443" s="57" t="s">
        <v>119</v>
      </c>
      <c r="G443" s="57">
        <v>2</v>
      </c>
      <c r="H443" s="57" t="s">
        <v>117</v>
      </c>
      <c r="I443" s="57" t="s">
        <v>5040</v>
      </c>
      <c r="J443" s="57" t="s">
        <v>5041</v>
      </c>
      <c r="K443" s="57" t="s">
        <v>5042</v>
      </c>
      <c r="L443" s="111" t="s">
        <v>5043</v>
      </c>
      <c r="N443" s="57">
        <v>0.68600000000000005</v>
      </c>
      <c r="O443" s="57">
        <v>0</v>
      </c>
      <c r="P443" s="57">
        <v>0</v>
      </c>
      <c r="Q443" s="57">
        <v>0</v>
      </c>
      <c r="R443" s="57">
        <v>0</v>
      </c>
      <c r="S443" s="57">
        <v>17</v>
      </c>
      <c r="T443" s="112">
        <v>17</v>
      </c>
    </row>
    <row r="444" spans="1:20" ht="23.4" x14ac:dyDescent="0.25">
      <c r="A444" s="57">
        <v>443</v>
      </c>
      <c r="B444" s="110">
        <v>244034</v>
      </c>
      <c r="C444" s="57" t="s">
        <v>114</v>
      </c>
      <c r="D444" s="57" t="s">
        <v>115</v>
      </c>
      <c r="E444" s="57" t="s">
        <v>116</v>
      </c>
      <c r="F444" s="57" t="s">
        <v>119</v>
      </c>
      <c r="G444" s="57">
        <v>2</v>
      </c>
      <c r="H444" s="57" t="s">
        <v>117</v>
      </c>
      <c r="I444" s="57" t="s">
        <v>5044</v>
      </c>
      <c r="J444" s="57" t="s">
        <v>5045</v>
      </c>
      <c r="K444" s="57" t="s">
        <v>5046</v>
      </c>
      <c r="L444" s="111" t="s">
        <v>5047</v>
      </c>
      <c r="N444" s="57">
        <v>3.9180000000000001</v>
      </c>
      <c r="O444" s="57">
        <v>0</v>
      </c>
      <c r="P444" s="57">
        <v>0</v>
      </c>
      <c r="Q444" s="57">
        <v>0</v>
      </c>
      <c r="R444" s="57">
        <v>0</v>
      </c>
      <c r="S444" s="57">
        <v>43</v>
      </c>
      <c r="T444" s="112">
        <v>43</v>
      </c>
    </row>
    <row r="445" spans="1:20" ht="23.4" x14ac:dyDescent="0.25">
      <c r="A445" s="57">
        <v>444</v>
      </c>
      <c r="B445" s="110">
        <v>244034</v>
      </c>
      <c r="C445" s="57" t="s">
        <v>114</v>
      </c>
      <c r="D445" s="57" t="s">
        <v>115</v>
      </c>
      <c r="E445" s="57" t="s">
        <v>116</v>
      </c>
      <c r="F445" s="57" t="s">
        <v>119</v>
      </c>
      <c r="G445" s="57">
        <v>2</v>
      </c>
      <c r="H445" s="57" t="s">
        <v>117</v>
      </c>
      <c r="I445" s="57" t="s">
        <v>5048</v>
      </c>
      <c r="J445" s="57" t="s">
        <v>5049</v>
      </c>
      <c r="K445" s="57" t="s">
        <v>5050</v>
      </c>
      <c r="L445" s="111" t="s">
        <v>5051</v>
      </c>
      <c r="N445" s="57">
        <v>5.1100000000000003</v>
      </c>
      <c r="O445" s="57">
        <v>0</v>
      </c>
      <c r="P445" s="57">
        <v>0</v>
      </c>
      <c r="Q445" s="57">
        <v>0</v>
      </c>
      <c r="R445" s="57">
        <v>0</v>
      </c>
      <c r="S445" s="57">
        <v>70</v>
      </c>
      <c r="T445" s="112">
        <v>70</v>
      </c>
    </row>
    <row r="446" spans="1:20" ht="23.4" x14ac:dyDescent="0.25">
      <c r="A446" s="57">
        <v>445</v>
      </c>
      <c r="B446" s="110">
        <v>244034</v>
      </c>
      <c r="C446" s="57" t="s">
        <v>114</v>
      </c>
      <c r="D446" s="57" t="s">
        <v>115</v>
      </c>
      <c r="E446" s="57" t="s">
        <v>116</v>
      </c>
      <c r="F446" s="57" t="s">
        <v>119</v>
      </c>
      <c r="G446" s="57">
        <v>2</v>
      </c>
      <c r="H446" s="57" t="s">
        <v>117</v>
      </c>
      <c r="I446" s="57" t="s">
        <v>5052</v>
      </c>
      <c r="J446" s="57" t="s">
        <v>1641</v>
      </c>
      <c r="K446" s="57" t="s">
        <v>1642</v>
      </c>
      <c r="L446" s="111" t="s">
        <v>5053</v>
      </c>
      <c r="N446" s="57">
        <v>0.67600000000000005</v>
      </c>
      <c r="O446" s="57">
        <v>0</v>
      </c>
      <c r="P446" s="57">
        <v>0</v>
      </c>
      <c r="Q446" s="57">
        <v>0</v>
      </c>
      <c r="R446" s="57">
        <v>15</v>
      </c>
      <c r="S446" s="57">
        <v>32</v>
      </c>
      <c r="T446" s="112">
        <v>32</v>
      </c>
    </row>
    <row r="447" spans="1:20" ht="23.4" x14ac:dyDescent="0.25">
      <c r="A447" s="57">
        <v>446</v>
      </c>
      <c r="B447" s="110">
        <v>244034</v>
      </c>
      <c r="C447" s="57" t="s">
        <v>114</v>
      </c>
      <c r="D447" s="57" t="s">
        <v>115</v>
      </c>
      <c r="E447" s="57" t="s">
        <v>116</v>
      </c>
      <c r="F447" s="57" t="s">
        <v>119</v>
      </c>
      <c r="G447" s="57">
        <v>2</v>
      </c>
      <c r="H447" s="57" t="s">
        <v>117</v>
      </c>
      <c r="I447" s="57" t="s">
        <v>5054</v>
      </c>
      <c r="J447" s="57" t="s">
        <v>5029</v>
      </c>
      <c r="K447" s="57" t="s">
        <v>5030</v>
      </c>
      <c r="L447" s="111" t="s">
        <v>5031</v>
      </c>
      <c r="N447" s="57">
        <v>0.93799999999999994</v>
      </c>
      <c r="O447" s="57">
        <v>160</v>
      </c>
      <c r="P447" s="57">
        <v>2.4</v>
      </c>
      <c r="Q447" s="57">
        <v>0.16800000000000001</v>
      </c>
      <c r="R447" s="57">
        <v>0</v>
      </c>
      <c r="S447" s="57">
        <v>17</v>
      </c>
      <c r="T447" s="112">
        <v>19.57</v>
      </c>
    </row>
    <row r="448" spans="1:20" ht="23.4" x14ac:dyDescent="0.25">
      <c r="A448" s="57">
        <v>447</v>
      </c>
      <c r="B448" s="110">
        <v>244034</v>
      </c>
      <c r="C448" s="57" t="s">
        <v>114</v>
      </c>
      <c r="D448" s="57" t="s">
        <v>115</v>
      </c>
      <c r="E448" s="57" t="s">
        <v>116</v>
      </c>
      <c r="F448" s="57" t="s">
        <v>119</v>
      </c>
      <c r="G448" s="57">
        <v>2</v>
      </c>
      <c r="H448" s="57" t="s">
        <v>117</v>
      </c>
      <c r="I448" s="57" t="s">
        <v>5055</v>
      </c>
      <c r="J448" s="57" t="s">
        <v>5056</v>
      </c>
      <c r="K448" s="57" t="s">
        <v>5057</v>
      </c>
      <c r="L448" s="111" t="s">
        <v>5058</v>
      </c>
      <c r="N448" s="57">
        <v>1.216</v>
      </c>
      <c r="O448" s="57">
        <v>0</v>
      </c>
      <c r="P448" s="57">
        <v>0</v>
      </c>
      <c r="Q448" s="57">
        <v>0</v>
      </c>
      <c r="R448" s="57">
        <v>0</v>
      </c>
      <c r="S448" s="57">
        <v>22</v>
      </c>
      <c r="T448" s="112">
        <v>22</v>
      </c>
    </row>
    <row r="449" spans="1:20" ht="23.4" x14ac:dyDescent="0.25">
      <c r="A449" s="57">
        <v>448</v>
      </c>
      <c r="B449" s="110">
        <v>244034</v>
      </c>
      <c r="C449" s="57" t="s">
        <v>114</v>
      </c>
      <c r="D449" s="57" t="s">
        <v>115</v>
      </c>
      <c r="E449" s="57" t="s">
        <v>116</v>
      </c>
      <c r="F449" s="57" t="s">
        <v>119</v>
      </c>
      <c r="G449" s="57">
        <v>2</v>
      </c>
      <c r="H449" s="57" t="s">
        <v>117</v>
      </c>
      <c r="I449" s="57" t="s">
        <v>5059</v>
      </c>
      <c r="J449" s="57" t="s">
        <v>3619</v>
      </c>
      <c r="K449" s="57" t="s">
        <v>3620</v>
      </c>
      <c r="L449" s="111" t="s">
        <v>3621</v>
      </c>
      <c r="N449" s="57">
        <v>1.3080000000000001</v>
      </c>
      <c r="O449" s="57">
        <v>225</v>
      </c>
      <c r="P449" s="57">
        <v>3.375</v>
      </c>
      <c r="Q449" s="57">
        <v>0.23630000000000001</v>
      </c>
      <c r="R449" s="57">
        <v>0</v>
      </c>
      <c r="S449" s="57">
        <v>22</v>
      </c>
      <c r="T449" s="112">
        <v>25.61</v>
      </c>
    </row>
    <row r="450" spans="1:20" ht="23.4" x14ac:dyDescent="0.25">
      <c r="A450" s="57">
        <v>449</v>
      </c>
      <c r="B450" s="110">
        <v>244034</v>
      </c>
      <c r="C450" s="57" t="s">
        <v>114</v>
      </c>
      <c r="D450" s="57" t="s">
        <v>115</v>
      </c>
      <c r="E450" s="57" t="s">
        <v>116</v>
      </c>
      <c r="F450" s="57" t="s">
        <v>119</v>
      </c>
      <c r="G450" s="57">
        <v>2</v>
      </c>
      <c r="H450" s="57" t="s">
        <v>117</v>
      </c>
      <c r="I450" s="57" t="s">
        <v>5060</v>
      </c>
      <c r="J450" s="57" t="s">
        <v>5061</v>
      </c>
      <c r="K450" s="57" t="s">
        <v>5062</v>
      </c>
      <c r="L450" s="111" t="s">
        <v>5063</v>
      </c>
      <c r="N450" s="57">
        <v>0.95</v>
      </c>
      <c r="O450" s="57">
        <v>290</v>
      </c>
      <c r="P450" s="57">
        <v>4.3499999999999996</v>
      </c>
      <c r="Q450" s="57">
        <v>0.30449999999999999</v>
      </c>
      <c r="R450" s="57">
        <v>0</v>
      </c>
      <c r="S450" s="57">
        <v>17</v>
      </c>
      <c r="T450" s="112">
        <v>21.65</v>
      </c>
    </row>
    <row r="451" spans="1:20" ht="23.4" x14ac:dyDescent="0.25">
      <c r="A451" s="57">
        <v>450</v>
      </c>
      <c r="B451" s="110">
        <v>244034</v>
      </c>
      <c r="C451" s="57" t="s">
        <v>114</v>
      </c>
      <c r="D451" s="57" t="s">
        <v>115</v>
      </c>
      <c r="E451" s="57" t="s">
        <v>116</v>
      </c>
      <c r="F451" s="57" t="s">
        <v>119</v>
      </c>
      <c r="G451" s="57">
        <v>2</v>
      </c>
      <c r="H451" s="57" t="s">
        <v>117</v>
      </c>
      <c r="I451" s="57" t="s">
        <v>5064</v>
      </c>
      <c r="J451" s="57" t="s">
        <v>5065</v>
      </c>
      <c r="K451" s="57" t="s">
        <v>5066</v>
      </c>
      <c r="L451" s="111" t="s">
        <v>5067</v>
      </c>
      <c r="N451" s="57">
        <v>0.65600000000000003</v>
      </c>
      <c r="O451" s="57">
        <v>0</v>
      </c>
      <c r="P451" s="57">
        <v>0</v>
      </c>
      <c r="Q451" s="57">
        <v>0</v>
      </c>
      <c r="R451" s="57">
        <v>0</v>
      </c>
      <c r="S451" s="57">
        <v>17</v>
      </c>
      <c r="T451" s="112">
        <v>17</v>
      </c>
    </row>
    <row r="452" spans="1:20" ht="23.4" x14ac:dyDescent="0.25">
      <c r="A452" s="57">
        <v>451</v>
      </c>
      <c r="B452" s="110">
        <v>244034</v>
      </c>
      <c r="C452" s="57" t="s">
        <v>114</v>
      </c>
      <c r="D452" s="57" t="s">
        <v>115</v>
      </c>
      <c r="E452" s="57" t="s">
        <v>116</v>
      </c>
      <c r="F452" s="57" t="s">
        <v>119</v>
      </c>
      <c r="G452" s="57">
        <v>2</v>
      </c>
      <c r="H452" s="57" t="s">
        <v>117</v>
      </c>
      <c r="I452" s="57" t="s">
        <v>5068</v>
      </c>
      <c r="J452" s="57" t="s">
        <v>5069</v>
      </c>
      <c r="K452" s="57" t="s">
        <v>5070</v>
      </c>
      <c r="L452" s="111" t="s">
        <v>5071</v>
      </c>
      <c r="N452" s="57">
        <v>5.89</v>
      </c>
      <c r="O452" s="57">
        <v>0</v>
      </c>
      <c r="P452" s="57">
        <v>0</v>
      </c>
      <c r="Q452" s="57">
        <v>0</v>
      </c>
      <c r="R452" s="57">
        <v>0</v>
      </c>
      <c r="S452" s="57">
        <v>70</v>
      </c>
      <c r="T452" s="112">
        <v>70</v>
      </c>
    </row>
    <row r="453" spans="1:20" ht="23.4" x14ac:dyDescent="0.25">
      <c r="A453" s="57">
        <v>452</v>
      </c>
      <c r="B453" s="110">
        <v>244034</v>
      </c>
      <c r="C453" s="57" t="s">
        <v>114</v>
      </c>
      <c r="D453" s="57" t="s">
        <v>115</v>
      </c>
      <c r="E453" s="57" t="s">
        <v>116</v>
      </c>
      <c r="F453" s="57" t="s">
        <v>119</v>
      </c>
      <c r="G453" s="57">
        <v>2</v>
      </c>
      <c r="H453" s="57" t="s">
        <v>117</v>
      </c>
      <c r="I453" s="57" t="s">
        <v>5072</v>
      </c>
      <c r="J453" s="57" t="s">
        <v>5073</v>
      </c>
      <c r="K453" s="57" t="s">
        <v>5074</v>
      </c>
      <c r="L453" s="111" t="s">
        <v>5075</v>
      </c>
      <c r="N453" s="57">
        <v>0.23400000000000001</v>
      </c>
      <c r="O453" s="57">
        <v>0</v>
      </c>
      <c r="P453" s="57">
        <v>0</v>
      </c>
      <c r="Q453" s="57">
        <v>0</v>
      </c>
      <c r="R453" s="57">
        <v>0</v>
      </c>
      <c r="S453" s="57">
        <v>17</v>
      </c>
      <c r="T453" s="112">
        <v>17</v>
      </c>
    </row>
    <row r="454" spans="1:20" ht="23.4" x14ac:dyDescent="0.25">
      <c r="A454" s="57">
        <v>453</v>
      </c>
      <c r="B454" s="110">
        <v>244034</v>
      </c>
      <c r="C454" s="57" t="s">
        <v>114</v>
      </c>
      <c r="D454" s="57" t="s">
        <v>115</v>
      </c>
      <c r="E454" s="57" t="s">
        <v>116</v>
      </c>
      <c r="F454" s="57" t="s">
        <v>119</v>
      </c>
      <c r="G454" s="57">
        <v>2</v>
      </c>
      <c r="H454" s="57" t="s">
        <v>117</v>
      </c>
      <c r="I454" s="57" t="s">
        <v>5076</v>
      </c>
      <c r="J454" s="57" t="s">
        <v>123</v>
      </c>
      <c r="K454" s="57" t="s">
        <v>124</v>
      </c>
      <c r="L454" s="111" t="s">
        <v>3438</v>
      </c>
      <c r="N454" s="57">
        <v>0.158</v>
      </c>
      <c r="O454" s="57">
        <v>0</v>
      </c>
      <c r="P454" s="57">
        <v>0</v>
      </c>
      <c r="Q454" s="57">
        <v>0</v>
      </c>
      <c r="R454" s="57">
        <v>0</v>
      </c>
      <c r="S454" s="57">
        <v>17</v>
      </c>
      <c r="T454" s="112">
        <v>17</v>
      </c>
    </row>
    <row r="455" spans="1:20" ht="23.4" x14ac:dyDescent="0.25">
      <c r="A455" s="57">
        <v>454</v>
      </c>
      <c r="B455" s="110">
        <v>244034</v>
      </c>
      <c r="C455" s="57" t="s">
        <v>114</v>
      </c>
      <c r="D455" s="57" t="s">
        <v>115</v>
      </c>
      <c r="E455" s="57" t="s">
        <v>116</v>
      </c>
      <c r="F455" s="57" t="s">
        <v>119</v>
      </c>
      <c r="G455" s="57">
        <v>2</v>
      </c>
      <c r="H455" s="57" t="s">
        <v>117</v>
      </c>
      <c r="I455" s="57" t="s">
        <v>5077</v>
      </c>
      <c r="J455" s="57" t="s">
        <v>5078</v>
      </c>
      <c r="K455" s="57" t="s">
        <v>5079</v>
      </c>
      <c r="L455" s="111" t="s">
        <v>5080</v>
      </c>
      <c r="N455" s="57">
        <v>2.8000000000000001E-2</v>
      </c>
      <c r="O455" s="57">
        <v>0</v>
      </c>
      <c r="P455" s="57">
        <v>0</v>
      </c>
      <c r="Q455" s="57">
        <v>0</v>
      </c>
      <c r="R455" s="57">
        <v>0</v>
      </c>
      <c r="S455" s="57">
        <v>17</v>
      </c>
      <c r="T455" s="112">
        <v>17</v>
      </c>
    </row>
    <row r="456" spans="1:20" ht="23.4" x14ac:dyDescent="0.25">
      <c r="A456" s="57">
        <v>455</v>
      </c>
      <c r="B456" s="110">
        <v>244035</v>
      </c>
      <c r="C456" s="57" t="s">
        <v>114</v>
      </c>
      <c r="D456" s="57" t="s">
        <v>115</v>
      </c>
      <c r="E456" s="57" t="s">
        <v>116</v>
      </c>
      <c r="F456" s="57" t="s">
        <v>119</v>
      </c>
      <c r="G456" s="57">
        <v>2</v>
      </c>
      <c r="H456" s="57" t="s">
        <v>117</v>
      </c>
      <c r="I456" s="57" t="s">
        <v>5081</v>
      </c>
      <c r="J456" s="57" t="s">
        <v>5082</v>
      </c>
      <c r="K456" s="57" t="s">
        <v>5083</v>
      </c>
      <c r="L456" s="111" t="s">
        <v>5084</v>
      </c>
      <c r="N456" s="57">
        <v>0.69199999999999995</v>
      </c>
      <c r="O456" s="57">
        <v>0</v>
      </c>
      <c r="P456" s="57">
        <v>0</v>
      </c>
      <c r="Q456" s="57">
        <v>0</v>
      </c>
      <c r="R456" s="57">
        <v>0</v>
      </c>
      <c r="S456" s="57">
        <v>17</v>
      </c>
      <c r="T456" s="112">
        <v>17</v>
      </c>
    </row>
    <row r="457" spans="1:20" ht="23.4" x14ac:dyDescent="0.25">
      <c r="A457" s="57">
        <v>456</v>
      </c>
      <c r="B457" s="110">
        <v>244035</v>
      </c>
      <c r="C457" s="57" t="s">
        <v>114</v>
      </c>
      <c r="D457" s="57" t="s">
        <v>115</v>
      </c>
      <c r="E457" s="57" t="s">
        <v>116</v>
      </c>
      <c r="F457" s="57" t="s">
        <v>119</v>
      </c>
      <c r="G457" s="57">
        <v>2</v>
      </c>
      <c r="H457" s="57" t="s">
        <v>117</v>
      </c>
      <c r="I457" s="57" t="s">
        <v>5085</v>
      </c>
      <c r="J457" s="57" t="s">
        <v>5086</v>
      </c>
      <c r="K457" s="57" t="s">
        <v>5087</v>
      </c>
      <c r="L457" s="111" t="s">
        <v>5088</v>
      </c>
      <c r="N457" s="57">
        <v>1.244</v>
      </c>
      <c r="O457" s="57">
        <v>0</v>
      </c>
      <c r="P457" s="57">
        <v>0</v>
      </c>
      <c r="Q457" s="57">
        <v>0</v>
      </c>
      <c r="R457" s="57">
        <v>0</v>
      </c>
      <c r="S457" s="57">
        <v>22</v>
      </c>
      <c r="T457" s="112">
        <v>22</v>
      </c>
    </row>
    <row r="458" spans="1:20" ht="23.4" x14ac:dyDescent="0.25">
      <c r="A458" s="57">
        <v>457</v>
      </c>
      <c r="B458" s="110">
        <v>244035</v>
      </c>
      <c r="C458" s="57" t="s">
        <v>114</v>
      </c>
      <c r="D458" s="57" t="s">
        <v>115</v>
      </c>
      <c r="E458" s="57" t="s">
        <v>116</v>
      </c>
      <c r="F458" s="57" t="s">
        <v>119</v>
      </c>
      <c r="G458" s="57">
        <v>2</v>
      </c>
      <c r="H458" s="57" t="s">
        <v>117</v>
      </c>
      <c r="I458" s="57" t="s">
        <v>5089</v>
      </c>
      <c r="J458" s="57" t="s">
        <v>272</v>
      </c>
      <c r="K458" s="57" t="s">
        <v>273</v>
      </c>
      <c r="L458" s="111" t="s">
        <v>274</v>
      </c>
      <c r="N458" s="57">
        <v>1.506</v>
      </c>
      <c r="O458" s="57">
        <v>0</v>
      </c>
      <c r="P458" s="57">
        <v>0</v>
      </c>
      <c r="Q458" s="57">
        <v>0</v>
      </c>
      <c r="R458" s="57">
        <v>0</v>
      </c>
      <c r="S458" s="57">
        <v>22</v>
      </c>
      <c r="T458" s="112">
        <v>22</v>
      </c>
    </row>
    <row r="459" spans="1:20" ht="23.4" x14ac:dyDescent="0.25">
      <c r="A459" s="57">
        <v>458</v>
      </c>
      <c r="B459" s="110">
        <v>244035</v>
      </c>
      <c r="C459" s="57" t="s">
        <v>114</v>
      </c>
      <c r="D459" s="57" t="s">
        <v>115</v>
      </c>
      <c r="E459" s="57" t="s">
        <v>116</v>
      </c>
      <c r="F459" s="57" t="s">
        <v>119</v>
      </c>
      <c r="G459" s="57">
        <v>2</v>
      </c>
      <c r="H459" s="57" t="s">
        <v>117</v>
      </c>
      <c r="I459" s="57" t="s">
        <v>5090</v>
      </c>
      <c r="J459" s="57" t="s">
        <v>5091</v>
      </c>
      <c r="K459" s="57" t="s">
        <v>5092</v>
      </c>
      <c r="L459" s="111" t="s">
        <v>5093</v>
      </c>
      <c r="N459" s="57">
        <v>1.276</v>
      </c>
      <c r="O459" s="57">
        <v>0</v>
      </c>
      <c r="P459" s="57">
        <v>0</v>
      </c>
      <c r="Q459" s="57">
        <v>0</v>
      </c>
      <c r="R459" s="57">
        <v>0</v>
      </c>
      <c r="S459" s="57">
        <v>22</v>
      </c>
      <c r="T459" s="112">
        <v>22</v>
      </c>
    </row>
    <row r="460" spans="1:20" ht="23.4" x14ac:dyDescent="0.25">
      <c r="A460" s="57">
        <v>459</v>
      </c>
      <c r="B460" s="110">
        <v>244035</v>
      </c>
      <c r="C460" s="57" t="s">
        <v>114</v>
      </c>
      <c r="D460" s="57" t="s">
        <v>115</v>
      </c>
      <c r="E460" s="57" t="s">
        <v>116</v>
      </c>
      <c r="F460" s="57" t="s">
        <v>119</v>
      </c>
      <c r="G460" s="57">
        <v>2</v>
      </c>
      <c r="H460" s="57" t="s">
        <v>117</v>
      </c>
      <c r="I460" s="57" t="s">
        <v>5094</v>
      </c>
      <c r="J460" s="57" t="s">
        <v>5095</v>
      </c>
      <c r="K460" s="57" t="s">
        <v>5096</v>
      </c>
      <c r="L460" s="111" t="s">
        <v>5097</v>
      </c>
      <c r="N460" s="57">
        <v>2.8719999999999999</v>
      </c>
      <c r="O460" s="57">
        <v>0</v>
      </c>
      <c r="P460" s="57">
        <v>0</v>
      </c>
      <c r="Q460" s="57">
        <v>0</v>
      </c>
      <c r="R460" s="57">
        <v>0</v>
      </c>
      <c r="S460" s="57">
        <v>33</v>
      </c>
      <c r="T460" s="112">
        <v>33</v>
      </c>
    </row>
    <row r="461" spans="1:20" ht="23.4" x14ac:dyDescent="0.25">
      <c r="A461" s="57">
        <v>460</v>
      </c>
      <c r="B461" s="110">
        <v>244035</v>
      </c>
      <c r="C461" s="57" t="s">
        <v>114</v>
      </c>
      <c r="D461" s="57" t="s">
        <v>115</v>
      </c>
      <c r="E461" s="57" t="s">
        <v>116</v>
      </c>
      <c r="F461" s="57" t="s">
        <v>119</v>
      </c>
      <c r="G461" s="57">
        <v>2</v>
      </c>
      <c r="H461" s="57" t="s">
        <v>117</v>
      </c>
      <c r="I461" s="57" t="s">
        <v>5098</v>
      </c>
      <c r="J461" s="57" t="s">
        <v>5099</v>
      </c>
      <c r="K461" s="57" t="s">
        <v>5100</v>
      </c>
      <c r="L461" s="111" t="s">
        <v>5101</v>
      </c>
      <c r="N461" s="57">
        <v>1.4119999999999999</v>
      </c>
      <c r="O461" s="57">
        <v>0</v>
      </c>
      <c r="P461" s="57">
        <v>0</v>
      </c>
      <c r="Q461" s="57">
        <v>0</v>
      </c>
      <c r="R461" s="57">
        <v>0</v>
      </c>
      <c r="S461" s="57">
        <v>22</v>
      </c>
      <c r="T461" s="112">
        <v>22</v>
      </c>
    </row>
    <row r="462" spans="1:20" ht="23.4" x14ac:dyDescent="0.25">
      <c r="A462" s="57">
        <v>461</v>
      </c>
      <c r="B462" s="110">
        <v>244035</v>
      </c>
      <c r="C462" s="57" t="s">
        <v>114</v>
      </c>
      <c r="D462" s="57" t="s">
        <v>115</v>
      </c>
      <c r="E462" s="57" t="s">
        <v>116</v>
      </c>
      <c r="F462" s="57" t="s">
        <v>119</v>
      </c>
      <c r="G462" s="57">
        <v>2</v>
      </c>
      <c r="H462" s="57" t="s">
        <v>117</v>
      </c>
      <c r="I462" s="57" t="s">
        <v>5102</v>
      </c>
      <c r="J462" s="57" t="s">
        <v>5103</v>
      </c>
      <c r="K462" s="57" t="s">
        <v>5104</v>
      </c>
      <c r="L462" s="111" t="s">
        <v>5105</v>
      </c>
      <c r="N462" s="57">
        <v>1.6879999999999999</v>
      </c>
      <c r="O462" s="57">
        <v>0</v>
      </c>
      <c r="P462" s="57">
        <v>0</v>
      </c>
      <c r="Q462" s="57">
        <v>0</v>
      </c>
      <c r="R462" s="57">
        <v>0</v>
      </c>
      <c r="S462" s="57">
        <v>22</v>
      </c>
      <c r="T462" s="112">
        <v>22</v>
      </c>
    </row>
    <row r="463" spans="1:20" ht="23.4" x14ac:dyDescent="0.25">
      <c r="A463" s="57">
        <v>462</v>
      </c>
      <c r="B463" s="110">
        <v>244035</v>
      </c>
      <c r="C463" s="57" t="s">
        <v>114</v>
      </c>
      <c r="D463" s="57" t="s">
        <v>115</v>
      </c>
      <c r="E463" s="57" t="s">
        <v>116</v>
      </c>
      <c r="F463" s="57" t="s">
        <v>119</v>
      </c>
      <c r="G463" s="57">
        <v>2</v>
      </c>
      <c r="H463" s="57" t="s">
        <v>117</v>
      </c>
      <c r="I463" s="57" t="s">
        <v>5106</v>
      </c>
      <c r="J463" s="57" t="s">
        <v>5107</v>
      </c>
      <c r="K463" s="57" t="s">
        <v>5108</v>
      </c>
      <c r="L463" s="111" t="s">
        <v>5109</v>
      </c>
      <c r="N463" s="57">
        <v>0.67</v>
      </c>
      <c r="O463" s="57">
        <v>130</v>
      </c>
      <c r="P463" s="57">
        <v>1.95</v>
      </c>
      <c r="Q463" s="57">
        <v>0.13650000000000001</v>
      </c>
      <c r="R463" s="57">
        <v>0</v>
      </c>
      <c r="S463" s="57">
        <v>17</v>
      </c>
      <c r="T463" s="112">
        <v>19.09</v>
      </c>
    </row>
    <row r="464" spans="1:20" ht="23.4" x14ac:dyDescent="0.25">
      <c r="A464" s="57">
        <v>463</v>
      </c>
      <c r="B464" s="110">
        <v>244035</v>
      </c>
      <c r="C464" s="57" t="s">
        <v>114</v>
      </c>
      <c r="D464" s="57" t="s">
        <v>115</v>
      </c>
      <c r="E464" s="57" t="s">
        <v>116</v>
      </c>
      <c r="F464" s="57" t="s">
        <v>119</v>
      </c>
      <c r="G464" s="57">
        <v>2</v>
      </c>
      <c r="H464" s="57" t="s">
        <v>117</v>
      </c>
      <c r="I464" s="57" t="s">
        <v>5110</v>
      </c>
      <c r="J464" s="57" t="s">
        <v>4100</v>
      </c>
      <c r="K464" s="57" t="s">
        <v>4101</v>
      </c>
      <c r="L464" s="111" t="s">
        <v>4102</v>
      </c>
      <c r="N464" s="57">
        <v>0.84799999999999998</v>
      </c>
      <c r="O464" s="57">
        <v>150</v>
      </c>
      <c r="P464" s="57">
        <v>2.25</v>
      </c>
      <c r="Q464" s="57">
        <v>0.1575</v>
      </c>
      <c r="R464" s="57">
        <v>0</v>
      </c>
      <c r="S464" s="57">
        <v>17</v>
      </c>
      <c r="T464" s="112">
        <v>19.41</v>
      </c>
    </row>
    <row r="465" spans="1:20" ht="23.4" x14ac:dyDescent="0.25">
      <c r="A465" s="57">
        <v>464</v>
      </c>
      <c r="B465" s="110">
        <v>244035</v>
      </c>
      <c r="C465" s="57" t="s">
        <v>114</v>
      </c>
      <c r="D465" s="57" t="s">
        <v>115</v>
      </c>
      <c r="E465" s="57" t="s">
        <v>116</v>
      </c>
      <c r="F465" s="57" t="s">
        <v>119</v>
      </c>
      <c r="G465" s="57">
        <v>2</v>
      </c>
      <c r="H465" s="57" t="s">
        <v>117</v>
      </c>
      <c r="I465" s="57" t="s">
        <v>5111</v>
      </c>
      <c r="J465" s="57" t="s">
        <v>5112</v>
      </c>
      <c r="K465" s="57" t="s">
        <v>5113</v>
      </c>
      <c r="L465" s="111" t="s">
        <v>5114</v>
      </c>
      <c r="N465" s="57">
        <v>1.274</v>
      </c>
      <c r="O465" s="57">
        <v>219</v>
      </c>
      <c r="P465" s="57">
        <v>3.2850000000000001</v>
      </c>
      <c r="Q465" s="57">
        <v>0.23</v>
      </c>
      <c r="R465" s="57">
        <v>0</v>
      </c>
      <c r="S465" s="57">
        <v>22</v>
      </c>
      <c r="T465" s="112">
        <v>25.52</v>
      </c>
    </row>
    <row r="466" spans="1:20" ht="23.4" x14ac:dyDescent="0.25">
      <c r="A466" s="57">
        <v>465</v>
      </c>
      <c r="B466" s="110">
        <v>244035</v>
      </c>
      <c r="C466" s="57" t="s">
        <v>114</v>
      </c>
      <c r="D466" s="57" t="s">
        <v>115</v>
      </c>
      <c r="E466" s="57" t="s">
        <v>116</v>
      </c>
      <c r="F466" s="57" t="s">
        <v>119</v>
      </c>
      <c r="G466" s="57">
        <v>2</v>
      </c>
      <c r="H466" s="57" t="s">
        <v>117</v>
      </c>
      <c r="I466" s="57" t="s">
        <v>5115</v>
      </c>
      <c r="J466" s="57" t="s">
        <v>5116</v>
      </c>
      <c r="K466" s="57" t="s">
        <v>5117</v>
      </c>
      <c r="L466" s="111" t="s">
        <v>5118</v>
      </c>
      <c r="N466" s="57">
        <v>1.268</v>
      </c>
      <c r="O466" s="57">
        <v>219</v>
      </c>
      <c r="P466" s="57">
        <v>3.2850000000000001</v>
      </c>
      <c r="Q466" s="57">
        <v>0.23</v>
      </c>
      <c r="R466" s="57">
        <v>0</v>
      </c>
      <c r="S466" s="57">
        <v>22</v>
      </c>
      <c r="T466" s="112">
        <v>25.52</v>
      </c>
    </row>
    <row r="467" spans="1:20" ht="23.4" x14ac:dyDescent="0.25">
      <c r="A467" s="57">
        <v>466</v>
      </c>
      <c r="B467" s="110">
        <v>244035</v>
      </c>
      <c r="C467" s="57" t="s">
        <v>114</v>
      </c>
      <c r="D467" s="57" t="s">
        <v>115</v>
      </c>
      <c r="E467" s="57" t="s">
        <v>116</v>
      </c>
      <c r="F467" s="57" t="s">
        <v>119</v>
      </c>
      <c r="G467" s="57">
        <v>2</v>
      </c>
      <c r="H467" s="57" t="s">
        <v>117</v>
      </c>
      <c r="I467" s="57" t="s">
        <v>5119</v>
      </c>
      <c r="J467" s="57" t="s">
        <v>4221</v>
      </c>
      <c r="K467" s="57" t="s">
        <v>4222</v>
      </c>
      <c r="L467" s="111" t="s">
        <v>4223</v>
      </c>
      <c r="N467" s="57">
        <v>0.80400000000000005</v>
      </c>
      <c r="O467" s="57">
        <v>150</v>
      </c>
      <c r="P467" s="57">
        <v>2.25</v>
      </c>
      <c r="Q467" s="57">
        <v>0.1575</v>
      </c>
      <c r="R467" s="57">
        <v>0</v>
      </c>
      <c r="S467" s="57">
        <v>17</v>
      </c>
      <c r="T467" s="112">
        <v>19.41</v>
      </c>
    </row>
    <row r="468" spans="1:20" ht="23.4" x14ac:dyDescent="0.25">
      <c r="A468" s="57">
        <v>467</v>
      </c>
      <c r="B468" s="110">
        <v>244035</v>
      </c>
      <c r="C468" s="57" t="s">
        <v>114</v>
      </c>
      <c r="D468" s="57" t="s">
        <v>115</v>
      </c>
      <c r="E468" s="57" t="s">
        <v>116</v>
      </c>
      <c r="F468" s="57" t="s">
        <v>119</v>
      </c>
      <c r="G468" s="57">
        <v>2</v>
      </c>
      <c r="H468" s="57" t="s">
        <v>117</v>
      </c>
      <c r="I468" s="57" t="s">
        <v>5120</v>
      </c>
      <c r="J468" s="57" t="s">
        <v>4241</v>
      </c>
      <c r="K468" s="57" t="s">
        <v>4242</v>
      </c>
      <c r="L468" s="111" t="s">
        <v>4243</v>
      </c>
      <c r="N468" s="57">
        <v>0.89</v>
      </c>
      <c r="O468" s="57">
        <v>150</v>
      </c>
      <c r="P468" s="57">
        <v>2.25</v>
      </c>
      <c r="Q468" s="57">
        <v>0.1575</v>
      </c>
      <c r="R468" s="57">
        <v>0</v>
      </c>
      <c r="S468" s="57">
        <v>17</v>
      </c>
      <c r="T468" s="112">
        <v>19.41</v>
      </c>
    </row>
    <row r="469" spans="1:20" ht="23.4" x14ac:dyDescent="0.25">
      <c r="A469" s="57">
        <v>468</v>
      </c>
      <c r="B469" s="110">
        <v>244035</v>
      </c>
      <c r="C469" s="57" t="s">
        <v>114</v>
      </c>
      <c r="D469" s="57" t="s">
        <v>115</v>
      </c>
      <c r="E469" s="57" t="s">
        <v>116</v>
      </c>
      <c r="F469" s="57" t="s">
        <v>119</v>
      </c>
      <c r="G469" s="57">
        <v>2</v>
      </c>
      <c r="H469" s="57" t="s">
        <v>117</v>
      </c>
      <c r="I469" s="57" t="s">
        <v>5121</v>
      </c>
      <c r="J469" s="57" t="s">
        <v>5122</v>
      </c>
      <c r="K469" s="57" t="s">
        <v>5123</v>
      </c>
      <c r="L469" s="111" t="s">
        <v>5124</v>
      </c>
      <c r="N469" s="57">
        <v>1.262</v>
      </c>
      <c r="O469" s="57">
        <v>219</v>
      </c>
      <c r="P469" s="57">
        <v>3.2850000000000001</v>
      </c>
      <c r="Q469" s="57">
        <v>0.23</v>
      </c>
      <c r="R469" s="57">
        <v>0</v>
      </c>
      <c r="S469" s="57">
        <v>22</v>
      </c>
      <c r="T469" s="112">
        <v>25.52</v>
      </c>
    </row>
    <row r="470" spans="1:20" ht="23.4" x14ac:dyDescent="0.25">
      <c r="A470" s="57">
        <v>469</v>
      </c>
      <c r="B470" s="110">
        <v>244035</v>
      </c>
      <c r="C470" s="57" t="s">
        <v>114</v>
      </c>
      <c r="D470" s="57" t="s">
        <v>115</v>
      </c>
      <c r="E470" s="57" t="s">
        <v>116</v>
      </c>
      <c r="F470" s="57" t="s">
        <v>119</v>
      </c>
      <c r="G470" s="57">
        <v>2</v>
      </c>
      <c r="H470" s="57" t="s">
        <v>117</v>
      </c>
      <c r="I470" s="57" t="s">
        <v>5125</v>
      </c>
      <c r="J470" s="57" t="s">
        <v>4080</v>
      </c>
      <c r="K470" s="57" t="s">
        <v>138</v>
      </c>
      <c r="L470" s="111" t="s">
        <v>4081</v>
      </c>
      <c r="N470" s="57">
        <v>1.274</v>
      </c>
      <c r="O470" s="57">
        <v>209</v>
      </c>
      <c r="P470" s="57">
        <v>3.1349999999999998</v>
      </c>
      <c r="Q470" s="57">
        <v>0.2195</v>
      </c>
      <c r="R470" s="57">
        <v>0</v>
      </c>
      <c r="S470" s="57">
        <v>22</v>
      </c>
      <c r="T470" s="112">
        <v>25.35</v>
      </c>
    </row>
    <row r="471" spans="1:20" ht="23.4" x14ac:dyDescent="0.25">
      <c r="A471" s="57">
        <v>470</v>
      </c>
      <c r="B471" s="110">
        <v>244035</v>
      </c>
      <c r="C471" s="57" t="s">
        <v>114</v>
      </c>
      <c r="D471" s="57" t="s">
        <v>115</v>
      </c>
      <c r="E471" s="57" t="s">
        <v>116</v>
      </c>
      <c r="F471" s="57" t="s">
        <v>119</v>
      </c>
      <c r="G471" s="57">
        <v>2</v>
      </c>
      <c r="H471" s="57" t="s">
        <v>117</v>
      </c>
      <c r="I471" s="57" t="s">
        <v>5126</v>
      </c>
      <c r="J471" s="57" t="s">
        <v>3160</v>
      </c>
      <c r="K471" s="57" t="s">
        <v>3161</v>
      </c>
      <c r="L471" s="111" t="s">
        <v>3162</v>
      </c>
      <c r="N471" s="57">
        <v>1.282</v>
      </c>
      <c r="O471" s="57">
        <v>209</v>
      </c>
      <c r="P471" s="57">
        <v>3.1349999999999998</v>
      </c>
      <c r="Q471" s="57">
        <v>0.2195</v>
      </c>
      <c r="R471" s="57">
        <v>0</v>
      </c>
      <c r="S471" s="57">
        <v>22</v>
      </c>
      <c r="T471" s="112">
        <v>25.35</v>
      </c>
    </row>
    <row r="472" spans="1:20" ht="23.4" x14ac:dyDescent="0.25">
      <c r="A472" s="57">
        <v>471</v>
      </c>
      <c r="B472" s="110">
        <v>244035</v>
      </c>
      <c r="C472" s="57" t="s">
        <v>114</v>
      </c>
      <c r="D472" s="57" t="s">
        <v>115</v>
      </c>
      <c r="E472" s="57" t="s">
        <v>116</v>
      </c>
      <c r="F472" s="57" t="s">
        <v>119</v>
      </c>
      <c r="G472" s="57">
        <v>2</v>
      </c>
      <c r="H472" s="57" t="s">
        <v>117</v>
      </c>
      <c r="I472" s="57" t="s">
        <v>5127</v>
      </c>
      <c r="J472" s="57" t="s">
        <v>5128</v>
      </c>
      <c r="K472" s="57" t="s">
        <v>5129</v>
      </c>
      <c r="L472" s="111" t="s">
        <v>5130</v>
      </c>
      <c r="N472" s="57">
        <v>2.4020000000000001</v>
      </c>
      <c r="O472" s="57">
        <v>430</v>
      </c>
      <c r="P472" s="57">
        <v>6.45</v>
      </c>
      <c r="Q472" s="57">
        <v>0.45150000000000001</v>
      </c>
      <c r="R472" s="57">
        <v>0</v>
      </c>
      <c r="S472" s="57">
        <v>33</v>
      </c>
      <c r="T472" s="112">
        <v>39.9</v>
      </c>
    </row>
    <row r="473" spans="1:20" ht="23.4" x14ac:dyDescent="0.25">
      <c r="A473" s="57">
        <v>472</v>
      </c>
      <c r="B473" s="110">
        <v>244035</v>
      </c>
      <c r="C473" s="57" t="s">
        <v>114</v>
      </c>
      <c r="D473" s="57" t="s">
        <v>115</v>
      </c>
      <c r="E473" s="57" t="s">
        <v>116</v>
      </c>
      <c r="F473" s="57" t="s">
        <v>119</v>
      </c>
      <c r="G473" s="57">
        <v>2</v>
      </c>
      <c r="H473" s="57" t="s">
        <v>117</v>
      </c>
      <c r="I473" s="57" t="s">
        <v>5131</v>
      </c>
      <c r="J473" s="57" t="s">
        <v>5132</v>
      </c>
      <c r="K473" s="57" t="s">
        <v>5133</v>
      </c>
      <c r="L473" s="111" t="s">
        <v>5134</v>
      </c>
      <c r="N473" s="57">
        <v>1.048</v>
      </c>
      <c r="O473" s="57">
        <v>230</v>
      </c>
      <c r="P473" s="57">
        <v>3.45</v>
      </c>
      <c r="Q473" s="57">
        <v>0.24149999999999999</v>
      </c>
      <c r="R473" s="57">
        <v>0</v>
      </c>
      <c r="S473" s="57">
        <v>22</v>
      </c>
      <c r="T473" s="112">
        <v>25.69</v>
      </c>
    </row>
    <row r="474" spans="1:20" ht="23.4" x14ac:dyDescent="0.25">
      <c r="A474" s="57">
        <v>473</v>
      </c>
      <c r="B474" s="110">
        <v>244035</v>
      </c>
      <c r="C474" s="57" t="s">
        <v>114</v>
      </c>
      <c r="D474" s="57" t="s">
        <v>115</v>
      </c>
      <c r="E474" s="57" t="s">
        <v>116</v>
      </c>
      <c r="F474" s="57" t="s">
        <v>119</v>
      </c>
      <c r="G474" s="57">
        <v>2</v>
      </c>
      <c r="H474" s="57" t="s">
        <v>117</v>
      </c>
      <c r="I474" s="57" t="s">
        <v>5135</v>
      </c>
      <c r="J474" s="57" t="s">
        <v>5136</v>
      </c>
      <c r="K474" s="57" t="s">
        <v>5137</v>
      </c>
      <c r="L474" s="111" t="s">
        <v>5138</v>
      </c>
      <c r="N474" s="57">
        <v>1.274</v>
      </c>
      <c r="O474" s="57">
        <v>0</v>
      </c>
      <c r="P474" s="57">
        <v>0</v>
      </c>
      <c r="Q474" s="57">
        <v>0</v>
      </c>
      <c r="R474" s="57">
        <v>0</v>
      </c>
      <c r="S474" s="57">
        <v>22</v>
      </c>
      <c r="T474" s="112">
        <v>22</v>
      </c>
    </row>
    <row r="475" spans="1:20" ht="23.4" x14ac:dyDescent="0.25">
      <c r="A475" s="57">
        <v>474</v>
      </c>
      <c r="B475" s="110">
        <v>244035</v>
      </c>
      <c r="C475" s="57" t="s">
        <v>114</v>
      </c>
      <c r="D475" s="57" t="s">
        <v>115</v>
      </c>
      <c r="E475" s="57" t="s">
        <v>116</v>
      </c>
      <c r="F475" s="57" t="s">
        <v>119</v>
      </c>
      <c r="G475" s="57">
        <v>2</v>
      </c>
      <c r="H475" s="57" t="s">
        <v>117</v>
      </c>
      <c r="I475" s="57" t="s">
        <v>5139</v>
      </c>
      <c r="J475" s="57" t="s">
        <v>5140</v>
      </c>
      <c r="K475" s="57" t="s">
        <v>5141</v>
      </c>
      <c r="L475" s="111" t="s">
        <v>5142</v>
      </c>
      <c r="N475" s="57">
        <v>0.82</v>
      </c>
      <c r="O475" s="57">
        <v>150</v>
      </c>
      <c r="P475" s="57">
        <v>2.25</v>
      </c>
      <c r="Q475" s="57">
        <v>0.1575</v>
      </c>
      <c r="R475" s="57">
        <v>0</v>
      </c>
      <c r="S475" s="57">
        <v>17</v>
      </c>
      <c r="T475" s="112">
        <v>19.41</v>
      </c>
    </row>
    <row r="476" spans="1:20" ht="23.4" x14ac:dyDescent="0.25">
      <c r="A476" s="57">
        <v>475</v>
      </c>
      <c r="B476" s="110">
        <v>244035</v>
      </c>
      <c r="C476" s="57" t="s">
        <v>114</v>
      </c>
      <c r="D476" s="57" t="s">
        <v>115</v>
      </c>
      <c r="E476" s="57" t="s">
        <v>116</v>
      </c>
      <c r="F476" s="57" t="s">
        <v>119</v>
      </c>
      <c r="G476" s="57">
        <v>2</v>
      </c>
      <c r="H476" s="57" t="s">
        <v>117</v>
      </c>
      <c r="I476" s="57" t="s">
        <v>5143</v>
      </c>
      <c r="J476" s="57" t="s">
        <v>5144</v>
      </c>
      <c r="K476" s="57" t="s">
        <v>4896</v>
      </c>
      <c r="L476" s="111" t="s">
        <v>5145</v>
      </c>
      <c r="N476" s="57">
        <v>1.54</v>
      </c>
      <c r="O476" s="57">
        <v>0</v>
      </c>
      <c r="P476" s="57">
        <v>0</v>
      </c>
      <c r="Q476" s="57">
        <v>0</v>
      </c>
      <c r="R476" s="57">
        <v>0</v>
      </c>
      <c r="S476" s="57">
        <v>22</v>
      </c>
      <c r="T476" s="112">
        <v>22</v>
      </c>
    </row>
    <row r="477" spans="1:20" ht="23.4" x14ac:dyDescent="0.25">
      <c r="A477" s="57">
        <v>476</v>
      </c>
      <c r="B477" s="110">
        <v>244035</v>
      </c>
      <c r="C477" s="57" t="s">
        <v>114</v>
      </c>
      <c r="D477" s="57" t="s">
        <v>115</v>
      </c>
      <c r="E477" s="57" t="s">
        <v>116</v>
      </c>
      <c r="F477" s="57" t="s">
        <v>119</v>
      </c>
      <c r="G477" s="57">
        <v>2</v>
      </c>
      <c r="H477" s="57" t="s">
        <v>117</v>
      </c>
      <c r="I477" s="57" t="s">
        <v>5146</v>
      </c>
      <c r="J477" s="57" t="s">
        <v>5147</v>
      </c>
      <c r="K477" s="57" t="s">
        <v>5148</v>
      </c>
      <c r="L477" s="111" t="s">
        <v>5149</v>
      </c>
      <c r="N477" s="57">
        <v>0.66400000000000003</v>
      </c>
      <c r="O477" s="57">
        <v>130</v>
      </c>
      <c r="P477" s="57">
        <v>1.95</v>
      </c>
      <c r="Q477" s="57">
        <v>0.13650000000000001</v>
      </c>
      <c r="R477" s="57">
        <v>0</v>
      </c>
      <c r="S477" s="57">
        <v>17</v>
      </c>
      <c r="T477" s="112">
        <v>19.09</v>
      </c>
    </row>
    <row r="478" spans="1:20" ht="23.4" x14ac:dyDescent="0.25">
      <c r="A478" s="57">
        <v>477</v>
      </c>
      <c r="B478" s="110">
        <v>244035</v>
      </c>
      <c r="C478" s="57" t="s">
        <v>114</v>
      </c>
      <c r="D478" s="57" t="s">
        <v>115</v>
      </c>
      <c r="E478" s="57" t="s">
        <v>116</v>
      </c>
      <c r="F478" s="57" t="s">
        <v>119</v>
      </c>
      <c r="G478" s="57">
        <v>2</v>
      </c>
      <c r="H478" s="57" t="s">
        <v>117</v>
      </c>
      <c r="I478" s="57" t="s">
        <v>5150</v>
      </c>
      <c r="J478" s="57" t="s">
        <v>5151</v>
      </c>
      <c r="K478" s="57" t="s">
        <v>5152</v>
      </c>
      <c r="L478" s="111" t="s">
        <v>5153</v>
      </c>
      <c r="N478" s="57">
        <v>1.05</v>
      </c>
      <c r="O478" s="57">
        <v>230</v>
      </c>
      <c r="P478" s="57">
        <v>3.45</v>
      </c>
      <c r="Q478" s="57">
        <v>0.24149999999999999</v>
      </c>
      <c r="R478" s="57">
        <v>0</v>
      </c>
      <c r="S478" s="57">
        <v>22</v>
      </c>
      <c r="T478" s="112">
        <v>25.69</v>
      </c>
    </row>
    <row r="479" spans="1:20" ht="23.4" x14ac:dyDescent="0.25">
      <c r="A479" s="57">
        <v>478</v>
      </c>
      <c r="B479" s="110">
        <v>244035</v>
      </c>
      <c r="C479" s="57" t="s">
        <v>114</v>
      </c>
      <c r="D479" s="57" t="s">
        <v>115</v>
      </c>
      <c r="E479" s="57" t="s">
        <v>116</v>
      </c>
      <c r="F479" s="57" t="s">
        <v>119</v>
      </c>
      <c r="G479" s="57">
        <v>2</v>
      </c>
      <c r="H479" s="57" t="s">
        <v>117</v>
      </c>
      <c r="I479" s="57" t="s">
        <v>5154</v>
      </c>
      <c r="J479" s="57" t="s">
        <v>5155</v>
      </c>
      <c r="K479" s="57" t="s">
        <v>5156</v>
      </c>
      <c r="L479" s="111" t="s">
        <v>5157</v>
      </c>
      <c r="N479" s="57">
        <v>1.8839999999999999</v>
      </c>
      <c r="O479" s="57">
        <v>330</v>
      </c>
      <c r="P479" s="57">
        <v>4.95</v>
      </c>
      <c r="Q479" s="57">
        <v>0.34649999999999997</v>
      </c>
      <c r="R479" s="57">
        <v>0</v>
      </c>
      <c r="S479" s="57">
        <v>22</v>
      </c>
      <c r="T479" s="112">
        <v>27.3</v>
      </c>
    </row>
    <row r="480" spans="1:20" ht="23.4" x14ac:dyDescent="0.25">
      <c r="A480" s="57">
        <v>479</v>
      </c>
      <c r="B480" s="110">
        <v>244035</v>
      </c>
      <c r="C480" s="57" t="s">
        <v>114</v>
      </c>
      <c r="D480" s="57" t="s">
        <v>115</v>
      </c>
      <c r="E480" s="57" t="s">
        <v>116</v>
      </c>
      <c r="F480" s="57" t="s">
        <v>119</v>
      </c>
      <c r="G480" s="57">
        <v>2</v>
      </c>
      <c r="H480" s="57" t="s">
        <v>117</v>
      </c>
      <c r="I480" s="57" t="s">
        <v>5158</v>
      </c>
      <c r="J480" s="57" t="s">
        <v>5159</v>
      </c>
      <c r="K480" s="57" t="s">
        <v>5160</v>
      </c>
      <c r="L480" s="111" t="s">
        <v>5161</v>
      </c>
      <c r="N480" s="57">
        <v>1.6020000000000001</v>
      </c>
      <c r="O480" s="57">
        <v>0</v>
      </c>
      <c r="P480" s="57">
        <v>0</v>
      </c>
      <c r="Q480" s="57">
        <v>0</v>
      </c>
      <c r="R480" s="57">
        <v>0</v>
      </c>
      <c r="S480" s="57">
        <v>22</v>
      </c>
      <c r="T480" s="112">
        <v>22</v>
      </c>
    </row>
    <row r="481" spans="1:20" ht="23.4" x14ac:dyDescent="0.25">
      <c r="A481" s="57">
        <v>480</v>
      </c>
      <c r="B481" s="110">
        <v>244035</v>
      </c>
      <c r="C481" s="57" t="s">
        <v>114</v>
      </c>
      <c r="D481" s="57" t="s">
        <v>115</v>
      </c>
      <c r="E481" s="57" t="s">
        <v>116</v>
      </c>
      <c r="F481" s="57" t="s">
        <v>119</v>
      </c>
      <c r="G481" s="57">
        <v>2</v>
      </c>
      <c r="H481" s="57" t="s">
        <v>117</v>
      </c>
      <c r="I481" s="57" t="s">
        <v>5162</v>
      </c>
      <c r="J481" s="57" t="s">
        <v>5163</v>
      </c>
      <c r="K481" s="57" t="s">
        <v>5164</v>
      </c>
      <c r="L481" s="111" t="s">
        <v>5165</v>
      </c>
      <c r="N481" s="57">
        <v>1.282</v>
      </c>
      <c r="O481" s="57">
        <v>0</v>
      </c>
      <c r="P481" s="57">
        <v>0</v>
      </c>
      <c r="Q481" s="57">
        <v>0</v>
      </c>
      <c r="R481" s="57">
        <v>0</v>
      </c>
      <c r="S481" s="57">
        <v>22</v>
      </c>
      <c r="T481" s="112">
        <v>22</v>
      </c>
    </row>
    <row r="482" spans="1:20" ht="23.4" x14ac:dyDescent="0.25">
      <c r="A482" s="57">
        <v>481</v>
      </c>
      <c r="B482" s="110">
        <v>244036</v>
      </c>
      <c r="C482" s="57" t="s">
        <v>114</v>
      </c>
      <c r="D482" s="57" t="s">
        <v>115</v>
      </c>
      <c r="E482" s="57" t="s">
        <v>116</v>
      </c>
      <c r="F482" s="57" t="s">
        <v>119</v>
      </c>
      <c r="G482" s="57">
        <v>2</v>
      </c>
      <c r="H482" s="57" t="s">
        <v>117</v>
      </c>
      <c r="I482" s="57" t="s">
        <v>5166</v>
      </c>
      <c r="J482" s="57" t="s">
        <v>3086</v>
      </c>
      <c r="K482" s="57" t="s">
        <v>5167</v>
      </c>
      <c r="L482" s="111" t="s">
        <v>3088</v>
      </c>
      <c r="N482" s="57">
        <v>1.27</v>
      </c>
      <c r="O482" s="57">
        <v>209</v>
      </c>
      <c r="P482" s="57">
        <v>3.1349999999999998</v>
      </c>
      <c r="Q482" s="57">
        <v>0.2195</v>
      </c>
      <c r="R482" s="57">
        <v>0</v>
      </c>
      <c r="S482" s="57">
        <v>22</v>
      </c>
      <c r="T482" s="112">
        <v>25.35</v>
      </c>
    </row>
    <row r="483" spans="1:20" ht="23.4" x14ac:dyDescent="0.25">
      <c r="A483" s="57">
        <v>482</v>
      </c>
      <c r="B483" s="110">
        <v>244036</v>
      </c>
      <c r="C483" s="57" t="s">
        <v>114</v>
      </c>
      <c r="D483" s="57" t="s">
        <v>115</v>
      </c>
      <c r="E483" s="57" t="s">
        <v>116</v>
      </c>
      <c r="F483" s="57" t="s">
        <v>119</v>
      </c>
      <c r="G483" s="57">
        <v>2</v>
      </c>
      <c r="H483" s="57" t="s">
        <v>117</v>
      </c>
      <c r="I483" s="57" t="s">
        <v>5168</v>
      </c>
      <c r="J483" s="57" t="s">
        <v>5169</v>
      </c>
      <c r="K483" s="57" t="s">
        <v>5170</v>
      </c>
      <c r="L483" s="111" t="s">
        <v>5171</v>
      </c>
      <c r="N483" s="57">
        <v>16.995000000000001</v>
      </c>
      <c r="O483" s="57">
        <v>0</v>
      </c>
      <c r="P483" s="57">
        <v>0</v>
      </c>
      <c r="Q483" s="57">
        <v>0</v>
      </c>
      <c r="R483" s="57">
        <v>0</v>
      </c>
      <c r="S483" s="57">
        <v>180</v>
      </c>
      <c r="T483" s="112">
        <v>180</v>
      </c>
    </row>
    <row r="484" spans="1:20" ht="23.4" x14ac:dyDescent="0.25">
      <c r="A484" s="57">
        <v>483</v>
      </c>
      <c r="B484" s="110">
        <v>244036</v>
      </c>
      <c r="C484" s="57" t="s">
        <v>114</v>
      </c>
      <c r="D484" s="57" t="s">
        <v>115</v>
      </c>
      <c r="E484" s="57" t="s">
        <v>116</v>
      </c>
      <c r="F484" s="57" t="s">
        <v>119</v>
      </c>
      <c r="G484" s="57">
        <v>2</v>
      </c>
      <c r="H484" s="57" t="s">
        <v>117</v>
      </c>
      <c r="I484" s="57" t="s">
        <v>5172</v>
      </c>
      <c r="J484" s="57" t="s">
        <v>5173</v>
      </c>
      <c r="K484" s="57" t="s">
        <v>5170</v>
      </c>
      <c r="L484" s="111" t="s">
        <v>5171</v>
      </c>
      <c r="N484" s="57">
        <v>16.995000000000001</v>
      </c>
      <c r="O484" s="57">
        <v>0</v>
      </c>
      <c r="P484" s="57">
        <v>0</v>
      </c>
      <c r="Q484" s="57">
        <v>0</v>
      </c>
      <c r="R484" s="57">
        <v>0</v>
      </c>
      <c r="S484" s="57">
        <v>180</v>
      </c>
      <c r="T484" s="112">
        <v>180</v>
      </c>
    </row>
    <row r="485" spans="1:20" ht="23.4" x14ac:dyDescent="0.25">
      <c r="A485" s="57">
        <v>484</v>
      </c>
      <c r="B485" s="110">
        <v>244036</v>
      </c>
      <c r="C485" s="57" t="s">
        <v>114</v>
      </c>
      <c r="D485" s="57" t="s">
        <v>115</v>
      </c>
      <c r="E485" s="57" t="s">
        <v>116</v>
      </c>
      <c r="F485" s="57" t="s">
        <v>119</v>
      </c>
      <c r="G485" s="57">
        <v>2</v>
      </c>
      <c r="H485" s="57" t="s">
        <v>117</v>
      </c>
      <c r="I485" s="57" t="s">
        <v>5174</v>
      </c>
      <c r="J485" s="57" t="s">
        <v>5175</v>
      </c>
      <c r="K485" s="57" t="s">
        <v>5176</v>
      </c>
      <c r="L485" s="111" t="s">
        <v>5177</v>
      </c>
      <c r="N485" s="57">
        <v>2.4079999999999999</v>
      </c>
      <c r="O485" s="57">
        <v>388</v>
      </c>
      <c r="P485" s="57">
        <v>5.82</v>
      </c>
      <c r="Q485" s="57">
        <v>0.40739999999999998</v>
      </c>
      <c r="R485" s="57">
        <v>0</v>
      </c>
      <c r="S485" s="57">
        <v>33</v>
      </c>
      <c r="T485" s="112">
        <v>39.229999999999997</v>
      </c>
    </row>
    <row r="486" spans="1:20" ht="23.4" x14ac:dyDescent="0.25">
      <c r="A486" s="57">
        <v>485</v>
      </c>
      <c r="B486" s="110">
        <v>244036</v>
      </c>
      <c r="C486" s="57" t="s">
        <v>114</v>
      </c>
      <c r="D486" s="57" t="s">
        <v>115</v>
      </c>
      <c r="E486" s="57" t="s">
        <v>116</v>
      </c>
      <c r="F486" s="57" t="s">
        <v>119</v>
      </c>
      <c r="G486" s="57">
        <v>2</v>
      </c>
      <c r="H486" s="57" t="s">
        <v>117</v>
      </c>
      <c r="I486" s="57" t="s">
        <v>5178</v>
      </c>
      <c r="J486" s="57" t="s">
        <v>1287</v>
      </c>
      <c r="K486" s="57" t="s">
        <v>1288</v>
      </c>
      <c r="L486" s="111" t="s">
        <v>2765</v>
      </c>
      <c r="N486" s="57">
        <v>1.274</v>
      </c>
      <c r="O486" s="57">
        <v>209</v>
      </c>
      <c r="P486" s="57">
        <v>3.1349999999999998</v>
      </c>
      <c r="Q486" s="57">
        <v>0.2195</v>
      </c>
      <c r="R486" s="57">
        <v>0</v>
      </c>
      <c r="S486" s="57">
        <v>22</v>
      </c>
      <c r="T486" s="112">
        <v>25.35</v>
      </c>
    </row>
    <row r="487" spans="1:20" ht="23.4" x14ac:dyDescent="0.25">
      <c r="A487" s="57">
        <v>486</v>
      </c>
      <c r="B487" s="110">
        <v>244036</v>
      </c>
      <c r="C487" s="57" t="s">
        <v>114</v>
      </c>
      <c r="D487" s="57" t="s">
        <v>115</v>
      </c>
      <c r="E487" s="57" t="s">
        <v>116</v>
      </c>
      <c r="F487" s="57" t="s">
        <v>119</v>
      </c>
      <c r="G487" s="57">
        <v>2</v>
      </c>
      <c r="H487" s="57" t="s">
        <v>117</v>
      </c>
      <c r="I487" s="57" t="s">
        <v>5179</v>
      </c>
      <c r="J487" s="57" t="s">
        <v>3337</v>
      </c>
      <c r="K487" s="57" t="s">
        <v>3338</v>
      </c>
      <c r="L487" s="111" t="s">
        <v>3339</v>
      </c>
      <c r="N487" s="57">
        <v>1.262</v>
      </c>
      <c r="O487" s="57">
        <v>0</v>
      </c>
      <c r="P487" s="57">
        <v>0</v>
      </c>
      <c r="Q487" s="57">
        <v>0</v>
      </c>
      <c r="R487" s="57">
        <v>0</v>
      </c>
      <c r="S487" s="57">
        <v>22</v>
      </c>
      <c r="T487" s="112">
        <v>22</v>
      </c>
    </row>
    <row r="488" spans="1:20" ht="23.4" x14ac:dyDescent="0.25">
      <c r="A488" s="57">
        <v>487</v>
      </c>
      <c r="B488" s="110">
        <v>244036</v>
      </c>
      <c r="C488" s="57" t="s">
        <v>114</v>
      </c>
      <c r="D488" s="57" t="s">
        <v>115</v>
      </c>
      <c r="E488" s="57" t="s">
        <v>116</v>
      </c>
      <c r="F488" s="57" t="s">
        <v>119</v>
      </c>
      <c r="G488" s="57">
        <v>2</v>
      </c>
      <c r="H488" s="57" t="s">
        <v>117</v>
      </c>
      <c r="I488" s="57" t="s">
        <v>5180</v>
      </c>
      <c r="J488" s="57" t="s">
        <v>5181</v>
      </c>
      <c r="K488" s="57" t="s">
        <v>5182</v>
      </c>
      <c r="L488" s="111" t="s">
        <v>5183</v>
      </c>
      <c r="N488" s="57">
        <v>1.224</v>
      </c>
      <c r="O488" s="57">
        <v>0</v>
      </c>
      <c r="P488" s="57">
        <v>0</v>
      </c>
      <c r="Q488" s="57">
        <v>0</v>
      </c>
      <c r="R488" s="57">
        <v>0</v>
      </c>
      <c r="S488" s="57">
        <v>22</v>
      </c>
      <c r="T488" s="112">
        <v>22</v>
      </c>
    </row>
    <row r="489" spans="1:20" ht="23.4" x14ac:dyDescent="0.25">
      <c r="A489" s="57">
        <v>488</v>
      </c>
      <c r="B489" s="110">
        <v>244036</v>
      </c>
      <c r="C489" s="57" t="s">
        <v>114</v>
      </c>
      <c r="D489" s="57" t="s">
        <v>115</v>
      </c>
      <c r="E489" s="57" t="s">
        <v>116</v>
      </c>
      <c r="F489" s="57" t="s">
        <v>119</v>
      </c>
      <c r="G489" s="57">
        <v>2</v>
      </c>
      <c r="H489" s="57" t="s">
        <v>117</v>
      </c>
      <c r="I489" s="57" t="s">
        <v>5184</v>
      </c>
      <c r="J489" s="57" t="s">
        <v>5185</v>
      </c>
      <c r="K489" s="57" t="s">
        <v>5186</v>
      </c>
      <c r="L489" s="111" t="s">
        <v>5187</v>
      </c>
      <c r="N489" s="57">
        <v>1.272</v>
      </c>
      <c r="O489" s="57">
        <v>230</v>
      </c>
      <c r="P489" s="57">
        <v>3.45</v>
      </c>
      <c r="Q489" s="57">
        <v>0.24149999999999999</v>
      </c>
      <c r="R489" s="57">
        <v>0</v>
      </c>
      <c r="S489" s="57">
        <v>22</v>
      </c>
      <c r="T489" s="112">
        <v>25.69</v>
      </c>
    </row>
    <row r="490" spans="1:20" ht="23.4" x14ac:dyDescent="0.25">
      <c r="A490" s="57">
        <v>489</v>
      </c>
      <c r="B490" s="110">
        <v>244036</v>
      </c>
      <c r="C490" s="57" t="s">
        <v>114</v>
      </c>
      <c r="D490" s="57" t="s">
        <v>115</v>
      </c>
      <c r="E490" s="57" t="s">
        <v>116</v>
      </c>
      <c r="F490" s="57" t="s">
        <v>119</v>
      </c>
      <c r="G490" s="57">
        <v>2</v>
      </c>
      <c r="H490" s="57" t="s">
        <v>117</v>
      </c>
      <c r="I490" s="57" t="s">
        <v>5188</v>
      </c>
      <c r="J490" s="57" t="s">
        <v>5189</v>
      </c>
      <c r="K490" s="57" t="s">
        <v>5190</v>
      </c>
      <c r="L490" s="111" t="s">
        <v>5191</v>
      </c>
      <c r="N490" s="57">
        <v>0.82599999999999996</v>
      </c>
      <c r="O490" s="57">
        <v>150</v>
      </c>
      <c r="P490" s="57">
        <v>2.25</v>
      </c>
      <c r="Q490" s="57">
        <v>0.1575</v>
      </c>
      <c r="R490" s="57">
        <v>0</v>
      </c>
      <c r="S490" s="57">
        <v>17</v>
      </c>
      <c r="T490" s="112">
        <v>19.41</v>
      </c>
    </row>
    <row r="491" spans="1:20" ht="23.4" x14ac:dyDescent="0.25">
      <c r="A491" s="57">
        <v>490</v>
      </c>
      <c r="B491" s="110">
        <v>244036</v>
      </c>
      <c r="C491" s="57" t="s">
        <v>114</v>
      </c>
      <c r="D491" s="57" t="s">
        <v>115</v>
      </c>
      <c r="E491" s="57" t="s">
        <v>116</v>
      </c>
      <c r="F491" s="57" t="s">
        <v>119</v>
      </c>
      <c r="G491" s="57">
        <v>2</v>
      </c>
      <c r="H491" s="57" t="s">
        <v>117</v>
      </c>
      <c r="I491" s="57" t="s">
        <v>5192</v>
      </c>
      <c r="J491" s="57" t="s">
        <v>5193</v>
      </c>
      <c r="K491" s="57" t="s">
        <v>5194</v>
      </c>
      <c r="L491" s="111" t="s">
        <v>5195</v>
      </c>
      <c r="N491" s="57">
        <v>1.786</v>
      </c>
      <c r="O491" s="57">
        <v>309</v>
      </c>
      <c r="P491" s="57">
        <v>4.6349999999999998</v>
      </c>
      <c r="Q491" s="57">
        <v>0.32450000000000001</v>
      </c>
      <c r="R491" s="57">
        <v>0</v>
      </c>
      <c r="S491" s="57">
        <v>22</v>
      </c>
      <c r="T491" s="112">
        <v>26.96</v>
      </c>
    </row>
    <row r="492" spans="1:20" ht="23.4" x14ac:dyDescent="0.25">
      <c r="A492" s="57">
        <v>491</v>
      </c>
      <c r="B492" s="110">
        <v>244036</v>
      </c>
      <c r="C492" s="57" t="s">
        <v>114</v>
      </c>
      <c r="D492" s="57" t="s">
        <v>115</v>
      </c>
      <c r="E492" s="57" t="s">
        <v>116</v>
      </c>
      <c r="F492" s="57" t="s">
        <v>119</v>
      </c>
      <c r="G492" s="57">
        <v>2</v>
      </c>
      <c r="H492" s="57" t="s">
        <v>117</v>
      </c>
      <c r="I492" s="57" t="s">
        <v>5196</v>
      </c>
      <c r="J492" s="57" t="s">
        <v>5197</v>
      </c>
      <c r="K492" s="57" t="s">
        <v>5198</v>
      </c>
      <c r="L492" s="111" t="s">
        <v>5199</v>
      </c>
      <c r="N492" s="57">
        <v>1.27</v>
      </c>
      <c r="O492" s="57">
        <v>0</v>
      </c>
      <c r="P492" s="57">
        <v>0</v>
      </c>
      <c r="Q492" s="57">
        <v>0</v>
      </c>
      <c r="R492" s="57">
        <v>0</v>
      </c>
      <c r="S492" s="57">
        <v>22</v>
      </c>
      <c r="T492" s="112">
        <v>22</v>
      </c>
    </row>
    <row r="493" spans="1:20" ht="23.4" x14ac:dyDescent="0.25">
      <c r="A493" s="57">
        <v>492</v>
      </c>
      <c r="B493" s="110">
        <v>244036</v>
      </c>
      <c r="C493" s="57" t="s">
        <v>114</v>
      </c>
      <c r="D493" s="57" t="s">
        <v>115</v>
      </c>
      <c r="E493" s="57" t="s">
        <v>116</v>
      </c>
      <c r="F493" s="57" t="s">
        <v>119</v>
      </c>
      <c r="G493" s="57">
        <v>2</v>
      </c>
      <c r="H493" s="57" t="s">
        <v>117</v>
      </c>
      <c r="I493" s="57" t="s">
        <v>5200</v>
      </c>
      <c r="J493" s="57" t="s">
        <v>5201</v>
      </c>
      <c r="K493" s="57" t="s">
        <v>5202</v>
      </c>
      <c r="L493" s="111" t="s">
        <v>5203</v>
      </c>
      <c r="N493" s="57">
        <v>1.24</v>
      </c>
      <c r="O493" s="57">
        <v>0</v>
      </c>
      <c r="P493" s="57">
        <v>0</v>
      </c>
      <c r="Q493" s="57">
        <v>0</v>
      </c>
      <c r="R493" s="57">
        <v>0</v>
      </c>
      <c r="S493" s="57">
        <v>22</v>
      </c>
      <c r="T493" s="112">
        <v>22</v>
      </c>
    </row>
    <row r="494" spans="1:20" ht="23.4" x14ac:dyDescent="0.25">
      <c r="A494" s="57">
        <v>493</v>
      </c>
      <c r="B494" s="110">
        <v>244036</v>
      </c>
      <c r="C494" s="57" t="s">
        <v>114</v>
      </c>
      <c r="D494" s="57" t="s">
        <v>115</v>
      </c>
      <c r="E494" s="57" t="s">
        <v>116</v>
      </c>
      <c r="F494" s="57" t="s">
        <v>119</v>
      </c>
      <c r="G494" s="57">
        <v>2</v>
      </c>
      <c r="H494" s="57" t="s">
        <v>117</v>
      </c>
      <c r="I494" s="57" t="s">
        <v>5204</v>
      </c>
      <c r="J494" s="57" t="s">
        <v>169</v>
      </c>
      <c r="K494" s="57" t="s">
        <v>131</v>
      </c>
      <c r="L494" s="111" t="s">
        <v>170</v>
      </c>
      <c r="N494" s="57">
        <v>1.26</v>
      </c>
      <c r="O494" s="57">
        <v>0</v>
      </c>
      <c r="P494" s="57">
        <v>0</v>
      </c>
      <c r="Q494" s="57">
        <v>0</v>
      </c>
      <c r="R494" s="57">
        <v>0</v>
      </c>
      <c r="S494" s="57">
        <v>22</v>
      </c>
      <c r="T494" s="112">
        <v>22</v>
      </c>
    </row>
    <row r="495" spans="1:20" ht="23.4" x14ac:dyDescent="0.25">
      <c r="A495" s="57">
        <v>494</v>
      </c>
      <c r="B495" s="110">
        <v>244036</v>
      </c>
      <c r="C495" s="57" t="s">
        <v>114</v>
      </c>
      <c r="D495" s="57" t="s">
        <v>115</v>
      </c>
      <c r="E495" s="57" t="s">
        <v>116</v>
      </c>
      <c r="F495" s="57" t="s">
        <v>119</v>
      </c>
      <c r="G495" s="57">
        <v>2</v>
      </c>
      <c r="H495" s="57" t="s">
        <v>117</v>
      </c>
      <c r="I495" s="57" t="s">
        <v>5205</v>
      </c>
      <c r="J495" s="57" t="s">
        <v>5206</v>
      </c>
      <c r="K495" s="57" t="s">
        <v>5207</v>
      </c>
      <c r="L495" s="111" t="s">
        <v>5208</v>
      </c>
      <c r="N495" s="57">
        <v>1.264</v>
      </c>
      <c r="O495" s="57">
        <v>0</v>
      </c>
      <c r="P495" s="57">
        <v>0</v>
      </c>
      <c r="Q495" s="57">
        <v>0</v>
      </c>
      <c r="R495" s="57">
        <v>0</v>
      </c>
      <c r="S495" s="57">
        <v>22</v>
      </c>
      <c r="T495" s="112">
        <v>22</v>
      </c>
    </row>
    <row r="496" spans="1:20" ht="23.4" x14ac:dyDescent="0.25">
      <c r="A496" s="57">
        <v>495</v>
      </c>
      <c r="B496" s="110">
        <v>244036</v>
      </c>
      <c r="C496" s="57" t="s">
        <v>114</v>
      </c>
      <c r="D496" s="57" t="s">
        <v>115</v>
      </c>
      <c r="E496" s="57" t="s">
        <v>116</v>
      </c>
      <c r="F496" s="57" t="s">
        <v>119</v>
      </c>
      <c r="G496" s="57">
        <v>2</v>
      </c>
      <c r="H496" s="57" t="s">
        <v>117</v>
      </c>
      <c r="I496" s="57" t="s">
        <v>5209</v>
      </c>
      <c r="J496" s="57" t="s">
        <v>5210</v>
      </c>
      <c r="K496" s="57" t="s">
        <v>5211</v>
      </c>
      <c r="L496" s="111" t="s">
        <v>5212</v>
      </c>
      <c r="N496" s="57">
        <v>1.268</v>
      </c>
      <c r="O496" s="57">
        <v>0</v>
      </c>
      <c r="P496" s="57">
        <v>0</v>
      </c>
      <c r="Q496" s="57">
        <v>0</v>
      </c>
      <c r="R496" s="57">
        <v>0</v>
      </c>
      <c r="S496" s="57">
        <v>22</v>
      </c>
      <c r="T496" s="112">
        <v>22</v>
      </c>
    </row>
    <row r="497" spans="1:20" ht="23.4" x14ac:dyDescent="0.25">
      <c r="A497" s="57">
        <v>496</v>
      </c>
      <c r="B497" s="110">
        <v>244036</v>
      </c>
      <c r="C497" s="57" t="s">
        <v>114</v>
      </c>
      <c r="D497" s="57" t="s">
        <v>115</v>
      </c>
      <c r="E497" s="57" t="s">
        <v>116</v>
      </c>
      <c r="F497" s="57" t="s">
        <v>119</v>
      </c>
      <c r="G497" s="57">
        <v>2</v>
      </c>
      <c r="H497" s="57" t="s">
        <v>117</v>
      </c>
      <c r="I497" s="57" t="s">
        <v>5213</v>
      </c>
      <c r="J497" s="57" t="s">
        <v>1582</v>
      </c>
      <c r="K497" s="57" t="s">
        <v>1583</v>
      </c>
      <c r="L497" s="111" t="s">
        <v>5214</v>
      </c>
      <c r="N497" s="57">
        <v>0.71599999999999997</v>
      </c>
      <c r="O497" s="57">
        <v>189</v>
      </c>
      <c r="P497" s="57">
        <v>2.835</v>
      </c>
      <c r="Q497" s="57">
        <v>0.19850000000000001</v>
      </c>
      <c r="R497" s="57">
        <v>0</v>
      </c>
      <c r="S497" s="57">
        <v>17</v>
      </c>
      <c r="T497" s="112">
        <v>20.03</v>
      </c>
    </row>
    <row r="498" spans="1:20" ht="23.4" x14ac:dyDescent="0.25">
      <c r="A498" s="57">
        <v>497</v>
      </c>
      <c r="B498" s="110">
        <v>244036</v>
      </c>
      <c r="C498" s="57" t="s">
        <v>114</v>
      </c>
      <c r="D498" s="57" t="s">
        <v>115</v>
      </c>
      <c r="E498" s="57" t="s">
        <v>116</v>
      </c>
      <c r="F498" s="57" t="s">
        <v>119</v>
      </c>
      <c r="G498" s="57">
        <v>2</v>
      </c>
      <c r="H498" s="57" t="s">
        <v>117</v>
      </c>
      <c r="I498" s="57" t="s">
        <v>5215</v>
      </c>
      <c r="J498" s="57" t="s">
        <v>5216</v>
      </c>
      <c r="K498" s="57" t="s">
        <v>5217</v>
      </c>
      <c r="L498" s="111" t="s">
        <v>5218</v>
      </c>
      <c r="N498" s="57">
        <v>1.9019999999999999</v>
      </c>
      <c r="O498" s="57">
        <v>330</v>
      </c>
      <c r="P498" s="57">
        <v>4.95</v>
      </c>
      <c r="Q498" s="57">
        <v>0.34649999999999997</v>
      </c>
      <c r="R498" s="57">
        <v>0</v>
      </c>
      <c r="S498" s="57">
        <v>22</v>
      </c>
      <c r="T498" s="112">
        <v>27.3</v>
      </c>
    </row>
    <row r="499" spans="1:20" ht="23.4" x14ac:dyDescent="0.25">
      <c r="A499" s="57">
        <v>498</v>
      </c>
      <c r="B499" s="110">
        <v>244036</v>
      </c>
      <c r="C499" s="57" t="s">
        <v>114</v>
      </c>
      <c r="D499" s="57" t="s">
        <v>115</v>
      </c>
      <c r="E499" s="57" t="s">
        <v>116</v>
      </c>
      <c r="F499" s="57" t="s">
        <v>119</v>
      </c>
      <c r="G499" s="57">
        <v>2</v>
      </c>
      <c r="H499" s="57" t="s">
        <v>117</v>
      </c>
      <c r="I499" s="57" t="s">
        <v>5219</v>
      </c>
      <c r="J499" s="57" t="s">
        <v>5220</v>
      </c>
      <c r="K499" s="57" t="s">
        <v>5221</v>
      </c>
      <c r="L499" s="111" t="s">
        <v>5222</v>
      </c>
      <c r="N499" s="57">
        <v>0.89600000000000002</v>
      </c>
      <c r="O499" s="57">
        <v>150</v>
      </c>
      <c r="P499" s="57">
        <v>2.25</v>
      </c>
      <c r="Q499" s="57">
        <v>0.1575</v>
      </c>
      <c r="R499" s="57">
        <v>0</v>
      </c>
      <c r="S499" s="57">
        <v>17</v>
      </c>
      <c r="T499" s="112">
        <v>19.41</v>
      </c>
    </row>
    <row r="500" spans="1:20" ht="23.4" x14ac:dyDescent="0.25">
      <c r="A500" s="57">
        <v>499</v>
      </c>
      <c r="B500" s="110">
        <v>244036</v>
      </c>
      <c r="C500" s="57" t="s">
        <v>114</v>
      </c>
      <c r="D500" s="57" t="s">
        <v>115</v>
      </c>
      <c r="E500" s="57" t="s">
        <v>116</v>
      </c>
      <c r="F500" s="57" t="s">
        <v>119</v>
      </c>
      <c r="G500" s="57">
        <v>2</v>
      </c>
      <c r="H500" s="57" t="s">
        <v>117</v>
      </c>
      <c r="I500" s="57" t="s">
        <v>5223</v>
      </c>
      <c r="J500" s="57" t="s">
        <v>5224</v>
      </c>
      <c r="K500" s="57" t="s">
        <v>5225</v>
      </c>
      <c r="L500" s="111" t="s">
        <v>5226</v>
      </c>
      <c r="N500" s="57">
        <v>0.67200000000000004</v>
      </c>
      <c r="O500" s="57">
        <v>130</v>
      </c>
      <c r="P500" s="57">
        <v>1.95</v>
      </c>
      <c r="Q500" s="57">
        <v>0.13650000000000001</v>
      </c>
      <c r="R500" s="57">
        <v>0</v>
      </c>
      <c r="S500" s="57">
        <v>17</v>
      </c>
      <c r="T500" s="112">
        <v>19.09</v>
      </c>
    </row>
    <row r="501" spans="1:20" ht="23.4" x14ac:dyDescent="0.25">
      <c r="A501" s="57">
        <v>500</v>
      </c>
      <c r="B501" s="110">
        <v>244036</v>
      </c>
      <c r="C501" s="57" t="s">
        <v>114</v>
      </c>
      <c r="D501" s="57" t="s">
        <v>115</v>
      </c>
      <c r="E501" s="57" t="s">
        <v>116</v>
      </c>
      <c r="F501" s="57" t="s">
        <v>119</v>
      </c>
      <c r="G501" s="57">
        <v>2</v>
      </c>
      <c r="H501" s="57" t="s">
        <v>117</v>
      </c>
      <c r="I501" s="57" t="s">
        <v>5227</v>
      </c>
      <c r="J501" s="57" t="s">
        <v>4533</v>
      </c>
      <c r="K501" s="57" t="s">
        <v>4534</v>
      </c>
      <c r="L501" s="111" t="s">
        <v>4535</v>
      </c>
      <c r="N501" s="57">
        <v>1.27</v>
      </c>
      <c r="O501" s="57">
        <v>0</v>
      </c>
      <c r="P501" s="57">
        <v>0</v>
      </c>
      <c r="Q501" s="57">
        <v>0</v>
      </c>
      <c r="R501" s="57">
        <v>15</v>
      </c>
      <c r="S501" s="57">
        <v>37</v>
      </c>
      <c r="T501" s="112">
        <v>37</v>
      </c>
    </row>
    <row r="502" spans="1:20" ht="23.4" x14ac:dyDescent="0.25">
      <c r="A502" s="57">
        <v>501</v>
      </c>
      <c r="B502" s="110">
        <v>244036</v>
      </c>
      <c r="C502" s="57" t="s">
        <v>114</v>
      </c>
      <c r="D502" s="57" t="s">
        <v>115</v>
      </c>
      <c r="E502" s="57" t="s">
        <v>116</v>
      </c>
      <c r="F502" s="57" t="s">
        <v>119</v>
      </c>
      <c r="G502" s="57">
        <v>2</v>
      </c>
      <c r="H502" s="57" t="s">
        <v>117</v>
      </c>
      <c r="I502" s="57" t="s">
        <v>5228</v>
      </c>
      <c r="J502" s="57" t="s">
        <v>5229</v>
      </c>
      <c r="K502" s="57" t="s">
        <v>5230</v>
      </c>
      <c r="L502" s="111" t="s">
        <v>5231</v>
      </c>
      <c r="N502" s="57">
        <v>2.7080000000000002</v>
      </c>
      <c r="O502" s="57">
        <v>0</v>
      </c>
      <c r="P502" s="57">
        <v>0</v>
      </c>
      <c r="Q502" s="57">
        <v>0</v>
      </c>
      <c r="R502" s="57">
        <v>0</v>
      </c>
      <c r="S502" s="57">
        <v>33</v>
      </c>
      <c r="T502" s="112">
        <v>33</v>
      </c>
    </row>
    <row r="503" spans="1:20" ht="23.4" x14ac:dyDescent="0.25">
      <c r="A503" s="57">
        <v>502</v>
      </c>
      <c r="B503" s="110">
        <v>244036</v>
      </c>
      <c r="C503" s="57" t="s">
        <v>114</v>
      </c>
      <c r="D503" s="57" t="s">
        <v>115</v>
      </c>
      <c r="E503" s="57" t="s">
        <v>116</v>
      </c>
      <c r="F503" s="57" t="s">
        <v>119</v>
      </c>
      <c r="G503" s="57">
        <v>2</v>
      </c>
      <c r="H503" s="57" t="s">
        <v>117</v>
      </c>
      <c r="I503" s="57" t="s">
        <v>5232</v>
      </c>
      <c r="J503" s="57" t="s">
        <v>5233</v>
      </c>
      <c r="K503" s="57" t="s">
        <v>5234</v>
      </c>
      <c r="L503" s="111" t="s">
        <v>5235</v>
      </c>
      <c r="N503" s="57">
        <v>2.464</v>
      </c>
      <c r="O503" s="57">
        <v>430</v>
      </c>
      <c r="P503" s="57">
        <v>6.45</v>
      </c>
      <c r="Q503" s="57">
        <v>0.45150000000000001</v>
      </c>
      <c r="R503" s="57">
        <v>0</v>
      </c>
      <c r="S503" s="57">
        <v>33</v>
      </c>
      <c r="T503" s="112">
        <v>39.9</v>
      </c>
    </row>
    <row r="504" spans="1:20" ht="23.4" x14ac:dyDescent="0.25">
      <c r="A504" s="57">
        <v>503</v>
      </c>
      <c r="B504" s="110">
        <v>244036</v>
      </c>
      <c r="C504" s="57" t="s">
        <v>114</v>
      </c>
      <c r="D504" s="57" t="s">
        <v>115</v>
      </c>
      <c r="E504" s="57" t="s">
        <v>116</v>
      </c>
      <c r="F504" s="57" t="s">
        <v>119</v>
      </c>
      <c r="G504" s="57">
        <v>2</v>
      </c>
      <c r="H504" s="57" t="s">
        <v>117</v>
      </c>
      <c r="I504" s="57" t="s">
        <v>5236</v>
      </c>
      <c r="J504" s="57" t="s">
        <v>5237</v>
      </c>
      <c r="K504" s="57" t="s">
        <v>5238</v>
      </c>
      <c r="L504" s="111" t="s">
        <v>5239</v>
      </c>
      <c r="N504" s="57">
        <v>0.67600000000000005</v>
      </c>
      <c r="O504" s="57">
        <v>0</v>
      </c>
      <c r="P504" s="57">
        <v>0</v>
      </c>
      <c r="Q504" s="57">
        <v>0</v>
      </c>
      <c r="R504" s="57">
        <v>0</v>
      </c>
      <c r="S504" s="57">
        <v>17</v>
      </c>
      <c r="T504" s="112">
        <v>17</v>
      </c>
    </row>
    <row r="505" spans="1:20" ht="23.4" x14ac:dyDescent="0.25">
      <c r="A505" s="57">
        <v>504</v>
      </c>
      <c r="B505" s="110">
        <v>244036</v>
      </c>
      <c r="C505" s="57" t="s">
        <v>114</v>
      </c>
      <c r="D505" s="57" t="s">
        <v>115</v>
      </c>
      <c r="E505" s="57" t="s">
        <v>116</v>
      </c>
      <c r="F505" s="57" t="s">
        <v>119</v>
      </c>
      <c r="G505" s="57">
        <v>2</v>
      </c>
      <c r="H505" s="57" t="s">
        <v>117</v>
      </c>
      <c r="I505" s="57" t="s">
        <v>5240</v>
      </c>
      <c r="J505" s="57" t="s">
        <v>5241</v>
      </c>
      <c r="K505" s="57" t="s">
        <v>5242</v>
      </c>
      <c r="L505" s="111" t="s">
        <v>5243</v>
      </c>
      <c r="N505" s="57">
        <v>1.266</v>
      </c>
      <c r="O505" s="57">
        <v>0</v>
      </c>
      <c r="P505" s="57">
        <v>0</v>
      </c>
      <c r="Q505" s="57">
        <v>0</v>
      </c>
      <c r="R505" s="57">
        <v>0</v>
      </c>
      <c r="S505" s="57">
        <v>22</v>
      </c>
      <c r="T505" s="112">
        <v>22</v>
      </c>
    </row>
    <row r="506" spans="1:20" ht="23.4" x14ac:dyDescent="0.25">
      <c r="A506" s="57">
        <v>505</v>
      </c>
      <c r="B506" s="110">
        <v>244036</v>
      </c>
      <c r="C506" s="57" t="s">
        <v>114</v>
      </c>
      <c r="D506" s="57" t="s">
        <v>115</v>
      </c>
      <c r="E506" s="57" t="s">
        <v>116</v>
      </c>
      <c r="F506" s="57" t="s">
        <v>119</v>
      </c>
      <c r="G506" s="57">
        <v>2</v>
      </c>
      <c r="H506" s="57" t="s">
        <v>117</v>
      </c>
      <c r="I506" s="57" t="s">
        <v>5244</v>
      </c>
      <c r="J506" s="57" t="s">
        <v>5245</v>
      </c>
      <c r="K506" s="57" t="s">
        <v>5246</v>
      </c>
      <c r="L506" s="111" t="s">
        <v>5247</v>
      </c>
      <c r="N506" s="57">
        <v>0.74399999999999999</v>
      </c>
      <c r="O506" s="57">
        <v>0</v>
      </c>
      <c r="P506" s="57">
        <v>0</v>
      </c>
      <c r="Q506" s="57">
        <v>0</v>
      </c>
      <c r="R506" s="57">
        <v>0</v>
      </c>
      <c r="S506" s="57">
        <v>17</v>
      </c>
      <c r="T506" s="112">
        <v>17</v>
      </c>
    </row>
    <row r="507" spans="1:20" ht="23.4" x14ac:dyDescent="0.25">
      <c r="A507" s="57">
        <v>506</v>
      </c>
      <c r="B507" s="110">
        <v>244036</v>
      </c>
      <c r="C507" s="57" t="s">
        <v>114</v>
      </c>
      <c r="D507" s="57" t="s">
        <v>115</v>
      </c>
      <c r="E507" s="57" t="s">
        <v>116</v>
      </c>
      <c r="F507" s="57" t="s">
        <v>119</v>
      </c>
      <c r="G507" s="57">
        <v>2</v>
      </c>
      <c r="H507" s="57" t="s">
        <v>117</v>
      </c>
      <c r="I507" s="57" t="s">
        <v>5248</v>
      </c>
      <c r="J507" s="57" t="s">
        <v>4970</v>
      </c>
      <c r="K507" s="57" t="s">
        <v>4971</v>
      </c>
      <c r="L507" s="111" t="s">
        <v>4972</v>
      </c>
      <c r="N507" s="57">
        <v>1.478</v>
      </c>
      <c r="O507" s="57">
        <v>348</v>
      </c>
      <c r="P507" s="57">
        <v>5.22</v>
      </c>
      <c r="Q507" s="57">
        <v>0.3654</v>
      </c>
      <c r="R507" s="57">
        <v>0</v>
      </c>
      <c r="S507" s="57">
        <v>22</v>
      </c>
      <c r="T507" s="112">
        <v>27.59</v>
      </c>
    </row>
    <row r="508" spans="1:20" ht="23.4" x14ac:dyDescent="0.25">
      <c r="A508" s="57">
        <v>507</v>
      </c>
      <c r="B508" s="110">
        <v>244036</v>
      </c>
      <c r="C508" s="57" t="s">
        <v>114</v>
      </c>
      <c r="D508" s="57" t="s">
        <v>115</v>
      </c>
      <c r="E508" s="57" t="s">
        <v>116</v>
      </c>
      <c r="F508" s="57" t="s">
        <v>119</v>
      </c>
      <c r="G508" s="57">
        <v>2</v>
      </c>
      <c r="H508" s="57" t="s">
        <v>117</v>
      </c>
      <c r="I508" s="57" t="s">
        <v>5249</v>
      </c>
      <c r="J508" s="57" t="s">
        <v>5250</v>
      </c>
      <c r="K508" s="57" t="s">
        <v>5251</v>
      </c>
      <c r="L508" s="111" t="s">
        <v>5252</v>
      </c>
      <c r="N508" s="57">
        <v>0.67</v>
      </c>
      <c r="O508" s="57">
        <v>130</v>
      </c>
      <c r="P508" s="57">
        <v>1.95</v>
      </c>
      <c r="Q508" s="57">
        <v>0.13650000000000001</v>
      </c>
      <c r="R508" s="57">
        <v>0</v>
      </c>
      <c r="S508" s="57">
        <v>17</v>
      </c>
      <c r="T508" s="112">
        <v>19.09</v>
      </c>
    </row>
    <row r="509" spans="1:20" ht="23.4" x14ac:dyDescent="0.25">
      <c r="A509" s="57">
        <v>508</v>
      </c>
      <c r="B509" s="110">
        <v>244036</v>
      </c>
      <c r="C509" s="57" t="s">
        <v>114</v>
      </c>
      <c r="D509" s="57" t="s">
        <v>115</v>
      </c>
      <c r="E509" s="57" t="s">
        <v>116</v>
      </c>
      <c r="F509" s="57" t="s">
        <v>119</v>
      </c>
      <c r="G509" s="57">
        <v>2</v>
      </c>
      <c r="H509" s="57" t="s">
        <v>117</v>
      </c>
      <c r="I509" s="57" t="s">
        <v>5253</v>
      </c>
      <c r="J509" s="57" t="s">
        <v>2298</v>
      </c>
      <c r="K509" s="57" t="s">
        <v>2299</v>
      </c>
      <c r="L509" s="111" t="s">
        <v>2300</v>
      </c>
      <c r="N509" s="57">
        <v>0.746</v>
      </c>
      <c r="O509" s="57">
        <v>189</v>
      </c>
      <c r="P509" s="57">
        <v>2.835</v>
      </c>
      <c r="Q509" s="57">
        <v>0.19850000000000001</v>
      </c>
      <c r="R509" s="57">
        <v>0</v>
      </c>
      <c r="S509" s="57">
        <v>17</v>
      </c>
      <c r="T509" s="112">
        <v>20.03</v>
      </c>
    </row>
    <row r="510" spans="1:20" ht="23.4" x14ac:dyDescent="0.25">
      <c r="A510" s="57">
        <v>509</v>
      </c>
      <c r="B510" s="110">
        <v>244036</v>
      </c>
      <c r="C510" s="57" t="s">
        <v>114</v>
      </c>
      <c r="D510" s="57" t="s">
        <v>115</v>
      </c>
      <c r="E510" s="57" t="s">
        <v>116</v>
      </c>
      <c r="F510" s="57" t="s">
        <v>119</v>
      </c>
      <c r="G510" s="57">
        <v>2</v>
      </c>
      <c r="H510" s="57" t="s">
        <v>117</v>
      </c>
      <c r="I510" s="57" t="s">
        <v>5254</v>
      </c>
      <c r="J510" s="57" t="s">
        <v>4262</v>
      </c>
      <c r="K510" s="57" t="s">
        <v>4263</v>
      </c>
      <c r="L510" s="111" t="s">
        <v>4264</v>
      </c>
      <c r="N510" s="57">
        <v>1.3540000000000001</v>
      </c>
      <c r="O510" s="57">
        <v>339</v>
      </c>
      <c r="P510" s="57">
        <v>5.085</v>
      </c>
      <c r="Q510" s="57">
        <v>0.35599999999999998</v>
      </c>
      <c r="R510" s="57">
        <v>0</v>
      </c>
      <c r="S510" s="57">
        <v>22</v>
      </c>
      <c r="T510" s="112">
        <v>27.44</v>
      </c>
    </row>
    <row r="511" spans="1:20" ht="23.4" x14ac:dyDescent="0.25">
      <c r="A511" s="57">
        <v>510</v>
      </c>
      <c r="B511" s="110">
        <v>244036</v>
      </c>
      <c r="C511" s="57" t="s">
        <v>114</v>
      </c>
      <c r="D511" s="57" t="s">
        <v>115</v>
      </c>
      <c r="E511" s="57" t="s">
        <v>116</v>
      </c>
      <c r="F511" s="57" t="s">
        <v>119</v>
      </c>
      <c r="G511" s="57">
        <v>2</v>
      </c>
      <c r="H511" s="57" t="s">
        <v>117</v>
      </c>
      <c r="I511" s="57" t="s">
        <v>5255</v>
      </c>
      <c r="J511" s="57" t="s">
        <v>5256</v>
      </c>
      <c r="K511" s="57" t="s">
        <v>5257</v>
      </c>
      <c r="L511" s="111" t="s">
        <v>5258</v>
      </c>
      <c r="N511" s="57">
        <v>0.66200000000000003</v>
      </c>
      <c r="O511" s="57">
        <v>130</v>
      </c>
      <c r="P511" s="57">
        <v>1.95</v>
      </c>
      <c r="Q511" s="57">
        <v>0.13650000000000001</v>
      </c>
      <c r="R511" s="57">
        <v>0</v>
      </c>
      <c r="S511" s="57">
        <v>17</v>
      </c>
      <c r="T511" s="112">
        <v>19.09</v>
      </c>
    </row>
    <row r="512" spans="1:20" ht="23.4" x14ac:dyDescent="0.25">
      <c r="A512" s="57">
        <v>511</v>
      </c>
      <c r="B512" s="110">
        <v>244036</v>
      </c>
      <c r="C512" s="57" t="s">
        <v>114</v>
      </c>
      <c r="D512" s="57" t="s">
        <v>115</v>
      </c>
      <c r="E512" s="57" t="s">
        <v>116</v>
      </c>
      <c r="F512" s="57" t="s">
        <v>119</v>
      </c>
      <c r="G512" s="57">
        <v>2</v>
      </c>
      <c r="H512" s="57" t="s">
        <v>117</v>
      </c>
      <c r="I512" s="57" t="s">
        <v>5259</v>
      </c>
      <c r="J512" s="57" t="s">
        <v>5260</v>
      </c>
      <c r="K512" s="57" t="s">
        <v>5261</v>
      </c>
      <c r="L512" s="111" t="s">
        <v>5262</v>
      </c>
      <c r="N512" s="57">
        <v>0.71599999999999997</v>
      </c>
      <c r="O512" s="57">
        <v>130</v>
      </c>
      <c r="P512" s="57">
        <v>1.95</v>
      </c>
      <c r="Q512" s="57">
        <v>0.13650000000000001</v>
      </c>
      <c r="R512" s="57">
        <v>0</v>
      </c>
      <c r="S512" s="57">
        <v>17</v>
      </c>
      <c r="T512" s="112">
        <v>19.09</v>
      </c>
    </row>
    <row r="513" spans="1:20" ht="23.4" x14ac:dyDescent="0.25">
      <c r="A513" s="57">
        <v>512</v>
      </c>
      <c r="B513" s="110">
        <v>244036</v>
      </c>
      <c r="C513" s="57" t="s">
        <v>114</v>
      </c>
      <c r="D513" s="57" t="s">
        <v>115</v>
      </c>
      <c r="E513" s="57" t="s">
        <v>116</v>
      </c>
      <c r="F513" s="57" t="s">
        <v>119</v>
      </c>
      <c r="G513" s="57">
        <v>2</v>
      </c>
      <c r="H513" s="57" t="s">
        <v>117</v>
      </c>
      <c r="I513" s="57" t="s">
        <v>5263</v>
      </c>
      <c r="J513" s="57" t="s">
        <v>4867</v>
      </c>
      <c r="K513" s="57" t="s">
        <v>4868</v>
      </c>
      <c r="L513" s="111" t="s">
        <v>4869</v>
      </c>
      <c r="N513" s="57">
        <v>1.718</v>
      </c>
      <c r="O513" s="57">
        <v>330</v>
      </c>
      <c r="P513" s="57">
        <v>4.95</v>
      </c>
      <c r="Q513" s="57">
        <v>0.34649999999999997</v>
      </c>
      <c r="R513" s="57">
        <v>0</v>
      </c>
      <c r="S513" s="57">
        <v>22</v>
      </c>
      <c r="T513" s="112">
        <v>27.3</v>
      </c>
    </row>
    <row r="514" spans="1:20" ht="23.4" x14ac:dyDescent="0.25">
      <c r="A514" s="57">
        <v>513</v>
      </c>
      <c r="B514" s="110">
        <v>244036</v>
      </c>
      <c r="C514" s="57" t="s">
        <v>114</v>
      </c>
      <c r="D514" s="57" t="s">
        <v>115</v>
      </c>
      <c r="E514" s="57" t="s">
        <v>116</v>
      </c>
      <c r="F514" s="57" t="s">
        <v>119</v>
      </c>
      <c r="G514" s="57">
        <v>2</v>
      </c>
      <c r="H514" s="57" t="s">
        <v>117</v>
      </c>
      <c r="I514" s="57" t="s">
        <v>5264</v>
      </c>
      <c r="J514" s="57" t="s">
        <v>5265</v>
      </c>
      <c r="K514" s="57" t="s">
        <v>5266</v>
      </c>
      <c r="L514" s="111" t="s">
        <v>5267</v>
      </c>
      <c r="N514" s="57">
        <v>0.76200000000000001</v>
      </c>
      <c r="O514" s="57">
        <v>0</v>
      </c>
      <c r="P514" s="57">
        <v>0</v>
      </c>
      <c r="Q514" s="57">
        <v>0</v>
      </c>
      <c r="R514" s="57">
        <v>0</v>
      </c>
      <c r="S514" s="57">
        <v>17</v>
      </c>
      <c r="T514" s="112">
        <v>17</v>
      </c>
    </row>
    <row r="515" spans="1:20" ht="23.4" x14ac:dyDescent="0.25">
      <c r="A515" s="57">
        <v>514</v>
      </c>
      <c r="B515" s="110">
        <v>244036</v>
      </c>
      <c r="C515" s="57" t="s">
        <v>114</v>
      </c>
      <c r="D515" s="57" t="s">
        <v>115</v>
      </c>
      <c r="E515" s="57" t="s">
        <v>116</v>
      </c>
      <c r="F515" s="57" t="s">
        <v>119</v>
      </c>
      <c r="G515" s="57">
        <v>2</v>
      </c>
      <c r="H515" s="57" t="s">
        <v>117</v>
      </c>
      <c r="I515" s="57" t="s">
        <v>5268</v>
      </c>
      <c r="J515" s="57" t="s">
        <v>5269</v>
      </c>
      <c r="K515" s="57" t="s">
        <v>121</v>
      </c>
      <c r="L515" s="111" t="s">
        <v>5270</v>
      </c>
      <c r="N515" s="57">
        <v>1.248</v>
      </c>
      <c r="O515" s="57">
        <v>0</v>
      </c>
      <c r="P515" s="57">
        <v>0</v>
      </c>
      <c r="Q515" s="57">
        <v>0</v>
      </c>
      <c r="R515" s="57">
        <v>0</v>
      </c>
      <c r="S515" s="57">
        <v>22</v>
      </c>
      <c r="T515" s="112">
        <v>22</v>
      </c>
    </row>
    <row r="516" spans="1:20" ht="23.4" x14ac:dyDescent="0.25">
      <c r="A516" s="57">
        <v>515</v>
      </c>
      <c r="B516" s="110">
        <v>244036</v>
      </c>
      <c r="C516" s="57" t="s">
        <v>114</v>
      </c>
      <c r="D516" s="57" t="s">
        <v>115</v>
      </c>
      <c r="E516" s="57" t="s">
        <v>116</v>
      </c>
      <c r="F516" s="57" t="s">
        <v>119</v>
      </c>
      <c r="G516" s="57">
        <v>2</v>
      </c>
      <c r="H516" s="57" t="s">
        <v>117</v>
      </c>
      <c r="I516" s="57" t="s">
        <v>5271</v>
      </c>
      <c r="J516" s="57" t="s">
        <v>5272</v>
      </c>
      <c r="K516" s="57" t="s">
        <v>5273</v>
      </c>
      <c r="L516" s="111" t="s">
        <v>5274</v>
      </c>
      <c r="N516" s="57">
        <v>1.0680000000000001</v>
      </c>
      <c r="O516" s="57">
        <v>0</v>
      </c>
      <c r="P516" s="57">
        <v>0</v>
      </c>
      <c r="Q516" s="57">
        <v>0</v>
      </c>
      <c r="R516" s="57">
        <v>0</v>
      </c>
      <c r="S516" s="57">
        <v>22</v>
      </c>
      <c r="T516" s="112">
        <v>22</v>
      </c>
    </row>
    <row r="517" spans="1:20" ht="23.4" x14ac:dyDescent="0.25">
      <c r="A517" s="57">
        <v>516</v>
      </c>
      <c r="B517" s="110">
        <v>244036</v>
      </c>
      <c r="C517" s="57" t="s">
        <v>114</v>
      </c>
      <c r="D517" s="57" t="s">
        <v>115</v>
      </c>
      <c r="E517" s="57" t="s">
        <v>116</v>
      </c>
      <c r="F517" s="57" t="s">
        <v>119</v>
      </c>
      <c r="G517" s="57">
        <v>2</v>
      </c>
      <c r="H517" s="57" t="s">
        <v>117</v>
      </c>
      <c r="I517" s="57" t="s">
        <v>5275</v>
      </c>
      <c r="J517" s="57" t="s">
        <v>5276</v>
      </c>
      <c r="K517" s="57" t="s">
        <v>5277</v>
      </c>
      <c r="L517" s="111" t="s">
        <v>5278</v>
      </c>
      <c r="N517" s="57">
        <v>1.4E-2</v>
      </c>
      <c r="O517" s="57">
        <v>0</v>
      </c>
      <c r="P517" s="57">
        <v>0</v>
      </c>
      <c r="Q517" s="57">
        <v>0</v>
      </c>
      <c r="R517" s="57">
        <v>0</v>
      </c>
      <c r="S517" s="57">
        <v>17</v>
      </c>
      <c r="T517" s="112">
        <v>17</v>
      </c>
    </row>
    <row r="518" spans="1:20" ht="23.4" x14ac:dyDescent="0.25">
      <c r="A518" s="57">
        <v>517</v>
      </c>
      <c r="B518" s="110">
        <v>244036</v>
      </c>
      <c r="C518" s="57" t="s">
        <v>114</v>
      </c>
      <c r="D518" s="57" t="s">
        <v>115</v>
      </c>
      <c r="E518" s="57" t="s">
        <v>116</v>
      </c>
      <c r="F518" s="57" t="s">
        <v>119</v>
      </c>
      <c r="G518" s="57">
        <v>2</v>
      </c>
      <c r="H518" s="57" t="s">
        <v>117</v>
      </c>
      <c r="I518" s="57" t="s">
        <v>5279</v>
      </c>
      <c r="J518" s="57" t="s">
        <v>5280</v>
      </c>
      <c r="K518" s="57" t="s">
        <v>5281</v>
      </c>
      <c r="L518" s="111" t="s">
        <v>5282</v>
      </c>
      <c r="N518" s="57">
        <v>0.02</v>
      </c>
      <c r="O518" s="57">
        <v>0</v>
      </c>
      <c r="P518" s="57">
        <v>0</v>
      </c>
      <c r="Q518" s="57">
        <v>0</v>
      </c>
      <c r="R518" s="57">
        <v>0</v>
      </c>
      <c r="S518" s="57">
        <v>17</v>
      </c>
      <c r="T518" s="112">
        <v>17</v>
      </c>
    </row>
    <row r="519" spans="1:20" ht="23.4" x14ac:dyDescent="0.25">
      <c r="A519" s="57">
        <v>518</v>
      </c>
      <c r="B519" s="110">
        <v>244036</v>
      </c>
      <c r="C519" s="57" t="s">
        <v>114</v>
      </c>
      <c r="D519" s="57" t="s">
        <v>115</v>
      </c>
      <c r="E519" s="57" t="s">
        <v>116</v>
      </c>
      <c r="F519" s="57" t="s">
        <v>119</v>
      </c>
      <c r="G519" s="57">
        <v>2</v>
      </c>
      <c r="H519" s="57" t="s">
        <v>117</v>
      </c>
      <c r="I519" s="57" t="s">
        <v>5283</v>
      </c>
      <c r="J519" s="57" t="s">
        <v>2443</v>
      </c>
      <c r="K519" s="57" t="s">
        <v>2444</v>
      </c>
      <c r="L519" s="111" t="s">
        <v>2445</v>
      </c>
      <c r="N519" s="57">
        <v>0.02</v>
      </c>
      <c r="O519" s="57">
        <v>0</v>
      </c>
      <c r="P519" s="57">
        <v>0</v>
      </c>
      <c r="Q519" s="57">
        <v>0</v>
      </c>
      <c r="R519" s="57">
        <v>0</v>
      </c>
      <c r="S519" s="57">
        <v>17</v>
      </c>
      <c r="T519" s="112">
        <v>17</v>
      </c>
    </row>
    <row r="520" spans="1:20" ht="23.4" x14ac:dyDescent="0.25">
      <c r="A520" s="57">
        <v>519</v>
      </c>
      <c r="B520" s="110">
        <v>244036</v>
      </c>
      <c r="C520" s="57" t="s">
        <v>114</v>
      </c>
      <c r="D520" s="57" t="s">
        <v>115</v>
      </c>
      <c r="E520" s="57" t="s">
        <v>116</v>
      </c>
      <c r="F520" s="57" t="s">
        <v>119</v>
      </c>
      <c r="G520" s="57">
        <v>2</v>
      </c>
      <c r="H520" s="57" t="s">
        <v>117</v>
      </c>
      <c r="I520" s="57" t="s">
        <v>5284</v>
      </c>
      <c r="J520" s="57" t="s">
        <v>5285</v>
      </c>
      <c r="K520" s="57" t="s">
        <v>5286</v>
      </c>
      <c r="L520" s="111" t="s">
        <v>5287</v>
      </c>
      <c r="N520" s="57">
        <v>0.35599999999999998</v>
      </c>
      <c r="O520" s="57">
        <v>0</v>
      </c>
      <c r="P520" s="57">
        <v>0</v>
      </c>
      <c r="Q520" s="57">
        <v>0</v>
      </c>
      <c r="R520" s="57">
        <v>0</v>
      </c>
      <c r="S520" s="57">
        <v>17</v>
      </c>
      <c r="T520" s="112">
        <v>17</v>
      </c>
    </row>
    <row r="521" spans="1:20" ht="23.4" x14ac:dyDescent="0.25">
      <c r="A521" s="57">
        <v>520</v>
      </c>
      <c r="B521" s="110">
        <v>244037</v>
      </c>
      <c r="C521" s="57" t="s">
        <v>114</v>
      </c>
      <c r="D521" s="57" t="s">
        <v>115</v>
      </c>
      <c r="E521" s="57" t="s">
        <v>116</v>
      </c>
      <c r="F521" s="57" t="s">
        <v>119</v>
      </c>
      <c r="G521" s="57">
        <v>2</v>
      </c>
      <c r="H521" s="57" t="s">
        <v>117</v>
      </c>
      <c r="I521" s="57" t="s">
        <v>5288</v>
      </c>
      <c r="J521" s="57" t="s">
        <v>5289</v>
      </c>
      <c r="K521" s="57" t="s">
        <v>5290</v>
      </c>
      <c r="L521" s="111" t="s">
        <v>5291</v>
      </c>
      <c r="N521" s="57">
        <v>0.65600000000000003</v>
      </c>
      <c r="O521" s="57">
        <v>130</v>
      </c>
      <c r="P521" s="57">
        <v>1.95</v>
      </c>
      <c r="Q521" s="57">
        <v>0.13650000000000001</v>
      </c>
      <c r="R521" s="57">
        <v>0</v>
      </c>
      <c r="S521" s="57">
        <v>17</v>
      </c>
      <c r="T521" s="112">
        <v>19.09</v>
      </c>
    </row>
    <row r="522" spans="1:20" ht="23.4" x14ac:dyDescent="0.25">
      <c r="A522" s="57">
        <v>521</v>
      </c>
      <c r="B522" s="110">
        <v>244037</v>
      </c>
      <c r="C522" s="57" t="s">
        <v>114</v>
      </c>
      <c r="D522" s="57" t="s">
        <v>115</v>
      </c>
      <c r="E522" s="57" t="s">
        <v>116</v>
      </c>
      <c r="F522" s="57" t="s">
        <v>119</v>
      </c>
      <c r="G522" s="57">
        <v>2</v>
      </c>
      <c r="H522" s="57" t="s">
        <v>117</v>
      </c>
      <c r="I522" s="57" t="s">
        <v>5292</v>
      </c>
      <c r="J522" s="57" t="s">
        <v>2358</v>
      </c>
      <c r="K522" s="57" t="s">
        <v>2359</v>
      </c>
      <c r="L522" s="111" t="s">
        <v>2360</v>
      </c>
      <c r="N522" s="57">
        <v>0.77800000000000002</v>
      </c>
      <c r="O522" s="57">
        <v>0</v>
      </c>
      <c r="P522" s="57">
        <v>0</v>
      </c>
      <c r="Q522" s="57">
        <v>0</v>
      </c>
      <c r="R522" s="57">
        <v>0</v>
      </c>
      <c r="S522" s="57">
        <v>17</v>
      </c>
      <c r="T522" s="112">
        <v>17</v>
      </c>
    </row>
    <row r="523" spans="1:20" ht="23.4" x14ac:dyDescent="0.25">
      <c r="A523" s="57">
        <v>522</v>
      </c>
      <c r="B523" s="110">
        <v>244037</v>
      </c>
      <c r="C523" s="57" t="s">
        <v>114</v>
      </c>
      <c r="D523" s="57" t="s">
        <v>115</v>
      </c>
      <c r="E523" s="57" t="s">
        <v>116</v>
      </c>
      <c r="F523" s="57" t="s">
        <v>119</v>
      </c>
      <c r="G523" s="57">
        <v>2</v>
      </c>
      <c r="H523" s="57" t="s">
        <v>117</v>
      </c>
      <c r="I523" s="57" t="s">
        <v>5293</v>
      </c>
      <c r="J523" s="57" t="s">
        <v>5294</v>
      </c>
      <c r="K523" s="57" t="s">
        <v>5295</v>
      </c>
      <c r="L523" s="111" t="s">
        <v>5296</v>
      </c>
      <c r="N523" s="57">
        <v>0.57999999999999996</v>
      </c>
      <c r="O523" s="57">
        <v>165</v>
      </c>
      <c r="P523" s="57">
        <v>2.4750000000000001</v>
      </c>
      <c r="Q523" s="57">
        <v>0.17330000000000001</v>
      </c>
      <c r="R523" s="57">
        <v>0</v>
      </c>
      <c r="S523" s="57">
        <v>17</v>
      </c>
      <c r="T523" s="112">
        <v>19.649999999999999</v>
      </c>
    </row>
    <row r="524" spans="1:20" ht="23.4" x14ac:dyDescent="0.25">
      <c r="A524" s="57">
        <v>523</v>
      </c>
      <c r="B524" s="110">
        <v>244037</v>
      </c>
      <c r="C524" s="57" t="s">
        <v>114</v>
      </c>
      <c r="D524" s="57" t="s">
        <v>115</v>
      </c>
      <c r="E524" s="57" t="s">
        <v>116</v>
      </c>
      <c r="F524" s="57" t="s">
        <v>119</v>
      </c>
      <c r="G524" s="57">
        <v>2</v>
      </c>
      <c r="H524" s="57" t="s">
        <v>117</v>
      </c>
      <c r="I524" s="57" t="s">
        <v>5297</v>
      </c>
      <c r="J524" s="57" t="s">
        <v>5298</v>
      </c>
      <c r="K524" s="57" t="s">
        <v>5299</v>
      </c>
      <c r="L524" s="111" t="s">
        <v>5300</v>
      </c>
      <c r="N524" s="57">
        <v>1.264</v>
      </c>
      <c r="O524" s="57">
        <v>209</v>
      </c>
      <c r="P524" s="57">
        <v>3.1349999999999998</v>
      </c>
      <c r="Q524" s="57">
        <v>0.2195</v>
      </c>
      <c r="R524" s="57">
        <v>0</v>
      </c>
      <c r="S524" s="57">
        <v>22</v>
      </c>
      <c r="T524" s="112">
        <v>25.35</v>
      </c>
    </row>
    <row r="525" spans="1:20" ht="23.4" x14ac:dyDescent="0.25">
      <c r="A525" s="57">
        <v>524</v>
      </c>
      <c r="B525" s="110">
        <v>244037</v>
      </c>
      <c r="C525" s="57" t="s">
        <v>114</v>
      </c>
      <c r="D525" s="57" t="s">
        <v>115</v>
      </c>
      <c r="E525" s="57" t="s">
        <v>116</v>
      </c>
      <c r="F525" s="57" t="s">
        <v>119</v>
      </c>
      <c r="G525" s="57">
        <v>2</v>
      </c>
      <c r="H525" s="57" t="s">
        <v>117</v>
      </c>
      <c r="I525" s="57" t="s">
        <v>5301</v>
      </c>
      <c r="J525" s="57" t="s">
        <v>5302</v>
      </c>
      <c r="K525" s="57" t="s">
        <v>5303</v>
      </c>
      <c r="L525" s="111" t="s">
        <v>5304</v>
      </c>
      <c r="N525" s="57">
        <v>0.64400000000000002</v>
      </c>
      <c r="O525" s="57">
        <v>0</v>
      </c>
      <c r="P525" s="57">
        <v>0</v>
      </c>
      <c r="Q525" s="57">
        <v>0</v>
      </c>
      <c r="R525" s="57">
        <v>0</v>
      </c>
      <c r="S525" s="57">
        <v>17</v>
      </c>
      <c r="T525" s="112">
        <v>17</v>
      </c>
    </row>
    <row r="526" spans="1:20" ht="23.4" x14ac:dyDescent="0.25">
      <c r="A526" s="57">
        <v>525</v>
      </c>
      <c r="B526" s="110">
        <v>244037</v>
      </c>
      <c r="C526" s="57" t="s">
        <v>114</v>
      </c>
      <c r="D526" s="57" t="s">
        <v>115</v>
      </c>
      <c r="E526" s="57" t="s">
        <v>116</v>
      </c>
      <c r="F526" s="57" t="s">
        <v>119</v>
      </c>
      <c r="G526" s="57">
        <v>2</v>
      </c>
      <c r="H526" s="57" t="s">
        <v>117</v>
      </c>
      <c r="I526" s="57" t="s">
        <v>5305</v>
      </c>
      <c r="J526" s="57" t="s">
        <v>2533</v>
      </c>
      <c r="K526" s="57" t="s">
        <v>2194</v>
      </c>
      <c r="L526" s="111" t="s">
        <v>2534</v>
      </c>
      <c r="N526" s="57">
        <v>16.995000000000001</v>
      </c>
      <c r="O526" s="57">
        <v>1060</v>
      </c>
      <c r="P526" s="57">
        <v>15.9</v>
      </c>
      <c r="Q526" s="57">
        <v>1.113</v>
      </c>
      <c r="R526" s="57">
        <v>0</v>
      </c>
      <c r="S526" s="57">
        <v>180</v>
      </c>
      <c r="T526" s="112">
        <v>197.01</v>
      </c>
    </row>
    <row r="527" spans="1:20" ht="23.4" x14ac:dyDescent="0.25">
      <c r="A527" s="57">
        <v>526</v>
      </c>
      <c r="B527" s="110">
        <v>244037</v>
      </c>
      <c r="C527" s="57" t="s">
        <v>114</v>
      </c>
      <c r="D527" s="57" t="s">
        <v>115</v>
      </c>
      <c r="E527" s="57" t="s">
        <v>116</v>
      </c>
      <c r="F527" s="57" t="s">
        <v>119</v>
      </c>
      <c r="G527" s="57">
        <v>2</v>
      </c>
      <c r="H527" s="57" t="s">
        <v>117</v>
      </c>
      <c r="I527" s="57" t="s">
        <v>5306</v>
      </c>
      <c r="J527" s="57" t="s">
        <v>5307</v>
      </c>
      <c r="K527" s="57" t="s">
        <v>5308</v>
      </c>
      <c r="L527" s="111" t="s">
        <v>5309</v>
      </c>
      <c r="N527" s="57">
        <v>0.80200000000000005</v>
      </c>
      <c r="O527" s="57">
        <v>150</v>
      </c>
      <c r="P527" s="57">
        <v>2.25</v>
      </c>
      <c r="Q527" s="57">
        <v>0.1575</v>
      </c>
      <c r="R527" s="57">
        <v>0</v>
      </c>
      <c r="S527" s="57">
        <v>17</v>
      </c>
      <c r="T527" s="112">
        <v>19.41</v>
      </c>
    </row>
    <row r="528" spans="1:20" ht="23.4" x14ac:dyDescent="0.25">
      <c r="A528" s="57">
        <v>527</v>
      </c>
      <c r="B528" s="110">
        <v>244037</v>
      </c>
      <c r="C528" s="57" t="s">
        <v>114</v>
      </c>
      <c r="D528" s="57" t="s">
        <v>115</v>
      </c>
      <c r="E528" s="57" t="s">
        <v>116</v>
      </c>
      <c r="F528" s="57" t="s">
        <v>119</v>
      </c>
      <c r="G528" s="57">
        <v>2</v>
      </c>
      <c r="H528" s="57" t="s">
        <v>117</v>
      </c>
      <c r="I528" s="57" t="s">
        <v>5310</v>
      </c>
      <c r="J528" s="57" t="s">
        <v>2451</v>
      </c>
      <c r="K528" s="57" t="s">
        <v>2452</v>
      </c>
      <c r="L528" s="111" t="s">
        <v>5311</v>
      </c>
      <c r="N528" s="57">
        <v>0.14000000000000001</v>
      </c>
      <c r="O528" s="57">
        <v>0</v>
      </c>
      <c r="P528" s="57">
        <v>0</v>
      </c>
      <c r="Q528" s="57">
        <v>0</v>
      </c>
      <c r="R528" s="57">
        <v>0</v>
      </c>
      <c r="S528" s="57">
        <v>17</v>
      </c>
      <c r="T528" s="112">
        <v>17</v>
      </c>
    </row>
    <row r="529" spans="1:20" ht="23.4" x14ac:dyDescent="0.25">
      <c r="A529" s="57">
        <v>528</v>
      </c>
      <c r="B529" s="110">
        <v>244037</v>
      </c>
      <c r="C529" s="57" t="s">
        <v>114</v>
      </c>
      <c r="D529" s="57" t="s">
        <v>115</v>
      </c>
      <c r="E529" s="57" t="s">
        <v>116</v>
      </c>
      <c r="F529" s="57" t="s">
        <v>119</v>
      </c>
      <c r="G529" s="57">
        <v>2</v>
      </c>
      <c r="H529" s="57" t="s">
        <v>117</v>
      </c>
      <c r="I529" s="57" t="s">
        <v>5312</v>
      </c>
      <c r="J529" s="57" t="s">
        <v>5313</v>
      </c>
      <c r="K529" s="57" t="s">
        <v>5314</v>
      </c>
      <c r="L529" s="111" t="s">
        <v>5315</v>
      </c>
      <c r="N529" s="57">
        <v>1.266</v>
      </c>
      <c r="O529" s="57">
        <v>0</v>
      </c>
      <c r="P529" s="57">
        <v>0</v>
      </c>
      <c r="Q529" s="57">
        <v>0</v>
      </c>
      <c r="R529" s="57">
        <v>0</v>
      </c>
      <c r="S529" s="57">
        <v>22</v>
      </c>
      <c r="T529" s="112">
        <v>22</v>
      </c>
    </row>
    <row r="530" spans="1:20" ht="23.4" x14ac:dyDescent="0.25">
      <c r="A530" s="57">
        <v>529</v>
      </c>
      <c r="B530" s="110">
        <v>244037</v>
      </c>
      <c r="C530" s="57" t="s">
        <v>114</v>
      </c>
      <c r="D530" s="57" t="s">
        <v>115</v>
      </c>
      <c r="E530" s="57" t="s">
        <v>116</v>
      </c>
      <c r="F530" s="57" t="s">
        <v>119</v>
      </c>
      <c r="G530" s="57">
        <v>2</v>
      </c>
      <c r="H530" s="57" t="s">
        <v>117</v>
      </c>
      <c r="I530" s="57" t="s">
        <v>4663</v>
      </c>
      <c r="J530" s="57" t="s">
        <v>5316</v>
      </c>
      <c r="K530" s="57" t="s">
        <v>5317</v>
      </c>
      <c r="L530" s="111" t="s">
        <v>5318</v>
      </c>
      <c r="N530" s="57">
        <v>1.8080000000000001</v>
      </c>
      <c r="O530" s="57">
        <v>0</v>
      </c>
      <c r="P530" s="57">
        <v>0</v>
      </c>
      <c r="Q530" s="57">
        <v>0</v>
      </c>
      <c r="R530" s="57">
        <v>0</v>
      </c>
      <c r="S530" s="57">
        <v>22</v>
      </c>
      <c r="T530" s="112">
        <v>22</v>
      </c>
    </row>
    <row r="531" spans="1:20" ht="23.4" x14ac:dyDescent="0.25">
      <c r="A531" s="57">
        <v>530</v>
      </c>
      <c r="B531" s="110">
        <v>244037</v>
      </c>
      <c r="C531" s="57" t="s">
        <v>114</v>
      </c>
      <c r="D531" s="57" t="s">
        <v>115</v>
      </c>
      <c r="E531" s="57" t="s">
        <v>116</v>
      </c>
      <c r="F531" s="57" t="s">
        <v>119</v>
      </c>
      <c r="G531" s="57">
        <v>2</v>
      </c>
      <c r="H531" s="57" t="s">
        <v>117</v>
      </c>
      <c r="I531" s="57" t="s">
        <v>5319</v>
      </c>
      <c r="J531" s="57" t="s">
        <v>5320</v>
      </c>
      <c r="K531" s="57" t="s">
        <v>5321</v>
      </c>
      <c r="L531" s="111" t="s">
        <v>5322</v>
      </c>
      <c r="N531" s="57">
        <v>0.66200000000000003</v>
      </c>
      <c r="O531" s="57">
        <v>130</v>
      </c>
      <c r="P531" s="57">
        <v>1.95</v>
      </c>
      <c r="Q531" s="57">
        <v>0.13650000000000001</v>
      </c>
      <c r="R531" s="57">
        <v>0</v>
      </c>
      <c r="S531" s="57">
        <v>17</v>
      </c>
      <c r="T531" s="112">
        <v>19.09</v>
      </c>
    </row>
    <row r="532" spans="1:20" ht="23.4" x14ac:dyDescent="0.25">
      <c r="A532" s="57">
        <v>531</v>
      </c>
      <c r="B532" s="110">
        <v>244037</v>
      </c>
      <c r="C532" s="57" t="s">
        <v>114</v>
      </c>
      <c r="D532" s="57" t="s">
        <v>115</v>
      </c>
      <c r="E532" s="57" t="s">
        <v>116</v>
      </c>
      <c r="F532" s="57" t="s">
        <v>119</v>
      </c>
      <c r="G532" s="57">
        <v>2</v>
      </c>
      <c r="H532" s="57" t="s">
        <v>117</v>
      </c>
      <c r="I532" s="57" t="s">
        <v>5323</v>
      </c>
      <c r="J532" s="57" t="s">
        <v>5324</v>
      </c>
      <c r="K532" s="57" t="s">
        <v>5325</v>
      </c>
      <c r="L532" s="111" t="s">
        <v>5326</v>
      </c>
      <c r="N532" s="57">
        <v>1.8560000000000001</v>
      </c>
      <c r="O532" s="57">
        <v>330</v>
      </c>
      <c r="P532" s="57">
        <v>4.95</v>
      </c>
      <c r="Q532" s="57">
        <v>0.34649999999999997</v>
      </c>
      <c r="R532" s="57">
        <v>0</v>
      </c>
      <c r="S532" s="57">
        <v>22</v>
      </c>
      <c r="T532" s="112">
        <v>27.3</v>
      </c>
    </row>
    <row r="533" spans="1:20" ht="23.4" x14ac:dyDescent="0.25">
      <c r="A533" s="57">
        <v>532</v>
      </c>
      <c r="B533" s="110">
        <v>244037</v>
      </c>
      <c r="C533" s="57" t="s">
        <v>114</v>
      </c>
      <c r="D533" s="57" t="s">
        <v>115</v>
      </c>
      <c r="E533" s="57" t="s">
        <v>116</v>
      </c>
      <c r="F533" s="57" t="s">
        <v>119</v>
      </c>
      <c r="G533" s="57">
        <v>2</v>
      </c>
      <c r="H533" s="57" t="s">
        <v>117</v>
      </c>
      <c r="I533" s="57" t="s">
        <v>5327</v>
      </c>
      <c r="J533" s="57" t="s">
        <v>4604</v>
      </c>
      <c r="K533" s="57" t="s">
        <v>4605</v>
      </c>
      <c r="L533" s="111" t="s">
        <v>5328</v>
      </c>
      <c r="N533" s="57">
        <v>0.66400000000000003</v>
      </c>
      <c r="O533" s="57">
        <v>130</v>
      </c>
      <c r="P533" s="57">
        <v>1.95</v>
      </c>
      <c r="Q533" s="57">
        <v>0.13650000000000001</v>
      </c>
      <c r="R533" s="57">
        <v>0</v>
      </c>
      <c r="S533" s="57">
        <v>17</v>
      </c>
      <c r="T533" s="112">
        <v>19.09</v>
      </c>
    </row>
    <row r="534" spans="1:20" ht="23.4" x14ac:dyDescent="0.25">
      <c r="A534" s="57">
        <v>533</v>
      </c>
      <c r="B534" s="110">
        <v>244037</v>
      </c>
      <c r="C534" s="57" t="s">
        <v>114</v>
      </c>
      <c r="D534" s="57" t="s">
        <v>115</v>
      </c>
      <c r="E534" s="57" t="s">
        <v>116</v>
      </c>
      <c r="F534" s="57" t="s">
        <v>119</v>
      </c>
      <c r="G534" s="57">
        <v>2</v>
      </c>
      <c r="H534" s="57" t="s">
        <v>117</v>
      </c>
      <c r="I534" s="57" t="s">
        <v>5329</v>
      </c>
      <c r="J534" s="57" t="s">
        <v>4449</v>
      </c>
      <c r="K534" s="57" t="s">
        <v>3079</v>
      </c>
      <c r="L534" s="111" t="s">
        <v>4450</v>
      </c>
      <c r="N534" s="57">
        <v>2.42</v>
      </c>
      <c r="O534" s="57">
        <v>0</v>
      </c>
      <c r="P534" s="57">
        <v>0</v>
      </c>
      <c r="Q534" s="57">
        <v>0</v>
      </c>
      <c r="R534" s="57">
        <v>0</v>
      </c>
      <c r="S534" s="57">
        <v>33</v>
      </c>
      <c r="T534" s="112">
        <v>33</v>
      </c>
    </row>
    <row r="535" spans="1:20" ht="23.4" x14ac:dyDescent="0.25">
      <c r="A535" s="57">
        <v>534</v>
      </c>
      <c r="B535" s="110">
        <v>244037</v>
      </c>
      <c r="C535" s="57" t="s">
        <v>114</v>
      </c>
      <c r="D535" s="57" t="s">
        <v>115</v>
      </c>
      <c r="E535" s="57" t="s">
        <v>116</v>
      </c>
      <c r="F535" s="57" t="s">
        <v>119</v>
      </c>
      <c r="G535" s="57">
        <v>2</v>
      </c>
      <c r="H535" s="57" t="s">
        <v>117</v>
      </c>
      <c r="I535" s="57" t="s">
        <v>5330</v>
      </c>
      <c r="J535" s="57" t="s">
        <v>5331</v>
      </c>
      <c r="K535" s="57" t="s">
        <v>5332</v>
      </c>
      <c r="L535" s="111" t="s">
        <v>5333</v>
      </c>
      <c r="N535" s="57">
        <v>2.4239999999999999</v>
      </c>
      <c r="O535" s="57">
        <v>0</v>
      </c>
      <c r="P535" s="57">
        <v>0</v>
      </c>
      <c r="Q535" s="57">
        <v>0</v>
      </c>
      <c r="R535" s="57">
        <v>0</v>
      </c>
      <c r="S535" s="57">
        <v>33</v>
      </c>
      <c r="T535" s="112">
        <v>33</v>
      </c>
    </row>
    <row r="536" spans="1:20" ht="23.4" x14ac:dyDescent="0.25">
      <c r="A536" s="57">
        <v>535</v>
      </c>
      <c r="B536" s="110">
        <v>244037</v>
      </c>
      <c r="C536" s="57" t="s">
        <v>114</v>
      </c>
      <c r="D536" s="57" t="s">
        <v>115</v>
      </c>
      <c r="E536" s="57" t="s">
        <v>116</v>
      </c>
      <c r="F536" s="57" t="s">
        <v>119</v>
      </c>
      <c r="G536" s="57">
        <v>2</v>
      </c>
      <c r="H536" s="57" t="s">
        <v>117</v>
      </c>
      <c r="I536" s="57" t="s">
        <v>5334</v>
      </c>
      <c r="J536" s="57" t="s">
        <v>5335</v>
      </c>
      <c r="K536" s="57" t="s">
        <v>5336</v>
      </c>
      <c r="L536" s="111" t="s">
        <v>5337</v>
      </c>
      <c r="N536" s="57">
        <v>1.4059999999999999</v>
      </c>
      <c r="O536" s="57">
        <v>0</v>
      </c>
      <c r="P536" s="57">
        <v>0</v>
      </c>
      <c r="Q536" s="57">
        <v>0</v>
      </c>
      <c r="R536" s="57">
        <v>0</v>
      </c>
      <c r="S536" s="57">
        <v>22</v>
      </c>
      <c r="T536" s="112">
        <v>22</v>
      </c>
    </row>
    <row r="537" spans="1:20" ht="23.4" x14ac:dyDescent="0.25">
      <c r="A537" s="57">
        <v>536</v>
      </c>
      <c r="B537" s="110">
        <v>244037</v>
      </c>
      <c r="C537" s="57" t="s">
        <v>114</v>
      </c>
      <c r="D537" s="57" t="s">
        <v>115</v>
      </c>
      <c r="E537" s="57" t="s">
        <v>116</v>
      </c>
      <c r="F537" s="57" t="s">
        <v>119</v>
      </c>
      <c r="G537" s="57">
        <v>2</v>
      </c>
      <c r="H537" s="57" t="s">
        <v>117</v>
      </c>
      <c r="I537" s="57" t="s">
        <v>5338</v>
      </c>
      <c r="J537" s="57" t="s">
        <v>5339</v>
      </c>
      <c r="K537" s="57" t="s">
        <v>5340</v>
      </c>
      <c r="L537" s="111" t="s">
        <v>5341</v>
      </c>
      <c r="N537" s="57">
        <v>10.29</v>
      </c>
      <c r="O537" s="57">
        <v>0</v>
      </c>
      <c r="P537" s="57">
        <v>0</v>
      </c>
      <c r="Q537" s="57">
        <v>0</v>
      </c>
      <c r="R537" s="57">
        <v>0</v>
      </c>
      <c r="S537" s="57">
        <v>120</v>
      </c>
      <c r="T537" s="112">
        <v>120</v>
      </c>
    </row>
    <row r="538" spans="1:20" ht="23.4" x14ac:dyDescent="0.25">
      <c r="A538" s="57">
        <v>537</v>
      </c>
      <c r="B538" s="110">
        <v>244038</v>
      </c>
      <c r="C538" s="57" t="s">
        <v>114</v>
      </c>
      <c r="D538" s="57" t="s">
        <v>115</v>
      </c>
      <c r="E538" s="57" t="s">
        <v>116</v>
      </c>
      <c r="F538" s="57" t="s">
        <v>119</v>
      </c>
      <c r="G538" s="57" t="s">
        <v>133</v>
      </c>
      <c r="H538" s="57" t="s">
        <v>117</v>
      </c>
      <c r="I538" s="57" t="s">
        <v>5342</v>
      </c>
      <c r="J538" s="57" t="s">
        <v>5343</v>
      </c>
      <c r="K538" s="57" t="s">
        <v>5344</v>
      </c>
      <c r="L538" s="111" t="s">
        <v>5345</v>
      </c>
      <c r="N538" s="57">
        <v>0.65400000000000003</v>
      </c>
      <c r="O538" s="57">
        <v>130</v>
      </c>
      <c r="P538" s="57">
        <v>1.95</v>
      </c>
      <c r="Q538" s="57">
        <v>0.13650000000000001</v>
      </c>
      <c r="R538" s="57">
        <v>15</v>
      </c>
      <c r="S538" s="57">
        <v>32</v>
      </c>
      <c r="T538" s="112">
        <v>34.090000000000003</v>
      </c>
    </row>
    <row r="539" spans="1:20" ht="23.4" x14ac:dyDescent="0.25">
      <c r="A539" s="57">
        <v>538</v>
      </c>
      <c r="B539" s="110">
        <v>244038</v>
      </c>
      <c r="C539" s="57" t="s">
        <v>114</v>
      </c>
      <c r="D539" s="57" t="s">
        <v>115</v>
      </c>
      <c r="E539" s="57" t="s">
        <v>116</v>
      </c>
      <c r="F539" s="57" t="s">
        <v>119</v>
      </c>
      <c r="G539" s="57" t="s">
        <v>133</v>
      </c>
      <c r="H539" s="57" t="s">
        <v>117</v>
      </c>
      <c r="I539" s="57" t="s">
        <v>5346</v>
      </c>
      <c r="J539" s="57" t="s">
        <v>3623</v>
      </c>
      <c r="K539" s="57" t="s">
        <v>3624</v>
      </c>
      <c r="L539" s="111" t="s">
        <v>3625</v>
      </c>
      <c r="N539" s="57">
        <v>16.66</v>
      </c>
      <c r="O539" s="57">
        <v>0</v>
      </c>
      <c r="P539" s="57">
        <v>0</v>
      </c>
      <c r="Q539" s="57">
        <v>0</v>
      </c>
      <c r="R539" s="57">
        <v>0</v>
      </c>
      <c r="S539" s="57">
        <v>180</v>
      </c>
      <c r="T539" s="112">
        <v>180</v>
      </c>
    </row>
    <row r="540" spans="1:20" ht="23.4" x14ac:dyDescent="0.25">
      <c r="A540" s="57">
        <v>539</v>
      </c>
      <c r="B540" s="110">
        <v>244038</v>
      </c>
      <c r="C540" s="57" t="s">
        <v>114</v>
      </c>
      <c r="D540" s="57" t="s">
        <v>115</v>
      </c>
      <c r="E540" s="57" t="s">
        <v>116</v>
      </c>
      <c r="F540" s="57" t="s">
        <v>119</v>
      </c>
      <c r="G540" s="57" t="s">
        <v>133</v>
      </c>
      <c r="H540" s="57" t="s">
        <v>117</v>
      </c>
      <c r="I540" s="57" t="s">
        <v>5347</v>
      </c>
      <c r="J540" s="57" t="s">
        <v>3627</v>
      </c>
      <c r="K540" s="57" t="s">
        <v>3624</v>
      </c>
      <c r="L540" s="111" t="s">
        <v>3625</v>
      </c>
      <c r="N540" s="57">
        <v>16.66</v>
      </c>
      <c r="O540" s="57">
        <v>0</v>
      </c>
      <c r="P540" s="57">
        <v>0</v>
      </c>
      <c r="Q540" s="57">
        <v>0</v>
      </c>
      <c r="R540" s="57">
        <v>0</v>
      </c>
      <c r="S540" s="57">
        <v>180</v>
      </c>
      <c r="T540" s="112">
        <v>180</v>
      </c>
    </row>
    <row r="541" spans="1:20" ht="23.4" x14ac:dyDescent="0.25">
      <c r="A541" s="57">
        <v>540</v>
      </c>
      <c r="B541" s="110">
        <v>244038</v>
      </c>
      <c r="C541" s="57" t="s">
        <v>114</v>
      </c>
      <c r="D541" s="57" t="s">
        <v>115</v>
      </c>
      <c r="E541" s="57" t="s">
        <v>116</v>
      </c>
      <c r="F541" s="57" t="s">
        <v>119</v>
      </c>
      <c r="G541" s="57" t="s">
        <v>133</v>
      </c>
      <c r="H541" s="57" t="s">
        <v>117</v>
      </c>
      <c r="I541" s="57" t="s">
        <v>5348</v>
      </c>
      <c r="J541" s="57" t="s">
        <v>3651</v>
      </c>
      <c r="K541" s="57" t="s">
        <v>3624</v>
      </c>
      <c r="L541" s="111" t="s">
        <v>3625</v>
      </c>
      <c r="N541" s="57">
        <v>1.6419999999999999</v>
      </c>
      <c r="O541" s="57">
        <v>0</v>
      </c>
      <c r="P541" s="57">
        <v>0</v>
      </c>
      <c r="Q541" s="57">
        <v>0</v>
      </c>
      <c r="R541" s="57">
        <v>0</v>
      </c>
      <c r="S541" s="57">
        <v>22</v>
      </c>
      <c r="T541" s="112">
        <v>22</v>
      </c>
    </row>
    <row r="542" spans="1:20" ht="23.4" x14ac:dyDescent="0.25">
      <c r="A542" s="57">
        <v>541</v>
      </c>
      <c r="B542" s="110">
        <v>244038</v>
      </c>
      <c r="C542" s="57" t="s">
        <v>114</v>
      </c>
      <c r="D542" s="57" t="s">
        <v>115</v>
      </c>
      <c r="E542" s="57" t="s">
        <v>116</v>
      </c>
      <c r="F542" s="57" t="s">
        <v>119</v>
      </c>
      <c r="G542" s="57" t="s">
        <v>133</v>
      </c>
      <c r="H542" s="57" t="s">
        <v>117</v>
      </c>
      <c r="I542" s="57" t="s">
        <v>5349</v>
      </c>
      <c r="J542" s="57" t="s">
        <v>5350</v>
      </c>
      <c r="K542" s="57" t="s">
        <v>4570</v>
      </c>
      <c r="L542" s="111" t="s">
        <v>5351</v>
      </c>
      <c r="N542" s="57">
        <v>0.72599999999999998</v>
      </c>
      <c r="O542" s="57">
        <v>189</v>
      </c>
      <c r="P542" s="57">
        <v>2.835</v>
      </c>
      <c r="Q542" s="57">
        <v>0.19850000000000001</v>
      </c>
      <c r="R542" s="57">
        <v>0</v>
      </c>
      <c r="S542" s="57">
        <v>17</v>
      </c>
      <c r="T542" s="112">
        <v>20.03</v>
      </c>
    </row>
    <row r="543" spans="1:20" ht="23.4" x14ac:dyDescent="0.25">
      <c r="A543" s="57">
        <v>542</v>
      </c>
      <c r="B543" s="110">
        <v>244038</v>
      </c>
      <c r="C543" s="57" t="s">
        <v>114</v>
      </c>
      <c r="D543" s="57" t="s">
        <v>115</v>
      </c>
      <c r="E543" s="57" t="s">
        <v>116</v>
      </c>
      <c r="F543" s="57" t="s">
        <v>119</v>
      </c>
      <c r="G543" s="57" t="s">
        <v>133</v>
      </c>
      <c r="H543" s="57" t="s">
        <v>117</v>
      </c>
      <c r="I543" s="57" t="s">
        <v>5352</v>
      </c>
      <c r="J543" s="57" t="s">
        <v>5353</v>
      </c>
      <c r="K543" s="57" t="s">
        <v>2929</v>
      </c>
      <c r="L543" s="111" t="s">
        <v>5354</v>
      </c>
      <c r="N543" s="57">
        <v>0.66600000000000004</v>
      </c>
      <c r="O543" s="57">
        <v>130</v>
      </c>
      <c r="P543" s="57">
        <v>1.95</v>
      </c>
      <c r="Q543" s="57">
        <v>0.13650000000000001</v>
      </c>
      <c r="R543" s="57">
        <v>0</v>
      </c>
      <c r="S543" s="57">
        <v>17</v>
      </c>
      <c r="T543" s="112">
        <v>19.09</v>
      </c>
    </row>
    <row r="544" spans="1:20" ht="23.4" x14ac:dyDescent="0.25">
      <c r="A544" s="57">
        <v>543</v>
      </c>
      <c r="B544" s="110">
        <v>244038</v>
      </c>
      <c r="C544" s="57" t="s">
        <v>114</v>
      </c>
      <c r="D544" s="57" t="s">
        <v>115</v>
      </c>
      <c r="E544" s="57" t="s">
        <v>116</v>
      </c>
      <c r="F544" s="57" t="s">
        <v>119</v>
      </c>
      <c r="G544" s="57" t="s">
        <v>133</v>
      </c>
      <c r="H544" s="57" t="s">
        <v>117</v>
      </c>
      <c r="I544" s="57" t="s">
        <v>5355</v>
      </c>
      <c r="J544" s="57" t="s">
        <v>5356</v>
      </c>
      <c r="K544" s="57" t="s">
        <v>5357</v>
      </c>
      <c r="L544" s="111" t="s">
        <v>5358</v>
      </c>
      <c r="N544" s="57">
        <v>1.212</v>
      </c>
      <c r="O544" s="57">
        <v>0</v>
      </c>
      <c r="P544" s="57">
        <v>0</v>
      </c>
      <c r="Q544" s="57">
        <v>0</v>
      </c>
      <c r="R544" s="57">
        <v>0</v>
      </c>
      <c r="S544" s="57">
        <v>22</v>
      </c>
      <c r="T544" s="112">
        <v>22</v>
      </c>
    </row>
    <row r="545" spans="1:20" ht="23.4" x14ac:dyDescent="0.25">
      <c r="A545" s="57">
        <v>544</v>
      </c>
      <c r="B545" s="110">
        <v>244038</v>
      </c>
      <c r="C545" s="57" t="s">
        <v>114</v>
      </c>
      <c r="D545" s="57" t="s">
        <v>115</v>
      </c>
      <c r="E545" s="57" t="s">
        <v>116</v>
      </c>
      <c r="F545" s="57" t="s">
        <v>119</v>
      </c>
      <c r="G545" s="57" t="s">
        <v>133</v>
      </c>
      <c r="H545" s="57" t="s">
        <v>117</v>
      </c>
      <c r="I545" s="57" t="s">
        <v>5359</v>
      </c>
      <c r="J545" s="57" t="s">
        <v>5360</v>
      </c>
      <c r="K545" s="57" t="s">
        <v>5361</v>
      </c>
      <c r="L545" s="111" t="s">
        <v>5362</v>
      </c>
      <c r="N545" s="57">
        <v>1.8959999999999999</v>
      </c>
      <c r="O545" s="57">
        <v>330</v>
      </c>
      <c r="P545" s="57">
        <v>4.95</v>
      </c>
      <c r="Q545" s="57">
        <v>0.34649999999999997</v>
      </c>
      <c r="R545" s="57">
        <v>0</v>
      </c>
      <c r="S545" s="57">
        <v>22</v>
      </c>
      <c r="T545" s="112">
        <v>27.3</v>
      </c>
    </row>
    <row r="546" spans="1:20" ht="23.4" x14ac:dyDescent="0.25">
      <c r="A546" s="57">
        <v>545</v>
      </c>
      <c r="B546" s="110">
        <v>244038</v>
      </c>
      <c r="C546" s="57" t="s">
        <v>114</v>
      </c>
      <c r="D546" s="57" t="s">
        <v>115</v>
      </c>
      <c r="E546" s="57" t="s">
        <v>116</v>
      </c>
      <c r="F546" s="57" t="s">
        <v>119</v>
      </c>
      <c r="G546" s="57" t="s">
        <v>133</v>
      </c>
      <c r="H546" s="57" t="s">
        <v>117</v>
      </c>
      <c r="I546" s="57" t="s">
        <v>5363</v>
      </c>
      <c r="J546" s="57" t="s">
        <v>5364</v>
      </c>
      <c r="K546" s="57" t="s">
        <v>5365</v>
      </c>
      <c r="L546" s="111" t="s">
        <v>5366</v>
      </c>
      <c r="N546" s="57">
        <v>0.74</v>
      </c>
      <c r="O546" s="57">
        <v>0</v>
      </c>
      <c r="P546" s="57">
        <v>0</v>
      </c>
      <c r="Q546" s="57">
        <v>0</v>
      </c>
      <c r="R546" s="57">
        <v>0</v>
      </c>
      <c r="S546" s="57">
        <v>17</v>
      </c>
      <c r="T546" s="112">
        <v>17</v>
      </c>
    </row>
    <row r="547" spans="1:20" ht="23.4" x14ac:dyDescent="0.25">
      <c r="A547" s="57">
        <v>546</v>
      </c>
      <c r="B547" s="110">
        <v>244038</v>
      </c>
      <c r="C547" s="57" t="s">
        <v>114</v>
      </c>
      <c r="D547" s="57" t="s">
        <v>115</v>
      </c>
      <c r="E547" s="57" t="s">
        <v>116</v>
      </c>
      <c r="F547" s="57" t="s">
        <v>119</v>
      </c>
      <c r="G547" s="57" t="s">
        <v>133</v>
      </c>
      <c r="H547" s="57" t="s">
        <v>117</v>
      </c>
      <c r="I547" s="57" t="s">
        <v>5367</v>
      </c>
      <c r="J547" s="57" t="s">
        <v>5368</v>
      </c>
      <c r="K547" s="57" t="s">
        <v>5369</v>
      </c>
      <c r="L547" s="111" t="s">
        <v>5370</v>
      </c>
      <c r="N547" s="57">
        <v>1.262</v>
      </c>
      <c r="O547" s="57">
        <v>209</v>
      </c>
      <c r="P547" s="57">
        <v>3.1349999999999998</v>
      </c>
      <c r="Q547" s="57">
        <v>0.2195</v>
      </c>
      <c r="R547" s="57">
        <v>0</v>
      </c>
      <c r="S547" s="57">
        <v>22</v>
      </c>
      <c r="T547" s="112">
        <v>25.35</v>
      </c>
    </row>
    <row r="548" spans="1:20" ht="23.4" x14ac:dyDescent="0.25">
      <c r="A548" s="57">
        <v>547</v>
      </c>
      <c r="B548" s="110">
        <v>244038</v>
      </c>
      <c r="C548" s="57" t="s">
        <v>114</v>
      </c>
      <c r="D548" s="57" t="s">
        <v>115</v>
      </c>
      <c r="E548" s="57" t="s">
        <v>116</v>
      </c>
      <c r="F548" s="57" t="s">
        <v>119</v>
      </c>
      <c r="G548" s="57" t="s">
        <v>133</v>
      </c>
      <c r="H548" s="57" t="s">
        <v>117</v>
      </c>
      <c r="I548" s="57" t="s">
        <v>5371</v>
      </c>
      <c r="J548" s="57" t="s">
        <v>5372</v>
      </c>
      <c r="K548" s="57" t="s">
        <v>5373</v>
      </c>
      <c r="L548" s="111" t="s">
        <v>5374</v>
      </c>
      <c r="N548" s="57">
        <v>0.67200000000000004</v>
      </c>
      <c r="O548" s="57">
        <v>130</v>
      </c>
      <c r="P548" s="57">
        <v>1.95</v>
      </c>
      <c r="Q548" s="57">
        <v>0.13650000000000001</v>
      </c>
      <c r="R548" s="57">
        <v>0</v>
      </c>
      <c r="S548" s="57">
        <v>17</v>
      </c>
      <c r="T548" s="112">
        <v>19.09</v>
      </c>
    </row>
    <row r="549" spans="1:20" ht="23.4" x14ac:dyDescent="0.25">
      <c r="A549" s="57">
        <v>548</v>
      </c>
      <c r="B549" s="110">
        <v>244038</v>
      </c>
      <c r="C549" s="57" t="s">
        <v>114</v>
      </c>
      <c r="D549" s="57" t="s">
        <v>115</v>
      </c>
      <c r="E549" s="57" t="s">
        <v>116</v>
      </c>
      <c r="F549" s="57" t="s">
        <v>119</v>
      </c>
      <c r="G549" s="57" t="s">
        <v>133</v>
      </c>
      <c r="H549" s="57" t="s">
        <v>117</v>
      </c>
      <c r="I549" s="57" t="s">
        <v>5375</v>
      </c>
      <c r="J549" s="57" t="s">
        <v>5376</v>
      </c>
      <c r="K549" s="57" t="s">
        <v>5377</v>
      </c>
      <c r="L549" s="111" t="s">
        <v>5378</v>
      </c>
      <c r="N549" s="57">
        <v>0.66400000000000003</v>
      </c>
      <c r="O549" s="57">
        <v>130</v>
      </c>
      <c r="P549" s="57">
        <v>1.95</v>
      </c>
      <c r="Q549" s="57">
        <v>0.13650000000000001</v>
      </c>
      <c r="R549" s="57">
        <v>0</v>
      </c>
      <c r="S549" s="57">
        <v>17</v>
      </c>
      <c r="T549" s="112">
        <v>19.09</v>
      </c>
    </row>
    <row r="550" spans="1:20" ht="23.4" x14ac:dyDescent="0.25">
      <c r="A550" s="57">
        <v>549</v>
      </c>
      <c r="B550" s="110">
        <v>244038</v>
      </c>
      <c r="C550" s="57" t="s">
        <v>114</v>
      </c>
      <c r="D550" s="57" t="s">
        <v>115</v>
      </c>
      <c r="E550" s="57" t="s">
        <v>116</v>
      </c>
      <c r="F550" s="57" t="s">
        <v>119</v>
      </c>
      <c r="G550" s="57" t="s">
        <v>133</v>
      </c>
      <c r="H550" s="57" t="s">
        <v>117</v>
      </c>
      <c r="I550" s="57" t="s">
        <v>5379</v>
      </c>
      <c r="J550" s="57" t="s">
        <v>5380</v>
      </c>
      <c r="K550" s="57" t="s">
        <v>5381</v>
      </c>
      <c r="L550" s="111" t="s">
        <v>5382</v>
      </c>
      <c r="N550" s="57">
        <v>0.65800000000000003</v>
      </c>
      <c r="O550" s="57">
        <v>0</v>
      </c>
      <c r="P550" s="57">
        <v>0</v>
      </c>
      <c r="Q550" s="57">
        <v>0</v>
      </c>
      <c r="R550" s="57">
        <v>0</v>
      </c>
      <c r="S550" s="57">
        <v>17</v>
      </c>
      <c r="T550" s="112">
        <v>17</v>
      </c>
    </row>
    <row r="551" spans="1:20" ht="23.4" x14ac:dyDescent="0.25">
      <c r="A551" s="57">
        <v>550</v>
      </c>
      <c r="B551" s="110">
        <v>244038</v>
      </c>
      <c r="C551" s="57" t="s">
        <v>114</v>
      </c>
      <c r="D551" s="57" t="s">
        <v>115</v>
      </c>
      <c r="E551" s="57" t="s">
        <v>116</v>
      </c>
      <c r="F551" s="57" t="s">
        <v>119</v>
      </c>
      <c r="G551" s="57" t="s">
        <v>133</v>
      </c>
      <c r="H551" s="57" t="s">
        <v>117</v>
      </c>
      <c r="I551" s="57" t="s">
        <v>5383</v>
      </c>
      <c r="J551" s="57" t="s">
        <v>5384</v>
      </c>
      <c r="K551" s="57" t="s">
        <v>5385</v>
      </c>
      <c r="L551" s="111" t="s">
        <v>5386</v>
      </c>
      <c r="N551" s="57">
        <v>0.65800000000000003</v>
      </c>
      <c r="O551" s="57">
        <v>130</v>
      </c>
      <c r="P551" s="57">
        <v>1.95</v>
      </c>
      <c r="Q551" s="57">
        <v>0.13650000000000001</v>
      </c>
      <c r="R551" s="57">
        <v>0</v>
      </c>
      <c r="S551" s="57">
        <v>17</v>
      </c>
      <c r="T551" s="112">
        <v>19.09</v>
      </c>
    </row>
    <row r="552" spans="1:20" ht="23.4" x14ac:dyDescent="0.25">
      <c r="A552" s="57">
        <v>551</v>
      </c>
      <c r="B552" s="110">
        <v>244038</v>
      </c>
      <c r="C552" s="57" t="s">
        <v>114</v>
      </c>
      <c r="D552" s="57" t="s">
        <v>115</v>
      </c>
      <c r="E552" s="57" t="s">
        <v>116</v>
      </c>
      <c r="F552" s="57" t="s">
        <v>119</v>
      </c>
      <c r="G552" s="57" t="s">
        <v>133</v>
      </c>
      <c r="H552" s="57" t="s">
        <v>117</v>
      </c>
      <c r="I552" s="57" t="s">
        <v>5387</v>
      </c>
      <c r="J552" s="57" t="s">
        <v>5388</v>
      </c>
      <c r="K552" s="57" t="s">
        <v>5389</v>
      </c>
      <c r="L552" s="111" t="s">
        <v>5390</v>
      </c>
      <c r="N552" s="57">
        <v>2.4319999999999999</v>
      </c>
      <c r="O552" s="57">
        <v>428</v>
      </c>
      <c r="P552" s="57">
        <v>6.42</v>
      </c>
      <c r="Q552" s="57">
        <v>0.44940000000000002</v>
      </c>
      <c r="R552" s="57">
        <v>0</v>
      </c>
      <c r="S552" s="57">
        <v>33</v>
      </c>
      <c r="T552" s="112">
        <v>39.869999999999997</v>
      </c>
    </row>
    <row r="553" spans="1:20" ht="23.4" x14ac:dyDescent="0.25">
      <c r="A553" s="57">
        <v>552</v>
      </c>
      <c r="B553" s="110">
        <v>244038</v>
      </c>
      <c r="C553" s="57" t="s">
        <v>114</v>
      </c>
      <c r="D553" s="57" t="s">
        <v>115</v>
      </c>
      <c r="E553" s="57" t="s">
        <v>116</v>
      </c>
      <c r="F553" s="57" t="s">
        <v>119</v>
      </c>
      <c r="G553" s="57" t="s">
        <v>133</v>
      </c>
      <c r="H553" s="57" t="s">
        <v>117</v>
      </c>
      <c r="I553" s="57" t="s">
        <v>5391</v>
      </c>
      <c r="J553" s="57" t="s">
        <v>5392</v>
      </c>
      <c r="K553" s="57" t="s">
        <v>5393</v>
      </c>
      <c r="L553" s="111" t="s">
        <v>5394</v>
      </c>
      <c r="N553" s="57">
        <v>2.2679999999999998</v>
      </c>
      <c r="O553" s="57">
        <v>0</v>
      </c>
      <c r="P553" s="57">
        <v>0</v>
      </c>
      <c r="Q553" s="57">
        <v>0</v>
      </c>
      <c r="R553" s="57">
        <v>0</v>
      </c>
      <c r="S553" s="57">
        <v>33</v>
      </c>
      <c r="T553" s="112">
        <v>33</v>
      </c>
    </row>
    <row r="554" spans="1:20" ht="23.4" x14ac:dyDescent="0.25">
      <c r="A554" s="57">
        <v>553</v>
      </c>
      <c r="B554" s="110">
        <v>244038</v>
      </c>
      <c r="C554" s="57" t="s">
        <v>114</v>
      </c>
      <c r="D554" s="57" t="s">
        <v>115</v>
      </c>
      <c r="E554" s="57" t="s">
        <v>116</v>
      </c>
      <c r="F554" s="57" t="s">
        <v>119</v>
      </c>
      <c r="G554" s="57" t="s">
        <v>133</v>
      </c>
      <c r="H554" s="57" t="s">
        <v>117</v>
      </c>
      <c r="I554" s="57" t="s">
        <v>5395</v>
      </c>
      <c r="J554" s="57" t="s">
        <v>1373</v>
      </c>
      <c r="K554" s="57" t="s">
        <v>1374</v>
      </c>
      <c r="L554" s="111" t="s">
        <v>3840</v>
      </c>
      <c r="N554" s="57">
        <v>3.0619999999999998</v>
      </c>
      <c r="O554" s="57">
        <v>589</v>
      </c>
      <c r="P554" s="57">
        <v>8.8350000000000009</v>
      </c>
      <c r="Q554" s="57">
        <v>0.61850000000000005</v>
      </c>
      <c r="R554" s="57">
        <v>0</v>
      </c>
      <c r="S554" s="57">
        <v>43</v>
      </c>
      <c r="T554" s="112">
        <v>52.45</v>
      </c>
    </row>
    <row r="555" spans="1:20" ht="23.4" x14ac:dyDescent="0.25">
      <c r="A555" s="57">
        <v>554</v>
      </c>
      <c r="B555" s="110">
        <v>244038</v>
      </c>
      <c r="C555" s="57" t="s">
        <v>114</v>
      </c>
      <c r="D555" s="57" t="s">
        <v>115</v>
      </c>
      <c r="E555" s="57" t="s">
        <v>116</v>
      </c>
      <c r="F555" s="57" t="s">
        <v>119</v>
      </c>
      <c r="G555" s="57" t="s">
        <v>133</v>
      </c>
      <c r="H555" s="57" t="s">
        <v>117</v>
      </c>
      <c r="I555" s="57" t="s">
        <v>5396</v>
      </c>
      <c r="J555" s="57" t="s">
        <v>5397</v>
      </c>
      <c r="K555" s="57" t="s">
        <v>5398</v>
      </c>
      <c r="L555" s="111" t="s">
        <v>5399</v>
      </c>
      <c r="N555" s="57">
        <v>1.276</v>
      </c>
      <c r="O555" s="57">
        <v>0</v>
      </c>
      <c r="P555" s="57">
        <v>0</v>
      </c>
      <c r="Q555" s="57">
        <v>0</v>
      </c>
      <c r="R555" s="57">
        <v>0</v>
      </c>
      <c r="S555" s="57">
        <v>22</v>
      </c>
      <c r="T555" s="112">
        <v>22</v>
      </c>
    </row>
    <row r="556" spans="1:20" ht="23.4" x14ac:dyDescent="0.25">
      <c r="A556" s="57">
        <v>555</v>
      </c>
      <c r="B556" s="110">
        <v>244038</v>
      </c>
      <c r="C556" s="57" t="s">
        <v>114</v>
      </c>
      <c r="D556" s="57" t="s">
        <v>115</v>
      </c>
      <c r="E556" s="57" t="s">
        <v>116</v>
      </c>
      <c r="F556" s="57" t="s">
        <v>119</v>
      </c>
      <c r="G556" s="57" t="s">
        <v>133</v>
      </c>
      <c r="H556" s="57" t="s">
        <v>117</v>
      </c>
      <c r="I556" s="57" t="s">
        <v>5400</v>
      </c>
      <c r="J556" s="57" t="s">
        <v>4754</v>
      </c>
      <c r="K556" s="57" t="s">
        <v>4755</v>
      </c>
      <c r="L556" s="111" t="s">
        <v>4756</v>
      </c>
      <c r="N556" s="57">
        <v>0.66800000000000004</v>
      </c>
      <c r="O556" s="57">
        <v>0</v>
      </c>
      <c r="P556" s="57">
        <v>0</v>
      </c>
      <c r="Q556" s="57">
        <v>0</v>
      </c>
      <c r="R556" s="57">
        <v>0</v>
      </c>
      <c r="S556" s="57">
        <v>17</v>
      </c>
      <c r="T556" s="112">
        <v>17</v>
      </c>
    </row>
    <row r="557" spans="1:20" ht="23.4" x14ac:dyDescent="0.25">
      <c r="A557" s="57">
        <v>556</v>
      </c>
      <c r="B557" s="110">
        <v>244038</v>
      </c>
      <c r="C557" s="57" t="s">
        <v>114</v>
      </c>
      <c r="D557" s="57" t="s">
        <v>115</v>
      </c>
      <c r="E557" s="57" t="s">
        <v>116</v>
      </c>
      <c r="F557" s="57" t="s">
        <v>119</v>
      </c>
      <c r="G557" s="57" t="s">
        <v>133</v>
      </c>
      <c r="H557" s="57" t="s">
        <v>117</v>
      </c>
      <c r="I557" s="57" t="s">
        <v>5401</v>
      </c>
      <c r="J557" s="57" t="s">
        <v>5402</v>
      </c>
      <c r="K557" s="57" t="s">
        <v>5403</v>
      </c>
      <c r="L557" s="111" t="s">
        <v>5404</v>
      </c>
      <c r="N557" s="57">
        <v>0.65200000000000002</v>
      </c>
      <c r="O557" s="57">
        <v>0</v>
      </c>
      <c r="P557" s="57">
        <v>0</v>
      </c>
      <c r="Q557" s="57">
        <v>0</v>
      </c>
      <c r="R557" s="57">
        <v>0</v>
      </c>
      <c r="S557" s="57">
        <v>17</v>
      </c>
      <c r="T557" s="112">
        <v>17</v>
      </c>
    </row>
    <row r="558" spans="1:20" ht="23.4" x14ac:dyDescent="0.25">
      <c r="A558" s="57">
        <v>557</v>
      </c>
      <c r="B558" s="110">
        <v>244038</v>
      </c>
      <c r="C558" s="57" t="s">
        <v>114</v>
      </c>
      <c r="D558" s="57" t="s">
        <v>115</v>
      </c>
      <c r="E558" s="57" t="s">
        <v>116</v>
      </c>
      <c r="F558" s="57" t="s">
        <v>119</v>
      </c>
      <c r="G558" s="57" t="s">
        <v>133</v>
      </c>
      <c r="H558" s="57" t="s">
        <v>117</v>
      </c>
      <c r="I558" s="57" t="s">
        <v>5405</v>
      </c>
      <c r="J558" s="57" t="s">
        <v>4997</v>
      </c>
      <c r="K558" s="57" t="s">
        <v>2043</v>
      </c>
      <c r="L558" s="111" t="s">
        <v>4998</v>
      </c>
      <c r="N558" s="57">
        <v>3.6880000000000002</v>
      </c>
      <c r="O558" s="57">
        <v>0</v>
      </c>
      <c r="P558" s="57">
        <v>0</v>
      </c>
      <c r="Q558" s="57">
        <v>0</v>
      </c>
      <c r="R558" s="57">
        <v>15</v>
      </c>
      <c r="S558" s="57">
        <v>58</v>
      </c>
      <c r="T558" s="112">
        <v>58</v>
      </c>
    </row>
    <row r="559" spans="1:20" ht="23.4" x14ac:dyDescent="0.25">
      <c r="A559" s="57">
        <v>558</v>
      </c>
      <c r="B559" s="110">
        <v>244038</v>
      </c>
      <c r="C559" s="57" t="s">
        <v>114</v>
      </c>
      <c r="D559" s="57" t="s">
        <v>115</v>
      </c>
      <c r="E559" s="57" t="s">
        <v>116</v>
      </c>
      <c r="F559" s="57" t="s">
        <v>119</v>
      </c>
      <c r="G559" s="57" t="s">
        <v>133</v>
      </c>
      <c r="H559" s="57" t="s">
        <v>117</v>
      </c>
      <c r="I559" s="57" t="s">
        <v>5406</v>
      </c>
      <c r="J559" s="57" t="s">
        <v>2310</v>
      </c>
      <c r="K559" s="57" t="s">
        <v>2104</v>
      </c>
      <c r="L559" s="111" t="s">
        <v>5407</v>
      </c>
      <c r="N559" s="57">
        <v>6.8000000000000005E-2</v>
      </c>
      <c r="O559" s="57">
        <v>0</v>
      </c>
      <c r="P559" s="57">
        <v>0</v>
      </c>
      <c r="Q559" s="57">
        <v>0</v>
      </c>
      <c r="R559" s="57">
        <v>0</v>
      </c>
      <c r="S559" s="57">
        <v>17</v>
      </c>
      <c r="T559" s="112">
        <v>17</v>
      </c>
    </row>
    <row r="560" spans="1:20" ht="23.4" x14ac:dyDescent="0.25">
      <c r="A560" s="57">
        <v>559</v>
      </c>
      <c r="B560" s="110">
        <v>244040</v>
      </c>
      <c r="C560" s="57" t="s">
        <v>114</v>
      </c>
      <c r="D560" s="57" t="s">
        <v>115</v>
      </c>
      <c r="E560" s="57" t="s">
        <v>116</v>
      </c>
      <c r="F560" s="57" t="s">
        <v>119</v>
      </c>
      <c r="G560" s="57" t="s">
        <v>133</v>
      </c>
      <c r="H560" s="57" t="s">
        <v>117</v>
      </c>
      <c r="I560" s="57" t="s">
        <v>5408</v>
      </c>
      <c r="J560" s="57" t="s">
        <v>5409</v>
      </c>
      <c r="K560" s="57" t="s">
        <v>5410</v>
      </c>
      <c r="L560" s="111" t="s">
        <v>5411</v>
      </c>
      <c r="N560" s="57">
        <v>1.702</v>
      </c>
      <c r="O560" s="57">
        <v>0</v>
      </c>
      <c r="P560" s="57">
        <v>0</v>
      </c>
      <c r="Q560" s="57">
        <v>0</v>
      </c>
      <c r="R560" s="57">
        <v>0</v>
      </c>
      <c r="S560" s="57">
        <v>22</v>
      </c>
      <c r="T560" s="112">
        <v>22</v>
      </c>
    </row>
    <row r="561" spans="1:20" ht="23.4" x14ac:dyDescent="0.25">
      <c r="A561" s="57">
        <v>560</v>
      </c>
      <c r="B561" s="110">
        <v>244040</v>
      </c>
      <c r="C561" s="57" t="s">
        <v>114</v>
      </c>
      <c r="D561" s="57" t="s">
        <v>115</v>
      </c>
      <c r="E561" s="57" t="s">
        <v>116</v>
      </c>
      <c r="F561" s="57" t="s">
        <v>119</v>
      </c>
      <c r="G561" s="57" t="s">
        <v>133</v>
      </c>
      <c r="H561" s="57" t="s">
        <v>117</v>
      </c>
      <c r="I561" s="57" t="s">
        <v>5412</v>
      </c>
      <c r="J561" s="57" t="s">
        <v>5413</v>
      </c>
      <c r="K561" s="57" t="s">
        <v>5414</v>
      </c>
      <c r="L561" s="111" t="s">
        <v>5415</v>
      </c>
      <c r="N561" s="57">
        <v>0.7</v>
      </c>
      <c r="O561" s="57">
        <v>0</v>
      </c>
      <c r="P561" s="57">
        <v>0</v>
      </c>
      <c r="Q561" s="57">
        <v>0</v>
      </c>
      <c r="R561" s="57">
        <v>0</v>
      </c>
      <c r="S561" s="57">
        <v>17</v>
      </c>
      <c r="T561" s="112">
        <v>17</v>
      </c>
    </row>
    <row r="562" spans="1:20" ht="23.4" x14ac:dyDescent="0.25">
      <c r="A562" s="57">
        <v>561</v>
      </c>
      <c r="B562" s="110">
        <v>244040</v>
      </c>
      <c r="C562" s="57" t="s">
        <v>114</v>
      </c>
      <c r="D562" s="57" t="s">
        <v>115</v>
      </c>
      <c r="E562" s="57" t="s">
        <v>116</v>
      </c>
      <c r="F562" s="57" t="s">
        <v>119</v>
      </c>
      <c r="G562" s="57" t="s">
        <v>133</v>
      </c>
      <c r="H562" s="57" t="s">
        <v>117</v>
      </c>
      <c r="I562" s="57" t="s">
        <v>5416</v>
      </c>
      <c r="J562" s="57" t="s">
        <v>5417</v>
      </c>
      <c r="K562" s="57" t="s">
        <v>5418</v>
      </c>
      <c r="L562" s="111" t="s">
        <v>5419</v>
      </c>
      <c r="N562" s="57">
        <v>0.68799999999999994</v>
      </c>
      <c r="O562" s="57">
        <v>0</v>
      </c>
      <c r="P562" s="57">
        <v>0</v>
      </c>
      <c r="Q562" s="57">
        <v>0</v>
      </c>
      <c r="R562" s="57">
        <v>0</v>
      </c>
      <c r="S562" s="57">
        <v>17</v>
      </c>
      <c r="T562" s="112">
        <v>17</v>
      </c>
    </row>
    <row r="563" spans="1:20" ht="23.4" x14ac:dyDescent="0.25">
      <c r="A563" s="57">
        <v>562</v>
      </c>
      <c r="B563" s="110">
        <v>244040</v>
      </c>
      <c r="C563" s="57" t="s">
        <v>114</v>
      </c>
      <c r="D563" s="57" t="s">
        <v>115</v>
      </c>
      <c r="E563" s="57" t="s">
        <v>116</v>
      </c>
      <c r="F563" s="57" t="s">
        <v>119</v>
      </c>
      <c r="G563" s="57" t="s">
        <v>133</v>
      </c>
      <c r="H563" s="57" t="s">
        <v>117</v>
      </c>
      <c r="I563" s="57" t="s">
        <v>5420</v>
      </c>
      <c r="J563" s="57" t="s">
        <v>5421</v>
      </c>
      <c r="K563" s="57" t="s">
        <v>5422</v>
      </c>
      <c r="L563" s="111" t="s">
        <v>5423</v>
      </c>
      <c r="N563" s="57">
        <v>1.254</v>
      </c>
      <c r="O563" s="57">
        <v>0</v>
      </c>
      <c r="P563" s="57">
        <v>0</v>
      </c>
      <c r="Q563" s="57">
        <v>0</v>
      </c>
      <c r="R563" s="57">
        <v>0</v>
      </c>
      <c r="S563" s="57">
        <v>22</v>
      </c>
      <c r="T563" s="112">
        <v>22</v>
      </c>
    </row>
    <row r="564" spans="1:20" ht="23.4" x14ac:dyDescent="0.25">
      <c r="A564" s="57">
        <v>563</v>
      </c>
      <c r="B564" s="110">
        <v>244040</v>
      </c>
      <c r="C564" s="57" t="s">
        <v>114</v>
      </c>
      <c r="D564" s="57" t="s">
        <v>115</v>
      </c>
      <c r="E564" s="57" t="s">
        <v>116</v>
      </c>
      <c r="F564" s="57" t="s">
        <v>119</v>
      </c>
      <c r="G564" s="57" t="s">
        <v>133</v>
      </c>
      <c r="H564" s="57" t="s">
        <v>117</v>
      </c>
      <c r="I564" s="57" t="s">
        <v>5424</v>
      </c>
      <c r="J564" s="57" t="s">
        <v>4707</v>
      </c>
      <c r="K564" s="57" t="s">
        <v>4708</v>
      </c>
      <c r="L564" s="111" t="s">
        <v>4709</v>
      </c>
      <c r="N564" s="57">
        <v>0.70199999999999996</v>
      </c>
      <c r="O564" s="57">
        <v>0</v>
      </c>
      <c r="P564" s="57">
        <v>0</v>
      </c>
      <c r="Q564" s="57">
        <v>0</v>
      </c>
      <c r="R564" s="57">
        <v>0</v>
      </c>
      <c r="S564" s="57">
        <v>17</v>
      </c>
      <c r="T564" s="112">
        <v>17</v>
      </c>
    </row>
    <row r="565" spans="1:20" ht="23.4" x14ac:dyDescent="0.25">
      <c r="A565" s="57">
        <v>564</v>
      </c>
      <c r="B565" s="110">
        <v>244040</v>
      </c>
      <c r="C565" s="57" t="s">
        <v>114</v>
      </c>
      <c r="D565" s="57" t="s">
        <v>115</v>
      </c>
      <c r="E565" s="57" t="s">
        <v>116</v>
      </c>
      <c r="F565" s="57" t="s">
        <v>119</v>
      </c>
      <c r="G565" s="57" t="s">
        <v>133</v>
      </c>
      <c r="H565" s="57" t="s">
        <v>117</v>
      </c>
      <c r="I565" s="57" t="s">
        <v>5425</v>
      </c>
      <c r="J565" s="57" t="s">
        <v>4456</v>
      </c>
      <c r="K565" s="57" t="s">
        <v>5426</v>
      </c>
      <c r="L565" s="111" t="s">
        <v>5427</v>
      </c>
      <c r="N565" s="57">
        <v>1.246</v>
      </c>
      <c r="O565" s="57">
        <v>0</v>
      </c>
      <c r="P565" s="57">
        <v>0</v>
      </c>
      <c r="Q565" s="57">
        <v>0</v>
      </c>
      <c r="R565" s="57">
        <v>0</v>
      </c>
      <c r="S565" s="57">
        <v>22</v>
      </c>
      <c r="T565" s="112">
        <v>22</v>
      </c>
    </row>
    <row r="566" spans="1:20" ht="23.4" x14ac:dyDescent="0.25">
      <c r="A566" s="57">
        <v>565</v>
      </c>
      <c r="B566" s="110">
        <v>244040</v>
      </c>
      <c r="C566" s="57" t="s">
        <v>114</v>
      </c>
      <c r="D566" s="57" t="s">
        <v>115</v>
      </c>
      <c r="E566" s="57" t="s">
        <v>116</v>
      </c>
      <c r="F566" s="57" t="s">
        <v>119</v>
      </c>
      <c r="G566" s="57" t="s">
        <v>133</v>
      </c>
      <c r="H566" s="57" t="s">
        <v>117</v>
      </c>
      <c r="I566" s="57" t="s">
        <v>5428</v>
      </c>
      <c r="J566" s="57" t="s">
        <v>5429</v>
      </c>
      <c r="K566" s="57" t="s">
        <v>5430</v>
      </c>
      <c r="L566" s="111" t="s">
        <v>5431</v>
      </c>
      <c r="N566" s="57">
        <v>2.94</v>
      </c>
      <c r="O566" s="57">
        <v>0</v>
      </c>
      <c r="P566" s="57">
        <v>0</v>
      </c>
      <c r="Q566" s="57">
        <v>0</v>
      </c>
      <c r="R566" s="57">
        <v>0</v>
      </c>
      <c r="S566" s="57">
        <v>33</v>
      </c>
      <c r="T566" s="112">
        <v>33</v>
      </c>
    </row>
    <row r="567" spans="1:20" ht="23.4" x14ac:dyDescent="0.25">
      <c r="A567" s="57">
        <v>566</v>
      </c>
      <c r="B567" s="110">
        <v>244040</v>
      </c>
      <c r="C567" s="57" t="s">
        <v>114</v>
      </c>
      <c r="D567" s="57" t="s">
        <v>115</v>
      </c>
      <c r="E567" s="57" t="s">
        <v>116</v>
      </c>
      <c r="F567" s="57" t="s">
        <v>119</v>
      </c>
      <c r="G567" s="57" t="s">
        <v>133</v>
      </c>
      <c r="H567" s="57" t="s">
        <v>117</v>
      </c>
      <c r="I567" s="57" t="s">
        <v>5432</v>
      </c>
      <c r="J567" s="57" t="s">
        <v>5433</v>
      </c>
      <c r="K567" s="57" t="s">
        <v>5434</v>
      </c>
      <c r="L567" s="111" t="s">
        <v>5435</v>
      </c>
      <c r="N567" s="57">
        <v>1.266</v>
      </c>
      <c r="O567" s="57">
        <v>0</v>
      </c>
      <c r="P567" s="57">
        <v>0</v>
      </c>
      <c r="Q567" s="57">
        <v>0</v>
      </c>
      <c r="R567" s="57">
        <v>0</v>
      </c>
      <c r="S567" s="57">
        <v>22</v>
      </c>
      <c r="T567" s="112">
        <v>22</v>
      </c>
    </row>
    <row r="568" spans="1:20" ht="23.4" x14ac:dyDescent="0.25">
      <c r="A568" s="57">
        <v>567</v>
      </c>
      <c r="B568" s="110">
        <v>244040</v>
      </c>
      <c r="C568" s="57" t="s">
        <v>114</v>
      </c>
      <c r="D568" s="57" t="s">
        <v>115</v>
      </c>
      <c r="E568" s="57" t="s">
        <v>116</v>
      </c>
      <c r="F568" s="57" t="s">
        <v>119</v>
      </c>
      <c r="G568" s="57" t="s">
        <v>133</v>
      </c>
      <c r="H568" s="57" t="s">
        <v>117</v>
      </c>
      <c r="I568" s="57" t="s">
        <v>5436</v>
      </c>
      <c r="J568" s="57" t="s">
        <v>5437</v>
      </c>
      <c r="K568" s="57" t="s">
        <v>5438</v>
      </c>
      <c r="L568" s="111" t="s">
        <v>5439</v>
      </c>
      <c r="N568" s="57">
        <v>0.68400000000000005</v>
      </c>
      <c r="O568" s="57">
        <v>0</v>
      </c>
      <c r="P568" s="57">
        <v>0</v>
      </c>
      <c r="Q568" s="57">
        <v>0</v>
      </c>
      <c r="R568" s="57">
        <v>0</v>
      </c>
      <c r="S568" s="57">
        <v>17</v>
      </c>
      <c r="T568" s="112">
        <v>17</v>
      </c>
    </row>
    <row r="569" spans="1:20" ht="23.4" x14ac:dyDescent="0.25">
      <c r="A569" s="57">
        <v>568</v>
      </c>
      <c r="B569" s="110">
        <v>244040</v>
      </c>
      <c r="C569" s="57" t="s">
        <v>114</v>
      </c>
      <c r="D569" s="57" t="s">
        <v>115</v>
      </c>
      <c r="E569" s="57" t="s">
        <v>116</v>
      </c>
      <c r="F569" s="57" t="s">
        <v>119</v>
      </c>
      <c r="G569" s="57" t="s">
        <v>133</v>
      </c>
      <c r="H569" s="57" t="s">
        <v>117</v>
      </c>
      <c r="I569" s="57" t="s">
        <v>5440</v>
      </c>
      <c r="J569" s="57" t="s">
        <v>5441</v>
      </c>
      <c r="K569" s="57" t="s">
        <v>1638</v>
      </c>
      <c r="L569" s="111" t="s">
        <v>5442</v>
      </c>
      <c r="N569" s="57">
        <v>0.67800000000000005</v>
      </c>
      <c r="O569" s="57">
        <v>130</v>
      </c>
      <c r="P569" s="57">
        <v>1.95</v>
      </c>
      <c r="Q569" s="57">
        <v>0.13650000000000001</v>
      </c>
      <c r="R569" s="57">
        <v>0</v>
      </c>
      <c r="S569" s="57">
        <v>17</v>
      </c>
      <c r="T569" s="112">
        <v>19.09</v>
      </c>
    </row>
    <row r="570" spans="1:20" ht="23.4" x14ac:dyDescent="0.25">
      <c r="A570" s="57">
        <v>569</v>
      </c>
      <c r="B570" s="110">
        <v>244040</v>
      </c>
      <c r="C570" s="57" t="s">
        <v>114</v>
      </c>
      <c r="D570" s="57" t="s">
        <v>115</v>
      </c>
      <c r="E570" s="57" t="s">
        <v>116</v>
      </c>
      <c r="F570" s="57" t="s">
        <v>119</v>
      </c>
      <c r="G570" s="57" t="s">
        <v>133</v>
      </c>
      <c r="H570" s="57" t="s">
        <v>117</v>
      </c>
      <c r="I570" s="57" t="s">
        <v>5443</v>
      </c>
      <c r="J570" s="57" t="s">
        <v>5444</v>
      </c>
      <c r="K570" s="57" t="s">
        <v>5445</v>
      </c>
      <c r="L570" s="111" t="s">
        <v>5446</v>
      </c>
      <c r="N570" s="57">
        <v>0.69199999999999995</v>
      </c>
      <c r="O570" s="57">
        <v>130</v>
      </c>
      <c r="P570" s="57">
        <v>1.95</v>
      </c>
      <c r="Q570" s="57">
        <v>0.13650000000000001</v>
      </c>
      <c r="R570" s="57">
        <v>0</v>
      </c>
      <c r="S570" s="57">
        <v>17</v>
      </c>
      <c r="T570" s="112">
        <v>19.09</v>
      </c>
    </row>
    <row r="571" spans="1:20" ht="23.4" x14ac:dyDescent="0.25">
      <c r="A571" s="57">
        <v>570</v>
      </c>
      <c r="B571" s="110">
        <v>244040</v>
      </c>
      <c r="C571" s="57" t="s">
        <v>114</v>
      </c>
      <c r="D571" s="57" t="s">
        <v>115</v>
      </c>
      <c r="E571" s="57" t="s">
        <v>116</v>
      </c>
      <c r="F571" s="57" t="s">
        <v>119</v>
      </c>
      <c r="G571" s="57" t="s">
        <v>133</v>
      </c>
      <c r="H571" s="57" t="s">
        <v>117</v>
      </c>
      <c r="I571" s="57" t="s">
        <v>5447</v>
      </c>
      <c r="J571" s="57" t="s">
        <v>5448</v>
      </c>
      <c r="K571" s="57" t="s">
        <v>5449</v>
      </c>
      <c r="L571" s="111" t="s">
        <v>5450</v>
      </c>
      <c r="N571" s="57">
        <v>0.66200000000000003</v>
      </c>
      <c r="O571" s="57">
        <v>130</v>
      </c>
      <c r="P571" s="57">
        <v>1.95</v>
      </c>
      <c r="Q571" s="57">
        <v>0.13650000000000001</v>
      </c>
      <c r="R571" s="57">
        <v>0</v>
      </c>
      <c r="S571" s="57">
        <v>17</v>
      </c>
      <c r="T571" s="112">
        <v>19.09</v>
      </c>
    </row>
    <row r="572" spans="1:20" ht="23.4" x14ac:dyDescent="0.25">
      <c r="A572" s="57">
        <v>571</v>
      </c>
      <c r="B572" s="110">
        <v>244040</v>
      </c>
      <c r="C572" s="57" t="s">
        <v>114</v>
      </c>
      <c r="D572" s="57" t="s">
        <v>115</v>
      </c>
      <c r="E572" s="57" t="s">
        <v>116</v>
      </c>
      <c r="F572" s="57" t="s">
        <v>119</v>
      </c>
      <c r="G572" s="57" t="s">
        <v>133</v>
      </c>
      <c r="H572" s="57" t="s">
        <v>117</v>
      </c>
      <c r="I572" s="57" t="s">
        <v>5451</v>
      </c>
      <c r="J572" s="57" t="s">
        <v>5452</v>
      </c>
      <c r="K572" s="57" t="s">
        <v>5453</v>
      </c>
      <c r="L572" s="111" t="s">
        <v>5454</v>
      </c>
      <c r="N572" s="57">
        <v>1.258</v>
      </c>
      <c r="O572" s="57">
        <v>209</v>
      </c>
      <c r="P572" s="57">
        <v>3.1349999999999998</v>
      </c>
      <c r="Q572" s="57">
        <v>0.2195</v>
      </c>
      <c r="R572" s="57">
        <v>0</v>
      </c>
      <c r="S572" s="57">
        <v>22</v>
      </c>
      <c r="T572" s="112">
        <v>25.35</v>
      </c>
    </row>
    <row r="573" spans="1:20" ht="23.4" x14ac:dyDescent="0.25">
      <c r="A573" s="57">
        <v>572</v>
      </c>
      <c r="B573" s="110">
        <v>244040</v>
      </c>
      <c r="C573" s="57" t="s">
        <v>114</v>
      </c>
      <c r="D573" s="57" t="s">
        <v>115</v>
      </c>
      <c r="E573" s="57" t="s">
        <v>116</v>
      </c>
      <c r="F573" s="57" t="s">
        <v>119</v>
      </c>
      <c r="G573" s="57" t="s">
        <v>133</v>
      </c>
      <c r="H573" s="57" t="s">
        <v>117</v>
      </c>
      <c r="I573" s="57" t="s">
        <v>5455</v>
      </c>
      <c r="J573" s="57" t="s">
        <v>5456</v>
      </c>
      <c r="K573" s="57" t="s">
        <v>5457</v>
      </c>
      <c r="L573" s="111" t="s">
        <v>5458</v>
      </c>
      <c r="N573" s="57">
        <v>1.262</v>
      </c>
      <c r="O573" s="57">
        <v>209</v>
      </c>
      <c r="P573" s="57">
        <v>3.1349999999999998</v>
      </c>
      <c r="Q573" s="57">
        <v>0.2195</v>
      </c>
      <c r="R573" s="57">
        <v>0</v>
      </c>
      <c r="S573" s="57">
        <v>22</v>
      </c>
      <c r="T573" s="112">
        <v>25.35</v>
      </c>
    </row>
    <row r="574" spans="1:20" ht="23.4" x14ac:dyDescent="0.25">
      <c r="A574" s="57">
        <v>573</v>
      </c>
      <c r="B574" s="110">
        <v>244040</v>
      </c>
      <c r="C574" s="57" t="s">
        <v>114</v>
      </c>
      <c r="D574" s="57" t="s">
        <v>115</v>
      </c>
      <c r="E574" s="57" t="s">
        <v>116</v>
      </c>
      <c r="F574" s="57" t="s">
        <v>119</v>
      </c>
      <c r="G574" s="57" t="s">
        <v>133</v>
      </c>
      <c r="H574" s="57" t="s">
        <v>117</v>
      </c>
      <c r="I574" s="57" t="s">
        <v>5459</v>
      </c>
      <c r="J574" s="57" t="s">
        <v>236</v>
      </c>
      <c r="K574" s="57" t="s">
        <v>237</v>
      </c>
      <c r="L574" s="111" t="s">
        <v>238</v>
      </c>
      <c r="N574" s="57">
        <v>2.4540000000000002</v>
      </c>
      <c r="O574" s="57">
        <v>354</v>
      </c>
      <c r="P574" s="57">
        <v>5.31</v>
      </c>
      <c r="Q574" s="57">
        <v>0.37169999999999997</v>
      </c>
      <c r="R574" s="57">
        <v>0</v>
      </c>
      <c r="S574" s="57">
        <v>33</v>
      </c>
      <c r="T574" s="112">
        <v>38.68</v>
      </c>
    </row>
    <row r="575" spans="1:20" ht="23.4" x14ac:dyDescent="0.25">
      <c r="A575" s="57">
        <v>574</v>
      </c>
      <c r="B575" s="110">
        <v>244040</v>
      </c>
      <c r="C575" s="57" t="s">
        <v>114</v>
      </c>
      <c r="D575" s="57" t="s">
        <v>115</v>
      </c>
      <c r="E575" s="57" t="s">
        <v>116</v>
      </c>
      <c r="F575" s="57" t="s">
        <v>119</v>
      </c>
      <c r="G575" s="57" t="s">
        <v>133</v>
      </c>
      <c r="H575" s="57" t="s">
        <v>117</v>
      </c>
      <c r="I575" s="57" t="s">
        <v>5460</v>
      </c>
      <c r="J575" s="57" t="s">
        <v>5461</v>
      </c>
      <c r="K575" s="57" t="s">
        <v>5462</v>
      </c>
      <c r="L575" s="111" t="s">
        <v>5463</v>
      </c>
      <c r="N575" s="57">
        <v>1.258</v>
      </c>
      <c r="O575" s="57">
        <v>209</v>
      </c>
      <c r="P575" s="57">
        <v>3.1349999999999998</v>
      </c>
      <c r="Q575" s="57">
        <v>0.2195</v>
      </c>
      <c r="R575" s="57">
        <v>0</v>
      </c>
      <c r="S575" s="57">
        <v>22</v>
      </c>
      <c r="T575" s="112">
        <v>25.35</v>
      </c>
    </row>
    <row r="576" spans="1:20" ht="23.4" x14ac:dyDescent="0.25">
      <c r="A576" s="57">
        <v>575</v>
      </c>
      <c r="B576" s="110">
        <v>244040</v>
      </c>
      <c r="C576" s="57" t="s">
        <v>114</v>
      </c>
      <c r="D576" s="57" t="s">
        <v>115</v>
      </c>
      <c r="E576" s="57" t="s">
        <v>116</v>
      </c>
      <c r="F576" s="57" t="s">
        <v>119</v>
      </c>
      <c r="G576" s="57" t="s">
        <v>133</v>
      </c>
      <c r="H576" s="57" t="s">
        <v>117</v>
      </c>
      <c r="I576" s="57" t="s">
        <v>5464</v>
      </c>
      <c r="J576" s="57" t="s">
        <v>5260</v>
      </c>
      <c r="K576" s="57" t="s">
        <v>5261</v>
      </c>
      <c r="L576" s="111" t="s">
        <v>5262</v>
      </c>
      <c r="N576" s="57">
        <v>0.65400000000000003</v>
      </c>
      <c r="O576" s="57">
        <v>130</v>
      </c>
      <c r="P576" s="57">
        <v>1.95</v>
      </c>
      <c r="Q576" s="57">
        <v>0.13650000000000001</v>
      </c>
      <c r="R576" s="57">
        <v>0</v>
      </c>
      <c r="S576" s="57">
        <v>17</v>
      </c>
      <c r="T576" s="112">
        <v>19.09</v>
      </c>
    </row>
    <row r="577" spans="1:20" ht="23.4" x14ac:dyDescent="0.25">
      <c r="A577" s="57">
        <v>576</v>
      </c>
      <c r="B577" s="110">
        <v>244040</v>
      </c>
      <c r="C577" s="57" t="s">
        <v>114</v>
      </c>
      <c r="D577" s="57" t="s">
        <v>115</v>
      </c>
      <c r="E577" s="57" t="s">
        <v>116</v>
      </c>
      <c r="F577" s="57" t="s">
        <v>119</v>
      </c>
      <c r="G577" s="57" t="s">
        <v>133</v>
      </c>
      <c r="H577" s="57" t="s">
        <v>117</v>
      </c>
      <c r="I577" s="57" t="s">
        <v>5465</v>
      </c>
      <c r="J577" s="57" t="s">
        <v>5466</v>
      </c>
      <c r="K577" s="57" t="s">
        <v>5467</v>
      </c>
      <c r="L577" s="111" t="s">
        <v>5468</v>
      </c>
      <c r="N577" s="57">
        <v>1.222</v>
      </c>
      <c r="O577" s="57">
        <v>230</v>
      </c>
      <c r="P577" s="57">
        <v>3.45</v>
      </c>
      <c r="Q577" s="57">
        <v>0.24149999999999999</v>
      </c>
      <c r="R577" s="57">
        <v>0</v>
      </c>
      <c r="S577" s="57">
        <v>22</v>
      </c>
      <c r="T577" s="112">
        <v>25.69</v>
      </c>
    </row>
    <row r="578" spans="1:20" ht="23.4" x14ac:dyDescent="0.25">
      <c r="A578" s="57">
        <v>577</v>
      </c>
      <c r="B578" s="110">
        <v>244040</v>
      </c>
      <c r="C578" s="57" t="s">
        <v>114</v>
      </c>
      <c r="D578" s="57" t="s">
        <v>115</v>
      </c>
      <c r="E578" s="57" t="s">
        <v>116</v>
      </c>
      <c r="F578" s="57" t="s">
        <v>119</v>
      </c>
      <c r="G578" s="57" t="s">
        <v>133</v>
      </c>
      <c r="H578" s="57" t="s">
        <v>117</v>
      </c>
      <c r="I578" s="57" t="s">
        <v>5469</v>
      </c>
      <c r="J578" s="57" t="s">
        <v>4804</v>
      </c>
      <c r="K578" s="57" t="s">
        <v>4409</v>
      </c>
      <c r="L578" s="111" t="s">
        <v>5470</v>
      </c>
      <c r="N578" s="57">
        <v>0.746</v>
      </c>
      <c r="O578" s="57">
        <v>189</v>
      </c>
      <c r="P578" s="57">
        <v>2.835</v>
      </c>
      <c r="Q578" s="57">
        <v>0.19850000000000001</v>
      </c>
      <c r="R578" s="57">
        <v>0</v>
      </c>
      <c r="S578" s="57">
        <v>17</v>
      </c>
      <c r="T578" s="112">
        <v>20.03</v>
      </c>
    </row>
    <row r="579" spans="1:20" ht="23.4" x14ac:dyDescent="0.25">
      <c r="A579" s="57">
        <v>578</v>
      </c>
      <c r="B579" s="110">
        <v>244040</v>
      </c>
      <c r="C579" s="57" t="s">
        <v>114</v>
      </c>
      <c r="D579" s="57" t="s">
        <v>115</v>
      </c>
      <c r="E579" s="57" t="s">
        <v>116</v>
      </c>
      <c r="F579" s="57" t="s">
        <v>119</v>
      </c>
      <c r="G579" s="57" t="s">
        <v>133</v>
      </c>
      <c r="H579" s="57" t="s">
        <v>117</v>
      </c>
      <c r="I579" s="57" t="s">
        <v>5471</v>
      </c>
      <c r="J579" s="57" t="s">
        <v>139</v>
      </c>
      <c r="K579" s="57" t="s">
        <v>134</v>
      </c>
      <c r="L579" s="111" t="s">
        <v>5472</v>
      </c>
      <c r="N579" s="57">
        <v>5.6000000000000001E-2</v>
      </c>
      <c r="O579" s="57">
        <v>0</v>
      </c>
      <c r="P579" s="57">
        <v>0</v>
      </c>
      <c r="Q579" s="57">
        <v>0</v>
      </c>
      <c r="R579" s="57">
        <v>0</v>
      </c>
      <c r="S579" s="57">
        <v>17</v>
      </c>
      <c r="T579" s="112">
        <v>17</v>
      </c>
    </row>
    <row r="580" spans="1:20" ht="23.4" x14ac:dyDescent="0.25">
      <c r="A580" s="57">
        <v>579</v>
      </c>
      <c r="B580" s="110">
        <v>244040</v>
      </c>
      <c r="C580" s="57" t="s">
        <v>114</v>
      </c>
      <c r="D580" s="57" t="s">
        <v>115</v>
      </c>
      <c r="E580" s="57" t="s">
        <v>116</v>
      </c>
      <c r="F580" s="57" t="s">
        <v>119</v>
      </c>
      <c r="G580" s="57" t="s">
        <v>133</v>
      </c>
      <c r="H580" s="57" t="s">
        <v>117</v>
      </c>
      <c r="I580" s="57" t="s">
        <v>5473</v>
      </c>
      <c r="J580" s="57" t="s">
        <v>5474</v>
      </c>
      <c r="K580" s="57" t="s">
        <v>5066</v>
      </c>
      <c r="L580" s="111" t="s">
        <v>5475</v>
      </c>
      <c r="N580" s="57">
        <v>0.68799999999999994</v>
      </c>
      <c r="O580" s="57">
        <v>0</v>
      </c>
      <c r="P580" s="57">
        <v>0</v>
      </c>
      <c r="Q580" s="57">
        <v>0</v>
      </c>
      <c r="R580" s="57">
        <v>0</v>
      </c>
      <c r="S580" s="57">
        <v>17</v>
      </c>
      <c r="T580" s="112">
        <v>17</v>
      </c>
    </row>
    <row r="581" spans="1:20" ht="23.4" x14ac:dyDescent="0.25">
      <c r="A581" s="57">
        <v>580</v>
      </c>
      <c r="B581" s="110">
        <v>244040</v>
      </c>
      <c r="C581" s="57" t="s">
        <v>114</v>
      </c>
      <c r="D581" s="57" t="s">
        <v>115</v>
      </c>
      <c r="E581" s="57" t="s">
        <v>116</v>
      </c>
      <c r="F581" s="57" t="s">
        <v>119</v>
      </c>
      <c r="G581" s="57" t="s">
        <v>133</v>
      </c>
      <c r="H581" s="57" t="s">
        <v>117</v>
      </c>
      <c r="I581" s="57" t="s">
        <v>5476</v>
      </c>
      <c r="J581" s="57" t="s">
        <v>5477</v>
      </c>
      <c r="K581" s="57" t="s">
        <v>5478</v>
      </c>
      <c r="L581" s="111" t="s">
        <v>5479</v>
      </c>
      <c r="N581" s="57">
        <v>0.66600000000000004</v>
      </c>
      <c r="O581" s="57">
        <v>0</v>
      </c>
      <c r="P581" s="57">
        <v>0</v>
      </c>
      <c r="Q581" s="57">
        <v>0</v>
      </c>
      <c r="R581" s="57">
        <v>0</v>
      </c>
      <c r="S581" s="57">
        <v>17</v>
      </c>
      <c r="T581" s="112">
        <v>17</v>
      </c>
    </row>
    <row r="582" spans="1:20" ht="23.4" x14ac:dyDescent="0.25">
      <c r="A582" s="57">
        <v>581</v>
      </c>
      <c r="B582" s="110">
        <v>244040</v>
      </c>
      <c r="C582" s="57" t="s">
        <v>114</v>
      </c>
      <c r="D582" s="57" t="s">
        <v>115</v>
      </c>
      <c r="E582" s="57" t="s">
        <v>116</v>
      </c>
      <c r="F582" s="57" t="s">
        <v>119</v>
      </c>
      <c r="G582" s="57" t="s">
        <v>133</v>
      </c>
      <c r="H582" s="57" t="s">
        <v>117</v>
      </c>
      <c r="I582" s="57" t="s">
        <v>5480</v>
      </c>
      <c r="J582" s="57" t="s">
        <v>5481</v>
      </c>
      <c r="K582" s="57" t="s">
        <v>5482</v>
      </c>
      <c r="L582" s="111" t="s">
        <v>5483</v>
      </c>
      <c r="N582" s="57">
        <v>1.276</v>
      </c>
      <c r="O582" s="57">
        <v>0</v>
      </c>
      <c r="P582" s="57">
        <v>0</v>
      </c>
      <c r="Q582" s="57">
        <v>0</v>
      </c>
      <c r="R582" s="57">
        <v>0</v>
      </c>
      <c r="S582" s="57">
        <v>22</v>
      </c>
      <c r="T582" s="112">
        <v>22</v>
      </c>
    </row>
    <row r="583" spans="1:20" ht="23.4" x14ac:dyDescent="0.25">
      <c r="A583" s="57">
        <v>582</v>
      </c>
      <c r="B583" s="110">
        <v>244040</v>
      </c>
      <c r="C583" s="57" t="s">
        <v>114</v>
      </c>
      <c r="D583" s="57" t="s">
        <v>115</v>
      </c>
      <c r="E583" s="57" t="s">
        <v>116</v>
      </c>
      <c r="F583" s="57" t="s">
        <v>119</v>
      </c>
      <c r="G583" s="57" t="s">
        <v>133</v>
      </c>
      <c r="H583" s="57" t="s">
        <v>117</v>
      </c>
      <c r="I583" s="57" t="s">
        <v>5484</v>
      </c>
      <c r="J583" s="57" t="s">
        <v>5485</v>
      </c>
      <c r="K583" s="57" t="s">
        <v>5486</v>
      </c>
      <c r="L583" s="111" t="s">
        <v>5487</v>
      </c>
      <c r="N583" s="57">
        <v>0.67800000000000005</v>
      </c>
      <c r="O583" s="57">
        <v>0</v>
      </c>
      <c r="P583" s="57">
        <v>0</v>
      </c>
      <c r="Q583" s="57">
        <v>0</v>
      </c>
      <c r="R583" s="57">
        <v>0</v>
      </c>
      <c r="S583" s="57">
        <v>17</v>
      </c>
      <c r="T583" s="112">
        <v>17</v>
      </c>
    </row>
    <row r="584" spans="1:20" ht="23.4" x14ac:dyDescent="0.25">
      <c r="A584" s="57">
        <v>583</v>
      </c>
      <c r="B584" s="110">
        <v>244040</v>
      </c>
      <c r="C584" s="57" t="s">
        <v>114</v>
      </c>
      <c r="D584" s="57" t="s">
        <v>115</v>
      </c>
      <c r="E584" s="57" t="s">
        <v>116</v>
      </c>
      <c r="F584" s="57" t="s">
        <v>119</v>
      </c>
      <c r="G584" s="57" t="s">
        <v>133</v>
      </c>
      <c r="H584" s="57" t="s">
        <v>117</v>
      </c>
      <c r="I584" s="57" t="s">
        <v>5488</v>
      </c>
      <c r="J584" s="57" t="s">
        <v>5489</v>
      </c>
      <c r="K584" s="57" t="s">
        <v>5490</v>
      </c>
      <c r="L584" s="111" t="s">
        <v>5491</v>
      </c>
      <c r="N584" s="57">
        <v>1.984</v>
      </c>
      <c r="O584" s="57">
        <v>0</v>
      </c>
      <c r="P584" s="57">
        <v>0</v>
      </c>
      <c r="Q584" s="57">
        <v>0</v>
      </c>
      <c r="R584" s="57">
        <v>0</v>
      </c>
      <c r="S584" s="57">
        <v>22</v>
      </c>
      <c r="T584" s="112">
        <v>22</v>
      </c>
    </row>
    <row r="585" spans="1:20" ht="23.4" x14ac:dyDescent="0.25">
      <c r="A585" s="57">
        <v>584</v>
      </c>
      <c r="B585" s="110">
        <v>244040</v>
      </c>
      <c r="C585" s="57" t="s">
        <v>114</v>
      </c>
      <c r="D585" s="57" t="s">
        <v>115</v>
      </c>
      <c r="E585" s="57" t="s">
        <v>116</v>
      </c>
      <c r="F585" s="57" t="s">
        <v>119</v>
      </c>
      <c r="G585" s="57" t="s">
        <v>133</v>
      </c>
      <c r="H585" s="57" t="s">
        <v>117</v>
      </c>
      <c r="I585" s="57" t="s">
        <v>5492</v>
      </c>
      <c r="J585" s="57" t="s">
        <v>5493</v>
      </c>
      <c r="K585" s="57" t="s">
        <v>2076</v>
      </c>
      <c r="L585" s="111" t="s">
        <v>5494</v>
      </c>
      <c r="N585" s="57">
        <v>8.0299999999999994</v>
      </c>
      <c r="O585" s="57">
        <v>0</v>
      </c>
      <c r="P585" s="57">
        <v>0</v>
      </c>
      <c r="Q585" s="57">
        <v>0</v>
      </c>
      <c r="R585" s="57">
        <v>0</v>
      </c>
      <c r="S585" s="57">
        <v>100</v>
      </c>
      <c r="T585" s="112">
        <v>100</v>
      </c>
    </row>
    <row r="586" spans="1:20" ht="23.4" x14ac:dyDescent="0.25">
      <c r="A586" s="57">
        <v>585</v>
      </c>
      <c r="B586" s="110">
        <v>244040</v>
      </c>
      <c r="C586" s="57" t="s">
        <v>114</v>
      </c>
      <c r="D586" s="57" t="s">
        <v>115</v>
      </c>
      <c r="E586" s="57" t="s">
        <v>116</v>
      </c>
      <c r="F586" s="57" t="s">
        <v>119</v>
      </c>
      <c r="G586" s="57" t="s">
        <v>133</v>
      </c>
      <c r="H586" s="57" t="s">
        <v>117</v>
      </c>
      <c r="I586" s="57" t="s">
        <v>5495</v>
      </c>
      <c r="J586" s="57" t="s">
        <v>5496</v>
      </c>
      <c r="K586" s="57" t="s">
        <v>2194</v>
      </c>
      <c r="L586" s="111" t="s">
        <v>5497</v>
      </c>
      <c r="N586" s="57">
        <v>16.995000000000001</v>
      </c>
      <c r="O586" s="57">
        <v>1060</v>
      </c>
      <c r="P586" s="57">
        <v>15.9</v>
      </c>
      <c r="Q586" s="57">
        <v>1.113</v>
      </c>
      <c r="R586" s="57">
        <v>0</v>
      </c>
      <c r="S586" s="57">
        <v>180</v>
      </c>
      <c r="T586" s="112">
        <v>197.01</v>
      </c>
    </row>
    <row r="587" spans="1:20" ht="23.4" x14ac:dyDescent="0.25">
      <c r="A587" s="57">
        <v>586</v>
      </c>
      <c r="B587" s="110">
        <v>244040</v>
      </c>
      <c r="C587" s="57" t="s">
        <v>114</v>
      </c>
      <c r="D587" s="57" t="s">
        <v>115</v>
      </c>
      <c r="E587" s="57" t="s">
        <v>116</v>
      </c>
      <c r="F587" s="57" t="s">
        <v>119</v>
      </c>
      <c r="G587" s="57" t="s">
        <v>133</v>
      </c>
      <c r="H587" s="57" t="s">
        <v>117</v>
      </c>
      <c r="I587" s="57" t="s">
        <v>5498</v>
      </c>
      <c r="J587" s="57" t="s">
        <v>5499</v>
      </c>
      <c r="K587" s="57" t="s">
        <v>5500</v>
      </c>
      <c r="L587" s="111" t="s">
        <v>5501</v>
      </c>
      <c r="N587" s="57">
        <v>1.264</v>
      </c>
      <c r="O587" s="57">
        <v>230</v>
      </c>
      <c r="P587" s="57">
        <v>3.45</v>
      </c>
      <c r="Q587" s="57">
        <v>0.24149999999999999</v>
      </c>
      <c r="R587" s="57">
        <v>0</v>
      </c>
      <c r="S587" s="57">
        <v>22</v>
      </c>
      <c r="T587" s="112">
        <v>25.69</v>
      </c>
    </row>
    <row r="588" spans="1:20" ht="23.4" x14ac:dyDescent="0.25">
      <c r="A588" s="57">
        <v>587</v>
      </c>
      <c r="B588" s="110">
        <v>244040</v>
      </c>
      <c r="C588" s="57" t="s">
        <v>114</v>
      </c>
      <c r="D588" s="57" t="s">
        <v>115</v>
      </c>
      <c r="E588" s="57" t="s">
        <v>116</v>
      </c>
      <c r="F588" s="57" t="s">
        <v>119</v>
      </c>
      <c r="G588" s="57" t="s">
        <v>133</v>
      </c>
      <c r="H588" s="57" t="s">
        <v>117</v>
      </c>
      <c r="I588" s="57" t="s">
        <v>5502</v>
      </c>
      <c r="J588" s="57" t="s">
        <v>5503</v>
      </c>
      <c r="K588" s="57" t="s">
        <v>5504</v>
      </c>
      <c r="L588" s="111" t="s">
        <v>5505</v>
      </c>
      <c r="N588" s="57">
        <v>0.7</v>
      </c>
      <c r="O588" s="57">
        <v>130</v>
      </c>
      <c r="P588" s="57">
        <v>1.95</v>
      </c>
      <c r="Q588" s="57">
        <v>0.13650000000000001</v>
      </c>
      <c r="R588" s="57">
        <v>0</v>
      </c>
      <c r="S588" s="57">
        <v>17</v>
      </c>
      <c r="T588" s="112">
        <v>19.09</v>
      </c>
    </row>
    <row r="589" spans="1:20" ht="23.4" x14ac:dyDescent="0.25">
      <c r="A589" s="57">
        <v>588</v>
      </c>
      <c r="B589" s="110">
        <v>244040</v>
      </c>
      <c r="C589" s="57" t="s">
        <v>114</v>
      </c>
      <c r="D589" s="57" t="s">
        <v>115</v>
      </c>
      <c r="E589" s="57" t="s">
        <v>116</v>
      </c>
      <c r="F589" s="57" t="s">
        <v>119</v>
      </c>
      <c r="G589" s="57" t="s">
        <v>133</v>
      </c>
      <c r="H589" s="57" t="s">
        <v>117</v>
      </c>
      <c r="I589" s="57" t="s">
        <v>5506</v>
      </c>
      <c r="J589" s="57" t="s">
        <v>5507</v>
      </c>
      <c r="K589" s="57" t="s">
        <v>5508</v>
      </c>
      <c r="L589" s="111" t="s">
        <v>5509</v>
      </c>
      <c r="N589" s="57">
        <v>1.8859999999999999</v>
      </c>
      <c r="O589" s="57">
        <v>330</v>
      </c>
      <c r="P589" s="57">
        <v>4.95</v>
      </c>
      <c r="Q589" s="57">
        <v>0.34649999999999997</v>
      </c>
      <c r="R589" s="57">
        <v>0</v>
      </c>
      <c r="S589" s="57">
        <v>22</v>
      </c>
      <c r="T589" s="112">
        <v>27.3</v>
      </c>
    </row>
    <row r="590" spans="1:20" ht="23.4" x14ac:dyDescent="0.25">
      <c r="A590" s="57">
        <v>589</v>
      </c>
      <c r="B590" s="110">
        <v>244040</v>
      </c>
      <c r="C590" s="57" t="s">
        <v>114</v>
      </c>
      <c r="D590" s="57" t="s">
        <v>115</v>
      </c>
      <c r="E590" s="57" t="s">
        <v>116</v>
      </c>
      <c r="F590" s="57" t="s">
        <v>119</v>
      </c>
      <c r="G590" s="57" t="s">
        <v>133</v>
      </c>
      <c r="H590" s="57" t="s">
        <v>117</v>
      </c>
      <c r="I590" s="57" t="s">
        <v>5510</v>
      </c>
      <c r="J590" s="57" t="s">
        <v>5511</v>
      </c>
      <c r="K590" s="57" t="s">
        <v>5512</v>
      </c>
      <c r="L590" s="111" t="s">
        <v>5513</v>
      </c>
      <c r="N590" s="57">
        <v>1.3320000000000001</v>
      </c>
      <c r="O590" s="57">
        <v>330</v>
      </c>
      <c r="P590" s="57">
        <v>4.95</v>
      </c>
      <c r="Q590" s="57">
        <v>0.34649999999999997</v>
      </c>
      <c r="R590" s="57">
        <v>0</v>
      </c>
      <c r="S590" s="57">
        <v>22</v>
      </c>
      <c r="T590" s="112">
        <v>27.3</v>
      </c>
    </row>
    <row r="591" spans="1:20" ht="23.4" x14ac:dyDescent="0.25">
      <c r="A591" s="57">
        <v>590</v>
      </c>
      <c r="B591" s="110">
        <v>244040</v>
      </c>
      <c r="C591" s="57" t="s">
        <v>114</v>
      </c>
      <c r="D591" s="57" t="s">
        <v>115</v>
      </c>
      <c r="E591" s="57" t="s">
        <v>116</v>
      </c>
      <c r="F591" s="57" t="s">
        <v>119</v>
      </c>
      <c r="G591" s="57" t="s">
        <v>133</v>
      </c>
      <c r="H591" s="57" t="s">
        <v>117</v>
      </c>
      <c r="I591" s="57" t="s">
        <v>5514</v>
      </c>
      <c r="J591" s="57" t="s">
        <v>5515</v>
      </c>
      <c r="K591" s="57" t="s">
        <v>5516</v>
      </c>
      <c r="L591" s="111" t="s">
        <v>5517</v>
      </c>
      <c r="N591" s="57">
        <v>2.4159999999999999</v>
      </c>
      <c r="O591" s="57">
        <v>388</v>
      </c>
      <c r="P591" s="57">
        <v>5.82</v>
      </c>
      <c r="Q591" s="57">
        <v>0.40739999999999998</v>
      </c>
      <c r="R591" s="57">
        <v>0</v>
      </c>
      <c r="S591" s="57">
        <v>33</v>
      </c>
      <c r="T591" s="112">
        <v>39.229999999999997</v>
      </c>
    </row>
    <row r="592" spans="1:20" ht="23.4" x14ac:dyDescent="0.25">
      <c r="A592" s="57">
        <v>591</v>
      </c>
      <c r="B592" s="110">
        <v>244040</v>
      </c>
      <c r="C592" s="57" t="s">
        <v>114</v>
      </c>
      <c r="D592" s="57" t="s">
        <v>115</v>
      </c>
      <c r="E592" s="57" t="s">
        <v>116</v>
      </c>
      <c r="F592" s="57" t="s">
        <v>119</v>
      </c>
      <c r="G592" s="57" t="s">
        <v>133</v>
      </c>
      <c r="H592" s="57" t="s">
        <v>117</v>
      </c>
      <c r="I592" s="57" t="s">
        <v>5518</v>
      </c>
      <c r="J592" s="57" t="s">
        <v>4833</v>
      </c>
      <c r="K592" s="57" t="s">
        <v>4834</v>
      </c>
      <c r="L592" s="111" t="s">
        <v>4835</v>
      </c>
      <c r="N592" s="57">
        <v>0.65600000000000003</v>
      </c>
      <c r="O592" s="57">
        <v>130</v>
      </c>
      <c r="P592" s="57">
        <v>1.95</v>
      </c>
      <c r="Q592" s="57">
        <v>0.13650000000000001</v>
      </c>
      <c r="R592" s="57">
        <v>0</v>
      </c>
      <c r="S592" s="57">
        <v>17</v>
      </c>
      <c r="T592" s="112">
        <v>19.09</v>
      </c>
    </row>
    <row r="593" spans="1:20" ht="23.4" x14ac:dyDescent="0.25">
      <c r="A593" s="57">
        <v>592</v>
      </c>
      <c r="B593" s="110">
        <v>244041</v>
      </c>
      <c r="C593" s="57" t="s">
        <v>114</v>
      </c>
      <c r="D593" s="57" t="s">
        <v>115</v>
      </c>
      <c r="E593" s="57" t="s">
        <v>116</v>
      </c>
      <c r="F593" s="57" t="s">
        <v>119</v>
      </c>
      <c r="G593" s="57" t="s">
        <v>133</v>
      </c>
      <c r="H593" s="57" t="s">
        <v>117</v>
      </c>
      <c r="I593" s="57" t="s">
        <v>5519</v>
      </c>
      <c r="J593" s="57" t="s">
        <v>5520</v>
      </c>
      <c r="K593" s="57" t="s">
        <v>245</v>
      </c>
      <c r="L593" s="111" t="s">
        <v>246</v>
      </c>
      <c r="N593" s="57">
        <v>1.1599999999999999</v>
      </c>
      <c r="O593" s="57">
        <v>230</v>
      </c>
      <c r="P593" s="57">
        <v>3.45</v>
      </c>
      <c r="Q593" s="57">
        <v>0.24149999999999999</v>
      </c>
      <c r="R593" s="57">
        <v>0</v>
      </c>
      <c r="S593" s="57">
        <v>22</v>
      </c>
      <c r="T593" s="112">
        <v>25.69</v>
      </c>
    </row>
    <row r="594" spans="1:20" ht="23.4" x14ac:dyDescent="0.25">
      <c r="A594" s="57">
        <v>593</v>
      </c>
      <c r="B594" s="110">
        <v>244041</v>
      </c>
      <c r="C594" s="57" t="s">
        <v>114</v>
      </c>
      <c r="D594" s="57" t="s">
        <v>115</v>
      </c>
      <c r="E594" s="57" t="s">
        <v>116</v>
      </c>
      <c r="F594" s="57" t="s">
        <v>119</v>
      </c>
      <c r="G594" s="57" t="s">
        <v>133</v>
      </c>
      <c r="H594" s="57" t="s">
        <v>117</v>
      </c>
      <c r="I594" s="57" t="s">
        <v>5521</v>
      </c>
      <c r="J594" s="57" t="s">
        <v>5522</v>
      </c>
      <c r="K594" s="57" t="s">
        <v>5523</v>
      </c>
      <c r="L594" s="111" t="s">
        <v>5524</v>
      </c>
      <c r="N594" s="57">
        <v>1.258</v>
      </c>
      <c r="O594" s="57">
        <v>209</v>
      </c>
      <c r="P594" s="57">
        <v>3.1349999999999998</v>
      </c>
      <c r="Q594" s="57">
        <v>0.2195</v>
      </c>
      <c r="R594" s="57">
        <v>0</v>
      </c>
      <c r="S594" s="57">
        <v>22</v>
      </c>
      <c r="T594" s="112">
        <v>25.35</v>
      </c>
    </row>
    <row r="595" spans="1:20" ht="23.4" x14ac:dyDescent="0.25">
      <c r="A595" s="57">
        <v>594</v>
      </c>
      <c r="B595" s="110">
        <v>244041</v>
      </c>
      <c r="C595" s="57" t="s">
        <v>114</v>
      </c>
      <c r="D595" s="57" t="s">
        <v>115</v>
      </c>
      <c r="E595" s="57" t="s">
        <v>116</v>
      </c>
      <c r="F595" s="57" t="s">
        <v>119</v>
      </c>
      <c r="G595" s="57" t="s">
        <v>133</v>
      </c>
      <c r="H595" s="57" t="s">
        <v>117</v>
      </c>
      <c r="I595" s="57" t="s">
        <v>5525</v>
      </c>
      <c r="J595" s="57" t="s">
        <v>5526</v>
      </c>
      <c r="K595" s="57" t="s">
        <v>5527</v>
      </c>
      <c r="L595" s="111" t="s">
        <v>5528</v>
      </c>
      <c r="N595" s="57">
        <v>1.274</v>
      </c>
      <c r="O595" s="57">
        <v>209</v>
      </c>
      <c r="P595" s="57">
        <v>3.1349999999999998</v>
      </c>
      <c r="Q595" s="57">
        <v>0.2195</v>
      </c>
      <c r="R595" s="57">
        <v>0</v>
      </c>
      <c r="S595" s="57">
        <v>22</v>
      </c>
      <c r="T595" s="112">
        <v>25.35</v>
      </c>
    </row>
    <row r="596" spans="1:20" ht="23.4" x14ac:dyDescent="0.25">
      <c r="A596" s="57">
        <v>595</v>
      </c>
      <c r="B596" s="110">
        <v>244041</v>
      </c>
      <c r="C596" s="57" t="s">
        <v>114</v>
      </c>
      <c r="D596" s="57" t="s">
        <v>115</v>
      </c>
      <c r="E596" s="57" t="s">
        <v>116</v>
      </c>
      <c r="F596" s="57" t="s">
        <v>119</v>
      </c>
      <c r="G596" s="57" t="s">
        <v>133</v>
      </c>
      <c r="H596" s="57" t="s">
        <v>117</v>
      </c>
      <c r="I596" s="57" t="s">
        <v>5529</v>
      </c>
      <c r="J596" s="57" t="s">
        <v>5530</v>
      </c>
      <c r="K596" s="57" t="s">
        <v>5531</v>
      </c>
      <c r="L596" s="111" t="s">
        <v>5532</v>
      </c>
      <c r="N596" s="57">
        <v>1.3560000000000001</v>
      </c>
      <c r="O596" s="57">
        <v>0</v>
      </c>
      <c r="P596" s="57">
        <v>0</v>
      </c>
      <c r="Q596" s="57">
        <v>0</v>
      </c>
      <c r="R596" s="57">
        <v>0</v>
      </c>
      <c r="S596" s="57">
        <v>22</v>
      </c>
      <c r="T596" s="112">
        <v>22</v>
      </c>
    </row>
    <row r="597" spans="1:20" ht="23.4" x14ac:dyDescent="0.25">
      <c r="A597" s="57">
        <v>596</v>
      </c>
      <c r="B597" s="110">
        <v>244041</v>
      </c>
      <c r="C597" s="57" t="s">
        <v>114</v>
      </c>
      <c r="D597" s="57" t="s">
        <v>115</v>
      </c>
      <c r="E597" s="57" t="s">
        <v>116</v>
      </c>
      <c r="F597" s="57" t="s">
        <v>119</v>
      </c>
      <c r="G597" s="57" t="s">
        <v>133</v>
      </c>
      <c r="H597" s="57" t="s">
        <v>117</v>
      </c>
      <c r="I597" s="57" t="s">
        <v>5533</v>
      </c>
      <c r="J597" s="57" t="s">
        <v>5534</v>
      </c>
      <c r="K597" s="57" t="s">
        <v>2462</v>
      </c>
      <c r="L597" s="111" t="s">
        <v>2463</v>
      </c>
      <c r="N597" s="57">
        <v>1.0780000000000001</v>
      </c>
      <c r="O597" s="57">
        <v>0</v>
      </c>
      <c r="P597" s="57">
        <v>0</v>
      </c>
      <c r="Q597" s="57">
        <v>0</v>
      </c>
      <c r="R597" s="57">
        <v>0</v>
      </c>
      <c r="S597" s="57">
        <v>22</v>
      </c>
      <c r="T597" s="112">
        <v>22</v>
      </c>
    </row>
    <row r="598" spans="1:20" ht="23.4" x14ac:dyDescent="0.25">
      <c r="A598" s="57">
        <v>597</v>
      </c>
      <c r="B598" s="110">
        <v>244041</v>
      </c>
      <c r="C598" s="57" t="s">
        <v>114</v>
      </c>
      <c r="D598" s="57" t="s">
        <v>115</v>
      </c>
      <c r="E598" s="57" t="s">
        <v>116</v>
      </c>
      <c r="F598" s="57" t="s">
        <v>119</v>
      </c>
      <c r="G598" s="57" t="s">
        <v>133</v>
      </c>
      <c r="H598" s="57" t="s">
        <v>117</v>
      </c>
      <c r="I598" s="57" t="s">
        <v>5535</v>
      </c>
      <c r="J598" s="57" t="s">
        <v>5536</v>
      </c>
      <c r="K598" s="57" t="s">
        <v>5537</v>
      </c>
      <c r="L598" s="111" t="s">
        <v>5538</v>
      </c>
      <c r="N598" s="57">
        <v>0.68</v>
      </c>
      <c r="O598" s="57">
        <v>0</v>
      </c>
      <c r="P598" s="57">
        <v>0</v>
      </c>
      <c r="Q598" s="57">
        <v>0</v>
      </c>
      <c r="R598" s="57">
        <v>0</v>
      </c>
      <c r="S598" s="57">
        <v>17</v>
      </c>
      <c r="T598" s="112">
        <v>17</v>
      </c>
    </row>
    <row r="599" spans="1:20" ht="23.4" x14ac:dyDescent="0.25">
      <c r="A599" s="57">
        <v>598</v>
      </c>
      <c r="B599" s="110">
        <v>244041</v>
      </c>
      <c r="C599" s="57" t="s">
        <v>114</v>
      </c>
      <c r="D599" s="57" t="s">
        <v>115</v>
      </c>
      <c r="E599" s="57" t="s">
        <v>116</v>
      </c>
      <c r="F599" s="57" t="s">
        <v>119</v>
      </c>
      <c r="G599" s="57" t="s">
        <v>133</v>
      </c>
      <c r="H599" s="57" t="s">
        <v>117</v>
      </c>
      <c r="I599" s="57" t="s">
        <v>5539</v>
      </c>
      <c r="J599" s="57" t="s">
        <v>747</v>
      </c>
      <c r="K599" s="57" t="s">
        <v>748</v>
      </c>
      <c r="L599" s="111" t="s">
        <v>749</v>
      </c>
      <c r="N599" s="57">
        <v>1.238</v>
      </c>
      <c r="O599" s="57">
        <v>230</v>
      </c>
      <c r="P599" s="57">
        <v>3.45</v>
      </c>
      <c r="Q599" s="57">
        <v>0.24149999999999999</v>
      </c>
      <c r="R599" s="57">
        <v>0</v>
      </c>
      <c r="S599" s="57">
        <v>22</v>
      </c>
      <c r="T599" s="112">
        <v>25.69</v>
      </c>
    </row>
    <row r="600" spans="1:20" ht="23.4" x14ac:dyDescent="0.25">
      <c r="A600" s="57">
        <v>599</v>
      </c>
      <c r="B600" s="110">
        <v>244041</v>
      </c>
      <c r="C600" s="57" t="s">
        <v>114</v>
      </c>
      <c r="D600" s="57" t="s">
        <v>115</v>
      </c>
      <c r="E600" s="57" t="s">
        <v>116</v>
      </c>
      <c r="F600" s="57" t="s">
        <v>119</v>
      </c>
      <c r="G600" s="57" t="s">
        <v>133</v>
      </c>
      <c r="H600" s="57" t="s">
        <v>117</v>
      </c>
      <c r="I600" s="57" t="s">
        <v>5540</v>
      </c>
      <c r="J600" s="57" t="s">
        <v>3240</v>
      </c>
      <c r="K600" s="57" t="s">
        <v>3241</v>
      </c>
      <c r="L600" s="111" t="s">
        <v>3242</v>
      </c>
      <c r="N600" s="57">
        <v>0.746</v>
      </c>
      <c r="O600" s="57">
        <v>189</v>
      </c>
      <c r="P600" s="57">
        <v>2.835</v>
      </c>
      <c r="Q600" s="57">
        <v>0.19850000000000001</v>
      </c>
      <c r="R600" s="57">
        <v>0</v>
      </c>
      <c r="S600" s="57">
        <v>17</v>
      </c>
      <c r="T600" s="112">
        <v>20.03</v>
      </c>
    </row>
    <row r="601" spans="1:20" ht="23.4" x14ac:dyDescent="0.25">
      <c r="A601" s="57">
        <v>600</v>
      </c>
      <c r="B601" s="110">
        <v>244041</v>
      </c>
      <c r="C601" s="57" t="s">
        <v>114</v>
      </c>
      <c r="D601" s="57" t="s">
        <v>115</v>
      </c>
      <c r="E601" s="57" t="s">
        <v>116</v>
      </c>
      <c r="F601" s="57" t="s">
        <v>119</v>
      </c>
      <c r="G601" s="57" t="s">
        <v>133</v>
      </c>
      <c r="H601" s="57" t="s">
        <v>117</v>
      </c>
      <c r="I601" s="57" t="s">
        <v>5541</v>
      </c>
      <c r="J601" s="57" t="s">
        <v>5542</v>
      </c>
      <c r="K601" s="57" t="s">
        <v>5543</v>
      </c>
      <c r="L601" s="111" t="s">
        <v>5544</v>
      </c>
      <c r="N601" s="57">
        <v>0.66400000000000003</v>
      </c>
      <c r="O601" s="57">
        <v>130</v>
      </c>
      <c r="P601" s="57">
        <v>1.95</v>
      </c>
      <c r="Q601" s="57">
        <v>0.13650000000000001</v>
      </c>
      <c r="R601" s="57">
        <v>0</v>
      </c>
      <c r="S601" s="57">
        <v>17</v>
      </c>
      <c r="T601" s="112">
        <v>19.09</v>
      </c>
    </row>
    <row r="602" spans="1:20" ht="23.4" x14ac:dyDescent="0.25">
      <c r="A602" s="57">
        <v>601</v>
      </c>
      <c r="B602" s="110">
        <v>244041</v>
      </c>
      <c r="C602" s="57" t="s">
        <v>114</v>
      </c>
      <c r="D602" s="57" t="s">
        <v>115</v>
      </c>
      <c r="E602" s="57" t="s">
        <v>116</v>
      </c>
      <c r="F602" s="57" t="s">
        <v>119</v>
      </c>
      <c r="G602" s="57" t="s">
        <v>133</v>
      </c>
      <c r="H602" s="57" t="s">
        <v>117</v>
      </c>
      <c r="I602" s="57" t="s">
        <v>5545</v>
      </c>
      <c r="J602" s="57" t="s">
        <v>5546</v>
      </c>
      <c r="K602" s="57" t="s">
        <v>3644</v>
      </c>
      <c r="L602" s="111" t="s">
        <v>5547</v>
      </c>
      <c r="N602" s="57">
        <v>3.78</v>
      </c>
      <c r="O602" s="57">
        <v>0</v>
      </c>
      <c r="P602" s="57">
        <v>0</v>
      </c>
      <c r="Q602" s="57">
        <v>0</v>
      </c>
      <c r="R602" s="57">
        <v>0</v>
      </c>
      <c r="S602" s="57">
        <v>43</v>
      </c>
      <c r="T602" s="112">
        <v>43</v>
      </c>
    </row>
    <row r="603" spans="1:20" ht="23.4" x14ac:dyDescent="0.25">
      <c r="A603" s="57">
        <v>602</v>
      </c>
      <c r="B603" s="110">
        <v>244041</v>
      </c>
      <c r="C603" s="57" t="s">
        <v>114</v>
      </c>
      <c r="D603" s="57" t="s">
        <v>115</v>
      </c>
      <c r="E603" s="57" t="s">
        <v>116</v>
      </c>
      <c r="F603" s="57" t="s">
        <v>119</v>
      </c>
      <c r="G603" s="57" t="s">
        <v>133</v>
      </c>
      <c r="H603" s="57" t="s">
        <v>117</v>
      </c>
      <c r="I603" s="57" t="s">
        <v>5548</v>
      </c>
      <c r="J603" s="57" t="s">
        <v>4001</v>
      </c>
      <c r="K603" s="57" t="s">
        <v>4002</v>
      </c>
      <c r="L603" s="111" t="s">
        <v>4003</v>
      </c>
      <c r="N603" s="57">
        <v>1.0860000000000001</v>
      </c>
      <c r="O603" s="57">
        <v>300</v>
      </c>
      <c r="P603" s="57">
        <v>4.5</v>
      </c>
      <c r="Q603" s="57">
        <v>0.315</v>
      </c>
      <c r="R603" s="57">
        <v>0</v>
      </c>
      <c r="S603" s="57">
        <v>22</v>
      </c>
      <c r="T603" s="112">
        <v>26.82</v>
      </c>
    </row>
    <row r="604" spans="1:20" ht="23.4" x14ac:dyDescent="0.25">
      <c r="A604" s="57">
        <v>603</v>
      </c>
      <c r="B604" s="110">
        <v>244041</v>
      </c>
      <c r="C604" s="57" t="s">
        <v>114</v>
      </c>
      <c r="D604" s="57" t="s">
        <v>115</v>
      </c>
      <c r="E604" s="57" t="s">
        <v>116</v>
      </c>
      <c r="F604" s="57" t="s">
        <v>119</v>
      </c>
      <c r="G604" s="57" t="s">
        <v>133</v>
      </c>
      <c r="H604" s="57" t="s">
        <v>117</v>
      </c>
      <c r="I604" s="57" t="s">
        <v>5549</v>
      </c>
      <c r="J604" s="57" t="s">
        <v>5550</v>
      </c>
      <c r="K604" s="57" t="s">
        <v>5551</v>
      </c>
      <c r="L604" s="111" t="s">
        <v>5552</v>
      </c>
      <c r="N604" s="57">
        <v>0.67800000000000005</v>
      </c>
      <c r="O604" s="57">
        <v>130</v>
      </c>
      <c r="P604" s="57">
        <v>1.95</v>
      </c>
      <c r="Q604" s="57">
        <v>0.13650000000000001</v>
      </c>
      <c r="R604" s="57">
        <v>0</v>
      </c>
      <c r="S604" s="57">
        <v>17</v>
      </c>
      <c r="T604" s="112">
        <v>19.09</v>
      </c>
    </row>
    <row r="605" spans="1:20" ht="23.4" x14ac:dyDescent="0.25">
      <c r="A605" s="57">
        <v>604</v>
      </c>
      <c r="B605" s="110">
        <v>244041</v>
      </c>
      <c r="C605" s="57" t="s">
        <v>114</v>
      </c>
      <c r="D605" s="57" t="s">
        <v>115</v>
      </c>
      <c r="E605" s="57" t="s">
        <v>116</v>
      </c>
      <c r="F605" s="57" t="s">
        <v>119</v>
      </c>
      <c r="G605" s="57" t="s">
        <v>133</v>
      </c>
      <c r="H605" s="57" t="s">
        <v>117</v>
      </c>
      <c r="I605" s="57" t="s">
        <v>5553</v>
      </c>
      <c r="J605" s="57" t="s">
        <v>4895</v>
      </c>
      <c r="K605" s="57" t="s">
        <v>4896</v>
      </c>
      <c r="L605" s="111" t="s">
        <v>5554</v>
      </c>
      <c r="N605" s="57">
        <v>1.9419999999999999</v>
      </c>
      <c r="O605" s="57">
        <v>0</v>
      </c>
      <c r="P605" s="57">
        <v>0</v>
      </c>
      <c r="Q605" s="57">
        <v>0</v>
      </c>
      <c r="R605" s="57">
        <v>0</v>
      </c>
      <c r="S605" s="57">
        <v>22</v>
      </c>
      <c r="T605" s="112">
        <v>22</v>
      </c>
    </row>
    <row r="606" spans="1:20" ht="23.4" x14ac:dyDescent="0.25">
      <c r="A606" s="57">
        <v>605</v>
      </c>
      <c r="B606" s="110">
        <v>244041</v>
      </c>
      <c r="C606" s="57" t="s">
        <v>114</v>
      </c>
      <c r="D606" s="57" t="s">
        <v>115</v>
      </c>
      <c r="E606" s="57" t="s">
        <v>116</v>
      </c>
      <c r="F606" s="57" t="s">
        <v>119</v>
      </c>
      <c r="G606" s="57" t="s">
        <v>133</v>
      </c>
      <c r="H606" s="57" t="s">
        <v>117</v>
      </c>
      <c r="I606" s="57" t="s">
        <v>5555</v>
      </c>
      <c r="J606" s="57" t="s">
        <v>5556</v>
      </c>
      <c r="K606" s="57" t="s">
        <v>5557</v>
      </c>
      <c r="L606" s="111" t="s">
        <v>5558</v>
      </c>
      <c r="N606" s="57">
        <v>0.1</v>
      </c>
      <c r="O606" s="57">
        <v>0</v>
      </c>
      <c r="P606" s="57">
        <v>0</v>
      </c>
      <c r="Q606" s="57">
        <v>0</v>
      </c>
      <c r="R606" s="57">
        <v>0</v>
      </c>
      <c r="S606" s="57">
        <v>17</v>
      </c>
      <c r="T606" s="112">
        <v>17</v>
      </c>
    </row>
    <row r="607" spans="1:20" ht="23.4" x14ac:dyDescent="0.25">
      <c r="A607" s="57">
        <v>606</v>
      </c>
      <c r="B607" s="110">
        <v>244041</v>
      </c>
      <c r="C607" s="57" t="s">
        <v>114</v>
      </c>
      <c r="D607" s="57" t="s">
        <v>115</v>
      </c>
      <c r="E607" s="57" t="s">
        <v>116</v>
      </c>
      <c r="F607" s="57" t="s">
        <v>119</v>
      </c>
      <c r="G607" s="57" t="s">
        <v>133</v>
      </c>
      <c r="H607" s="57" t="s">
        <v>117</v>
      </c>
      <c r="I607" s="57" t="s">
        <v>5559</v>
      </c>
      <c r="J607" s="57" t="s">
        <v>5560</v>
      </c>
      <c r="K607" s="57" t="s">
        <v>5561</v>
      </c>
      <c r="L607" s="111" t="s">
        <v>5562</v>
      </c>
      <c r="N607" s="57">
        <v>2.1</v>
      </c>
      <c r="O607" s="57">
        <v>0</v>
      </c>
      <c r="P607" s="57">
        <v>0</v>
      </c>
      <c r="Q607" s="57">
        <v>0</v>
      </c>
      <c r="R607" s="57">
        <v>0</v>
      </c>
      <c r="S607" s="57">
        <v>33</v>
      </c>
      <c r="T607" s="112">
        <v>33</v>
      </c>
    </row>
    <row r="608" spans="1:20" ht="23.4" x14ac:dyDescent="0.25">
      <c r="A608" s="57">
        <v>607</v>
      </c>
      <c r="B608" s="110">
        <v>244041</v>
      </c>
      <c r="C608" s="57" t="s">
        <v>114</v>
      </c>
      <c r="D608" s="57" t="s">
        <v>115</v>
      </c>
      <c r="E608" s="57" t="s">
        <v>116</v>
      </c>
      <c r="F608" s="57" t="s">
        <v>119</v>
      </c>
      <c r="G608" s="57" t="s">
        <v>133</v>
      </c>
      <c r="H608" s="57" t="s">
        <v>117</v>
      </c>
      <c r="I608" s="57" t="s">
        <v>5563</v>
      </c>
      <c r="J608" s="57" t="s">
        <v>5564</v>
      </c>
      <c r="K608" s="57" t="s">
        <v>5565</v>
      </c>
      <c r="L608" s="111" t="s">
        <v>5566</v>
      </c>
      <c r="N608" s="57">
        <v>0.10199999999999999</v>
      </c>
      <c r="O608" s="57">
        <v>0</v>
      </c>
      <c r="P608" s="57">
        <v>0</v>
      </c>
      <c r="Q608" s="57">
        <v>0</v>
      </c>
      <c r="R608" s="57">
        <v>0</v>
      </c>
      <c r="S608" s="57">
        <v>17</v>
      </c>
      <c r="T608" s="112">
        <v>17</v>
      </c>
    </row>
    <row r="609" spans="1:20" ht="23.4" x14ac:dyDescent="0.25">
      <c r="A609" s="57">
        <v>608</v>
      </c>
      <c r="B609" s="110">
        <v>244042</v>
      </c>
      <c r="C609" s="57" t="s">
        <v>114</v>
      </c>
      <c r="D609" s="57" t="s">
        <v>115</v>
      </c>
      <c r="E609" s="57" t="s">
        <v>116</v>
      </c>
      <c r="F609" s="57" t="s">
        <v>119</v>
      </c>
      <c r="G609" s="57" t="s">
        <v>133</v>
      </c>
      <c r="H609" s="57" t="s">
        <v>117</v>
      </c>
      <c r="I609" s="57" t="s">
        <v>5567</v>
      </c>
      <c r="J609" s="57" t="s">
        <v>5568</v>
      </c>
      <c r="K609" s="57" t="s">
        <v>5569</v>
      </c>
      <c r="L609" s="111" t="s">
        <v>5570</v>
      </c>
      <c r="N609" s="57">
        <v>1.266</v>
      </c>
      <c r="O609" s="57">
        <v>209</v>
      </c>
      <c r="P609" s="57">
        <v>3.1349999999999998</v>
      </c>
      <c r="Q609" s="57">
        <v>0.2195</v>
      </c>
      <c r="R609" s="57">
        <v>0</v>
      </c>
      <c r="S609" s="57">
        <v>22</v>
      </c>
      <c r="T609" s="112">
        <v>25.35</v>
      </c>
    </row>
    <row r="610" spans="1:20" ht="23.4" x14ac:dyDescent="0.25">
      <c r="A610" s="57">
        <v>609</v>
      </c>
      <c r="B610" s="110">
        <v>244042</v>
      </c>
      <c r="C610" s="57" t="s">
        <v>114</v>
      </c>
      <c r="D610" s="57" t="s">
        <v>115</v>
      </c>
      <c r="E610" s="57" t="s">
        <v>116</v>
      </c>
      <c r="F610" s="57" t="s">
        <v>119</v>
      </c>
      <c r="G610" s="57" t="s">
        <v>133</v>
      </c>
      <c r="H610" s="57" t="s">
        <v>117</v>
      </c>
      <c r="I610" s="57" t="s">
        <v>5571</v>
      </c>
      <c r="J610" s="57" t="s">
        <v>3192</v>
      </c>
      <c r="K610" s="57" t="s">
        <v>5572</v>
      </c>
      <c r="L610" s="111" t="s">
        <v>5573</v>
      </c>
      <c r="N610" s="57">
        <v>1.8680000000000001</v>
      </c>
      <c r="O610" s="57">
        <v>309</v>
      </c>
      <c r="P610" s="57">
        <v>4.6349999999999998</v>
      </c>
      <c r="Q610" s="57">
        <v>0.32450000000000001</v>
      </c>
      <c r="R610" s="57">
        <v>0</v>
      </c>
      <c r="S610" s="57">
        <v>22</v>
      </c>
      <c r="T610" s="112">
        <v>26.96</v>
      </c>
    </row>
    <row r="611" spans="1:20" ht="23.4" x14ac:dyDescent="0.25">
      <c r="A611" s="57">
        <v>610</v>
      </c>
      <c r="B611" s="110">
        <v>244042</v>
      </c>
      <c r="C611" s="57" t="s">
        <v>114</v>
      </c>
      <c r="D611" s="57" t="s">
        <v>115</v>
      </c>
      <c r="E611" s="57" t="s">
        <v>116</v>
      </c>
      <c r="F611" s="57" t="s">
        <v>119</v>
      </c>
      <c r="G611" s="57" t="s">
        <v>133</v>
      </c>
      <c r="H611" s="57" t="s">
        <v>117</v>
      </c>
      <c r="I611" s="57" t="s">
        <v>5574</v>
      </c>
      <c r="J611" s="57" t="s">
        <v>5575</v>
      </c>
      <c r="K611" s="57" t="s">
        <v>5576</v>
      </c>
      <c r="L611" s="111" t="s">
        <v>5577</v>
      </c>
      <c r="N611" s="57">
        <v>1.286</v>
      </c>
      <c r="O611" s="57">
        <v>0</v>
      </c>
      <c r="P611" s="57">
        <v>0</v>
      </c>
      <c r="Q611" s="57">
        <v>0</v>
      </c>
      <c r="R611" s="57">
        <v>0</v>
      </c>
      <c r="S611" s="57">
        <v>22</v>
      </c>
      <c r="T611" s="112">
        <v>22</v>
      </c>
    </row>
    <row r="612" spans="1:20" ht="23.4" x14ac:dyDescent="0.25">
      <c r="A612" s="57">
        <v>611</v>
      </c>
      <c r="B612" s="110">
        <v>244042</v>
      </c>
      <c r="C612" s="57" t="s">
        <v>114</v>
      </c>
      <c r="D612" s="57" t="s">
        <v>115</v>
      </c>
      <c r="E612" s="57" t="s">
        <v>116</v>
      </c>
      <c r="F612" s="57" t="s">
        <v>119</v>
      </c>
      <c r="G612" s="57" t="s">
        <v>133</v>
      </c>
      <c r="H612" s="57" t="s">
        <v>117</v>
      </c>
      <c r="I612" s="57" t="s">
        <v>5578</v>
      </c>
      <c r="J612" s="57" t="s">
        <v>5579</v>
      </c>
      <c r="K612" s="57" t="s">
        <v>5580</v>
      </c>
      <c r="L612" s="111" t="s">
        <v>5581</v>
      </c>
      <c r="N612" s="57">
        <v>1.27</v>
      </c>
      <c r="O612" s="57">
        <v>209</v>
      </c>
      <c r="P612" s="57">
        <v>3.1349999999999998</v>
      </c>
      <c r="Q612" s="57">
        <v>0.2195</v>
      </c>
      <c r="R612" s="57">
        <v>0</v>
      </c>
      <c r="S612" s="57">
        <v>22</v>
      </c>
      <c r="T612" s="112">
        <v>25.35</v>
      </c>
    </row>
    <row r="613" spans="1:20" ht="23.4" x14ac:dyDescent="0.25">
      <c r="A613" s="57">
        <v>612</v>
      </c>
      <c r="B613" s="110">
        <v>244042</v>
      </c>
      <c r="C613" s="57" t="s">
        <v>114</v>
      </c>
      <c r="D613" s="57" t="s">
        <v>115</v>
      </c>
      <c r="E613" s="57" t="s">
        <v>116</v>
      </c>
      <c r="F613" s="57" t="s">
        <v>119</v>
      </c>
      <c r="G613" s="57" t="s">
        <v>133</v>
      </c>
      <c r="H613" s="57" t="s">
        <v>117</v>
      </c>
      <c r="I613" s="57" t="s">
        <v>5582</v>
      </c>
      <c r="J613" s="57" t="s">
        <v>5583</v>
      </c>
      <c r="K613" s="57" t="s">
        <v>5584</v>
      </c>
      <c r="L613" s="111" t="s">
        <v>5585</v>
      </c>
      <c r="N613" s="57">
        <v>1.274</v>
      </c>
      <c r="O613" s="57">
        <v>209</v>
      </c>
      <c r="P613" s="57">
        <v>3.1349999999999998</v>
      </c>
      <c r="Q613" s="57">
        <v>0.2195</v>
      </c>
      <c r="R613" s="57">
        <v>0</v>
      </c>
      <c r="S613" s="57">
        <v>22</v>
      </c>
      <c r="T613" s="112">
        <v>25.35</v>
      </c>
    </row>
    <row r="614" spans="1:20" ht="23.4" x14ac:dyDescent="0.25">
      <c r="A614" s="57">
        <v>613</v>
      </c>
      <c r="B614" s="110">
        <v>244042</v>
      </c>
      <c r="C614" s="57" t="s">
        <v>114</v>
      </c>
      <c r="D614" s="57" t="s">
        <v>115</v>
      </c>
      <c r="E614" s="57" t="s">
        <v>116</v>
      </c>
      <c r="F614" s="57" t="s">
        <v>119</v>
      </c>
      <c r="G614" s="57" t="s">
        <v>133</v>
      </c>
      <c r="H614" s="57" t="s">
        <v>117</v>
      </c>
      <c r="I614" s="57" t="s">
        <v>5586</v>
      </c>
      <c r="J614" s="57" t="s">
        <v>5587</v>
      </c>
      <c r="K614" s="57" t="s">
        <v>5588</v>
      </c>
      <c r="L614" s="111" t="s">
        <v>5589</v>
      </c>
      <c r="N614" s="57">
        <v>1.8380000000000001</v>
      </c>
      <c r="O614" s="57">
        <v>309</v>
      </c>
      <c r="P614" s="57">
        <v>4.6349999999999998</v>
      </c>
      <c r="Q614" s="57">
        <v>0.32450000000000001</v>
      </c>
      <c r="R614" s="57">
        <v>0</v>
      </c>
      <c r="S614" s="57">
        <v>22</v>
      </c>
      <c r="T614" s="112">
        <v>26.96</v>
      </c>
    </row>
    <row r="615" spans="1:20" ht="23.4" x14ac:dyDescent="0.25">
      <c r="A615" s="57">
        <v>614</v>
      </c>
      <c r="B615" s="110">
        <v>244042</v>
      </c>
      <c r="C615" s="57" t="s">
        <v>114</v>
      </c>
      <c r="D615" s="57" t="s">
        <v>115</v>
      </c>
      <c r="E615" s="57" t="s">
        <v>116</v>
      </c>
      <c r="F615" s="57" t="s">
        <v>119</v>
      </c>
      <c r="G615" s="57" t="s">
        <v>133</v>
      </c>
      <c r="H615" s="57" t="s">
        <v>117</v>
      </c>
      <c r="I615" s="57" t="s">
        <v>5590</v>
      </c>
      <c r="J615" s="57" t="s">
        <v>3511</v>
      </c>
      <c r="K615" s="57" t="s">
        <v>3512</v>
      </c>
      <c r="L615" s="111" t="s">
        <v>3513</v>
      </c>
      <c r="N615" s="57">
        <v>1.27</v>
      </c>
      <c r="O615" s="57">
        <v>0</v>
      </c>
      <c r="P615" s="57">
        <v>0</v>
      </c>
      <c r="Q615" s="57">
        <v>0</v>
      </c>
      <c r="R615" s="57">
        <v>0</v>
      </c>
      <c r="S615" s="57">
        <v>22</v>
      </c>
      <c r="T615" s="112">
        <v>22</v>
      </c>
    </row>
    <row r="616" spans="1:20" ht="23.4" x14ac:dyDescent="0.25">
      <c r="A616" s="57">
        <v>615</v>
      </c>
      <c r="B616" s="110">
        <v>244042</v>
      </c>
      <c r="C616" s="57" t="s">
        <v>114</v>
      </c>
      <c r="D616" s="57" t="s">
        <v>115</v>
      </c>
      <c r="E616" s="57" t="s">
        <v>116</v>
      </c>
      <c r="F616" s="57" t="s">
        <v>119</v>
      </c>
      <c r="G616" s="57" t="s">
        <v>133</v>
      </c>
      <c r="H616" s="57" t="s">
        <v>117</v>
      </c>
      <c r="I616" s="57" t="s">
        <v>5591</v>
      </c>
      <c r="J616" s="57" t="s">
        <v>5592</v>
      </c>
      <c r="K616" s="57" t="s">
        <v>5593</v>
      </c>
      <c r="L616" s="111" t="s">
        <v>5594</v>
      </c>
      <c r="N616" s="57">
        <v>2.4260000000000002</v>
      </c>
      <c r="O616" s="57">
        <v>388</v>
      </c>
      <c r="P616" s="57">
        <v>5.82</v>
      </c>
      <c r="Q616" s="57">
        <v>0.40739999999999998</v>
      </c>
      <c r="R616" s="57">
        <v>0</v>
      </c>
      <c r="S616" s="57">
        <v>33</v>
      </c>
      <c r="T616" s="112">
        <v>39.229999999999997</v>
      </c>
    </row>
    <row r="617" spans="1:20" ht="23.4" x14ac:dyDescent="0.25">
      <c r="A617" s="57">
        <v>616</v>
      </c>
      <c r="B617" s="110">
        <v>244042</v>
      </c>
      <c r="C617" s="57" t="s">
        <v>114</v>
      </c>
      <c r="D617" s="57" t="s">
        <v>115</v>
      </c>
      <c r="E617" s="57" t="s">
        <v>116</v>
      </c>
      <c r="F617" s="57" t="s">
        <v>119</v>
      </c>
      <c r="G617" s="57" t="s">
        <v>133</v>
      </c>
      <c r="H617" s="57" t="s">
        <v>117</v>
      </c>
      <c r="I617" s="57" t="s">
        <v>5595</v>
      </c>
      <c r="J617" s="57" t="s">
        <v>5596</v>
      </c>
      <c r="K617" s="57" t="s">
        <v>5597</v>
      </c>
      <c r="L617" s="111" t="s">
        <v>5598</v>
      </c>
      <c r="N617" s="57">
        <v>0.63600000000000001</v>
      </c>
      <c r="O617" s="57">
        <v>0</v>
      </c>
      <c r="P617" s="57">
        <v>0</v>
      </c>
      <c r="Q617" s="57">
        <v>0</v>
      </c>
      <c r="R617" s="57">
        <v>0</v>
      </c>
      <c r="S617" s="57">
        <v>17</v>
      </c>
      <c r="T617" s="112">
        <v>17</v>
      </c>
    </row>
    <row r="618" spans="1:20" ht="23.4" x14ac:dyDescent="0.25">
      <c r="A618" s="57">
        <v>617</v>
      </c>
      <c r="B618" s="110">
        <v>244042</v>
      </c>
      <c r="C618" s="57" t="s">
        <v>114</v>
      </c>
      <c r="D618" s="57" t="s">
        <v>115</v>
      </c>
      <c r="E618" s="57" t="s">
        <v>116</v>
      </c>
      <c r="F618" s="57" t="s">
        <v>119</v>
      </c>
      <c r="G618" s="57" t="s">
        <v>133</v>
      </c>
      <c r="H618" s="57" t="s">
        <v>117</v>
      </c>
      <c r="I618" s="57" t="s">
        <v>5599</v>
      </c>
      <c r="J618" s="57" t="s">
        <v>4890</v>
      </c>
      <c r="K618" s="57" t="s">
        <v>4891</v>
      </c>
      <c r="L618" s="111" t="s">
        <v>4892</v>
      </c>
      <c r="N618" s="57">
        <v>1.762</v>
      </c>
      <c r="O618" s="57">
        <v>450</v>
      </c>
      <c r="P618" s="57">
        <v>6.75</v>
      </c>
      <c r="Q618" s="57">
        <v>0.47249999999999998</v>
      </c>
      <c r="R618" s="57">
        <v>0</v>
      </c>
      <c r="S618" s="57">
        <v>22</v>
      </c>
      <c r="T618" s="112">
        <v>29.22</v>
      </c>
    </row>
    <row r="619" spans="1:20" ht="23.4" x14ac:dyDescent="0.25">
      <c r="A619" s="57">
        <v>618</v>
      </c>
      <c r="B619" s="110">
        <v>244042</v>
      </c>
      <c r="C619" s="57" t="s">
        <v>114</v>
      </c>
      <c r="D619" s="57" t="s">
        <v>115</v>
      </c>
      <c r="E619" s="57" t="s">
        <v>116</v>
      </c>
      <c r="F619" s="57" t="s">
        <v>119</v>
      </c>
      <c r="G619" s="57" t="s">
        <v>133</v>
      </c>
      <c r="H619" s="57" t="s">
        <v>117</v>
      </c>
      <c r="I619" s="57" t="s">
        <v>5600</v>
      </c>
      <c r="J619" s="57" t="s">
        <v>5601</v>
      </c>
      <c r="K619" s="57" t="s">
        <v>5602</v>
      </c>
      <c r="L619" s="111" t="s">
        <v>5603</v>
      </c>
      <c r="N619" s="57">
        <v>16.995000000000001</v>
      </c>
      <c r="O619" s="57">
        <v>0</v>
      </c>
      <c r="P619" s="57">
        <v>0</v>
      </c>
      <c r="Q619" s="57">
        <v>0</v>
      </c>
      <c r="R619" s="57">
        <v>0</v>
      </c>
      <c r="S619" s="57">
        <v>180</v>
      </c>
      <c r="T619" s="112">
        <v>180</v>
      </c>
    </row>
    <row r="620" spans="1:20" ht="23.4" x14ac:dyDescent="0.25">
      <c r="A620" s="57">
        <v>619</v>
      </c>
      <c r="B620" s="110">
        <v>244042</v>
      </c>
      <c r="C620" s="57" t="s">
        <v>114</v>
      </c>
      <c r="D620" s="57" t="s">
        <v>115</v>
      </c>
      <c r="E620" s="57" t="s">
        <v>116</v>
      </c>
      <c r="F620" s="57" t="s">
        <v>119</v>
      </c>
      <c r="G620" s="57" t="s">
        <v>133</v>
      </c>
      <c r="H620" s="57" t="s">
        <v>117</v>
      </c>
      <c r="I620" s="57" t="s">
        <v>5604</v>
      </c>
      <c r="J620" s="57" t="s">
        <v>5605</v>
      </c>
      <c r="K620" s="57" t="s">
        <v>5606</v>
      </c>
      <c r="L620" s="111" t="s">
        <v>5607</v>
      </c>
      <c r="N620" s="57">
        <v>2.4239999999999999</v>
      </c>
      <c r="O620" s="57">
        <v>0</v>
      </c>
      <c r="P620" s="57">
        <v>0</v>
      </c>
      <c r="Q620" s="57">
        <v>0</v>
      </c>
      <c r="R620" s="57">
        <v>0</v>
      </c>
      <c r="S620" s="57">
        <v>33</v>
      </c>
      <c r="T620" s="112">
        <v>33</v>
      </c>
    </row>
    <row r="621" spans="1:20" ht="23.4" x14ac:dyDescent="0.25">
      <c r="A621" s="57">
        <v>620</v>
      </c>
      <c r="B621" s="110">
        <v>244042</v>
      </c>
      <c r="C621" s="57" t="s">
        <v>114</v>
      </c>
      <c r="D621" s="57" t="s">
        <v>115</v>
      </c>
      <c r="E621" s="57" t="s">
        <v>116</v>
      </c>
      <c r="F621" s="57" t="s">
        <v>119</v>
      </c>
      <c r="G621" s="57" t="s">
        <v>133</v>
      </c>
      <c r="H621" s="57" t="s">
        <v>117</v>
      </c>
      <c r="I621" s="57" t="s">
        <v>5608</v>
      </c>
      <c r="J621" s="57" t="s">
        <v>4997</v>
      </c>
      <c r="K621" s="57" t="s">
        <v>2043</v>
      </c>
      <c r="L621" s="111" t="s">
        <v>4998</v>
      </c>
      <c r="N621" s="57">
        <v>16.995000000000001</v>
      </c>
      <c r="O621" s="57">
        <v>0</v>
      </c>
      <c r="P621" s="57">
        <v>0</v>
      </c>
      <c r="Q621" s="57">
        <v>0</v>
      </c>
      <c r="R621" s="57">
        <v>15</v>
      </c>
      <c r="S621" s="57">
        <v>195</v>
      </c>
      <c r="T621" s="112">
        <v>195</v>
      </c>
    </row>
    <row r="622" spans="1:20" ht="23.4" x14ac:dyDescent="0.25">
      <c r="A622" s="57">
        <v>621</v>
      </c>
      <c r="B622" s="110">
        <v>244042</v>
      </c>
      <c r="C622" s="57" t="s">
        <v>114</v>
      </c>
      <c r="D622" s="57" t="s">
        <v>115</v>
      </c>
      <c r="E622" s="57" t="s">
        <v>116</v>
      </c>
      <c r="F622" s="57" t="s">
        <v>119</v>
      </c>
      <c r="G622" s="57" t="s">
        <v>133</v>
      </c>
      <c r="H622" s="57" t="s">
        <v>117</v>
      </c>
      <c r="I622" s="57" t="s">
        <v>5609</v>
      </c>
      <c r="J622" s="57" t="s">
        <v>5610</v>
      </c>
      <c r="K622" s="57" t="s">
        <v>5611</v>
      </c>
      <c r="L622" s="111" t="s">
        <v>5612</v>
      </c>
      <c r="N622" s="57">
        <v>1.1419999999999999</v>
      </c>
      <c r="O622" s="57">
        <v>280</v>
      </c>
      <c r="P622" s="57">
        <v>4.2</v>
      </c>
      <c r="Q622" s="57">
        <v>0.29399999999999998</v>
      </c>
      <c r="R622" s="57">
        <v>0</v>
      </c>
      <c r="S622" s="57">
        <v>22</v>
      </c>
      <c r="T622" s="112">
        <v>26.49</v>
      </c>
    </row>
    <row r="623" spans="1:20" ht="23.4" x14ac:dyDescent="0.25">
      <c r="A623" s="57">
        <v>622</v>
      </c>
      <c r="B623" s="110">
        <v>244042</v>
      </c>
      <c r="C623" s="57" t="s">
        <v>114</v>
      </c>
      <c r="D623" s="57" t="s">
        <v>115</v>
      </c>
      <c r="E623" s="57" t="s">
        <v>116</v>
      </c>
      <c r="F623" s="57" t="s">
        <v>119</v>
      </c>
      <c r="G623" s="57" t="s">
        <v>133</v>
      </c>
      <c r="H623" s="57" t="s">
        <v>117</v>
      </c>
      <c r="I623" s="57" t="s">
        <v>5613</v>
      </c>
      <c r="J623" s="57" t="s">
        <v>3127</v>
      </c>
      <c r="K623" s="57" t="s">
        <v>3128</v>
      </c>
      <c r="L623" s="111" t="s">
        <v>3129</v>
      </c>
      <c r="N623" s="57">
        <v>0.69199999999999995</v>
      </c>
      <c r="O623" s="57">
        <v>130</v>
      </c>
      <c r="P623" s="57">
        <v>1.95</v>
      </c>
      <c r="Q623" s="57">
        <v>0.13650000000000001</v>
      </c>
      <c r="R623" s="57">
        <v>0</v>
      </c>
      <c r="S623" s="57">
        <v>17</v>
      </c>
      <c r="T623" s="112">
        <v>19.09</v>
      </c>
    </row>
    <row r="624" spans="1:20" ht="23.4" x14ac:dyDescent="0.25">
      <c r="A624" s="57">
        <v>623</v>
      </c>
      <c r="B624" s="110">
        <v>244042</v>
      </c>
      <c r="C624" s="57" t="s">
        <v>114</v>
      </c>
      <c r="D624" s="57" t="s">
        <v>115</v>
      </c>
      <c r="E624" s="57" t="s">
        <v>116</v>
      </c>
      <c r="F624" s="57" t="s">
        <v>119</v>
      </c>
      <c r="G624" s="57" t="s">
        <v>133</v>
      </c>
      <c r="H624" s="57" t="s">
        <v>117</v>
      </c>
      <c r="I624" s="57" t="s">
        <v>5614</v>
      </c>
      <c r="J624" s="57" t="s">
        <v>5615</v>
      </c>
      <c r="K624" s="57" t="s">
        <v>1613</v>
      </c>
      <c r="L624" s="111" t="s">
        <v>5616</v>
      </c>
      <c r="N624" s="57">
        <v>0.65400000000000003</v>
      </c>
      <c r="O624" s="57">
        <v>130</v>
      </c>
      <c r="P624" s="57">
        <v>1.95</v>
      </c>
      <c r="Q624" s="57">
        <v>0.13650000000000001</v>
      </c>
      <c r="R624" s="57">
        <v>0</v>
      </c>
      <c r="S624" s="57">
        <v>17</v>
      </c>
      <c r="T624" s="112">
        <v>19.09</v>
      </c>
    </row>
    <row r="625" spans="1:20" ht="23.4" x14ac:dyDescent="0.25">
      <c r="A625" s="57">
        <v>624</v>
      </c>
      <c r="B625" s="110">
        <v>244042</v>
      </c>
      <c r="C625" s="57" t="s">
        <v>114</v>
      </c>
      <c r="D625" s="57" t="s">
        <v>115</v>
      </c>
      <c r="E625" s="57" t="s">
        <v>116</v>
      </c>
      <c r="F625" s="57" t="s">
        <v>119</v>
      </c>
      <c r="G625" s="57" t="s">
        <v>133</v>
      </c>
      <c r="H625" s="57" t="s">
        <v>117</v>
      </c>
      <c r="I625" s="57" t="s">
        <v>5617</v>
      </c>
      <c r="J625" s="57" t="s">
        <v>3619</v>
      </c>
      <c r="K625" s="57" t="s">
        <v>3620</v>
      </c>
      <c r="L625" s="111" t="s">
        <v>3621</v>
      </c>
      <c r="N625" s="57">
        <v>1.3460000000000001</v>
      </c>
      <c r="O625" s="57">
        <v>280</v>
      </c>
      <c r="P625" s="57">
        <v>4.2</v>
      </c>
      <c r="Q625" s="57">
        <v>0.29399999999999998</v>
      </c>
      <c r="R625" s="57">
        <v>0</v>
      </c>
      <c r="S625" s="57">
        <v>22</v>
      </c>
      <c r="T625" s="112">
        <v>26.49</v>
      </c>
    </row>
    <row r="626" spans="1:20" ht="23.4" x14ac:dyDescent="0.25">
      <c r="A626" s="57">
        <v>625</v>
      </c>
      <c r="B626" s="110">
        <v>244042</v>
      </c>
      <c r="C626" s="57" t="s">
        <v>114</v>
      </c>
      <c r="D626" s="57" t="s">
        <v>115</v>
      </c>
      <c r="E626" s="57" t="s">
        <v>116</v>
      </c>
      <c r="F626" s="57" t="s">
        <v>119</v>
      </c>
      <c r="G626" s="57" t="s">
        <v>133</v>
      </c>
      <c r="H626" s="57" t="s">
        <v>117</v>
      </c>
      <c r="I626" s="57" t="s">
        <v>5618</v>
      </c>
      <c r="J626" s="57" t="s">
        <v>5619</v>
      </c>
      <c r="K626" s="57" t="s">
        <v>5620</v>
      </c>
      <c r="L626" s="111" t="s">
        <v>5621</v>
      </c>
      <c r="N626" s="57">
        <v>0.70599999999999996</v>
      </c>
      <c r="O626" s="57">
        <v>0</v>
      </c>
      <c r="P626" s="57">
        <v>0</v>
      </c>
      <c r="Q626" s="57">
        <v>0</v>
      </c>
      <c r="R626" s="57">
        <v>0</v>
      </c>
      <c r="S626" s="57">
        <v>17</v>
      </c>
      <c r="T626" s="112">
        <v>17</v>
      </c>
    </row>
    <row r="627" spans="1:20" ht="23.4" x14ac:dyDescent="0.25">
      <c r="A627" s="57">
        <v>626</v>
      </c>
      <c r="B627" s="110">
        <v>244042</v>
      </c>
      <c r="C627" s="57" t="s">
        <v>114</v>
      </c>
      <c r="D627" s="57" t="s">
        <v>115</v>
      </c>
      <c r="E627" s="57" t="s">
        <v>116</v>
      </c>
      <c r="F627" s="57" t="s">
        <v>119</v>
      </c>
      <c r="G627" s="57" t="s">
        <v>133</v>
      </c>
      <c r="H627" s="57" t="s">
        <v>117</v>
      </c>
      <c r="I627" s="57" t="s">
        <v>5622</v>
      </c>
      <c r="J627" s="57" t="s">
        <v>5623</v>
      </c>
      <c r="K627" s="57" t="s">
        <v>5624</v>
      </c>
      <c r="L627" s="111" t="s">
        <v>5625</v>
      </c>
      <c r="N627" s="57">
        <v>2.012</v>
      </c>
      <c r="O627" s="57">
        <v>0</v>
      </c>
      <c r="P627" s="57">
        <v>0</v>
      </c>
      <c r="Q627" s="57">
        <v>0</v>
      </c>
      <c r="R627" s="57">
        <v>0</v>
      </c>
      <c r="S627" s="57">
        <v>33</v>
      </c>
      <c r="T627" s="112">
        <v>33</v>
      </c>
    </row>
    <row r="628" spans="1:20" ht="23.4" x14ac:dyDescent="0.25">
      <c r="A628" s="57">
        <v>627</v>
      </c>
      <c r="B628" s="110">
        <v>244042</v>
      </c>
      <c r="C628" s="57" t="s">
        <v>114</v>
      </c>
      <c r="D628" s="57" t="s">
        <v>115</v>
      </c>
      <c r="E628" s="57" t="s">
        <v>116</v>
      </c>
      <c r="F628" s="57" t="s">
        <v>119</v>
      </c>
      <c r="G628" s="57" t="s">
        <v>133</v>
      </c>
      <c r="H628" s="57" t="s">
        <v>117</v>
      </c>
      <c r="I628" s="57" t="s">
        <v>5626</v>
      </c>
      <c r="J628" s="57" t="s">
        <v>5627</v>
      </c>
      <c r="K628" s="57" t="s">
        <v>5628</v>
      </c>
      <c r="L628" s="111" t="s">
        <v>5629</v>
      </c>
      <c r="N628" s="57">
        <v>0.65200000000000002</v>
      </c>
      <c r="O628" s="57">
        <v>0</v>
      </c>
      <c r="P628" s="57">
        <v>0</v>
      </c>
      <c r="Q628" s="57">
        <v>0</v>
      </c>
      <c r="R628" s="57">
        <v>0</v>
      </c>
      <c r="S628" s="57">
        <v>17</v>
      </c>
      <c r="T628" s="112">
        <v>17</v>
      </c>
    </row>
    <row r="629" spans="1:20" ht="23.4" x14ac:dyDescent="0.25">
      <c r="A629" s="57">
        <v>628</v>
      </c>
      <c r="B629" s="110">
        <v>244042</v>
      </c>
      <c r="C629" s="57" t="s">
        <v>114</v>
      </c>
      <c r="D629" s="57" t="s">
        <v>115</v>
      </c>
      <c r="E629" s="57" t="s">
        <v>116</v>
      </c>
      <c r="F629" s="57" t="s">
        <v>119</v>
      </c>
      <c r="G629" s="57" t="s">
        <v>133</v>
      </c>
      <c r="H629" s="57" t="s">
        <v>117</v>
      </c>
      <c r="I629" s="57" t="s">
        <v>5630</v>
      </c>
      <c r="J629" s="57" t="s">
        <v>5631</v>
      </c>
      <c r="K629" s="57" t="s">
        <v>5632</v>
      </c>
      <c r="L629" s="111" t="s">
        <v>5633</v>
      </c>
      <c r="N629" s="57">
        <v>1.752</v>
      </c>
      <c r="O629" s="57">
        <v>430</v>
      </c>
      <c r="P629" s="57">
        <v>6.45</v>
      </c>
      <c r="Q629" s="57">
        <v>0.45150000000000001</v>
      </c>
      <c r="R629" s="57">
        <v>0</v>
      </c>
      <c r="S629" s="57">
        <v>22</v>
      </c>
      <c r="T629" s="112">
        <v>28.9</v>
      </c>
    </row>
    <row r="630" spans="1:20" ht="23.4" x14ac:dyDescent="0.25">
      <c r="A630" s="57">
        <v>629</v>
      </c>
      <c r="B630" s="110">
        <v>244042</v>
      </c>
      <c r="C630" s="57" t="s">
        <v>114</v>
      </c>
      <c r="D630" s="57" t="s">
        <v>115</v>
      </c>
      <c r="E630" s="57" t="s">
        <v>116</v>
      </c>
      <c r="F630" s="57" t="s">
        <v>119</v>
      </c>
      <c r="G630" s="57" t="s">
        <v>133</v>
      </c>
      <c r="H630" s="57" t="s">
        <v>117</v>
      </c>
      <c r="I630" s="57" t="s">
        <v>5634</v>
      </c>
      <c r="J630" s="57" t="s">
        <v>5635</v>
      </c>
      <c r="K630" s="57" t="s">
        <v>5636</v>
      </c>
      <c r="L630" s="111" t="s">
        <v>5637</v>
      </c>
      <c r="N630" s="57">
        <v>0.72599999999999998</v>
      </c>
      <c r="O630" s="57">
        <v>230</v>
      </c>
      <c r="P630" s="57">
        <v>3.45</v>
      </c>
      <c r="Q630" s="57">
        <v>0.24149999999999999</v>
      </c>
      <c r="R630" s="57">
        <v>0</v>
      </c>
      <c r="S630" s="57">
        <v>17</v>
      </c>
      <c r="T630" s="112">
        <v>20.69</v>
      </c>
    </row>
    <row r="631" spans="1:20" ht="23.4" x14ac:dyDescent="0.25">
      <c r="A631" s="57">
        <v>630</v>
      </c>
      <c r="B631" s="110">
        <v>244042</v>
      </c>
      <c r="C631" s="57" t="s">
        <v>114</v>
      </c>
      <c r="D631" s="57" t="s">
        <v>115</v>
      </c>
      <c r="E631" s="57" t="s">
        <v>116</v>
      </c>
      <c r="F631" s="57" t="s">
        <v>119</v>
      </c>
      <c r="G631" s="57" t="s">
        <v>133</v>
      </c>
      <c r="H631" s="57" t="s">
        <v>117</v>
      </c>
      <c r="I631" s="57" t="s">
        <v>5638</v>
      </c>
      <c r="J631" s="57" t="s">
        <v>5639</v>
      </c>
      <c r="K631" s="57" t="s">
        <v>5640</v>
      </c>
      <c r="L631" s="111" t="s">
        <v>5641</v>
      </c>
      <c r="N631" s="57">
        <v>1.238</v>
      </c>
      <c r="O631" s="57">
        <v>230</v>
      </c>
      <c r="P631" s="57">
        <v>3.45</v>
      </c>
      <c r="Q631" s="57">
        <v>0.24149999999999999</v>
      </c>
      <c r="R631" s="57">
        <v>0</v>
      </c>
      <c r="S631" s="57">
        <v>22</v>
      </c>
      <c r="T631" s="112">
        <v>25.69</v>
      </c>
    </row>
    <row r="632" spans="1:20" ht="23.4" x14ac:dyDescent="0.25">
      <c r="A632" s="57">
        <v>631</v>
      </c>
      <c r="B632" s="110">
        <v>244042</v>
      </c>
      <c r="C632" s="57" t="s">
        <v>114</v>
      </c>
      <c r="D632" s="57" t="s">
        <v>115</v>
      </c>
      <c r="E632" s="57" t="s">
        <v>116</v>
      </c>
      <c r="F632" s="57" t="s">
        <v>119</v>
      </c>
      <c r="G632" s="57" t="s">
        <v>133</v>
      </c>
      <c r="H632" s="57" t="s">
        <v>117</v>
      </c>
      <c r="I632" s="57" t="s">
        <v>5642</v>
      </c>
      <c r="J632" s="57" t="s">
        <v>5643</v>
      </c>
      <c r="K632" s="57" t="s">
        <v>5644</v>
      </c>
      <c r="L632" s="111" t="s">
        <v>5645</v>
      </c>
      <c r="N632" s="57">
        <v>0.71599999999999997</v>
      </c>
      <c r="O632" s="57">
        <v>230</v>
      </c>
      <c r="P632" s="57">
        <v>3.45</v>
      </c>
      <c r="Q632" s="57">
        <v>0.24149999999999999</v>
      </c>
      <c r="R632" s="57">
        <v>0</v>
      </c>
      <c r="S632" s="57">
        <v>17</v>
      </c>
      <c r="T632" s="112">
        <v>20.69</v>
      </c>
    </row>
    <row r="633" spans="1:20" ht="23.4" x14ac:dyDescent="0.25">
      <c r="A633" s="57">
        <v>632</v>
      </c>
      <c r="B633" s="110">
        <v>244042</v>
      </c>
      <c r="C633" s="57" t="s">
        <v>114</v>
      </c>
      <c r="D633" s="57" t="s">
        <v>115</v>
      </c>
      <c r="E633" s="57" t="s">
        <v>116</v>
      </c>
      <c r="F633" s="57" t="s">
        <v>119</v>
      </c>
      <c r="G633" s="57" t="s">
        <v>133</v>
      </c>
      <c r="H633" s="57" t="s">
        <v>117</v>
      </c>
      <c r="I633" s="57" t="s">
        <v>5646</v>
      </c>
      <c r="J633" s="57" t="s">
        <v>5647</v>
      </c>
      <c r="K633" s="57" t="s">
        <v>5648</v>
      </c>
      <c r="L633" s="111" t="s">
        <v>5649</v>
      </c>
      <c r="N633" s="57">
        <v>1.712</v>
      </c>
      <c r="O633" s="57">
        <v>0</v>
      </c>
      <c r="P633" s="57">
        <v>0</v>
      </c>
      <c r="Q633" s="57">
        <v>0</v>
      </c>
      <c r="R633" s="57">
        <v>0</v>
      </c>
      <c r="S633" s="57">
        <v>22</v>
      </c>
      <c r="T633" s="112">
        <v>22</v>
      </c>
    </row>
    <row r="634" spans="1:20" ht="23.4" x14ac:dyDescent="0.25">
      <c r="A634" s="57">
        <v>633</v>
      </c>
      <c r="B634" s="110">
        <v>244042</v>
      </c>
      <c r="C634" s="57" t="s">
        <v>114</v>
      </c>
      <c r="D634" s="57" t="s">
        <v>115</v>
      </c>
      <c r="E634" s="57" t="s">
        <v>116</v>
      </c>
      <c r="F634" s="57" t="s">
        <v>119</v>
      </c>
      <c r="G634" s="57" t="s">
        <v>133</v>
      </c>
      <c r="H634" s="57" t="s">
        <v>117</v>
      </c>
      <c r="I634" s="57" t="s">
        <v>5650</v>
      </c>
      <c r="J634" s="57" t="s">
        <v>5651</v>
      </c>
      <c r="K634" s="57" t="s">
        <v>5652</v>
      </c>
      <c r="L634" s="111" t="s">
        <v>5653</v>
      </c>
      <c r="N634" s="57">
        <v>0.64800000000000002</v>
      </c>
      <c r="O634" s="57">
        <v>0</v>
      </c>
      <c r="P634" s="57">
        <v>0</v>
      </c>
      <c r="Q634" s="57">
        <v>0</v>
      </c>
      <c r="R634" s="57">
        <v>0</v>
      </c>
      <c r="S634" s="57">
        <v>17</v>
      </c>
      <c r="T634" s="112">
        <v>17</v>
      </c>
    </row>
    <row r="635" spans="1:20" ht="23.4" x14ac:dyDescent="0.25">
      <c r="A635" s="57">
        <v>634</v>
      </c>
      <c r="B635" s="110">
        <v>244042</v>
      </c>
      <c r="C635" s="57" t="s">
        <v>114</v>
      </c>
      <c r="D635" s="57" t="s">
        <v>115</v>
      </c>
      <c r="E635" s="57" t="s">
        <v>116</v>
      </c>
      <c r="F635" s="57" t="s">
        <v>119</v>
      </c>
      <c r="G635" s="57" t="s">
        <v>133</v>
      </c>
      <c r="H635" s="57" t="s">
        <v>117</v>
      </c>
      <c r="I635" s="57" t="s">
        <v>5654</v>
      </c>
      <c r="J635" s="57" t="s">
        <v>5655</v>
      </c>
      <c r="K635" s="57" t="s">
        <v>5656</v>
      </c>
      <c r="L635" s="111" t="s">
        <v>5657</v>
      </c>
      <c r="N635" s="57">
        <v>0.71399999999999997</v>
      </c>
      <c r="O635" s="57">
        <v>230</v>
      </c>
      <c r="P635" s="57">
        <v>3.45</v>
      </c>
      <c r="Q635" s="57">
        <v>0.24149999999999999</v>
      </c>
      <c r="R635" s="57">
        <v>0</v>
      </c>
      <c r="S635" s="57">
        <v>17</v>
      </c>
      <c r="T635" s="112">
        <v>20.69</v>
      </c>
    </row>
    <row r="636" spans="1:20" ht="23.4" x14ac:dyDescent="0.25">
      <c r="A636" s="57">
        <v>635</v>
      </c>
      <c r="B636" s="110">
        <v>244042</v>
      </c>
      <c r="C636" s="57" t="s">
        <v>114</v>
      </c>
      <c r="D636" s="57" t="s">
        <v>115</v>
      </c>
      <c r="E636" s="57" t="s">
        <v>116</v>
      </c>
      <c r="F636" s="57" t="s">
        <v>119</v>
      </c>
      <c r="G636" s="57" t="s">
        <v>133</v>
      </c>
      <c r="H636" s="57" t="s">
        <v>117</v>
      </c>
      <c r="I636" s="57" t="s">
        <v>5658</v>
      </c>
      <c r="J636" s="57" t="s">
        <v>5659</v>
      </c>
      <c r="K636" s="57" t="s">
        <v>5660</v>
      </c>
      <c r="L636" s="111" t="s">
        <v>5661</v>
      </c>
      <c r="N636" s="57">
        <v>3.34</v>
      </c>
      <c r="O636" s="57">
        <v>0</v>
      </c>
      <c r="P636" s="57">
        <v>0</v>
      </c>
      <c r="Q636" s="57">
        <v>0</v>
      </c>
      <c r="R636" s="57">
        <v>0</v>
      </c>
      <c r="S636" s="57">
        <v>43</v>
      </c>
      <c r="T636" s="112">
        <v>43</v>
      </c>
    </row>
    <row r="637" spans="1:20" ht="23.4" x14ac:dyDescent="0.25">
      <c r="A637" s="57">
        <v>636</v>
      </c>
      <c r="B637" s="110">
        <v>244042</v>
      </c>
      <c r="C637" s="57" t="s">
        <v>114</v>
      </c>
      <c r="D637" s="57" t="s">
        <v>115</v>
      </c>
      <c r="E637" s="57" t="s">
        <v>116</v>
      </c>
      <c r="F637" s="57" t="s">
        <v>119</v>
      </c>
      <c r="G637" s="57" t="s">
        <v>133</v>
      </c>
      <c r="H637" s="57" t="s">
        <v>117</v>
      </c>
      <c r="I637" s="57" t="s">
        <v>5662</v>
      </c>
      <c r="J637" s="57" t="s">
        <v>5663</v>
      </c>
      <c r="K637" s="57" t="s">
        <v>5664</v>
      </c>
      <c r="L637" s="111" t="s">
        <v>5665</v>
      </c>
      <c r="N637" s="57">
        <v>1.744</v>
      </c>
      <c r="O637" s="57">
        <v>430</v>
      </c>
      <c r="P637" s="57">
        <v>6.45</v>
      </c>
      <c r="Q637" s="57">
        <v>0.45150000000000001</v>
      </c>
      <c r="R637" s="57">
        <v>0</v>
      </c>
      <c r="S637" s="57">
        <v>22</v>
      </c>
      <c r="T637" s="112">
        <v>28.9</v>
      </c>
    </row>
    <row r="638" spans="1:20" ht="23.4" x14ac:dyDescent="0.25">
      <c r="A638" s="57">
        <v>637</v>
      </c>
      <c r="B638" s="110">
        <v>244042</v>
      </c>
      <c r="C638" s="57" t="s">
        <v>114</v>
      </c>
      <c r="D638" s="57" t="s">
        <v>115</v>
      </c>
      <c r="E638" s="57" t="s">
        <v>116</v>
      </c>
      <c r="F638" s="57" t="s">
        <v>119</v>
      </c>
      <c r="G638" s="57" t="s">
        <v>133</v>
      </c>
      <c r="H638" s="57" t="s">
        <v>117</v>
      </c>
      <c r="I638" s="57" t="s">
        <v>5666</v>
      </c>
      <c r="J638" s="57" t="s">
        <v>3356</v>
      </c>
      <c r="K638" s="57" t="s">
        <v>3357</v>
      </c>
      <c r="L638" s="111" t="s">
        <v>3358</v>
      </c>
      <c r="N638" s="57">
        <v>3.5339999999999998</v>
      </c>
      <c r="O638" s="57">
        <v>885</v>
      </c>
      <c r="P638" s="57">
        <v>13.275</v>
      </c>
      <c r="Q638" s="57">
        <v>0.92930000000000001</v>
      </c>
      <c r="R638" s="57">
        <v>0</v>
      </c>
      <c r="S638" s="57">
        <v>43</v>
      </c>
      <c r="T638" s="112">
        <v>57.2</v>
      </c>
    </row>
    <row r="639" spans="1:20" ht="23.4" x14ac:dyDescent="0.25">
      <c r="A639" s="57">
        <v>638</v>
      </c>
      <c r="B639" s="110"/>
      <c r="T639" s="112"/>
    </row>
    <row r="640" spans="1:20" ht="23.4" x14ac:dyDescent="0.25">
      <c r="A640" s="57">
        <v>639</v>
      </c>
      <c r="B640" s="110"/>
      <c r="T640" s="112"/>
    </row>
    <row r="641" spans="1:20" ht="23.4" x14ac:dyDescent="0.25">
      <c r="A641" s="57">
        <v>640</v>
      </c>
      <c r="B641" s="110"/>
      <c r="T641" s="112"/>
    </row>
    <row r="642" spans="1:20" ht="23.4" x14ac:dyDescent="0.25">
      <c r="A642" s="57">
        <v>641</v>
      </c>
      <c r="B642" s="110"/>
      <c r="T642" s="112"/>
    </row>
    <row r="643" spans="1:20" ht="23.4" x14ac:dyDescent="0.25">
      <c r="A643" s="57">
        <v>642</v>
      </c>
      <c r="B643" s="110"/>
      <c r="T643" s="112"/>
    </row>
    <row r="644" spans="1:20" ht="23.4" x14ac:dyDescent="0.25">
      <c r="A644" s="57">
        <v>643</v>
      </c>
      <c r="B644" s="110"/>
      <c r="T644" s="112"/>
    </row>
    <row r="645" spans="1:20" ht="26.4" x14ac:dyDescent="0.25">
      <c r="A645" s="57">
        <v>644</v>
      </c>
      <c r="B645" s="110"/>
      <c r="T645" s="109"/>
    </row>
    <row r="646" spans="1:20" ht="23.4" x14ac:dyDescent="0.25">
      <c r="A646" s="57">
        <v>645</v>
      </c>
      <c r="B646" s="110"/>
      <c r="T646" s="112"/>
    </row>
    <row r="647" spans="1:20" ht="23.4" x14ac:dyDescent="0.25">
      <c r="A647" s="57">
        <v>646</v>
      </c>
      <c r="B647" s="110"/>
      <c r="T647" s="112"/>
    </row>
    <row r="648" spans="1:20" ht="23.4" x14ac:dyDescent="0.25">
      <c r="A648" s="57">
        <v>647</v>
      </c>
      <c r="B648" s="110"/>
      <c r="T648" s="112"/>
    </row>
    <row r="649" spans="1:20" ht="23.4" x14ac:dyDescent="0.25">
      <c r="A649" s="57">
        <v>648</v>
      </c>
      <c r="B649" s="110"/>
      <c r="T649" s="112"/>
    </row>
    <row r="650" spans="1:20" ht="23.4" x14ac:dyDescent="0.25">
      <c r="A650" s="57">
        <v>649</v>
      </c>
      <c r="B650" s="110"/>
      <c r="T650" s="112"/>
    </row>
    <row r="651" spans="1:20" ht="23.4" x14ac:dyDescent="0.25">
      <c r="A651" s="57">
        <v>650</v>
      </c>
      <c r="B651" s="110"/>
      <c r="T651" s="112"/>
    </row>
    <row r="652" spans="1:20" ht="26.4" x14ac:dyDescent="0.25">
      <c r="A652" s="57">
        <v>651</v>
      </c>
      <c r="B652" s="110"/>
      <c r="T652" s="109"/>
    </row>
    <row r="653" spans="1:20" ht="23.4" x14ac:dyDescent="0.25">
      <c r="A653" s="57">
        <v>652</v>
      </c>
      <c r="B653" s="110"/>
      <c r="T653" s="112"/>
    </row>
    <row r="654" spans="1:20" ht="23.4" x14ac:dyDescent="0.25">
      <c r="A654" s="57">
        <v>653</v>
      </c>
      <c r="B654" s="110"/>
      <c r="T654" s="112"/>
    </row>
    <row r="655" spans="1:20" ht="23.4" x14ac:dyDescent="0.25">
      <c r="A655" s="57">
        <v>654</v>
      </c>
      <c r="B655" s="110"/>
      <c r="T655" s="112"/>
    </row>
    <row r="656" spans="1:20" ht="23.4" x14ac:dyDescent="0.25">
      <c r="A656" s="57">
        <v>655</v>
      </c>
      <c r="B656" s="110"/>
      <c r="T656" s="112"/>
    </row>
    <row r="657" spans="1:20" ht="23.4" x14ac:dyDescent="0.25">
      <c r="A657" s="57">
        <v>656</v>
      </c>
      <c r="B657" s="110"/>
      <c r="T657" s="112"/>
    </row>
    <row r="658" spans="1:20" ht="23.4" x14ac:dyDescent="0.25">
      <c r="A658" s="57">
        <v>657</v>
      </c>
      <c r="B658" s="110"/>
      <c r="T658" s="112"/>
    </row>
    <row r="659" spans="1:20" ht="26.4" x14ac:dyDescent="0.25">
      <c r="A659" s="57">
        <v>658</v>
      </c>
      <c r="B659" s="110"/>
      <c r="T659" s="109"/>
    </row>
    <row r="660" spans="1:20" ht="23.4" x14ac:dyDescent="0.25">
      <c r="A660" s="57">
        <v>659</v>
      </c>
      <c r="B660" s="110"/>
      <c r="T660" s="112"/>
    </row>
    <row r="661" spans="1:20" ht="23.4" x14ac:dyDescent="0.25">
      <c r="A661" s="57">
        <v>660</v>
      </c>
      <c r="B661" s="110"/>
      <c r="T661" s="112"/>
    </row>
    <row r="662" spans="1:20" ht="23.4" x14ac:dyDescent="0.25">
      <c r="A662" s="57">
        <v>661</v>
      </c>
      <c r="B662" s="110"/>
      <c r="T662" s="112"/>
    </row>
    <row r="663" spans="1:20" ht="23.4" x14ac:dyDescent="0.25">
      <c r="A663" s="57">
        <v>662</v>
      </c>
      <c r="B663" s="110"/>
      <c r="T663" s="112"/>
    </row>
    <row r="664" spans="1:20" ht="23.4" x14ac:dyDescent="0.25">
      <c r="A664" s="57">
        <v>663</v>
      </c>
      <c r="B664" s="110"/>
      <c r="T664" s="112"/>
    </row>
    <row r="665" spans="1:20" ht="23.4" x14ac:dyDescent="0.25">
      <c r="A665" s="57">
        <v>664</v>
      </c>
      <c r="B665" s="110"/>
      <c r="T665" s="112"/>
    </row>
    <row r="666" spans="1:20" ht="26.4" x14ac:dyDescent="0.25">
      <c r="A666" s="57">
        <v>665</v>
      </c>
      <c r="B666" s="110"/>
      <c r="T666" s="109"/>
    </row>
    <row r="667" spans="1:20" ht="23.4" x14ac:dyDescent="0.25">
      <c r="A667" s="57">
        <v>666</v>
      </c>
      <c r="B667" s="110"/>
      <c r="T667" s="112"/>
    </row>
    <row r="668" spans="1:20" ht="23.4" x14ac:dyDescent="0.25">
      <c r="A668" s="57">
        <v>667</v>
      </c>
      <c r="B668" s="110"/>
      <c r="T668" s="112"/>
    </row>
    <row r="669" spans="1:20" ht="23.4" x14ac:dyDescent="0.25">
      <c r="A669" s="57">
        <v>668</v>
      </c>
      <c r="B669" s="110"/>
      <c r="T669" s="112"/>
    </row>
    <row r="670" spans="1:20" ht="23.4" x14ac:dyDescent="0.25">
      <c r="A670" s="57">
        <v>669</v>
      </c>
      <c r="B670" s="110"/>
      <c r="T670" s="112"/>
    </row>
    <row r="671" spans="1:20" ht="23.4" x14ac:dyDescent="0.25">
      <c r="A671" s="57">
        <v>670</v>
      </c>
      <c r="B671" s="110"/>
      <c r="T671" s="112"/>
    </row>
    <row r="672" spans="1:20" ht="23.4" x14ac:dyDescent="0.25">
      <c r="A672" s="57">
        <v>671</v>
      </c>
      <c r="B672" s="110"/>
      <c r="T672" s="112"/>
    </row>
    <row r="673" spans="1:20" ht="26.4" x14ac:dyDescent="0.25">
      <c r="A673" s="57">
        <v>672</v>
      </c>
      <c r="B673" s="110"/>
      <c r="T673" s="109"/>
    </row>
    <row r="674" spans="1:20" ht="23.4" x14ac:dyDescent="0.25">
      <c r="A674" s="57">
        <v>673</v>
      </c>
      <c r="B674" s="110"/>
      <c r="T674" s="112"/>
    </row>
    <row r="675" spans="1:20" ht="23.4" x14ac:dyDescent="0.25">
      <c r="A675" s="57">
        <v>674</v>
      </c>
      <c r="B675" s="110"/>
      <c r="T675" s="112"/>
    </row>
    <row r="676" spans="1:20" ht="23.4" x14ac:dyDescent="0.25">
      <c r="A676" s="57">
        <v>675</v>
      </c>
      <c r="B676" s="110"/>
      <c r="T676" s="112"/>
    </row>
    <row r="677" spans="1:20" ht="23.4" x14ac:dyDescent="0.25">
      <c r="A677" s="57">
        <v>676</v>
      </c>
      <c r="B677" s="110"/>
      <c r="T677" s="112"/>
    </row>
    <row r="678" spans="1:20" ht="23.4" x14ac:dyDescent="0.25">
      <c r="A678" s="57">
        <v>677</v>
      </c>
      <c r="B678" s="110"/>
      <c r="T678" s="112"/>
    </row>
    <row r="679" spans="1:20" ht="23.4" x14ac:dyDescent="0.25">
      <c r="A679" s="57">
        <v>678</v>
      </c>
      <c r="B679" s="110"/>
      <c r="T679" s="112"/>
    </row>
    <row r="680" spans="1:20" ht="26.4" x14ac:dyDescent="0.25">
      <c r="A680" s="57">
        <v>679</v>
      </c>
      <c r="B680" s="110"/>
      <c r="T680" s="109"/>
    </row>
    <row r="681" spans="1:20" ht="23.4" x14ac:dyDescent="0.25">
      <c r="A681" s="57">
        <v>680</v>
      </c>
      <c r="B681" s="110"/>
      <c r="T681" s="112"/>
    </row>
    <row r="682" spans="1:20" ht="23.4" x14ac:dyDescent="0.25">
      <c r="A682" s="57">
        <v>681</v>
      </c>
      <c r="B682" s="110"/>
      <c r="T682" s="112"/>
    </row>
    <row r="683" spans="1:20" ht="23.4" x14ac:dyDescent="0.25">
      <c r="A683" s="57">
        <v>682</v>
      </c>
      <c r="B683" s="110"/>
      <c r="T683" s="112"/>
    </row>
    <row r="684" spans="1:20" ht="23.4" x14ac:dyDescent="0.25">
      <c r="A684" s="57">
        <v>683</v>
      </c>
      <c r="B684" s="110"/>
      <c r="T684" s="112"/>
    </row>
    <row r="685" spans="1:20" ht="23.4" x14ac:dyDescent="0.25">
      <c r="A685" s="57">
        <v>684</v>
      </c>
      <c r="B685" s="110"/>
      <c r="T685" s="112"/>
    </row>
    <row r="686" spans="1:20" ht="23.4" x14ac:dyDescent="0.25">
      <c r="A686" s="57">
        <v>685</v>
      </c>
      <c r="B686" s="110"/>
      <c r="T686" s="112"/>
    </row>
    <row r="687" spans="1:20" ht="26.4" x14ac:dyDescent="0.25">
      <c r="A687" s="57">
        <v>686</v>
      </c>
      <c r="B687" s="110"/>
      <c r="T687" s="109"/>
    </row>
    <row r="688" spans="1:20" ht="23.4" x14ac:dyDescent="0.25">
      <c r="A688" s="57">
        <v>687</v>
      </c>
      <c r="B688" s="110"/>
      <c r="T688" s="112"/>
    </row>
    <row r="689" spans="1:20" ht="23.4" x14ac:dyDescent="0.25">
      <c r="A689" s="57">
        <v>688</v>
      </c>
      <c r="B689" s="110"/>
      <c r="T689" s="112"/>
    </row>
    <row r="690" spans="1:20" ht="23.4" x14ac:dyDescent="0.25">
      <c r="A690" s="57">
        <v>689</v>
      </c>
      <c r="B690" s="110"/>
      <c r="T690" s="112"/>
    </row>
    <row r="691" spans="1:20" ht="23.4" x14ac:dyDescent="0.25">
      <c r="A691" s="57">
        <v>690</v>
      </c>
      <c r="B691" s="110"/>
      <c r="T691" s="112"/>
    </row>
    <row r="692" spans="1:20" ht="23.4" x14ac:dyDescent="0.25">
      <c r="A692" s="57">
        <v>691</v>
      </c>
      <c r="B692" s="110"/>
      <c r="T692" s="112"/>
    </row>
    <row r="693" spans="1:20" ht="23.4" x14ac:dyDescent="0.25">
      <c r="A693" s="57">
        <v>692</v>
      </c>
      <c r="B693" s="110"/>
      <c r="T693" s="112"/>
    </row>
    <row r="694" spans="1:20" ht="26.4" x14ac:dyDescent="0.25">
      <c r="A694" s="57">
        <v>693</v>
      </c>
      <c r="B694" s="110"/>
      <c r="T694" s="109"/>
    </row>
    <row r="695" spans="1:20" ht="23.4" x14ac:dyDescent="0.25">
      <c r="A695" s="57">
        <v>694</v>
      </c>
      <c r="B695" s="110"/>
      <c r="T695" s="112"/>
    </row>
    <row r="696" spans="1:20" ht="23.4" x14ac:dyDescent="0.25">
      <c r="A696" s="57">
        <v>695</v>
      </c>
      <c r="B696" s="110"/>
      <c r="T696" s="112"/>
    </row>
    <row r="697" spans="1:20" ht="23.4" x14ac:dyDescent="0.25">
      <c r="A697" s="57">
        <v>696</v>
      </c>
      <c r="B697" s="110"/>
      <c r="T697" s="112"/>
    </row>
    <row r="698" spans="1:20" ht="23.4" x14ac:dyDescent="0.25">
      <c r="A698" s="57">
        <v>697</v>
      </c>
      <c r="B698" s="110"/>
      <c r="T698" s="112"/>
    </row>
    <row r="699" spans="1:20" ht="23.4" x14ac:dyDescent="0.25">
      <c r="A699" s="57">
        <v>698</v>
      </c>
      <c r="B699" s="110"/>
      <c r="T699" s="112"/>
    </row>
    <row r="700" spans="1:20" ht="23.4" x14ac:dyDescent="0.25">
      <c r="A700" s="57">
        <v>699</v>
      </c>
      <c r="B700" s="110"/>
      <c r="T700" s="112"/>
    </row>
    <row r="701" spans="1:20" ht="26.4" x14ac:dyDescent="0.25">
      <c r="A701" s="57">
        <v>700</v>
      </c>
      <c r="B701" s="110"/>
      <c r="T701" s="109"/>
    </row>
    <row r="702" spans="1:20" ht="23.4" x14ac:dyDescent="0.25">
      <c r="A702" s="57">
        <v>701</v>
      </c>
      <c r="B702" s="110"/>
      <c r="T702" s="112"/>
    </row>
    <row r="703" spans="1:20" ht="23.4" x14ac:dyDescent="0.25">
      <c r="A703" s="57">
        <v>702</v>
      </c>
      <c r="B703" s="110"/>
      <c r="T703" s="112"/>
    </row>
    <row r="704" spans="1:20" ht="23.4" x14ac:dyDescent="0.25">
      <c r="A704" s="57">
        <v>703</v>
      </c>
      <c r="B704" s="110"/>
      <c r="T704" s="112"/>
    </row>
    <row r="705" spans="1:20" ht="23.4" x14ac:dyDescent="0.25">
      <c r="A705" s="57">
        <v>704</v>
      </c>
      <c r="B705" s="110"/>
      <c r="T705" s="112"/>
    </row>
    <row r="706" spans="1:20" ht="23.4" x14ac:dyDescent="0.25">
      <c r="A706" s="57">
        <v>705</v>
      </c>
      <c r="B706" s="110"/>
      <c r="T706" s="112"/>
    </row>
    <row r="707" spans="1:20" ht="23.4" x14ac:dyDescent="0.25">
      <c r="A707" s="57">
        <v>706</v>
      </c>
      <c r="B707" s="110"/>
      <c r="T707" s="112"/>
    </row>
    <row r="708" spans="1:20" ht="26.4" x14ac:dyDescent="0.25">
      <c r="A708" s="57">
        <v>707</v>
      </c>
      <c r="B708" s="110"/>
      <c r="T708" s="109"/>
    </row>
    <row r="709" spans="1:20" ht="23.4" x14ac:dyDescent="0.25">
      <c r="A709" s="57">
        <v>708</v>
      </c>
      <c r="B709" s="110"/>
      <c r="T709" s="112"/>
    </row>
    <row r="710" spans="1:20" ht="23.4" x14ac:dyDescent="0.25">
      <c r="A710" s="57">
        <v>709</v>
      </c>
      <c r="B710" s="110"/>
      <c r="T710" s="112"/>
    </row>
    <row r="711" spans="1:20" ht="23.4" x14ac:dyDescent="0.25">
      <c r="A711" s="57">
        <v>710</v>
      </c>
      <c r="B711" s="110"/>
      <c r="T711" s="112"/>
    </row>
    <row r="712" spans="1:20" ht="23.4" x14ac:dyDescent="0.25">
      <c r="A712" s="57">
        <v>711</v>
      </c>
      <c r="B712" s="110"/>
      <c r="T712" s="112"/>
    </row>
    <row r="713" spans="1:20" ht="23.4" x14ac:dyDescent="0.25">
      <c r="A713" s="57">
        <v>712</v>
      </c>
      <c r="B713" s="110"/>
      <c r="T713" s="112"/>
    </row>
    <row r="714" spans="1:20" ht="23.4" x14ac:dyDescent="0.25">
      <c r="A714" s="57">
        <v>713</v>
      </c>
      <c r="B714" s="110"/>
      <c r="T714" s="112"/>
    </row>
    <row r="715" spans="1:20" ht="26.4" x14ac:dyDescent="0.25">
      <c r="A715" s="57">
        <v>714</v>
      </c>
      <c r="B715" s="110"/>
      <c r="T715" s="109"/>
    </row>
    <row r="716" spans="1:20" ht="23.4" x14ac:dyDescent="0.25">
      <c r="A716" s="57">
        <v>715</v>
      </c>
      <c r="B716" s="110"/>
      <c r="T716" s="112"/>
    </row>
    <row r="717" spans="1:20" ht="23.4" x14ac:dyDescent="0.25">
      <c r="A717" s="57">
        <v>716</v>
      </c>
      <c r="B717" s="110"/>
      <c r="T717" s="112"/>
    </row>
    <row r="718" spans="1:20" ht="23.4" x14ac:dyDescent="0.25">
      <c r="A718" s="57">
        <v>717</v>
      </c>
      <c r="B718" s="110"/>
      <c r="T718" s="112"/>
    </row>
    <row r="719" spans="1:20" ht="23.4" x14ac:dyDescent="0.25">
      <c r="A719" s="57">
        <v>718</v>
      </c>
      <c r="B719" s="110"/>
      <c r="T719" s="112"/>
    </row>
    <row r="720" spans="1:20" ht="23.4" x14ac:dyDescent="0.25">
      <c r="A720" s="57">
        <v>719</v>
      </c>
      <c r="B720" s="110"/>
      <c r="T720" s="112"/>
    </row>
    <row r="721" spans="1:20" ht="23.4" x14ac:dyDescent="0.25">
      <c r="A721" s="57">
        <v>720</v>
      </c>
      <c r="B721" s="110"/>
      <c r="T721" s="112"/>
    </row>
    <row r="722" spans="1:20" ht="26.4" x14ac:dyDescent="0.25">
      <c r="A722" s="57">
        <v>721</v>
      </c>
      <c r="B722" s="110"/>
      <c r="T722" s="109"/>
    </row>
    <row r="723" spans="1:20" ht="23.4" x14ac:dyDescent="0.25">
      <c r="A723" s="57">
        <v>722</v>
      </c>
      <c r="B723" s="110"/>
      <c r="T723" s="112"/>
    </row>
    <row r="724" spans="1:20" ht="23.4" x14ac:dyDescent="0.25">
      <c r="A724" s="57">
        <v>723</v>
      </c>
      <c r="B724" s="110"/>
      <c r="T724" s="112"/>
    </row>
    <row r="725" spans="1:20" ht="23.4" x14ac:dyDescent="0.25">
      <c r="A725" s="57">
        <v>724</v>
      </c>
      <c r="B725" s="110"/>
      <c r="T725" s="112"/>
    </row>
    <row r="726" spans="1:20" ht="23.4" x14ac:dyDescent="0.25">
      <c r="A726" s="57">
        <v>725</v>
      </c>
      <c r="B726" s="110"/>
      <c r="T726" s="112"/>
    </row>
    <row r="727" spans="1:20" ht="23.4" x14ac:dyDescent="0.25">
      <c r="A727" s="57">
        <v>726</v>
      </c>
      <c r="B727" s="110"/>
      <c r="T727" s="112"/>
    </row>
    <row r="728" spans="1:20" ht="23.4" x14ac:dyDescent="0.25">
      <c r="A728" s="57">
        <v>727</v>
      </c>
      <c r="B728" s="110"/>
      <c r="T728" s="112"/>
    </row>
    <row r="729" spans="1:20" ht="26.4" x14ac:dyDescent="0.25">
      <c r="A729" s="57">
        <v>728</v>
      </c>
      <c r="B729" s="110"/>
      <c r="T729" s="109"/>
    </row>
    <row r="730" spans="1:20" ht="23.4" x14ac:dyDescent="0.25">
      <c r="A730" s="57">
        <v>729</v>
      </c>
      <c r="B730" s="110"/>
      <c r="T730" s="112"/>
    </row>
    <row r="731" spans="1:20" ht="23.4" x14ac:dyDescent="0.25">
      <c r="A731" s="57">
        <v>730</v>
      </c>
      <c r="B731" s="110"/>
      <c r="T731" s="112"/>
    </row>
    <row r="732" spans="1:20" ht="23.4" x14ac:dyDescent="0.25">
      <c r="A732" s="57">
        <v>731</v>
      </c>
      <c r="B732" s="110"/>
      <c r="T732" s="112"/>
    </row>
    <row r="733" spans="1:20" ht="23.4" x14ac:dyDescent="0.25">
      <c r="A733" s="57">
        <v>732</v>
      </c>
      <c r="B733" s="110"/>
      <c r="T733" s="112"/>
    </row>
    <row r="734" spans="1:20" ht="23.4" x14ac:dyDescent="0.25">
      <c r="A734" s="57">
        <v>733</v>
      </c>
      <c r="B734" s="110"/>
      <c r="T734" s="112"/>
    </row>
    <row r="735" spans="1:20" ht="23.4" x14ac:dyDescent="0.25">
      <c r="A735" s="57">
        <v>734</v>
      </c>
      <c r="B735" s="110"/>
      <c r="T735" s="112"/>
    </row>
    <row r="736" spans="1:20" ht="26.4" x14ac:dyDescent="0.25">
      <c r="A736" s="57">
        <v>735</v>
      </c>
      <c r="B736" s="110"/>
      <c r="T736" s="109"/>
    </row>
    <row r="737" spans="1:20" ht="23.4" x14ac:dyDescent="0.25">
      <c r="A737" s="57">
        <v>736</v>
      </c>
      <c r="B737" s="110"/>
      <c r="T737" s="112"/>
    </row>
    <row r="738" spans="1:20" ht="23.4" x14ac:dyDescent="0.25">
      <c r="A738" s="57">
        <v>737</v>
      </c>
      <c r="B738" s="110"/>
      <c r="T738" s="112"/>
    </row>
    <row r="739" spans="1:20" ht="23.4" x14ac:dyDescent="0.25">
      <c r="A739" s="57">
        <v>738</v>
      </c>
      <c r="B739" s="110"/>
      <c r="T739" s="112"/>
    </row>
    <row r="740" spans="1:20" ht="23.4" x14ac:dyDescent="0.25">
      <c r="A740" s="57">
        <v>739</v>
      </c>
      <c r="B740" s="110"/>
      <c r="T740" s="112"/>
    </row>
    <row r="741" spans="1:20" ht="23.4" x14ac:dyDescent="0.25">
      <c r="A741" s="57">
        <v>740</v>
      </c>
      <c r="B741" s="110"/>
      <c r="T741" s="112"/>
    </row>
    <row r="742" spans="1:20" ht="23.4" x14ac:dyDescent="0.25">
      <c r="A742" s="57">
        <v>741</v>
      </c>
      <c r="B742" s="110"/>
      <c r="T742" s="112"/>
    </row>
    <row r="743" spans="1:20" ht="26.4" x14ac:dyDescent="0.25">
      <c r="A743" s="57">
        <v>742</v>
      </c>
      <c r="B743" s="110"/>
      <c r="T743" s="109"/>
    </row>
    <row r="744" spans="1:20" ht="23.4" x14ac:dyDescent="0.25">
      <c r="A744" s="57">
        <v>743</v>
      </c>
      <c r="B744" s="110"/>
      <c r="T744" s="112"/>
    </row>
    <row r="745" spans="1:20" ht="23.4" x14ac:dyDescent="0.25">
      <c r="A745" s="57">
        <v>744</v>
      </c>
      <c r="B745" s="110"/>
      <c r="T745" s="112"/>
    </row>
    <row r="746" spans="1:20" ht="23.4" x14ac:dyDescent="0.25">
      <c r="A746" s="57">
        <v>745</v>
      </c>
      <c r="B746" s="110"/>
      <c r="T746" s="112"/>
    </row>
    <row r="747" spans="1:20" ht="23.4" x14ac:dyDescent="0.25">
      <c r="A747" s="57">
        <v>746</v>
      </c>
      <c r="B747" s="110"/>
      <c r="T747" s="112"/>
    </row>
    <row r="748" spans="1:20" ht="23.4" x14ac:dyDescent="0.25">
      <c r="A748" s="57">
        <v>747</v>
      </c>
      <c r="B748" s="110"/>
      <c r="T748" s="112"/>
    </row>
    <row r="749" spans="1:20" ht="23.4" x14ac:dyDescent="0.25">
      <c r="A749" s="57">
        <v>748</v>
      </c>
      <c r="B749" s="110"/>
      <c r="T749" s="112"/>
    </row>
    <row r="750" spans="1:20" ht="26.4" x14ac:dyDescent="0.25">
      <c r="A750" s="57">
        <v>749</v>
      </c>
      <c r="B750" s="110"/>
      <c r="T750" s="109"/>
    </row>
    <row r="751" spans="1:20" ht="23.4" x14ac:dyDescent="0.25">
      <c r="A751" s="57">
        <v>750</v>
      </c>
      <c r="B751" s="110"/>
      <c r="T751" s="112"/>
    </row>
    <row r="752" spans="1:20" ht="23.4" x14ac:dyDescent="0.25">
      <c r="A752" s="57">
        <v>751</v>
      </c>
      <c r="B752" s="110"/>
      <c r="T752" s="112"/>
    </row>
    <row r="753" spans="1:20" ht="23.4" x14ac:dyDescent="0.25">
      <c r="A753" s="57">
        <v>752</v>
      </c>
      <c r="B753" s="110"/>
      <c r="T753" s="112"/>
    </row>
    <row r="754" spans="1:20" ht="23.4" x14ac:dyDescent="0.25">
      <c r="A754" s="57">
        <v>753</v>
      </c>
      <c r="B754" s="110"/>
      <c r="T754" s="112"/>
    </row>
    <row r="755" spans="1:20" ht="23.4" x14ac:dyDescent="0.25">
      <c r="A755" s="57">
        <v>754</v>
      </c>
      <c r="B755" s="110"/>
      <c r="T755" s="112"/>
    </row>
    <row r="756" spans="1:20" ht="23.4" x14ac:dyDescent="0.25">
      <c r="A756" s="57">
        <v>755</v>
      </c>
      <c r="B756" s="110"/>
      <c r="T756" s="112"/>
    </row>
    <row r="757" spans="1:20" ht="26.4" x14ac:dyDescent="0.25">
      <c r="A757" s="57">
        <v>756</v>
      </c>
      <c r="B757" s="110"/>
      <c r="T757" s="109"/>
    </row>
    <row r="758" spans="1:20" ht="23.4" x14ac:dyDescent="0.25">
      <c r="A758" s="57">
        <v>757</v>
      </c>
      <c r="B758" s="110"/>
      <c r="T758" s="112"/>
    </row>
    <row r="759" spans="1:20" ht="23.4" x14ac:dyDescent="0.25">
      <c r="A759" s="57">
        <v>758</v>
      </c>
      <c r="B759" s="110"/>
      <c r="T759" s="112"/>
    </row>
    <row r="760" spans="1:20" ht="23.4" x14ac:dyDescent="0.25">
      <c r="A760" s="57">
        <v>759</v>
      </c>
      <c r="B760" s="110"/>
      <c r="T760" s="112"/>
    </row>
    <row r="761" spans="1:20" ht="23.4" x14ac:dyDescent="0.25">
      <c r="A761" s="57">
        <v>760</v>
      </c>
      <c r="B761" s="110"/>
      <c r="T761" s="112"/>
    </row>
    <row r="762" spans="1:20" ht="23.4" x14ac:dyDescent="0.25">
      <c r="A762" s="57">
        <v>761</v>
      </c>
      <c r="B762" s="110"/>
      <c r="T762" s="112"/>
    </row>
    <row r="763" spans="1:20" ht="23.4" x14ac:dyDescent="0.25">
      <c r="A763" s="57">
        <v>762</v>
      </c>
      <c r="B763" s="110"/>
      <c r="T763" s="112"/>
    </row>
    <row r="764" spans="1:20" ht="26.4" x14ac:dyDescent="0.25">
      <c r="A764" s="57">
        <v>763</v>
      </c>
      <c r="B764" s="110"/>
      <c r="T764" s="109"/>
    </row>
    <row r="765" spans="1:20" ht="23.4" x14ac:dyDescent="0.25">
      <c r="A765" s="57">
        <v>764</v>
      </c>
      <c r="B765" s="110"/>
      <c r="T765" s="112"/>
    </row>
    <row r="766" spans="1:20" ht="23.4" x14ac:dyDescent="0.25">
      <c r="A766" s="57">
        <v>765</v>
      </c>
      <c r="B766" s="110"/>
      <c r="T766" s="112"/>
    </row>
    <row r="767" spans="1:20" ht="23.4" x14ac:dyDescent="0.25">
      <c r="A767" s="57">
        <v>766</v>
      </c>
      <c r="B767" s="110"/>
      <c r="T767" s="112"/>
    </row>
    <row r="768" spans="1:20" ht="23.4" x14ac:dyDescent="0.25">
      <c r="A768" s="57">
        <v>767</v>
      </c>
      <c r="B768" s="110"/>
      <c r="T768" s="112"/>
    </row>
    <row r="769" spans="1:20" ht="23.4" x14ac:dyDescent="0.25">
      <c r="A769" s="57">
        <v>768</v>
      </c>
      <c r="B769" s="110"/>
      <c r="T769" s="112"/>
    </row>
    <row r="770" spans="1:20" ht="23.4" x14ac:dyDescent="0.25">
      <c r="A770" s="57">
        <v>769</v>
      </c>
      <c r="B770" s="110"/>
      <c r="T770" s="112"/>
    </row>
    <row r="771" spans="1:20" ht="26.4" x14ac:dyDescent="0.25">
      <c r="A771" s="57">
        <v>770</v>
      </c>
      <c r="B771" s="110"/>
      <c r="T771" s="109"/>
    </row>
    <row r="772" spans="1:20" ht="23.4" x14ac:dyDescent="0.25">
      <c r="A772" s="57">
        <v>771</v>
      </c>
      <c r="B772" s="110"/>
      <c r="T772" s="112"/>
    </row>
    <row r="773" spans="1:20" ht="23.4" x14ac:dyDescent="0.25">
      <c r="A773" s="57">
        <v>772</v>
      </c>
      <c r="B773" s="110"/>
      <c r="T773" s="112"/>
    </row>
    <row r="774" spans="1:20" ht="23.4" x14ac:dyDescent="0.25">
      <c r="A774" s="57">
        <v>773</v>
      </c>
      <c r="B774" s="110"/>
      <c r="T774" s="112"/>
    </row>
    <row r="775" spans="1:20" ht="23.4" x14ac:dyDescent="0.25">
      <c r="A775" s="57">
        <v>774</v>
      </c>
      <c r="B775" s="110"/>
      <c r="T775" s="112"/>
    </row>
    <row r="776" spans="1:20" ht="23.4" x14ac:dyDescent="0.25">
      <c r="A776" s="57">
        <v>775</v>
      </c>
      <c r="B776" s="110"/>
      <c r="T776" s="112"/>
    </row>
    <row r="777" spans="1:20" ht="23.4" x14ac:dyDescent="0.25">
      <c r="A777" s="57">
        <v>776</v>
      </c>
      <c r="B777" s="110"/>
      <c r="T777" s="112"/>
    </row>
    <row r="778" spans="1:20" ht="26.4" x14ac:dyDescent="0.25">
      <c r="A778" s="57">
        <v>777</v>
      </c>
      <c r="B778" s="110"/>
      <c r="T778" s="109"/>
    </row>
    <row r="779" spans="1:20" ht="23.4" x14ac:dyDescent="0.25">
      <c r="A779" s="57">
        <v>778</v>
      </c>
      <c r="B779" s="110"/>
      <c r="T779" s="112"/>
    </row>
    <row r="780" spans="1:20" ht="23.4" x14ac:dyDescent="0.25">
      <c r="A780" s="57">
        <v>779</v>
      </c>
      <c r="B780" s="110"/>
      <c r="T780" s="112"/>
    </row>
    <row r="781" spans="1:20" ht="23.4" x14ac:dyDescent="0.25">
      <c r="A781" s="57">
        <v>780</v>
      </c>
      <c r="B781" s="110"/>
      <c r="T781" s="112"/>
    </row>
    <row r="782" spans="1:20" ht="23.4" x14ac:dyDescent="0.25">
      <c r="A782" s="57">
        <v>781</v>
      </c>
      <c r="B782" s="110"/>
      <c r="T782" s="112"/>
    </row>
    <row r="783" spans="1:20" ht="23.4" x14ac:dyDescent="0.25">
      <c r="A783" s="57">
        <v>782</v>
      </c>
      <c r="B783" s="110"/>
      <c r="T783" s="112"/>
    </row>
    <row r="784" spans="1:20" ht="23.4" x14ac:dyDescent="0.25">
      <c r="A784" s="57">
        <v>783</v>
      </c>
      <c r="B784" s="110"/>
      <c r="T784" s="112"/>
    </row>
    <row r="785" spans="1:20" ht="26.4" x14ac:dyDescent="0.25">
      <c r="A785" s="57">
        <v>784</v>
      </c>
      <c r="B785" s="110"/>
      <c r="T785" s="109"/>
    </row>
    <row r="786" spans="1:20" ht="23.4" x14ac:dyDescent="0.25">
      <c r="A786" s="57">
        <v>785</v>
      </c>
      <c r="B786" s="110"/>
      <c r="T786" s="112"/>
    </row>
    <row r="787" spans="1:20" ht="23.4" x14ac:dyDescent="0.25">
      <c r="A787" s="57">
        <v>786</v>
      </c>
      <c r="B787" s="110"/>
      <c r="T787" s="112"/>
    </row>
    <row r="788" spans="1:20" ht="23.4" x14ac:dyDescent="0.25">
      <c r="A788" s="57">
        <v>787</v>
      </c>
      <c r="B788" s="110"/>
      <c r="T788" s="112"/>
    </row>
    <row r="789" spans="1:20" ht="23.4" x14ac:dyDescent="0.25">
      <c r="A789" s="57">
        <v>788</v>
      </c>
      <c r="B789" s="110"/>
      <c r="T789" s="112"/>
    </row>
    <row r="790" spans="1:20" ht="23.4" x14ac:dyDescent="0.25">
      <c r="A790" s="57">
        <v>789</v>
      </c>
      <c r="B790" s="110"/>
      <c r="T790" s="112"/>
    </row>
    <row r="791" spans="1:20" ht="23.4" x14ac:dyDescent="0.25">
      <c r="A791" s="57">
        <v>790</v>
      </c>
      <c r="B791" s="110"/>
      <c r="T791" s="112"/>
    </row>
    <row r="792" spans="1:20" ht="26.4" x14ac:dyDescent="0.25">
      <c r="A792" s="57">
        <v>791</v>
      </c>
      <c r="B792" s="110"/>
      <c r="T792" s="109"/>
    </row>
    <row r="793" spans="1:20" ht="23.4" x14ac:dyDescent="0.25">
      <c r="A793" s="57">
        <v>792</v>
      </c>
      <c r="B793" s="110"/>
      <c r="T793" s="112"/>
    </row>
    <row r="794" spans="1:20" ht="23.4" x14ac:dyDescent="0.25">
      <c r="A794" s="57">
        <v>793</v>
      </c>
      <c r="B794" s="110"/>
      <c r="T794" s="112"/>
    </row>
    <row r="795" spans="1:20" ht="23.4" x14ac:dyDescent="0.25">
      <c r="A795" s="57">
        <v>794</v>
      </c>
      <c r="B795" s="110"/>
      <c r="T795" s="112"/>
    </row>
    <row r="796" spans="1:20" ht="23.4" x14ac:dyDescent="0.25">
      <c r="A796" s="57">
        <v>795</v>
      </c>
      <c r="B796" s="110"/>
      <c r="T796" s="112"/>
    </row>
    <row r="797" spans="1:20" ht="23.4" x14ac:dyDescent="0.25">
      <c r="A797" s="57">
        <v>796</v>
      </c>
      <c r="B797" s="110"/>
      <c r="T797" s="112"/>
    </row>
    <row r="798" spans="1:20" ht="23.4" x14ac:dyDescent="0.25">
      <c r="A798" s="57">
        <v>797</v>
      </c>
      <c r="B798" s="110"/>
      <c r="T798" s="112"/>
    </row>
    <row r="799" spans="1:20" ht="26.4" x14ac:dyDescent="0.25">
      <c r="A799" s="57">
        <v>798</v>
      </c>
      <c r="B799" s="110"/>
      <c r="T799" s="109"/>
    </row>
    <row r="800" spans="1:20" ht="23.4" x14ac:dyDescent="0.25">
      <c r="A800" s="57">
        <v>799</v>
      </c>
      <c r="B800" s="110"/>
      <c r="T800" s="112"/>
    </row>
    <row r="801" spans="1:20" ht="23.4" x14ac:dyDescent="0.25">
      <c r="A801" s="57">
        <v>800</v>
      </c>
      <c r="B801" s="110"/>
      <c r="T801" s="112"/>
    </row>
    <row r="802" spans="1:20" ht="23.4" x14ac:dyDescent="0.25">
      <c r="A802" s="57">
        <v>801</v>
      </c>
      <c r="B802" s="110"/>
      <c r="T802" s="112"/>
    </row>
    <row r="803" spans="1:20" ht="23.4" x14ac:dyDescent="0.25">
      <c r="A803" s="57">
        <v>802</v>
      </c>
      <c r="B803" s="110"/>
      <c r="T803" s="112"/>
    </row>
    <row r="804" spans="1:20" ht="23.4" x14ac:dyDescent="0.25">
      <c r="A804" s="57">
        <v>803</v>
      </c>
      <c r="B804" s="110"/>
      <c r="T804" s="112"/>
    </row>
    <row r="805" spans="1:20" ht="23.4" x14ac:dyDescent="0.25">
      <c r="A805" s="57">
        <v>804</v>
      </c>
      <c r="B805" s="110"/>
      <c r="T805" s="112"/>
    </row>
    <row r="806" spans="1:20" ht="26.4" x14ac:dyDescent="0.25">
      <c r="A806" s="57">
        <v>805</v>
      </c>
      <c r="B806" s="110"/>
      <c r="T806" s="109"/>
    </row>
    <row r="807" spans="1:20" ht="23.4" x14ac:dyDescent="0.25">
      <c r="A807" s="57">
        <v>806</v>
      </c>
      <c r="B807" s="110"/>
      <c r="T807" s="112"/>
    </row>
    <row r="808" spans="1:20" ht="23.4" x14ac:dyDescent="0.25">
      <c r="A808" s="57">
        <v>807</v>
      </c>
      <c r="B808" s="110"/>
      <c r="T808" s="112"/>
    </row>
    <row r="809" spans="1:20" ht="23.4" x14ac:dyDescent="0.25">
      <c r="A809" s="57">
        <v>808</v>
      </c>
      <c r="B809" s="110"/>
      <c r="T809" s="112"/>
    </row>
    <row r="810" spans="1:20" ht="23.4" x14ac:dyDescent="0.25">
      <c r="A810" s="57">
        <v>809</v>
      </c>
      <c r="B810" s="110"/>
      <c r="T810" s="112"/>
    </row>
    <row r="811" spans="1:20" ht="23.4" x14ac:dyDescent="0.25">
      <c r="A811" s="57">
        <v>810</v>
      </c>
      <c r="B811" s="110"/>
      <c r="T811" s="112"/>
    </row>
    <row r="812" spans="1:20" ht="23.4" x14ac:dyDescent="0.25">
      <c r="A812" s="57">
        <v>811</v>
      </c>
      <c r="B812" s="110"/>
      <c r="T812" s="112"/>
    </row>
    <row r="813" spans="1:20" ht="26.4" x14ac:dyDescent="0.25">
      <c r="A813" s="57">
        <v>812</v>
      </c>
      <c r="B813" s="110"/>
      <c r="T813" s="109"/>
    </row>
    <row r="814" spans="1:20" ht="23.4" x14ac:dyDescent="0.25">
      <c r="A814" s="57">
        <v>813</v>
      </c>
      <c r="B814" s="110"/>
      <c r="T814" s="112"/>
    </row>
    <row r="815" spans="1:20" ht="23.4" x14ac:dyDescent="0.25">
      <c r="A815" s="57">
        <v>814</v>
      </c>
      <c r="B815" s="110"/>
      <c r="T815" s="112"/>
    </row>
    <row r="816" spans="1:20" ht="23.4" x14ac:dyDescent="0.25">
      <c r="A816" s="57">
        <v>815</v>
      </c>
      <c r="B816" s="110"/>
      <c r="T816" s="112"/>
    </row>
    <row r="817" spans="1:20" ht="23.4" x14ac:dyDescent="0.25">
      <c r="A817" s="57">
        <v>816</v>
      </c>
      <c r="B817" s="110"/>
      <c r="T817" s="112"/>
    </row>
    <row r="818" spans="1:20" ht="23.4" x14ac:dyDescent="0.25">
      <c r="A818" s="57">
        <v>817</v>
      </c>
      <c r="B818" s="110"/>
      <c r="T818" s="112"/>
    </row>
    <row r="819" spans="1:20" ht="23.4" x14ac:dyDescent="0.25">
      <c r="A819" s="57">
        <v>818</v>
      </c>
      <c r="B819" s="110"/>
      <c r="T819" s="112"/>
    </row>
    <row r="820" spans="1:20" ht="26.4" x14ac:dyDescent="0.25">
      <c r="A820" s="57">
        <v>819</v>
      </c>
      <c r="B820" s="110"/>
      <c r="T820" s="109"/>
    </row>
    <row r="821" spans="1:20" ht="23.4" x14ac:dyDescent="0.25">
      <c r="A821" s="57">
        <v>820</v>
      </c>
      <c r="B821" s="110"/>
      <c r="T821" s="112"/>
    </row>
    <row r="822" spans="1:20" ht="23.4" x14ac:dyDescent="0.25">
      <c r="A822" s="57">
        <v>821</v>
      </c>
      <c r="B822" s="110"/>
      <c r="T822" s="112"/>
    </row>
    <row r="823" spans="1:20" ht="23.4" x14ac:dyDescent="0.25">
      <c r="A823" s="57">
        <v>822</v>
      </c>
      <c r="B823" s="110"/>
      <c r="T823" s="112"/>
    </row>
    <row r="824" spans="1:20" ht="23.4" x14ac:dyDescent="0.25">
      <c r="A824" s="57">
        <v>823</v>
      </c>
      <c r="B824" s="110"/>
      <c r="T824" s="112"/>
    </row>
    <row r="825" spans="1:20" ht="23.4" x14ac:dyDescent="0.25">
      <c r="A825" s="57">
        <v>824</v>
      </c>
      <c r="B825" s="110"/>
      <c r="T825" s="112"/>
    </row>
    <row r="826" spans="1:20" ht="23.4" x14ac:dyDescent="0.25">
      <c r="A826" s="57">
        <v>825</v>
      </c>
      <c r="B826" s="110"/>
      <c r="T826" s="112"/>
    </row>
    <row r="827" spans="1:20" ht="26.4" x14ac:dyDescent="0.25">
      <c r="A827" s="57">
        <v>826</v>
      </c>
      <c r="B827" s="110"/>
      <c r="T827" s="109"/>
    </row>
    <row r="828" spans="1:20" ht="23.4" x14ac:dyDescent="0.25">
      <c r="A828" s="57">
        <v>827</v>
      </c>
      <c r="B828" s="110"/>
      <c r="T828" s="112"/>
    </row>
    <row r="829" spans="1:20" ht="23.4" x14ac:dyDescent="0.25">
      <c r="A829" s="57">
        <v>828</v>
      </c>
      <c r="B829" s="110"/>
      <c r="T829" s="112"/>
    </row>
    <row r="830" spans="1:20" ht="23.4" x14ac:dyDescent="0.25">
      <c r="A830" s="57">
        <v>829</v>
      </c>
      <c r="B830" s="110"/>
      <c r="T830" s="112"/>
    </row>
    <row r="831" spans="1:20" ht="23.4" x14ac:dyDescent="0.25">
      <c r="A831" s="57">
        <v>830</v>
      </c>
      <c r="B831" s="110"/>
      <c r="T831" s="112"/>
    </row>
    <row r="832" spans="1:20" ht="23.4" x14ac:dyDescent="0.25">
      <c r="A832" s="57">
        <v>831</v>
      </c>
      <c r="B832" s="110"/>
      <c r="T832" s="112"/>
    </row>
    <row r="833" spans="1:20" ht="23.4" x14ac:dyDescent="0.25">
      <c r="A833" s="57">
        <v>832</v>
      </c>
      <c r="B833" s="110"/>
      <c r="T833" s="112"/>
    </row>
    <row r="834" spans="1:20" ht="26.4" x14ac:dyDescent="0.25">
      <c r="A834" s="57">
        <v>833</v>
      </c>
      <c r="B834" s="110"/>
      <c r="T834" s="109"/>
    </row>
    <row r="835" spans="1:20" ht="23.4" x14ac:dyDescent="0.25">
      <c r="A835" s="57">
        <v>834</v>
      </c>
      <c r="B835" s="110"/>
      <c r="T835" s="112"/>
    </row>
    <row r="836" spans="1:20" ht="23.4" x14ac:dyDescent="0.25">
      <c r="A836" s="57">
        <v>835</v>
      </c>
      <c r="B836" s="110"/>
      <c r="T836" s="112"/>
    </row>
    <row r="837" spans="1:20" ht="23.4" x14ac:dyDescent="0.25">
      <c r="A837" s="57">
        <v>836</v>
      </c>
      <c r="B837" s="110"/>
      <c r="T837" s="112"/>
    </row>
    <row r="838" spans="1:20" ht="23.4" x14ac:dyDescent="0.25">
      <c r="A838" s="57">
        <v>837</v>
      </c>
      <c r="B838" s="110"/>
      <c r="T838" s="112"/>
    </row>
    <row r="839" spans="1:20" ht="23.4" x14ac:dyDescent="0.25">
      <c r="A839" s="57">
        <v>838</v>
      </c>
      <c r="B839" s="110"/>
      <c r="T839" s="112"/>
    </row>
    <row r="840" spans="1:20" ht="23.4" x14ac:dyDescent="0.25">
      <c r="A840" s="57">
        <v>839</v>
      </c>
      <c r="B840" s="110"/>
      <c r="T840" s="112"/>
    </row>
    <row r="841" spans="1:20" ht="26.4" x14ac:dyDescent="0.25">
      <c r="A841" s="57">
        <v>840</v>
      </c>
      <c r="B841" s="110"/>
      <c r="T841" s="109"/>
    </row>
    <row r="842" spans="1:20" ht="23.4" x14ac:dyDescent="0.25">
      <c r="A842" s="57">
        <v>841</v>
      </c>
      <c r="B842" s="110"/>
      <c r="T842" s="112"/>
    </row>
    <row r="843" spans="1:20" ht="23.4" x14ac:dyDescent="0.25">
      <c r="A843" s="57">
        <v>842</v>
      </c>
      <c r="B843" s="110"/>
      <c r="T843" s="112"/>
    </row>
    <row r="844" spans="1:20" ht="23.4" x14ac:dyDescent="0.25">
      <c r="A844" s="57">
        <v>843</v>
      </c>
      <c r="B844" s="110"/>
      <c r="T844" s="112"/>
    </row>
    <row r="845" spans="1:20" ht="23.4" x14ac:dyDescent="0.25">
      <c r="A845" s="57">
        <v>844</v>
      </c>
      <c r="B845" s="110"/>
      <c r="T845" s="112"/>
    </row>
    <row r="846" spans="1:20" ht="23.4" x14ac:dyDescent="0.25">
      <c r="A846" s="57">
        <v>845</v>
      </c>
      <c r="B846" s="110"/>
      <c r="T846" s="112"/>
    </row>
    <row r="847" spans="1:20" ht="23.4" x14ac:dyDescent="0.25">
      <c r="A847" s="57">
        <v>846</v>
      </c>
      <c r="B847" s="110"/>
      <c r="T847" s="112"/>
    </row>
    <row r="848" spans="1:20" ht="26.4" x14ac:dyDescent="0.25">
      <c r="A848" s="57">
        <v>847</v>
      </c>
      <c r="B848" s="110"/>
      <c r="T848" s="109"/>
    </row>
    <row r="849" spans="1:20" ht="23.4" x14ac:dyDescent="0.25">
      <c r="A849" s="57">
        <v>848</v>
      </c>
      <c r="B849" s="110"/>
      <c r="T849" s="112"/>
    </row>
    <row r="850" spans="1:20" ht="23.4" x14ac:dyDescent="0.25">
      <c r="A850" s="57">
        <v>849</v>
      </c>
      <c r="B850" s="110"/>
      <c r="T850" s="112"/>
    </row>
    <row r="851" spans="1:20" ht="23.4" x14ac:dyDescent="0.25">
      <c r="A851" s="57">
        <v>850</v>
      </c>
      <c r="B851" s="110"/>
      <c r="T851" s="112"/>
    </row>
    <row r="852" spans="1:20" ht="23.4" x14ac:dyDescent="0.25">
      <c r="A852" s="57">
        <v>851</v>
      </c>
      <c r="B852" s="110"/>
      <c r="T852" s="112"/>
    </row>
    <row r="853" spans="1:20" ht="23.4" x14ac:dyDescent="0.25">
      <c r="A853" s="57">
        <v>852</v>
      </c>
      <c r="B853" s="110"/>
      <c r="T853" s="112"/>
    </row>
    <row r="854" spans="1:20" ht="23.4" x14ac:dyDescent="0.25">
      <c r="A854" s="57">
        <v>853</v>
      </c>
      <c r="B854" s="110"/>
      <c r="T854" s="112"/>
    </row>
    <row r="855" spans="1:20" ht="26.4" x14ac:dyDescent="0.25">
      <c r="A855" s="57">
        <v>854</v>
      </c>
      <c r="B855" s="110"/>
      <c r="T855" s="109"/>
    </row>
    <row r="856" spans="1:20" ht="23.4" x14ac:dyDescent="0.25">
      <c r="A856" s="57">
        <v>855</v>
      </c>
      <c r="B856" s="110"/>
      <c r="T856" s="112"/>
    </row>
    <row r="857" spans="1:20" ht="23.4" x14ac:dyDescent="0.25">
      <c r="A857" s="57">
        <v>856</v>
      </c>
      <c r="B857" s="110"/>
      <c r="T857" s="112"/>
    </row>
    <row r="858" spans="1:20" ht="23.4" x14ac:dyDescent="0.25">
      <c r="A858" s="57">
        <v>857</v>
      </c>
      <c r="B858" s="110"/>
      <c r="T858" s="112"/>
    </row>
    <row r="859" spans="1:20" ht="23.4" x14ac:dyDescent="0.25">
      <c r="A859" s="57">
        <v>858</v>
      </c>
      <c r="B859" s="110"/>
      <c r="T859" s="112"/>
    </row>
    <row r="860" spans="1:20" ht="23.4" x14ac:dyDescent="0.25">
      <c r="A860" s="57">
        <v>859</v>
      </c>
      <c r="B860" s="110"/>
      <c r="T860" s="112"/>
    </row>
    <row r="861" spans="1:20" ht="23.4" x14ac:dyDescent="0.25">
      <c r="A861" s="57">
        <v>860</v>
      </c>
      <c r="B861" s="110"/>
      <c r="T861" s="112"/>
    </row>
    <row r="862" spans="1:20" ht="26.4" x14ac:dyDescent="0.25">
      <c r="A862" s="57">
        <v>861</v>
      </c>
      <c r="B862" s="110"/>
      <c r="T862" s="109"/>
    </row>
    <row r="863" spans="1:20" ht="23.4" x14ac:dyDescent="0.25">
      <c r="A863" s="57">
        <v>862</v>
      </c>
      <c r="B863" s="110"/>
      <c r="T863" s="112"/>
    </row>
    <row r="864" spans="1:20" ht="23.4" x14ac:dyDescent="0.25">
      <c r="A864" s="57">
        <v>863</v>
      </c>
      <c r="B864" s="110"/>
      <c r="T864" s="112"/>
    </row>
    <row r="865" spans="1:20" ht="23.4" x14ac:dyDescent="0.25">
      <c r="A865" s="57">
        <v>864</v>
      </c>
      <c r="B865" s="110"/>
      <c r="T865" s="112"/>
    </row>
    <row r="866" spans="1:20" ht="23.4" x14ac:dyDescent="0.25">
      <c r="A866" s="57">
        <v>865</v>
      </c>
      <c r="B866" s="110"/>
      <c r="T866" s="112"/>
    </row>
    <row r="867" spans="1:20" ht="23.4" x14ac:dyDescent="0.25">
      <c r="A867" s="57">
        <v>866</v>
      </c>
      <c r="B867" s="110"/>
      <c r="T867" s="112"/>
    </row>
    <row r="868" spans="1:20" ht="23.4" x14ac:dyDescent="0.25">
      <c r="A868" s="57">
        <v>867</v>
      </c>
      <c r="B868" s="110"/>
      <c r="T868" s="112"/>
    </row>
    <row r="869" spans="1:20" ht="26.4" x14ac:dyDescent="0.25">
      <c r="A869" s="57">
        <v>868</v>
      </c>
      <c r="B869" s="110"/>
      <c r="T869" s="109"/>
    </row>
    <row r="870" spans="1:20" ht="23.4" x14ac:dyDescent="0.25">
      <c r="A870" s="57">
        <v>869</v>
      </c>
      <c r="B870" s="110"/>
      <c r="T870" s="112"/>
    </row>
    <row r="871" spans="1:20" ht="23.4" x14ac:dyDescent="0.25">
      <c r="A871" s="57">
        <v>870</v>
      </c>
      <c r="B871" s="110"/>
      <c r="T871" s="112"/>
    </row>
    <row r="872" spans="1:20" ht="23.4" x14ac:dyDescent="0.25">
      <c r="A872" s="57">
        <v>871</v>
      </c>
      <c r="B872" s="110"/>
      <c r="T872" s="112"/>
    </row>
    <row r="873" spans="1:20" ht="23.4" x14ac:dyDescent="0.25">
      <c r="A873" s="57">
        <v>872</v>
      </c>
      <c r="B873" s="110"/>
      <c r="T873" s="112"/>
    </row>
    <row r="874" spans="1:20" ht="23.4" x14ac:dyDescent="0.25">
      <c r="A874" s="57">
        <v>873</v>
      </c>
      <c r="B874" s="110"/>
      <c r="T874" s="112"/>
    </row>
    <row r="875" spans="1:20" ht="23.4" x14ac:dyDescent="0.25">
      <c r="A875" s="57">
        <v>874</v>
      </c>
      <c r="B875" s="110"/>
      <c r="T875" s="112"/>
    </row>
    <row r="876" spans="1:20" ht="26.4" x14ac:dyDescent="0.25">
      <c r="A876" s="57">
        <v>875</v>
      </c>
      <c r="B876" s="110"/>
      <c r="T876" s="109"/>
    </row>
    <row r="877" spans="1:20" ht="23.4" x14ac:dyDescent="0.25">
      <c r="A877" s="57">
        <v>876</v>
      </c>
      <c r="B877" s="110"/>
      <c r="T877" s="112"/>
    </row>
    <row r="878" spans="1:20" ht="23.4" x14ac:dyDescent="0.25">
      <c r="A878" s="57">
        <v>877</v>
      </c>
      <c r="B878" s="110"/>
      <c r="T878" s="112"/>
    </row>
    <row r="879" spans="1:20" ht="23.4" x14ac:dyDescent="0.25">
      <c r="A879" s="57">
        <v>878</v>
      </c>
      <c r="B879" s="110"/>
      <c r="T879" s="112"/>
    </row>
    <row r="880" spans="1:20" ht="23.4" x14ac:dyDescent="0.25">
      <c r="A880" s="57">
        <v>879</v>
      </c>
      <c r="B880" s="110"/>
      <c r="T880" s="112"/>
    </row>
    <row r="881" spans="1:20" ht="23.4" x14ac:dyDescent="0.25">
      <c r="A881" s="57">
        <v>880</v>
      </c>
      <c r="B881" s="110"/>
      <c r="T881" s="112"/>
    </row>
    <row r="882" spans="1:20" ht="23.4" x14ac:dyDescent="0.25">
      <c r="A882" s="57">
        <v>881</v>
      </c>
      <c r="B882" s="110"/>
      <c r="T882" s="112"/>
    </row>
    <row r="883" spans="1:20" ht="26.4" x14ac:dyDescent="0.25">
      <c r="A883" s="57">
        <v>882</v>
      </c>
      <c r="B883" s="110"/>
      <c r="T883" s="109"/>
    </row>
    <row r="884" spans="1:20" ht="23.4" x14ac:dyDescent="0.25">
      <c r="A884" s="57">
        <v>883</v>
      </c>
      <c r="B884" s="110"/>
      <c r="T884" s="112"/>
    </row>
    <row r="885" spans="1:20" ht="23.4" x14ac:dyDescent="0.25">
      <c r="A885" s="57">
        <v>884</v>
      </c>
      <c r="B885" s="110"/>
      <c r="T885" s="112"/>
    </row>
    <row r="886" spans="1:20" ht="23.4" x14ac:dyDescent="0.25">
      <c r="A886" s="57">
        <v>885</v>
      </c>
      <c r="B886" s="110"/>
      <c r="T886" s="112"/>
    </row>
    <row r="887" spans="1:20" ht="23.4" x14ac:dyDescent="0.25">
      <c r="A887" s="57">
        <v>886</v>
      </c>
      <c r="B887" s="110"/>
      <c r="T887" s="112"/>
    </row>
    <row r="888" spans="1:20" ht="23.4" x14ac:dyDescent="0.25">
      <c r="A888" s="57">
        <v>887</v>
      </c>
      <c r="B888" s="110"/>
      <c r="T888" s="112"/>
    </row>
    <row r="889" spans="1:20" ht="23.4" x14ac:dyDescent="0.25">
      <c r="A889" s="57">
        <v>888</v>
      </c>
      <c r="B889" s="110"/>
      <c r="T889" s="112"/>
    </row>
    <row r="890" spans="1:20" ht="26.4" x14ac:dyDescent="0.25">
      <c r="A890" s="57">
        <v>889</v>
      </c>
      <c r="B890" s="110"/>
      <c r="T890" s="109"/>
    </row>
    <row r="891" spans="1:20" ht="23.4" x14ac:dyDescent="0.25">
      <c r="A891" s="57">
        <v>890</v>
      </c>
      <c r="B891" s="110"/>
      <c r="T891" s="112"/>
    </row>
    <row r="892" spans="1:20" ht="23.4" x14ac:dyDescent="0.25">
      <c r="A892" s="57">
        <v>891</v>
      </c>
      <c r="B892" s="110"/>
      <c r="T892" s="112"/>
    </row>
    <row r="893" spans="1:20" ht="23.4" x14ac:dyDescent="0.25">
      <c r="A893" s="57">
        <v>892</v>
      </c>
      <c r="B893" s="110"/>
      <c r="T893" s="112"/>
    </row>
    <row r="894" spans="1:20" ht="23.4" x14ac:dyDescent="0.25">
      <c r="A894" s="57">
        <v>893</v>
      </c>
      <c r="B894" s="110"/>
      <c r="T894" s="112"/>
    </row>
    <row r="895" spans="1:20" ht="23.4" x14ac:dyDescent="0.25">
      <c r="A895" s="57">
        <v>894</v>
      </c>
      <c r="B895" s="110"/>
      <c r="T895" s="112"/>
    </row>
    <row r="896" spans="1:20" ht="23.4" x14ac:dyDescent="0.25">
      <c r="A896" s="57">
        <v>895</v>
      </c>
      <c r="B896" s="110"/>
      <c r="T896" s="112"/>
    </row>
    <row r="897" spans="1:20" ht="26.4" x14ac:dyDescent="0.25">
      <c r="A897" s="57">
        <v>896</v>
      </c>
      <c r="B897" s="110"/>
      <c r="T897" s="109"/>
    </row>
    <row r="898" spans="1:20" ht="23.4" x14ac:dyDescent="0.25">
      <c r="A898" s="57">
        <v>897</v>
      </c>
      <c r="B898" s="110"/>
      <c r="T898" s="112"/>
    </row>
    <row r="899" spans="1:20" ht="23.4" x14ac:dyDescent="0.25">
      <c r="A899" s="57">
        <v>898</v>
      </c>
      <c r="B899" s="110"/>
      <c r="T899" s="112"/>
    </row>
    <row r="900" spans="1:20" ht="23.4" x14ac:dyDescent="0.25">
      <c r="A900" s="57">
        <v>899</v>
      </c>
      <c r="B900" s="110"/>
      <c r="T900" s="112"/>
    </row>
    <row r="901" spans="1:20" ht="23.4" x14ac:dyDescent="0.25">
      <c r="A901" s="57">
        <v>900</v>
      </c>
      <c r="B901" s="110"/>
      <c r="T901" s="112"/>
    </row>
    <row r="902" spans="1:20" ht="23.4" x14ac:dyDescent="0.25">
      <c r="A902" s="57">
        <v>901</v>
      </c>
      <c r="B902" s="110"/>
      <c r="T902" s="112"/>
    </row>
    <row r="903" spans="1:20" ht="23.4" x14ac:dyDescent="0.25">
      <c r="A903" s="57">
        <v>902</v>
      </c>
      <c r="B903" s="110"/>
      <c r="T903" s="112"/>
    </row>
    <row r="904" spans="1:20" ht="26.4" x14ac:dyDescent="0.25">
      <c r="A904" s="57">
        <v>903</v>
      </c>
      <c r="B904" s="110"/>
      <c r="T904" s="109"/>
    </row>
    <row r="905" spans="1:20" ht="23.4" x14ac:dyDescent="0.25">
      <c r="A905" s="57">
        <v>904</v>
      </c>
      <c r="B905" s="110"/>
      <c r="T905" s="112"/>
    </row>
    <row r="906" spans="1:20" ht="23.4" x14ac:dyDescent="0.25">
      <c r="A906" s="57">
        <v>905</v>
      </c>
      <c r="B906" s="110"/>
      <c r="T906" s="112"/>
    </row>
    <row r="907" spans="1:20" ht="23.4" x14ac:dyDescent="0.25">
      <c r="A907" s="57">
        <v>906</v>
      </c>
      <c r="B907" s="110"/>
      <c r="T907" s="112"/>
    </row>
    <row r="908" spans="1:20" ht="23.4" x14ac:dyDescent="0.25">
      <c r="A908" s="57">
        <v>907</v>
      </c>
      <c r="B908" s="110"/>
      <c r="T908" s="112"/>
    </row>
    <row r="909" spans="1:20" ht="23.4" x14ac:dyDescent="0.25">
      <c r="A909" s="57">
        <v>908</v>
      </c>
      <c r="B909" s="110"/>
      <c r="T909" s="112"/>
    </row>
    <row r="910" spans="1:20" ht="23.4" x14ac:dyDescent="0.25">
      <c r="A910" s="57">
        <v>909</v>
      </c>
      <c r="B910" s="110"/>
      <c r="T910" s="112"/>
    </row>
    <row r="911" spans="1:20" ht="26.4" x14ac:dyDescent="0.25">
      <c r="A911" s="57">
        <v>910</v>
      </c>
      <c r="B911" s="110"/>
      <c r="T911" s="109"/>
    </row>
    <row r="912" spans="1:20" ht="23.4" x14ac:dyDescent="0.25">
      <c r="A912" s="57">
        <v>911</v>
      </c>
      <c r="B912" s="110"/>
      <c r="T912" s="112"/>
    </row>
    <row r="913" spans="1:20" ht="23.4" x14ac:dyDescent="0.25">
      <c r="A913" s="57">
        <v>912</v>
      </c>
      <c r="B913" s="110"/>
      <c r="T913" s="112"/>
    </row>
    <row r="914" spans="1:20" ht="23.4" x14ac:dyDescent="0.25">
      <c r="A914" s="57">
        <v>913</v>
      </c>
      <c r="B914" s="110"/>
      <c r="T914" s="112"/>
    </row>
    <row r="915" spans="1:20" ht="23.4" x14ac:dyDescent="0.25">
      <c r="A915" s="57">
        <v>914</v>
      </c>
      <c r="B915" s="110"/>
      <c r="T915" s="112"/>
    </row>
    <row r="916" spans="1:20" ht="23.4" x14ac:dyDescent="0.25">
      <c r="A916" s="57">
        <v>915</v>
      </c>
      <c r="B916" s="110"/>
      <c r="T916" s="112"/>
    </row>
    <row r="917" spans="1:20" ht="23.4" x14ac:dyDescent="0.25">
      <c r="A917" s="57">
        <v>916</v>
      </c>
      <c r="B917" s="110"/>
      <c r="T917" s="112"/>
    </row>
    <row r="918" spans="1:20" ht="26.4" x14ac:dyDescent="0.25">
      <c r="A918" s="57">
        <v>917</v>
      </c>
      <c r="B918" s="110"/>
      <c r="T918" s="109"/>
    </row>
    <row r="919" spans="1:20" ht="23.4" x14ac:dyDescent="0.25">
      <c r="A919" s="57">
        <v>918</v>
      </c>
      <c r="B919" s="110"/>
      <c r="T919" s="112"/>
    </row>
    <row r="920" spans="1:20" ht="23.4" x14ac:dyDescent="0.25">
      <c r="A920" s="57">
        <v>919</v>
      </c>
      <c r="B920" s="110"/>
      <c r="T920" s="112"/>
    </row>
    <row r="921" spans="1:20" ht="23.4" x14ac:dyDescent="0.25">
      <c r="A921" s="57">
        <v>920</v>
      </c>
      <c r="B921" s="110"/>
      <c r="T921" s="112"/>
    </row>
    <row r="922" spans="1:20" ht="23.4" x14ac:dyDescent="0.25">
      <c r="A922" s="57">
        <v>921</v>
      </c>
      <c r="B922" s="110"/>
      <c r="T922" s="112"/>
    </row>
    <row r="923" spans="1:20" ht="23.4" x14ac:dyDescent="0.25">
      <c r="A923" s="57">
        <v>922</v>
      </c>
      <c r="B923" s="110"/>
      <c r="T923" s="112"/>
    </row>
    <row r="924" spans="1:20" ht="23.4" x14ac:dyDescent="0.25">
      <c r="A924" s="57">
        <v>923</v>
      </c>
      <c r="B924" s="110"/>
      <c r="T924" s="112"/>
    </row>
    <row r="925" spans="1:20" ht="26.4" x14ac:dyDescent="0.25">
      <c r="A925" s="57">
        <v>924</v>
      </c>
      <c r="B925" s="110"/>
      <c r="T925" s="109"/>
    </row>
    <row r="926" spans="1:20" ht="23.4" x14ac:dyDescent="0.25">
      <c r="A926" s="57">
        <v>925</v>
      </c>
      <c r="B926" s="110"/>
      <c r="T926" s="112"/>
    </row>
    <row r="927" spans="1:20" ht="23.4" x14ac:dyDescent="0.25">
      <c r="A927" s="57">
        <v>926</v>
      </c>
      <c r="B927" s="110"/>
      <c r="T927" s="112"/>
    </row>
    <row r="928" spans="1:20" ht="23.4" x14ac:dyDescent="0.25">
      <c r="A928" s="57">
        <v>927</v>
      </c>
      <c r="B928" s="110"/>
      <c r="T928" s="112"/>
    </row>
    <row r="929" spans="1:20" ht="23.4" x14ac:dyDescent="0.25">
      <c r="A929" s="57">
        <v>928</v>
      </c>
      <c r="B929" s="110"/>
      <c r="T929" s="112"/>
    </row>
    <row r="930" spans="1:20" ht="23.4" x14ac:dyDescent="0.25">
      <c r="A930" s="57">
        <v>929</v>
      </c>
      <c r="B930" s="110"/>
      <c r="T930" s="112"/>
    </row>
    <row r="931" spans="1:20" ht="23.4" x14ac:dyDescent="0.25">
      <c r="A931" s="57">
        <v>930</v>
      </c>
      <c r="B931" s="110"/>
      <c r="T931" s="112"/>
    </row>
    <row r="932" spans="1:20" ht="26.4" x14ac:dyDescent="0.25">
      <c r="A932" s="57">
        <v>931</v>
      </c>
      <c r="B932" s="110"/>
      <c r="T932" s="109"/>
    </row>
    <row r="933" spans="1:20" ht="23.4" x14ac:dyDescent="0.25">
      <c r="A933" s="57">
        <v>932</v>
      </c>
      <c r="B933" s="110"/>
      <c r="T933" s="112"/>
    </row>
    <row r="934" spans="1:20" ht="23.4" x14ac:dyDescent="0.25">
      <c r="A934" s="57">
        <v>933</v>
      </c>
      <c r="B934" s="110"/>
      <c r="T934" s="112"/>
    </row>
    <row r="935" spans="1:20" ht="23.4" x14ac:dyDescent="0.25">
      <c r="A935" s="57">
        <v>934</v>
      </c>
      <c r="B935" s="110"/>
      <c r="T935" s="112"/>
    </row>
    <row r="936" spans="1:20" ht="23.4" x14ac:dyDescent="0.25">
      <c r="A936" s="57">
        <v>935</v>
      </c>
      <c r="B936" s="110"/>
      <c r="T936" s="112"/>
    </row>
    <row r="937" spans="1:20" ht="23.4" x14ac:dyDescent="0.25">
      <c r="A937" s="57">
        <v>936</v>
      </c>
      <c r="B937" s="110"/>
      <c r="T937" s="112"/>
    </row>
    <row r="938" spans="1:20" ht="23.4" x14ac:dyDescent="0.25">
      <c r="A938" s="57">
        <v>937</v>
      </c>
      <c r="B938" s="110"/>
      <c r="T938" s="112"/>
    </row>
    <row r="939" spans="1:20" ht="26.4" x14ac:dyDescent="0.25">
      <c r="A939" s="57">
        <v>938</v>
      </c>
      <c r="B939" s="110"/>
      <c r="T939" s="109"/>
    </row>
    <row r="940" spans="1:20" ht="23.4" x14ac:dyDescent="0.25">
      <c r="A940" s="57">
        <v>939</v>
      </c>
      <c r="B940" s="110"/>
      <c r="T940" s="112"/>
    </row>
    <row r="941" spans="1:20" ht="23.4" x14ac:dyDescent="0.25">
      <c r="A941" s="57">
        <v>940</v>
      </c>
      <c r="B941" s="110"/>
      <c r="T941" s="112"/>
    </row>
    <row r="942" spans="1:20" ht="23.4" x14ac:dyDescent="0.25">
      <c r="A942" s="57">
        <v>941</v>
      </c>
      <c r="B942" s="110"/>
      <c r="T942" s="112"/>
    </row>
    <row r="943" spans="1:20" ht="23.4" x14ac:dyDescent="0.25">
      <c r="A943" s="57">
        <v>942</v>
      </c>
      <c r="B943" s="110"/>
      <c r="T943" s="112"/>
    </row>
    <row r="944" spans="1:20" ht="23.4" x14ac:dyDescent="0.25">
      <c r="A944" s="57">
        <v>943</v>
      </c>
      <c r="B944" s="110"/>
      <c r="T944" s="112"/>
    </row>
    <row r="945" spans="1:20" ht="23.4" x14ac:dyDescent="0.25">
      <c r="A945" s="57">
        <v>944</v>
      </c>
      <c r="B945" s="110"/>
      <c r="T945" s="112"/>
    </row>
    <row r="946" spans="1:20" ht="26.4" x14ac:dyDescent="0.25">
      <c r="A946" s="57">
        <v>945</v>
      </c>
      <c r="B946" s="110"/>
      <c r="T946" s="109"/>
    </row>
    <row r="947" spans="1:20" ht="23.4" x14ac:dyDescent="0.25">
      <c r="A947" s="57">
        <v>946</v>
      </c>
      <c r="B947" s="110"/>
      <c r="T947" s="112"/>
    </row>
    <row r="948" spans="1:20" ht="23.4" x14ac:dyDescent="0.25">
      <c r="A948" s="57">
        <v>947</v>
      </c>
      <c r="B948" s="110"/>
      <c r="T948" s="112"/>
    </row>
    <row r="949" spans="1:20" ht="23.4" x14ac:dyDescent="0.25">
      <c r="A949" s="57">
        <v>948</v>
      </c>
      <c r="B949" s="110"/>
      <c r="T949" s="112"/>
    </row>
    <row r="950" spans="1:20" ht="23.4" x14ac:dyDescent="0.25">
      <c r="A950" s="57">
        <v>949</v>
      </c>
      <c r="B950" s="110"/>
      <c r="T950" s="112"/>
    </row>
    <row r="951" spans="1:20" ht="23.4" x14ac:dyDescent="0.25">
      <c r="A951" s="57">
        <v>950</v>
      </c>
      <c r="B951" s="110"/>
      <c r="T951" s="112"/>
    </row>
    <row r="952" spans="1:20" ht="23.4" x14ac:dyDescent="0.25">
      <c r="A952" s="57">
        <v>951</v>
      </c>
      <c r="B952" s="110"/>
      <c r="T952" s="112"/>
    </row>
    <row r="953" spans="1:20" ht="26.4" x14ac:dyDescent="0.25">
      <c r="A953" s="57">
        <v>952</v>
      </c>
      <c r="B953" s="110"/>
      <c r="T953" s="109"/>
    </row>
    <row r="954" spans="1:20" ht="23.4" x14ac:dyDescent="0.25">
      <c r="A954" s="57">
        <v>953</v>
      </c>
      <c r="B954" s="110"/>
      <c r="T954" s="112"/>
    </row>
    <row r="955" spans="1:20" ht="23.4" x14ac:dyDescent="0.25">
      <c r="A955" s="57">
        <v>954</v>
      </c>
      <c r="B955" s="110"/>
      <c r="T955" s="112"/>
    </row>
    <row r="956" spans="1:20" ht="23.4" x14ac:dyDescent="0.25">
      <c r="A956" s="57">
        <v>955</v>
      </c>
      <c r="B956" s="110"/>
      <c r="T956" s="112"/>
    </row>
    <row r="957" spans="1:20" ht="23.4" x14ac:dyDescent="0.25">
      <c r="A957" s="57">
        <v>956</v>
      </c>
      <c r="B957" s="110"/>
      <c r="T957" s="112"/>
    </row>
    <row r="958" spans="1:20" ht="23.4" x14ac:dyDescent="0.25">
      <c r="A958" s="57">
        <v>957</v>
      </c>
      <c r="B958" s="110"/>
      <c r="T958" s="112"/>
    </row>
    <row r="959" spans="1:20" ht="23.4" x14ac:dyDescent="0.25">
      <c r="A959" s="57">
        <v>958</v>
      </c>
      <c r="B959" s="110"/>
      <c r="T959" s="112"/>
    </row>
    <row r="960" spans="1:20" ht="26.4" x14ac:dyDescent="0.25">
      <c r="A960" s="57">
        <v>959</v>
      </c>
      <c r="B960" s="110"/>
      <c r="T960" s="109"/>
    </row>
    <row r="961" spans="1:20" ht="23.4" x14ac:dyDescent="0.25">
      <c r="A961" s="57">
        <v>960</v>
      </c>
      <c r="B961" s="110"/>
      <c r="T961" s="112"/>
    </row>
    <row r="962" spans="1:20" ht="23.4" x14ac:dyDescent="0.25">
      <c r="A962" s="57">
        <v>961</v>
      </c>
      <c r="B962" s="110"/>
      <c r="T962" s="112"/>
    </row>
    <row r="963" spans="1:20" ht="23.4" x14ac:dyDescent="0.25">
      <c r="A963" s="57">
        <v>962</v>
      </c>
      <c r="B963" s="110"/>
      <c r="T963" s="112"/>
    </row>
    <row r="964" spans="1:20" ht="23.4" x14ac:dyDescent="0.25">
      <c r="A964" s="57">
        <v>963</v>
      </c>
      <c r="B964" s="110"/>
      <c r="T964" s="112"/>
    </row>
    <row r="965" spans="1:20" ht="23.4" x14ac:dyDescent="0.25">
      <c r="A965" s="57">
        <v>964</v>
      </c>
      <c r="B965" s="110"/>
      <c r="T965" s="112"/>
    </row>
    <row r="966" spans="1:20" ht="23.4" x14ac:dyDescent="0.25">
      <c r="A966" s="57">
        <v>965</v>
      </c>
      <c r="B966" s="110"/>
      <c r="T966" s="112"/>
    </row>
    <row r="967" spans="1:20" ht="26.4" x14ac:dyDescent="0.25">
      <c r="A967" s="57">
        <v>966</v>
      </c>
      <c r="B967" s="110"/>
      <c r="T967" s="109"/>
    </row>
    <row r="968" spans="1:20" ht="23.4" x14ac:dyDescent="0.25">
      <c r="A968" s="57">
        <v>967</v>
      </c>
      <c r="B968" s="110"/>
      <c r="T968" s="112"/>
    </row>
    <row r="969" spans="1:20" ht="23.4" x14ac:dyDescent="0.25">
      <c r="A969" s="57">
        <v>968</v>
      </c>
      <c r="B969" s="110"/>
      <c r="T969" s="112"/>
    </row>
    <row r="970" spans="1:20" ht="23.4" x14ac:dyDescent="0.25">
      <c r="A970" s="57">
        <v>969</v>
      </c>
      <c r="B970" s="110"/>
      <c r="T970" s="112"/>
    </row>
    <row r="971" spans="1:20" ht="23.4" x14ac:dyDescent="0.25">
      <c r="A971" s="57">
        <v>970</v>
      </c>
      <c r="B971" s="110"/>
      <c r="T971" s="112"/>
    </row>
    <row r="972" spans="1:20" ht="23.4" x14ac:dyDescent="0.25">
      <c r="A972" s="57">
        <v>971</v>
      </c>
      <c r="B972" s="110"/>
      <c r="T972" s="112"/>
    </row>
    <row r="973" spans="1:20" ht="23.4" x14ac:dyDescent="0.25">
      <c r="A973" s="57">
        <v>972</v>
      </c>
      <c r="B973" s="110"/>
      <c r="T973" s="112"/>
    </row>
    <row r="974" spans="1:20" ht="26.4" x14ac:dyDescent="0.25">
      <c r="A974" s="57">
        <v>973</v>
      </c>
      <c r="B974" s="110"/>
      <c r="T974" s="109"/>
    </row>
    <row r="975" spans="1:20" ht="23.4" x14ac:dyDescent="0.25">
      <c r="A975" s="57">
        <v>974</v>
      </c>
      <c r="B975" s="110"/>
      <c r="T975" s="112"/>
    </row>
    <row r="976" spans="1:20" ht="23.4" x14ac:dyDescent="0.25">
      <c r="A976" s="57">
        <v>975</v>
      </c>
      <c r="B976" s="110"/>
      <c r="T976" s="112"/>
    </row>
    <row r="977" spans="1:20" ht="23.4" x14ac:dyDescent="0.25">
      <c r="A977" s="57">
        <v>976</v>
      </c>
      <c r="B977" s="110"/>
      <c r="T977" s="112"/>
    </row>
    <row r="978" spans="1:20" ht="23.4" x14ac:dyDescent="0.25">
      <c r="A978" s="57">
        <v>977</v>
      </c>
      <c r="B978" s="110"/>
      <c r="T978" s="112"/>
    </row>
    <row r="979" spans="1:20" ht="23.4" x14ac:dyDescent="0.25">
      <c r="A979" s="57">
        <v>978</v>
      </c>
      <c r="B979" s="110"/>
      <c r="T979" s="112"/>
    </row>
    <row r="980" spans="1:20" ht="23.4" x14ac:dyDescent="0.25">
      <c r="A980" s="57">
        <v>979</v>
      </c>
      <c r="B980" s="110"/>
      <c r="T980" s="112"/>
    </row>
    <row r="981" spans="1:20" ht="26.4" x14ac:dyDescent="0.25">
      <c r="A981" s="57">
        <v>980</v>
      </c>
      <c r="B981" s="110"/>
      <c r="T981" s="109"/>
    </row>
    <row r="982" spans="1:20" ht="23.4" x14ac:dyDescent="0.25">
      <c r="A982" s="57">
        <v>981</v>
      </c>
      <c r="B982" s="110"/>
      <c r="T982" s="112"/>
    </row>
    <row r="983" spans="1:20" ht="23.4" x14ac:dyDescent="0.25">
      <c r="A983" s="57">
        <v>982</v>
      </c>
      <c r="B983" s="110"/>
      <c r="T983" s="112"/>
    </row>
    <row r="984" spans="1:20" ht="23.4" x14ac:dyDescent="0.25">
      <c r="A984" s="57">
        <v>983</v>
      </c>
      <c r="B984" s="110"/>
      <c r="T984" s="112"/>
    </row>
    <row r="985" spans="1:20" ht="23.4" x14ac:dyDescent="0.25">
      <c r="A985" s="57">
        <v>984</v>
      </c>
      <c r="B985" s="110"/>
      <c r="T985" s="112"/>
    </row>
    <row r="986" spans="1:20" ht="23.4" x14ac:dyDescent="0.25">
      <c r="A986" s="57">
        <v>985</v>
      </c>
      <c r="B986" s="110"/>
      <c r="T986" s="112"/>
    </row>
    <row r="987" spans="1:20" ht="23.4" x14ac:dyDescent="0.25">
      <c r="A987" s="57">
        <v>986</v>
      </c>
      <c r="B987" s="110"/>
      <c r="T987" s="112"/>
    </row>
    <row r="988" spans="1:20" ht="26.4" x14ac:dyDescent="0.25">
      <c r="A988" s="57">
        <v>987</v>
      </c>
      <c r="B988" s="110"/>
      <c r="T988" s="109"/>
    </row>
    <row r="989" spans="1:20" ht="23.4" x14ac:dyDescent="0.25">
      <c r="A989" s="57">
        <v>988</v>
      </c>
      <c r="B989" s="110"/>
      <c r="T989" s="112"/>
    </row>
    <row r="990" spans="1:20" ht="23.4" x14ac:dyDescent="0.25">
      <c r="A990" s="57">
        <v>989</v>
      </c>
      <c r="B990" s="110"/>
      <c r="T990" s="112"/>
    </row>
    <row r="991" spans="1:20" ht="23.4" x14ac:dyDescent="0.25">
      <c r="A991" s="57">
        <v>990</v>
      </c>
      <c r="B991" s="110"/>
      <c r="T991" s="112"/>
    </row>
    <row r="992" spans="1:20" ht="23.4" x14ac:dyDescent="0.25">
      <c r="A992" s="57">
        <v>991</v>
      </c>
      <c r="B992" s="110"/>
      <c r="T992" s="112"/>
    </row>
    <row r="993" spans="1:20" ht="23.4" x14ac:dyDescent="0.25">
      <c r="A993" s="57">
        <v>992</v>
      </c>
      <c r="B993" s="110"/>
      <c r="T993" s="112"/>
    </row>
    <row r="994" spans="1:20" ht="23.4" x14ac:dyDescent="0.25">
      <c r="A994" s="57">
        <v>993</v>
      </c>
      <c r="B994" s="110"/>
      <c r="T994" s="112"/>
    </row>
    <row r="995" spans="1:20" ht="26.4" x14ac:dyDescent="0.25">
      <c r="A995" s="57">
        <v>994</v>
      </c>
      <c r="B995" s="110"/>
      <c r="T995" s="109"/>
    </row>
    <row r="996" spans="1:20" ht="23.4" x14ac:dyDescent="0.25">
      <c r="A996" s="57">
        <v>995</v>
      </c>
      <c r="B996" s="110"/>
      <c r="T996" s="112"/>
    </row>
    <row r="997" spans="1:20" ht="23.4" x14ac:dyDescent="0.25">
      <c r="A997" s="57">
        <v>996</v>
      </c>
      <c r="B997" s="110"/>
      <c r="T997" s="112"/>
    </row>
    <row r="998" spans="1:20" ht="23.4" x14ac:dyDescent="0.25">
      <c r="A998" s="57">
        <v>997</v>
      </c>
      <c r="B998" s="110"/>
      <c r="T998" s="112"/>
    </row>
    <row r="999" spans="1:20" ht="23.4" x14ac:dyDescent="0.25">
      <c r="A999" s="57">
        <v>998</v>
      </c>
      <c r="B999" s="110"/>
      <c r="T999" s="112"/>
    </row>
    <row r="1000" spans="1:20" ht="23.4" x14ac:dyDescent="0.25">
      <c r="A1000" s="57">
        <v>999</v>
      </c>
      <c r="B1000" s="110"/>
      <c r="T1000" s="112"/>
    </row>
    <row r="1001" spans="1:20" ht="23.4" x14ac:dyDescent="0.25">
      <c r="A1001" s="57">
        <v>1000</v>
      </c>
      <c r="B1001" s="110"/>
      <c r="T1001" s="112"/>
    </row>
    <row r="1002" spans="1:20" ht="26.4" x14ac:dyDescent="0.25">
      <c r="A1002" s="57">
        <v>1001</v>
      </c>
      <c r="B1002" s="110"/>
      <c r="T1002" s="109"/>
    </row>
    <row r="1003" spans="1:20" ht="23.4" x14ac:dyDescent="0.25">
      <c r="A1003" s="57">
        <v>1002</v>
      </c>
      <c r="B1003" s="110"/>
      <c r="T1003" s="112"/>
    </row>
    <row r="1004" spans="1:20" ht="23.4" x14ac:dyDescent="0.25">
      <c r="A1004" s="57">
        <v>1003</v>
      </c>
      <c r="B1004" s="110"/>
      <c r="T1004" s="112"/>
    </row>
    <row r="1005" spans="1:20" ht="23.4" x14ac:dyDescent="0.25">
      <c r="A1005" s="57">
        <v>1004</v>
      </c>
      <c r="B1005" s="110"/>
      <c r="T1005" s="112"/>
    </row>
    <row r="1006" spans="1:20" ht="23.4" x14ac:dyDescent="0.25">
      <c r="A1006" s="57">
        <v>1005</v>
      </c>
      <c r="B1006" s="110"/>
      <c r="T1006" s="112"/>
    </row>
    <row r="1007" spans="1:20" ht="23.4" x14ac:dyDescent="0.25">
      <c r="A1007" s="57">
        <v>1006</v>
      </c>
      <c r="B1007" s="110"/>
      <c r="T1007" s="112"/>
    </row>
    <row r="1008" spans="1:20" ht="23.4" x14ac:dyDescent="0.25">
      <c r="A1008" s="57">
        <v>1007</v>
      </c>
      <c r="B1008" s="110"/>
      <c r="T1008" s="112"/>
    </row>
    <row r="1009" spans="1:20" ht="26.4" x14ac:dyDescent="0.25">
      <c r="A1009" s="57">
        <v>1008</v>
      </c>
      <c r="B1009" s="110"/>
      <c r="T1009" s="109"/>
    </row>
    <row r="1010" spans="1:20" ht="23.4" x14ac:dyDescent="0.25">
      <c r="A1010" s="57">
        <v>1009</v>
      </c>
      <c r="B1010" s="110"/>
      <c r="T1010" s="112"/>
    </row>
    <row r="1011" spans="1:20" ht="23.4" x14ac:dyDescent="0.25">
      <c r="A1011" s="57">
        <v>1010</v>
      </c>
      <c r="B1011" s="110"/>
      <c r="T1011" s="112"/>
    </row>
    <row r="1012" spans="1:20" ht="23.4" x14ac:dyDescent="0.25">
      <c r="A1012" s="57">
        <v>1011</v>
      </c>
      <c r="B1012" s="110"/>
      <c r="T1012" s="112"/>
    </row>
    <row r="1013" spans="1:20" ht="23.4" x14ac:dyDescent="0.25">
      <c r="A1013" s="57">
        <v>1012</v>
      </c>
      <c r="B1013" s="110"/>
      <c r="T1013" s="112"/>
    </row>
    <row r="1014" spans="1:20" ht="23.4" x14ac:dyDescent="0.25">
      <c r="A1014" s="57">
        <v>1013</v>
      </c>
      <c r="B1014" s="110"/>
      <c r="T1014" s="112"/>
    </row>
    <row r="1015" spans="1:20" ht="23.4" x14ac:dyDescent="0.25">
      <c r="A1015" s="57">
        <v>1014</v>
      </c>
      <c r="B1015" s="110"/>
      <c r="T1015" s="112"/>
    </row>
    <row r="1016" spans="1:20" ht="26.4" x14ac:dyDescent="0.25">
      <c r="A1016" s="57">
        <v>1015</v>
      </c>
      <c r="B1016" s="110"/>
      <c r="T1016" s="109"/>
    </row>
    <row r="1017" spans="1:20" ht="23.4" x14ac:dyDescent="0.25">
      <c r="A1017" s="57">
        <v>1016</v>
      </c>
      <c r="B1017" s="110"/>
      <c r="T1017" s="112"/>
    </row>
    <row r="1018" spans="1:20" ht="23.4" x14ac:dyDescent="0.25">
      <c r="A1018" s="57">
        <v>1017</v>
      </c>
      <c r="B1018" s="110"/>
      <c r="T1018" s="112"/>
    </row>
    <row r="1019" spans="1:20" ht="23.4" x14ac:dyDescent="0.25">
      <c r="A1019" s="57">
        <v>1018</v>
      </c>
      <c r="B1019" s="110"/>
      <c r="T1019" s="112"/>
    </row>
    <row r="1020" spans="1:20" ht="23.4" x14ac:dyDescent="0.25">
      <c r="A1020" s="57">
        <v>1019</v>
      </c>
      <c r="B1020" s="110"/>
      <c r="T1020" s="112"/>
    </row>
    <row r="1021" spans="1:20" ht="23.4" x14ac:dyDescent="0.25">
      <c r="A1021" s="57">
        <v>1020</v>
      </c>
      <c r="B1021" s="110"/>
      <c r="T1021" s="112"/>
    </row>
    <row r="1022" spans="1:20" ht="23.4" x14ac:dyDescent="0.25">
      <c r="A1022" s="57">
        <v>1021</v>
      </c>
      <c r="B1022" s="110"/>
      <c r="T1022" s="112"/>
    </row>
    <row r="1023" spans="1:20" ht="26.4" x14ac:dyDescent="0.25">
      <c r="A1023" s="57">
        <v>1022</v>
      </c>
      <c r="B1023" s="110"/>
      <c r="T1023" s="109"/>
    </row>
    <row r="1024" spans="1:20" ht="23.4" x14ac:dyDescent="0.25">
      <c r="A1024" s="57">
        <v>1023</v>
      </c>
      <c r="B1024" s="110"/>
      <c r="T1024" s="112"/>
    </row>
    <row r="1025" spans="1:20" ht="23.4" x14ac:dyDescent="0.25">
      <c r="A1025" s="57">
        <v>1024</v>
      </c>
      <c r="B1025" s="110"/>
      <c r="T1025" s="112"/>
    </row>
    <row r="1026" spans="1:20" ht="23.4" x14ac:dyDescent="0.25">
      <c r="A1026" s="57">
        <v>1025</v>
      </c>
      <c r="B1026" s="110"/>
      <c r="T1026" s="112"/>
    </row>
    <row r="1027" spans="1:20" ht="23.4" x14ac:dyDescent="0.25">
      <c r="A1027" s="57">
        <v>1026</v>
      </c>
      <c r="B1027" s="110"/>
      <c r="T1027" s="112"/>
    </row>
    <row r="1028" spans="1:20" ht="23.4" x14ac:dyDescent="0.25">
      <c r="A1028" s="57">
        <v>1027</v>
      </c>
      <c r="B1028" s="110"/>
      <c r="T1028" s="112"/>
    </row>
    <row r="1029" spans="1:20" ht="23.4" x14ac:dyDescent="0.25">
      <c r="A1029" s="57">
        <v>1028</v>
      </c>
      <c r="B1029" s="110"/>
      <c r="T1029" s="112"/>
    </row>
    <row r="1030" spans="1:20" ht="26.4" x14ac:dyDescent="0.25">
      <c r="A1030" s="57">
        <v>1029</v>
      </c>
      <c r="B1030" s="110"/>
      <c r="T1030" s="109"/>
    </row>
    <row r="1031" spans="1:20" ht="23.4" x14ac:dyDescent="0.25">
      <c r="A1031" s="57">
        <v>1030</v>
      </c>
      <c r="B1031" s="110"/>
      <c r="T1031" s="112"/>
    </row>
    <row r="1032" spans="1:20" ht="23.4" x14ac:dyDescent="0.25">
      <c r="A1032" s="57">
        <v>1031</v>
      </c>
      <c r="B1032" s="110"/>
      <c r="T1032" s="112"/>
    </row>
    <row r="1033" spans="1:20" ht="23.4" x14ac:dyDescent="0.25">
      <c r="A1033" s="57">
        <v>1032</v>
      </c>
      <c r="B1033" s="110"/>
      <c r="T1033" s="112"/>
    </row>
    <row r="1034" spans="1:20" ht="23.4" x14ac:dyDescent="0.25">
      <c r="A1034" s="57">
        <v>1033</v>
      </c>
      <c r="B1034" s="110"/>
      <c r="T1034" s="112"/>
    </row>
    <row r="1035" spans="1:20" ht="23.4" x14ac:dyDescent="0.25">
      <c r="A1035" s="57">
        <v>1034</v>
      </c>
      <c r="B1035" s="110"/>
      <c r="T1035" s="112"/>
    </row>
    <row r="1036" spans="1:20" ht="23.4" x14ac:dyDescent="0.25">
      <c r="A1036" s="57">
        <v>1035</v>
      </c>
      <c r="B1036" s="110"/>
      <c r="T1036" s="112"/>
    </row>
    <row r="1037" spans="1:20" ht="26.4" x14ac:dyDescent="0.25">
      <c r="A1037" s="57">
        <v>1036</v>
      </c>
      <c r="B1037" s="110"/>
      <c r="T1037" s="109"/>
    </row>
    <row r="1038" spans="1:20" ht="23.4" x14ac:dyDescent="0.25">
      <c r="A1038" s="57">
        <v>1037</v>
      </c>
      <c r="B1038" s="110"/>
      <c r="T1038" s="112"/>
    </row>
    <row r="1039" spans="1:20" ht="23.4" x14ac:dyDescent="0.25">
      <c r="A1039" s="57">
        <v>1038</v>
      </c>
      <c r="B1039" s="110"/>
      <c r="T1039" s="112"/>
    </row>
    <row r="1040" spans="1:20" ht="23.4" x14ac:dyDescent="0.25">
      <c r="A1040" s="57">
        <v>1039</v>
      </c>
      <c r="B1040" s="110"/>
      <c r="T1040" s="112"/>
    </row>
    <row r="1041" spans="1:20" ht="23.4" x14ac:dyDescent="0.25">
      <c r="A1041" s="57">
        <v>1040</v>
      </c>
      <c r="B1041" s="110"/>
      <c r="T1041" s="112"/>
    </row>
    <row r="1042" spans="1:20" ht="23.4" x14ac:dyDescent="0.25">
      <c r="A1042" s="57">
        <v>1041</v>
      </c>
      <c r="B1042" s="110"/>
      <c r="T1042" s="112"/>
    </row>
    <row r="1043" spans="1:20" ht="23.4" x14ac:dyDescent="0.25">
      <c r="A1043" s="57">
        <v>1042</v>
      </c>
      <c r="B1043" s="110"/>
      <c r="T1043" s="112"/>
    </row>
    <row r="1044" spans="1:20" ht="26.4" x14ac:dyDescent="0.25">
      <c r="A1044" s="57">
        <v>1043</v>
      </c>
      <c r="B1044" s="110"/>
      <c r="T1044" s="109"/>
    </row>
    <row r="1045" spans="1:20" ht="23.4" x14ac:dyDescent="0.25">
      <c r="A1045" s="57">
        <v>1044</v>
      </c>
      <c r="B1045" s="110"/>
      <c r="T1045" s="112"/>
    </row>
    <row r="1046" spans="1:20" ht="23.4" x14ac:dyDescent="0.25">
      <c r="A1046" s="57">
        <v>1045</v>
      </c>
      <c r="B1046" s="110"/>
      <c r="T1046" s="112"/>
    </row>
    <row r="1047" spans="1:20" ht="23.4" x14ac:dyDescent="0.25">
      <c r="A1047" s="57">
        <v>1046</v>
      </c>
      <c r="B1047" s="110"/>
      <c r="T1047" s="112"/>
    </row>
    <row r="1048" spans="1:20" ht="23.4" x14ac:dyDescent="0.25">
      <c r="A1048" s="57">
        <v>1047</v>
      </c>
      <c r="B1048" s="110"/>
      <c r="T1048" s="112"/>
    </row>
    <row r="1049" spans="1:20" ht="23.4" x14ac:dyDescent="0.25">
      <c r="A1049" s="57">
        <v>1048</v>
      </c>
      <c r="B1049" s="110"/>
      <c r="T1049" s="112"/>
    </row>
    <row r="1050" spans="1:20" ht="23.4" x14ac:dyDescent="0.25">
      <c r="A1050" s="57">
        <v>1049</v>
      </c>
      <c r="B1050" s="110"/>
      <c r="T1050" s="112"/>
    </row>
    <row r="1051" spans="1:20" ht="26.4" x14ac:dyDescent="0.25">
      <c r="A1051" s="57">
        <v>1050</v>
      </c>
      <c r="B1051" s="110"/>
      <c r="T1051" s="109"/>
    </row>
    <row r="1052" spans="1:20" ht="23.4" x14ac:dyDescent="0.25">
      <c r="A1052" s="57">
        <v>1051</v>
      </c>
      <c r="B1052" s="110"/>
      <c r="T1052" s="112"/>
    </row>
    <row r="1053" spans="1:20" ht="23.4" x14ac:dyDescent="0.25">
      <c r="A1053" s="57">
        <v>1052</v>
      </c>
      <c r="B1053" s="110"/>
      <c r="T1053" s="112"/>
    </row>
    <row r="1054" spans="1:20" ht="23.4" x14ac:dyDescent="0.25">
      <c r="A1054" s="57">
        <v>1053</v>
      </c>
      <c r="B1054" s="110"/>
      <c r="T1054" s="112"/>
    </row>
    <row r="1055" spans="1:20" ht="23.4" x14ac:dyDescent="0.25">
      <c r="A1055" s="57">
        <v>1054</v>
      </c>
      <c r="B1055" s="110"/>
      <c r="T1055" s="112"/>
    </row>
    <row r="1056" spans="1:20" ht="23.4" x14ac:dyDescent="0.25">
      <c r="A1056" s="57">
        <v>1055</v>
      </c>
      <c r="B1056" s="110"/>
      <c r="T1056" s="112"/>
    </row>
    <row r="1057" spans="1:20" ht="23.4" x14ac:dyDescent="0.25">
      <c r="A1057" s="57">
        <v>1056</v>
      </c>
      <c r="B1057" s="110"/>
      <c r="T1057" s="112"/>
    </row>
    <row r="1058" spans="1:20" ht="26.4" x14ac:dyDescent="0.25">
      <c r="A1058" s="57">
        <v>1057</v>
      </c>
      <c r="B1058" s="110"/>
      <c r="T1058" s="109"/>
    </row>
    <row r="1059" spans="1:20" ht="23.4" x14ac:dyDescent="0.25">
      <c r="A1059" s="57">
        <v>1058</v>
      </c>
      <c r="B1059" s="110"/>
      <c r="T1059" s="112"/>
    </row>
    <row r="1060" spans="1:20" ht="23.4" x14ac:dyDescent="0.25">
      <c r="A1060" s="57">
        <v>1059</v>
      </c>
      <c r="B1060" s="110"/>
      <c r="T1060" s="112"/>
    </row>
    <row r="1061" spans="1:20" ht="23.4" x14ac:dyDescent="0.25">
      <c r="A1061" s="57">
        <v>1060</v>
      </c>
      <c r="B1061" s="110"/>
      <c r="T1061" s="112"/>
    </row>
    <row r="1062" spans="1:20" ht="23.4" x14ac:dyDescent="0.25">
      <c r="A1062" s="57">
        <v>1061</v>
      </c>
      <c r="B1062" s="110"/>
      <c r="T1062" s="112"/>
    </row>
    <row r="1063" spans="1:20" ht="23.4" x14ac:dyDescent="0.25">
      <c r="A1063" s="57">
        <v>1062</v>
      </c>
      <c r="B1063" s="110"/>
      <c r="T1063" s="112"/>
    </row>
    <row r="1064" spans="1:20" ht="23.4" x14ac:dyDescent="0.25">
      <c r="A1064" s="57">
        <v>1063</v>
      </c>
      <c r="B1064" s="110"/>
      <c r="T1064" s="112"/>
    </row>
    <row r="1065" spans="1:20" ht="26.4" x14ac:dyDescent="0.25">
      <c r="A1065" s="57">
        <v>1064</v>
      </c>
      <c r="B1065" s="110"/>
      <c r="T1065" s="109"/>
    </row>
    <row r="1066" spans="1:20" ht="23.4" x14ac:dyDescent="0.25">
      <c r="A1066" s="57">
        <v>1065</v>
      </c>
      <c r="B1066" s="110"/>
      <c r="T1066" s="112"/>
    </row>
    <row r="1067" spans="1:20" ht="23.4" x14ac:dyDescent="0.25">
      <c r="A1067" s="57">
        <v>1066</v>
      </c>
      <c r="B1067" s="110"/>
      <c r="T1067" s="112"/>
    </row>
    <row r="1068" spans="1:20" ht="23.4" x14ac:dyDescent="0.25">
      <c r="A1068" s="57">
        <v>1067</v>
      </c>
      <c r="B1068" s="110"/>
      <c r="T1068" s="112"/>
    </row>
    <row r="1069" spans="1:20" ht="23.4" x14ac:dyDescent="0.25">
      <c r="A1069" s="57">
        <v>1068</v>
      </c>
      <c r="B1069" s="110"/>
      <c r="T1069" s="112"/>
    </row>
    <row r="1070" spans="1:20" ht="23.4" x14ac:dyDescent="0.25">
      <c r="A1070" s="57">
        <v>1069</v>
      </c>
      <c r="B1070" s="110"/>
      <c r="T1070" s="112"/>
    </row>
    <row r="1071" spans="1:20" ht="23.4" x14ac:dyDescent="0.25">
      <c r="A1071" s="57">
        <v>1070</v>
      </c>
      <c r="B1071" s="110"/>
      <c r="T1071" s="112"/>
    </row>
    <row r="1072" spans="1:20" ht="26.4" x14ac:dyDescent="0.25">
      <c r="A1072" s="57">
        <v>1071</v>
      </c>
      <c r="B1072" s="110"/>
      <c r="T1072" s="109"/>
    </row>
    <row r="1073" spans="1:20" ht="23.4" x14ac:dyDescent="0.25">
      <c r="A1073" s="57">
        <v>1072</v>
      </c>
      <c r="B1073" s="110"/>
      <c r="T1073" s="112"/>
    </row>
    <row r="1074" spans="1:20" ht="23.4" x14ac:dyDescent="0.25">
      <c r="A1074" s="57">
        <v>1073</v>
      </c>
      <c r="B1074" s="110"/>
      <c r="T1074" s="112"/>
    </row>
    <row r="1075" spans="1:20" ht="23.4" x14ac:dyDescent="0.25">
      <c r="A1075" s="57">
        <v>1074</v>
      </c>
      <c r="B1075" s="110"/>
      <c r="T1075" s="112"/>
    </row>
    <row r="1076" spans="1:20" ht="23.4" x14ac:dyDescent="0.25">
      <c r="A1076" s="57">
        <v>1075</v>
      </c>
      <c r="B1076" s="110"/>
      <c r="T1076" s="112"/>
    </row>
    <row r="1077" spans="1:20" ht="23.4" x14ac:dyDescent="0.25">
      <c r="A1077" s="57">
        <v>1076</v>
      </c>
      <c r="B1077" s="110"/>
      <c r="T1077" s="112"/>
    </row>
    <row r="1078" spans="1:20" ht="23.4" x14ac:dyDescent="0.25">
      <c r="A1078" s="57">
        <v>1077</v>
      </c>
      <c r="B1078" s="110"/>
      <c r="T1078" s="112"/>
    </row>
    <row r="1079" spans="1:20" ht="26.4" x14ac:dyDescent="0.25">
      <c r="A1079" s="57">
        <v>1078</v>
      </c>
      <c r="B1079" s="110"/>
      <c r="T1079" s="109"/>
    </row>
    <row r="1080" spans="1:20" ht="23.4" x14ac:dyDescent="0.25">
      <c r="A1080" s="57">
        <v>1079</v>
      </c>
      <c r="B1080" s="110"/>
      <c r="T1080" s="112"/>
    </row>
    <row r="1081" spans="1:20" ht="23.4" x14ac:dyDescent="0.25">
      <c r="A1081" s="57">
        <v>1080</v>
      </c>
      <c r="B1081" s="110"/>
      <c r="T1081" s="112"/>
    </row>
    <row r="1082" spans="1:20" ht="23.4" x14ac:dyDescent="0.25">
      <c r="A1082" s="57">
        <v>1081</v>
      </c>
      <c r="B1082" s="110"/>
      <c r="T1082" s="112"/>
    </row>
    <row r="1083" spans="1:20" ht="23.4" x14ac:dyDescent="0.25">
      <c r="A1083" s="57">
        <v>1082</v>
      </c>
      <c r="B1083" s="110"/>
      <c r="T1083" s="112"/>
    </row>
    <row r="1084" spans="1:20" ht="23.4" x14ac:dyDescent="0.25">
      <c r="A1084" s="57">
        <v>1083</v>
      </c>
      <c r="B1084" s="110"/>
      <c r="T1084" s="112"/>
    </row>
    <row r="1085" spans="1:20" ht="23.4" x14ac:dyDescent="0.25">
      <c r="A1085" s="57">
        <v>1084</v>
      </c>
      <c r="B1085" s="110"/>
      <c r="T1085" s="112"/>
    </row>
    <row r="1086" spans="1:20" ht="26.4" x14ac:dyDescent="0.25">
      <c r="A1086" s="57">
        <v>1085</v>
      </c>
      <c r="B1086" s="110"/>
      <c r="T1086" s="109"/>
    </row>
    <row r="1087" spans="1:20" ht="23.4" x14ac:dyDescent="0.25">
      <c r="A1087" s="57">
        <v>1086</v>
      </c>
      <c r="B1087" s="110"/>
      <c r="T1087" s="112"/>
    </row>
    <row r="1088" spans="1:20" ht="23.4" x14ac:dyDescent="0.25">
      <c r="A1088" s="57">
        <v>1087</v>
      </c>
      <c r="B1088" s="110"/>
      <c r="T1088" s="112"/>
    </row>
    <row r="1089" spans="1:20" ht="23.4" x14ac:dyDescent="0.25">
      <c r="A1089" s="57">
        <v>1088</v>
      </c>
      <c r="B1089" s="110"/>
      <c r="T1089" s="112"/>
    </row>
    <row r="1090" spans="1:20" ht="23.4" x14ac:dyDescent="0.25">
      <c r="A1090" s="57">
        <v>1089</v>
      </c>
      <c r="B1090" s="110"/>
      <c r="T1090" s="112"/>
    </row>
    <row r="1091" spans="1:20" ht="23.4" x14ac:dyDescent="0.25">
      <c r="A1091" s="57">
        <v>1090</v>
      </c>
      <c r="B1091" s="110"/>
      <c r="T1091" s="112"/>
    </row>
    <row r="1092" spans="1:20" ht="23.4" x14ac:dyDescent="0.25">
      <c r="A1092" s="57">
        <v>1091</v>
      </c>
      <c r="B1092" s="110"/>
      <c r="T1092" s="112"/>
    </row>
    <row r="1093" spans="1:20" ht="26.4" x14ac:dyDescent="0.25">
      <c r="A1093" s="57">
        <v>1092</v>
      </c>
      <c r="B1093" s="110"/>
      <c r="T1093" s="109"/>
    </row>
    <row r="1094" spans="1:20" ht="23.4" x14ac:dyDescent="0.25">
      <c r="A1094" s="57">
        <v>1093</v>
      </c>
      <c r="B1094" s="110"/>
      <c r="T1094" s="112"/>
    </row>
    <row r="1095" spans="1:20" ht="23.4" x14ac:dyDescent="0.25">
      <c r="A1095" s="57">
        <v>1094</v>
      </c>
      <c r="B1095" s="110"/>
      <c r="T1095" s="112"/>
    </row>
    <row r="1096" spans="1:20" ht="23.4" x14ac:dyDescent="0.25">
      <c r="A1096" s="57">
        <v>1095</v>
      </c>
      <c r="B1096" s="110"/>
      <c r="T1096" s="112"/>
    </row>
    <row r="1097" spans="1:20" ht="23.4" x14ac:dyDescent="0.25">
      <c r="A1097" s="57">
        <v>1096</v>
      </c>
      <c r="B1097" s="110"/>
      <c r="T1097" s="112"/>
    </row>
    <row r="1098" spans="1:20" ht="23.4" x14ac:dyDescent="0.25">
      <c r="A1098" s="57">
        <v>1097</v>
      </c>
      <c r="B1098" s="110"/>
      <c r="T1098" s="112"/>
    </row>
    <row r="1099" spans="1:20" ht="23.4" x14ac:dyDescent="0.25">
      <c r="A1099" s="57">
        <v>1098</v>
      </c>
      <c r="B1099" s="110"/>
      <c r="T1099" s="112"/>
    </row>
    <row r="1100" spans="1:20" ht="26.4" x14ac:dyDescent="0.25">
      <c r="A1100" s="57">
        <v>1099</v>
      </c>
      <c r="B1100" s="110"/>
      <c r="T1100" s="109"/>
    </row>
    <row r="1101" spans="1:20" ht="23.4" x14ac:dyDescent="0.25">
      <c r="A1101" s="57">
        <v>1100</v>
      </c>
      <c r="B1101" s="110"/>
      <c r="T1101" s="112"/>
    </row>
    <row r="1102" spans="1:20" ht="23.4" x14ac:dyDescent="0.25">
      <c r="A1102" s="57">
        <v>1101</v>
      </c>
      <c r="B1102" s="110"/>
      <c r="T1102" s="112"/>
    </row>
    <row r="1103" spans="1:20" ht="23.4" x14ac:dyDescent="0.25">
      <c r="A1103" s="57">
        <v>1102</v>
      </c>
      <c r="B1103" s="110"/>
      <c r="T1103" s="112"/>
    </row>
    <row r="1104" spans="1:20" ht="23.4" x14ac:dyDescent="0.25">
      <c r="A1104" s="57">
        <v>1103</v>
      </c>
      <c r="B1104" s="110"/>
      <c r="T1104" s="112"/>
    </row>
    <row r="1105" spans="1:20" ht="23.4" x14ac:dyDescent="0.25">
      <c r="A1105" s="57">
        <v>1104</v>
      </c>
      <c r="B1105" s="110"/>
      <c r="T1105" s="112"/>
    </row>
    <row r="1106" spans="1:20" ht="23.4" x14ac:dyDescent="0.25">
      <c r="A1106" s="57">
        <v>1105</v>
      </c>
      <c r="B1106" s="110"/>
      <c r="T1106" s="112"/>
    </row>
    <row r="1107" spans="1:20" ht="26.4" x14ac:dyDescent="0.25">
      <c r="A1107" s="57">
        <v>1106</v>
      </c>
      <c r="B1107" s="110"/>
      <c r="T1107" s="109"/>
    </row>
    <row r="1108" spans="1:20" ht="23.4" x14ac:dyDescent="0.25">
      <c r="A1108" s="57">
        <v>1107</v>
      </c>
      <c r="B1108" s="110"/>
      <c r="T1108" s="112"/>
    </row>
    <row r="1109" spans="1:20" ht="23.4" x14ac:dyDescent="0.25">
      <c r="A1109" s="57">
        <v>1108</v>
      </c>
      <c r="B1109" s="110"/>
      <c r="T1109" s="112"/>
    </row>
    <row r="1110" spans="1:20" ht="23.4" x14ac:dyDescent="0.25">
      <c r="A1110" s="57">
        <v>1109</v>
      </c>
      <c r="B1110" s="110"/>
      <c r="T1110" s="112"/>
    </row>
    <row r="1111" spans="1:20" ht="23.4" x14ac:dyDescent="0.25">
      <c r="A1111" s="57">
        <v>1110</v>
      </c>
      <c r="B1111" s="110"/>
      <c r="T1111" s="112"/>
    </row>
    <row r="1112" spans="1:20" ht="23.4" x14ac:dyDescent="0.25">
      <c r="A1112" s="57">
        <v>1111</v>
      </c>
      <c r="B1112" s="110"/>
      <c r="T1112" s="112"/>
    </row>
    <row r="1113" spans="1:20" ht="23.4" x14ac:dyDescent="0.25">
      <c r="A1113" s="57">
        <v>1112</v>
      </c>
      <c r="B1113" s="110"/>
      <c r="T1113" s="112"/>
    </row>
    <row r="1114" spans="1:20" ht="26.4" x14ac:dyDescent="0.25">
      <c r="A1114" s="57">
        <v>1113</v>
      </c>
      <c r="B1114" s="110"/>
      <c r="T1114" s="109"/>
    </row>
    <row r="1115" spans="1:20" ht="23.4" x14ac:dyDescent="0.25">
      <c r="A1115" s="57">
        <v>1114</v>
      </c>
      <c r="B1115" s="110"/>
      <c r="T1115" s="112"/>
    </row>
    <row r="1116" spans="1:20" ht="23.4" x14ac:dyDescent="0.25">
      <c r="A1116" s="57">
        <v>1115</v>
      </c>
      <c r="B1116" s="110"/>
      <c r="T1116" s="112"/>
    </row>
    <row r="1117" spans="1:20" ht="23.4" x14ac:dyDescent="0.25">
      <c r="A1117" s="57">
        <v>1116</v>
      </c>
      <c r="B1117" s="110"/>
      <c r="T1117" s="112"/>
    </row>
    <row r="1118" spans="1:20" ht="23.4" x14ac:dyDescent="0.25">
      <c r="A1118" s="57">
        <v>1117</v>
      </c>
      <c r="B1118" s="110"/>
      <c r="T1118" s="112"/>
    </row>
    <row r="1119" spans="1:20" ht="23.4" x14ac:dyDescent="0.25">
      <c r="A1119" s="57">
        <v>1118</v>
      </c>
      <c r="B1119" s="110"/>
      <c r="T1119" s="112"/>
    </row>
    <row r="1120" spans="1:20" ht="23.4" x14ac:dyDescent="0.25">
      <c r="A1120" s="57">
        <v>1119</v>
      </c>
      <c r="B1120" s="110"/>
      <c r="T1120" s="112"/>
    </row>
    <row r="1121" spans="1:20" ht="26.4" x14ac:dyDescent="0.25">
      <c r="A1121" s="57">
        <v>1120</v>
      </c>
      <c r="B1121" s="110"/>
      <c r="T1121" s="109"/>
    </row>
    <row r="1122" spans="1:20" ht="23.4" x14ac:dyDescent="0.25">
      <c r="A1122" s="57">
        <v>1121</v>
      </c>
      <c r="B1122" s="110"/>
      <c r="T1122" s="112"/>
    </row>
    <row r="1123" spans="1:20" ht="23.4" x14ac:dyDescent="0.25">
      <c r="A1123" s="57">
        <v>1122</v>
      </c>
      <c r="B1123" s="110"/>
      <c r="T1123" s="112"/>
    </row>
    <row r="1124" spans="1:20" ht="23.4" x14ac:dyDescent="0.25">
      <c r="A1124" s="57">
        <v>1123</v>
      </c>
      <c r="B1124" s="110"/>
      <c r="T1124" s="112"/>
    </row>
    <row r="1125" spans="1:20" ht="23.4" x14ac:dyDescent="0.25">
      <c r="A1125" s="57">
        <v>1124</v>
      </c>
      <c r="B1125" s="110"/>
      <c r="T1125" s="112"/>
    </row>
    <row r="1126" spans="1:20" ht="23.4" x14ac:dyDescent="0.25">
      <c r="A1126" s="57">
        <v>1125</v>
      </c>
      <c r="B1126" s="110"/>
      <c r="T1126" s="112"/>
    </row>
    <row r="1127" spans="1:20" ht="23.4" x14ac:dyDescent="0.25">
      <c r="A1127" s="57">
        <v>1126</v>
      </c>
      <c r="B1127" s="110"/>
      <c r="T1127" s="112"/>
    </row>
    <row r="1128" spans="1:20" ht="26.4" x14ac:dyDescent="0.25">
      <c r="A1128" s="57">
        <v>1127</v>
      </c>
      <c r="B1128" s="110"/>
      <c r="T1128" s="109"/>
    </row>
    <row r="1129" spans="1:20" ht="23.4" x14ac:dyDescent="0.25">
      <c r="A1129" s="57">
        <v>1128</v>
      </c>
      <c r="B1129" s="110"/>
      <c r="T1129" s="112"/>
    </row>
    <row r="1130" spans="1:20" ht="23.4" x14ac:dyDescent="0.25">
      <c r="A1130" s="57">
        <v>1129</v>
      </c>
      <c r="B1130" s="110"/>
      <c r="T1130" s="112"/>
    </row>
    <row r="1131" spans="1:20" ht="23.4" x14ac:dyDescent="0.25">
      <c r="A1131" s="57">
        <v>1130</v>
      </c>
      <c r="B1131" s="110"/>
      <c r="T1131" s="112"/>
    </row>
    <row r="1132" spans="1:20" ht="23.4" x14ac:dyDescent="0.25">
      <c r="A1132" s="57">
        <v>1131</v>
      </c>
      <c r="B1132" s="110"/>
      <c r="T1132" s="112"/>
    </row>
    <row r="1133" spans="1:20" ht="23.4" x14ac:dyDescent="0.25">
      <c r="A1133" s="57">
        <v>1132</v>
      </c>
      <c r="B1133" s="110"/>
      <c r="T1133" s="112"/>
    </row>
    <row r="1134" spans="1:20" ht="23.4" x14ac:dyDescent="0.25">
      <c r="A1134" s="57">
        <v>1133</v>
      </c>
      <c r="B1134" s="110"/>
      <c r="T1134" s="112"/>
    </row>
    <row r="1135" spans="1:20" ht="26.4" x14ac:dyDescent="0.25">
      <c r="A1135" s="57">
        <v>1134</v>
      </c>
      <c r="B1135" s="110"/>
      <c r="T1135" s="109"/>
    </row>
    <row r="1136" spans="1:20" ht="23.4" x14ac:dyDescent="0.25">
      <c r="A1136" s="57">
        <v>1135</v>
      </c>
      <c r="B1136" s="110"/>
      <c r="T1136" s="112"/>
    </row>
    <row r="1137" spans="1:20" ht="23.4" x14ac:dyDescent="0.25">
      <c r="A1137" s="57">
        <v>1136</v>
      </c>
      <c r="B1137" s="110"/>
      <c r="T1137" s="112"/>
    </row>
    <row r="1138" spans="1:20" ht="23.4" x14ac:dyDescent="0.25">
      <c r="A1138" s="57">
        <v>1137</v>
      </c>
      <c r="B1138" s="110"/>
      <c r="T1138" s="112"/>
    </row>
    <row r="1139" spans="1:20" ht="23.4" x14ac:dyDescent="0.25">
      <c r="A1139" s="57">
        <v>1138</v>
      </c>
      <c r="B1139" s="110"/>
      <c r="T1139" s="112"/>
    </row>
    <row r="1140" spans="1:20" ht="23.4" x14ac:dyDescent="0.25">
      <c r="A1140" s="57">
        <v>1139</v>
      </c>
      <c r="B1140" s="110"/>
      <c r="T1140" s="112"/>
    </row>
    <row r="1141" spans="1:20" ht="23.4" x14ac:dyDescent="0.25">
      <c r="A1141" s="57">
        <v>1140</v>
      </c>
      <c r="B1141" s="110"/>
      <c r="T1141" s="112"/>
    </row>
    <row r="1142" spans="1:20" ht="26.4" x14ac:dyDescent="0.25">
      <c r="A1142" s="57">
        <v>1141</v>
      </c>
      <c r="B1142" s="110"/>
      <c r="T1142" s="109"/>
    </row>
    <row r="1143" spans="1:20" ht="23.4" x14ac:dyDescent="0.25">
      <c r="A1143" s="57">
        <v>1142</v>
      </c>
      <c r="B1143" s="110"/>
      <c r="T1143" s="112"/>
    </row>
    <row r="1144" spans="1:20" ht="23.4" x14ac:dyDescent="0.25">
      <c r="A1144" s="57">
        <v>1143</v>
      </c>
      <c r="B1144" s="110"/>
      <c r="T1144" s="112"/>
    </row>
    <row r="1145" spans="1:20" ht="23.4" x14ac:dyDescent="0.25">
      <c r="A1145" s="57">
        <v>1144</v>
      </c>
      <c r="B1145" s="110"/>
      <c r="T1145" s="112"/>
    </row>
    <row r="1146" spans="1:20" ht="23.4" x14ac:dyDescent="0.25">
      <c r="A1146" s="57">
        <v>1145</v>
      </c>
      <c r="B1146" s="110"/>
      <c r="T1146" s="112"/>
    </row>
    <row r="1147" spans="1:20" ht="23.4" x14ac:dyDescent="0.25">
      <c r="A1147" s="57">
        <v>1146</v>
      </c>
      <c r="B1147" s="110"/>
      <c r="T1147" s="112"/>
    </row>
    <row r="1148" spans="1:20" ht="23.4" x14ac:dyDescent="0.25">
      <c r="A1148" s="57">
        <v>1147</v>
      </c>
      <c r="B1148" s="110"/>
      <c r="T1148" s="112"/>
    </row>
    <row r="1149" spans="1:20" ht="26.4" x14ac:dyDescent="0.25">
      <c r="A1149" s="57">
        <v>1148</v>
      </c>
      <c r="B1149" s="110"/>
      <c r="T1149" s="109"/>
    </row>
    <row r="1150" spans="1:20" ht="23.4" x14ac:dyDescent="0.25">
      <c r="A1150" s="57">
        <v>1149</v>
      </c>
      <c r="B1150" s="110"/>
      <c r="T1150" s="112"/>
    </row>
    <row r="1151" spans="1:20" ht="23.4" x14ac:dyDescent="0.25">
      <c r="A1151" s="57">
        <v>1150</v>
      </c>
      <c r="B1151" s="110"/>
      <c r="T1151" s="112"/>
    </row>
    <row r="1152" spans="1:20" ht="23.4" x14ac:dyDescent="0.25">
      <c r="A1152" s="57">
        <v>1151</v>
      </c>
      <c r="B1152" s="110"/>
      <c r="T1152" s="112"/>
    </row>
    <row r="1153" spans="1:20" ht="23.4" x14ac:dyDescent="0.25">
      <c r="A1153" s="57">
        <v>1152</v>
      </c>
      <c r="B1153" s="110"/>
      <c r="T1153" s="112"/>
    </row>
    <row r="1154" spans="1:20" ht="23.4" x14ac:dyDescent="0.25">
      <c r="A1154" s="57">
        <v>1153</v>
      </c>
      <c r="B1154" s="110"/>
      <c r="T1154" s="112"/>
    </row>
    <row r="1155" spans="1:20" ht="23.4" x14ac:dyDescent="0.25">
      <c r="A1155" s="57">
        <v>1154</v>
      </c>
      <c r="B1155" s="110"/>
      <c r="T1155" s="112"/>
    </row>
    <row r="1156" spans="1:20" ht="26.4" x14ac:dyDescent="0.25">
      <c r="A1156" s="57">
        <v>1155</v>
      </c>
      <c r="B1156" s="110"/>
      <c r="T1156" s="109"/>
    </row>
    <row r="1157" spans="1:20" ht="23.4" x14ac:dyDescent="0.25">
      <c r="A1157" s="57">
        <v>1156</v>
      </c>
      <c r="B1157" s="110"/>
      <c r="T1157" s="112"/>
    </row>
    <row r="1158" spans="1:20" ht="23.4" x14ac:dyDescent="0.25">
      <c r="A1158" s="57">
        <v>1157</v>
      </c>
      <c r="B1158" s="110"/>
      <c r="T1158" s="112"/>
    </row>
    <row r="1159" spans="1:20" ht="23.4" x14ac:dyDescent="0.25">
      <c r="A1159" s="57">
        <v>1158</v>
      </c>
      <c r="B1159" s="110"/>
      <c r="T1159" s="112"/>
    </row>
    <row r="1160" spans="1:20" ht="23.4" x14ac:dyDescent="0.25">
      <c r="A1160" s="57">
        <v>1159</v>
      </c>
      <c r="B1160" s="110"/>
      <c r="T1160" s="112"/>
    </row>
    <row r="1161" spans="1:20" ht="23.4" x14ac:dyDescent="0.25">
      <c r="A1161" s="57">
        <v>1160</v>
      </c>
      <c r="B1161" s="110"/>
      <c r="T1161" s="112"/>
    </row>
    <row r="1162" spans="1:20" ht="23.4" x14ac:dyDescent="0.25">
      <c r="A1162" s="57">
        <v>1161</v>
      </c>
      <c r="B1162" s="110"/>
      <c r="T1162" s="112"/>
    </row>
    <row r="1163" spans="1:20" ht="26.4" x14ac:dyDescent="0.25">
      <c r="A1163" s="57">
        <v>1162</v>
      </c>
      <c r="B1163" s="110"/>
      <c r="T1163" s="109"/>
    </row>
    <row r="1164" spans="1:20" ht="23.4" x14ac:dyDescent="0.25">
      <c r="A1164" s="57">
        <v>1163</v>
      </c>
      <c r="B1164" s="110"/>
      <c r="T1164" s="112"/>
    </row>
    <row r="1165" spans="1:20" ht="23.4" x14ac:dyDescent="0.25">
      <c r="A1165" s="57">
        <v>1164</v>
      </c>
      <c r="B1165" s="110"/>
      <c r="T1165" s="112"/>
    </row>
    <row r="1166" spans="1:20" ht="23.4" x14ac:dyDescent="0.25">
      <c r="A1166" s="57">
        <v>1165</v>
      </c>
      <c r="B1166" s="110"/>
      <c r="T1166" s="112"/>
    </row>
    <row r="1167" spans="1:20" ht="23.4" x14ac:dyDescent="0.25">
      <c r="A1167" s="57">
        <v>1166</v>
      </c>
      <c r="B1167" s="110"/>
      <c r="T1167" s="112"/>
    </row>
    <row r="1168" spans="1:20" ht="23.4" x14ac:dyDescent="0.25">
      <c r="A1168" s="57">
        <v>1167</v>
      </c>
      <c r="B1168" s="110"/>
      <c r="T1168" s="112"/>
    </row>
    <row r="1169" spans="1:20" ht="23.4" x14ac:dyDescent="0.25">
      <c r="A1169" s="57">
        <v>1168</v>
      </c>
      <c r="B1169" s="110"/>
      <c r="T1169" s="112"/>
    </row>
    <row r="1170" spans="1:20" ht="26.4" x14ac:dyDescent="0.25">
      <c r="A1170" s="57">
        <v>1169</v>
      </c>
      <c r="B1170" s="110"/>
      <c r="T1170" s="109"/>
    </row>
    <row r="1171" spans="1:20" ht="23.4" x14ac:dyDescent="0.25">
      <c r="A1171" s="57">
        <v>1170</v>
      </c>
      <c r="B1171" s="110"/>
      <c r="T1171" s="112"/>
    </row>
    <row r="1172" spans="1:20" ht="23.4" x14ac:dyDescent="0.25">
      <c r="A1172" s="57">
        <v>1171</v>
      </c>
      <c r="B1172" s="110"/>
      <c r="T1172" s="112"/>
    </row>
    <row r="1173" spans="1:20" ht="23.4" x14ac:dyDescent="0.25">
      <c r="A1173" s="57">
        <v>1172</v>
      </c>
      <c r="B1173" s="110"/>
      <c r="T1173" s="112"/>
    </row>
    <row r="1174" spans="1:20" ht="23.4" x14ac:dyDescent="0.25">
      <c r="A1174" s="57">
        <v>1173</v>
      </c>
      <c r="B1174" s="110"/>
      <c r="T1174" s="112"/>
    </row>
    <row r="1175" spans="1:20" ht="23.4" x14ac:dyDescent="0.25">
      <c r="A1175" s="57">
        <v>1174</v>
      </c>
      <c r="B1175" s="110"/>
      <c r="T1175" s="112"/>
    </row>
    <row r="1176" spans="1:20" ht="23.4" x14ac:dyDescent="0.25">
      <c r="A1176" s="57">
        <v>1175</v>
      </c>
      <c r="B1176" s="110"/>
      <c r="T1176" s="112"/>
    </row>
    <row r="1177" spans="1:20" ht="26.4" x14ac:dyDescent="0.25">
      <c r="A1177" s="57">
        <v>1176</v>
      </c>
      <c r="B1177" s="110"/>
      <c r="T1177" s="109"/>
    </row>
    <row r="1178" spans="1:20" ht="23.4" x14ac:dyDescent="0.25">
      <c r="A1178" s="57">
        <v>1177</v>
      </c>
      <c r="B1178" s="110"/>
      <c r="T1178" s="112"/>
    </row>
    <row r="1179" spans="1:20" ht="23.4" x14ac:dyDescent="0.25">
      <c r="A1179" s="57">
        <v>1178</v>
      </c>
      <c r="B1179" s="110"/>
      <c r="T1179" s="112"/>
    </row>
    <row r="1180" spans="1:20" ht="23.4" x14ac:dyDescent="0.25">
      <c r="A1180" s="57">
        <v>1179</v>
      </c>
      <c r="B1180" s="110"/>
      <c r="T1180" s="112"/>
    </row>
    <row r="1181" spans="1:20" ht="23.4" x14ac:dyDescent="0.25">
      <c r="A1181" s="57">
        <v>1180</v>
      </c>
      <c r="B1181" s="110"/>
      <c r="T1181" s="112"/>
    </row>
    <row r="1182" spans="1:20" ht="23.4" x14ac:dyDescent="0.25">
      <c r="A1182" s="57">
        <v>1181</v>
      </c>
      <c r="B1182" s="110"/>
      <c r="T1182" s="112"/>
    </row>
    <row r="1183" spans="1:20" ht="23.4" x14ac:dyDescent="0.25">
      <c r="A1183" s="57">
        <v>1182</v>
      </c>
      <c r="B1183" s="110"/>
      <c r="T1183" s="112"/>
    </row>
    <row r="1184" spans="1:20" ht="26.4" x14ac:dyDescent="0.25">
      <c r="A1184" s="57">
        <v>1183</v>
      </c>
      <c r="B1184" s="110"/>
      <c r="T1184" s="109"/>
    </row>
    <row r="1185" spans="1:20" ht="23.4" x14ac:dyDescent="0.25">
      <c r="A1185" s="57">
        <v>1184</v>
      </c>
      <c r="B1185" s="110"/>
      <c r="T1185" s="112"/>
    </row>
    <row r="1186" spans="1:20" ht="23.4" x14ac:dyDescent="0.25">
      <c r="A1186" s="57">
        <v>1185</v>
      </c>
      <c r="B1186" s="110"/>
      <c r="T1186" s="112"/>
    </row>
    <row r="1187" spans="1:20" ht="23.4" x14ac:dyDescent="0.25">
      <c r="A1187" s="57">
        <v>1186</v>
      </c>
      <c r="B1187" s="110"/>
      <c r="T1187" s="112"/>
    </row>
    <row r="1188" spans="1:20" ht="23.4" x14ac:dyDescent="0.25">
      <c r="A1188" s="57">
        <v>1187</v>
      </c>
      <c r="B1188" s="110"/>
      <c r="T1188" s="112"/>
    </row>
    <row r="1189" spans="1:20" ht="23.4" x14ac:dyDescent="0.25">
      <c r="A1189" s="57">
        <v>1188</v>
      </c>
      <c r="B1189" s="110"/>
      <c r="T1189" s="112"/>
    </row>
    <row r="1190" spans="1:20" ht="23.4" x14ac:dyDescent="0.25">
      <c r="A1190" s="57">
        <v>1189</v>
      </c>
      <c r="B1190" s="110"/>
      <c r="T1190" s="112"/>
    </row>
    <row r="1191" spans="1:20" ht="26.4" x14ac:dyDescent="0.25">
      <c r="A1191" s="57">
        <v>1190</v>
      </c>
      <c r="B1191" s="110"/>
      <c r="T1191" s="109"/>
    </row>
    <row r="1192" spans="1:20" ht="23.4" x14ac:dyDescent="0.25">
      <c r="A1192" s="57">
        <v>1191</v>
      </c>
      <c r="B1192" s="110"/>
      <c r="T1192" s="112"/>
    </row>
    <row r="1193" spans="1:20" ht="23.4" x14ac:dyDescent="0.25">
      <c r="A1193" s="57">
        <v>1192</v>
      </c>
      <c r="B1193" s="110"/>
      <c r="T1193" s="112"/>
    </row>
    <row r="1194" spans="1:20" ht="23.4" x14ac:dyDescent="0.25">
      <c r="A1194" s="57">
        <v>1193</v>
      </c>
      <c r="B1194" s="110"/>
      <c r="T1194" s="112"/>
    </row>
    <row r="1195" spans="1:20" ht="23.4" x14ac:dyDescent="0.25">
      <c r="A1195" s="57">
        <v>1194</v>
      </c>
      <c r="B1195" s="110"/>
      <c r="T1195" s="112"/>
    </row>
    <row r="1196" spans="1:20" ht="23.4" x14ac:dyDescent="0.25">
      <c r="A1196" s="57">
        <v>1195</v>
      </c>
      <c r="B1196" s="110"/>
      <c r="T1196" s="112"/>
    </row>
    <row r="1197" spans="1:20" ht="23.4" x14ac:dyDescent="0.25">
      <c r="A1197" s="57">
        <v>1196</v>
      </c>
      <c r="B1197" s="110"/>
      <c r="T1197" s="112"/>
    </row>
    <row r="1198" spans="1:20" ht="26.4" x14ac:dyDescent="0.25">
      <c r="A1198" s="57">
        <v>1197</v>
      </c>
      <c r="B1198" s="110"/>
      <c r="T1198" s="109"/>
    </row>
    <row r="1199" spans="1:20" ht="23.4" x14ac:dyDescent="0.25">
      <c r="A1199" s="57">
        <v>1198</v>
      </c>
      <c r="B1199" s="110"/>
      <c r="T1199" s="112"/>
    </row>
    <row r="1200" spans="1:20" ht="23.4" x14ac:dyDescent="0.25">
      <c r="A1200" s="57">
        <v>1199</v>
      </c>
      <c r="B1200" s="110"/>
      <c r="T1200" s="112"/>
    </row>
    <row r="1201" spans="1:20" ht="23.4" x14ac:dyDescent="0.25">
      <c r="A1201" s="57">
        <v>1200</v>
      </c>
      <c r="B1201" s="110"/>
      <c r="T1201" s="112"/>
    </row>
    <row r="1202" spans="1:20" ht="23.4" x14ac:dyDescent="0.25">
      <c r="A1202" s="57">
        <v>1201</v>
      </c>
      <c r="B1202" s="110"/>
      <c r="T1202" s="112"/>
    </row>
    <row r="1203" spans="1:20" ht="23.4" x14ac:dyDescent="0.25">
      <c r="A1203" s="57">
        <v>1202</v>
      </c>
      <c r="B1203" s="110"/>
      <c r="T1203" s="112"/>
    </row>
    <row r="1204" spans="1:20" ht="23.4" x14ac:dyDescent="0.25">
      <c r="A1204" s="57">
        <v>1203</v>
      </c>
      <c r="B1204" s="110"/>
      <c r="T1204" s="112"/>
    </row>
    <row r="1205" spans="1:20" ht="26.4" x14ac:dyDescent="0.25">
      <c r="A1205" s="57">
        <v>1204</v>
      </c>
      <c r="B1205" s="110"/>
      <c r="T1205" s="109"/>
    </row>
    <row r="1206" spans="1:20" ht="23.4" x14ac:dyDescent="0.25">
      <c r="A1206" s="57">
        <v>1205</v>
      </c>
      <c r="B1206" s="110"/>
      <c r="T1206" s="112"/>
    </row>
    <row r="1207" spans="1:20" ht="23.4" x14ac:dyDescent="0.25">
      <c r="A1207" s="57">
        <v>1206</v>
      </c>
      <c r="B1207" s="110"/>
      <c r="T1207" s="112"/>
    </row>
    <row r="1208" spans="1:20" ht="23.4" x14ac:dyDescent="0.25">
      <c r="A1208" s="57">
        <v>1207</v>
      </c>
      <c r="B1208" s="110"/>
      <c r="T1208" s="112"/>
    </row>
    <row r="1209" spans="1:20" ht="23.4" x14ac:dyDescent="0.25">
      <c r="A1209" s="57">
        <v>1208</v>
      </c>
      <c r="B1209" s="110"/>
      <c r="T1209" s="112"/>
    </row>
    <row r="1210" spans="1:20" ht="23.4" x14ac:dyDescent="0.25">
      <c r="A1210" s="57">
        <v>1209</v>
      </c>
      <c r="B1210" s="110"/>
      <c r="T1210" s="112"/>
    </row>
    <row r="1211" spans="1:20" ht="23.4" x14ac:dyDescent="0.25">
      <c r="A1211" s="57">
        <v>1210</v>
      </c>
      <c r="B1211" s="110"/>
      <c r="T1211" s="112"/>
    </row>
    <row r="1212" spans="1:20" ht="26.4" x14ac:dyDescent="0.25">
      <c r="A1212" s="57">
        <v>1211</v>
      </c>
      <c r="B1212" s="110"/>
      <c r="T1212" s="109"/>
    </row>
    <row r="1213" spans="1:20" ht="23.4" x14ac:dyDescent="0.25">
      <c r="A1213" s="57">
        <v>1212</v>
      </c>
      <c r="B1213" s="110"/>
      <c r="T1213" s="112"/>
    </row>
    <row r="1214" spans="1:20" ht="23.4" x14ac:dyDescent="0.25">
      <c r="A1214" s="57">
        <v>1213</v>
      </c>
      <c r="B1214" s="110"/>
      <c r="T1214" s="112"/>
    </row>
    <row r="1215" spans="1:20" ht="23.4" x14ac:dyDescent="0.25">
      <c r="A1215" s="57">
        <v>1214</v>
      </c>
      <c r="B1215" s="110"/>
      <c r="T1215" s="112"/>
    </row>
    <row r="1216" spans="1:20" ht="23.4" x14ac:dyDescent="0.25">
      <c r="A1216" s="57">
        <v>1215</v>
      </c>
      <c r="B1216" s="110"/>
      <c r="T1216" s="112"/>
    </row>
    <row r="1217" spans="1:20" ht="23.4" x14ac:dyDescent="0.25">
      <c r="A1217" s="57">
        <v>1216</v>
      </c>
      <c r="B1217" s="110"/>
      <c r="T1217" s="112"/>
    </row>
    <row r="1218" spans="1:20" ht="23.4" x14ac:dyDescent="0.25">
      <c r="A1218" s="57">
        <v>1217</v>
      </c>
      <c r="B1218" s="110"/>
      <c r="T1218" s="112"/>
    </row>
    <row r="1219" spans="1:20" ht="26.4" x14ac:dyDescent="0.25">
      <c r="A1219" s="57">
        <v>1218</v>
      </c>
      <c r="B1219" s="110"/>
      <c r="T1219" s="109"/>
    </row>
    <row r="1220" spans="1:20" ht="23.4" x14ac:dyDescent="0.25">
      <c r="A1220" s="57">
        <v>1219</v>
      </c>
      <c r="B1220" s="110"/>
      <c r="T1220" s="112"/>
    </row>
    <row r="1221" spans="1:20" ht="23.4" x14ac:dyDescent="0.25">
      <c r="A1221" s="57">
        <v>1220</v>
      </c>
      <c r="B1221" s="110"/>
      <c r="T1221" s="112"/>
    </row>
    <row r="1222" spans="1:20" ht="23.4" x14ac:dyDescent="0.25">
      <c r="A1222" s="57">
        <v>1221</v>
      </c>
      <c r="B1222" s="110"/>
      <c r="T1222" s="112"/>
    </row>
    <row r="1223" spans="1:20" ht="23.4" x14ac:dyDescent="0.25">
      <c r="A1223" s="57">
        <v>1222</v>
      </c>
      <c r="B1223" s="110"/>
      <c r="T1223" s="112"/>
    </row>
    <row r="1224" spans="1:20" ht="23.4" x14ac:dyDescent="0.25">
      <c r="A1224" s="57">
        <v>1223</v>
      </c>
      <c r="B1224" s="110"/>
      <c r="T1224" s="112"/>
    </row>
    <row r="1225" spans="1:20" ht="23.4" x14ac:dyDescent="0.25">
      <c r="A1225" s="57">
        <v>1224</v>
      </c>
      <c r="B1225" s="110"/>
      <c r="T1225" s="112"/>
    </row>
    <row r="1226" spans="1:20" ht="26.4" x14ac:dyDescent="0.25">
      <c r="A1226" s="57">
        <v>1225</v>
      </c>
      <c r="B1226" s="110"/>
      <c r="T1226" s="109"/>
    </row>
    <row r="1227" spans="1:20" ht="23.4" x14ac:dyDescent="0.25">
      <c r="A1227" s="57">
        <v>1226</v>
      </c>
      <c r="B1227" s="110"/>
      <c r="T1227" s="112"/>
    </row>
    <row r="1228" spans="1:20" ht="23.4" x14ac:dyDescent="0.25">
      <c r="A1228" s="57">
        <v>1227</v>
      </c>
      <c r="B1228" s="110"/>
      <c r="T1228" s="112"/>
    </row>
    <row r="1229" spans="1:20" ht="23.4" x14ac:dyDescent="0.25">
      <c r="A1229" s="57">
        <v>1228</v>
      </c>
      <c r="B1229" s="110"/>
      <c r="T1229" s="112"/>
    </row>
    <row r="1230" spans="1:20" ht="23.4" x14ac:dyDescent="0.25">
      <c r="A1230" s="57">
        <v>1229</v>
      </c>
      <c r="B1230" s="110"/>
      <c r="T1230" s="112"/>
    </row>
    <row r="1231" spans="1:20" ht="23.4" x14ac:dyDescent="0.25">
      <c r="A1231" s="57">
        <v>1230</v>
      </c>
      <c r="B1231" s="110"/>
      <c r="T1231" s="112"/>
    </row>
    <row r="1232" spans="1:20" ht="23.4" x14ac:dyDescent="0.25">
      <c r="A1232" s="57">
        <v>1231</v>
      </c>
      <c r="B1232" s="110"/>
      <c r="T1232" s="112"/>
    </row>
    <row r="1233" spans="1:20" ht="26.4" x14ac:dyDescent="0.25">
      <c r="A1233" s="57">
        <v>1232</v>
      </c>
      <c r="B1233" s="110"/>
      <c r="T1233" s="109"/>
    </row>
    <row r="1234" spans="1:20" ht="23.4" x14ac:dyDescent="0.25">
      <c r="A1234" s="57">
        <v>1233</v>
      </c>
      <c r="B1234" s="110"/>
      <c r="T1234" s="112"/>
    </row>
    <row r="1235" spans="1:20" ht="23.4" x14ac:dyDescent="0.25">
      <c r="A1235" s="57">
        <v>1234</v>
      </c>
      <c r="B1235" s="110"/>
      <c r="T1235" s="112"/>
    </row>
    <row r="1236" spans="1:20" ht="23.4" x14ac:dyDescent="0.25">
      <c r="A1236" s="57">
        <v>1235</v>
      </c>
      <c r="B1236" s="110"/>
      <c r="T1236" s="112"/>
    </row>
    <row r="1237" spans="1:20" ht="23.4" x14ac:dyDescent="0.25">
      <c r="A1237" s="57">
        <v>1236</v>
      </c>
      <c r="B1237" s="110"/>
      <c r="T1237" s="112"/>
    </row>
    <row r="1238" spans="1:20" ht="23.4" x14ac:dyDescent="0.25">
      <c r="A1238" s="57">
        <v>1237</v>
      </c>
      <c r="B1238" s="110"/>
      <c r="T1238" s="112"/>
    </row>
    <row r="1239" spans="1:20" ht="23.4" x14ac:dyDescent="0.25">
      <c r="A1239" s="57">
        <v>1238</v>
      </c>
      <c r="B1239" s="110"/>
      <c r="T1239" s="112"/>
    </row>
    <row r="1240" spans="1:20" ht="26.4" x14ac:dyDescent="0.25">
      <c r="A1240" s="57">
        <v>1239</v>
      </c>
      <c r="B1240" s="110"/>
      <c r="T1240" s="109"/>
    </row>
    <row r="1241" spans="1:20" ht="23.4" x14ac:dyDescent="0.25">
      <c r="A1241" s="57">
        <v>1240</v>
      </c>
      <c r="B1241" s="110"/>
      <c r="T1241" s="112"/>
    </row>
    <row r="1242" spans="1:20" ht="23.4" x14ac:dyDescent="0.25">
      <c r="A1242" s="57">
        <v>1241</v>
      </c>
      <c r="B1242" s="110"/>
      <c r="T1242" s="112"/>
    </row>
    <row r="1243" spans="1:20" ht="23.4" x14ac:dyDescent="0.25">
      <c r="A1243" s="57">
        <v>1242</v>
      </c>
      <c r="B1243" s="110"/>
      <c r="T1243" s="112"/>
    </row>
    <row r="1244" spans="1:20" ht="23.4" x14ac:dyDescent="0.25">
      <c r="A1244" s="57">
        <v>1243</v>
      </c>
      <c r="B1244" s="110"/>
      <c r="T1244" s="112"/>
    </row>
    <row r="1245" spans="1:20" ht="23.4" x14ac:dyDescent="0.25">
      <c r="A1245" s="57">
        <v>1244</v>
      </c>
      <c r="B1245" s="110"/>
      <c r="T1245" s="112"/>
    </row>
    <row r="1246" spans="1:20" ht="23.4" x14ac:dyDescent="0.25">
      <c r="A1246" s="57">
        <v>1245</v>
      </c>
      <c r="B1246" s="110"/>
      <c r="T1246" s="112"/>
    </row>
    <row r="1247" spans="1:20" ht="26.4" x14ac:dyDescent="0.25">
      <c r="A1247" s="57">
        <v>1246</v>
      </c>
      <c r="B1247" s="110"/>
      <c r="T1247" s="109"/>
    </row>
    <row r="1248" spans="1:20" ht="23.4" x14ac:dyDescent="0.25">
      <c r="A1248" s="57">
        <v>1247</v>
      </c>
      <c r="B1248" s="110"/>
      <c r="T1248" s="112"/>
    </row>
    <row r="1249" spans="1:20" ht="23.4" x14ac:dyDescent="0.25">
      <c r="A1249" s="57">
        <v>1248</v>
      </c>
      <c r="B1249" s="110"/>
      <c r="T1249" s="112"/>
    </row>
    <row r="1250" spans="1:20" ht="23.4" x14ac:dyDescent="0.25">
      <c r="A1250" s="57">
        <v>1249</v>
      </c>
      <c r="B1250" s="110"/>
      <c r="T1250" s="112"/>
    </row>
    <row r="1251" spans="1:20" ht="23.4" x14ac:dyDescent="0.25">
      <c r="A1251" s="57">
        <v>1250</v>
      </c>
      <c r="B1251" s="110"/>
      <c r="T1251" s="112"/>
    </row>
    <row r="1252" spans="1:20" ht="23.4" x14ac:dyDescent="0.25">
      <c r="A1252" s="57">
        <v>1251</v>
      </c>
      <c r="B1252" s="110"/>
      <c r="T1252" s="112"/>
    </row>
    <row r="1253" spans="1:20" ht="23.4" x14ac:dyDescent="0.25">
      <c r="A1253" s="57">
        <v>1252</v>
      </c>
      <c r="B1253" s="110"/>
      <c r="T1253" s="112"/>
    </row>
    <row r="1254" spans="1:20" ht="26.4" x14ac:dyDescent="0.25">
      <c r="A1254" s="57">
        <v>1253</v>
      </c>
      <c r="B1254" s="110"/>
      <c r="T1254" s="109"/>
    </row>
    <row r="1255" spans="1:20" ht="23.4" x14ac:dyDescent="0.25">
      <c r="A1255" s="57">
        <v>1254</v>
      </c>
      <c r="B1255" s="110"/>
      <c r="T1255" s="112"/>
    </row>
    <row r="1256" spans="1:20" ht="23.4" x14ac:dyDescent="0.25">
      <c r="A1256" s="57">
        <v>1255</v>
      </c>
      <c r="B1256" s="110"/>
      <c r="T1256" s="112"/>
    </row>
    <row r="1257" spans="1:20" ht="23.4" x14ac:dyDescent="0.25">
      <c r="A1257" s="57">
        <v>1256</v>
      </c>
      <c r="B1257" s="110"/>
      <c r="T1257" s="112"/>
    </row>
    <row r="1258" spans="1:20" ht="23.4" x14ac:dyDescent="0.25">
      <c r="A1258" s="57">
        <v>1257</v>
      </c>
      <c r="B1258" s="110"/>
      <c r="T1258" s="112"/>
    </row>
    <row r="1259" spans="1:20" ht="23.4" x14ac:dyDescent="0.25">
      <c r="A1259" s="57">
        <v>1258</v>
      </c>
      <c r="B1259" s="110"/>
      <c r="T1259" s="112"/>
    </row>
    <row r="1260" spans="1:20" ht="23.4" x14ac:dyDescent="0.25">
      <c r="A1260" s="57">
        <v>1259</v>
      </c>
      <c r="B1260" s="110"/>
      <c r="T1260" s="112"/>
    </row>
    <row r="1261" spans="1:20" ht="26.4" x14ac:dyDescent="0.25">
      <c r="A1261" s="57">
        <v>1260</v>
      </c>
      <c r="B1261" s="110"/>
      <c r="T1261" s="109"/>
    </row>
    <row r="1262" spans="1:20" ht="23.4" x14ac:dyDescent="0.25">
      <c r="A1262" s="57">
        <v>1261</v>
      </c>
      <c r="B1262" s="110"/>
      <c r="T1262" s="112"/>
    </row>
    <row r="1263" spans="1:20" ht="23.4" x14ac:dyDescent="0.25">
      <c r="A1263" s="57">
        <v>1262</v>
      </c>
      <c r="B1263" s="110"/>
      <c r="T1263" s="112"/>
    </row>
    <row r="1264" spans="1:20" ht="23.4" x14ac:dyDescent="0.25">
      <c r="A1264" s="57">
        <v>1263</v>
      </c>
      <c r="B1264" s="110"/>
      <c r="T1264" s="112"/>
    </row>
    <row r="1265" spans="1:20" ht="23.4" x14ac:dyDescent="0.25">
      <c r="A1265" s="57">
        <v>1264</v>
      </c>
      <c r="B1265" s="110"/>
      <c r="T1265" s="112"/>
    </row>
    <row r="1266" spans="1:20" ht="23.4" x14ac:dyDescent="0.25">
      <c r="A1266" s="57">
        <v>1265</v>
      </c>
      <c r="B1266" s="110"/>
      <c r="T1266" s="112"/>
    </row>
    <row r="1267" spans="1:20" ht="23.4" x14ac:dyDescent="0.25">
      <c r="A1267" s="57">
        <v>1266</v>
      </c>
      <c r="B1267" s="110"/>
      <c r="T1267" s="112"/>
    </row>
    <row r="1268" spans="1:20" ht="26.4" x14ac:dyDescent="0.25">
      <c r="A1268" s="57">
        <v>1267</v>
      </c>
      <c r="B1268" s="110"/>
      <c r="T1268" s="109"/>
    </row>
    <row r="1269" spans="1:20" ht="23.4" x14ac:dyDescent="0.25">
      <c r="A1269" s="57">
        <v>1268</v>
      </c>
      <c r="B1269" s="110"/>
      <c r="T1269" s="112"/>
    </row>
    <row r="1270" spans="1:20" ht="23.4" x14ac:dyDescent="0.25">
      <c r="A1270" s="57">
        <v>1269</v>
      </c>
      <c r="B1270" s="110"/>
      <c r="T1270" s="112"/>
    </row>
    <row r="1271" spans="1:20" ht="23.4" x14ac:dyDescent="0.25">
      <c r="A1271" s="57">
        <v>1270</v>
      </c>
      <c r="B1271" s="110"/>
      <c r="T1271" s="112"/>
    </row>
    <row r="1272" spans="1:20" ht="23.4" x14ac:dyDescent="0.25">
      <c r="A1272" s="57">
        <v>1271</v>
      </c>
      <c r="B1272" s="110"/>
      <c r="T1272" s="112"/>
    </row>
    <row r="1273" spans="1:20" ht="23.4" x14ac:dyDescent="0.25">
      <c r="A1273" s="57">
        <v>1272</v>
      </c>
      <c r="B1273" s="110"/>
      <c r="T1273" s="112"/>
    </row>
    <row r="1274" spans="1:20" ht="23.4" x14ac:dyDescent="0.25">
      <c r="A1274" s="57">
        <v>1273</v>
      </c>
      <c r="B1274" s="110"/>
      <c r="T1274" s="112"/>
    </row>
    <row r="1275" spans="1:20" ht="26.4" x14ac:dyDescent="0.25">
      <c r="A1275" s="57">
        <v>1274</v>
      </c>
      <c r="B1275" s="110"/>
      <c r="T1275" s="109"/>
    </row>
    <row r="1276" spans="1:20" ht="23.4" x14ac:dyDescent="0.25">
      <c r="A1276" s="57">
        <v>1275</v>
      </c>
      <c r="B1276" s="110"/>
      <c r="T1276" s="112"/>
    </row>
    <row r="1277" spans="1:20" ht="23.4" x14ac:dyDescent="0.25">
      <c r="A1277" s="57">
        <v>1276</v>
      </c>
      <c r="B1277" s="110"/>
      <c r="T1277" s="112"/>
    </row>
    <row r="1278" spans="1:20" ht="23.4" x14ac:dyDescent="0.25">
      <c r="A1278" s="57">
        <v>1277</v>
      </c>
      <c r="B1278" s="110"/>
      <c r="T1278" s="112"/>
    </row>
    <row r="1279" spans="1:20" ht="23.4" x14ac:dyDescent="0.25">
      <c r="A1279" s="57">
        <v>1278</v>
      </c>
      <c r="B1279" s="110"/>
      <c r="T1279" s="112"/>
    </row>
    <row r="1280" spans="1:20" ht="23.4" x14ac:dyDescent="0.25">
      <c r="A1280" s="57">
        <v>1279</v>
      </c>
      <c r="B1280" s="110"/>
      <c r="T1280" s="112"/>
    </row>
    <row r="1281" spans="1:20" ht="23.4" x14ac:dyDescent="0.25">
      <c r="A1281" s="57">
        <v>1280</v>
      </c>
      <c r="B1281" s="110"/>
      <c r="T1281" s="112"/>
    </row>
    <row r="1282" spans="1:20" ht="26.4" x14ac:dyDescent="0.25">
      <c r="A1282" s="57">
        <v>1281</v>
      </c>
      <c r="B1282" s="110"/>
      <c r="T1282" s="109"/>
    </row>
    <row r="1283" spans="1:20" ht="23.4" x14ac:dyDescent="0.25">
      <c r="A1283" s="57">
        <v>1282</v>
      </c>
      <c r="B1283" s="110"/>
      <c r="T1283" s="112"/>
    </row>
    <row r="1284" spans="1:20" ht="23.4" x14ac:dyDescent="0.25">
      <c r="A1284" s="57">
        <v>1283</v>
      </c>
      <c r="B1284" s="110"/>
      <c r="T1284" s="112"/>
    </row>
    <row r="1285" spans="1:20" ht="23.4" x14ac:dyDescent="0.25">
      <c r="A1285" s="57">
        <v>1284</v>
      </c>
      <c r="B1285" s="110"/>
      <c r="T1285" s="112"/>
    </row>
    <row r="1286" spans="1:20" ht="23.4" x14ac:dyDescent="0.25">
      <c r="A1286" s="57">
        <v>1285</v>
      </c>
      <c r="B1286" s="110"/>
      <c r="T1286" s="112"/>
    </row>
    <row r="1287" spans="1:20" ht="23.4" x14ac:dyDescent="0.25">
      <c r="A1287" s="57">
        <v>1286</v>
      </c>
      <c r="B1287" s="110"/>
      <c r="T1287" s="112"/>
    </row>
    <row r="1288" spans="1:20" ht="23.4" x14ac:dyDescent="0.25">
      <c r="A1288" s="57">
        <v>1287</v>
      </c>
      <c r="B1288" s="110"/>
      <c r="T1288" s="112"/>
    </row>
    <row r="1289" spans="1:20" ht="26.4" x14ac:dyDescent="0.25">
      <c r="A1289" s="57">
        <v>1288</v>
      </c>
      <c r="B1289" s="110"/>
      <c r="T1289" s="109"/>
    </row>
    <row r="1290" spans="1:20" ht="23.4" x14ac:dyDescent="0.25">
      <c r="A1290" s="57">
        <v>1289</v>
      </c>
      <c r="B1290" s="110"/>
      <c r="T1290" s="112"/>
    </row>
    <row r="1291" spans="1:20" ht="23.4" x14ac:dyDescent="0.25">
      <c r="A1291" s="57">
        <v>1290</v>
      </c>
      <c r="B1291" s="110"/>
      <c r="T1291" s="112"/>
    </row>
    <row r="1292" spans="1:20" ht="23.4" x14ac:dyDescent="0.25">
      <c r="A1292" s="57">
        <v>1291</v>
      </c>
      <c r="B1292" s="110"/>
      <c r="T1292" s="112"/>
    </row>
    <row r="1293" spans="1:20" ht="23.4" x14ac:dyDescent="0.25">
      <c r="A1293" s="57">
        <v>1292</v>
      </c>
      <c r="B1293" s="110"/>
      <c r="T1293" s="112"/>
    </row>
    <row r="1294" spans="1:20" ht="23.4" x14ac:dyDescent="0.25">
      <c r="A1294" s="57">
        <v>1293</v>
      </c>
      <c r="B1294" s="110"/>
      <c r="T1294" s="112"/>
    </row>
    <row r="1295" spans="1:20" ht="23.4" x14ac:dyDescent="0.25">
      <c r="A1295" s="57">
        <v>1294</v>
      </c>
      <c r="B1295" s="110"/>
      <c r="T1295" s="112"/>
    </row>
    <row r="1296" spans="1:20" ht="26.4" x14ac:dyDescent="0.25">
      <c r="A1296" s="57">
        <v>1295</v>
      </c>
      <c r="B1296" s="110"/>
      <c r="T1296" s="109"/>
    </row>
    <row r="1297" spans="1:20" ht="23.4" x14ac:dyDescent="0.25">
      <c r="A1297" s="57">
        <v>1296</v>
      </c>
      <c r="B1297" s="110"/>
      <c r="T1297" s="112"/>
    </row>
    <row r="1298" spans="1:20" ht="23.4" x14ac:dyDescent="0.25">
      <c r="A1298" s="57">
        <v>1297</v>
      </c>
      <c r="B1298" s="110"/>
      <c r="T1298" s="112"/>
    </row>
    <row r="1299" spans="1:20" ht="23.4" x14ac:dyDescent="0.25">
      <c r="A1299" s="57">
        <v>1298</v>
      </c>
      <c r="B1299" s="110"/>
      <c r="T1299" s="112"/>
    </row>
    <row r="1300" spans="1:20" ht="23.4" x14ac:dyDescent="0.25">
      <c r="A1300" s="57">
        <v>1299</v>
      </c>
      <c r="B1300" s="110"/>
      <c r="T1300" s="112"/>
    </row>
    <row r="1301" spans="1:20" ht="23.4" x14ac:dyDescent="0.25">
      <c r="A1301" s="57">
        <v>1300</v>
      </c>
      <c r="B1301" s="110"/>
      <c r="T1301" s="112"/>
    </row>
    <row r="1302" spans="1:20" ht="23.4" x14ac:dyDescent="0.25">
      <c r="A1302" s="57">
        <v>1301</v>
      </c>
      <c r="B1302" s="110"/>
      <c r="T1302" s="112"/>
    </row>
    <row r="1303" spans="1:20" ht="26.4" x14ac:dyDescent="0.25">
      <c r="A1303" s="57">
        <v>1302</v>
      </c>
      <c r="B1303" s="110"/>
      <c r="T1303" s="109"/>
    </row>
    <row r="1304" spans="1:20" ht="23.4" x14ac:dyDescent="0.25">
      <c r="A1304" s="57">
        <v>1303</v>
      </c>
      <c r="B1304" s="110"/>
      <c r="T1304" s="112"/>
    </row>
    <row r="1305" spans="1:20" ht="23.4" x14ac:dyDescent="0.25">
      <c r="A1305" s="57">
        <v>1304</v>
      </c>
      <c r="B1305" s="110"/>
      <c r="T1305" s="112"/>
    </row>
    <row r="1306" spans="1:20" ht="23.4" x14ac:dyDescent="0.25">
      <c r="A1306" s="57">
        <v>1305</v>
      </c>
      <c r="B1306" s="110"/>
      <c r="T1306" s="112"/>
    </row>
    <row r="1307" spans="1:20" ht="23.4" x14ac:dyDescent="0.25">
      <c r="A1307" s="57">
        <v>1306</v>
      </c>
      <c r="B1307" s="110"/>
      <c r="T1307" s="112"/>
    </row>
    <row r="1308" spans="1:20" ht="23.4" x14ac:dyDescent="0.25">
      <c r="A1308" s="57">
        <v>1307</v>
      </c>
      <c r="B1308" s="110"/>
      <c r="T1308" s="112"/>
    </row>
    <row r="1309" spans="1:20" ht="23.4" x14ac:dyDescent="0.25">
      <c r="A1309" s="57">
        <v>1308</v>
      </c>
      <c r="B1309" s="110"/>
      <c r="T1309" s="112"/>
    </row>
    <row r="1310" spans="1:20" ht="26.4" x14ac:dyDescent="0.25">
      <c r="A1310" s="57">
        <v>1309</v>
      </c>
      <c r="B1310" s="110"/>
      <c r="T1310" s="109"/>
    </row>
    <row r="1311" spans="1:20" ht="23.4" x14ac:dyDescent="0.25">
      <c r="A1311" s="57">
        <v>1310</v>
      </c>
      <c r="B1311" s="110"/>
      <c r="T1311" s="112"/>
    </row>
    <row r="1312" spans="1:20" ht="23.4" x14ac:dyDescent="0.25">
      <c r="A1312" s="57">
        <v>1311</v>
      </c>
      <c r="B1312" s="110"/>
      <c r="T1312" s="112"/>
    </row>
    <row r="1313" spans="1:20" ht="23.4" x14ac:dyDescent="0.25">
      <c r="A1313" s="57">
        <v>1312</v>
      </c>
      <c r="B1313" s="110"/>
      <c r="T1313" s="112"/>
    </row>
    <row r="1314" spans="1:20" ht="23.4" x14ac:dyDescent="0.25">
      <c r="A1314" s="57">
        <v>1313</v>
      </c>
      <c r="B1314" s="110"/>
      <c r="T1314" s="112"/>
    </row>
    <row r="1315" spans="1:20" ht="23.4" x14ac:dyDescent="0.25">
      <c r="A1315" s="57">
        <v>1314</v>
      </c>
      <c r="B1315" s="110"/>
      <c r="T1315" s="112"/>
    </row>
    <row r="1316" spans="1:20" ht="23.4" x14ac:dyDescent="0.25">
      <c r="A1316" s="57">
        <v>1315</v>
      </c>
      <c r="B1316" s="110"/>
      <c r="T1316" s="112"/>
    </row>
    <row r="1317" spans="1:20" ht="26.4" x14ac:dyDescent="0.25">
      <c r="A1317" s="57">
        <v>1316</v>
      </c>
      <c r="B1317" s="110"/>
      <c r="T1317" s="109"/>
    </row>
    <row r="1318" spans="1:20" ht="23.4" x14ac:dyDescent="0.25">
      <c r="A1318" s="57">
        <v>1317</v>
      </c>
      <c r="B1318" s="110"/>
      <c r="T1318" s="112"/>
    </row>
    <row r="1319" spans="1:20" ht="23.4" x14ac:dyDescent="0.25">
      <c r="A1319" s="57">
        <v>1318</v>
      </c>
      <c r="B1319" s="110"/>
      <c r="T1319" s="112"/>
    </row>
    <row r="1320" spans="1:20" ht="23.4" x14ac:dyDescent="0.25">
      <c r="A1320" s="57">
        <v>1319</v>
      </c>
      <c r="B1320" s="110"/>
      <c r="T1320" s="112"/>
    </row>
    <row r="1321" spans="1:20" ht="23.4" x14ac:dyDescent="0.25">
      <c r="A1321" s="57">
        <v>1320</v>
      </c>
      <c r="B1321" s="110"/>
      <c r="T1321" s="112"/>
    </row>
    <row r="1322" spans="1:20" ht="23.4" x14ac:dyDescent="0.25">
      <c r="A1322" s="57">
        <v>1321</v>
      </c>
      <c r="B1322" s="110"/>
      <c r="T1322" s="112"/>
    </row>
    <row r="1323" spans="1:20" ht="23.4" x14ac:dyDescent="0.25">
      <c r="A1323" s="57">
        <v>1322</v>
      </c>
      <c r="B1323" s="110"/>
      <c r="T1323" s="112"/>
    </row>
    <row r="1324" spans="1:20" ht="26.4" x14ac:dyDescent="0.25">
      <c r="A1324" s="57">
        <v>1323</v>
      </c>
      <c r="B1324" s="110"/>
      <c r="T1324" s="109"/>
    </row>
    <row r="1325" spans="1:20" ht="23.4" x14ac:dyDescent="0.25">
      <c r="A1325" s="57">
        <v>1324</v>
      </c>
      <c r="B1325" s="110"/>
      <c r="T1325" s="112"/>
    </row>
    <row r="1326" spans="1:20" ht="23.4" x14ac:dyDescent="0.25">
      <c r="A1326" s="57">
        <v>1325</v>
      </c>
      <c r="B1326" s="110"/>
      <c r="T1326" s="112"/>
    </row>
    <row r="1327" spans="1:20" ht="23.4" x14ac:dyDescent="0.25">
      <c r="A1327" s="57">
        <v>1326</v>
      </c>
      <c r="B1327" s="110"/>
      <c r="T1327" s="112"/>
    </row>
    <row r="1328" spans="1:20" ht="23.4" x14ac:dyDescent="0.25">
      <c r="A1328" s="57">
        <v>1327</v>
      </c>
      <c r="B1328" s="110"/>
      <c r="T1328" s="112"/>
    </row>
    <row r="1329" spans="1:20" ht="23.4" x14ac:dyDescent="0.25">
      <c r="A1329" s="57">
        <v>1328</v>
      </c>
      <c r="B1329" s="110"/>
      <c r="T1329" s="112"/>
    </row>
    <row r="1330" spans="1:20" ht="23.4" x14ac:dyDescent="0.25">
      <c r="A1330" s="57">
        <v>1329</v>
      </c>
      <c r="B1330" s="110"/>
      <c r="T1330" s="112"/>
    </row>
    <row r="1331" spans="1:20" ht="26.4" x14ac:dyDescent="0.25">
      <c r="A1331" s="57">
        <v>1330</v>
      </c>
      <c r="B1331" s="110"/>
      <c r="T1331" s="109"/>
    </row>
    <row r="1332" spans="1:20" ht="23.4" x14ac:dyDescent="0.25">
      <c r="A1332" s="57">
        <v>1331</v>
      </c>
      <c r="B1332" s="110"/>
      <c r="T1332" s="112"/>
    </row>
    <row r="1333" spans="1:20" ht="23.4" x14ac:dyDescent="0.25">
      <c r="A1333" s="57">
        <v>1332</v>
      </c>
      <c r="B1333" s="110"/>
      <c r="T1333" s="112"/>
    </row>
    <row r="1334" spans="1:20" ht="23.4" x14ac:dyDescent="0.25">
      <c r="A1334" s="57">
        <v>1333</v>
      </c>
      <c r="B1334" s="110"/>
      <c r="T1334" s="112"/>
    </row>
    <row r="1335" spans="1:20" ht="23.4" x14ac:dyDescent="0.25">
      <c r="A1335" s="57">
        <v>1334</v>
      </c>
      <c r="B1335" s="110"/>
      <c r="T1335" s="112"/>
    </row>
    <row r="1336" spans="1:20" ht="23.4" x14ac:dyDescent="0.25">
      <c r="A1336" s="57">
        <v>1335</v>
      </c>
      <c r="B1336" s="110"/>
      <c r="T1336" s="112"/>
    </row>
    <row r="1337" spans="1:20" ht="23.4" x14ac:dyDescent="0.25">
      <c r="A1337" s="57">
        <v>1336</v>
      </c>
      <c r="B1337" s="110"/>
      <c r="T1337" s="112"/>
    </row>
    <row r="1338" spans="1:20" ht="26.4" x14ac:dyDescent="0.25">
      <c r="A1338" s="57">
        <v>1337</v>
      </c>
      <c r="B1338" s="110"/>
      <c r="T1338" s="109"/>
    </row>
    <row r="1339" spans="1:20" ht="23.4" x14ac:dyDescent="0.25">
      <c r="A1339" s="57">
        <v>1338</v>
      </c>
      <c r="B1339" s="110"/>
      <c r="T1339" s="112"/>
    </row>
    <row r="1340" spans="1:20" ht="23.4" x14ac:dyDescent="0.25">
      <c r="A1340" s="57">
        <v>1339</v>
      </c>
      <c r="B1340" s="110"/>
      <c r="T1340" s="112"/>
    </row>
    <row r="1341" spans="1:20" ht="23.4" x14ac:dyDescent="0.25">
      <c r="A1341" s="57">
        <v>1340</v>
      </c>
      <c r="B1341" s="110"/>
      <c r="T1341" s="112"/>
    </row>
    <row r="1342" spans="1:20" ht="23.4" x14ac:dyDescent="0.25">
      <c r="A1342" s="57">
        <v>1341</v>
      </c>
      <c r="B1342" s="110"/>
      <c r="T1342" s="112"/>
    </row>
    <row r="1343" spans="1:20" ht="23.4" x14ac:dyDescent="0.25">
      <c r="A1343" s="57">
        <v>1342</v>
      </c>
      <c r="B1343" s="110"/>
      <c r="T1343" s="112"/>
    </row>
    <row r="1344" spans="1:20" ht="23.4" x14ac:dyDescent="0.25">
      <c r="A1344" s="57">
        <v>1343</v>
      </c>
      <c r="B1344" s="110"/>
      <c r="T1344" s="112"/>
    </row>
    <row r="1345" spans="1:20" ht="26.4" x14ac:dyDescent="0.25">
      <c r="A1345" s="57">
        <v>1344</v>
      </c>
      <c r="B1345" s="110"/>
      <c r="T1345" s="109"/>
    </row>
    <row r="1346" spans="1:20" ht="23.4" x14ac:dyDescent="0.25">
      <c r="A1346" s="57">
        <v>1345</v>
      </c>
      <c r="B1346" s="110"/>
      <c r="T1346" s="112"/>
    </row>
    <row r="1347" spans="1:20" ht="23.4" x14ac:dyDescent="0.25">
      <c r="A1347" s="57">
        <v>1346</v>
      </c>
      <c r="B1347" s="110"/>
      <c r="T1347" s="112"/>
    </row>
    <row r="1348" spans="1:20" ht="23.4" x14ac:dyDescent="0.25">
      <c r="A1348" s="57">
        <v>1347</v>
      </c>
      <c r="B1348" s="110"/>
      <c r="T1348" s="112"/>
    </row>
    <row r="1349" spans="1:20" ht="23.4" x14ac:dyDescent="0.25">
      <c r="A1349" s="57">
        <v>1348</v>
      </c>
      <c r="B1349" s="110"/>
      <c r="T1349" s="112"/>
    </row>
    <row r="1350" spans="1:20" ht="23.4" x14ac:dyDescent="0.25">
      <c r="A1350" s="57">
        <v>1349</v>
      </c>
      <c r="B1350" s="110"/>
      <c r="T1350" s="112"/>
    </row>
    <row r="1351" spans="1:20" ht="23.4" x14ac:dyDescent="0.25">
      <c r="A1351" s="57">
        <v>1350</v>
      </c>
      <c r="B1351" s="110"/>
      <c r="T1351" s="112"/>
    </row>
    <row r="1352" spans="1:20" ht="26.4" x14ac:dyDescent="0.25">
      <c r="A1352" s="57">
        <v>1351</v>
      </c>
      <c r="B1352" s="110"/>
      <c r="T1352" s="109"/>
    </row>
    <row r="1353" spans="1:20" ht="23.4" x14ac:dyDescent="0.25">
      <c r="A1353" s="57">
        <v>1352</v>
      </c>
      <c r="B1353" s="110"/>
      <c r="T1353" s="112"/>
    </row>
    <row r="1354" spans="1:20" ht="23.4" x14ac:dyDescent="0.25">
      <c r="A1354" s="57">
        <v>1353</v>
      </c>
      <c r="B1354" s="110"/>
      <c r="T1354" s="112"/>
    </row>
    <row r="1355" spans="1:20" ht="23.4" x14ac:dyDescent="0.25">
      <c r="A1355" s="57">
        <v>1354</v>
      </c>
      <c r="B1355" s="110"/>
      <c r="T1355" s="112"/>
    </row>
    <row r="1356" spans="1:20" ht="23.4" x14ac:dyDescent="0.25">
      <c r="A1356" s="57">
        <v>1355</v>
      </c>
      <c r="B1356" s="110"/>
      <c r="T1356" s="112"/>
    </row>
    <row r="1357" spans="1:20" ht="23.4" x14ac:dyDescent="0.25">
      <c r="A1357" s="57">
        <v>1356</v>
      </c>
      <c r="B1357" s="110"/>
      <c r="T1357" s="112"/>
    </row>
    <row r="1358" spans="1:20" ht="23.4" x14ac:dyDescent="0.25">
      <c r="A1358" s="57">
        <v>1357</v>
      </c>
      <c r="B1358" s="110"/>
      <c r="T1358" s="112"/>
    </row>
    <row r="1359" spans="1:20" ht="26.4" x14ac:dyDescent="0.25">
      <c r="A1359" s="57">
        <v>1358</v>
      </c>
      <c r="B1359" s="110"/>
      <c r="T1359" s="109"/>
    </row>
    <row r="1360" spans="1:20" ht="23.4" x14ac:dyDescent="0.25">
      <c r="A1360" s="57">
        <v>1359</v>
      </c>
      <c r="B1360" s="110"/>
      <c r="T1360" s="112"/>
    </row>
    <row r="1361" spans="1:20" ht="23.4" x14ac:dyDescent="0.25">
      <c r="A1361" s="57">
        <v>1360</v>
      </c>
      <c r="B1361" s="110"/>
      <c r="T1361" s="112"/>
    </row>
    <row r="1362" spans="1:20" ht="23.4" x14ac:dyDescent="0.25">
      <c r="A1362" s="57">
        <v>1361</v>
      </c>
      <c r="B1362" s="110"/>
      <c r="T1362" s="112"/>
    </row>
    <row r="1363" spans="1:20" ht="23.4" x14ac:dyDescent="0.25">
      <c r="A1363" s="57">
        <v>1362</v>
      </c>
      <c r="B1363" s="110"/>
      <c r="T1363" s="112"/>
    </row>
    <row r="1364" spans="1:20" ht="23.4" x14ac:dyDescent="0.25">
      <c r="A1364" s="57">
        <v>1363</v>
      </c>
      <c r="B1364" s="110"/>
      <c r="T1364" s="112"/>
    </row>
    <row r="1365" spans="1:20" ht="23.4" x14ac:dyDescent="0.25">
      <c r="A1365" s="57">
        <v>1364</v>
      </c>
      <c r="B1365" s="110"/>
      <c r="T1365" s="112"/>
    </row>
    <row r="1366" spans="1:20" ht="26.4" x14ac:dyDescent="0.25">
      <c r="A1366" s="57">
        <v>1365</v>
      </c>
      <c r="B1366" s="110"/>
      <c r="T1366" s="109"/>
    </row>
    <row r="1367" spans="1:20" ht="23.4" x14ac:dyDescent="0.25">
      <c r="A1367" s="57">
        <v>1366</v>
      </c>
      <c r="B1367" s="110"/>
      <c r="T1367" s="112"/>
    </row>
    <row r="1368" spans="1:20" ht="23.4" x14ac:dyDescent="0.25">
      <c r="A1368" s="57">
        <v>1367</v>
      </c>
      <c r="B1368" s="110"/>
      <c r="T1368" s="112"/>
    </row>
    <row r="1369" spans="1:20" ht="23.4" x14ac:dyDescent="0.25">
      <c r="A1369" s="57">
        <v>1368</v>
      </c>
      <c r="B1369" s="110"/>
      <c r="T1369" s="112"/>
    </row>
    <row r="1370" spans="1:20" ht="23.4" x14ac:dyDescent="0.25">
      <c r="A1370" s="57">
        <v>1369</v>
      </c>
      <c r="B1370" s="110"/>
      <c r="T1370" s="112"/>
    </row>
    <row r="1371" spans="1:20" ht="23.4" x14ac:dyDescent="0.25">
      <c r="A1371" s="57">
        <v>1370</v>
      </c>
      <c r="B1371" s="110"/>
      <c r="T1371" s="112"/>
    </row>
    <row r="1372" spans="1:20" ht="23.4" x14ac:dyDescent="0.25">
      <c r="A1372" s="57">
        <v>1371</v>
      </c>
      <c r="B1372" s="110"/>
      <c r="T1372" s="112"/>
    </row>
    <row r="1373" spans="1:20" ht="26.4" x14ac:dyDescent="0.25">
      <c r="A1373" s="57">
        <v>1372</v>
      </c>
      <c r="B1373" s="110"/>
      <c r="T1373" s="109"/>
    </row>
    <row r="1374" spans="1:20" ht="23.4" x14ac:dyDescent="0.25">
      <c r="A1374" s="57">
        <v>1373</v>
      </c>
      <c r="B1374" s="110"/>
      <c r="T1374" s="112"/>
    </row>
    <row r="1375" spans="1:20" ht="23.4" x14ac:dyDescent="0.25">
      <c r="A1375" s="57">
        <v>1374</v>
      </c>
      <c r="B1375" s="110"/>
      <c r="T1375" s="112"/>
    </row>
    <row r="1376" spans="1:20" ht="23.4" x14ac:dyDescent="0.25">
      <c r="A1376" s="57">
        <v>1375</v>
      </c>
      <c r="B1376" s="110"/>
      <c r="T1376" s="112"/>
    </row>
    <row r="1377" spans="1:20" ht="23.4" x14ac:dyDescent="0.25">
      <c r="A1377" s="57">
        <v>1376</v>
      </c>
      <c r="B1377" s="110"/>
      <c r="T1377" s="112"/>
    </row>
    <row r="1378" spans="1:20" ht="23.4" x14ac:dyDescent="0.25">
      <c r="A1378" s="57">
        <v>1377</v>
      </c>
      <c r="B1378" s="110"/>
      <c r="T1378" s="112"/>
    </row>
    <row r="1379" spans="1:20" ht="23.4" x14ac:dyDescent="0.25">
      <c r="A1379" s="57">
        <v>1378</v>
      </c>
      <c r="B1379" s="110"/>
      <c r="T1379" s="112"/>
    </row>
    <row r="1380" spans="1:20" ht="26.4" x14ac:dyDescent="0.25">
      <c r="A1380" s="57">
        <v>1379</v>
      </c>
      <c r="B1380" s="110"/>
      <c r="T1380" s="109"/>
    </row>
    <row r="1381" spans="1:20" ht="23.4" x14ac:dyDescent="0.25">
      <c r="A1381" s="57">
        <v>1380</v>
      </c>
      <c r="B1381" s="110"/>
      <c r="T1381" s="112"/>
    </row>
    <row r="1382" spans="1:20" ht="23.4" x14ac:dyDescent="0.25">
      <c r="A1382" s="57">
        <v>1381</v>
      </c>
      <c r="B1382" s="110"/>
      <c r="T1382" s="112"/>
    </row>
    <row r="1383" spans="1:20" ht="23.4" x14ac:dyDescent="0.25">
      <c r="A1383" s="57">
        <v>1382</v>
      </c>
      <c r="B1383" s="110"/>
      <c r="T1383" s="112"/>
    </row>
    <row r="1384" spans="1:20" ht="23.4" x14ac:dyDescent="0.25">
      <c r="A1384" s="57">
        <v>1383</v>
      </c>
      <c r="B1384" s="110"/>
      <c r="T1384" s="112"/>
    </row>
    <row r="1385" spans="1:20" ht="23.4" x14ac:dyDescent="0.25">
      <c r="A1385" s="57">
        <v>1384</v>
      </c>
      <c r="B1385" s="110"/>
      <c r="T1385" s="112"/>
    </row>
    <row r="1386" spans="1:20" ht="23.4" x14ac:dyDescent="0.25">
      <c r="A1386" s="57">
        <v>1385</v>
      </c>
      <c r="B1386" s="110"/>
      <c r="T1386" s="112"/>
    </row>
    <row r="1387" spans="1:20" ht="26.4" x14ac:dyDescent="0.25">
      <c r="A1387" s="57">
        <v>1386</v>
      </c>
      <c r="B1387" s="110"/>
      <c r="T1387" s="109"/>
    </row>
    <row r="1388" spans="1:20" ht="23.4" x14ac:dyDescent="0.25">
      <c r="A1388" s="57">
        <v>1387</v>
      </c>
      <c r="B1388" s="110"/>
      <c r="T1388" s="112"/>
    </row>
    <row r="1389" spans="1:20" ht="23.4" x14ac:dyDescent="0.25">
      <c r="A1389" s="57">
        <v>1388</v>
      </c>
      <c r="B1389" s="110"/>
      <c r="T1389" s="112"/>
    </row>
    <row r="1390" spans="1:20" ht="23.4" x14ac:dyDescent="0.25">
      <c r="A1390" s="57">
        <v>1389</v>
      </c>
      <c r="B1390" s="110"/>
      <c r="T1390" s="112"/>
    </row>
    <row r="1391" spans="1:20" ht="23.4" x14ac:dyDescent="0.25">
      <c r="A1391" s="57">
        <v>1390</v>
      </c>
      <c r="B1391" s="110"/>
      <c r="T1391" s="112"/>
    </row>
    <row r="1392" spans="1:20" ht="23.4" x14ac:dyDescent="0.25">
      <c r="A1392" s="57">
        <v>1391</v>
      </c>
      <c r="B1392" s="110"/>
      <c r="T1392" s="112"/>
    </row>
    <row r="1393" spans="1:20" ht="23.4" x14ac:dyDescent="0.25">
      <c r="A1393" s="57">
        <v>1392</v>
      </c>
      <c r="B1393" s="110"/>
      <c r="T1393" s="112"/>
    </row>
    <row r="1394" spans="1:20" ht="26.4" x14ac:dyDescent="0.25">
      <c r="A1394" s="57">
        <v>1393</v>
      </c>
      <c r="B1394" s="110"/>
      <c r="T1394" s="109"/>
    </row>
    <row r="1395" spans="1:20" ht="23.4" x14ac:dyDescent="0.25">
      <c r="A1395" s="57">
        <v>1394</v>
      </c>
      <c r="B1395" s="110"/>
      <c r="T1395" s="112"/>
    </row>
    <row r="1396" spans="1:20" ht="23.4" x14ac:dyDescent="0.25">
      <c r="A1396" s="57">
        <v>1395</v>
      </c>
      <c r="B1396" s="110"/>
      <c r="T1396" s="112"/>
    </row>
    <row r="1397" spans="1:20" ht="23.4" x14ac:dyDescent="0.25">
      <c r="A1397" s="57">
        <v>1396</v>
      </c>
      <c r="B1397" s="110"/>
      <c r="T1397" s="112"/>
    </row>
    <row r="1398" spans="1:20" ht="23.4" x14ac:dyDescent="0.25">
      <c r="A1398" s="57">
        <v>1397</v>
      </c>
      <c r="B1398" s="110"/>
      <c r="T1398" s="112"/>
    </row>
    <row r="1399" spans="1:20" ht="23.4" x14ac:dyDescent="0.25">
      <c r="A1399" s="57">
        <v>1398</v>
      </c>
      <c r="B1399" s="110"/>
      <c r="T1399" s="112"/>
    </row>
    <row r="1400" spans="1:20" ht="23.4" x14ac:dyDescent="0.25">
      <c r="A1400" s="57">
        <v>1399</v>
      </c>
      <c r="B1400" s="110"/>
      <c r="T1400" s="112"/>
    </row>
    <row r="1401" spans="1:20" ht="26.4" x14ac:dyDescent="0.25">
      <c r="A1401" s="57">
        <v>1400</v>
      </c>
      <c r="B1401" s="110"/>
      <c r="T1401" s="109"/>
    </row>
    <row r="1402" spans="1:20" ht="23.4" x14ac:dyDescent="0.25">
      <c r="A1402" s="57">
        <v>1401</v>
      </c>
      <c r="B1402" s="110"/>
      <c r="T1402" s="112"/>
    </row>
    <row r="1403" spans="1:20" ht="23.4" x14ac:dyDescent="0.25">
      <c r="A1403" s="57">
        <v>1402</v>
      </c>
      <c r="B1403" s="110"/>
      <c r="T1403" s="112"/>
    </row>
    <row r="1404" spans="1:20" ht="23.4" x14ac:dyDescent="0.25">
      <c r="A1404" s="57">
        <v>1403</v>
      </c>
      <c r="B1404" s="110"/>
      <c r="T1404" s="112"/>
    </row>
    <row r="1405" spans="1:20" ht="23.4" x14ac:dyDescent="0.25">
      <c r="A1405" s="57">
        <v>1404</v>
      </c>
      <c r="B1405" s="110"/>
      <c r="T1405" s="112"/>
    </row>
    <row r="1406" spans="1:20" ht="23.4" x14ac:dyDescent="0.25">
      <c r="A1406" s="57">
        <v>1405</v>
      </c>
      <c r="B1406" s="110"/>
      <c r="T1406" s="112"/>
    </row>
    <row r="1407" spans="1:20" ht="23.4" x14ac:dyDescent="0.25">
      <c r="A1407" s="57">
        <v>1406</v>
      </c>
      <c r="B1407" s="110"/>
      <c r="T1407" s="112"/>
    </row>
    <row r="1408" spans="1:20" ht="26.4" x14ac:dyDescent="0.25">
      <c r="A1408" s="57">
        <v>1407</v>
      </c>
      <c r="B1408" s="110"/>
      <c r="T1408" s="109"/>
    </row>
    <row r="1409" spans="1:20" ht="23.4" x14ac:dyDescent="0.25">
      <c r="A1409" s="57">
        <v>1408</v>
      </c>
      <c r="B1409" s="110"/>
      <c r="T1409" s="112"/>
    </row>
    <row r="1410" spans="1:20" ht="23.4" x14ac:dyDescent="0.25">
      <c r="A1410" s="57">
        <v>1409</v>
      </c>
      <c r="B1410" s="110"/>
      <c r="T1410" s="112"/>
    </row>
    <row r="1411" spans="1:20" ht="23.4" x14ac:dyDescent="0.25">
      <c r="A1411" s="57">
        <v>1410</v>
      </c>
      <c r="B1411" s="110"/>
      <c r="T1411" s="112"/>
    </row>
    <row r="1412" spans="1:20" ht="23.4" x14ac:dyDescent="0.25">
      <c r="A1412" s="57">
        <v>1411</v>
      </c>
      <c r="B1412" s="110"/>
      <c r="T1412" s="112"/>
    </row>
    <row r="1413" spans="1:20" ht="23.4" x14ac:dyDescent="0.25">
      <c r="A1413" s="57">
        <v>1412</v>
      </c>
      <c r="B1413" s="110"/>
      <c r="T1413" s="112"/>
    </row>
    <row r="1414" spans="1:20" ht="23.4" x14ac:dyDescent="0.25">
      <c r="A1414" s="57">
        <v>1413</v>
      </c>
      <c r="B1414" s="110"/>
      <c r="T1414" s="112"/>
    </row>
    <row r="1415" spans="1:20" ht="26.4" x14ac:dyDescent="0.25">
      <c r="A1415" s="57">
        <v>1414</v>
      </c>
      <c r="B1415" s="110"/>
      <c r="T1415" s="109"/>
    </row>
    <row r="1416" spans="1:20" ht="23.4" x14ac:dyDescent="0.25">
      <c r="A1416" s="57">
        <v>1415</v>
      </c>
      <c r="B1416" s="110"/>
      <c r="T1416" s="112"/>
    </row>
    <row r="1417" spans="1:20" ht="23.4" x14ac:dyDescent="0.25">
      <c r="A1417" s="57">
        <v>1416</v>
      </c>
      <c r="B1417" s="110"/>
      <c r="T1417" s="112"/>
    </row>
    <row r="1418" spans="1:20" ht="23.4" x14ac:dyDescent="0.25">
      <c r="A1418" s="57">
        <v>1417</v>
      </c>
      <c r="B1418" s="110"/>
      <c r="T1418" s="112"/>
    </row>
    <row r="1419" spans="1:20" ht="23.4" x14ac:dyDescent="0.25">
      <c r="A1419" s="57">
        <v>1418</v>
      </c>
      <c r="B1419" s="110"/>
      <c r="T1419" s="112"/>
    </row>
    <row r="1420" spans="1:20" ht="23.4" x14ac:dyDescent="0.25">
      <c r="A1420" s="57">
        <v>1419</v>
      </c>
      <c r="B1420" s="110"/>
      <c r="T1420" s="112"/>
    </row>
    <row r="1421" spans="1:20" ht="23.4" x14ac:dyDescent="0.25">
      <c r="A1421" s="57">
        <v>1420</v>
      </c>
      <c r="B1421" s="110"/>
      <c r="T1421" s="112"/>
    </row>
    <row r="1422" spans="1:20" ht="26.4" x14ac:dyDescent="0.25">
      <c r="A1422" s="57">
        <v>1421</v>
      </c>
      <c r="B1422" s="110"/>
      <c r="T1422" s="109"/>
    </row>
    <row r="1423" spans="1:20" ht="23.4" x14ac:dyDescent="0.25">
      <c r="A1423" s="57">
        <v>1422</v>
      </c>
      <c r="B1423" s="110"/>
      <c r="T1423" s="112"/>
    </row>
    <row r="1424" spans="1:20" ht="23.4" x14ac:dyDescent="0.25">
      <c r="A1424" s="57">
        <v>1423</v>
      </c>
      <c r="B1424" s="110"/>
      <c r="T1424" s="112"/>
    </row>
    <row r="1425" spans="1:20" ht="23.4" x14ac:dyDescent="0.25">
      <c r="A1425" s="57">
        <v>1424</v>
      </c>
      <c r="B1425" s="110"/>
      <c r="T1425" s="112"/>
    </row>
    <row r="1426" spans="1:20" ht="23.4" x14ac:dyDescent="0.25">
      <c r="A1426" s="57">
        <v>1425</v>
      </c>
      <c r="B1426" s="110"/>
      <c r="T1426" s="112"/>
    </row>
    <row r="1427" spans="1:20" ht="23.4" x14ac:dyDescent="0.25">
      <c r="A1427" s="57">
        <v>1426</v>
      </c>
      <c r="B1427" s="110"/>
      <c r="T1427" s="112"/>
    </row>
    <row r="1428" spans="1:20" ht="23.4" x14ac:dyDescent="0.25">
      <c r="A1428" s="57">
        <v>1427</v>
      </c>
      <c r="B1428" s="110"/>
      <c r="T1428" s="112"/>
    </row>
    <row r="1429" spans="1:20" ht="26.4" x14ac:dyDescent="0.25">
      <c r="A1429" s="57">
        <v>1428</v>
      </c>
      <c r="B1429" s="110"/>
      <c r="T1429" s="109"/>
    </row>
    <row r="1430" spans="1:20" ht="23.4" x14ac:dyDescent="0.25">
      <c r="A1430" s="57">
        <v>1429</v>
      </c>
      <c r="B1430" s="110"/>
      <c r="T1430" s="112"/>
    </row>
    <row r="1431" spans="1:20" ht="23.4" x14ac:dyDescent="0.25">
      <c r="A1431" s="57">
        <v>1430</v>
      </c>
      <c r="B1431" s="110"/>
      <c r="T1431" s="112"/>
    </row>
    <row r="1432" spans="1:20" ht="23.4" x14ac:dyDescent="0.25">
      <c r="A1432" s="57">
        <v>1431</v>
      </c>
      <c r="B1432" s="110"/>
      <c r="T1432" s="112"/>
    </row>
    <row r="1433" spans="1:20" ht="23.4" x14ac:dyDescent="0.25">
      <c r="A1433" s="57">
        <v>1432</v>
      </c>
      <c r="B1433" s="110"/>
      <c r="T1433" s="112"/>
    </row>
    <row r="1434" spans="1:20" ht="23.4" x14ac:dyDescent="0.25">
      <c r="A1434" s="57">
        <v>1433</v>
      </c>
      <c r="B1434" s="110"/>
      <c r="T1434" s="112"/>
    </row>
    <row r="1435" spans="1:20" ht="23.4" x14ac:dyDescent="0.25">
      <c r="A1435" s="57">
        <v>1434</v>
      </c>
      <c r="B1435" s="110"/>
      <c r="T1435" s="112"/>
    </row>
    <row r="1436" spans="1:20" ht="26.4" x14ac:dyDescent="0.25">
      <c r="A1436" s="57">
        <v>1435</v>
      </c>
      <c r="B1436" s="110"/>
      <c r="T1436" s="109"/>
    </row>
    <row r="1437" spans="1:20" ht="23.4" x14ac:dyDescent="0.25">
      <c r="A1437" s="57">
        <v>1436</v>
      </c>
      <c r="B1437" s="110"/>
      <c r="T1437" s="112"/>
    </row>
    <row r="1438" spans="1:20" ht="23.4" x14ac:dyDescent="0.25">
      <c r="A1438" s="57">
        <v>1437</v>
      </c>
      <c r="B1438" s="110"/>
      <c r="T1438" s="112"/>
    </row>
    <row r="1439" spans="1:20" ht="23.4" x14ac:dyDescent="0.25">
      <c r="A1439" s="57">
        <v>1438</v>
      </c>
      <c r="B1439" s="110"/>
      <c r="T1439" s="112"/>
    </row>
    <row r="1440" spans="1:20" ht="23.4" x14ac:dyDescent="0.25">
      <c r="A1440" s="57">
        <v>1439</v>
      </c>
      <c r="B1440" s="110"/>
      <c r="T1440" s="112"/>
    </row>
    <row r="1441" spans="1:20" ht="23.4" x14ac:dyDescent="0.25">
      <c r="A1441" s="57">
        <v>1440</v>
      </c>
      <c r="B1441" s="110"/>
      <c r="T1441" s="112"/>
    </row>
    <row r="1442" spans="1:20" ht="23.4" x14ac:dyDescent="0.25">
      <c r="A1442" s="57">
        <v>1441</v>
      </c>
      <c r="B1442" s="110"/>
      <c r="T1442" s="112"/>
    </row>
    <row r="1443" spans="1:20" ht="26.4" x14ac:dyDescent="0.25">
      <c r="A1443" s="57">
        <v>1442</v>
      </c>
      <c r="B1443" s="110"/>
      <c r="T1443" s="109"/>
    </row>
    <row r="1444" spans="1:20" ht="23.4" x14ac:dyDescent="0.25">
      <c r="A1444" s="57">
        <v>1443</v>
      </c>
      <c r="B1444" s="110"/>
      <c r="T1444" s="112"/>
    </row>
    <row r="1445" spans="1:20" ht="23.4" x14ac:dyDescent="0.25">
      <c r="A1445" s="57">
        <v>1444</v>
      </c>
      <c r="B1445" s="110"/>
      <c r="T1445" s="112"/>
    </row>
    <row r="1446" spans="1:20" ht="23.4" x14ac:dyDescent="0.25">
      <c r="A1446" s="57">
        <v>1445</v>
      </c>
      <c r="B1446" s="110"/>
      <c r="T1446" s="112"/>
    </row>
    <row r="1447" spans="1:20" ht="23.4" x14ac:dyDescent="0.25">
      <c r="A1447" s="57">
        <v>1446</v>
      </c>
      <c r="B1447" s="110"/>
      <c r="T1447" s="112"/>
    </row>
    <row r="1448" spans="1:20" ht="23.4" x14ac:dyDescent="0.25">
      <c r="A1448" s="57">
        <v>1447</v>
      </c>
      <c r="B1448" s="110"/>
      <c r="T1448" s="112"/>
    </row>
    <row r="1449" spans="1:20" ht="23.4" x14ac:dyDescent="0.25">
      <c r="A1449" s="57">
        <v>1448</v>
      </c>
      <c r="B1449" s="110"/>
      <c r="T1449" s="112"/>
    </row>
    <row r="1450" spans="1:20" ht="26.4" x14ac:dyDescent="0.25">
      <c r="A1450" s="57">
        <v>1449</v>
      </c>
      <c r="B1450" s="110"/>
      <c r="T1450" s="109"/>
    </row>
    <row r="1451" spans="1:20" ht="23.4" x14ac:dyDescent="0.25">
      <c r="A1451" s="57">
        <v>1450</v>
      </c>
      <c r="B1451" s="110"/>
      <c r="T1451" s="112"/>
    </row>
    <row r="1452" spans="1:20" ht="23.4" x14ac:dyDescent="0.25">
      <c r="A1452" s="57">
        <v>1451</v>
      </c>
      <c r="B1452" s="110"/>
      <c r="T1452" s="112"/>
    </row>
    <row r="1453" spans="1:20" ht="23.4" x14ac:dyDescent="0.25">
      <c r="A1453" s="57">
        <v>1452</v>
      </c>
      <c r="B1453" s="110"/>
      <c r="T1453" s="112"/>
    </row>
    <row r="1454" spans="1:20" ht="23.4" x14ac:dyDescent="0.25">
      <c r="A1454" s="57">
        <v>1453</v>
      </c>
      <c r="B1454" s="110"/>
      <c r="T1454" s="112"/>
    </row>
    <row r="1455" spans="1:20" ht="23.4" x14ac:dyDescent="0.25">
      <c r="A1455" s="57">
        <v>1454</v>
      </c>
      <c r="B1455" s="110"/>
      <c r="T1455" s="112"/>
    </row>
    <row r="1456" spans="1:20" ht="23.4" x14ac:dyDescent="0.25">
      <c r="A1456" s="57">
        <v>1455</v>
      </c>
      <c r="B1456" s="110"/>
      <c r="T1456" s="112"/>
    </row>
    <row r="1457" spans="1:20" ht="26.4" x14ac:dyDescent="0.25">
      <c r="A1457" s="57">
        <v>1456</v>
      </c>
      <c r="B1457" s="110"/>
      <c r="T1457" s="109"/>
    </row>
    <row r="1458" spans="1:20" ht="23.4" x14ac:dyDescent="0.25">
      <c r="A1458" s="57">
        <v>1457</v>
      </c>
      <c r="B1458" s="110"/>
      <c r="T1458" s="112"/>
    </row>
    <row r="1459" spans="1:20" ht="23.4" x14ac:dyDescent="0.25">
      <c r="A1459" s="57">
        <v>1458</v>
      </c>
      <c r="B1459" s="110"/>
      <c r="T1459" s="112"/>
    </row>
    <row r="1460" spans="1:20" ht="23.4" x14ac:dyDescent="0.25">
      <c r="A1460" s="57">
        <v>1459</v>
      </c>
      <c r="B1460" s="110"/>
      <c r="T1460" s="112"/>
    </row>
    <row r="1461" spans="1:20" ht="23.4" x14ac:dyDescent="0.25">
      <c r="A1461" s="57">
        <v>1460</v>
      </c>
      <c r="B1461" s="110"/>
      <c r="T1461" s="112"/>
    </row>
    <row r="1462" spans="1:20" ht="23.4" x14ac:dyDescent="0.25">
      <c r="A1462" s="57">
        <v>1461</v>
      </c>
      <c r="B1462" s="110"/>
      <c r="T1462" s="112"/>
    </row>
    <row r="1463" spans="1:20" ht="23.4" x14ac:dyDescent="0.25">
      <c r="A1463" s="57">
        <v>1462</v>
      </c>
      <c r="B1463" s="110"/>
      <c r="T1463" s="112"/>
    </row>
    <row r="1464" spans="1:20" ht="26.4" x14ac:dyDescent="0.25">
      <c r="A1464" s="57">
        <v>1463</v>
      </c>
      <c r="B1464" s="110"/>
      <c r="T1464" s="109"/>
    </row>
    <row r="1465" spans="1:20" ht="23.4" x14ac:dyDescent="0.25">
      <c r="A1465" s="57">
        <v>1464</v>
      </c>
      <c r="B1465" s="110"/>
      <c r="T1465" s="112"/>
    </row>
    <row r="1466" spans="1:20" ht="23.4" x14ac:dyDescent="0.25">
      <c r="A1466" s="57">
        <v>1465</v>
      </c>
      <c r="B1466" s="110"/>
      <c r="T1466" s="112"/>
    </row>
    <row r="1467" spans="1:20" ht="23.4" x14ac:dyDescent="0.25">
      <c r="A1467" s="57">
        <v>1466</v>
      </c>
      <c r="B1467" s="110"/>
      <c r="T1467" s="112"/>
    </row>
    <row r="1468" spans="1:20" ht="23.4" x14ac:dyDescent="0.25">
      <c r="A1468" s="57">
        <v>1467</v>
      </c>
      <c r="B1468" s="110"/>
      <c r="T1468" s="112"/>
    </row>
    <row r="1469" spans="1:20" ht="23.4" x14ac:dyDescent="0.25">
      <c r="A1469" s="57">
        <v>1468</v>
      </c>
      <c r="B1469" s="110"/>
      <c r="T1469" s="112"/>
    </row>
    <row r="1470" spans="1:20" ht="23.4" x14ac:dyDescent="0.25">
      <c r="A1470" s="57">
        <v>1469</v>
      </c>
      <c r="B1470" s="110"/>
      <c r="T1470" s="112"/>
    </row>
    <row r="1471" spans="1:20" ht="26.4" x14ac:dyDescent="0.25">
      <c r="A1471" s="57">
        <v>1470</v>
      </c>
      <c r="B1471" s="110"/>
      <c r="T1471" s="109"/>
    </row>
    <row r="1472" spans="1:20" ht="23.4" x14ac:dyDescent="0.25">
      <c r="A1472" s="57">
        <v>1471</v>
      </c>
      <c r="B1472" s="110"/>
      <c r="T1472" s="112"/>
    </row>
    <row r="1473" spans="1:20" ht="23.4" x14ac:dyDescent="0.25">
      <c r="A1473" s="57">
        <v>1472</v>
      </c>
      <c r="B1473" s="110"/>
      <c r="T1473" s="112"/>
    </row>
    <row r="1474" spans="1:20" ht="23.4" x14ac:dyDescent="0.25">
      <c r="A1474" s="57">
        <v>1473</v>
      </c>
      <c r="B1474" s="110"/>
      <c r="T1474" s="112"/>
    </row>
    <row r="1475" spans="1:20" ht="23.4" x14ac:dyDescent="0.25">
      <c r="A1475" s="57">
        <v>1474</v>
      </c>
      <c r="B1475" s="110"/>
      <c r="T1475" s="112"/>
    </row>
    <row r="1476" spans="1:20" ht="23.4" x14ac:dyDescent="0.25">
      <c r="A1476" s="57">
        <v>1475</v>
      </c>
      <c r="B1476" s="110"/>
      <c r="T1476" s="112"/>
    </row>
    <row r="1477" spans="1:20" ht="23.4" x14ac:dyDescent="0.25">
      <c r="A1477" s="57">
        <v>1476</v>
      </c>
      <c r="B1477" s="110"/>
      <c r="T1477" s="112"/>
    </row>
    <row r="1478" spans="1:20" ht="26.4" x14ac:dyDescent="0.25">
      <c r="A1478" s="57">
        <v>1477</v>
      </c>
      <c r="B1478" s="110"/>
      <c r="T1478" s="109"/>
    </row>
    <row r="1479" spans="1:20" ht="23.4" x14ac:dyDescent="0.25">
      <c r="A1479" s="57">
        <v>1478</v>
      </c>
      <c r="B1479" s="110"/>
      <c r="T1479" s="112"/>
    </row>
    <row r="1480" spans="1:20" ht="23.4" x14ac:dyDescent="0.25">
      <c r="A1480" s="57">
        <v>1479</v>
      </c>
      <c r="B1480" s="110"/>
      <c r="T1480" s="112"/>
    </row>
    <row r="1481" spans="1:20" ht="23.4" x14ac:dyDescent="0.25">
      <c r="A1481" s="57">
        <v>1480</v>
      </c>
      <c r="B1481" s="110"/>
      <c r="T1481" s="112"/>
    </row>
    <row r="1482" spans="1:20" ht="23.4" x14ac:dyDescent="0.25">
      <c r="A1482" s="57">
        <v>1481</v>
      </c>
      <c r="B1482" s="110"/>
      <c r="T1482" s="112"/>
    </row>
    <row r="1483" spans="1:20" ht="23.4" x14ac:dyDescent="0.25">
      <c r="A1483" s="57">
        <v>1482</v>
      </c>
      <c r="B1483" s="110"/>
      <c r="T1483" s="112"/>
    </row>
    <row r="1484" spans="1:20" ht="23.4" x14ac:dyDescent="0.25">
      <c r="A1484" s="57">
        <v>1483</v>
      </c>
      <c r="B1484" s="110"/>
      <c r="T1484" s="112"/>
    </row>
    <row r="1485" spans="1:20" ht="26.4" x14ac:dyDescent="0.25">
      <c r="A1485" s="57">
        <v>1484</v>
      </c>
      <c r="B1485" s="110"/>
      <c r="T1485" s="109"/>
    </row>
    <row r="1486" spans="1:20" ht="23.4" x14ac:dyDescent="0.25">
      <c r="A1486" s="57">
        <v>1485</v>
      </c>
      <c r="B1486" s="110"/>
      <c r="T1486" s="112"/>
    </row>
    <row r="1487" spans="1:20" ht="23.4" x14ac:dyDescent="0.25">
      <c r="A1487" s="57">
        <v>1486</v>
      </c>
      <c r="B1487" s="110"/>
      <c r="T1487" s="112"/>
    </row>
    <row r="1488" spans="1:20" ht="23.4" x14ac:dyDescent="0.25">
      <c r="A1488" s="57">
        <v>1487</v>
      </c>
      <c r="B1488" s="110"/>
      <c r="T1488" s="112"/>
    </row>
    <row r="1489" spans="1:20" ht="23.4" x14ac:dyDescent="0.25">
      <c r="A1489" s="57">
        <v>1488</v>
      </c>
      <c r="B1489" s="110"/>
      <c r="T1489" s="112"/>
    </row>
    <row r="1490" spans="1:20" ht="23.4" x14ac:dyDescent="0.25">
      <c r="A1490" s="57">
        <v>1489</v>
      </c>
      <c r="B1490" s="110"/>
      <c r="T1490" s="112"/>
    </row>
    <row r="1491" spans="1:20" ht="23.4" x14ac:dyDescent="0.25">
      <c r="A1491" s="57">
        <v>1490</v>
      </c>
      <c r="B1491" s="110"/>
      <c r="T1491" s="112"/>
    </row>
    <row r="1492" spans="1:20" ht="26.4" x14ac:dyDescent="0.25">
      <c r="A1492" s="57">
        <v>1491</v>
      </c>
      <c r="B1492" s="110"/>
      <c r="T1492" s="109"/>
    </row>
    <row r="1493" spans="1:20" ht="23.4" x14ac:dyDescent="0.25">
      <c r="A1493" s="57">
        <v>1492</v>
      </c>
      <c r="B1493" s="110"/>
      <c r="T1493" s="112"/>
    </row>
    <row r="1494" spans="1:20" ht="23.4" x14ac:dyDescent="0.25">
      <c r="A1494" s="57">
        <v>1493</v>
      </c>
      <c r="B1494" s="110"/>
      <c r="T1494" s="112"/>
    </row>
    <row r="1495" spans="1:20" ht="23.4" x14ac:dyDescent="0.25">
      <c r="A1495" s="57">
        <v>1494</v>
      </c>
      <c r="B1495" s="110"/>
      <c r="T1495" s="112"/>
    </row>
    <row r="1496" spans="1:20" ht="23.4" x14ac:dyDescent="0.25">
      <c r="A1496" s="57">
        <v>1495</v>
      </c>
      <c r="B1496" s="110"/>
      <c r="T1496" s="112"/>
    </row>
    <row r="1497" spans="1:20" ht="23.4" x14ac:dyDescent="0.25">
      <c r="A1497" s="57">
        <v>1496</v>
      </c>
      <c r="B1497" s="110"/>
      <c r="T1497" s="112"/>
    </row>
    <row r="1498" spans="1:20" ht="23.4" x14ac:dyDescent="0.25">
      <c r="A1498" s="57">
        <v>1497</v>
      </c>
      <c r="B1498" s="110"/>
      <c r="T1498" s="112"/>
    </row>
    <row r="1499" spans="1:20" ht="26.4" x14ac:dyDescent="0.25">
      <c r="A1499" s="57">
        <v>1498</v>
      </c>
      <c r="B1499" s="110"/>
      <c r="T1499" s="109"/>
    </row>
    <row r="1500" spans="1:20" ht="23.4" x14ac:dyDescent="0.25">
      <c r="A1500" s="57">
        <v>1499</v>
      </c>
      <c r="B1500" s="110"/>
      <c r="T1500" s="112"/>
    </row>
    <row r="1501" spans="1:20" ht="23.4" x14ac:dyDescent="0.25">
      <c r="A1501" s="57">
        <v>1500</v>
      </c>
      <c r="B1501" s="110"/>
      <c r="T1501" s="112"/>
    </row>
    <row r="1502" spans="1:20" ht="23.4" x14ac:dyDescent="0.25">
      <c r="A1502" s="57">
        <v>1501</v>
      </c>
      <c r="B1502" s="110"/>
      <c r="T1502" s="112"/>
    </row>
    <row r="1503" spans="1:20" ht="23.4" x14ac:dyDescent="0.25">
      <c r="A1503" s="57">
        <v>1502</v>
      </c>
      <c r="B1503" s="110"/>
      <c r="T1503" s="112"/>
    </row>
    <row r="1504" spans="1:20" ht="23.4" x14ac:dyDescent="0.25">
      <c r="A1504" s="57">
        <v>1503</v>
      </c>
      <c r="B1504" s="110"/>
      <c r="T1504" s="112"/>
    </row>
    <row r="1505" spans="1:20" ht="23.4" x14ac:dyDescent="0.25">
      <c r="A1505" s="57">
        <v>1504</v>
      </c>
      <c r="B1505" s="110"/>
      <c r="T1505" s="112"/>
    </row>
    <row r="1506" spans="1:20" ht="26.4" x14ac:dyDescent="0.25">
      <c r="A1506" s="57">
        <v>1505</v>
      </c>
      <c r="B1506" s="110"/>
      <c r="T1506" s="109"/>
    </row>
    <row r="1507" spans="1:20" ht="23.4" x14ac:dyDescent="0.25">
      <c r="A1507" s="57">
        <v>1506</v>
      </c>
      <c r="B1507" s="110"/>
      <c r="T1507" s="112"/>
    </row>
    <row r="1508" spans="1:20" ht="23.4" x14ac:dyDescent="0.25">
      <c r="A1508" s="57">
        <v>1507</v>
      </c>
      <c r="B1508" s="110"/>
      <c r="T1508" s="112"/>
    </row>
    <row r="1509" spans="1:20" ht="23.4" x14ac:dyDescent="0.25">
      <c r="A1509" s="57">
        <v>1508</v>
      </c>
      <c r="B1509" s="110"/>
      <c r="T1509" s="112"/>
    </row>
    <row r="1510" spans="1:20" ht="23.4" x14ac:dyDescent="0.25">
      <c r="A1510" s="57">
        <v>1509</v>
      </c>
      <c r="B1510" s="110"/>
      <c r="T1510" s="112"/>
    </row>
    <row r="1511" spans="1:20" ht="23.4" x14ac:dyDescent="0.25">
      <c r="A1511" s="57">
        <v>1510</v>
      </c>
      <c r="B1511" s="110"/>
      <c r="T1511" s="112"/>
    </row>
    <row r="1512" spans="1:20" ht="23.4" x14ac:dyDescent="0.25">
      <c r="A1512" s="57">
        <v>1511</v>
      </c>
      <c r="B1512" s="110"/>
      <c r="T1512" s="112"/>
    </row>
    <row r="1513" spans="1:20" ht="26.4" x14ac:dyDescent="0.25">
      <c r="A1513" s="57">
        <v>1512</v>
      </c>
      <c r="B1513" s="110"/>
      <c r="T1513" s="109"/>
    </row>
    <row r="1514" spans="1:20" ht="23.4" x14ac:dyDescent="0.25">
      <c r="A1514" s="57">
        <v>1513</v>
      </c>
      <c r="B1514" s="110"/>
      <c r="T1514" s="112"/>
    </row>
    <row r="1515" spans="1:20" ht="23.4" x14ac:dyDescent="0.25">
      <c r="A1515" s="57">
        <v>1514</v>
      </c>
      <c r="B1515" s="110"/>
      <c r="T1515" s="112"/>
    </row>
    <row r="1516" spans="1:20" ht="23.4" x14ac:dyDescent="0.25">
      <c r="A1516" s="57">
        <v>1515</v>
      </c>
      <c r="B1516" s="110"/>
      <c r="T1516" s="112"/>
    </row>
    <row r="1517" spans="1:20" ht="23.4" x14ac:dyDescent="0.25">
      <c r="A1517" s="57">
        <v>1516</v>
      </c>
      <c r="B1517" s="110"/>
      <c r="T1517" s="112"/>
    </row>
    <row r="1518" spans="1:20" ht="23.4" x14ac:dyDescent="0.25">
      <c r="A1518" s="57">
        <v>1517</v>
      </c>
      <c r="B1518" s="110"/>
      <c r="T1518" s="112"/>
    </row>
    <row r="1519" spans="1:20" ht="23.4" x14ac:dyDescent="0.25">
      <c r="A1519" s="57">
        <v>1518</v>
      </c>
      <c r="B1519" s="110"/>
      <c r="T1519" s="112"/>
    </row>
    <row r="1520" spans="1:20" ht="26.4" x14ac:dyDescent="0.25">
      <c r="A1520" s="57">
        <v>1519</v>
      </c>
      <c r="B1520" s="110"/>
      <c r="T1520" s="109"/>
    </row>
    <row r="1521" spans="1:20" ht="23.4" x14ac:dyDescent="0.25">
      <c r="A1521" s="57">
        <v>1520</v>
      </c>
      <c r="B1521" s="110"/>
      <c r="T1521" s="112"/>
    </row>
    <row r="1522" spans="1:20" ht="23.4" x14ac:dyDescent="0.25">
      <c r="A1522" s="57">
        <v>1521</v>
      </c>
      <c r="B1522" s="110"/>
      <c r="T1522" s="112"/>
    </row>
    <row r="1523" spans="1:20" ht="23.4" x14ac:dyDescent="0.25">
      <c r="A1523" s="57">
        <v>1522</v>
      </c>
      <c r="B1523" s="110"/>
      <c r="T1523" s="112"/>
    </row>
    <row r="1524" spans="1:20" ht="23.4" x14ac:dyDescent="0.25">
      <c r="A1524" s="57">
        <v>1523</v>
      </c>
      <c r="B1524" s="110"/>
      <c r="T1524" s="112"/>
    </row>
    <row r="1525" spans="1:20" ht="23.4" x14ac:dyDescent="0.25">
      <c r="A1525" s="57">
        <v>1524</v>
      </c>
      <c r="B1525" s="110"/>
      <c r="T1525" s="112"/>
    </row>
    <row r="1526" spans="1:20" ht="23.4" x14ac:dyDescent="0.25">
      <c r="A1526" s="57">
        <v>1525</v>
      </c>
      <c r="B1526" s="110"/>
      <c r="T1526" s="112"/>
    </row>
    <row r="1527" spans="1:20" ht="26.4" x14ac:dyDescent="0.25">
      <c r="A1527" s="57">
        <v>1526</v>
      </c>
      <c r="B1527" s="110"/>
      <c r="T1527" s="109"/>
    </row>
    <row r="1528" spans="1:20" ht="23.4" x14ac:dyDescent="0.25">
      <c r="A1528" s="57">
        <v>1527</v>
      </c>
      <c r="B1528" s="110"/>
      <c r="T1528" s="112"/>
    </row>
    <row r="1529" spans="1:20" ht="23.4" x14ac:dyDescent="0.25">
      <c r="A1529" s="57">
        <v>1528</v>
      </c>
      <c r="B1529" s="110"/>
      <c r="T1529" s="112"/>
    </row>
    <row r="1530" spans="1:20" ht="23.4" x14ac:dyDescent="0.25">
      <c r="A1530" s="57">
        <v>1529</v>
      </c>
      <c r="B1530" s="110"/>
      <c r="T1530" s="112"/>
    </row>
    <row r="1531" spans="1:20" ht="23.4" x14ac:dyDescent="0.25">
      <c r="A1531" s="57">
        <v>1530</v>
      </c>
      <c r="B1531" s="110"/>
      <c r="T1531" s="112"/>
    </row>
    <row r="1532" spans="1:20" ht="23.4" x14ac:dyDescent="0.25">
      <c r="A1532" s="57">
        <v>1531</v>
      </c>
      <c r="B1532" s="110"/>
      <c r="T1532" s="112"/>
    </row>
    <row r="1533" spans="1:20" ht="23.4" x14ac:dyDescent="0.25">
      <c r="A1533" s="57">
        <v>1532</v>
      </c>
      <c r="B1533" s="110"/>
      <c r="T1533" s="112"/>
    </row>
    <row r="1534" spans="1:20" ht="26.4" x14ac:dyDescent="0.25">
      <c r="A1534" s="57">
        <v>1533</v>
      </c>
      <c r="B1534" s="110"/>
      <c r="T1534" s="109"/>
    </row>
    <row r="1535" spans="1:20" ht="23.4" x14ac:dyDescent="0.25">
      <c r="A1535" s="57">
        <v>1534</v>
      </c>
      <c r="B1535" s="110"/>
      <c r="T1535" s="112"/>
    </row>
    <row r="1536" spans="1:20" ht="23.4" x14ac:dyDescent="0.25">
      <c r="A1536" s="57">
        <v>1535</v>
      </c>
      <c r="B1536" s="110"/>
      <c r="T1536" s="112"/>
    </row>
    <row r="1537" spans="1:20" ht="23.4" x14ac:dyDescent="0.25">
      <c r="A1537" s="57">
        <v>1536</v>
      </c>
      <c r="B1537" s="110"/>
      <c r="T1537" s="112"/>
    </row>
    <row r="1538" spans="1:20" ht="23.4" x14ac:dyDescent="0.25">
      <c r="A1538" s="57">
        <v>1537</v>
      </c>
      <c r="B1538" s="110"/>
      <c r="T1538" s="112"/>
    </row>
    <row r="1539" spans="1:20" ht="23.4" x14ac:dyDescent="0.25">
      <c r="A1539" s="57">
        <v>1538</v>
      </c>
      <c r="B1539" s="110"/>
      <c r="T1539" s="112"/>
    </row>
    <row r="1540" spans="1:20" ht="23.4" x14ac:dyDescent="0.25">
      <c r="A1540" s="57">
        <v>1539</v>
      </c>
      <c r="B1540" s="110"/>
      <c r="T1540" s="112"/>
    </row>
    <row r="1541" spans="1:20" ht="26.4" x14ac:dyDescent="0.25">
      <c r="A1541" s="57">
        <v>1540</v>
      </c>
      <c r="B1541" s="110"/>
      <c r="T1541" s="109"/>
    </row>
    <row r="1542" spans="1:20" ht="23.4" x14ac:dyDescent="0.25">
      <c r="A1542" s="57">
        <v>1541</v>
      </c>
      <c r="B1542" s="110"/>
      <c r="T1542" s="112"/>
    </row>
    <row r="1543" spans="1:20" ht="23.4" x14ac:dyDescent="0.25">
      <c r="A1543" s="57">
        <v>1542</v>
      </c>
      <c r="B1543" s="110"/>
      <c r="T1543" s="112"/>
    </row>
    <row r="1544" spans="1:20" ht="23.4" x14ac:dyDescent="0.25">
      <c r="A1544" s="57">
        <v>1543</v>
      </c>
      <c r="B1544" s="110"/>
      <c r="T1544" s="112"/>
    </row>
    <row r="1545" spans="1:20" ht="23.4" x14ac:dyDescent="0.25">
      <c r="A1545" s="57">
        <v>1544</v>
      </c>
      <c r="B1545" s="110"/>
      <c r="T1545" s="112"/>
    </row>
    <row r="1546" spans="1:20" ht="23.4" x14ac:dyDescent="0.25">
      <c r="A1546" s="57">
        <v>1545</v>
      </c>
      <c r="B1546" s="110"/>
      <c r="T1546" s="112"/>
    </row>
    <row r="1547" spans="1:20" ht="23.4" x14ac:dyDescent="0.25">
      <c r="A1547" s="57">
        <v>1546</v>
      </c>
      <c r="B1547" s="110"/>
      <c r="T1547" s="112"/>
    </row>
    <row r="1548" spans="1:20" ht="26.4" x14ac:dyDescent="0.25">
      <c r="A1548" s="57">
        <v>1547</v>
      </c>
      <c r="B1548" s="110"/>
      <c r="T1548" s="109"/>
    </row>
    <row r="1549" spans="1:20" ht="23.4" x14ac:dyDescent="0.25">
      <c r="A1549" s="57">
        <v>1548</v>
      </c>
      <c r="B1549" s="110"/>
      <c r="T1549" s="112"/>
    </row>
    <row r="1550" spans="1:20" ht="23.4" x14ac:dyDescent="0.25">
      <c r="A1550" s="57">
        <v>1549</v>
      </c>
      <c r="B1550" s="110"/>
      <c r="T1550" s="112"/>
    </row>
    <row r="1551" spans="1:20" ht="23.4" x14ac:dyDescent="0.25">
      <c r="A1551" s="57">
        <v>1550</v>
      </c>
      <c r="B1551" s="110"/>
      <c r="T1551" s="112"/>
    </row>
    <row r="1552" spans="1:20" ht="23.4" x14ac:dyDescent="0.25">
      <c r="A1552" s="57">
        <v>1551</v>
      </c>
      <c r="B1552" s="110"/>
      <c r="T1552" s="112"/>
    </row>
    <row r="1553" spans="1:20" ht="23.4" x14ac:dyDescent="0.25">
      <c r="A1553" s="57">
        <v>1552</v>
      </c>
      <c r="B1553" s="110"/>
      <c r="T1553" s="112"/>
    </row>
    <row r="1554" spans="1:20" ht="23.4" x14ac:dyDescent="0.25">
      <c r="A1554" s="57">
        <v>1553</v>
      </c>
      <c r="B1554" s="110"/>
      <c r="T1554" s="112"/>
    </row>
    <row r="1555" spans="1:20" ht="26.4" x14ac:dyDescent="0.25">
      <c r="A1555" s="57">
        <v>1554</v>
      </c>
      <c r="B1555" s="110"/>
      <c r="T1555" s="109"/>
    </row>
    <row r="1556" spans="1:20" ht="23.4" x14ac:dyDescent="0.25">
      <c r="A1556" s="57">
        <v>1555</v>
      </c>
      <c r="B1556" s="110"/>
      <c r="T1556" s="112"/>
    </row>
    <row r="1557" spans="1:20" ht="23.4" x14ac:dyDescent="0.25">
      <c r="A1557" s="57">
        <v>1556</v>
      </c>
      <c r="B1557" s="110"/>
      <c r="T1557" s="112"/>
    </row>
    <row r="1558" spans="1:20" ht="23.4" x14ac:dyDescent="0.25">
      <c r="A1558" s="57">
        <v>1557</v>
      </c>
      <c r="B1558" s="110"/>
      <c r="T1558" s="112"/>
    </row>
    <row r="1559" spans="1:20" ht="23.4" x14ac:dyDescent="0.25">
      <c r="A1559" s="57">
        <v>1558</v>
      </c>
      <c r="B1559" s="110"/>
      <c r="T1559" s="112"/>
    </row>
    <row r="1560" spans="1:20" ht="23.4" x14ac:dyDescent="0.25">
      <c r="A1560" s="57">
        <v>1559</v>
      </c>
      <c r="B1560" s="110"/>
      <c r="T1560" s="112"/>
    </row>
    <row r="1561" spans="1:20" ht="23.4" x14ac:dyDescent="0.25">
      <c r="A1561" s="57">
        <v>1560</v>
      </c>
      <c r="B1561" s="110"/>
      <c r="T1561" s="112"/>
    </row>
    <row r="1562" spans="1:20" ht="26.4" x14ac:dyDescent="0.25">
      <c r="A1562" s="57">
        <v>1561</v>
      </c>
      <c r="B1562" s="110"/>
      <c r="T1562" s="109"/>
    </row>
    <row r="1563" spans="1:20" ht="23.4" x14ac:dyDescent="0.25">
      <c r="A1563" s="57">
        <v>1562</v>
      </c>
      <c r="B1563" s="110"/>
      <c r="T1563" s="112"/>
    </row>
    <row r="1564" spans="1:20" ht="23.4" x14ac:dyDescent="0.25">
      <c r="A1564" s="57">
        <v>1563</v>
      </c>
      <c r="B1564" s="110"/>
      <c r="T1564" s="112"/>
    </row>
    <row r="1565" spans="1:20" ht="23.4" x14ac:dyDescent="0.25">
      <c r="A1565" s="57">
        <v>1564</v>
      </c>
      <c r="B1565" s="110"/>
      <c r="T1565" s="112"/>
    </row>
    <row r="1566" spans="1:20" ht="23.4" x14ac:dyDescent="0.25">
      <c r="A1566" s="57">
        <v>1565</v>
      </c>
      <c r="B1566" s="110"/>
      <c r="T1566" s="112"/>
    </row>
    <row r="1567" spans="1:20" ht="23.4" x14ac:dyDescent="0.25">
      <c r="A1567" s="57">
        <v>1566</v>
      </c>
      <c r="B1567" s="110"/>
      <c r="T1567" s="112"/>
    </row>
    <row r="1568" spans="1:20" ht="23.4" x14ac:dyDescent="0.25">
      <c r="A1568" s="57">
        <v>1567</v>
      </c>
      <c r="B1568" s="110"/>
      <c r="T1568" s="112"/>
    </row>
    <row r="1569" spans="1:20" ht="26.4" x14ac:dyDescent="0.25">
      <c r="A1569" s="57">
        <v>1568</v>
      </c>
      <c r="B1569" s="110"/>
      <c r="T1569" s="109"/>
    </row>
    <row r="1570" spans="1:20" ht="23.4" x14ac:dyDescent="0.25">
      <c r="A1570" s="57">
        <v>1569</v>
      </c>
      <c r="B1570" s="110"/>
      <c r="T1570" s="112"/>
    </row>
    <row r="1571" spans="1:20" ht="23.4" x14ac:dyDescent="0.25">
      <c r="A1571" s="57">
        <v>1570</v>
      </c>
      <c r="B1571" s="110"/>
      <c r="T1571" s="112"/>
    </row>
    <row r="1572" spans="1:20" ht="23.4" x14ac:dyDescent="0.25">
      <c r="A1572" s="57">
        <v>1571</v>
      </c>
      <c r="B1572" s="110"/>
      <c r="T1572" s="112"/>
    </row>
    <row r="1573" spans="1:20" ht="23.4" x14ac:dyDescent="0.25">
      <c r="A1573" s="57">
        <v>1572</v>
      </c>
      <c r="B1573" s="110"/>
      <c r="T1573" s="112"/>
    </row>
    <row r="1574" spans="1:20" ht="23.4" x14ac:dyDescent="0.25">
      <c r="A1574" s="57">
        <v>1573</v>
      </c>
      <c r="B1574" s="110"/>
      <c r="T1574" s="112"/>
    </row>
    <row r="1575" spans="1:20" ht="23.4" x14ac:dyDescent="0.25">
      <c r="A1575" s="57">
        <v>1574</v>
      </c>
      <c r="B1575" s="110"/>
      <c r="T1575" s="112"/>
    </row>
    <row r="1576" spans="1:20" ht="26.4" x14ac:dyDescent="0.25">
      <c r="A1576" s="57">
        <v>1575</v>
      </c>
      <c r="B1576" s="110"/>
      <c r="T1576" s="109"/>
    </row>
    <row r="1577" spans="1:20" ht="23.4" x14ac:dyDescent="0.25">
      <c r="A1577" s="57">
        <v>1576</v>
      </c>
      <c r="B1577" s="110"/>
      <c r="T1577" s="112"/>
    </row>
    <row r="1578" spans="1:20" ht="23.4" x14ac:dyDescent="0.25">
      <c r="A1578" s="57">
        <v>1577</v>
      </c>
      <c r="B1578" s="110"/>
      <c r="T1578" s="112"/>
    </row>
    <row r="1579" spans="1:20" ht="23.4" x14ac:dyDescent="0.25">
      <c r="A1579" s="57">
        <v>1578</v>
      </c>
      <c r="B1579" s="110"/>
      <c r="T1579" s="112"/>
    </row>
    <row r="1580" spans="1:20" ht="23.4" x14ac:dyDescent="0.25">
      <c r="A1580" s="57">
        <v>1579</v>
      </c>
      <c r="B1580" s="110"/>
      <c r="T1580" s="112"/>
    </row>
    <row r="1581" spans="1:20" ht="23.4" x14ac:dyDescent="0.25">
      <c r="A1581" s="57">
        <v>1580</v>
      </c>
      <c r="B1581" s="110"/>
      <c r="T1581" s="112"/>
    </row>
    <row r="1582" spans="1:20" ht="23.4" x14ac:dyDescent="0.25">
      <c r="A1582" s="57">
        <v>1581</v>
      </c>
      <c r="B1582" s="110"/>
      <c r="T1582" s="112"/>
    </row>
    <row r="1583" spans="1:20" ht="26.4" x14ac:dyDescent="0.25">
      <c r="A1583" s="57">
        <v>1582</v>
      </c>
      <c r="B1583" s="110"/>
      <c r="T1583" s="109"/>
    </row>
    <row r="1584" spans="1:20" ht="23.4" x14ac:dyDescent="0.25">
      <c r="A1584" s="57">
        <v>1583</v>
      </c>
      <c r="B1584" s="110"/>
      <c r="T1584" s="112"/>
    </row>
    <row r="1585" spans="1:20" ht="23.4" x14ac:dyDescent="0.25">
      <c r="A1585" s="57">
        <v>1584</v>
      </c>
      <c r="B1585" s="110"/>
      <c r="T1585" s="112"/>
    </row>
    <row r="1586" spans="1:20" ht="23.4" x14ac:dyDescent="0.25">
      <c r="A1586" s="57">
        <v>1585</v>
      </c>
      <c r="B1586" s="110"/>
      <c r="T1586" s="112"/>
    </row>
    <row r="1587" spans="1:20" ht="23.4" x14ac:dyDescent="0.25">
      <c r="A1587" s="57">
        <v>1586</v>
      </c>
      <c r="B1587" s="110"/>
      <c r="T1587" s="112"/>
    </row>
    <row r="1588" spans="1:20" ht="23.4" x14ac:dyDescent="0.25">
      <c r="A1588" s="57">
        <v>1587</v>
      </c>
      <c r="B1588" s="110"/>
      <c r="T1588" s="112"/>
    </row>
    <row r="1589" spans="1:20" ht="23.4" x14ac:dyDescent="0.25">
      <c r="A1589" s="57">
        <v>1588</v>
      </c>
      <c r="B1589" s="110"/>
      <c r="T1589" s="112"/>
    </row>
    <row r="1590" spans="1:20" ht="26.4" x14ac:dyDescent="0.25">
      <c r="A1590" s="57">
        <v>1589</v>
      </c>
      <c r="B1590" s="110"/>
      <c r="T1590" s="109"/>
    </row>
    <row r="1591" spans="1:20" ht="23.4" x14ac:dyDescent="0.25">
      <c r="A1591" s="57">
        <v>1590</v>
      </c>
      <c r="B1591" s="110"/>
      <c r="T1591" s="112"/>
    </row>
    <row r="1592" spans="1:20" ht="23.4" x14ac:dyDescent="0.25">
      <c r="A1592" s="57">
        <v>1591</v>
      </c>
      <c r="B1592" s="110"/>
      <c r="T1592" s="112"/>
    </row>
    <row r="1593" spans="1:20" ht="23.4" x14ac:dyDescent="0.25">
      <c r="A1593" s="57">
        <v>1592</v>
      </c>
      <c r="B1593" s="110"/>
      <c r="T1593" s="112"/>
    </row>
    <row r="1594" spans="1:20" ht="23.4" x14ac:dyDescent="0.25">
      <c r="A1594" s="57">
        <v>1593</v>
      </c>
      <c r="B1594" s="110"/>
      <c r="T1594" s="112"/>
    </row>
    <row r="1595" spans="1:20" ht="23.4" x14ac:dyDescent="0.25">
      <c r="A1595" s="57">
        <v>1594</v>
      </c>
      <c r="B1595" s="110"/>
      <c r="T1595" s="112"/>
    </row>
    <row r="1596" spans="1:20" ht="23.4" x14ac:dyDescent="0.25">
      <c r="A1596" s="57">
        <v>1595</v>
      </c>
      <c r="B1596" s="110"/>
      <c r="T1596" s="112"/>
    </row>
    <row r="1597" spans="1:20" ht="26.4" x14ac:dyDescent="0.25">
      <c r="A1597" s="57">
        <v>1596</v>
      </c>
      <c r="B1597" s="110"/>
      <c r="T1597" s="109"/>
    </row>
    <row r="1598" spans="1:20" ht="23.4" x14ac:dyDescent="0.25">
      <c r="A1598" s="57">
        <v>1597</v>
      </c>
      <c r="B1598" s="110"/>
      <c r="T1598" s="112"/>
    </row>
    <row r="1599" spans="1:20" ht="23.4" x14ac:dyDescent="0.25">
      <c r="A1599" s="57">
        <v>1598</v>
      </c>
      <c r="B1599" s="110"/>
      <c r="T1599" s="112"/>
    </row>
    <row r="1600" spans="1:20" ht="23.4" x14ac:dyDescent="0.25">
      <c r="A1600" s="57">
        <v>1599</v>
      </c>
      <c r="B1600" s="110"/>
      <c r="T1600" s="112"/>
    </row>
    <row r="1601" spans="1:20" ht="23.4" x14ac:dyDescent="0.25">
      <c r="A1601" s="57">
        <v>1600</v>
      </c>
      <c r="B1601" s="110"/>
      <c r="T1601" s="112"/>
    </row>
    <row r="1602" spans="1:20" ht="23.4" x14ac:dyDescent="0.25">
      <c r="A1602" s="57">
        <v>1601</v>
      </c>
      <c r="B1602" s="110"/>
      <c r="T1602" s="112"/>
    </row>
    <row r="1603" spans="1:20" ht="23.4" x14ac:dyDescent="0.25">
      <c r="A1603" s="57">
        <v>1602</v>
      </c>
      <c r="B1603" s="110"/>
      <c r="T1603" s="112"/>
    </row>
    <row r="1604" spans="1:20" ht="26.4" x14ac:dyDescent="0.25">
      <c r="A1604" s="57">
        <v>1603</v>
      </c>
      <c r="B1604" s="110"/>
      <c r="T1604" s="109"/>
    </row>
    <row r="1605" spans="1:20" ht="23.4" x14ac:dyDescent="0.25">
      <c r="A1605" s="57">
        <v>1604</v>
      </c>
      <c r="B1605" s="110"/>
      <c r="T1605" s="112"/>
    </row>
    <row r="1606" spans="1:20" ht="23.4" x14ac:dyDescent="0.25">
      <c r="A1606" s="57">
        <v>1605</v>
      </c>
      <c r="B1606" s="110"/>
      <c r="T1606" s="112"/>
    </row>
    <row r="1607" spans="1:20" ht="23.4" x14ac:dyDescent="0.25">
      <c r="A1607" s="57">
        <v>1606</v>
      </c>
      <c r="B1607" s="110"/>
      <c r="T1607" s="112"/>
    </row>
    <row r="1608" spans="1:20" ht="23.4" x14ac:dyDescent="0.25">
      <c r="A1608" s="57">
        <v>1607</v>
      </c>
      <c r="B1608" s="110"/>
      <c r="T1608" s="112"/>
    </row>
    <row r="1609" spans="1:20" ht="23.4" x14ac:dyDescent="0.25">
      <c r="A1609" s="57">
        <v>1608</v>
      </c>
      <c r="B1609" s="110"/>
      <c r="T1609" s="112"/>
    </row>
    <row r="1610" spans="1:20" ht="23.4" x14ac:dyDescent="0.25">
      <c r="A1610" s="57">
        <v>1609</v>
      </c>
      <c r="B1610" s="110"/>
      <c r="T1610" s="112"/>
    </row>
    <row r="1611" spans="1:20" ht="26.4" x14ac:dyDescent="0.25">
      <c r="A1611" s="57">
        <v>1610</v>
      </c>
      <c r="B1611" s="110"/>
      <c r="T1611" s="109"/>
    </row>
    <row r="1612" spans="1:20" ht="23.4" x14ac:dyDescent="0.25">
      <c r="A1612" s="57">
        <v>1611</v>
      </c>
      <c r="B1612" s="110"/>
      <c r="T1612" s="112"/>
    </row>
    <row r="1613" spans="1:20" ht="23.4" x14ac:dyDescent="0.25">
      <c r="A1613" s="57">
        <v>1612</v>
      </c>
      <c r="B1613" s="110"/>
      <c r="T1613" s="112"/>
    </row>
    <row r="1614" spans="1:20" ht="23.4" x14ac:dyDescent="0.25">
      <c r="A1614" s="57">
        <v>1613</v>
      </c>
      <c r="B1614" s="110"/>
      <c r="T1614" s="112"/>
    </row>
    <row r="1615" spans="1:20" ht="23.4" x14ac:dyDescent="0.25">
      <c r="A1615" s="57">
        <v>1614</v>
      </c>
      <c r="B1615" s="110"/>
      <c r="T1615" s="112"/>
    </row>
    <row r="1616" spans="1:20" ht="23.4" x14ac:dyDescent="0.25">
      <c r="A1616" s="57">
        <v>1615</v>
      </c>
      <c r="B1616" s="110"/>
      <c r="T1616" s="112"/>
    </row>
    <row r="1617" spans="1:20" ht="23.4" x14ac:dyDescent="0.25">
      <c r="A1617" s="57">
        <v>1616</v>
      </c>
      <c r="B1617" s="110"/>
      <c r="T1617" s="112"/>
    </row>
    <row r="1618" spans="1:20" ht="26.4" x14ac:dyDescent="0.25">
      <c r="A1618" s="57">
        <v>1617</v>
      </c>
      <c r="B1618" s="110"/>
      <c r="T1618" s="109"/>
    </row>
    <row r="1619" spans="1:20" ht="23.4" x14ac:dyDescent="0.25">
      <c r="A1619" s="57">
        <v>1618</v>
      </c>
      <c r="B1619" s="110"/>
      <c r="T1619" s="112"/>
    </row>
    <row r="1620" spans="1:20" ht="23.4" x14ac:dyDescent="0.25">
      <c r="A1620" s="57">
        <v>1619</v>
      </c>
      <c r="B1620" s="110"/>
      <c r="T1620" s="112"/>
    </row>
    <row r="1621" spans="1:20" ht="23.4" x14ac:dyDescent="0.25">
      <c r="A1621" s="57">
        <v>1620</v>
      </c>
      <c r="B1621" s="110"/>
      <c r="T1621" s="112"/>
    </row>
    <row r="1622" spans="1:20" ht="23.4" x14ac:dyDescent="0.25">
      <c r="A1622" s="57">
        <v>1621</v>
      </c>
      <c r="B1622" s="110"/>
      <c r="T1622" s="112"/>
    </row>
    <row r="1623" spans="1:20" ht="23.4" x14ac:dyDescent="0.25">
      <c r="A1623" s="57">
        <v>1622</v>
      </c>
      <c r="B1623" s="110"/>
      <c r="T1623" s="112"/>
    </row>
    <row r="1624" spans="1:20" ht="23.4" x14ac:dyDescent="0.25">
      <c r="A1624" s="57">
        <v>1623</v>
      </c>
      <c r="B1624" s="110"/>
      <c r="T1624" s="112"/>
    </row>
    <row r="1625" spans="1:20" ht="26.4" x14ac:dyDescent="0.25">
      <c r="A1625" s="57">
        <v>1624</v>
      </c>
      <c r="B1625" s="110"/>
      <c r="T1625" s="109"/>
    </row>
    <row r="1626" spans="1:20" ht="23.4" x14ac:dyDescent="0.25">
      <c r="A1626" s="57">
        <v>1625</v>
      </c>
      <c r="B1626" s="110"/>
      <c r="T1626" s="112"/>
    </row>
    <row r="1627" spans="1:20" ht="23.4" x14ac:dyDescent="0.25">
      <c r="A1627" s="57">
        <v>1626</v>
      </c>
      <c r="B1627" s="110"/>
      <c r="T1627" s="112"/>
    </row>
    <row r="1628" spans="1:20" ht="23.4" x14ac:dyDescent="0.25">
      <c r="A1628" s="57">
        <v>1627</v>
      </c>
      <c r="B1628" s="110"/>
      <c r="T1628" s="112"/>
    </row>
    <row r="1629" spans="1:20" ht="23.4" x14ac:dyDescent="0.25">
      <c r="A1629" s="57">
        <v>1628</v>
      </c>
      <c r="B1629" s="110"/>
      <c r="T1629" s="112"/>
    </row>
    <row r="1630" spans="1:20" ht="23.4" x14ac:dyDescent="0.25">
      <c r="A1630" s="57">
        <v>1629</v>
      </c>
      <c r="B1630" s="110"/>
      <c r="T1630" s="112"/>
    </row>
    <row r="1631" spans="1:20" ht="23.4" x14ac:dyDescent="0.25">
      <c r="A1631" s="57">
        <v>1630</v>
      </c>
      <c r="B1631" s="110"/>
      <c r="T1631" s="112"/>
    </row>
    <row r="1632" spans="1:20" ht="26.4" x14ac:dyDescent="0.25">
      <c r="A1632" s="57">
        <v>1631</v>
      </c>
      <c r="B1632" s="110"/>
      <c r="T1632" s="109"/>
    </row>
    <row r="1633" spans="1:20" ht="23.4" x14ac:dyDescent="0.25">
      <c r="A1633" s="57">
        <v>1632</v>
      </c>
      <c r="B1633" s="110"/>
      <c r="T1633" s="112"/>
    </row>
    <row r="1634" spans="1:20" ht="23.4" x14ac:dyDescent="0.25">
      <c r="A1634" s="57">
        <v>1633</v>
      </c>
      <c r="B1634" s="110"/>
      <c r="T1634" s="112"/>
    </row>
    <row r="1635" spans="1:20" ht="23.4" x14ac:dyDescent="0.25">
      <c r="A1635" s="57">
        <v>1634</v>
      </c>
      <c r="B1635" s="110"/>
      <c r="T1635" s="112"/>
    </row>
    <row r="1636" spans="1:20" ht="23.4" x14ac:dyDescent="0.25">
      <c r="A1636" s="57">
        <v>1635</v>
      </c>
      <c r="B1636" s="110"/>
      <c r="T1636" s="112"/>
    </row>
    <row r="1637" spans="1:20" ht="23.4" x14ac:dyDescent="0.25">
      <c r="A1637" s="57">
        <v>1636</v>
      </c>
      <c r="B1637" s="110"/>
      <c r="T1637" s="112"/>
    </row>
    <row r="1638" spans="1:20" ht="23.4" x14ac:dyDescent="0.25">
      <c r="A1638" s="57">
        <v>1637</v>
      </c>
      <c r="B1638" s="110"/>
      <c r="T1638" s="112"/>
    </row>
    <row r="1639" spans="1:20" ht="26.4" x14ac:dyDescent="0.25">
      <c r="A1639" s="57">
        <v>1638</v>
      </c>
      <c r="B1639" s="110"/>
      <c r="T1639" s="109"/>
    </row>
    <row r="1640" spans="1:20" ht="23.4" x14ac:dyDescent="0.25">
      <c r="A1640" s="57">
        <v>1639</v>
      </c>
      <c r="B1640" s="110"/>
      <c r="T1640" s="112"/>
    </row>
    <row r="1641" spans="1:20" ht="23.4" x14ac:dyDescent="0.25">
      <c r="A1641" s="57">
        <v>1640</v>
      </c>
      <c r="B1641" s="110"/>
      <c r="T1641" s="112"/>
    </row>
    <row r="1642" spans="1:20" ht="23.4" x14ac:dyDescent="0.25">
      <c r="A1642" s="57">
        <v>1641</v>
      </c>
      <c r="B1642" s="110"/>
      <c r="T1642" s="112"/>
    </row>
    <row r="1643" spans="1:20" ht="23.4" x14ac:dyDescent="0.25">
      <c r="A1643" s="57">
        <v>1642</v>
      </c>
      <c r="B1643" s="110"/>
      <c r="T1643" s="112"/>
    </row>
    <row r="1644" spans="1:20" ht="23.4" x14ac:dyDescent="0.25">
      <c r="A1644" s="57">
        <v>1643</v>
      </c>
      <c r="B1644" s="110"/>
      <c r="T1644" s="112"/>
    </row>
    <row r="1645" spans="1:20" ht="23.4" x14ac:dyDescent="0.25">
      <c r="A1645" s="57">
        <v>1644</v>
      </c>
      <c r="B1645" s="110"/>
      <c r="T1645" s="112"/>
    </row>
    <row r="1646" spans="1:20" ht="26.4" x14ac:dyDescent="0.25">
      <c r="A1646" s="57">
        <v>1645</v>
      </c>
      <c r="B1646" s="110"/>
      <c r="T1646" s="109"/>
    </row>
    <row r="1647" spans="1:20" ht="23.4" x14ac:dyDescent="0.25">
      <c r="A1647" s="57">
        <v>1646</v>
      </c>
      <c r="B1647" s="110"/>
      <c r="T1647" s="112"/>
    </row>
    <row r="1648" spans="1:20" ht="23.4" x14ac:dyDescent="0.25">
      <c r="A1648" s="57">
        <v>1647</v>
      </c>
      <c r="B1648" s="110"/>
      <c r="T1648" s="112"/>
    </row>
    <row r="1649" spans="1:20" ht="23.4" x14ac:dyDescent="0.25">
      <c r="A1649" s="57">
        <v>1648</v>
      </c>
      <c r="B1649" s="110"/>
      <c r="T1649" s="112"/>
    </row>
    <row r="1650" spans="1:20" ht="23.4" x14ac:dyDescent="0.25">
      <c r="A1650" s="57">
        <v>1649</v>
      </c>
      <c r="B1650" s="110"/>
      <c r="T1650" s="112"/>
    </row>
    <row r="1651" spans="1:20" ht="23.4" x14ac:dyDescent="0.25">
      <c r="A1651" s="57">
        <v>1650</v>
      </c>
      <c r="B1651" s="110"/>
      <c r="T1651" s="112"/>
    </row>
    <row r="1652" spans="1:20" ht="23.4" x14ac:dyDescent="0.25">
      <c r="A1652" s="57">
        <v>1651</v>
      </c>
      <c r="B1652" s="110"/>
      <c r="T1652" s="112"/>
    </row>
    <row r="1653" spans="1:20" ht="26.4" x14ac:dyDescent="0.25">
      <c r="A1653" s="57">
        <v>1652</v>
      </c>
      <c r="B1653" s="110"/>
      <c r="T1653" s="109"/>
    </row>
    <row r="1654" spans="1:20" ht="23.4" x14ac:dyDescent="0.25">
      <c r="A1654" s="57">
        <v>1653</v>
      </c>
      <c r="B1654" s="110"/>
      <c r="T1654" s="112"/>
    </row>
    <row r="1655" spans="1:20" ht="23.4" x14ac:dyDescent="0.25">
      <c r="A1655" s="57">
        <v>1654</v>
      </c>
      <c r="B1655" s="110"/>
      <c r="T1655" s="112"/>
    </row>
    <row r="1656" spans="1:20" ht="23.4" x14ac:dyDescent="0.25">
      <c r="A1656" s="57">
        <v>1655</v>
      </c>
      <c r="B1656" s="110"/>
      <c r="T1656" s="112"/>
    </row>
    <row r="1657" spans="1:20" ht="23.4" x14ac:dyDescent="0.25">
      <c r="A1657" s="57">
        <v>1656</v>
      </c>
      <c r="B1657" s="110"/>
      <c r="T1657" s="112"/>
    </row>
    <row r="1658" spans="1:20" ht="23.4" x14ac:dyDescent="0.25">
      <c r="A1658" s="57">
        <v>1657</v>
      </c>
      <c r="B1658" s="110"/>
      <c r="T1658" s="112"/>
    </row>
    <row r="1659" spans="1:20" ht="23.4" x14ac:dyDescent="0.25">
      <c r="A1659" s="57">
        <v>1658</v>
      </c>
      <c r="B1659" s="110"/>
      <c r="T1659" s="112"/>
    </row>
    <row r="1660" spans="1:20" ht="26.4" x14ac:dyDescent="0.25">
      <c r="A1660" s="57">
        <v>1659</v>
      </c>
      <c r="B1660" s="110"/>
      <c r="T1660" s="109"/>
    </row>
    <row r="1661" spans="1:20" ht="23.4" x14ac:dyDescent="0.25">
      <c r="A1661" s="57">
        <v>1660</v>
      </c>
      <c r="B1661" s="110"/>
      <c r="T1661" s="112"/>
    </row>
    <row r="1662" spans="1:20" ht="23.4" x14ac:dyDescent="0.25">
      <c r="A1662" s="57">
        <v>1661</v>
      </c>
      <c r="B1662" s="110"/>
      <c r="T1662" s="112"/>
    </row>
    <row r="1663" spans="1:20" ht="23.4" x14ac:dyDescent="0.25">
      <c r="A1663" s="57">
        <v>1662</v>
      </c>
      <c r="B1663" s="110"/>
      <c r="T1663" s="112"/>
    </row>
    <row r="1664" spans="1:20" ht="23.4" x14ac:dyDescent="0.25">
      <c r="A1664" s="57">
        <v>1663</v>
      </c>
      <c r="B1664" s="110"/>
      <c r="T1664" s="112"/>
    </row>
    <row r="1665" spans="1:20" ht="23.4" x14ac:dyDescent="0.25">
      <c r="A1665" s="57">
        <v>1664</v>
      </c>
      <c r="B1665" s="110"/>
      <c r="T1665" s="112"/>
    </row>
    <row r="1666" spans="1:20" ht="23.4" x14ac:dyDescent="0.25">
      <c r="A1666" s="57">
        <v>1665</v>
      </c>
      <c r="B1666" s="110"/>
      <c r="T1666" s="112"/>
    </row>
    <row r="1667" spans="1:20" ht="26.4" x14ac:dyDescent="0.25">
      <c r="A1667" s="57">
        <v>1666</v>
      </c>
      <c r="B1667" s="110"/>
      <c r="T1667" s="109"/>
    </row>
    <row r="1668" spans="1:20" ht="23.4" x14ac:dyDescent="0.25">
      <c r="A1668" s="57">
        <v>1667</v>
      </c>
      <c r="B1668" s="110"/>
      <c r="T1668" s="112"/>
    </row>
    <row r="1669" spans="1:20" ht="23.4" x14ac:dyDescent="0.25">
      <c r="A1669" s="57">
        <v>1668</v>
      </c>
      <c r="B1669" s="110"/>
      <c r="T1669" s="112"/>
    </row>
    <row r="1670" spans="1:20" ht="23.4" x14ac:dyDescent="0.25">
      <c r="A1670" s="57">
        <v>1669</v>
      </c>
      <c r="B1670" s="110"/>
      <c r="T1670" s="112"/>
    </row>
    <row r="1671" spans="1:20" ht="23.4" x14ac:dyDescent="0.25">
      <c r="A1671" s="57">
        <v>1670</v>
      </c>
      <c r="B1671" s="110"/>
      <c r="T1671" s="112"/>
    </row>
    <row r="1672" spans="1:20" ht="23.4" x14ac:dyDescent="0.25">
      <c r="A1672" s="57">
        <v>1671</v>
      </c>
      <c r="B1672" s="110"/>
      <c r="T1672" s="112"/>
    </row>
    <row r="1673" spans="1:20" ht="23.4" x14ac:dyDescent="0.25">
      <c r="A1673" s="57">
        <v>1672</v>
      </c>
      <c r="B1673" s="110"/>
      <c r="T1673" s="112"/>
    </row>
    <row r="1674" spans="1:20" ht="26.4" x14ac:dyDescent="0.25">
      <c r="A1674" s="57">
        <v>1673</v>
      </c>
      <c r="B1674" s="110"/>
      <c r="T1674" s="109"/>
    </row>
    <row r="1675" spans="1:20" ht="23.4" x14ac:dyDescent="0.25">
      <c r="A1675" s="57">
        <v>1674</v>
      </c>
      <c r="B1675" s="110"/>
      <c r="T1675" s="112"/>
    </row>
    <row r="1676" spans="1:20" ht="23.4" x14ac:dyDescent="0.25">
      <c r="A1676" s="57">
        <v>1675</v>
      </c>
      <c r="B1676" s="110"/>
      <c r="T1676" s="112"/>
    </row>
    <row r="1677" spans="1:20" ht="23.4" x14ac:dyDescent="0.25">
      <c r="A1677" s="57">
        <v>1676</v>
      </c>
      <c r="B1677" s="110"/>
      <c r="T1677" s="112"/>
    </row>
    <row r="1678" spans="1:20" ht="23.4" x14ac:dyDescent="0.25">
      <c r="A1678" s="57">
        <v>1677</v>
      </c>
      <c r="B1678" s="110"/>
      <c r="T1678" s="112"/>
    </row>
    <row r="1679" spans="1:20" ht="23.4" x14ac:dyDescent="0.25">
      <c r="A1679" s="57">
        <v>1678</v>
      </c>
      <c r="B1679" s="110"/>
      <c r="T1679" s="112"/>
    </row>
    <row r="1680" spans="1:20" ht="23.4" x14ac:dyDescent="0.25">
      <c r="A1680" s="57">
        <v>1679</v>
      </c>
      <c r="B1680" s="110"/>
      <c r="T1680" s="112"/>
    </row>
    <row r="1681" spans="1:20" ht="26.4" x14ac:dyDescent="0.25">
      <c r="A1681" s="57">
        <v>1680</v>
      </c>
      <c r="B1681" s="110"/>
      <c r="T1681" s="109"/>
    </row>
    <row r="1682" spans="1:20" ht="23.4" x14ac:dyDescent="0.25">
      <c r="A1682" s="57">
        <v>1681</v>
      </c>
      <c r="B1682" s="110"/>
      <c r="T1682" s="112"/>
    </row>
    <row r="1683" spans="1:20" ht="23.4" x14ac:dyDescent="0.25">
      <c r="A1683" s="57">
        <v>1682</v>
      </c>
      <c r="B1683" s="110"/>
      <c r="T1683" s="112"/>
    </row>
    <row r="1684" spans="1:20" ht="23.4" x14ac:dyDescent="0.25">
      <c r="A1684" s="57">
        <v>1683</v>
      </c>
      <c r="B1684" s="110"/>
      <c r="T1684" s="112"/>
    </row>
    <row r="1685" spans="1:20" ht="23.4" x14ac:dyDescent="0.25">
      <c r="A1685" s="57">
        <v>1684</v>
      </c>
      <c r="B1685" s="110"/>
      <c r="T1685" s="112"/>
    </row>
    <row r="1686" spans="1:20" ht="23.4" x14ac:dyDescent="0.25">
      <c r="A1686" s="57">
        <v>1685</v>
      </c>
      <c r="B1686" s="110"/>
      <c r="T1686" s="112"/>
    </row>
    <row r="1687" spans="1:20" ht="23.4" x14ac:dyDescent="0.25">
      <c r="A1687" s="57">
        <v>1686</v>
      </c>
      <c r="B1687" s="110"/>
      <c r="T1687" s="112"/>
    </row>
    <row r="1688" spans="1:20" ht="26.4" x14ac:dyDescent="0.25">
      <c r="A1688" s="57">
        <v>1687</v>
      </c>
      <c r="B1688" s="110"/>
      <c r="T1688" s="109"/>
    </row>
    <row r="1689" spans="1:20" ht="23.4" x14ac:dyDescent="0.25">
      <c r="A1689" s="57">
        <v>1688</v>
      </c>
      <c r="B1689" s="110"/>
      <c r="T1689" s="112"/>
    </row>
    <row r="1690" spans="1:20" ht="23.4" x14ac:dyDescent="0.25">
      <c r="A1690" s="57">
        <v>1689</v>
      </c>
      <c r="B1690" s="110"/>
      <c r="T1690" s="112"/>
    </row>
    <row r="1691" spans="1:20" ht="23.4" x14ac:dyDescent="0.25">
      <c r="A1691" s="57">
        <v>1690</v>
      </c>
      <c r="B1691" s="110"/>
      <c r="T1691" s="112"/>
    </row>
    <row r="1692" spans="1:20" ht="23.4" x14ac:dyDescent="0.25">
      <c r="A1692" s="57">
        <v>1691</v>
      </c>
      <c r="B1692" s="110"/>
      <c r="T1692" s="112"/>
    </row>
    <row r="1693" spans="1:20" ht="23.4" x14ac:dyDescent="0.25">
      <c r="A1693" s="57">
        <v>1692</v>
      </c>
      <c r="B1693" s="110"/>
      <c r="T1693" s="112"/>
    </row>
    <row r="1694" spans="1:20" ht="23.4" x14ac:dyDescent="0.25">
      <c r="A1694" s="57">
        <v>1693</v>
      </c>
      <c r="B1694" s="110"/>
      <c r="T1694" s="112"/>
    </row>
    <row r="1695" spans="1:20" ht="26.4" x14ac:dyDescent="0.25">
      <c r="A1695" s="57">
        <v>1694</v>
      </c>
      <c r="B1695" s="110"/>
      <c r="T1695" s="109"/>
    </row>
    <row r="1696" spans="1:20" ht="23.4" x14ac:dyDescent="0.25">
      <c r="A1696" s="57">
        <v>1695</v>
      </c>
      <c r="B1696" s="110"/>
      <c r="T1696" s="112"/>
    </row>
    <row r="1697" spans="1:20" ht="23.4" x14ac:dyDescent="0.25">
      <c r="A1697" s="57">
        <v>1696</v>
      </c>
      <c r="B1697" s="110"/>
      <c r="T1697" s="112"/>
    </row>
    <row r="1698" spans="1:20" ht="23.4" x14ac:dyDescent="0.25">
      <c r="A1698" s="57">
        <v>1697</v>
      </c>
      <c r="B1698" s="110"/>
      <c r="T1698" s="112"/>
    </row>
    <row r="1699" spans="1:20" ht="23.4" x14ac:dyDescent="0.25">
      <c r="A1699" s="57">
        <v>1698</v>
      </c>
      <c r="B1699" s="110"/>
      <c r="T1699" s="112"/>
    </row>
    <row r="1700" spans="1:20" ht="23.4" x14ac:dyDescent="0.25">
      <c r="A1700" s="57">
        <v>1699</v>
      </c>
      <c r="B1700" s="110"/>
      <c r="T1700" s="112"/>
    </row>
    <row r="1701" spans="1:20" ht="23.4" x14ac:dyDescent="0.25">
      <c r="A1701" s="57">
        <v>1700</v>
      </c>
      <c r="B1701" s="110"/>
      <c r="T1701" s="112"/>
    </row>
    <row r="1702" spans="1:20" ht="26.4" x14ac:dyDescent="0.25">
      <c r="A1702" s="57">
        <v>1701</v>
      </c>
      <c r="B1702" s="110"/>
      <c r="T1702" s="109"/>
    </row>
    <row r="1703" spans="1:20" ht="23.4" x14ac:dyDescent="0.25">
      <c r="A1703" s="57">
        <v>1702</v>
      </c>
      <c r="B1703" s="110"/>
      <c r="T1703" s="112"/>
    </row>
    <row r="1704" spans="1:20" ht="23.4" x14ac:dyDescent="0.25">
      <c r="A1704" s="57">
        <v>1703</v>
      </c>
      <c r="B1704" s="110"/>
      <c r="T1704" s="112"/>
    </row>
    <row r="1705" spans="1:20" ht="23.4" x14ac:dyDescent="0.25">
      <c r="A1705" s="57">
        <v>1704</v>
      </c>
      <c r="B1705" s="110"/>
      <c r="T1705" s="112"/>
    </row>
    <row r="1706" spans="1:20" ht="23.4" x14ac:dyDescent="0.25">
      <c r="A1706" s="57">
        <v>1705</v>
      </c>
      <c r="B1706" s="110"/>
      <c r="T1706" s="112"/>
    </row>
    <row r="1707" spans="1:20" ht="23.4" x14ac:dyDescent="0.25">
      <c r="A1707" s="57">
        <v>1706</v>
      </c>
      <c r="B1707" s="110"/>
      <c r="T1707" s="112"/>
    </row>
    <row r="1708" spans="1:20" ht="23.4" x14ac:dyDescent="0.25">
      <c r="A1708" s="57">
        <v>1707</v>
      </c>
      <c r="B1708" s="110"/>
      <c r="T1708" s="112"/>
    </row>
    <row r="1709" spans="1:20" ht="26.4" x14ac:dyDescent="0.25">
      <c r="A1709" s="57">
        <v>1708</v>
      </c>
      <c r="B1709" s="110"/>
      <c r="T1709" s="109"/>
    </row>
    <row r="1710" spans="1:20" ht="23.4" x14ac:dyDescent="0.25">
      <c r="A1710" s="57">
        <v>1709</v>
      </c>
      <c r="B1710" s="110"/>
      <c r="T1710" s="112"/>
    </row>
    <row r="1711" spans="1:20" ht="23.4" x14ac:dyDescent="0.25">
      <c r="A1711" s="57">
        <v>1710</v>
      </c>
      <c r="B1711" s="110"/>
      <c r="T1711" s="112"/>
    </row>
    <row r="1712" spans="1:20" ht="23.4" x14ac:dyDescent="0.25">
      <c r="A1712" s="57">
        <v>1711</v>
      </c>
      <c r="B1712" s="110"/>
      <c r="T1712" s="112"/>
    </row>
    <row r="1713" spans="1:20" ht="23.4" x14ac:dyDescent="0.25">
      <c r="A1713" s="57">
        <v>1712</v>
      </c>
      <c r="B1713" s="110"/>
      <c r="T1713" s="112"/>
    </row>
    <row r="1714" spans="1:20" ht="23.4" x14ac:dyDescent="0.25">
      <c r="A1714" s="57">
        <v>1713</v>
      </c>
      <c r="B1714" s="110"/>
      <c r="T1714" s="112"/>
    </row>
    <row r="1715" spans="1:20" ht="23.4" x14ac:dyDescent="0.25">
      <c r="A1715" s="57">
        <v>1714</v>
      </c>
      <c r="B1715" s="110"/>
      <c r="T1715" s="112"/>
    </row>
    <row r="1716" spans="1:20" ht="26.4" x14ac:dyDescent="0.25">
      <c r="A1716" s="57">
        <v>1715</v>
      </c>
      <c r="B1716" s="110"/>
      <c r="T1716" s="109"/>
    </row>
    <row r="1717" spans="1:20" ht="23.4" x14ac:dyDescent="0.25">
      <c r="A1717" s="57">
        <v>1716</v>
      </c>
      <c r="B1717" s="110"/>
      <c r="T1717" s="112"/>
    </row>
    <row r="1718" spans="1:20" ht="23.4" x14ac:dyDescent="0.25">
      <c r="A1718" s="57">
        <v>1717</v>
      </c>
      <c r="B1718" s="110"/>
      <c r="T1718" s="112"/>
    </row>
    <row r="1719" spans="1:20" ht="23.4" x14ac:dyDescent="0.25">
      <c r="A1719" s="57">
        <v>1718</v>
      </c>
      <c r="B1719" s="110"/>
      <c r="T1719" s="112"/>
    </row>
    <row r="1720" spans="1:20" ht="23.4" x14ac:dyDescent="0.25">
      <c r="A1720" s="57">
        <v>1719</v>
      </c>
      <c r="B1720" s="110"/>
      <c r="T1720" s="112"/>
    </row>
    <row r="1721" spans="1:20" ht="23.4" x14ac:dyDescent="0.25">
      <c r="A1721" s="57">
        <v>1720</v>
      </c>
      <c r="B1721" s="110"/>
      <c r="T1721" s="112"/>
    </row>
    <row r="1722" spans="1:20" ht="23.4" x14ac:dyDescent="0.25">
      <c r="A1722" s="57">
        <v>1721</v>
      </c>
      <c r="B1722" s="110"/>
      <c r="T1722" s="112"/>
    </row>
    <row r="1723" spans="1:20" ht="26.4" x14ac:dyDescent="0.25">
      <c r="A1723" s="57">
        <v>1722</v>
      </c>
      <c r="B1723" s="110"/>
      <c r="T1723" s="109"/>
    </row>
    <row r="1724" spans="1:20" ht="23.4" x14ac:dyDescent="0.25">
      <c r="A1724" s="57">
        <v>1723</v>
      </c>
      <c r="B1724" s="110"/>
      <c r="T1724" s="112"/>
    </row>
    <row r="1725" spans="1:20" ht="23.4" x14ac:dyDescent="0.25">
      <c r="A1725" s="57">
        <v>1724</v>
      </c>
      <c r="B1725" s="110"/>
      <c r="T1725" s="112"/>
    </row>
    <row r="1726" spans="1:20" ht="23.4" x14ac:dyDescent="0.25">
      <c r="A1726" s="57">
        <v>1725</v>
      </c>
      <c r="B1726" s="110"/>
      <c r="T1726" s="112"/>
    </row>
    <row r="1727" spans="1:20" ht="23.4" x14ac:dyDescent="0.25">
      <c r="A1727" s="57">
        <v>1726</v>
      </c>
      <c r="B1727" s="110"/>
      <c r="T1727" s="112"/>
    </row>
    <row r="1728" spans="1:20" ht="23.4" x14ac:dyDescent="0.25">
      <c r="A1728" s="57">
        <v>1727</v>
      </c>
      <c r="B1728" s="110"/>
      <c r="T1728" s="112"/>
    </row>
    <row r="1729" spans="1:20" ht="23.4" x14ac:dyDescent="0.25">
      <c r="A1729" s="57">
        <v>1728</v>
      </c>
      <c r="B1729" s="110"/>
      <c r="T1729" s="112"/>
    </row>
    <row r="1730" spans="1:20" ht="26.4" x14ac:dyDescent="0.25">
      <c r="A1730" s="57">
        <v>1729</v>
      </c>
      <c r="B1730" s="110"/>
      <c r="T1730" s="109"/>
    </row>
    <row r="1731" spans="1:20" ht="23.4" x14ac:dyDescent="0.25">
      <c r="A1731" s="57">
        <v>1730</v>
      </c>
      <c r="B1731" s="110"/>
      <c r="T1731" s="112"/>
    </row>
    <row r="1732" spans="1:20" ht="23.4" x14ac:dyDescent="0.25">
      <c r="A1732" s="57">
        <v>1731</v>
      </c>
      <c r="B1732" s="110"/>
      <c r="T1732" s="112"/>
    </row>
    <row r="1733" spans="1:20" ht="23.4" x14ac:dyDescent="0.25">
      <c r="A1733" s="57">
        <v>1732</v>
      </c>
      <c r="B1733" s="110"/>
      <c r="T1733" s="112"/>
    </row>
    <row r="1734" spans="1:20" ht="23.4" x14ac:dyDescent="0.25">
      <c r="A1734" s="57">
        <v>1733</v>
      </c>
      <c r="B1734" s="110"/>
      <c r="T1734" s="112"/>
    </row>
    <row r="1735" spans="1:20" ht="23.4" x14ac:dyDescent="0.25">
      <c r="A1735" s="57">
        <v>1734</v>
      </c>
      <c r="B1735" s="110"/>
      <c r="T1735" s="112"/>
    </row>
    <row r="1736" spans="1:20" ht="23.4" x14ac:dyDescent="0.25">
      <c r="A1736" s="57">
        <v>1735</v>
      </c>
      <c r="B1736" s="110"/>
      <c r="T1736" s="112"/>
    </row>
    <row r="1737" spans="1:20" ht="26.4" x14ac:dyDescent="0.25">
      <c r="A1737" s="57">
        <v>1736</v>
      </c>
      <c r="B1737" s="110"/>
      <c r="T1737" s="109"/>
    </row>
    <row r="1738" spans="1:20" ht="23.4" x14ac:dyDescent="0.25">
      <c r="A1738" s="57">
        <v>1737</v>
      </c>
      <c r="B1738" s="110"/>
      <c r="T1738" s="112"/>
    </row>
    <row r="1739" spans="1:20" ht="23.4" x14ac:dyDescent="0.25">
      <c r="A1739" s="57">
        <v>1738</v>
      </c>
      <c r="B1739" s="110"/>
      <c r="T1739" s="112"/>
    </row>
    <row r="1740" spans="1:20" ht="23.4" x14ac:dyDescent="0.25">
      <c r="A1740" s="57">
        <v>1739</v>
      </c>
      <c r="B1740" s="110"/>
      <c r="T1740" s="112"/>
    </row>
    <row r="1741" spans="1:20" ht="23.4" x14ac:dyDescent="0.25">
      <c r="A1741" s="57">
        <v>1740</v>
      </c>
      <c r="B1741" s="110"/>
      <c r="T1741" s="112"/>
    </row>
    <row r="1742" spans="1:20" ht="23.4" x14ac:dyDescent="0.25">
      <c r="A1742" s="57">
        <v>1741</v>
      </c>
      <c r="B1742" s="110"/>
      <c r="T1742" s="112"/>
    </row>
    <row r="1743" spans="1:20" ht="23.4" x14ac:dyDescent="0.25">
      <c r="A1743" s="57">
        <v>1742</v>
      </c>
      <c r="B1743" s="110"/>
      <c r="T1743" s="112"/>
    </row>
    <row r="1744" spans="1:20" ht="26.4" x14ac:dyDescent="0.25">
      <c r="A1744" s="57">
        <v>1743</v>
      </c>
      <c r="B1744" s="110"/>
      <c r="T1744" s="109"/>
    </row>
    <row r="1745" spans="1:20" ht="23.4" x14ac:dyDescent="0.25">
      <c r="A1745" s="57">
        <v>1744</v>
      </c>
      <c r="B1745" s="110"/>
      <c r="T1745" s="112"/>
    </row>
    <row r="1746" spans="1:20" ht="23.4" x14ac:dyDescent="0.25">
      <c r="A1746" s="57">
        <v>1745</v>
      </c>
      <c r="B1746" s="110"/>
      <c r="T1746" s="112"/>
    </row>
    <row r="1747" spans="1:20" ht="23.4" x14ac:dyDescent="0.25">
      <c r="A1747" s="57">
        <v>1746</v>
      </c>
      <c r="B1747" s="110"/>
      <c r="T1747" s="112"/>
    </row>
    <row r="1748" spans="1:20" ht="23.4" x14ac:dyDescent="0.25">
      <c r="A1748" s="57">
        <v>1747</v>
      </c>
      <c r="B1748" s="110"/>
      <c r="T1748" s="112"/>
    </row>
    <row r="1749" spans="1:20" ht="23.4" x14ac:dyDescent="0.25">
      <c r="A1749" s="57">
        <v>1748</v>
      </c>
      <c r="B1749" s="110"/>
      <c r="T1749" s="112"/>
    </row>
    <row r="1750" spans="1:20" ht="23.4" x14ac:dyDescent="0.25">
      <c r="A1750" s="57">
        <v>1749</v>
      </c>
      <c r="B1750" s="110"/>
      <c r="T1750" s="112"/>
    </row>
    <row r="1751" spans="1:20" ht="26.4" x14ac:dyDescent="0.25">
      <c r="A1751" s="57">
        <v>1750</v>
      </c>
      <c r="B1751" s="110"/>
      <c r="T1751" s="109"/>
    </row>
    <row r="1752" spans="1:20" ht="23.4" x14ac:dyDescent="0.25">
      <c r="A1752" s="57">
        <v>1751</v>
      </c>
      <c r="B1752" s="110"/>
      <c r="T1752" s="112"/>
    </row>
    <row r="1753" spans="1:20" ht="23.4" x14ac:dyDescent="0.25">
      <c r="A1753" s="57">
        <v>1752</v>
      </c>
      <c r="B1753" s="110"/>
      <c r="T1753" s="112"/>
    </row>
    <row r="1754" spans="1:20" ht="23.4" x14ac:dyDescent="0.25">
      <c r="A1754" s="57">
        <v>1753</v>
      </c>
      <c r="B1754" s="110"/>
      <c r="T1754" s="112"/>
    </row>
    <row r="1755" spans="1:20" ht="23.4" x14ac:dyDescent="0.25">
      <c r="A1755" s="57">
        <v>1754</v>
      </c>
      <c r="B1755" s="110"/>
      <c r="T1755" s="112"/>
    </row>
    <row r="1756" spans="1:20" ht="23.4" x14ac:dyDescent="0.25">
      <c r="A1756" s="57">
        <v>1755</v>
      </c>
      <c r="B1756" s="110"/>
      <c r="T1756" s="112"/>
    </row>
    <row r="1757" spans="1:20" ht="23.4" x14ac:dyDescent="0.25">
      <c r="A1757" s="57">
        <v>1756</v>
      </c>
      <c r="B1757" s="110"/>
      <c r="T1757" s="112"/>
    </row>
    <row r="1758" spans="1:20" ht="26.4" x14ac:dyDescent="0.25">
      <c r="A1758" s="57">
        <v>1757</v>
      </c>
      <c r="B1758" s="110"/>
      <c r="T1758" s="109"/>
    </row>
    <row r="1759" spans="1:20" ht="23.4" x14ac:dyDescent="0.25">
      <c r="A1759" s="57">
        <v>1758</v>
      </c>
      <c r="B1759" s="110"/>
      <c r="T1759" s="112"/>
    </row>
    <row r="1760" spans="1:20" ht="23.4" x14ac:dyDescent="0.25">
      <c r="A1760" s="57">
        <v>1759</v>
      </c>
      <c r="B1760" s="110"/>
      <c r="T1760" s="112"/>
    </row>
    <row r="1761" spans="1:20" ht="23.4" x14ac:dyDescent="0.25">
      <c r="A1761" s="57">
        <v>1760</v>
      </c>
      <c r="B1761" s="110"/>
      <c r="T1761" s="112"/>
    </row>
    <row r="1762" spans="1:20" ht="23.4" x14ac:dyDescent="0.25">
      <c r="A1762" s="57">
        <v>1761</v>
      </c>
      <c r="B1762" s="110"/>
      <c r="T1762" s="112"/>
    </row>
    <row r="1763" spans="1:20" ht="23.4" x14ac:dyDescent="0.25">
      <c r="A1763" s="57">
        <v>1762</v>
      </c>
      <c r="B1763" s="110"/>
      <c r="T1763" s="112"/>
    </row>
    <row r="1764" spans="1:20" ht="23.4" x14ac:dyDescent="0.25">
      <c r="A1764" s="57">
        <v>1763</v>
      </c>
      <c r="B1764" s="110"/>
      <c r="T1764" s="112"/>
    </row>
    <row r="1765" spans="1:20" ht="26.4" x14ac:dyDescent="0.25">
      <c r="A1765" s="57">
        <v>1764</v>
      </c>
      <c r="B1765" s="110"/>
      <c r="T1765" s="109"/>
    </row>
    <row r="1766" spans="1:20" ht="23.4" x14ac:dyDescent="0.25">
      <c r="A1766" s="57">
        <v>1765</v>
      </c>
      <c r="B1766" s="110"/>
      <c r="T1766" s="112"/>
    </row>
    <row r="1767" spans="1:20" ht="23.4" x14ac:dyDescent="0.25">
      <c r="A1767" s="57">
        <v>1766</v>
      </c>
      <c r="B1767" s="110"/>
      <c r="T1767" s="112"/>
    </row>
    <row r="1768" spans="1:20" ht="23.4" x14ac:dyDescent="0.25">
      <c r="A1768" s="57">
        <v>1767</v>
      </c>
      <c r="B1768" s="110"/>
      <c r="T1768" s="112"/>
    </row>
    <row r="1769" spans="1:20" ht="23.4" x14ac:dyDescent="0.25">
      <c r="A1769" s="57">
        <v>1768</v>
      </c>
      <c r="B1769" s="110"/>
      <c r="T1769" s="112"/>
    </row>
    <row r="1770" spans="1:20" ht="23.4" x14ac:dyDescent="0.25">
      <c r="A1770" s="57">
        <v>1769</v>
      </c>
      <c r="B1770" s="110"/>
      <c r="T1770" s="112"/>
    </row>
    <row r="1771" spans="1:20" ht="23.4" x14ac:dyDescent="0.25">
      <c r="A1771" s="57">
        <v>1770</v>
      </c>
      <c r="B1771" s="110"/>
      <c r="T1771" s="112"/>
    </row>
    <row r="1772" spans="1:20" ht="26.4" x14ac:dyDescent="0.25">
      <c r="A1772" s="57">
        <v>1771</v>
      </c>
      <c r="B1772" s="110"/>
      <c r="T1772" s="109"/>
    </row>
    <row r="1773" spans="1:20" ht="23.4" x14ac:dyDescent="0.25">
      <c r="A1773" s="57">
        <v>1772</v>
      </c>
      <c r="B1773" s="110"/>
      <c r="T1773" s="112"/>
    </row>
    <row r="1774" spans="1:20" ht="23.4" x14ac:dyDescent="0.25">
      <c r="A1774" s="57">
        <v>1773</v>
      </c>
      <c r="B1774" s="110"/>
      <c r="T1774" s="112"/>
    </row>
    <row r="1775" spans="1:20" ht="23.4" x14ac:dyDescent="0.25">
      <c r="A1775" s="57">
        <v>1774</v>
      </c>
      <c r="B1775" s="110"/>
      <c r="T1775" s="112"/>
    </row>
    <row r="1776" spans="1:20" ht="23.4" x14ac:dyDescent="0.25">
      <c r="A1776" s="57">
        <v>1775</v>
      </c>
      <c r="B1776" s="110"/>
      <c r="T1776" s="112"/>
    </row>
    <row r="1777" spans="1:20" ht="23.4" x14ac:dyDescent="0.25">
      <c r="A1777" s="57">
        <v>1776</v>
      </c>
      <c r="B1777" s="110"/>
      <c r="T1777" s="112"/>
    </row>
    <row r="1778" spans="1:20" ht="23.4" x14ac:dyDescent="0.25">
      <c r="A1778" s="57">
        <v>1777</v>
      </c>
      <c r="B1778" s="110"/>
      <c r="T1778" s="112"/>
    </row>
    <row r="1779" spans="1:20" ht="26.4" x14ac:dyDescent="0.25">
      <c r="A1779" s="57">
        <v>1778</v>
      </c>
      <c r="B1779" s="110"/>
      <c r="T1779" s="109"/>
    </row>
    <row r="1780" spans="1:20" ht="23.4" x14ac:dyDescent="0.25">
      <c r="A1780" s="57">
        <v>1779</v>
      </c>
      <c r="B1780" s="110"/>
      <c r="T1780" s="112"/>
    </row>
    <row r="1781" spans="1:20" ht="23.4" x14ac:dyDescent="0.25">
      <c r="A1781" s="57">
        <v>1780</v>
      </c>
      <c r="B1781" s="110"/>
      <c r="T1781" s="112"/>
    </row>
    <row r="1782" spans="1:20" ht="23.4" x14ac:dyDescent="0.25">
      <c r="A1782" s="57">
        <v>1781</v>
      </c>
      <c r="B1782" s="110"/>
      <c r="T1782" s="112"/>
    </row>
    <row r="1783" spans="1:20" ht="23.4" x14ac:dyDescent="0.25">
      <c r="A1783" s="57">
        <v>1782</v>
      </c>
      <c r="B1783" s="110"/>
      <c r="T1783" s="112"/>
    </row>
    <row r="1784" spans="1:20" ht="23.4" x14ac:dyDescent="0.25">
      <c r="A1784" s="57">
        <v>1783</v>
      </c>
      <c r="B1784" s="110"/>
      <c r="T1784" s="112"/>
    </row>
    <row r="1785" spans="1:20" ht="23.4" x14ac:dyDescent="0.25">
      <c r="A1785" s="57">
        <v>1784</v>
      </c>
      <c r="B1785" s="110"/>
      <c r="T1785" s="112"/>
    </row>
    <row r="1786" spans="1:20" ht="26.4" x14ac:dyDescent="0.25">
      <c r="A1786" s="57">
        <v>1785</v>
      </c>
      <c r="B1786" s="110"/>
      <c r="T1786" s="109"/>
    </row>
    <row r="1787" spans="1:20" ht="23.4" x14ac:dyDescent="0.25">
      <c r="A1787" s="57">
        <v>1786</v>
      </c>
      <c r="B1787" s="110"/>
      <c r="T1787" s="112"/>
    </row>
    <row r="1788" spans="1:20" ht="23.4" x14ac:dyDescent="0.25">
      <c r="A1788" s="57">
        <v>1787</v>
      </c>
      <c r="B1788" s="110"/>
      <c r="T1788" s="112"/>
    </row>
    <row r="1789" spans="1:20" ht="23.4" x14ac:dyDescent="0.25">
      <c r="A1789" s="57">
        <v>1788</v>
      </c>
      <c r="B1789" s="110"/>
      <c r="T1789" s="112"/>
    </row>
    <row r="1790" spans="1:20" ht="23.4" x14ac:dyDescent="0.25">
      <c r="A1790" s="57">
        <v>1789</v>
      </c>
      <c r="B1790" s="110"/>
      <c r="T1790" s="112"/>
    </row>
    <row r="1791" spans="1:20" ht="23.4" x14ac:dyDescent="0.25">
      <c r="A1791" s="57">
        <v>1790</v>
      </c>
      <c r="B1791" s="110"/>
      <c r="T1791" s="112"/>
    </row>
    <row r="1792" spans="1:20" ht="23.4" x14ac:dyDescent="0.25">
      <c r="A1792" s="57">
        <v>1791</v>
      </c>
      <c r="B1792" s="110"/>
      <c r="T1792" s="112"/>
    </row>
    <row r="1793" spans="1:20" ht="26.4" x14ac:dyDescent="0.25">
      <c r="A1793" s="57">
        <v>1792</v>
      </c>
      <c r="B1793" s="110"/>
      <c r="T1793" s="109"/>
    </row>
    <row r="1794" spans="1:20" ht="23.4" x14ac:dyDescent="0.25">
      <c r="A1794" s="57">
        <v>1793</v>
      </c>
      <c r="B1794" s="110"/>
      <c r="T1794" s="112"/>
    </row>
    <row r="1795" spans="1:20" ht="23.4" x14ac:dyDescent="0.25">
      <c r="A1795" s="57">
        <v>1794</v>
      </c>
      <c r="B1795" s="110"/>
      <c r="T1795" s="112"/>
    </row>
    <row r="1796" spans="1:20" ht="23.4" x14ac:dyDescent="0.25">
      <c r="A1796" s="57">
        <v>1795</v>
      </c>
      <c r="B1796" s="110"/>
      <c r="T1796" s="112"/>
    </row>
    <row r="1797" spans="1:20" ht="23.4" x14ac:dyDescent="0.25">
      <c r="A1797" s="57">
        <v>1796</v>
      </c>
      <c r="B1797" s="110"/>
      <c r="T1797" s="112"/>
    </row>
    <row r="1798" spans="1:20" ht="23.4" x14ac:dyDescent="0.25">
      <c r="A1798" s="57">
        <v>1797</v>
      </c>
      <c r="B1798" s="110"/>
      <c r="T1798" s="112"/>
    </row>
    <row r="1799" spans="1:20" ht="23.4" x14ac:dyDescent="0.25">
      <c r="A1799" s="57">
        <v>1798</v>
      </c>
      <c r="B1799" s="110"/>
      <c r="T1799" s="112"/>
    </row>
    <row r="1800" spans="1:20" ht="26.4" x14ac:dyDescent="0.25">
      <c r="A1800" s="57">
        <v>1799</v>
      </c>
      <c r="B1800" s="110"/>
      <c r="T1800" s="109"/>
    </row>
    <row r="1801" spans="1:20" ht="23.4" x14ac:dyDescent="0.25">
      <c r="A1801" s="57">
        <v>1800</v>
      </c>
      <c r="B1801" s="110"/>
      <c r="T1801" s="112"/>
    </row>
    <row r="1802" spans="1:20" ht="23.4" x14ac:dyDescent="0.25">
      <c r="A1802" s="57">
        <v>1801</v>
      </c>
      <c r="B1802" s="110"/>
      <c r="T1802" s="112"/>
    </row>
    <row r="1803" spans="1:20" ht="23.4" x14ac:dyDescent="0.25">
      <c r="A1803" s="57">
        <v>1802</v>
      </c>
      <c r="B1803" s="110"/>
      <c r="T1803" s="112"/>
    </row>
    <row r="1804" spans="1:20" ht="23.4" x14ac:dyDescent="0.25">
      <c r="A1804" s="57">
        <v>1803</v>
      </c>
      <c r="B1804" s="110"/>
      <c r="T1804" s="112"/>
    </row>
    <row r="1805" spans="1:20" ht="23.4" x14ac:dyDescent="0.25">
      <c r="A1805" s="57">
        <v>1804</v>
      </c>
      <c r="B1805" s="110"/>
      <c r="T1805" s="112"/>
    </row>
    <row r="1806" spans="1:20" ht="23.4" x14ac:dyDescent="0.25">
      <c r="A1806" s="57">
        <v>1805</v>
      </c>
      <c r="B1806" s="110"/>
      <c r="T1806" s="112"/>
    </row>
    <row r="1807" spans="1:20" ht="26.4" x14ac:dyDescent="0.25">
      <c r="A1807" s="57">
        <v>1806</v>
      </c>
      <c r="B1807" s="110"/>
      <c r="T1807" s="109"/>
    </row>
    <row r="1808" spans="1:20" ht="23.4" x14ac:dyDescent="0.25">
      <c r="A1808" s="57">
        <v>1807</v>
      </c>
      <c r="B1808" s="110"/>
      <c r="T1808" s="112"/>
    </row>
    <row r="1809" spans="1:20" ht="23.4" x14ac:dyDescent="0.25">
      <c r="A1809" s="57">
        <v>1808</v>
      </c>
      <c r="B1809" s="110"/>
      <c r="T1809" s="112"/>
    </row>
    <row r="1810" spans="1:20" ht="23.4" x14ac:dyDescent="0.25">
      <c r="A1810" s="57">
        <v>1809</v>
      </c>
      <c r="B1810" s="110"/>
      <c r="T1810" s="112"/>
    </row>
    <row r="1811" spans="1:20" ht="23.4" x14ac:dyDescent="0.25">
      <c r="A1811" s="57">
        <v>1810</v>
      </c>
      <c r="B1811" s="110"/>
      <c r="T1811" s="112"/>
    </row>
    <row r="1812" spans="1:20" ht="23.4" x14ac:dyDescent="0.25">
      <c r="A1812" s="57">
        <v>1811</v>
      </c>
      <c r="B1812" s="110"/>
      <c r="T1812" s="112"/>
    </row>
    <row r="1813" spans="1:20" ht="23.4" x14ac:dyDescent="0.25">
      <c r="A1813" s="57">
        <v>1812</v>
      </c>
      <c r="B1813" s="110"/>
      <c r="T1813" s="112"/>
    </row>
    <row r="1814" spans="1:20" ht="26.4" x14ac:dyDescent="0.25">
      <c r="A1814" s="57">
        <v>1813</v>
      </c>
      <c r="B1814" s="110"/>
      <c r="T1814" s="109"/>
    </row>
    <row r="1815" spans="1:20" ht="23.4" x14ac:dyDescent="0.25">
      <c r="A1815" s="57">
        <v>1814</v>
      </c>
      <c r="B1815" s="110"/>
      <c r="T1815" s="112"/>
    </row>
    <row r="1816" spans="1:20" ht="23.4" x14ac:dyDescent="0.25">
      <c r="A1816" s="57">
        <v>1815</v>
      </c>
      <c r="B1816" s="110"/>
      <c r="T1816" s="112"/>
    </row>
    <row r="1817" spans="1:20" ht="23.4" x14ac:dyDescent="0.25">
      <c r="A1817" s="57">
        <v>1816</v>
      </c>
      <c r="B1817" s="110"/>
      <c r="T1817" s="112"/>
    </row>
    <row r="1818" spans="1:20" ht="23.4" x14ac:dyDescent="0.25">
      <c r="A1818" s="57">
        <v>1817</v>
      </c>
      <c r="B1818" s="110"/>
      <c r="T1818" s="112"/>
    </row>
    <row r="1819" spans="1:20" ht="23.4" x14ac:dyDescent="0.25">
      <c r="A1819" s="57">
        <v>1818</v>
      </c>
      <c r="B1819" s="110"/>
      <c r="T1819" s="112"/>
    </row>
    <row r="1820" spans="1:20" ht="23.4" x14ac:dyDescent="0.25">
      <c r="A1820" s="57">
        <v>1819</v>
      </c>
      <c r="B1820" s="110"/>
      <c r="T1820" s="112"/>
    </row>
    <row r="1821" spans="1:20" ht="26.4" x14ac:dyDescent="0.25">
      <c r="A1821" s="57">
        <v>1820</v>
      </c>
      <c r="B1821" s="110"/>
      <c r="T1821" s="109"/>
    </row>
    <row r="1822" spans="1:20" ht="23.4" x14ac:dyDescent="0.25">
      <c r="A1822" s="57">
        <v>1821</v>
      </c>
      <c r="B1822" s="110"/>
      <c r="T1822" s="112"/>
    </row>
    <row r="1823" spans="1:20" ht="23.4" x14ac:dyDescent="0.25">
      <c r="A1823" s="57">
        <v>1822</v>
      </c>
      <c r="B1823" s="110"/>
      <c r="T1823" s="112"/>
    </row>
    <row r="1824" spans="1:20" ht="23.4" x14ac:dyDescent="0.25">
      <c r="A1824" s="57">
        <v>1823</v>
      </c>
      <c r="B1824" s="110"/>
      <c r="T1824" s="112"/>
    </row>
    <row r="1825" spans="1:20" ht="23.4" x14ac:dyDescent="0.25">
      <c r="A1825" s="57">
        <v>1824</v>
      </c>
      <c r="B1825" s="110"/>
      <c r="T1825" s="112"/>
    </row>
    <row r="1826" spans="1:20" ht="23.4" x14ac:dyDescent="0.25">
      <c r="A1826" s="57">
        <v>1825</v>
      </c>
      <c r="B1826" s="110"/>
      <c r="T1826" s="112"/>
    </row>
    <row r="1827" spans="1:20" ht="23.4" x14ac:dyDescent="0.25">
      <c r="A1827" s="57">
        <v>1826</v>
      </c>
      <c r="B1827" s="110"/>
      <c r="T1827" s="112"/>
    </row>
    <row r="1828" spans="1:20" ht="26.4" x14ac:dyDescent="0.25">
      <c r="A1828" s="57">
        <v>1827</v>
      </c>
      <c r="B1828" s="110"/>
      <c r="T1828" s="109"/>
    </row>
    <row r="1829" spans="1:20" ht="23.4" x14ac:dyDescent="0.25">
      <c r="A1829" s="57">
        <v>1828</v>
      </c>
      <c r="B1829" s="110"/>
      <c r="T1829" s="112"/>
    </row>
    <row r="1830" spans="1:20" ht="23.4" x14ac:dyDescent="0.25">
      <c r="A1830" s="57">
        <v>1829</v>
      </c>
      <c r="B1830" s="110"/>
      <c r="T1830" s="112"/>
    </row>
    <row r="1831" spans="1:20" ht="23.4" x14ac:dyDescent="0.25">
      <c r="A1831" s="57">
        <v>1830</v>
      </c>
      <c r="B1831" s="110"/>
      <c r="T1831" s="112"/>
    </row>
    <row r="1832" spans="1:20" ht="23.4" x14ac:dyDescent="0.25">
      <c r="A1832" s="57">
        <v>1831</v>
      </c>
      <c r="B1832" s="110"/>
      <c r="T1832" s="112"/>
    </row>
    <row r="1833" spans="1:20" ht="23.4" x14ac:dyDescent="0.25">
      <c r="A1833" s="57">
        <v>1832</v>
      </c>
      <c r="B1833" s="110"/>
      <c r="T1833" s="112"/>
    </row>
    <row r="1834" spans="1:20" ht="23.4" x14ac:dyDescent="0.25">
      <c r="A1834" s="57">
        <v>1833</v>
      </c>
      <c r="B1834" s="110"/>
      <c r="T1834" s="112"/>
    </row>
    <row r="1835" spans="1:20" ht="26.4" x14ac:dyDescent="0.25">
      <c r="A1835" s="57">
        <v>1834</v>
      </c>
      <c r="B1835" s="110"/>
      <c r="T1835" s="109"/>
    </row>
    <row r="1836" spans="1:20" ht="23.4" x14ac:dyDescent="0.25">
      <c r="A1836" s="57">
        <v>1835</v>
      </c>
      <c r="B1836" s="110"/>
      <c r="T1836" s="112"/>
    </row>
    <row r="1837" spans="1:20" ht="23.4" x14ac:dyDescent="0.25">
      <c r="A1837" s="57">
        <v>1836</v>
      </c>
      <c r="B1837" s="110"/>
      <c r="T1837" s="112"/>
    </row>
    <row r="1838" spans="1:20" ht="23.4" x14ac:dyDescent="0.25">
      <c r="A1838" s="57">
        <v>1837</v>
      </c>
      <c r="B1838" s="110"/>
      <c r="T1838" s="112"/>
    </row>
    <row r="1839" spans="1:20" ht="23.4" x14ac:dyDescent="0.25">
      <c r="A1839" s="57">
        <v>1838</v>
      </c>
      <c r="B1839" s="110"/>
      <c r="T1839" s="112"/>
    </row>
    <row r="1840" spans="1:20" ht="23.4" x14ac:dyDescent="0.25">
      <c r="A1840" s="57">
        <v>1839</v>
      </c>
      <c r="B1840" s="110"/>
      <c r="T1840" s="112"/>
    </row>
    <row r="1841" spans="1:20" ht="23.4" x14ac:dyDescent="0.25">
      <c r="A1841" s="57">
        <v>1840</v>
      </c>
      <c r="B1841" s="110"/>
      <c r="T1841" s="112"/>
    </row>
    <row r="1842" spans="1:20" ht="26.4" x14ac:dyDescent="0.25">
      <c r="A1842" s="57">
        <v>1841</v>
      </c>
      <c r="B1842" s="110"/>
      <c r="T1842" s="109"/>
    </row>
    <row r="1843" spans="1:20" ht="23.4" x14ac:dyDescent="0.25">
      <c r="A1843" s="57">
        <v>1842</v>
      </c>
      <c r="B1843" s="110"/>
      <c r="T1843" s="112"/>
    </row>
    <row r="1844" spans="1:20" ht="23.4" x14ac:dyDescent="0.25">
      <c r="A1844" s="57">
        <v>1843</v>
      </c>
      <c r="B1844" s="110"/>
      <c r="T1844" s="112"/>
    </row>
    <row r="1845" spans="1:20" ht="23.4" x14ac:dyDescent="0.25">
      <c r="A1845" s="57">
        <v>1844</v>
      </c>
      <c r="B1845" s="110"/>
      <c r="T1845" s="112"/>
    </row>
    <row r="1846" spans="1:20" ht="23.4" x14ac:dyDescent="0.25">
      <c r="A1846" s="57">
        <v>1845</v>
      </c>
      <c r="B1846" s="110"/>
      <c r="T1846" s="112"/>
    </row>
    <row r="1847" spans="1:20" ht="23.4" x14ac:dyDescent="0.25">
      <c r="A1847" s="57">
        <v>1846</v>
      </c>
      <c r="B1847" s="110"/>
      <c r="T1847" s="112"/>
    </row>
    <row r="1848" spans="1:20" ht="23.4" x14ac:dyDescent="0.25">
      <c r="A1848" s="57">
        <v>1847</v>
      </c>
      <c r="B1848" s="110"/>
      <c r="T1848" s="112"/>
    </row>
    <row r="1849" spans="1:20" ht="26.4" x14ac:dyDescent="0.25">
      <c r="A1849" s="57">
        <v>1848</v>
      </c>
      <c r="B1849" s="110"/>
      <c r="T1849" s="109"/>
    </row>
    <row r="1850" spans="1:20" ht="23.4" x14ac:dyDescent="0.25">
      <c r="A1850" s="57">
        <v>1849</v>
      </c>
      <c r="B1850" s="110"/>
      <c r="T1850" s="112"/>
    </row>
    <row r="1851" spans="1:20" ht="23.4" x14ac:dyDescent="0.25">
      <c r="A1851" s="57">
        <v>1850</v>
      </c>
      <c r="B1851" s="110"/>
      <c r="T1851" s="112"/>
    </row>
    <row r="1852" spans="1:20" ht="23.4" x14ac:dyDescent="0.25">
      <c r="A1852" s="57">
        <v>1851</v>
      </c>
      <c r="B1852" s="110"/>
      <c r="T1852" s="112"/>
    </row>
    <row r="1853" spans="1:20" ht="23.4" x14ac:dyDescent="0.25">
      <c r="A1853" s="57">
        <v>1852</v>
      </c>
      <c r="B1853" s="110"/>
      <c r="T1853" s="112"/>
    </row>
    <row r="1854" spans="1:20" ht="23.4" x14ac:dyDescent="0.25">
      <c r="A1854" s="57">
        <v>1853</v>
      </c>
      <c r="B1854" s="110"/>
      <c r="T1854" s="112"/>
    </row>
    <row r="1855" spans="1:20" ht="23.4" x14ac:dyDescent="0.25">
      <c r="A1855" s="57">
        <v>1854</v>
      </c>
      <c r="B1855" s="110"/>
      <c r="T1855" s="112"/>
    </row>
    <row r="1856" spans="1:20" ht="26.4" x14ac:dyDescent="0.25">
      <c r="A1856" s="57">
        <v>1855</v>
      </c>
      <c r="B1856" s="110"/>
      <c r="T1856" s="109"/>
    </row>
    <row r="1857" spans="1:20" ht="23.4" x14ac:dyDescent="0.25">
      <c r="A1857" s="57">
        <v>1856</v>
      </c>
      <c r="B1857" s="110"/>
      <c r="T1857" s="112"/>
    </row>
    <row r="1858" spans="1:20" ht="23.4" x14ac:dyDescent="0.25">
      <c r="A1858" s="57">
        <v>1857</v>
      </c>
      <c r="B1858" s="110"/>
      <c r="T1858" s="112"/>
    </row>
    <row r="1859" spans="1:20" ht="23.4" x14ac:dyDescent="0.25">
      <c r="A1859" s="57">
        <v>1858</v>
      </c>
      <c r="B1859" s="110"/>
      <c r="T1859" s="112"/>
    </row>
    <row r="1860" spans="1:20" ht="23.4" x14ac:dyDescent="0.25">
      <c r="A1860" s="57">
        <v>1859</v>
      </c>
      <c r="B1860" s="110"/>
      <c r="T1860" s="112"/>
    </row>
    <row r="1861" spans="1:20" ht="23.4" x14ac:dyDescent="0.25">
      <c r="A1861" s="57">
        <v>1860</v>
      </c>
      <c r="B1861" s="110"/>
      <c r="T1861" s="112"/>
    </row>
    <row r="1862" spans="1:20" ht="23.4" x14ac:dyDescent="0.25">
      <c r="A1862" s="57">
        <v>1861</v>
      </c>
      <c r="B1862" s="110"/>
      <c r="T1862" s="112"/>
    </row>
    <row r="1863" spans="1:20" ht="26.4" x14ac:dyDescent="0.25">
      <c r="A1863" s="57">
        <v>1862</v>
      </c>
      <c r="B1863" s="110"/>
      <c r="T1863" s="109"/>
    </row>
    <row r="1864" spans="1:20" ht="23.4" x14ac:dyDescent="0.25">
      <c r="A1864" s="57">
        <v>1863</v>
      </c>
      <c r="B1864" s="110"/>
      <c r="T1864" s="112"/>
    </row>
    <row r="1865" spans="1:20" ht="23.4" x14ac:dyDescent="0.25">
      <c r="A1865" s="57">
        <v>1864</v>
      </c>
      <c r="B1865" s="110"/>
      <c r="T1865" s="112"/>
    </row>
    <row r="1866" spans="1:20" ht="23.4" x14ac:dyDescent="0.25">
      <c r="A1866" s="57">
        <v>1865</v>
      </c>
      <c r="B1866" s="110"/>
      <c r="T1866" s="112"/>
    </row>
    <row r="1867" spans="1:20" ht="23.4" x14ac:dyDescent="0.25">
      <c r="A1867" s="57">
        <v>1866</v>
      </c>
      <c r="B1867" s="110"/>
      <c r="T1867" s="112"/>
    </row>
    <row r="1868" spans="1:20" ht="23.4" x14ac:dyDescent="0.25">
      <c r="A1868" s="57">
        <v>1867</v>
      </c>
      <c r="B1868" s="110"/>
      <c r="T1868" s="112"/>
    </row>
    <row r="1869" spans="1:20" ht="23.4" x14ac:dyDescent="0.25">
      <c r="A1869" s="57">
        <v>1868</v>
      </c>
      <c r="B1869" s="110"/>
      <c r="T1869" s="112"/>
    </row>
    <row r="1870" spans="1:20" ht="26.4" x14ac:dyDescent="0.25">
      <c r="A1870" s="57">
        <v>1869</v>
      </c>
      <c r="B1870" s="110"/>
      <c r="T1870" s="109"/>
    </row>
    <row r="1871" spans="1:20" ht="23.4" x14ac:dyDescent="0.25">
      <c r="A1871" s="57">
        <v>1870</v>
      </c>
      <c r="B1871" s="110"/>
      <c r="T1871" s="112"/>
    </row>
    <row r="1872" spans="1:20" ht="23.4" x14ac:dyDescent="0.25">
      <c r="A1872" s="57">
        <v>1871</v>
      </c>
      <c r="B1872" s="110"/>
      <c r="T1872" s="112"/>
    </row>
    <row r="1873" spans="1:20" ht="23.4" x14ac:dyDescent="0.25">
      <c r="A1873" s="57">
        <v>1872</v>
      </c>
      <c r="B1873" s="110"/>
      <c r="T1873" s="112"/>
    </row>
    <row r="1874" spans="1:20" ht="23.4" x14ac:dyDescent="0.25">
      <c r="A1874" s="57">
        <v>1873</v>
      </c>
      <c r="B1874" s="110"/>
      <c r="T1874" s="112"/>
    </row>
    <row r="1875" spans="1:20" ht="23.4" x14ac:dyDescent="0.25">
      <c r="A1875" s="57">
        <v>1874</v>
      </c>
      <c r="B1875" s="110"/>
      <c r="T1875" s="112"/>
    </row>
    <row r="1876" spans="1:20" ht="23.4" x14ac:dyDescent="0.25">
      <c r="A1876" s="57">
        <v>1875</v>
      </c>
      <c r="B1876" s="110"/>
      <c r="T1876" s="112"/>
    </row>
    <row r="1877" spans="1:20" ht="26.4" x14ac:dyDescent="0.25">
      <c r="A1877" s="57">
        <v>1876</v>
      </c>
      <c r="B1877" s="110"/>
      <c r="T1877" s="109"/>
    </row>
    <row r="1878" spans="1:20" ht="23.4" x14ac:dyDescent="0.25">
      <c r="A1878" s="57">
        <v>1877</v>
      </c>
      <c r="B1878" s="110"/>
      <c r="T1878" s="112"/>
    </row>
    <row r="1879" spans="1:20" ht="23.4" x14ac:dyDescent="0.25">
      <c r="A1879" s="57">
        <v>1878</v>
      </c>
      <c r="B1879" s="110"/>
      <c r="T1879" s="112"/>
    </row>
    <row r="1880" spans="1:20" ht="23.4" x14ac:dyDescent="0.25">
      <c r="A1880" s="57">
        <v>1879</v>
      </c>
      <c r="B1880" s="110"/>
      <c r="T1880" s="112"/>
    </row>
    <row r="1881" spans="1:20" ht="23.4" x14ac:dyDescent="0.25">
      <c r="A1881" s="57">
        <v>1880</v>
      </c>
      <c r="B1881" s="110"/>
      <c r="T1881" s="112"/>
    </row>
    <row r="1882" spans="1:20" ht="23.4" x14ac:dyDescent="0.25">
      <c r="A1882" s="57">
        <v>1881</v>
      </c>
      <c r="B1882" s="110"/>
      <c r="T1882" s="112"/>
    </row>
    <row r="1883" spans="1:20" ht="23.4" x14ac:dyDescent="0.25">
      <c r="A1883" s="57">
        <v>1882</v>
      </c>
      <c r="B1883" s="110"/>
      <c r="T1883" s="112"/>
    </row>
    <row r="1884" spans="1:20" ht="26.4" x14ac:dyDescent="0.25">
      <c r="A1884" s="57">
        <v>1883</v>
      </c>
      <c r="B1884" s="110"/>
      <c r="T1884" s="109"/>
    </row>
    <row r="1885" spans="1:20" ht="23.4" x14ac:dyDescent="0.25">
      <c r="A1885" s="57">
        <v>1884</v>
      </c>
      <c r="B1885" s="110"/>
      <c r="T1885" s="112"/>
    </row>
    <row r="1886" spans="1:20" ht="23.4" x14ac:dyDescent="0.25">
      <c r="A1886" s="57">
        <v>1885</v>
      </c>
      <c r="B1886" s="110"/>
      <c r="T1886" s="112"/>
    </row>
    <row r="1887" spans="1:20" ht="23.4" x14ac:dyDescent="0.25">
      <c r="A1887" s="57">
        <v>1886</v>
      </c>
      <c r="B1887" s="110"/>
      <c r="T1887" s="112"/>
    </row>
    <row r="1888" spans="1:20" ht="23.4" x14ac:dyDescent="0.25">
      <c r="A1888" s="57">
        <v>1887</v>
      </c>
      <c r="B1888" s="110"/>
      <c r="T1888" s="112"/>
    </row>
    <row r="1889" spans="1:20" ht="23.4" x14ac:dyDescent="0.25">
      <c r="A1889" s="57">
        <v>1888</v>
      </c>
      <c r="B1889" s="110"/>
      <c r="T1889" s="112"/>
    </row>
    <row r="1890" spans="1:20" ht="23.4" x14ac:dyDescent="0.25">
      <c r="A1890" s="57">
        <v>1889</v>
      </c>
      <c r="B1890" s="110"/>
      <c r="T1890" s="112"/>
    </row>
    <row r="1891" spans="1:20" ht="26.4" x14ac:dyDescent="0.25">
      <c r="A1891" s="57">
        <v>1890</v>
      </c>
      <c r="B1891" s="110"/>
      <c r="T1891" s="109"/>
    </row>
    <row r="1892" spans="1:20" ht="23.4" x14ac:dyDescent="0.25">
      <c r="A1892" s="57">
        <v>1891</v>
      </c>
      <c r="B1892" s="110"/>
      <c r="T1892" s="112"/>
    </row>
    <row r="1893" spans="1:20" ht="23.4" x14ac:dyDescent="0.25">
      <c r="A1893" s="57">
        <v>1892</v>
      </c>
      <c r="B1893" s="110"/>
      <c r="T1893" s="112"/>
    </row>
    <row r="1894" spans="1:20" ht="23.4" x14ac:dyDescent="0.25">
      <c r="A1894" s="57">
        <v>1893</v>
      </c>
      <c r="B1894" s="110"/>
      <c r="T1894" s="112"/>
    </row>
    <row r="1895" spans="1:20" ht="23.4" x14ac:dyDescent="0.25">
      <c r="A1895" s="57">
        <v>1894</v>
      </c>
      <c r="B1895" s="110"/>
      <c r="T1895" s="112"/>
    </row>
    <row r="1896" spans="1:20" ht="23.4" x14ac:dyDescent="0.25">
      <c r="A1896" s="57">
        <v>1895</v>
      </c>
      <c r="B1896" s="110"/>
      <c r="T1896" s="112"/>
    </row>
    <row r="1897" spans="1:20" ht="23.4" x14ac:dyDescent="0.25">
      <c r="A1897" s="57">
        <v>1896</v>
      </c>
      <c r="B1897" s="110"/>
      <c r="T1897" s="112"/>
    </row>
    <row r="1898" spans="1:20" ht="26.4" x14ac:dyDescent="0.25">
      <c r="A1898" s="57">
        <v>1897</v>
      </c>
      <c r="B1898" s="110"/>
      <c r="T1898" s="109"/>
    </row>
    <row r="1899" spans="1:20" ht="23.4" x14ac:dyDescent="0.25">
      <c r="A1899" s="57">
        <v>1898</v>
      </c>
      <c r="B1899" s="110"/>
      <c r="T1899" s="112"/>
    </row>
    <row r="1900" spans="1:20" ht="23.4" x14ac:dyDescent="0.25">
      <c r="A1900" s="57">
        <v>1899</v>
      </c>
      <c r="B1900" s="110"/>
      <c r="T1900" s="112"/>
    </row>
    <row r="1901" spans="1:20" ht="23.4" x14ac:dyDescent="0.25">
      <c r="A1901" s="57">
        <v>1900</v>
      </c>
      <c r="B1901" s="110"/>
      <c r="T1901" s="112"/>
    </row>
    <row r="1902" spans="1:20" ht="23.4" x14ac:dyDescent="0.25">
      <c r="A1902" s="57">
        <v>1901</v>
      </c>
      <c r="B1902" s="110"/>
      <c r="T1902" s="112"/>
    </row>
    <row r="1903" spans="1:20" ht="23.4" x14ac:dyDescent="0.25">
      <c r="A1903" s="57">
        <v>1902</v>
      </c>
      <c r="B1903" s="110"/>
      <c r="T1903" s="112"/>
    </row>
    <row r="1904" spans="1:20" ht="23.4" x14ac:dyDescent="0.25">
      <c r="A1904" s="57">
        <v>1903</v>
      </c>
      <c r="B1904" s="110"/>
      <c r="T1904" s="112"/>
    </row>
    <row r="1905" spans="1:20" ht="26.4" x14ac:dyDescent="0.25">
      <c r="A1905" s="57">
        <v>1904</v>
      </c>
      <c r="B1905" s="110"/>
      <c r="T1905" s="109"/>
    </row>
    <row r="1906" spans="1:20" ht="23.4" x14ac:dyDescent="0.25">
      <c r="A1906" s="57">
        <v>1905</v>
      </c>
      <c r="B1906" s="110"/>
      <c r="T1906" s="112"/>
    </row>
    <row r="1907" spans="1:20" ht="23.4" x14ac:dyDescent="0.25">
      <c r="A1907" s="57">
        <v>1906</v>
      </c>
      <c r="B1907" s="110"/>
      <c r="T1907" s="112"/>
    </row>
    <row r="1908" spans="1:20" ht="23.4" x14ac:dyDescent="0.25">
      <c r="A1908" s="57">
        <v>1907</v>
      </c>
      <c r="B1908" s="110"/>
      <c r="T1908" s="112"/>
    </row>
    <row r="1909" spans="1:20" ht="23.4" x14ac:dyDescent="0.25">
      <c r="A1909" s="57">
        <v>1908</v>
      </c>
      <c r="B1909" s="110"/>
      <c r="T1909" s="112"/>
    </row>
    <row r="1910" spans="1:20" ht="23.4" x14ac:dyDescent="0.25">
      <c r="A1910" s="57">
        <v>1909</v>
      </c>
      <c r="B1910" s="110"/>
      <c r="T1910" s="112"/>
    </row>
    <row r="1911" spans="1:20" ht="23.4" x14ac:dyDescent="0.25">
      <c r="A1911" s="57">
        <v>1910</v>
      </c>
      <c r="B1911" s="110"/>
      <c r="T1911" s="112"/>
    </row>
    <row r="1912" spans="1:20" ht="26.4" x14ac:dyDescent="0.25">
      <c r="A1912" s="57">
        <v>1911</v>
      </c>
      <c r="B1912" s="110"/>
      <c r="T1912" s="109"/>
    </row>
    <row r="1913" spans="1:20" ht="23.4" x14ac:dyDescent="0.25">
      <c r="A1913" s="57">
        <v>1912</v>
      </c>
      <c r="B1913" s="110"/>
      <c r="T1913" s="112"/>
    </row>
    <row r="1914" spans="1:20" ht="23.4" x14ac:dyDescent="0.25">
      <c r="A1914" s="57">
        <v>1913</v>
      </c>
      <c r="B1914" s="110"/>
      <c r="T1914" s="112"/>
    </row>
    <row r="1915" spans="1:20" ht="23.4" x14ac:dyDescent="0.25">
      <c r="A1915" s="57">
        <v>1914</v>
      </c>
      <c r="B1915" s="110"/>
      <c r="T1915" s="112"/>
    </row>
    <row r="1916" spans="1:20" ht="23.4" x14ac:dyDescent="0.25">
      <c r="A1916" s="57">
        <v>1915</v>
      </c>
      <c r="B1916" s="110"/>
      <c r="T1916" s="112"/>
    </row>
    <row r="1917" spans="1:20" ht="23.4" x14ac:dyDescent="0.25">
      <c r="A1917" s="57">
        <v>1916</v>
      </c>
      <c r="B1917" s="110"/>
      <c r="T1917" s="112"/>
    </row>
    <row r="1918" spans="1:20" ht="23.4" x14ac:dyDescent="0.25">
      <c r="A1918" s="57">
        <v>1917</v>
      </c>
      <c r="B1918" s="110"/>
      <c r="T1918" s="112"/>
    </row>
    <row r="1919" spans="1:20" ht="26.4" x14ac:dyDescent="0.25">
      <c r="A1919" s="57">
        <v>1918</v>
      </c>
      <c r="B1919" s="110"/>
      <c r="T1919" s="109"/>
    </row>
    <row r="1920" spans="1:20" ht="23.4" x14ac:dyDescent="0.25">
      <c r="A1920" s="57">
        <v>1919</v>
      </c>
      <c r="B1920" s="110"/>
      <c r="T1920" s="112"/>
    </row>
    <row r="1921" spans="1:20" ht="23.4" x14ac:dyDescent="0.25">
      <c r="A1921" s="57">
        <v>1920</v>
      </c>
      <c r="B1921" s="110"/>
      <c r="T1921" s="112"/>
    </row>
    <row r="1922" spans="1:20" ht="23.4" x14ac:dyDescent="0.25">
      <c r="A1922" s="57">
        <v>1921</v>
      </c>
      <c r="B1922" s="110"/>
      <c r="T1922" s="112"/>
    </row>
    <row r="1923" spans="1:20" ht="23.4" x14ac:dyDescent="0.25">
      <c r="A1923" s="57">
        <v>1922</v>
      </c>
      <c r="B1923" s="110"/>
      <c r="T1923" s="112"/>
    </row>
    <row r="1924" spans="1:20" ht="23.4" x14ac:dyDescent="0.25">
      <c r="A1924" s="57">
        <v>1923</v>
      </c>
      <c r="B1924" s="110"/>
      <c r="T1924" s="112"/>
    </row>
    <row r="1925" spans="1:20" ht="23.4" x14ac:dyDescent="0.25">
      <c r="A1925" s="57">
        <v>1924</v>
      </c>
      <c r="B1925" s="110"/>
      <c r="T1925" s="112"/>
    </row>
    <row r="1926" spans="1:20" ht="26.4" x14ac:dyDescent="0.25">
      <c r="A1926" s="57">
        <v>1925</v>
      </c>
      <c r="B1926" s="110"/>
      <c r="T1926" s="109"/>
    </row>
    <row r="1927" spans="1:20" ht="23.4" x14ac:dyDescent="0.25">
      <c r="A1927" s="57">
        <v>1926</v>
      </c>
      <c r="B1927" s="110"/>
      <c r="T1927" s="112"/>
    </row>
    <row r="1928" spans="1:20" ht="23.4" x14ac:dyDescent="0.25">
      <c r="A1928" s="57">
        <v>1927</v>
      </c>
      <c r="B1928" s="110"/>
      <c r="T1928" s="112"/>
    </row>
    <row r="1929" spans="1:20" ht="23.4" x14ac:dyDescent="0.25">
      <c r="A1929" s="57">
        <v>1928</v>
      </c>
      <c r="B1929" s="110"/>
      <c r="T1929" s="112"/>
    </row>
    <row r="1930" spans="1:20" ht="23.4" x14ac:dyDescent="0.25">
      <c r="A1930" s="57">
        <v>1929</v>
      </c>
      <c r="B1930" s="110"/>
      <c r="T1930" s="112"/>
    </row>
    <row r="1931" spans="1:20" ht="23.4" x14ac:dyDescent="0.25">
      <c r="A1931" s="57">
        <v>1930</v>
      </c>
      <c r="B1931" s="110"/>
      <c r="T1931" s="112"/>
    </row>
    <row r="1932" spans="1:20" ht="23.4" x14ac:dyDescent="0.25">
      <c r="A1932" s="57">
        <v>1931</v>
      </c>
      <c r="B1932" s="110"/>
      <c r="T1932" s="112"/>
    </row>
    <row r="1933" spans="1:20" ht="26.4" x14ac:dyDescent="0.25">
      <c r="A1933" s="57">
        <v>1932</v>
      </c>
      <c r="B1933" s="110"/>
      <c r="T1933" s="109"/>
    </row>
    <row r="1934" spans="1:20" ht="23.4" x14ac:dyDescent="0.25">
      <c r="A1934" s="57">
        <v>1933</v>
      </c>
      <c r="B1934" s="110"/>
      <c r="T1934" s="112"/>
    </row>
    <row r="1935" spans="1:20" ht="23.4" x14ac:dyDescent="0.25">
      <c r="A1935" s="57">
        <v>1934</v>
      </c>
      <c r="B1935" s="110"/>
      <c r="T1935" s="112"/>
    </row>
    <row r="1936" spans="1:20" ht="23.4" x14ac:dyDescent="0.25">
      <c r="A1936" s="57">
        <v>1935</v>
      </c>
      <c r="B1936" s="110"/>
      <c r="T1936" s="112"/>
    </row>
    <row r="1937" spans="1:20" ht="23.4" x14ac:dyDescent="0.25">
      <c r="A1937" s="57">
        <v>1936</v>
      </c>
      <c r="B1937" s="110"/>
      <c r="T1937" s="112"/>
    </row>
    <row r="1938" spans="1:20" ht="23.4" x14ac:dyDescent="0.25">
      <c r="A1938" s="57">
        <v>1937</v>
      </c>
      <c r="B1938" s="110"/>
      <c r="T1938" s="112"/>
    </row>
    <row r="1939" spans="1:20" ht="23.4" x14ac:dyDescent="0.25">
      <c r="A1939" s="57">
        <v>1938</v>
      </c>
      <c r="B1939" s="110"/>
      <c r="T1939" s="112"/>
    </row>
    <row r="1940" spans="1:20" ht="26.4" x14ac:dyDescent="0.25">
      <c r="A1940" s="57">
        <v>1939</v>
      </c>
      <c r="B1940" s="110"/>
      <c r="T1940" s="109"/>
    </row>
    <row r="1941" spans="1:20" ht="23.4" x14ac:dyDescent="0.25">
      <c r="A1941" s="57">
        <v>1940</v>
      </c>
      <c r="B1941" s="110"/>
      <c r="T1941" s="112"/>
    </row>
    <row r="1942" spans="1:20" ht="23.4" x14ac:dyDescent="0.25">
      <c r="A1942" s="57">
        <v>1941</v>
      </c>
      <c r="B1942" s="110"/>
      <c r="T1942" s="112"/>
    </row>
    <row r="1943" spans="1:20" ht="23.4" x14ac:dyDescent="0.25">
      <c r="A1943" s="57">
        <v>1942</v>
      </c>
      <c r="B1943" s="110"/>
      <c r="T1943" s="112"/>
    </row>
    <row r="1944" spans="1:20" ht="23.4" x14ac:dyDescent="0.25">
      <c r="A1944" s="57">
        <v>1943</v>
      </c>
      <c r="B1944" s="110"/>
      <c r="T1944" s="112"/>
    </row>
    <row r="1945" spans="1:20" ht="23.4" x14ac:dyDescent="0.25">
      <c r="A1945" s="57">
        <v>1944</v>
      </c>
      <c r="B1945" s="110"/>
      <c r="T1945" s="112"/>
    </row>
    <row r="1946" spans="1:20" ht="23.4" x14ac:dyDescent="0.25">
      <c r="A1946" s="57">
        <v>1945</v>
      </c>
      <c r="B1946" s="110"/>
      <c r="T1946" s="112"/>
    </row>
    <row r="1947" spans="1:20" ht="26.4" x14ac:dyDescent="0.25">
      <c r="A1947" s="57">
        <v>1946</v>
      </c>
      <c r="B1947" s="110"/>
      <c r="T1947" s="109"/>
    </row>
    <row r="1948" spans="1:20" ht="23.4" x14ac:dyDescent="0.25">
      <c r="A1948" s="57">
        <v>1947</v>
      </c>
      <c r="B1948" s="110"/>
      <c r="T1948" s="112"/>
    </row>
    <row r="1949" spans="1:20" ht="23.4" x14ac:dyDescent="0.25">
      <c r="A1949" s="57">
        <v>1948</v>
      </c>
      <c r="B1949" s="110"/>
      <c r="T1949" s="112"/>
    </row>
    <row r="1950" spans="1:20" ht="23.4" x14ac:dyDescent="0.25">
      <c r="A1950" s="57">
        <v>1949</v>
      </c>
      <c r="B1950" s="110"/>
      <c r="T1950" s="112"/>
    </row>
    <row r="1951" spans="1:20" ht="23.4" x14ac:dyDescent="0.25">
      <c r="A1951" s="57">
        <v>1950</v>
      </c>
      <c r="B1951" s="110"/>
      <c r="T1951" s="112"/>
    </row>
    <row r="1952" spans="1:20" ht="23.4" x14ac:dyDescent="0.25">
      <c r="A1952" s="57">
        <v>1951</v>
      </c>
      <c r="B1952" s="110"/>
      <c r="T1952" s="112"/>
    </row>
    <row r="1953" spans="1:20" ht="23.4" x14ac:dyDescent="0.25">
      <c r="A1953" s="57">
        <v>1952</v>
      </c>
      <c r="B1953" s="110"/>
      <c r="T1953" s="112"/>
    </row>
    <row r="1954" spans="1:20" ht="26.4" x14ac:dyDescent="0.25">
      <c r="A1954" s="57">
        <v>1953</v>
      </c>
      <c r="B1954" s="110"/>
      <c r="T1954" s="109"/>
    </row>
    <row r="1955" spans="1:20" ht="23.4" x14ac:dyDescent="0.25">
      <c r="A1955" s="57">
        <v>1954</v>
      </c>
      <c r="B1955" s="110"/>
      <c r="T1955" s="112"/>
    </row>
    <row r="1956" spans="1:20" ht="23.4" x14ac:dyDescent="0.25">
      <c r="A1956" s="57">
        <v>1955</v>
      </c>
      <c r="B1956" s="110"/>
      <c r="T1956" s="112"/>
    </row>
    <row r="1957" spans="1:20" ht="23.4" x14ac:dyDescent="0.25">
      <c r="A1957" s="57">
        <v>1956</v>
      </c>
      <c r="B1957" s="110"/>
      <c r="T1957" s="112"/>
    </row>
    <row r="1958" spans="1:20" ht="23.4" x14ac:dyDescent="0.25">
      <c r="A1958" s="57">
        <v>1957</v>
      </c>
      <c r="B1958" s="110"/>
      <c r="T1958" s="112"/>
    </row>
    <row r="1959" spans="1:20" ht="23.4" x14ac:dyDescent="0.25">
      <c r="A1959" s="57">
        <v>1958</v>
      </c>
      <c r="B1959" s="110"/>
      <c r="T1959" s="112"/>
    </row>
    <row r="1960" spans="1:20" ht="23.4" x14ac:dyDescent="0.25">
      <c r="A1960" s="57">
        <v>1959</v>
      </c>
      <c r="B1960" s="110"/>
      <c r="T1960" s="112"/>
    </row>
    <row r="1961" spans="1:20" ht="26.4" x14ac:dyDescent="0.25">
      <c r="A1961" s="57">
        <v>1960</v>
      </c>
      <c r="B1961" s="110"/>
      <c r="T1961" s="109"/>
    </row>
    <row r="1962" spans="1:20" ht="23.4" x14ac:dyDescent="0.25">
      <c r="A1962" s="57">
        <v>1961</v>
      </c>
      <c r="B1962" s="110"/>
      <c r="T1962" s="112"/>
    </row>
    <row r="1963" spans="1:20" ht="23.4" x14ac:dyDescent="0.25">
      <c r="A1963" s="57">
        <v>1962</v>
      </c>
      <c r="B1963" s="110"/>
      <c r="T1963" s="112"/>
    </row>
    <row r="1964" spans="1:20" ht="23.4" x14ac:dyDescent="0.25">
      <c r="A1964" s="57">
        <v>1963</v>
      </c>
      <c r="B1964" s="110"/>
      <c r="T1964" s="112"/>
    </row>
    <row r="1965" spans="1:20" ht="23.4" x14ac:dyDescent="0.25">
      <c r="A1965" s="57">
        <v>1964</v>
      </c>
      <c r="B1965" s="110"/>
      <c r="T1965" s="112"/>
    </row>
    <row r="1966" spans="1:20" ht="23.4" x14ac:dyDescent="0.25">
      <c r="A1966" s="57">
        <v>1965</v>
      </c>
      <c r="B1966" s="110"/>
      <c r="T1966" s="112"/>
    </row>
    <row r="1967" spans="1:20" ht="23.4" x14ac:dyDescent="0.25">
      <c r="A1967" s="57">
        <v>1966</v>
      </c>
      <c r="B1967" s="110"/>
      <c r="T1967" s="112"/>
    </row>
    <row r="1968" spans="1:20" ht="26.4" x14ac:dyDescent="0.25">
      <c r="A1968" s="57">
        <v>1967</v>
      </c>
      <c r="B1968" s="110"/>
      <c r="T1968" s="109"/>
    </row>
    <row r="1969" spans="1:20" ht="23.4" x14ac:dyDescent="0.25">
      <c r="A1969" s="57">
        <v>1968</v>
      </c>
      <c r="B1969" s="110"/>
      <c r="T1969" s="112"/>
    </row>
    <row r="1970" spans="1:20" ht="23.4" x14ac:dyDescent="0.25">
      <c r="A1970" s="57">
        <v>1969</v>
      </c>
      <c r="B1970" s="110"/>
      <c r="T1970" s="112"/>
    </row>
    <row r="1971" spans="1:20" ht="23.4" x14ac:dyDescent="0.25">
      <c r="A1971" s="57">
        <v>1970</v>
      </c>
      <c r="B1971" s="110"/>
      <c r="T1971" s="112"/>
    </row>
    <row r="1972" spans="1:20" ht="23.4" x14ac:dyDescent="0.25">
      <c r="A1972" s="57">
        <v>1971</v>
      </c>
      <c r="B1972" s="110"/>
      <c r="T1972" s="112"/>
    </row>
    <row r="1973" spans="1:20" ht="23.4" x14ac:dyDescent="0.25">
      <c r="A1973" s="57">
        <v>1972</v>
      </c>
      <c r="B1973" s="110"/>
      <c r="T1973" s="112"/>
    </row>
    <row r="1974" spans="1:20" ht="23.4" x14ac:dyDescent="0.25">
      <c r="A1974" s="57">
        <v>1973</v>
      </c>
      <c r="B1974" s="110"/>
      <c r="T1974" s="112"/>
    </row>
    <row r="1975" spans="1:20" ht="26.4" x14ac:dyDescent="0.25">
      <c r="A1975" s="57">
        <v>1974</v>
      </c>
      <c r="B1975" s="110"/>
      <c r="T1975" s="109"/>
    </row>
    <row r="1976" spans="1:20" ht="23.4" x14ac:dyDescent="0.25">
      <c r="A1976" s="57">
        <v>1975</v>
      </c>
      <c r="B1976" s="110"/>
      <c r="T1976" s="112"/>
    </row>
    <row r="1977" spans="1:20" ht="23.4" x14ac:dyDescent="0.25">
      <c r="A1977" s="57">
        <v>1976</v>
      </c>
      <c r="B1977" s="110"/>
      <c r="T1977" s="112"/>
    </row>
    <row r="1978" spans="1:20" ht="23.4" x14ac:dyDescent="0.25">
      <c r="A1978" s="57">
        <v>1977</v>
      </c>
      <c r="B1978" s="110"/>
      <c r="T1978" s="112"/>
    </row>
    <row r="1979" spans="1:20" ht="23.4" x14ac:dyDescent="0.25">
      <c r="A1979" s="57">
        <v>1978</v>
      </c>
      <c r="B1979" s="110"/>
      <c r="T1979" s="112"/>
    </row>
    <row r="1980" spans="1:20" ht="23.4" x14ac:dyDescent="0.25">
      <c r="A1980" s="57">
        <v>1979</v>
      </c>
      <c r="B1980" s="110"/>
      <c r="T1980" s="112"/>
    </row>
    <row r="1981" spans="1:20" ht="23.4" x14ac:dyDescent="0.25">
      <c r="A1981" s="57">
        <v>1980</v>
      </c>
      <c r="B1981" s="110"/>
      <c r="T1981" s="112"/>
    </row>
    <row r="1982" spans="1:20" ht="26.4" x14ac:dyDescent="0.25">
      <c r="A1982" s="57">
        <v>1981</v>
      </c>
      <c r="B1982" s="110"/>
      <c r="T1982" s="109"/>
    </row>
    <row r="1983" spans="1:20" ht="23.4" x14ac:dyDescent="0.25">
      <c r="A1983" s="57">
        <v>1982</v>
      </c>
      <c r="B1983" s="110"/>
      <c r="T1983" s="112"/>
    </row>
    <row r="1984" spans="1:20" ht="23.4" x14ac:dyDescent="0.25">
      <c r="A1984" s="57">
        <v>1983</v>
      </c>
      <c r="B1984" s="110"/>
      <c r="T1984" s="112"/>
    </row>
    <row r="1985" spans="1:20" ht="23.4" x14ac:dyDescent="0.25">
      <c r="A1985" s="57">
        <v>1984</v>
      </c>
      <c r="B1985" s="110"/>
      <c r="T1985" s="112"/>
    </row>
    <row r="1986" spans="1:20" ht="23.4" x14ac:dyDescent="0.25">
      <c r="A1986" s="57">
        <v>1985</v>
      </c>
      <c r="B1986" s="110"/>
      <c r="T1986" s="112"/>
    </row>
    <row r="1987" spans="1:20" ht="23.4" x14ac:dyDescent="0.25">
      <c r="A1987" s="57">
        <v>1986</v>
      </c>
      <c r="B1987" s="110"/>
      <c r="T1987" s="112"/>
    </row>
    <row r="1988" spans="1:20" ht="23.4" x14ac:dyDescent="0.25">
      <c r="A1988" s="57">
        <v>1987</v>
      </c>
      <c r="B1988" s="110"/>
      <c r="T1988" s="112"/>
    </row>
    <row r="1989" spans="1:20" ht="26.4" x14ac:dyDescent="0.25">
      <c r="A1989" s="57">
        <v>1988</v>
      </c>
      <c r="B1989" s="110"/>
      <c r="T1989" s="109"/>
    </row>
    <row r="1990" spans="1:20" ht="23.4" x14ac:dyDescent="0.25">
      <c r="A1990" s="57">
        <v>1989</v>
      </c>
      <c r="B1990" s="110"/>
      <c r="T1990" s="112"/>
    </row>
    <row r="1991" spans="1:20" ht="23.4" x14ac:dyDescent="0.25">
      <c r="A1991" s="57">
        <v>1990</v>
      </c>
      <c r="B1991" s="110"/>
      <c r="T1991" s="112"/>
    </row>
    <row r="1992" spans="1:20" ht="23.4" x14ac:dyDescent="0.25">
      <c r="A1992" s="57">
        <v>1991</v>
      </c>
      <c r="B1992" s="110"/>
      <c r="T1992" s="112"/>
    </row>
    <row r="1993" spans="1:20" ht="23.4" x14ac:dyDescent="0.25">
      <c r="A1993" s="57">
        <v>1992</v>
      </c>
      <c r="B1993" s="110"/>
      <c r="T1993" s="112"/>
    </row>
    <row r="1994" spans="1:20" ht="23.4" x14ac:dyDescent="0.25">
      <c r="A1994" s="57">
        <v>1993</v>
      </c>
      <c r="B1994" s="110"/>
      <c r="T1994" s="112"/>
    </row>
    <row r="1995" spans="1:20" ht="23.4" x14ac:dyDescent="0.25">
      <c r="A1995" s="57">
        <v>1994</v>
      </c>
      <c r="B1995" s="110"/>
      <c r="T1995" s="112"/>
    </row>
    <row r="1996" spans="1:20" ht="26.4" x14ac:dyDescent="0.25">
      <c r="A1996" s="57">
        <v>1995</v>
      </c>
      <c r="B1996" s="110"/>
      <c r="T1996" s="109"/>
    </row>
    <row r="1997" spans="1:20" ht="23.4" x14ac:dyDescent="0.25">
      <c r="A1997" s="57">
        <v>1996</v>
      </c>
      <c r="B1997" s="110"/>
      <c r="T1997" s="112"/>
    </row>
    <row r="1998" spans="1:20" ht="23.4" x14ac:dyDescent="0.25">
      <c r="A1998" s="57">
        <v>1997</v>
      </c>
      <c r="B1998" s="110"/>
      <c r="T1998" s="112"/>
    </row>
    <row r="1999" spans="1:20" ht="23.4" x14ac:dyDescent="0.25">
      <c r="A1999" s="57">
        <v>1998</v>
      </c>
      <c r="B1999" s="110"/>
      <c r="T1999" s="112"/>
    </row>
    <row r="2000" spans="1:20" ht="23.4" x14ac:dyDescent="0.25">
      <c r="A2000" s="57">
        <v>1999</v>
      </c>
      <c r="B2000" s="110"/>
      <c r="T2000" s="112"/>
    </row>
    <row r="2001" spans="1:20" ht="23.4" x14ac:dyDescent="0.25">
      <c r="A2001" s="57">
        <v>2000</v>
      </c>
      <c r="B2001" s="110"/>
      <c r="T2001" s="112"/>
    </row>
    <row r="2002" spans="1:20" ht="23.4" x14ac:dyDescent="0.25">
      <c r="A2002" s="57">
        <v>2001</v>
      </c>
      <c r="B2002" s="110"/>
      <c r="T2002" s="112"/>
    </row>
    <row r="2003" spans="1:20" ht="26.4" x14ac:dyDescent="0.25">
      <c r="A2003" s="57">
        <v>2002</v>
      </c>
      <c r="B2003" s="110"/>
      <c r="T2003" s="109"/>
    </row>
    <row r="2004" spans="1:20" ht="27" thickBot="1" x14ac:dyDescent="0.3">
      <c r="B2004" s="110"/>
      <c r="M2004" s="113" t="s">
        <v>28</v>
      </c>
      <c r="N2004" s="114">
        <f>SUM(N2:N2003)</f>
        <v>1062.6189999999995</v>
      </c>
      <c r="O2004" s="114"/>
      <c r="P2004" s="114">
        <f>SUM(P2:P2003)</f>
        <v>995.11500000000206</v>
      </c>
      <c r="Q2004" s="114">
        <f>SUM(Q2:Q2003)</f>
        <v>69.66019999999989</v>
      </c>
      <c r="R2004" s="114">
        <f>SUM(R2:R2003)</f>
        <v>165</v>
      </c>
      <c r="S2004" s="114">
        <f>SUM(S2:S2003)</f>
        <v>17079</v>
      </c>
      <c r="T2004" s="115">
        <f>SUM(T2:T2003)</f>
        <v>18143.970000000008</v>
      </c>
    </row>
    <row r="2005" spans="1:20" ht="29.4" thickTop="1" x14ac:dyDescent="0.25">
      <c r="B2005" s="110"/>
    </row>
    <row r="2006" spans="1:20" x14ac:dyDescent="0.25">
      <c r="B2006" s="110"/>
    </row>
    <row r="2007" spans="1:20" x14ac:dyDescent="0.25">
      <c r="B2007" s="110"/>
    </row>
    <row r="2008" spans="1:20" x14ac:dyDescent="0.25">
      <c r="B2008" s="110"/>
    </row>
    <row r="2009" spans="1:20" x14ac:dyDescent="0.25">
      <c r="B2009" s="110"/>
    </row>
    <row r="2010" spans="1:20" x14ac:dyDescent="0.25">
      <c r="B2010" s="110"/>
    </row>
    <row r="2011" spans="1:20" x14ac:dyDescent="0.25">
      <c r="B2011" s="110"/>
    </row>
    <row r="2012" spans="1:20" x14ac:dyDescent="0.25">
      <c r="B2012" s="110"/>
    </row>
    <row r="2013" spans="1:20" x14ac:dyDescent="0.25">
      <c r="B2013" s="110"/>
    </row>
    <row r="2014" spans="1:20" x14ac:dyDescent="0.25">
      <c r="B2014" s="110"/>
    </row>
    <row r="2015" spans="1:20" x14ac:dyDescent="0.25">
      <c r="B2015" s="110"/>
    </row>
    <row r="2016" spans="1:20" x14ac:dyDescent="0.25">
      <c r="B2016" s="110"/>
    </row>
    <row r="2017" spans="2:2" x14ac:dyDescent="0.25">
      <c r="B2017" s="110"/>
    </row>
    <row r="2018" spans="2:2" x14ac:dyDescent="0.25">
      <c r="B2018" s="110"/>
    </row>
    <row r="2019" spans="2:2" x14ac:dyDescent="0.25">
      <c r="B2019" s="110"/>
    </row>
    <row r="2020" spans="2:2" x14ac:dyDescent="0.25">
      <c r="B2020" s="110"/>
    </row>
    <row r="2021" spans="2:2" x14ac:dyDescent="0.25">
      <c r="B2021" s="110"/>
    </row>
    <row r="2022" spans="2:2" x14ac:dyDescent="0.25">
      <c r="B2022" s="110"/>
    </row>
    <row r="2023" spans="2:2" x14ac:dyDescent="0.25">
      <c r="B2023" s="110"/>
    </row>
    <row r="2024" spans="2:2" x14ac:dyDescent="0.25">
      <c r="B2024" s="110"/>
    </row>
    <row r="2025" spans="2:2" x14ac:dyDescent="0.25">
      <c r="B2025" s="110"/>
    </row>
    <row r="2026" spans="2:2" x14ac:dyDescent="0.25">
      <c r="B2026" s="110"/>
    </row>
    <row r="2027" spans="2:2" x14ac:dyDescent="0.25">
      <c r="B2027" s="110"/>
    </row>
    <row r="2028" spans="2:2" x14ac:dyDescent="0.25">
      <c r="B2028" s="110"/>
    </row>
    <row r="2029" spans="2:2" x14ac:dyDescent="0.25">
      <c r="B2029" s="110"/>
    </row>
    <row r="2030" spans="2:2" x14ac:dyDescent="0.25">
      <c r="B2030" s="110"/>
    </row>
    <row r="2031" spans="2:2" x14ac:dyDescent="0.25">
      <c r="B2031" s="110"/>
    </row>
    <row r="2032" spans="2:2" x14ac:dyDescent="0.25">
      <c r="B2032" s="110"/>
    </row>
    <row r="2033" spans="2:2" x14ac:dyDescent="0.25">
      <c r="B2033" s="110"/>
    </row>
    <row r="2034" spans="2:2" x14ac:dyDescent="0.25">
      <c r="B2034" s="110"/>
    </row>
    <row r="2035" spans="2:2" x14ac:dyDescent="0.25">
      <c r="B2035" s="110"/>
    </row>
    <row r="2036" spans="2:2" x14ac:dyDescent="0.25">
      <c r="B2036" s="110"/>
    </row>
    <row r="2037" spans="2:2" x14ac:dyDescent="0.25">
      <c r="B2037" s="110"/>
    </row>
    <row r="2038" spans="2:2" x14ac:dyDescent="0.25">
      <c r="B2038" s="110"/>
    </row>
    <row r="2039" spans="2:2" x14ac:dyDescent="0.25">
      <c r="B2039" s="110"/>
    </row>
    <row r="2040" spans="2:2" x14ac:dyDescent="0.25">
      <c r="B2040" s="110"/>
    </row>
    <row r="2041" spans="2:2" x14ac:dyDescent="0.25">
      <c r="B2041" s="110"/>
    </row>
    <row r="2042" spans="2:2" x14ac:dyDescent="0.25">
      <c r="B2042" s="110"/>
    </row>
    <row r="2043" spans="2:2" x14ac:dyDescent="0.25">
      <c r="B2043" s="110"/>
    </row>
    <row r="2044" spans="2:2" x14ac:dyDescent="0.25">
      <c r="B2044" s="110"/>
    </row>
    <row r="2045" spans="2:2" x14ac:dyDescent="0.25">
      <c r="B2045" s="110"/>
    </row>
    <row r="2046" spans="2:2" x14ac:dyDescent="0.25">
      <c r="B2046" s="110"/>
    </row>
    <row r="2047" spans="2:2" x14ac:dyDescent="0.25">
      <c r="B2047" s="110"/>
    </row>
    <row r="2048" spans="2:2" x14ac:dyDescent="0.25">
      <c r="B2048" s="110"/>
    </row>
    <row r="2049" spans="2:2" x14ac:dyDescent="0.25">
      <c r="B2049" s="110"/>
    </row>
    <row r="2050" spans="2:2" x14ac:dyDescent="0.25">
      <c r="B2050" s="110"/>
    </row>
    <row r="2051" spans="2:2" x14ac:dyDescent="0.25">
      <c r="B2051" s="110"/>
    </row>
    <row r="2052" spans="2:2" x14ac:dyDescent="0.25">
      <c r="B2052" s="110"/>
    </row>
    <row r="2053" spans="2:2" x14ac:dyDescent="0.25">
      <c r="B2053" s="110"/>
    </row>
    <row r="2054" spans="2:2" x14ac:dyDescent="0.25">
      <c r="B2054" s="110"/>
    </row>
    <row r="2055" spans="2:2" x14ac:dyDescent="0.25">
      <c r="B2055" s="110"/>
    </row>
    <row r="2056" spans="2:2" x14ac:dyDescent="0.25">
      <c r="B2056" s="110"/>
    </row>
    <row r="2057" spans="2:2" x14ac:dyDescent="0.25">
      <c r="B2057" s="110"/>
    </row>
    <row r="2058" spans="2:2" x14ac:dyDescent="0.25">
      <c r="B2058" s="110"/>
    </row>
    <row r="2059" spans="2:2" x14ac:dyDescent="0.25">
      <c r="B2059" s="110"/>
    </row>
    <row r="2060" spans="2:2" x14ac:dyDescent="0.25">
      <c r="B2060" s="110"/>
    </row>
    <row r="2061" spans="2:2" x14ac:dyDescent="0.25">
      <c r="B2061" s="110"/>
    </row>
    <row r="2062" spans="2:2" x14ac:dyDescent="0.25">
      <c r="B2062" s="110"/>
    </row>
    <row r="2063" spans="2:2" x14ac:dyDescent="0.25">
      <c r="B2063" s="110"/>
    </row>
    <row r="2064" spans="2:2" x14ac:dyDescent="0.25">
      <c r="B2064" s="110"/>
    </row>
    <row r="2065" spans="2:2" x14ac:dyDescent="0.25">
      <c r="B2065" s="110"/>
    </row>
    <row r="2066" spans="2:2" x14ac:dyDescent="0.25">
      <c r="B2066" s="110"/>
    </row>
    <row r="2067" spans="2:2" x14ac:dyDescent="0.25">
      <c r="B2067" s="110"/>
    </row>
    <row r="2068" spans="2:2" x14ac:dyDescent="0.25">
      <c r="B2068" s="110"/>
    </row>
    <row r="2069" spans="2:2" x14ac:dyDescent="0.25">
      <c r="B2069" s="110"/>
    </row>
    <row r="2070" spans="2:2" x14ac:dyDescent="0.25">
      <c r="B2070" s="110"/>
    </row>
    <row r="2071" spans="2:2" x14ac:dyDescent="0.25">
      <c r="B2071" s="110"/>
    </row>
    <row r="2072" spans="2:2" x14ac:dyDescent="0.25">
      <c r="B2072" s="110"/>
    </row>
    <row r="2073" spans="2:2" x14ac:dyDescent="0.25">
      <c r="B2073" s="110"/>
    </row>
    <row r="2074" spans="2:2" x14ac:dyDescent="0.25">
      <c r="B2074" s="110"/>
    </row>
    <row r="2075" spans="2:2" x14ac:dyDescent="0.25">
      <c r="B2075" s="110"/>
    </row>
    <row r="2076" spans="2:2" x14ac:dyDescent="0.25">
      <c r="B2076" s="110"/>
    </row>
    <row r="2077" spans="2:2" x14ac:dyDescent="0.25">
      <c r="B2077" s="110"/>
    </row>
    <row r="2078" spans="2:2" x14ac:dyDescent="0.25">
      <c r="B2078" s="110"/>
    </row>
    <row r="2079" spans="2:2" x14ac:dyDescent="0.25">
      <c r="B2079" s="110"/>
    </row>
    <row r="2080" spans="2:2" x14ac:dyDescent="0.25">
      <c r="B2080" s="110"/>
    </row>
    <row r="2081" spans="2:2" x14ac:dyDescent="0.25">
      <c r="B2081" s="110"/>
    </row>
    <row r="2082" spans="2:2" x14ac:dyDescent="0.25">
      <c r="B2082" s="110"/>
    </row>
    <row r="2083" spans="2:2" x14ac:dyDescent="0.25">
      <c r="B2083" s="110"/>
    </row>
    <row r="2084" spans="2:2" x14ac:dyDescent="0.25">
      <c r="B2084" s="110"/>
    </row>
    <row r="2085" spans="2:2" x14ac:dyDescent="0.25">
      <c r="B2085" s="110"/>
    </row>
    <row r="2086" spans="2:2" x14ac:dyDescent="0.25">
      <c r="B2086" s="110"/>
    </row>
    <row r="2087" spans="2:2" x14ac:dyDescent="0.25">
      <c r="B2087" s="110"/>
    </row>
    <row r="2088" spans="2:2" x14ac:dyDescent="0.25">
      <c r="B2088" s="110"/>
    </row>
    <row r="2089" spans="2:2" x14ac:dyDescent="0.25">
      <c r="B2089" s="110"/>
    </row>
    <row r="2090" spans="2:2" x14ac:dyDescent="0.25">
      <c r="B2090" s="110"/>
    </row>
    <row r="2091" spans="2:2" x14ac:dyDescent="0.25">
      <c r="B2091" s="110"/>
    </row>
    <row r="2092" spans="2:2" x14ac:dyDescent="0.25">
      <c r="B2092" s="110"/>
    </row>
    <row r="2093" spans="2:2" x14ac:dyDescent="0.25">
      <c r="B2093" s="110"/>
    </row>
    <row r="2094" spans="2:2" x14ac:dyDescent="0.25">
      <c r="B2094" s="110"/>
    </row>
    <row r="2095" spans="2:2" x14ac:dyDescent="0.25">
      <c r="B2095" s="110"/>
    </row>
    <row r="2096" spans="2:2" x14ac:dyDescent="0.25">
      <c r="B2096" s="110"/>
    </row>
    <row r="2097" spans="2:2" x14ac:dyDescent="0.25">
      <c r="B2097" s="110"/>
    </row>
    <row r="2098" spans="2:2" x14ac:dyDescent="0.25">
      <c r="B2098" s="110"/>
    </row>
    <row r="2099" spans="2:2" x14ac:dyDescent="0.25">
      <c r="B2099" s="110"/>
    </row>
    <row r="2100" spans="2:2" x14ac:dyDescent="0.25">
      <c r="B2100" s="110"/>
    </row>
    <row r="2101" spans="2:2" x14ac:dyDescent="0.25">
      <c r="B2101" s="110"/>
    </row>
    <row r="2102" spans="2:2" x14ac:dyDescent="0.25">
      <c r="B2102" s="110"/>
    </row>
    <row r="2103" spans="2:2" x14ac:dyDescent="0.25">
      <c r="B2103" s="110"/>
    </row>
    <row r="2104" spans="2:2" x14ac:dyDescent="0.25">
      <c r="B2104" s="110"/>
    </row>
    <row r="2105" spans="2:2" x14ac:dyDescent="0.25">
      <c r="B2105" s="110"/>
    </row>
    <row r="2106" spans="2:2" x14ac:dyDescent="0.25">
      <c r="B2106" s="110"/>
    </row>
    <row r="2107" spans="2:2" x14ac:dyDescent="0.25">
      <c r="B2107" s="110"/>
    </row>
    <row r="2108" spans="2:2" x14ac:dyDescent="0.25">
      <c r="B2108" s="110"/>
    </row>
    <row r="2109" spans="2:2" x14ac:dyDescent="0.25">
      <c r="B2109" s="110"/>
    </row>
    <row r="2110" spans="2:2" x14ac:dyDescent="0.25">
      <c r="B2110" s="110"/>
    </row>
    <row r="2111" spans="2:2" x14ac:dyDescent="0.25">
      <c r="B2111" s="110"/>
    </row>
    <row r="2112" spans="2:2" x14ac:dyDescent="0.25">
      <c r="B2112" s="110"/>
    </row>
    <row r="2113" spans="2:2" x14ac:dyDescent="0.25">
      <c r="B2113" s="110"/>
    </row>
    <row r="2114" spans="2:2" x14ac:dyDescent="0.25">
      <c r="B2114" s="110"/>
    </row>
    <row r="2115" spans="2:2" x14ac:dyDescent="0.25">
      <c r="B2115" s="110"/>
    </row>
    <row r="2116" spans="2:2" x14ac:dyDescent="0.25">
      <c r="B2116" s="110"/>
    </row>
    <row r="2117" spans="2:2" x14ac:dyDescent="0.25">
      <c r="B2117" s="110"/>
    </row>
    <row r="2118" spans="2:2" x14ac:dyDescent="0.25">
      <c r="B2118" s="110"/>
    </row>
    <row r="2119" spans="2:2" x14ac:dyDescent="0.25">
      <c r="B2119" s="110"/>
    </row>
    <row r="2120" spans="2:2" x14ac:dyDescent="0.25">
      <c r="B2120" s="110"/>
    </row>
    <row r="2121" spans="2:2" x14ac:dyDescent="0.25">
      <c r="B2121" s="110"/>
    </row>
    <row r="2122" spans="2:2" x14ac:dyDescent="0.25">
      <c r="B2122" s="110"/>
    </row>
    <row r="2123" spans="2:2" x14ac:dyDescent="0.25">
      <c r="B2123" s="110"/>
    </row>
    <row r="2124" spans="2:2" x14ac:dyDescent="0.25">
      <c r="B2124" s="110"/>
    </row>
    <row r="2125" spans="2:2" x14ac:dyDescent="0.25">
      <c r="B2125" s="110"/>
    </row>
    <row r="2126" spans="2:2" x14ac:dyDescent="0.25">
      <c r="B2126" s="110"/>
    </row>
    <row r="2127" spans="2:2" x14ac:dyDescent="0.25">
      <c r="B2127" s="110"/>
    </row>
    <row r="2128" spans="2:2" x14ac:dyDescent="0.25">
      <c r="B2128" s="110"/>
    </row>
    <row r="2129" spans="2:2" x14ac:dyDescent="0.25">
      <c r="B2129" s="110"/>
    </row>
    <row r="2130" spans="2:2" x14ac:dyDescent="0.25">
      <c r="B2130" s="110"/>
    </row>
    <row r="2131" spans="2:2" x14ac:dyDescent="0.25">
      <c r="B2131" s="110"/>
    </row>
    <row r="2132" spans="2:2" x14ac:dyDescent="0.25">
      <c r="B2132" s="110"/>
    </row>
    <row r="2133" spans="2:2" x14ac:dyDescent="0.25">
      <c r="B2133" s="110"/>
    </row>
    <row r="2134" spans="2:2" x14ac:dyDescent="0.25">
      <c r="B2134" s="110"/>
    </row>
    <row r="2135" spans="2:2" x14ac:dyDescent="0.25">
      <c r="B2135" s="110"/>
    </row>
    <row r="2136" spans="2:2" x14ac:dyDescent="0.25">
      <c r="B2136" s="110"/>
    </row>
    <row r="2137" spans="2:2" x14ac:dyDescent="0.25">
      <c r="B2137" s="110"/>
    </row>
    <row r="2138" spans="2:2" x14ac:dyDescent="0.25">
      <c r="B2138" s="110"/>
    </row>
    <row r="2139" spans="2:2" x14ac:dyDescent="0.25">
      <c r="B2139" s="110"/>
    </row>
    <row r="2140" spans="2:2" x14ac:dyDescent="0.25">
      <c r="B2140" s="110"/>
    </row>
    <row r="2141" spans="2:2" x14ac:dyDescent="0.25">
      <c r="B2141" s="110"/>
    </row>
    <row r="2142" spans="2:2" x14ac:dyDescent="0.25">
      <c r="B2142" s="110"/>
    </row>
    <row r="2143" spans="2:2" x14ac:dyDescent="0.25">
      <c r="B2143" s="110"/>
    </row>
    <row r="2144" spans="2:2" x14ac:dyDescent="0.25">
      <c r="B2144" s="110"/>
    </row>
    <row r="2145" spans="2:2" x14ac:dyDescent="0.25">
      <c r="B2145" s="110"/>
    </row>
    <row r="2146" spans="2:2" x14ac:dyDescent="0.25">
      <c r="B2146" s="110"/>
    </row>
    <row r="2147" spans="2:2" x14ac:dyDescent="0.25">
      <c r="B2147" s="110"/>
    </row>
    <row r="2148" spans="2:2" x14ac:dyDescent="0.25">
      <c r="B2148" s="110"/>
    </row>
    <row r="2149" spans="2:2" x14ac:dyDescent="0.25">
      <c r="B2149" s="110"/>
    </row>
    <row r="2150" spans="2:2" x14ac:dyDescent="0.25">
      <c r="B2150" s="110"/>
    </row>
    <row r="2151" spans="2:2" x14ac:dyDescent="0.25">
      <c r="B2151" s="110"/>
    </row>
    <row r="2152" spans="2:2" x14ac:dyDescent="0.25">
      <c r="B2152" s="110"/>
    </row>
    <row r="2153" spans="2:2" x14ac:dyDescent="0.25">
      <c r="B2153" s="110"/>
    </row>
    <row r="2154" spans="2:2" x14ac:dyDescent="0.25">
      <c r="B2154" s="110"/>
    </row>
    <row r="2155" spans="2:2" x14ac:dyDescent="0.25">
      <c r="B2155" s="110"/>
    </row>
    <row r="2156" spans="2:2" x14ac:dyDescent="0.25">
      <c r="B2156" s="110"/>
    </row>
    <row r="2157" spans="2:2" x14ac:dyDescent="0.25">
      <c r="B2157" s="110"/>
    </row>
    <row r="2158" spans="2:2" x14ac:dyDescent="0.25">
      <c r="B2158" s="110"/>
    </row>
    <row r="2159" spans="2:2" x14ac:dyDescent="0.25">
      <c r="B2159" s="110"/>
    </row>
    <row r="2160" spans="2:2" x14ac:dyDescent="0.25">
      <c r="B2160" s="110"/>
    </row>
    <row r="2161" spans="2:2" x14ac:dyDescent="0.25">
      <c r="B2161" s="110"/>
    </row>
    <row r="2162" spans="2:2" x14ac:dyDescent="0.25">
      <c r="B2162" s="110"/>
    </row>
    <row r="2163" spans="2:2" x14ac:dyDescent="0.25">
      <c r="B2163" s="110"/>
    </row>
    <row r="2164" spans="2:2" x14ac:dyDescent="0.25">
      <c r="B2164" s="110"/>
    </row>
    <row r="2165" spans="2:2" x14ac:dyDescent="0.25">
      <c r="B2165" s="110"/>
    </row>
    <row r="2166" spans="2:2" x14ac:dyDescent="0.25">
      <c r="B2166" s="110"/>
    </row>
    <row r="2167" spans="2:2" x14ac:dyDescent="0.25">
      <c r="B2167" s="110"/>
    </row>
    <row r="2168" spans="2:2" x14ac:dyDescent="0.25">
      <c r="B2168" s="110"/>
    </row>
    <row r="2169" spans="2:2" x14ac:dyDescent="0.25">
      <c r="B2169" s="110"/>
    </row>
    <row r="2170" spans="2:2" x14ac:dyDescent="0.25">
      <c r="B2170" s="110"/>
    </row>
    <row r="2171" spans="2:2" x14ac:dyDescent="0.25">
      <c r="B2171" s="110"/>
    </row>
    <row r="2172" spans="2:2" x14ac:dyDescent="0.25">
      <c r="B2172" s="110"/>
    </row>
    <row r="2173" spans="2:2" x14ac:dyDescent="0.25">
      <c r="B2173" s="110"/>
    </row>
    <row r="2174" spans="2:2" x14ac:dyDescent="0.25">
      <c r="B2174" s="110"/>
    </row>
    <row r="2175" spans="2:2" x14ac:dyDescent="0.25">
      <c r="B2175" s="110"/>
    </row>
    <row r="2176" spans="2:2" x14ac:dyDescent="0.25">
      <c r="B2176" s="110"/>
    </row>
    <row r="2177" spans="2:2" x14ac:dyDescent="0.25">
      <c r="B2177" s="110"/>
    </row>
    <row r="2178" spans="2:2" x14ac:dyDescent="0.25">
      <c r="B2178" s="110"/>
    </row>
    <row r="2179" spans="2:2" x14ac:dyDescent="0.25">
      <c r="B2179" s="110"/>
    </row>
    <row r="2180" spans="2:2" x14ac:dyDescent="0.25">
      <c r="B2180" s="110"/>
    </row>
    <row r="2181" spans="2:2" x14ac:dyDescent="0.25">
      <c r="B2181" s="110"/>
    </row>
    <row r="2182" spans="2:2" x14ac:dyDescent="0.25">
      <c r="B2182" s="110"/>
    </row>
    <row r="2183" spans="2:2" x14ac:dyDescent="0.25">
      <c r="B2183" s="110"/>
    </row>
    <row r="2184" spans="2:2" x14ac:dyDescent="0.25">
      <c r="B2184" s="110"/>
    </row>
    <row r="2185" spans="2:2" x14ac:dyDescent="0.25">
      <c r="B2185" s="110"/>
    </row>
    <row r="2186" spans="2:2" x14ac:dyDescent="0.25">
      <c r="B2186" s="110"/>
    </row>
    <row r="2187" spans="2:2" x14ac:dyDescent="0.25">
      <c r="B2187" s="110"/>
    </row>
    <row r="2188" spans="2:2" x14ac:dyDescent="0.25">
      <c r="B2188" s="110"/>
    </row>
    <row r="2189" spans="2:2" x14ac:dyDescent="0.25">
      <c r="B2189" s="110"/>
    </row>
    <row r="2190" spans="2:2" x14ac:dyDescent="0.25">
      <c r="B2190" s="110"/>
    </row>
    <row r="2191" spans="2:2" x14ac:dyDescent="0.25">
      <c r="B2191" s="110"/>
    </row>
    <row r="2192" spans="2:2" x14ac:dyDescent="0.25">
      <c r="B2192" s="110"/>
    </row>
    <row r="2193" spans="2:2" x14ac:dyDescent="0.25">
      <c r="B2193" s="110"/>
    </row>
    <row r="2194" spans="2:2" x14ac:dyDescent="0.25">
      <c r="B2194" s="110"/>
    </row>
    <row r="2195" spans="2:2" x14ac:dyDescent="0.25">
      <c r="B2195" s="110"/>
    </row>
    <row r="2196" spans="2:2" x14ac:dyDescent="0.25">
      <c r="B2196" s="110"/>
    </row>
    <row r="2197" spans="2:2" x14ac:dyDescent="0.25">
      <c r="B2197" s="110"/>
    </row>
    <row r="2198" spans="2:2" x14ac:dyDescent="0.25">
      <c r="B2198" s="110"/>
    </row>
    <row r="2199" spans="2:2" x14ac:dyDescent="0.25">
      <c r="B2199" s="110"/>
    </row>
    <row r="2200" spans="2:2" x14ac:dyDescent="0.25">
      <c r="B2200" s="110"/>
    </row>
    <row r="2201" spans="2:2" x14ac:dyDescent="0.25">
      <c r="B2201" s="110"/>
    </row>
    <row r="2202" spans="2:2" x14ac:dyDescent="0.25">
      <c r="B2202" s="110"/>
    </row>
    <row r="2203" spans="2:2" x14ac:dyDescent="0.25">
      <c r="B2203" s="110"/>
    </row>
    <row r="2204" spans="2:2" x14ac:dyDescent="0.25">
      <c r="B2204" s="110"/>
    </row>
    <row r="2205" spans="2:2" x14ac:dyDescent="0.25">
      <c r="B2205" s="110"/>
    </row>
    <row r="2206" spans="2:2" x14ac:dyDescent="0.25">
      <c r="B2206" s="110"/>
    </row>
    <row r="2207" spans="2:2" x14ac:dyDescent="0.25">
      <c r="B2207" s="110"/>
    </row>
    <row r="2208" spans="2:2" x14ac:dyDescent="0.25">
      <c r="B2208" s="110"/>
    </row>
    <row r="2209" spans="2:2" x14ac:dyDescent="0.25">
      <c r="B2209" s="110"/>
    </row>
    <row r="2210" spans="2:2" x14ac:dyDescent="0.25">
      <c r="B2210" s="110"/>
    </row>
    <row r="2211" spans="2:2" x14ac:dyDescent="0.25">
      <c r="B2211" s="110"/>
    </row>
    <row r="2212" spans="2:2" x14ac:dyDescent="0.25">
      <c r="B2212" s="110"/>
    </row>
    <row r="2213" spans="2:2" x14ac:dyDescent="0.25">
      <c r="B2213" s="110"/>
    </row>
    <row r="2214" spans="2:2" x14ac:dyDescent="0.25">
      <c r="B2214" s="110"/>
    </row>
    <row r="2215" spans="2:2" x14ac:dyDescent="0.25">
      <c r="B2215" s="110"/>
    </row>
    <row r="2216" spans="2:2" x14ac:dyDescent="0.25">
      <c r="B2216" s="110"/>
    </row>
    <row r="2217" spans="2:2" x14ac:dyDescent="0.25">
      <c r="B2217" s="110"/>
    </row>
    <row r="2218" spans="2:2" x14ac:dyDescent="0.25">
      <c r="B2218" s="110"/>
    </row>
    <row r="2219" spans="2:2" x14ac:dyDescent="0.25">
      <c r="B2219" s="110"/>
    </row>
    <row r="2220" spans="2:2" x14ac:dyDescent="0.25">
      <c r="B2220" s="110"/>
    </row>
    <row r="2221" spans="2:2" x14ac:dyDescent="0.25">
      <c r="B2221" s="110"/>
    </row>
    <row r="2222" spans="2:2" x14ac:dyDescent="0.25">
      <c r="B2222" s="110"/>
    </row>
    <row r="2223" spans="2:2" x14ac:dyDescent="0.25">
      <c r="B2223" s="110"/>
    </row>
    <row r="2224" spans="2:2" x14ac:dyDescent="0.25">
      <c r="B2224" s="110"/>
    </row>
    <row r="2225" spans="2:2" x14ac:dyDescent="0.25">
      <c r="B2225" s="110"/>
    </row>
    <row r="2226" spans="2:2" x14ac:dyDescent="0.25">
      <c r="B2226" s="110"/>
    </row>
    <row r="2227" spans="2:2" x14ac:dyDescent="0.25">
      <c r="B2227" s="110"/>
    </row>
    <row r="2228" spans="2:2" x14ac:dyDescent="0.25">
      <c r="B2228" s="110"/>
    </row>
    <row r="2229" spans="2:2" x14ac:dyDescent="0.25">
      <c r="B2229" s="110"/>
    </row>
    <row r="2230" spans="2:2" x14ac:dyDescent="0.25">
      <c r="B2230" s="110"/>
    </row>
    <row r="2231" spans="2:2" x14ac:dyDescent="0.25">
      <c r="B2231" s="110"/>
    </row>
    <row r="2232" spans="2:2" x14ac:dyDescent="0.25">
      <c r="B2232" s="110"/>
    </row>
    <row r="2233" spans="2:2" x14ac:dyDescent="0.25">
      <c r="B2233" s="110"/>
    </row>
    <row r="2234" spans="2:2" x14ac:dyDescent="0.25">
      <c r="B2234" s="110"/>
    </row>
    <row r="2235" spans="2:2" x14ac:dyDescent="0.25">
      <c r="B2235" s="110"/>
    </row>
    <row r="2236" spans="2:2" x14ac:dyDescent="0.25">
      <c r="B2236" s="110"/>
    </row>
    <row r="2237" spans="2:2" x14ac:dyDescent="0.25">
      <c r="B2237" s="110"/>
    </row>
    <row r="2238" spans="2:2" x14ac:dyDescent="0.25">
      <c r="B2238" s="110"/>
    </row>
    <row r="2239" spans="2:2" x14ac:dyDescent="0.25">
      <c r="B2239" s="110"/>
    </row>
    <row r="2240" spans="2:2" x14ac:dyDescent="0.25">
      <c r="B2240" s="110"/>
    </row>
    <row r="2241" spans="2:2" x14ac:dyDescent="0.25">
      <c r="B2241" s="110"/>
    </row>
    <row r="2242" spans="2:2" x14ac:dyDescent="0.25">
      <c r="B2242" s="110"/>
    </row>
    <row r="2243" spans="2:2" x14ac:dyDescent="0.25">
      <c r="B2243" s="110"/>
    </row>
    <row r="2244" spans="2:2" x14ac:dyDescent="0.25">
      <c r="B2244" s="110"/>
    </row>
    <row r="2245" spans="2:2" x14ac:dyDescent="0.25">
      <c r="B2245" s="110"/>
    </row>
    <row r="2246" spans="2:2" x14ac:dyDescent="0.25">
      <c r="B2246" s="110"/>
    </row>
    <row r="2247" spans="2:2" x14ac:dyDescent="0.25">
      <c r="B2247" s="110"/>
    </row>
    <row r="2248" spans="2:2" x14ac:dyDescent="0.25">
      <c r="B2248" s="110"/>
    </row>
    <row r="2249" spans="2:2" x14ac:dyDescent="0.25">
      <c r="B2249" s="110"/>
    </row>
    <row r="2250" spans="2:2" x14ac:dyDescent="0.25">
      <c r="B2250" s="110"/>
    </row>
    <row r="2251" spans="2:2" x14ac:dyDescent="0.25">
      <c r="B2251" s="110"/>
    </row>
    <row r="2252" spans="2:2" x14ac:dyDescent="0.25">
      <c r="B2252" s="110"/>
    </row>
    <row r="2253" spans="2:2" x14ac:dyDescent="0.25">
      <c r="B2253" s="110"/>
    </row>
    <row r="2254" spans="2:2" x14ac:dyDescent="0.25">
      <c r="B2254" s="110"/>
    </row>
    <row r="2255" spans="2:2" x14ac:dyDescent="0.25">
      <c r="B2255" s="110"/>
    </row>
    <row r="2256" spans="2:2" x14ac:dyDescent="0.25">
      <c r="B2256" s="110"/>
    </row>
    <row r="2257" spans="2:2" x14ac:dyDescent="0.25">
      <c r="B2257" s="110"/>
    </row>
    <row r="2258" spans="2:2" x14ac:dyDescent="0.25">
      <c r="B2258" s="110"/>
    </row>
    <row r="2259" spans="2:2" x14ac:dyDescent="0.25">
      <c r="B2259" s="110"/>
    </row>
    <row r="2260" spans="2:2" x14ac:dyDescent="0.25">
      <c r="B2260" s="110"/>
    </row>
    <row r="2261" spans="2:2" x14ac:dyDescent="0.25">
      <c r="B2261" s="110"/>
    </row>
    <row r="2262" spans="2:2" x14ac:dyDescent="0.25">
      <c r="B2262" s="110"/>
    </row>
    <row r="2263" spans="2:2" x14ac:dyDescent="0.25">
      <c r="B2263" s="110"/>
    </row>
    <row r="2264" spans="2:2" x14ac:dyDescent="0.25">
      <c r="B2264" s="110"/>
    </row>
    <row r="2265" spans="2:2" x14ac:dyDescent="0.25">
      <c r="B2265" s="110"/>
    </row>
    <row r="2266" spans="2:2" x14ac:dyDescent="0.25">
      <c r="B2266" s="110"/>
    </row>
    <row r="2267" spans="2:2" x14ac:dyDescent="0.25">
      <c r="B2267" s="110"/>
    </row>
    <row r="2268" spans="2:2" x14ac:dyDescent="0.25">
      <c r="B2268" s="110"/>
    </row>
    <row r="2269" spans="2:2" x14ac:dyDescent="0.25">
      <c r="B2269" s="110"/>
    </row>
    <row r="2270" spans="2:2" x14ac:dyDescent="0.25">
      <c r="B2270" s="110"/>
    </row>
    <row r="2271" spans="2:2" x14ac:dyDescent="0.25">
      <c r="B2271" s="110"/>
    </row>
    <row r="2272" spans="2:2" x14ac:dyDescent="0.25">
      <c r="B2272" s="110"/>
    </row>
    <row r="2273" spans="2:2" x14ac:dyDescent="0.25">
      <c r="B2273" s="110"/>
    </row>
    <row r="2274" spans="2:2" x14ac:dyDescent="0.25">
      <c r="B2274" s="110"/>
    </row>
    <row r="2275" spans="2:2" x14ac:dyDescent="0.25">
      <c r="B2275" s="110"/>
    </row>
    <row r="2276" spans="2:2" x14ac:dyDescent="0.25">
      <c r="B2276" s="110"/>
    </row>
    <row r="2277" spans="2:2" x14ac:dyDescent="0.25">
      <c r="B2277" s="110"/>
    </row>
    <row r="2278" spans="2:2" x14ac:dyDescent="0.25">
      <c r="B2278" s="110"/>
    </row>
    <row r="2279" spans="2:2" x14ac:dyDescent="0.25">
      <c r="B2279" s="110"/>
    </row>
    <row r="2280" spans="2:2" x14ac:dyDescent="0.25">
      <c r="B2280" s="110"/>
    </row>
    <row r="2281" spans="2:2" x14ac:dyDescent="0.25">
      <c r="B2281" s="110"/>
    </row>
    <row r="2282" spans="2:2" x14ac:dyDescent="0.25">
      <c r="B2282" s="110"/>
    </row>
    <row r="2283" spans="2:2" x14ac:dyDescent="0.25">
      <c r="B2283" s="110"/>
    </row>
    <row r="2284" spans="2:2" x14ac:dyDescent="0.25">
      <c r="B2284" s="110"/>
    </row>
    <row r="2285" spans="2:2" x14ac:dyDescent="0.25">
      <c r="B2285" s="110"/>
    </row>
    <row r="2286" spans="2:2" x14ac:dyDescent="0.25">
      <c r="B2286" s="110"/>
    </row>
    <row r="2287" spans="2:2" x14ac:dyDescent="0.25">
      <c r="B2287" s="110"/>
    </row>
    <row r="2288" spans="2:2" x14ac:dyDescent="0.25">
      <c r="B2288" s="110"/>
    </row>
    <row r="2289" spans="2:2" x14ac:dyDescent="0.25">
      <c r="B2289" s="110"/>
    </row>
    <row r="2290" spans="2:2" x14ac:dyDescent="0.25">
      <c r="B2290" s="110"/>
    </row>
    <row r="2291" spans="2:2" x14ac:dyDescent="0.25">
      <c r="B2291" s="110"/>
    </row>
    <row r="2292" spans="2:2" x14ac:dyDescent="0.25">
      <c r="B2292" s="110"/>
    </row>
    <row r="2293" spans="2:2" x14ac:dyDescent="0.25">
      <c r="B2293" s="110"/>
    </row>
    <row r="2294" spans="2:2" x14ac:dyDescent="0.25">
      <c r="B2294" s="110"/>
    </row>
    <row r="2295" spans="2:2" x14ac:dyDescent="0.25">
      <c r="B2295" s="110"/>
    </row>
    <row r="2296" spans="2:2" x14ac:dyDescent="0.25">
      <c r="B2296" s="110"/>
    </row>
    <row r="2297" spans="2:2" x14ac:dyDescent="0.25">
      <c r="B2297" s="110"/>
    </row>
    <row r="2298" spans="2:2" x14ac:dyDescent="0.25">
      <c r="B2298" s="110"/>
    </row>
    <row r="2299" spans="2:2" x14ac:dyDescent="0.25">
      <c r="B2299" s="110"/>
    </row>
    <row r="2300" spans="2:2" x14ac:dyDescent="0.25">
      <c r="B2300" s="110"/>
    </row>
    <row r="2301" spans="2:2" x14ac:dyDescent="0.25">
      <c r="B2301" s="110"/>
    </row>
    <row r="2302" spans="2:2" x14ac:dyDescent="0.25">
      <c r="B2302" s="110"/>
    </row>
    <row r="2303" spans="2:2" x14ac:dyDescent="0.25">
      <c r="B2303" s="110"/>
    </row>
    <row r="2304" spans="2:2" x14ac:dyDescent="0.25">
      <c r="B2304" s="110"/>
    </row>
    <row r="2305" spans="2:2" x14ac:dyDescent="0.25">
      <c r="B2305" s="110"/>
    </row>
    <row r="2306" spans="2:2" x14ac:dyDescent="0.25">
      <c r="B2306" s="110"/>
    </row>
    <row r="2307" spans="2:2" x14ac:dyDescent="0.25">
      <c r="B2307" s="110"/>
    </row>
    <row r="2308" spans="2:2" x14ac:dyDescent="0.25">
      <c r="B2308" s="110"/>
    </row>
    <row r="2309" spans="2:2" x14ac:dyDescent="0.25">
      <c r="B2309" s="110"/>
    </row>
    <row r="2310" spans="2:2" x14ac:dyDescent="0.25">
      <c r="B2310" s="110"/>
    </row>
    <row r="2311" spans="2:2" x14ac:dyDescent="0.25">
      <c r="B2311" s="110"/>
    </row>
    <row r="2312" spans="2:2" x14ac:dyDescent="0.25">
      <c r="B2312" s="110"/>
    </row>
    <row r="2313" spans="2:2" x14ac:dyDescent="0.25">
      <c r="B2313" s="110"/>
    </row>
    <row r="2314" spans="2:2" x14ac:dyDescent="0.25">
      <c r="B2314" s="110"/>
    </row>
    <row r="2315" spans="2:2" x14ac:dyDescent="0.25">
      <c r="B2315" s="110"/>
    </row>
    <row r="2316" spans="2:2" x14ac:dyDescent="0.25">
      <c r="B2316" s="110"/>
    </row>
    <row r="2317" spans="2:2" x14ac:dyDescent="0.25">
      <c r="B2317" s="110"/>
    </row>
    <row r="2318" spans="2:2" x14ac:dyDescent="0.25">
      <c r="B2318" s="110"/>
    </row>
    <row r="2319" spans="2:2" x14ac:dyDescent="0.25">
      <c r="B2319" s="110"/>
    </row>
    <row r="2320" spans="2:2" x14ac:dyDescent="0.25">
      <c r="B2320" s="110"/>
    </row>
    <row r="2321" spans="2:2" x14ac:dyDescent="0.25">
      <c r="B2321" s="110"/>
    </row>
  </sheetData>
  <autoFilter ref="A1:AQ2004" xr:uid="{00000000-0001-0000-0000-000000000000}"/>
  <pageMargins left="0.7" right="0.7" top="0.75" bottom="0.75" header="0.3" footer="0.3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B62E-187D-481E-B84B-5423D7DCCB57}">
  <sheetPr>
    <tabColor rgb="FFFF0000"/>
    <pageSetUpPr fitToPage="1"/>
  </sheetPr>
  <dimension ref="A1:B57"/>
  <sheetViews>
    <sheetView workbookViewId="0">
      <pane xSplit="1" ySplit="1" topLeftCell="B47" activePane="bottomRight" state="frozen"/>
      <selection activeCell="N57" sqref="M1:N57"/>
      <selection pane="topRight" activeCell="N57" sqref="M1:N57"/>
      <selection pane="bottomLeft" activeCell="N57" sqref="M1:N57"/>
      <selection pane="bottomRight" activeCell="N57" sqref="M1:N57"/>
    </sheetView>
  </sheetViews>
  <sheetFormatPr defaultRowHeight="13.8" x14ac:dyDescent="0.25"/>
  <cols>
    <col min="1" max="1" width="87" bestFit="1" customWidth="1"/>
    <col min="2" max="2" width="17.8984375" customWidth="1"/>
  </cols>
  <sheetData>
    <row r="1" spans="1:2" ht="28.8" x14ac:dyDescent="0.25">
      <c r="A1" s="7" t="s">
        <v>19</v>
      </c>
      <c r="B1" s="7" t="s">
        <v>21</v>
      </c>
    </row>
    <row r="2" spans="1:2" ht="25.8" x14ac:dyDescent="0.25">
      <c r="A2" s="42" t="s">
        <v>10</v>
      </c>
      <c r="B2" s="34"/>
    </row>
    <row r="3" spans="1:2" ht="25.8" x14ac:dyDescent="0.25">
      <c r="A3" s="42" t="s">
        <v>13</v>
      </c>
      <c r="B3" s="34"/>
    </row>
    <row r="4" spans="1:2" ht="25.8" x14ac:dyDescent="0.25">
      <c r="A4" s="42" t="s">
        <v>11</v>
      </c>
      <c r="B4" s="34"/>
    </row>
    <row r="5" spans="1:2" ht="25.8" x14ac:dyDescent="0.25">
      <c r="A5" s="42" t="s">
        <v>17</v>
      </c>
      <c r="B5" s="34"/>
    </row>
    <row r="6" spans="1:2" ht="25.8" x14ac:dyDescent="0.25">
      <c r="A6" s="42" t="s">
        <v>14</v>
      </c>
      <c r="B6" s="34"/>
    </row>
    <row r="7" spans="1:2" ht="25.8" x14ac:dyDescent="0.25">
      <c r="A7" s="42" t="s">
        <v>59</v>
      </c>
      <c r="B7" s="34"/>
    </row>
    <row r="8" spans="1:2" ht="25.8" x14ac:dyDescent="0.25">
      <c r="A8" s="42" t="s">
        <v>51</v>
      </c>
      <c r="B8" s="34"/>
    </row>
    <row r="9" spans="1:2" ht="25.8" x14ac:dyDescent="0.25">
      <c r="A9" s="42" t="s">
        <v>49</v>
      </c>
      <c r="B9" s="34"/>
    </row>
    <row r="10" spans="1:2" ht="25.8" x14ac:dyDescent="0.25">
      <c r="A10" s="42" t="s">
        <v>12</v>
      </c>
      <c r="B10" s="34"/>
    </row>
    <row r="11" spans="1:2" ht="25.8" x14ac:dyDescent="0.25">
      <c r="A11" s="42" t="s">
        <v>15</v>
      </c>
      <c r="B11" s="34"/>
    </row>
    <row r="12" spans="1:2" ht="25.8" x14ac:dyDescent="0.25">
      <c r="A12" s="42" t="s">
        <v>60</v>
      </c>
      <c r="B12" s="34"/>
    </row>
    <row r="13" spans="1:2" ht="25.8" x14ac:dyDescent="0.25">
      <c r="A13" s="42" t="s">
        <v>16</v>
      </c>
      <c r="B13" s="34"/>
    </row>
    <row r="14" spans="1:2" ht="25.8" x14ac:dyDescent="0.25">
      <c r="A14" s="42" t="s">
        <v>61</v>
      </c>
      <c r="B14" s="34"/>
    </row>
    <row r="15" spans="1:2" ht="25.8" x14ac:dyDescent="0.25">
      <c r="A15" s="42" t="s">
        <v>62</v>
      </c>
      <c r="B15" s="34"/>
    </row>
    <row r="16" spans="1:2" ht="25.8" x14ac:dyDescent="0.25">
      <c r="A16" s="42" t="s">
        <v>53</v>
      </c>
      <c r="B16" s="34"/>
    </row>
    <row r="17" spans="1:2" ht="25.8" x14ac:dyDescent="0.25">
      <c r="A17" s="42" t="s">
        <v>63</v>
      </c>
      <c r="B17" s="34"/>
    </row>
    <row r="18" spans="1:2" ht="25.8" x14ac:dyDescent="0.25">
      <c r="A18" s="42" t="s">
        <v>20</v>
      </c>
      <c r="B18" s="34"/>
    </row>
    <row r="19" spans="1:2" ht="25.8" x14ac:dyDescent="0.25">
      <c r="A19" s="42" t="s">
        <v>64</v>
      </c>
      <c r="B19" s="34"/>
    </row>
    <row r="20" spans="1:2" ht="25.8" x14ac:dyDescent="0.25">
      <c r="A20" s="42" t="s">
        <v>22</v>
      </c>
      <c r="B20" s="34"/>
    </row>
    <row r="21" spans="1:2" ht="25.8" x14ac:dyDescent="0.25">
      <c r="A21" s="42" t="s">
        <v>65</v>
      </c>
      <c r="B21" s="34"/>
    </row>
    <row r="22" spans="1:2" ht="25.8" x14ac:dyDescent="0.25">
      <c r="A22" s="42" t="s">
        <v>66</v>
      </c>
      <c r="B22" s="34"/>
    </row>
    <row r="23" spans="1:2" ht="25.8" x14ac:dyDescent="0.25">
      <c r="A23" s="42" t="s">
        <v>67</v>
      </c>
      <c r="B23" s="34"/>
    </row>
    <row r="24" spans="1:2" ht="25.8" x14ac:dyDescent="0.25">
      <c r="A24" s="42" t="s">
        <v>68</v>
      </c>
      <c r="B24" s="34"/>
    </row>
    <row r="25" spans="1:2" ht="25.8" x14ac:dyDescent="0.25">
      <c r="A25" s="42" t="s">
        <v>69</v>
      </c>
      <c r="B25" s="34"/>
    </row>
    <row r="26" spans="1:2" ht="25.8" x14ac:dyDescent="0.25">
      <c r="A26" s="42" t="s">
        <v>70</v>
      </c>
      <c r="B26" s="34"/>
    </row>
    <row r="27" spans="1:2" ht="25.8" x14ac:dyDescent="0.25">
      <c r="A27" s="42" t="s">
        <v>71</v>
      </c>
      <c r="B27" s="34"/>
    </row>
    <row r="28" spans="1:2" ht="25.8" x14ac:dyDescent="0.25">
      <c r="A28" s="42" t="s">
        <v>72</v>
      </c>
      <c r="B28" s="34"/>
    </row>
    <row r="29" spans="1:2" ht="25.8" x14ac:dyDescent="0.25">
      <c r="A29" s="42" t="s">
        <v>73</v>
      </c>
      <c r="B29" s="34"/>
    </row>
    <row r="30" spans="1:2" ht="25.8" x14ac:dyDescent="0.25">
      <c r="A30" s="42" t="s">
        <v>74</v>
      </c>
      <c r="B30" s="34"/>
    </row>
    <row r="31" spans="1:2" ht="25.8" x14ac:dyDescent="0.25">
      <c r="A31" s="42" t="s">
        <v>75</v>
      </c>
      <c r="B31" s="34"/>
    </row>
    <row r="32" spans="1:2" ht="25.8" x14ac:dyDescent="0.25">
      <c r="A32" s="42" t="s">
        <v>76</v>
      </c>
      <c r="B32" s="34"/>
    </row>
    <row r="33" spans="1:2" ht="25.8" x14ac:dyDescent="0.25">
      <c r="A33" s="42" t="s">
        <v>77</v>
      </c>
      <c r="B33" s="34"/>
    </row>
    <row r="34" spans="1:2" ht="25.8" x14ac:dyDescent="0.25">
      <c r="A34" s="42" t="s">
        <v>78</v>
      </c>
      <c r="B34" s="34"/>
    </row>
    <row r="35" spans="1:2" ht="25.8" x14ac:dyDescent="0.25">
      <c r="A35" s="42" t="s">
        <v>79</v>
      </c>
      <c r="B35" s="34"/>
    </row>
    <row r="36" spans="1:2" ht="25.8" x14ac:dyDescent="0.25">
      <c r="A36" s="42" t="s">
        <v>80</v>
      </c>
      <c r="B36" s="34"/>
    </row>
    <row r="37" spans="1:2" ht="25.8" x14ac:dyDescent="0.25">
      <c r="A37" s="42" t="s">
        <v>81</v>
      </c>
      <c r="B37" s="34"/>
    </row>
    <row r="38" spans="1:2" ht="25.8" x14ac:dyDescent="0.25">
      <c r="A38" s="42" t="s">
        <v>82</v>
      </c>
      <c r="B38" s="34"/>
    </row>
    <row r="39" spans="1:2" ht="25.8" x14ac:dyDescent="0.25">
      <c r="A39" s="42" t="s">
        <v>83</v>
      </c>
      <c r="B39" s="34"/>
    </row>
    <row r="40" spans="1:2" ht="25.8" x14ac:dyDescent="0.25">
      <c r="A40" s="42" t="s">
        <v>84</v>
      </c>
      <c r="B40" s="34"/>
    </row>
    <row r="41" spans="1:2" ht="25.8" x14ac:dyDescent="0.25">
      <c r="A41" s="42" t="s">
        <v>85</v>
      </c>
      <c r="B41" s="34"/>
    </row>
    <row r="42" spans="1:2" ht="25.8" x14ac:dyDescent="0.25">
      <c r="A42" s="42" t="s">
        <v>24</v>
      </c>
      <c r="B42" s="34"/>
    </row>
    <row r="43" spans="1:2" ht="25.8" x14ac:dyDescent="0.25">
      <c r="A43" s="42" t="s">
        <v>86</v>
      </c>
      <c r="B43" s="34"/>
    </row>
    <row r="44" spans="1:2" ht="25.8" x14ac:dyDescent="0.25">
      <c r="A44" s="42" t="s">
        <v>87</v>
      </c>
      <c r="B44" s="34"/>
    </row>
    <row r="45" spans="1:2" ht="25.8" x14ac:dyDescent="0.25">
      <c r="A45" s="42" t="s">
        <v>88</v>
      </c>
      <c r="B45" s="34"/>
    </row>
    <row r="46" spans="1:2" ht="25.8" x14ac:dyDescent="0.25">
      <c r="A46" s="42" t="s">
        <v>89</v>
      </c>
      <c r="B46" s="34"/>
    </row>
    <row r="47" spans="1:2" ht="25.8" x14ac:dyDescent="0.25">
      <c r="A47" s="42" t="s">
        <v>94</v>
      </c>
      <c r="B47" s="34"/>
    </row>
    <row r="48" spans="1:2" ht="25.8" x14ac:dyDescent="0.25">
      <c r="A48" s="42" t="s">
        <v>90</v>
      </c>
      <c r="B48" s="34"/>
    </row>
    <row r="49" spans="1:2" ht="25.8" x14ac:dyDescent="0.25">
      <c r="A49" s="42" t="s">
        <v>93</v>
      </c>
      <c r="B49" s="34"/>
    </row>
    <row r="50" spans="1:2" ht="25.8" x14ac:dyDescent="0.25">
      <c r="A50" s="42" t="s">
        <v>91</v>
      </c>
      <c r="B50" s="34"/>
    </row>
    <row r="51" spans="1:2" ht="25.8" x14ac:dyDescent="0.25">
      <c r="A51" s="42" t="s">
        <v>45</v>
      </c>
      <c r="B51" s="34"/>
    </row>
    <row r="52" spans="1:2" ht="25.8" x14ac:dyDescent="0.25">
      <c r="A52" s="42" t="s">
        <v>92</v>
      </c>
      <c r="B52" s="34"/>
    </row>
    <row r="53" spans="1:2" ht="25.8" x14ac:dyDescent="0.25">
      <c r="A53" s="42" t="s">
        <v>52</v>
      </c>
      <c r="B53" s="34"/>
    </row>
    <row r="54" spans="1:2" ht="25.8" x14ac:dyDescent="0.25">
      <c r="A54" s="42" t="s">
        <v>95</v>
      </c>
      <c r="B54" s="34"/>
    </row>
    <row r="55" spans="1:2" ht="25.8" x14ac:dyDescent="0.25">
      <c r="A55" s="42" t="s">
        <v>25</v>
      </c>
      <c r="B55" s="34"/>
    </row>
    <row r="56" spans="1:2" ht="27" thickBot="1" x14ac:dyDescent="0.3">
      <c r="A56" s="41"/>
      <c r="B56" s="35">
        <f>SUM(B2:B55)</f>
        <v>0</v>
      </c>
    </row>
    <row r="57" spans="1:2" ht="14.4" thickTop="1" x14ac:dyDescent="0.25"/>
  </sheetData>
  <conditionalFormatting sqref="A1">
    <cfRule type="duplicateValues" dxfId="2" priority="3"/>
  </conditionalFormatting>
  <conditionalFormatting sqref="B1">
    <cfRule type="duplicateValues" dxfId="1" priority="1"/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31</vt:i4>
      </vt:variant>
      <vt:variant>
        <vt:lpstr>ช่วงที่มีชื่อ</vt:lpstr>
      </vt:variant>
      <vt:variant>
        <vt:i4>1</vt:i4>
      </vt:variant>
    </vt:vector>
  </HeadingPairs>
  <TitlesOfParts>
    <vt:vector size="32" baseType="lpstr">
      <vt:lpstr>สรุป 68</vt:lpstr>
      <vt:lpstr>สรุปสาเหตุเคลม</vt:lpstr>
      <vt:lpstr>ธ.ค. เคลม</vt:lpstr>
      <vt:lpstr>ธ.ค. ยกเลิก</vt:lpstr>
      <vt:lpstr>พ.ย. เคลม</vt:lpstr>
      <vt:lpstr>พ.ย. ยกเลิก</vt:lpstr>
      <vt:lpstr>ต.ค. เคลม</vt:lpstr>
      <vt:lpstr>ต.ค. ยกเลิก</vt:lpstr>
      <vt:lpstr>ก.ย. เคลม</vt:lpstr>
      <vt:lpstr>ก.ย. ยกเลิก</vt:lpstr>
      <vt:lpstr>ส.ค. เคลม</vt:lpstr>
      <vt:lpstr>ส.ค. ยกเลิก</vt:lpstr>
      <vt:lpstr>ก.ค. เคลม</vt:lpstr>
      <vt:lpstr>ก.ค. ยกเลิก</vt:lpstr>
      <vt:lpstr>มิ.ย. เคลม</vt:lpstr>
      <vt:lpstr>มิ.ย. ยกเลิก</vt:lpstr>
      <vt:lpstr>พ.ค. เคลม</vt:lpstr>
      <vt:lpstr>พ.ค. ยกเลิก</vt:lpstr>
      <vt:lpstr>เม.ย. เคลม</vt:lpstr>
      <vt:lpstr>เม.ย. ยกเลิก</vt:lpstr>
      <vt:lpstr>มี.ค. เคลม</vt:lpstr>
      <vt:lpstr>มี.ค. ยกเลิก</vt:lpstr>
      <vt:lpstr>ก.พ. เคลม</vt:lpstr>
      <vt:lpstr>ก.พ. ยกเลิก</vt:lpstr>
      <vt:lpstr>ม.ค. เคลม</vt:lpstr>
      <vt:lpstr>ม.ค. ยกเลิก</vt:lpstr>
      <vt:lpstr>เรียกค่าขนส่ง</vt:lpstr>
      <vt:lpstr>รายการส่งของ พ.ย.</vt:lpstr>
      <vt:lpstr>รายการส่งของ ม.ค.</vt:lpstr>
      <vt:lpstr>รายการส่งของ ก.พ.</vt:lpstr>
      <vt:lpstr>แบบฟอร์ม</vt:lpstr>
      <vt:lpstr>แบบฟอร์ม!Print_Titles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2025-01-01T06:39:45Z</cp:lastPrinted>
  <dcterms:created xsi:type="dcterms:W3CDTF">2024-02-04T02:03:59Z</dcterms:created>
  <dcterms:modified xsi:type="dcterms:W3CDTF">2026-01-04T02:33:08Z</dcterms:modified>
</cp:coreProperties>
</file>