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การจ้างอินฟลูเรนเซอร์\"/>
    </mc:Choice>
  </mc:AlternateContent>
  <xr:revisionPtr revIDLastSave="0" documentId="13_ncr:1_{FCC22F4C-6C02-433D-889E-FCBDFE9C7030}" xr6:coauthVersionLast="47" xr6:coauthVersionMax="47" xr10:uidLastSave="{00000000-0000-0000-0000-000000000000}"/>
  <bookViews>
    <workbookView xWindow="-108" yWindow="-108" windowWidth="23256" windowHeight="13896" tabRatio="884" activeTab="1" xr2:uid="{EFC53ECC-EABF-4FAB-B58C-AF36256472F7}"/>
  </bookViews>
  <sheets>
    <sheet name="สรุป" sheetId="2" r:id="rId1"/>
    <sheet name="จ้างอินฟูลรีวิว มี.ค." sheetId="1" r:id="rId2"/>
    <sheet name="จ้างอินฟูลรีวิว เม.ย." sheetId="3" r:id="rId3"/>
    <sheet name="จ้างอินฟูลรีวิว พ.ค." sheetId="4" r:id="rId4"/>
    <sheet name="จ้างอินฟูลรีวิว มิ.ย." sheetId="5" r:id="rId5"/>
    <sheet name="จ้างอินฟูลรีวิว ก.ค." sheetId="6" r:id="rId6"/>
    <sheet name="จ้างอินฟลูมางานเกษตร" sheetId="7" r:id="rId7"/>
  </sheets>
  <definedNames>
    <definedName name="_xlnm._FilterDatabase" localSheetId="6">จ้างอินฟลูมางานเกษตร!$D$2:$O$2</definedName>
    <definedName name="_xlnm._FilterDatabase" localSheetId="5">'จ้างอินฟูลรีวิว ก.ค.'!$C$2:$X$2</definedName>
    <definedName name="_xlnm._FilterDatabase" localSheetId="3">'จ้างอินฟูลรีวิว พ.ค.'!$C$2:$X$2</definedName>
    <definedName name="_xlnm._FilterDatabase" localSheetId="4">'จ้างอินฟูลรีวิว มิ.ย.'!$C$2:$X$2</definedName>
    <definedName name="_xlnm._FilterDatabase" localSheetId="1">'จ้างอินฟูลรีวิว มี.ค.'!$C$2:$X$2</definedName>
    <definedName name="_xlnm._FilterDatabase" localSheetId="2" hidden="1">'จ้างอินฟูลรีวิว เม.ย.'!$A$2:$AE$2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K5" i="7"/>
  <c r="C12" i="2" s="1"/>
  <c r="J4" i="6"/>
  <c r="J4" i="5"/>
  <c r="B4" i="2"/>
  <c r="B3" i="2"/>
  <c r="B5" i="2"/>
  <c r="J11" i="3"/>
  <c r="C4" i="2" s="1"/>
  <c r="J32" i="1"/>
  <c r="C3" i="2" s="1"/>
  <c r="J4" i="4"/>
  <c r="C5" i="2" s="1"/>
  <c r="X7" i="3"/>
  <c r="X26" i="1"/>
  <c r="X21" i="1"/>
  <c r="X18" i="1"/>
  <c r="X15" i="1"/>
  <c r="X12" i="1"/>
  <c r="X9" i="1"/>
  <c r="X6" i="1"/>
  <c r="X3" i="1"/>
  <c r="B13" i="2" l="1"/>
</calcChain>
</file>

<file path=xl/sharedStrings.xml><?xml version="1.0" encoding="utf-8"?>
<sst xmlns="http://schemas.openxmlformats.org/spreadsheetml/2006/main" count="526" uniqueCount="232">
  <si>
    <t>เลขที่ออเดอร์</t>
  </si>
  <si>
    <t>ชื่อ</t>
  </si>
  <si>
    <t>เบอร์โทร</t>
  </si>
  <si>
    <t>ช่องทางติดต่อ</t>
  </si>
  <si>
    <t>ขนส่ง</t>
  </si>
  <si>
    <t>เลขพัสดุ</t>
  </si>
  <si>
    <t>จำนวนรวม</t>
  </si>
  <si>
    <t>ยอดขาย</t>
  </si>
  <si>
    <t>CLP25</t>
  </si>
  <si>
    <t>แก้วใบใหญ่</t>
  </si>
  <si>
    <t>0929579965</t>
  </si>
  <si>
    <t>EMS</t>
  </si>
  <si>
    <t>CLP24</t>
  </si>
  <si>
    <t>0973366610</t>
  </si>
  <si>
    <t>line</t>
  </si>
  <si>
    <t>CLP23</t>
  </si>
  <si>
    <t>0945783034</t>
  </si>
  <si>
    <t>CLP22</t>
  </si>
  <si>
    <t>0914808300</t>
  </si>
  <si>
    <t>หมายเหตุ</t>
  </si>
  <si>
    <t>📌ส่งสินค้ารีวิว บ้านที่ 4</t>
  </si>
  <si>
    <t>📌ส่งสินค้ารีวิว บ้านที่ 3</t>
  </si>
  <si>
    <t>📌ส่งสินค้ารีวิว บ้านที่ 2</t>
  </si>
  <si>
    <t>📌ส่งสินค้ารีวิว บ้านที่ 1</t>
  </si>
  <si>
    <t>นามสกุล</t>
  </si>
  <si>
    <t>ชลดา</t>
  </si>
  <si>
    <t>นาขามป้อม</t>
  </si>
  <si>
    <t>ทรรศนีย์</t>
  </si>
  <si>
    <t>ด้วงมาก</t>
  </si>
  <si>
    <t>วุฒธิกร</t>
  </si>
  <si>
    <t>ตุ้มอ่อน</t>
  </si>
  <si>
    <t>รหัสสินค้า</t>
  </si>
  <si>
    <t>ชื่อสินค้า</t>
  </si>
  <si>
    <t>จำนวน</t>
  </si>
  <si>
    <t>ราคา (฿)</t>
  </si>
  <si>
    <t>ยอด (฿)</t>
  </si>
  <si>
    <t>c003</t>
  </si>
  <si>
    <t>ชิฟฟอน 3 กล่องใหญ่ ไม่มีไส้+ไส้เเยม+ยอดฮิต</t>
  </si>
  <si>
    <t>h003</t>
  </si>
  <si>
    <t>ครีมฮอร์นไส้เนยสด 3 กล่อง วนิลา เตย ชอค</t>
  </si>
  <si>
    <t>บ003</t>
  </si>
  <si>
    <t>เบาหวิว ญ 3 รส มะพร้าว+ฝอยทอง+เผือก</t>
  </si>
  <si>
    <t>EB626623242TH</t>
  </si>
  <si>
    <t>EB626623225TH</t>
  </si>
  <si>
    <t>EB626623211TH</t>
  </si>
  <si>
    <t>EB626623260TH</t>
  </si>
  <si>
    <t>69/563 คอนโดแอสสปายสุขุมวิท 48 ซ.สุขุมวิท48 พระโขนง คลองเตย กทม. 10110</t>
  </si>
  <si>
    <t>ที่อยู่จัดส่ง</t>
  </si>
  <si>
    <t>เดอะบีช โฮเทล 511/178 ม.20 ต.ขามเรียง อ.กันทรวิชัย จ.มหาสารคาม 44150</t>
  </si>
  <si>
    <t>หมู่ 6 ต.นาโยงเหนือ อ.นาโยง จ.ตรัง 92170</t>
  </si>
  <si>
    <t>228/3 ถ.โกษาปาน ต.ทะเลชุบศร อ.เมือง จ.ลพบุรี 15000</t>
  </si>
  <si>
    <t>CLT76</t>
  </si>
  <si>
    <t>ฝิ่นสิริ</t>
  </si>
  <si>
    <t>CLT77</t>
  </si>
  <si>
    <t>ศุภาลัยปาร์ค แคราย-งามวงศ์วาน 115/220 (1406) ชั้น14 ถ.รัตนาธิเบศร์ ต.บางกระสอ อ.เมือง จ.นนทบุรี 11000</t>
  </si>
  <si>
    <t>📌ส่งสินค้ารีวิว บ้านที่ 5</t>
  </si>
  <si>
    <t> 0642932495</t>
  </si>
  <si>
    <t>เลขที่ 5 เพชรเกษม 69 แยก 3 แขวงหลักสอง เขตบางแค กทม 10160</t>
  </si>
  <si>
    <t>📌ส่งสินค้ารีวิว บ้านที่ 6</t>
  </si>
  <si>
    <t>0961061060</t>
  </si>
  <si>
    <t>รอดรัศมีโรจน์</t>
  </si>
  <si>
    <t>วีรดา</t>
  </si>
  <si>
    <t>CMO27</t>
  </si>
  <si>
    <t>📌ส่งสินค้ารีวิว บ้านที่ 7</t>
  </si>
  <si>
    <t>CMQ51</t>
  </si>
  <si>
    <t>CMQ53</t>
  </si>
  <si>
    <t>CMQ55</t>
  </si>
  <si>
    <t>CMQ56</t>
  </si>
  <si>
    <t>CMS47</t>
  </si>
  <si>
    <t>CMS50</t>
  </si>
  <si>
    <t>น.ส.ณัฐญา</t>
  </si>
  <si>
    <t>แย้มประเสริฐ</t>
  </si>
  <si>
    <t>นายอภิวัฒน์</t>
  </si>
  <si>
    <t>กวินอัญมณีกุล</t>
  </si>
  <si>
    <t>ชัยวัฒน์</t>
  </si>
  <si>
    <t>ถุงออด</t>
  </si>
  <si>
    <t>ธารชินี</t>
  </si>
  <si>
    <t>โรมไธสง</t>
  </si>
  <si>
    <t>สุพัตรา</t>
  </si>
  <si>
    <t>หวานจริง</t>
  </si>
  <si>
    <t>📌ส่งสินค้ารีวิวบ้านที่ 8</t>
  </si>
  <si>
    <t>📌ส่งสินค้ารีวิวบ้านที่ 9</t>
  </si>
  <si>
    <t>📌ส่งสินค้ารีวิวบ้านที่ 10</t>
  </si>
  <si>
    <t>📌ส่งสินค้ารีวิวบ้านที่ 11</t>
  </si>
  <si>
    <t>📌ส่งสินค้ารีวิวบ้านที่ 14</t>
  </si>
  <si>
    <t>📌ส่งสินค้ารีวิวบ้านที่ 13</t>
  </si>
  <si>
    <t>0869074473</t>
  </si>
  <si>
    <t>EB628495135TH</t>
  </si>
  <si>
    <t>59/7 หมู่ที่ 2 ซ.โรงสีข้าวชุมชน(บ้านเยื้องพลอยแดงเฟอร์นิเจอร์) ต.ลานตากฟ้า อ.นครชัยศรี จ.นครปฐม 73120</t>
  </si>
  <si>
    <t>0843237000</t>
  </si>
  <si>
    <t>EB628662235TH</t>
  </si>
  <si>
    <t>67/84 อาคารไดนาสตี้ คอมเพล็กซ์ ซ.ลาดพร้าว 71 ถ.ลาดพร้าว แขวงสะพานสอง เขตวังทองหลาง กรุงเทพฯ 10310</t>
  </si>
  <si>
    <t>pl4</t>
  </si>
  <si>
    <t>เปี๊ยะเล็ก4 ถั่ว+ฟัก+เผือก+งา</t>
  </si>
  <si>
    <t>0968822905</t>
  </si>
  <si>
    <t>EB628662155TH</t>
  </si>
  <si>
    <t>115/217 หมู่บ้าน s-gate ม.3 ต.บางเดื่อ อ.เมือง จ.ปทุมธานี 12000</t>
  </si>
  <si>
    <t>0803079610</t>
  </si>
  <si>
    <t>EB628662221TH</t>
  </si>
  <si>
    <t>98/30 ซ.12 หมู่บ้านสินเพิ่มอารีน่า ถนนลำไทร แขวงโครกแฝด เขตหนองจอก กทม 10530</t>
  </si>
  <si>
    <t>EB628662164TH</t>
  </si>
  <si>
    <t>234/438 คอนโดดีคอนไพรม์ รัตนาธิเบศร์ ต.ไทรม้า อ.เมืองนนทบุรี จ.นนทบุรี 11000</t>
  </si>
  <si>
    <t>0834390170</t>
  </si>
  <si>
    <t>0900579665</t>
  </si>
  <si>
    <t>EB628841418TH</t>
  </si>
  <si>
    <t>600/136 ม.3 ต.หัวรอ อ.เมือง จ.พิษณุโลก 65000</t>
  </si>
  <si>
    <t>115/277, บ้านฟ้าปิยรมย์ เทนโดร ซอย 8 ตำบล บึงคำพร้อย อำเภอลำลูกกา จังหวัดปทุมธานี 12150</t>
  </si>
  <si>
    <t>0800567880</t>
  </si>
  <si>
    <t>EB628841395TH</t>
  </si>
  <si>
    <t>ค่าจ้าง</t>
  </si>
  <si>
    <t>คงดาววารี</t>
  </si>
  <si>
    <t>รายละเอียด</t>
  </si>
  <si>
    <t>ซื้อคลิปต่อ 2000 รีวิว 8000 บาท</t>
  </si>
  <si>
    <t>ศรีโครต</t>
  </si>
  <si>
    <t>ลัดดา</t>
  </si>
  <si>
    <t>สุทธิโครต</t>
  </si>
  <si>
    <t>สถานะจ่ายเงิน</t>
  </si>
  <si>
    <t>ไปกับหมิว</t>
  </si>
  <si>
    <t>จ่ายแล้ว</t>
  </si>
  <si>
    <t>วันที่ลงคลิป</t>
  </si>
  <si>
    <t>โอ๋โมโหหิว</t>
  </si>
  <si>
    <t>คงวริศ</t>
  </si>
  <si>
    <t>ปิยวรรณ</t>
  </si>
  <si>
    <t>แสงทวีสุข</t>
  </si>
  <si>
    <t>ของขวัญ เฮียเจ</t>
  </si>
  <si>
    <t>เอกวัชร์</t>
  </si>
  <si>
    <t>ไพศาลสุทธิเดช</t>
  </si>
  <si>
    <t>พลอยใส หัวใจน้ำสิงห์</t>
  </si>
  <si>
    <t>อัจฉริยา</t>
  </si>
  <si>
    <t>มหาสวัสดิ์</t>
  </si>
  <si>
    <t>เรย์นมน้อย</t>
  </si>
  <si>
    <t>ฐิติมา</t>
  </si>
  <si>
    <t>เนิสเอนจอยอีท</t>
  </si>
  <si>
    <t>Hiso_Ping</t>
  </si>
  <si>
    <t>แป้ง</t>
  </si>
  <si>
    <t>แอดมินที่ติดต่ออินฟลู</t>
  </si>
  <si>
    <t>นุ่น</t>
  </si>
  <si>
    <t>จ่ายแล้ว 50 % = 5,000 บาท</t>
  </si>
  <si>
    <t>แคล์</t>
  </si>
  <si>
    <t>Porpornorfor</t>
  </si>
  <si>
    <t>อั้ม</t>
  </si>
  <si>
    <t>สถานะส่งของ</t>
  </si>
  <si>
    <t>ส่งแล้ว</t>
  </si>
  <si>
    <t>จูน</t>
  </si>
  <si>
    <t>น็อตฮังกี้</t>
  </si>
  <si>
    <t>อินฟลูซื้อเองที่ CJ</t>
  </si>
  <si>
    <t>กันแกงแจกพิกัด</t>
  </si>
  <si>
    <t>อาย</t>
  </si>
  <si>
    <t>กินเที่ยว นครปฐม</t>
  </si>
  <si>
    <t>สีส้มบวกหนึ่ง</t>
  </si>
  <si>
    <t>เบาหวิว"เอง</t>
  </si>
  <si>
    <t>Manow</t>
  </si>
  <si>
    <t>ที่นี่กำแพงแสน</t>
  </si>
  <si>
    <t>ยอดวิว</t>
  </si>
  <si>
    <t>21k</t>
  </si>
  <si>
    <t>ลำดับ</t>
  </si>
  <si>
    <t>ปังปอนแคนดี้</t>
  </si>
  <si>
    <t>ข้อมูลการจ้างอินฟลูรีวิว ปี2567</t>
  </si>
  <si>
    <t>ยังไม่ถึงกำหนดลง</t>
  </si>
  <si>
    <t>เดือน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</si>
  <si>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</si>
  <si>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</si>
  <si>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</si>
  <si>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</si>
  <si>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</si>
  <si>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</si>
  <si>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</si>
  <si>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</si>
  <si>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</si>
  <si>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</si>
  <si>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กัญญารัตน์</t>
  </si>
  <si>
    <t>ใจจริง</t>
  </si>
  <si>
    <t>สรุปค่าใช้จ่ายการจ้างอินฟลูรีวิว ปี2567</t>
  </si>
  <si>
    <t>EB626804925TH</t>
  </si>
  <si>
    <t>EB626804911TH</t>
  </si>
  <si>
    <t>สุทธิสินธุ์</t>
  </si>
  <si>
    <t>เช็คอินกินเที่ยวกับพราน</t>
  </si>
  <si>
    <t>ฟรี</t>
  </si>
  <si>
    <t>จินตนาปราโมทย์</t>
  </si>
  <si>
    <t>กวิตา</t>
  </si>
  <si>
    <t>จันทร์สำราญเลิศ</t>
  </si>
  <si>
    <t>ธนลภารัศมื์</t>
  </si>
  <si>
    <t>แพลตฟอร์มที่ลง</t>
  </si>
  <si>
    <t>96.2k</t>
  </si>
  <si>
    <t>TikTok</t>
  </si>
  <si>
    <t>ชื่อเพจ/ชื่อแอคเค้าทน์</t>
  </si>
  <si>
    <t>L:Care</t>
  </si>
  <si>
    <t>L:Ploy7569</t>
  </si>
  <si>
    <t>L:@413pgnaz</t>
  </si>
  <si>
    <t>67.6k</t>
  </si>
  <si>
    <t>ธีรภัทร</t>
  </si>
  <si>
    <t>คล้ายวงษ์</t>
  </si>
  <si>
    <t>TikTok / IG / Youtube / FB</t>
  </si>
  <si>
    <t>219.8k</t>
  </si>
  <si>
    <t>IG:imknothungry</t>
  </si>
  <si>
    <t>ธัญชนก</t>
  </si>
  <si>
    <t>กลิ่นทุ่งทอง</t>
  </si>
  <si>
    <t>L:ฝิ่นสิริ</t>
  </si>
  <si>
    <t>574.7k</t>
  </si>
  <si>
    <t>ฉัน ต้อง กิน</t>
  </si>
  <si>
    <t>L:ฉัน ต้อง กิน</t>
  </si>
  <si>
    <t>19.4k</t>
  </si>
  <si>
    <t>L:0869074473</t>
  </si>
  <si>
    <t>eatever</t>
  </si>
  <si>
    <t>IG:สีส้มบวกหนึ่ง</t>
  </si>
  <si>
    <t>31.8k</t>
  </si>
  <si>
    <t>L:610jqjuw</t>
  </si>
  <si>
    <t>ประภัสสร</t>
  </si>
  <si>
    <t>ยิ่งคำแหง</t>
  </si>
  <si>
    <t>37.5K</t>
  </si>
  <si>
    <t>IG:kaewbaiyaii</t>
  </si>
  <si>
    <t>FB:กินเที่ยวนครปฐม</t>
  </si>
  <si>
    <t>FB:เช็คอินกินเที่ยวกับพราน</t>
  </si>
  <si>
    <t>FB:ที่นี่กำแพงแสน</t>
  </si>
  <si>
    <t>แอม</t>
  </si>
  <si>
    <t>Facebook</t>
  </si>
  <si>
    <t>L:NEW</t>
  </si>
  <si>
    <t>55.2k</t>
  </si>
  <si>
    <t>13.5k</t>
  </si>
  <si>
    <t>L:Nurse.enjoyeat</t>
  </si>
  <si>
    <t>L:Hiso_Ping</t>
  </si>
  <si>
    <t>140.5k</t>
  </si>
  <si>
    <t>ข้อมูลการจ้างอินฟลูรีวิว เดือนพฤษภาคม ปี2567</t>
  </si>
  <si>
    <t>ข้อมูลการจ้างอินฟลูรีวิว เดือนเมษายน ปี2567</t>
  </si>
  <si>
    <t>ข้อมูลการจ้างอินฟลูรีวิว เดือนมิถุนายน ปี2567</t>
  </si>
  <si>
    <t>Facebook , Tiktok</t>
  </si>
  <si>
    <t>ลงแบบคลิป หรือ ภาพนิ่ง</t>
  </si>
  <si>
    <t>วันที่ถ่ายคลิป</t>
  </si>
  <si>
    <t>ไม่เกินวันที่ 3/12/2567</t>
  </si>
  <si>
    <t>คลิป / โพส</t>
  </si>
  <si>
    <t>ต้นปาล์ม - บัญชี</t>
  </si>
  <si>
    <t>งานเกษตร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</si>
</sst>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#,##0_ ;\-#,##0\ "/>
  </numFmts>
  <fonts count="9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sz val="8"/>
      <name val="Tahoma"/>
      <family val="2"/>
      <charset val="222"/>
      <scheme val="minor"/>
    </font>
    <font>
      <sz val="18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0033CC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87" fontId="2" fillId="2" borderId="0" xfId="1" applyNumberFormat="1" applyFont="1" applyFill="1" applyAlignment="1">
      <alignment horizontal="center" vertical="center"/>
    </xf>
    <xf numFmtId="187" fontId="1" fillId="0" borderId="0" xfId="1" applyNumberFormat="1" applyFont="1" applyAlignment="1">
      <alignment horizontal="center" vertical="center"/>
    </xf>
    <xf numFmtId="187" fontId="1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1" fillId="0" borderId="0" xfId="1" applyNumberFormat="1" applyFont="1" applyAlignment="1">
      <alignment horizontal="center" vertical="center"/>
    </xf>
    <xf numFmtId="3" fontId="2" fillId="2" borderId="0" xfId="1" applyNumberFormat="1" applyFont="1" applyFill="1" applyAlignment="1">
      <alignment horizontal="center" vertical="center"/>
    </xf>
    <xf numFmtId="3" fontId="1" fillId="0" borderId="0" xfId="1" applyNumberFormat="1" applyFont="1" applyFill="1" applyAlignment="1">
      <alignment horizontal="center" vertical="center"/>
    </xf>
    <xf numFmtId="187" fontId="1" fillId="0" borderId="1" xfId="1" applyNumberFormat="1" applyFont="1" applyFill="1" applyBorder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43" fontId="1" fillId="0" borderId="0" xfId="1" applyFont="1" applyAlignment="1">
      <alignment horizontal="center"/>
    </xf>
    <xf numFmtId="0" fontId="8" fillId="0" borderId="1" xfId="0" applyFont="1" applyBorder="1" applyAlignment="1">
      <alignment horizontal="center"/>
    </xf>
    <xf numFmtId="43" fontId="8" fillId="0" borderId="1" xfId="1" applyFont="1" applyBorder="1"/>
    <xf numFmtId="0" fontId="7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87" fontId="1" fillId="0" borderId="0" xfId="1" applyNumberFormat="1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9999"/>
      <color rgb="FFFF0066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2C00-AB30-4A71-855E-DC668ADE2C72}">
  <sheetPr>
    <tabColor rgb="FFFF0066"/>
  </sheetPr>
  <dimension ref="A1:D14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4" sqref="C14"/>
    </sheetView>
  </sheetViews>
  <sheetFormatPr defaultColWidth="9.09765625" defaultRowHeight="23.4" x14ac:dyDescent="0.6"/>
  <cols>
    <col min="1" max="1" width="11.3984375" style="15" customWidth="1"/>
    <col min="2" max="2" width="9.09765625" style="15"/>
    <col min="3" max="3" width="11.296875" style="15" bestFit="1" customWidth="1"/>
    <col min="4" max="16384" width="9.09765625" style="15"/>
  </cols>
  <sheetData>
    <row r="1" spans="1:4" s="16" customFormat="1" ht="28.8" x14ac:dyDescent="0.75">
      <c r="A1" s="17" t="s">
        <v>172</v>
      </c>
    </row>
    <row r="2" spans="1:4" s="18" customFormat="1" x14ac:dyDescent="0.6">
      <c r="A2" s="22" t="s">
        <v>159</v>
      </c>
      <c r="B2" s="22" t="s">
        <v>33</v>
      </c>
      <c r="C2" s="22" t="s">
        <v>109</v>
      </c>
      <c r="D2" s="22" t="s">
        <v>19</v>
      </c>
    </row>
    <row r="3" spans="1:4" s="18" customFormat="1" x14ac:dyDescent="0.6">
      <c r="A3" s="18" t="s">
        <v>160</v>
      </c>
      <c r="B3" s="18">
        <f>+'จ้างอินฟูลรีวิว มี.ค.'!A31</f>
        <v>15</v>
      </c>
      <c r="C3" s="19">
        <f>+'จ้างอินฟูลรีวิว มี.ค.'!J32</f>
        <v>97385</v>
      </c>
    </row>
    <row r="4" spans="1:4" s="18" customFormat="1" x14ac:dyDescent="0.6">
      <c r="A4" s="18" t="s">
        <v>161</v>
      </c>
      <c r="B4" s="18">
        <f>+'จ้างอินฟูลรีวิว เม.ย.'!A10</f>
        <v>8</v>
      </c>
      <c r="C4" s="19">
        <f>+'จ้างอินฟูลรีวิว เม.ย.'!J11</f>
        <v>46500</v>
      </c>
    </row>
    <row r="5" spans="1:4" s="18" customFormat="1" x14ac:dyDescent="0.6">
      <c r="A5" s="18" t="s">
        <v>162</v>
      </c>
      <c r="B5" s="18">
        <f>+'จ้างอินฟูลรีวิว พ.ค.'!A3</f>
        <v>1</v>
      </c>
      <c r="C5" s="19">
        <f>+'จ้างอินฟูลรีวิว พ.ค.'!J4</f>
        <v>2000</v>
      </c>
    </row>
    <row r="6" spans="1:4" s="18" customFormat="1" x14ac:dyDescent="0.6">
      <c r="A6" s="18" t="s">
        <v>163</v>
      </c>
      <c r="B6" s="18">
        <v>0</v>
      </c>
      <c r="C6" s="19">
        <v>0</v>
      </c>
    </row>
    <row r="7" spans="1:4" s="18" customFormat="1" x14ac:dyDescent="0.6">
      <c r="A7" s="18" t="s">
        <v>164</v>
      </c>
      <c r="B7" s="18">
        <v>0</v>
      </c>
      <c r="C7" s="19">
        <v>0</v>
      </c>
    </row>
    <row r="8" spans="1:4" s="18" customFormat="1" x14ac:dyDescent="0.6">
      <c r="A8" s="18" t="s">
        <v>165</v>
      </c>
      <c r="B8" s="18">
        <v>0</v>
      </c>
      <c r="C8" s="19">
        <v>0</v>
      </c>
    </row>
    <row r="9" spans="1:4" s="18" customFormat="1" x14ac:dyDescent="0.6">
      <c r="A9" s="18" t="s">
        <v>166</v>
      </c>
      <c r="B9" s="18">
        <v>0</v>
      </c>
      <c r="C9" s="19">
        <v>0</v>
      </c>
    </row>
    <row r="10" spans="1:4" s="18" customFormat="1" x14ac:dyDescent="0.6">
      <c r="A10" s="18" t="s">
        <v>167</v>
      </c>
      <c r="B10" s="18">
        <v>0</v>
      </c>
      <c r="C10" s="19">
        <v>0</v>
      </c>
    </row>
    <row r="11" spans="1:4" s="18" customFormat="1" x14ac:dyDescent="0.6">
      <c r="A11" s="18" t="s">
        <v>168</v>
      </c>
      <c r="B11" s="18">
        <v>0</v>
      </c>
      <c r="C11" s="19">
        <v>0</v>
      </c>
    </row>
    <row r="12" spans="1:4" s="18" customFormat="1" x14ac:dyDescent="0.6">
      <c r="A12" s="18" t="s">
        <v>169</v>
      </c>
      <c r="B12" s="18">
        <v>0</v>
      </c>
      <c r="C12" s="19">
        <f>+จ้างอินฟลูมางานเกษตร!K5</f>
        <v>11000</v>
      </c>
      <c r="D12" s="18" t="s">
        <v>231</v>
      </c>
    </row>
    <row r="13" spans="1:4" ht="24" thickBot="1" x14ac:dyDescent="0.65">
      <c r="B13" s="20">
        <f>SUM(B3:B12)</f>
        <v>24</v>
      </c>
      <c r="C13" s="21">
        <f>SUM(C3:C12)</f>
        <v>156885</v>
      </c>
    </row>
    <row r="14" spans="1:4" ht="24" thickTop="1" x14ac:dyDescent="0.6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F259-57FD-4F17-A1FD-6B9BEFB72B60}">
  <sheetPr>
    <tabColor rgb="FFFFCCFF"/>
  </sheetPr>
  <dimension ref="A1:Z41"/>
  <sheetViews>
    <sheetView tabSelected="1" zoomScale="70" zoomScaleNormal="70" workbookViewId="0">
      <pane xSplit="7" ySplit="2" topLeftCell="O3" activePane="bottomRight" state="frozen"/>
      <selection pane="topRight" activeCell="F1" sqref="F1"/>
      <selection pane="bottomLeft" activeCell="A2" sqref="A2"/>
      <selection pane="bottomRight" activeCell="AG8" sqref="P8:AG8"/>
    </sheetView>
  </sheetViews>
  <sheetFormatPr defaultColWidth="9.09765625" defaultRowHeight="23.4" x14ac:dyDescent="0.25"/>
  <cols>
    <col min="1" max="1" width="9.09765625" style="1"/>
    <col min="2" max="2" width="20" style="1" customWidth="1"/>
    <col min="3" max="3" width="12.8984375" style="1" bestFit="1" customWidth="1"/>
    <col min="4" max="4" width="23.8984375" style="1" bestFit="1" customWidth="1"/>
    <col min="5" max="5" width="23.8984375" style="1" customWidth="1"/>
    <col min="6" max="6" width="23.296875" style="1" bestFit="1" customWidth="1"/>
    <col min="7" max="7" width="18.09765625" style="3" customWidth="1"/>
    <col min="8" max="8" width="23.59765625" style="1" bestFit="1" customWidth="1"/>
    <col min="9" max="9" width="31" style="1" customWidth="1"/>
    <col min="10" max="11" width="23.296875" style="8" customWidth="1"/>
    <col min="12" max="12" width="17" style="11" customWidth="1"/>
    <col min="13" max="15" width="27.69921875" style="1" customWidth="1"/>
    <col min="16" max="16" width="6.59765625" style="1" bestFit="1" customWidth="1"/>
    <col min="17" max="17" width="24.296875" style="1" customWidth="1"/>
    <col min="18" max="18" width="15.09765625" style="1" customWidth="1"/>
    <col min="19" max="19" width="40.3984375" style="1" customWidth="1"/>
    <col min="20" max="20" width="14.59765625" style="1" customWidth="1"/>
    <col min="21" max="21" width="9.296875" style="1" customWidth="1"/>
    <col min="22" max="22" width="8.8984375" style="1" customWidth="1"/>
    <col min="23" max="23" width="18.59765625" style="1" customWidth="1"/>
    <col min="24" max="24" width="8.69921875" style="1" customWidth="1"/>
    <col min="25" max="25" width="89.09765625" style="1" customWidth="1"/>
    <col min="26" max="26" width="28.09765625" style="1" bestFit="1" customWidth="1"/>
    <col min="27" max="27" width="9.3984375" style="1" customWidth="1"/>
    <col min="28" max="16384" width="9.09765625" style="1"/>
  </cols>
  <sheetData>
    <row r="1" spans="1:26" ht="28.8" x14ac:dyDescent="0.25">
      <c r="A1" s="10" t="s">
        <v>157</v>
      </c>
    </row>
    <row r="2" spans="1:26" s="2" customFormat="1" ht="26.4" x14ac:dyDescent="0.25">
      <c r="A2" s="4" t="s">
        <v>155</v>
      </c>
      <c r="B2" s="4" t="s">
        <v>119</v>
      </c>
      <c r="C2" s="4" t="s">
        <v>0</v>
      </c>
      <c r="D2" s="4" t="s">
        <v>1</v>
      </c>
      <c r="E2" s="4" t="s">
        <v>24</v>
      </c>
      <c r="F2" s="4" t="s">
        <v>185</v>
      </c>
      <c r="G2" s="5" t="s">
        <v>2</v>
      </c>
      <c r="H2" s="4" t="s">
        <v>3</v>
      </c>
      <c r="I2" s="4" t="s">
        <v>116</v>
      </c>
      <c r="J2" s="7" t="s">
        <v>109</v>
      </c>
      <c r="K2" s="7" t="s">
        <v>182</v>
      </c>
      <c r="L2" s="12" t="s">
        <v>153</v>
      </c>
      <c r="M2" s="4" t="s">
        <v>135</v>
      </c>
      <c r="N2" s="4" t="s">
        <v>111</v>
      </c>
      <c r="O2" s="4" t="s">
        <v>141</v>
      </c>
      <c r="P2" s="4" t="s">
        <v>4</v>
      </c>
      <c r="Q2" s="4" t="s">
        <v>5</v>
      </c>
      <c r="R2" s="6" t="s">
        <v>31</v>
      </c>
      <c r="S2" s="6" t="s">
        <v>32</v>
      </c>
      <c r="T2" s="6" t="s">
        <v>33</v>
      </c>
      <c r="U2" s="6" t="s">
        <v>34</v>
      </c>
      <c r="V2" s="6" t="s">
        <v>35</v>
      </c>
      <c r="W2" s="4" t="s">
        <v>6</v>
      </c>
      <c r="X2" s="4" t="s">
        <v>7</v>
      </c>
      <c r="Y2" s="4" t="s">
        <v>47</v>
      </c>
      <c r="Z2" s="4" t="s">
        <v>19</v>
      </c>
    </row>
    <row r="3" spans="1:26" x14ac:dyDescent="0.25">
      <c r="A3" s="1">
        <v>1</v>
      </c>
      <c r="B3" s="23">
        <v>243698</v>
      </c>
      <c r="C3" s="1" t="s">
        <v>17</v>
      </c>
      <c r="D3" s="1" t="s">
        <v>25</v>
      </c>
      <c r="E3" s="1" t="s">
        <v>26</v>
      </c>
      <c r="F3" s="1" t="s">
        <v>199</v>
      </c>
      <c r="G3" s="3" t="s">
        <v>18</v>
      </c>
      <c r="H3" s="1" t="s">
        <v>200</v>
      </c>
      <c r="I3" s="1" t="s">
        <v>118</v>
      </c>
      <c r="J3" s="9">
        <v>5000</v>
      </c>
      <c r="K3" s="9" t="s">
        <v>184</v>
      </c>
      <c r="L3" s="13" t="s">
        <v>201</v>
      </c>
      <c r="M3" s="1" t="s">
        <v>140</v>
      </c>
      <c r="O3" s="23" t="s">
        <v>142</v>
      </c>
      <c r="P3" s="1" t="s">
        <v>11</v>
      </c>
      <c r="Q3" s="1" t="s">
        <v>42</v>
      </c>
      <c r="R3" s="1" t="s">
        <v>36</v>
      </c>
      <c r="S3" s="1" t="s">
        <v>37</v>
      </c>
      <c r="T3" s="1">
        <v>1</v>
      </c>
      <c r="U3" s="1">
        <v>250</v>
      </c>
      <c r="V3" s="1">
        <v>250</v>
      </c>
      <c r="W3" s="1">
        <v>9</v>
      </c>
      <c r="X3" s="1">
        <f>SUM(V3:V5)</f>
        <v>650</v>
      </c>
      <c r="Y3" s="25" t="s">
        <v>50</v>
      </c>
      <c r="Z3" s="1" t="s">
        <v>23</v>
      </c>
    </row>
    <row r="4" spans="1:26" x14ac:dyDescent="0.25">
      <c r="J4" s="9"/>
      <c r="K4" s="9"/>
      <c r="L4" s="13"/>
      <c r="R4" s="1" t="s">
        <v>38</v>
      </c>
      <c r="S4" s="1" t="s">
        <v>39</v>
      </c>
      <c r="T4" s="1">
        <v>1</v>
      </c>
      <c r="U4" s="1">
        <v>150</v>
      </c>
      <c r="V4" s="1">
        <v>150</v>
      </c>
      <c r="Y4" s="25"/>
    </row>
    <row r="5" spans="1:26" x14ac:dyDescent="0.25">
      <c r="J5" s="9"/>
      <c r="K5" s="9"/>
      <c r="L5" s="13"/>
      <c r="R5" s="1" t="s">
        <v>40</v>
      </c>
      <c r="S5" s="1" t="s">
        <v>41</v>
      </c>
      <c r="T5" s="1">
        <v>1</v>
      </c>
      <c r="U5" s="1">
        <v>250</v>
      </c>
      <c r="V5" s="1">
        <v>250</v>
      </c>
      <c r="Y5" s="25"/>
    </row>
    <row r="6" spans="1:26" x14ac:dyDescent="0.25">
      <c r="A6" s="1">
        <v>2</v>
      </c>
      <c r="B6" s="23">
        <v>243694</v>
      </c>
      <c r="C6" s="1" t="s">
        <v>15</v>
      </c>
      <c r="D6" s="1" t="s">
        <v>27</v>
      </c>
      <c r="E6" s="1" t="s">
        <v>28</v>
      </c>
      <c r="F6" s="1" t="s">
        <v>150</v>
      </c>
      <c r="G6" s="3" t="s">
        <v>16</v>
      </c>
      <c r="H6" s="1" t="s">
        <v>186</v>
      </c>
      <c r="I6" s="1" t="s">
        <v>118</v>
      </c>
      <c r="J6" s="9">
        <v>8000</v>
      </c>
      <c r="K6" s="9" t="s">
        <v>184</v>
      </c>
      <c r="L6" s="13" t="s">
        <v>183</v>
      </c>
      <c r="M6" s="23" t="s">
        <v>140</v>
      </c>
      <c r="O6" s="23" t="s">
        <v>142</v>
      </c>
      <c r="P6" s="1" t="s">
        <v>11</v>
      </c>
      <c r="Q6" s="1" t="s">
        <v>45</v>
      </c>
      <c r="R6" s="1" t="s">
        <v>36</v>
      </c>
      <c r="S6" s="1" t="s">
        <v>37</v>
      </c>
      <c r="T6" s="1">
        <v>1</v>
      </c>
      <c r="U6" s="1">
        <v>250</v>
      </c>
      <c r="V6" s="1">
        <v>250</v>
      </c>
      <c r="W6" s="1">
        <v>9</v>
      </c>
      <c r="X6" s="1">
        <f>SUM(V6:V8)</f>
        <v>650</v>
      </c>
      <c r="Y6" s="25" t="s">
        <v>49</v>
      </c>
      <c r="Z6" s="1" t="s">
        <v>22</v>
      </c>
    </row>
    <row r="7" spans="1:26" x14ac:dyDescent="0.25">
      <c r="G7" s="1"/>
      <c r="J7" s="9"/>
      <c r="K7" s="9"/>
      <c r="L7" s="13"/>
      <c r="R7" s="1" t="s">
        <v>38</v>
      </c>
      <c r="S7" s="1" t="s">
        <v>39</v>
      </c>
      <c r="T7" s="1">
        <v>1</v>
      </c>
      <c r="U7" s="1">
        <v>150</v>
      </c>
      <c r="V7" s="1">
        <v>150</v>
      </c>
      <c r="Y7" s="25"/>
    </row>
    <row r="8" spans="1:26" x14ac:dyDescent="0.25">
      <c r="G8" s="1"/>
      <c r="J8" s="9"/>
      <c r="K8" s="9"/>
      <c r="L8" s="13"/>
      <c r="R8" s="1" t="s">
        <v>40</v>
      </c>
      <c r="S8" s="1" t="s">
        <v>41</v>
      </c>
      <c r="T8" s="1">
        <v>1</v>
      </c>
      <c r="U8" s="1">
        <v>250</v>
      </c>
      <c r="V8" s="1">
        <v>250</v>
      </c>
      <c r="Y8" s="25"/>
    </row>
    <row r="9" spans="1:26" ht="24" customHeight="1" x14ac:dyDescent="0.25">
      <c r="A9" s="1">
        <v>3</v>
      </c>
      <c r="B9" s="23">
        <v>243700</v>
      </c>
      <c r="C9" s="1" t="s">
        <v>12</v>
      </c>
      <c r="D9" s="1" t="s">
        <v>29</v>
      </c>
      <c r="E9" s="1" t="s">
        <v>30</v>
      </c>
      <c r="F9" s="1" t="s">
        <v>156</v>
      </c>
      <c r="G9" s="3" t="s">
        <v>13</v>
      </c>
      <c r="H9" s="1" t="s">
        <v>14</v>
      </c>
      <c r="I9" s="1" t="s">
        <v>118</v>
      </c>
      <c r="J9" s="9">
        <v>15000</v>
      </c>
      <c r="K9" s="9" t="s">
        <v>184</v>
      </c>
      <c r="L9" s="13" t="s">
        <v>154</v>
      </c>
      <c r="M9" s="23" t="s">
        <v>136</v>
      </c>
      <c r="O9" s="23" t="s">
        <v>142</v>
      </c>
      <c r="P9" s="1" t="s">
        <v>11</v>
      </c>
      <c r="Q9" s="1" t="s">
        <v>44</v>
      </c>
      <c r="R9" s="1" t="s">
        <v>36</v>
      </c>
      <c r="S9" s="1" t="s">
        <v>37</v>
      </c>
      <c r="T9" s="1">
        <v>1</v>
      </c>
      <c r="U9" s="1">
        <v>250</v>
      </c>
      <c r="V9" s="1">
        <v>250</v>
      </c>
      <c r="W9" s="1">
        <v>9</v>
      </c>
      <c r="X9" s="1">
        <f>SUM(V9:V11)</f>
        <v>650</v>
      </c>
      <c r="Y9" s="25" t="s">
        <v>48</v>
      </c>
      <c r="Z9" s="1" t="s">
        <v>21</v>
      </c>
    </row>
    <row r="10" spans="1:26" x14ac:dyDescent="0.25">
      <c r="G10" s="1"/>
      <c r="J10" s="9"/>
      <c r="K10" s="9"/>
      <c r="L10" s="13"/>
      <c r="R10" s="1" t="s">
        <v>38</v>
      </c>
      <c r="S10" s="1" t="s">
        <v>39</v>
      </c>
      <c r="T10" s="1">
        <v>1</v>
      </c>
      <c r="U10" s="1">
        <v>150</v>
      </c>
      <c r="V10" s="1">
        <v>150</v>
      </c>
      <c r="Y10" s="25"/>
    </row>
    <row r="11" spans="1:26" x14ac:dyDescent="0.25">
      <c r="J11" s="9"/>
      <c r="K11" s="9"/>
      <c r="L11" s="13"/>
      <c r="R11" s="1" t="s">
        <v>40</v>
      </c>
      <c r="S11" s="1" t="s">
        <v>41</v>
      </c>
      <c r="T11" s="1">
        <v>1</v>
      </c>
      <c r="U11" s="1">
        <v>250</v>
      </c>
      <c r="V11" s="1">
        <v>250</v>
      </c>
      <c r="Y11" s="25"/>
    </row>
    <row r="12" spans="1:26" x14ac:dyDescent="0.25">
      <c r="A12" s="1">
        <v>4</v>
      </c>
      <c r="B12" s="23">
        <v>243704</v>
      </c>
      <c r="C12" s="1" t="s">
        <v>8</v>
      </c>
      <c r="D12" s="1" t="s">
        <v>207</v>
      </c>
      <c r="E12" s="1" t="s">
        <v>208</v>
      </c>
      <c r="F12" s="1" t="s">
        <v>9</v>
      </c>
      <c r="G12" s="3" t="s">
        <v>10</v>
      </c>
      <c r="H12" s="1" t="s">
        <v>210</v>
      </c>
      <c r="I12" s="1" t="s">
        <v>118</v>
      </c>
      <c r="J12" s="9">
        <v>17000</v>
      </c>
      <c r="K12" s="9" t="s">
        <v>184</v>
      </c>
      <c r="L12" s="13" t="s">
        <v>209</v>
      </c>
      <c r="M12" s="23" t="s">
        <v>136</v>
      </c>
      <c r="O12" s="23" t="s">
        <v>142</v>
      </c>
      <c r="P12" s="1" t="s">
        <v>11</v>
      </c>
      <c r="Q12" s="1" t="s">
        <v>43</v>
      </c>
      <c r="R12" s="1" t="s">
        <v>36</v>
      </c>
      <c r="S12" s="1" t="s">
        <v>37</v>
      </c>
      <c r="T12" s="1">
        <v>1</v>
      </c>
      <c r="U12" s="1">
        <v>250</v>
      </c>
      <c r="V12" s="1">
        <v>250</v>
      </c>
      <c r="W12" s="1">
        <v>9</v>
      </c>
      <c r="X12" s="1">
        <f>SUM(V12:V14)</f>
        <v>650</v>
      </c>
      <c r="Y12" s="25" t="s">
        <v>46</v>
      </c>
      <c r="Z12" s="1" t="s">
        <v>20</v>
      </c>
    </row>
    <row r="13" spans="1:26" x14ac:dyDescent="0.25">
      <c r="J13" s="9"/>
      <c r="K13" s="9"/>
      <c r="L13" s="13"/>
      <c r="R13" s="1" t="s">
        <v>38</v>
      </c>
      <c r="S13" s="1" t="s">
        <v>39</v>
      </c>
      <c r="T13" s="1">
        <v>1</v>
      </c>
      <c r="U13" s="1">
        <v>150</v>
      </c>
      <c r="V13" s="1">
        <v>150</v>
      </c>
    </row>
    <row r="14" spans="1:26" x14ac:dyDescent="0.25">
      <c r="J14" s="9"/>
      <c r="K14" s="9"/>
      <c r="L14" s="13"/>
      <c r="R14" s="1" t="s">
        <v>40</v>
      </c>
      <c r="S14" s="1" t="s">
        <v>41</v>
      </c>
      <c r="T14" s="1">
        <v>1</v>
      </c>
      <c r="U14" s="1">
        <v>250</v>
      </c>
      <c r="V14" s="1">
        <v>250</v>
      </c>
    </row>
    <row r="15" spans="1:26" x14ac:dyDescent="0.25">
      <c r="A15" s="1">
        <v>5</v>
      </c>
      <c r="B15" s="23">
        <v>243697</v>
      </c>
      <c r="C15" s="1" t="s">
        <v>51</v>
      </c>
      <c r="D15" s="1" t="s">
        <v>195</v>
      </c>
      <c r="E15" s="1" t="s">
        <v>196</v>
      </c>
      <c r="F15" s="1" t="s">
        <v>52</v>
      </c>
      <c r="G15" s="3" t="s">
        <v>56</v>
      </c>
      <c r="H15" s="1" t="s">
        <v>197</v>
      </c>
      <c r="I15" s="1" t="s">
        <v>118</v>
      </c>
      <c r="J15" s="9">
        <v>8000</v>
      </c>
      <c r="K15" s="9" t="s">
        <v>184</v>
      </c>
      <c r="L15" s="13" t="s">
        <v>198</v>
      </c>
      <c r="M15" s="23" t="s">
        <v>136</v>
      </c>
      <c r="O15" s="23" t="s">
        <v>142</v>
      </c>
      <c r="P15" s="1" t="s">
        <v>11</v>
      </c>
      <c r="Q15" s="1" t="s">
        <v>174</v>
      </c>
      <c r="R15" s="1" t="s">
        <v>36</v>
      </c>
      <c r="S15" s="1" t="s">
        <v>37</v>
      </c>
      <c r="T15" s="1">
        <v>1</v>
      </c>
      <c r="U15" s="1">
        <v>250</v>
      </c>
      <c r="V15" s="1">
        <v>250</v>
      </c>
      <c r="W15" s="1">
        <v>9</v>
      </c>
      <c r="X15" s="1">
        <f>SUM(V15:V17)</f>
        <v>650</v>
      </c>
      <c r="Y15" s="25" t="s">
        <v>54</v>
      </c>
      <c r="Z15" s="1" t="s">
        <v>55</v>
      </c>
    </row>
    <row r="16" spans="1:26" x14ac:dyDescent="0.25">
      <c r="J16" s="9"/>
      <c r="K16" s="9"/>
      <c r="L16" s="13"/>
      <c r="R16" s="1" t="s">
        <v>38</v>
      </c>
      <c r="S16" s="1" t="s">
        <v>39</v>
      </c>
      <c r="T16" s="1">
        <v>1</v>
      </c>
      <c r="U16" s="1">
        <v>150</v>
      </c>
      <c r="V16" s="1">
        <v>150</v>
      </c>
      <c r="Y16" s="25"/>
    </row>
    <row r="17" spans="1:26" ht="24.75" customHeight="1" x14ac:dyDescent="0.25">
      <c r="J17" s="9"/>
      <c r="K17" s="9"/>
      <c r="L17" s="13"/>
      <c r="R17" s="1" t="s">
        <v>40</v>
      </c>
      <c r="S17" s="1" t="s">
        <v>41</v>
      </c>
      <c r="T17" s="1">
        <v>1</v>
      </c>
      <c r="U17" s="1">
        <v>250</v>
      </c>
      <c r="V17" s="1">
        <v>250</v>
      </c>
      <c r="Y17" s="25"/>
    </row>
    <row r="18" spans="1:26" x14ac:dyDescent="0.25">
      <c r="A18" s="1">
        <v>6</v>
      </c>
      <c r="B18" s="23">
        <v>243702</v>
      </c>
      <c r="C18" s="1" t="s">
        <v>53</v>
      </c>
      <c r="D18" s="1" t="s">
        <v>61</v>
      </c>
      <c r="E18" s="1" t="s">
        <v>60</v>
      </c>
      <c r="F18" s="1" t="s">
        <v>149</v>
      </c>
      <c r="G18" s="24" t="s">
        <v>59</v>
      </c>
      <c r="H18" s="1" t="s">
        <v>204</v>
      </c>
      <c r="I18" s="1" t="s">
        <v>118</v>
      </c>
      <c r="J18" s="9">
        <v>800</v>
      </c>
      <c r="K18" s="9" t="s">
        <v>184</v>
      </c>
      <c r="L18" s="13">
        <v>8933</v>
      </c>
      <c r="M18" s="23" t="s">
        <v>136</v>
      </c>
      <c r="O18" s="23" t="s">
        <v>142</v>
      </c>
      <c r="P18" s="1" t="s">
        <v>11</v>
      </c>
      <c r="Q18" s="1" t="s">
        <v>173</v>
      </c>
      <c r="R18" s="1" t="s">
        <v>36</v>
      </c>
      <c r="S18" s="1" t="s">
        <v>37</v>
      </c>
      <c r="T18" s="1">
        <v>1</v>
      </c>
      <c r="U18" s="1">
        <v>250</v>
      </c>
      <c r="V18" s="1">
        <v>250</v>
      </c>
      <c r="W18" s="1">
        <v>9</v>
      </c>
      <c r="X18" s="1">
        <f>SUM(V18:V20)</f>
        <v>650</v>
      </c>
      <c r="Y18" s="25" t="s">
        <v>57</v>
      </c>
      <c r="Z18" s="1" t="s">
        <v>58</v>
      </c>
    </row>
    <row r="19" spans="1:26" x14ac:dyDescent="0.25">
      <c r="J19" s="9"/>
      <c r="K19" s="9"/>
      <c r="L19" s="13"/>
      <c r="R19" s="1" t="s">
        <v>38</v>
      </c>
      <c r="S19" s="1" t="s">
        <v>39</v>
      </c>
      <c r="T19" s="1">
        <v>1</v>
      </c>
      <c r="U19" s="1">
        <v>150</v>
      </c>
      <c r="V19" s="1">
        <v>150</v>
      </c>
      <c r="Y19" s="25"/>
    </row>
    <row r="20" spans="1:26" x14ac:dyDescent="0.25">
      <c r="J20" s="9"/>
      <c r="K20" s="9"/>
      <c r="L20" s="13"/>
      <c r="R20" s="1" t="s">
        <v>40</v>
      </c>
      <c r="S20" s="1" t="s">
        <v>41</v>
      </c>
      <c r="T20" s="1">
        <v>1</v>
      </c>
      <c r="U20" s="1">
        <v>250</v>
      </c>
      <c r="V20" s="1">
        <v>250</v>
      </c>
      <c r="Y20" s="25"/>
    </row>
    <row r="21" spans="1:26" x14ac:dyDescent="0.25">
      <c r="A21" s="1">
        <v>7</v>
      </c>
      <c r="B21" s="23">
        <v>243701</v>
      </c>
      <c r="C21" s="1" t="s">
        <v>62</v>
      </c>
      <c r="D21" s="1" t="s">
        <v>70</v>
      </c>
      <c r="E21" s="24" t="s">
        <v>71</v>
      </c>
      <c r="F21" s="1" t="s">
        <v>203</v>
      </c>
      <c r="G21" s="24" t="s">
        <v>86</v>
      </c>
      <c r="H21" s="1" t="s">
        <v>202</v>
      </c>
      <c r="I21" s="1" t="s">
        <v>118</v>
      </c>
      <c r="J21" s="9">
        <v>6500</v>
      </c>
      <c r="K21" s="9" t="s">
        <v>184</v>
      </c>
      <c r="L21" s="13">
        <v>618</v>
      </c>
      <c r="M21" s="23" t="s">
        <v>147</v>
      </c>
      <c r="O21" s="23" t="s">
        <v>142</v>
      </c>
      <c r="P21" s="1" t="s">
        <v>11</v>
      </c>
      <c r="Q21" s="1" t="s">
        <v>87</v>
      </c>
      <c r="R21" s="1" t="s">
        <v>36</v>
      </c>
      <c r="S21" s="1" t="s">
        <v>37</v>
      </c>
      <c r="T21" s="1">
        <v>1</v>
      </c>
      <c r="U21" s="1">
        <v>250</v>
      </c>
      <c r="V21" s="1">
        <v>250</v>
      </c>
      <c r="W21" s="1">
        <v>9</v>
      </c>
      <c r="X21" s="1">
        <f>SUM(V21:V23)</f>
        <v>650</v>
      </c>
      <c r="Y21" s="25" t="s">
        <v>88</v>
      </c>
      <c r="Z21" s="1" t="s">
        <v>63</v>
      </c>
    </row>
    <row r="22" spans="1:26" x14ac:dyDescent="0.25">
      <c r="E22" s="24"/>
      <c r="G22" s="24"/>
      <c r="J22" s="9"/>
      <c r="K22" s="9"/>
      <c r="L22" s="13"/>
      <c r="R22" s="1" t="s">
        <v>38</v>
      </c>
      <c r="S22" s="1" t="s">
        <v>39</v>
      </c>
      <c r="T22" s="1">
        <v>1</v>
      </c>
      <c r="U22" s="1">
        <v>150</v>
      </c>
      <c r="V22" s="1">
        <v>150</v>
      </c>
      <c r="Y22" s="25"/>
    </row>
    <row r="23" spans="1:26" x14ac:dyDescent="0.25">
      <c r="E23" s="24"/>
      <c r="G23" s="24"/>
      <c r="J23" s="9"/>
      <c r="K23" s="9"/>
      <c r="L23" s="13"/>
      <c r="R23" s="1" t="s">
        <v>40</v>
      </c>
      <c r="S23" s="1" t="s">
        <v>41</v>
      </c>
      <c r="T23" s="1">
        <v>1</v>
      </c>
      <c r="U23" s="1">
        <v>250</v>
      </c>
      <c r="V23" s="1">
        <v>250</v>
      </c>
      <c r="Y23" s="25"/>
    </row>
    <row r="24" spans="1:26" x14ac:dyDescent="0.25">
      <c r="A24" s="1">
        <v>8</v>
      </c>
      <c r="B24" s="23">
        <v>243695</v>
      </c>
      <c r="D24" s="1" t="s">
        <v>170</v>
      </c>
      <c r="E24" s="1" t="s">
        <v>171</v>
      </c>
      <c r="F24" s="1" t="s">
        <v>146</v>
      </c>
      <c r="H24" s="1" t="s">
        <v>188</v>
      </c>
      <c r="I24" s="1" t="s">
        <v>118</v>
      </c>
      <c r="J24" s="9">
        <v>6500</v>
      </c>
      <c r="K24" s="9" t="s">
        <v>184</v>
      </c>
      <c r="L24" s="13" t="s">
        <v>189</v>
      </c>
      <c r="M24" s="23" t="s">
        <v>140</v>
      </c>
      <c r="O24" s="1" t="s">
        <v>145</v>
      </c>
    </row>
    <row r="25" spans="1:26" x14ac:dyDescent="0.25">
      <c r="A25" s="1">
        <v>9</v>
      </c>
      <c r="B25" s="23">
        <v>243696</v>
      </c>
      <c r="D25" s="1" t="s">
        <v>190</v>
      </c>
      <c r="E25" s="1" t="s">
        <v>191</v>
      </c>
      <c r="F25" s="1" t="s">
        <v>144</v>
      </c>
      <c r="H25" s="1" t="s">
        <v>194</v>
      </c>
      <c r="I25" s="1" t="s">
        <v>118</v>
      </c>
      <c r="J25" s="9">
        <v>7000</v>
      </c>
      <c r="K25" s="9" t="s">
        <v>192</v>
      </c>
      <c r="L25" s="13" t="s">
        <v>193</v>
      </c>
      <c r="M25" s="23" t="s">
        <v>136</v>
      </c>
      <c r="O25" s="1" t="s">
        <v>145</v>
      </c>
    </row>
    <row r="26" spans="1:26" x14ac:dyDescent="0.25">
      <c r="A26" s="1">
        <v>10</v>
      </c>
      <c r="B26" s="23">
        <v>243708</v>
      </c>
      <c r="C26" s="1" t="s">
        <v>69</v>
      </c>
      <c r="D26" s="1" t="s">
        <v>131</v>
      </c>
      <c r="E26" s="24" t="s">
        <v>79</v>
      </c>
      <c r="F26" s="1" t="s">
        <v>117</v>
      </c>
      <c r="G26" s="24" t="s">
        <v>107</v>
      </c>
      <c r="H26" s="1" t="s">
        <v>14</v>
      </c>
      <c r="I26" s="1" t="s">
        <v>118</v>
      </c>
      <c r="J26" s="9">
        <v>800</v>
      </c>
      <c r="K26" s="9" t="s">
        <v>184</v>
      </c>
      <c r="L26" s="13"/>
      <c r="M26" s="23" t="s">
        <v>138</v>
      </c>
      <c r="O26" s="23" t="s">
        <v>142</v>
      </c>
      <c r="P26" s="1" t="s">
        <v>11</v>
      </c>
      <c r="Q26" s="1" t="s">
        <v>108</v>
      </c>
      <c r="R26" s="1" t="s">
        <v>36</v>
      </c>
      <c r="S26" s="1" t="s">
        <v>37</v>
      </c>
      <c r="T26" s="1">
        <v>1</v>
      </c>
      <c r="U26" s="1">
        <v>250</v>
      </c>
      <c r="V26" s="1">
        <v>250</v>
      </c>
      <c r="W26" s="1">
        <v>1</v>
      </c>
      <c r="X26" s="1">
        <f>SUM(V26:V31)</f>
        <v>250</v>
      </c>
      <c r="Y26" s="25" t="s">
        <v>106</v>
      </c>
      <c r="Z26" s="1" t="s">
        <v>85</v>
      </c>
    </row>
    <row r="27" spans="1:26" x14ac:dyDescent="0.25">
      <c r="A27" s="1">
        <v>11</v>
      </c>
      <c r="B27" s="23">
        <v>243695</v>
      </c>
      <c r="D27" s="1" t="s">
        <v>128</v>
      </c>
      <c r="E27" s="1" t="s">
        <v>129</v>
      </c>
      <c r="F27" s="1" t="s">
        <v>127</v>
      </c>
      <c r="H27" s="1" t="s">
        <v>187</v>
      </c>
      <c r="I27" s="1" t="s">
        <v>118</v>
      </c>
      <c r="J27" s="9">
        <v>1285</v>
      </c>
      <c r="K27" s="9" t="s">
        <v>184</v>
      </c>
      <c r="L27" s="13">
        <v>1049</v>
      </c>
      <c r="M27" s="23" t="s">
        <v>140</v>
      </c>
      <c r="O27" s="1" t="s">
        <v>145</v>
      </c>
    </row>
    <row r="28" spans="1:26" x14ac:dyDescent="0.25">
      <c r="A28" s="1">
        <v>12</v>
      </c>
      <c r="B28" s="23">
        <v>243703</v>
      </c>
      <c r="D28" s="1" t="s">
        <v>122</v>
      </c>
      <c r="E28" s="1" t="s">
        <v>123</v>
      </c>
      <c r="F28" s="1" t="s">
        <v>139</v>
      </c>
      <c r="H28" s="9" t="s">
        <v>206</v>
      </c>
      <c r="I28" s="1" t="s">
        <v>118</v>
      </c>
      <c r="J28" s="9">
        <v>6000</v>
      </c>
      <c r="K28" s="9" t="s">
        <v>184</v>
      </c>
      <c r="L28" s="13" t="s">
        <v>205</v>
      </c>
      <c r="M28" s="1" t="s">
        <v>140</v>
      </c>
      <c r="O28" s="1" t="s">
        <v>145</v>
      </c>
    </row>
    <row r="29" spans="1:26" x14ac:dyDescent="0.25">
      <c r="A29" s="1">
        <v>13</v>
      </c>
      <c r="B29" s="23">
        <v>243705</v>
      </c>
      <c r="D29" s="1" t="s">
        <v>179</v>
      </c>
      <c r="E29" s="1" t="s">
        <v>178</v>
      </c>
      <c r="F29" s="1" t="s">
        <v>148</v>
      </c>
      <c r="H29" s="1" t="s">
        <v>211</v>
      </c>
      <c r="I29" s="1" t="s">
        <v>118</v>
      </c>
      <c r="J29" s="9">
        <v>6000</v>
      </c>
      <c r="K29" s="9" t="s">
        <v>215</v>
      </c>
      <c r="L29" s="13">
        <v>184</v>
      </c>
      <c r="M29" s="1" t="s">
        <v>214</v>
      </c>
      <c r="O29" s="1" t="s">
        <v>145</v>
      </c>
    </row>
    <row r="30" spans="1:26" x14ac:dyDescent="0.25">
      <c r="A30" s="1">
        <v>14</v>
      </c>
      <c r="B30" s="23">
        <v>243706</v>
      </c>
      <c r="D30" s="1" t="s">
        <v>74</v>
      </c>
      <c r="E30" s="1" t="s">
        <v>175</v>
      </c>
      <c r="F30" s="1" t="s">
        <v>176</v>
      </c>
      <c r="H30" s="1" t="s">
        <v>212</v>
      </c>
      <c r="I30" s="1" t="s">
        <v>118</v>
      </c>
      <c r="J30" s="9">
        <v>7500</v>
      </c>
      <c r="K30" s="9" t="s">
        <v>215</v>
      </c>
      <c r="L30" s="13">
        <v>6500</v>
      </c>
      <c r="M30" s="1" t="s">
        <v>214</v>
      </c>
      <c r="O30" s="1" t="s">
        <v>145</v>
      </c>
    </row>
    <row r="31" spans="1:26" x14ac:dyDescent="0.25">
      <c r="A31" s="1">
        <v>15</v>
      </c>
      <c r="B31" s="23">
        <v>243707</v>
      </c>
      <c r="D31" s="1" t="s">
        <v>125</v>
      </c>
      <c r="E31" s="1" t="s">
        <v>126</v>
      </c>
      <c r="F31" s="1" t="s">
        <v>124</v>
      </c>
      <c r="I31" s="1" t="s">
        <v>118</v>
      </c>
      <c r="J31" s="9">
        <v>2000</v>
      </c>
      <c r="K31" s="9" t="s">
        <v>184</v>
      </c>
      <c r="L31" s="13">
        <v>6179</v>
      </c>
      <c r="M31" s="23" t="s">
        <v>143</v>
      </c>
      <c r="O31" s="1" t="s">
        <v>145</v>
      </c>
    </row>
    <row r="32" spans="1:26" ht="24" thickBot="1" x14ac:dyDescent="0.3">
      <c r="J32" s="14">
        <f>SUM(J3:J31)</f>
        <v>97385</v>
      </c>
      <c r="K32" s="26"/>
      <c r="L32" s="13"/>
    </row>
    <row r="33" spans="7:12" ht="24" thickTop="1" x14ac:dyDescent="0.25">
      <c r="G33" s="1"/>
      <c r="J33" s="1"/>
      <c r="K33" s="1"/>
      <c r="L33" s="13"/>
    </row>
    <row r="34" spans="7:12" x14ac:dyDescent="0.25">
      <c r="G34" s="1"/>
      <c r="J34" s="1"/>
      <c r="K34" s="1"/>
      <c r="L34" s="13"/>
    </row>
    <row r="35" spans="7:12" x14ac:dyDescent="0.25">
      <c r="G35" s="1"/>
      <c r="J35" s="1"/>
      <c r="K35" s="1"/>
      <c r="L35" s="13"/>
    </row>
    <row r="36" spans="7:12" x14ac:dyDescent="0.25">
      <c r="G36" s="1"/>
      <c r="J36" s="1"/>
      <c r="K36" s="1"/>
      <c r="L36" s="13"/>
    </row>
    <row r="37" spans="7:12" x14ac:dyDescent="0.25">
      <c r="G37" s="1"/>
      <c r="J37" s="1"/>
      <c r="K37" s="1"/>
      <c r="L37" s="13"/>
    </row>
    <row r="38" spans="7:12" x14ac:dyDescent="0.25">
      <c r="G38" s="1"/>
      <c r="J38" s="1"/>
      <c r="K38" s="1"/>
      <c r="L38" s="13"/>
    </row>
    <row r="39" spans="7:12" x14ac:dyDescent="0.25">
      <c r="G39" s="1"/>
      <c r="J39" s="1"/>
      <c r="K39" s="1"/>
      <c r="L39" s="13"/>
    </row>
    <row r="40" spans="7:12" x14ac:dyDescent="0.25">
      <c r="G40" s="1"/>
      <c r="J40" s="1"/>
      <c r="K40" s="1"/>
      <c r="L40" s="13"/>
    </row>
    <row r="41" spans="7:12" x14ac:dyDescent="0.25">
      <c r="G41" s="1"/>
      <c r="J41" s="1"/>
      <c r="K41" s="1"/>
    </row>
  </sheetData>
  <autoFilter ref="C2:X2" xr:uid="{ABAFF259-57FD-4F17-A1FD-6B9BEFB72B6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307C-5EF2-4B3B-B29B-CFF4F17D76B4}">
  <sheetPr>
    <tabColor rgb="FFFFCCFF"/>
  </sheetPr>
  <dimension ref="A1:Z20"/>
  <sheetViews>
    <sheetView zoomScale="70" zoomScaleNormal="70" workbookViewId="0">
      <pane xSplit="7" ySplit="2" topLeftCell="H3" activePane="bottomRight" state="frozen"/>
      <selection pane="topRight" activeCell="F1" sqref="F1"/>
      <selection pane="bottomLeft" activeCell="A2" sqref="A2"/>
      <selection pane="bottomRight" activeCell="H18" sqref="H18:I18"/>
    </sheetView>
  </sheetViews>
  <sheetFormatPr defaultColWidth="9.09765625" defaultRowHeight="23.4" x14ac:dyDescent="0.25"/>
  <cols>
    <col min="1" max="1" width="9.09765625" style="1"/>
    <col min="2" max="2" width="20" style="1" customWidth="1"/>
    <col min="3" max="3" width="12.8984375" style="1" bestFit="1" customWidth="1"/>
    <col min="4" max="4" width="23.8984375" style="1" bestFit="1" customWidth="1"/>
    <col min="5" max="5" width="23.8984375" style="1" customWidth="1"/>
    <col min="6" max="6" width="23.296875" style="1" bestFit="1" customWidth="1"/>
    <col min="7" max="7" width="18.09765625" style="3" customWidth="1"/>
    <col min="8" max="8" width="23.59765625" style="1" bestFit="1" customWidth="1"/>
    <col min="9" max="9" width="31" style="1" customWidth="1"/>
    <col min="10" max="11" width="23.296875" style="8" customWidth="1"/>
    <col min="12" max="12" width="17" style="11" customWidth="1"/>
    <col min="13" max="15" width="27.69921875" style="1" customWidth="1"/>
    <col min="16" max="16" width="6.59765625" style="1" bestFit="1" customWidth="1"/>
    <col min="17" max="17" width="24.296875" style="1" customWidth="1"/>
    <col min="18" max="18" width="15.09765625" style="1" customWidth="1"/>
    <col min="19" max="19" width="40.3984375" style="1" customWidth="1"/>
    <col min="20" max="20" width="14.59765625" style="1" customWidth="1"/>
    <col min="21" max="21" width="9.296875" style="1" customWidth="1"/>
    <col min="22" max="22" width="8.8984375" style="1" customWidth="1"/>
    <col min="23" max="23" width="18.59765625" style="1" customWidth="1"/>
    <col min="24" max="24" width="8.69921875" style="1" customWidth="1"/>
    <col min="25" max="25" width="89.09765625" style="1" customWidth="1"/>
    <col min="26" max="26" width="28.09765625" style="1" bestFit="1" customWidth="1"/>
    <col min="27" max="27" width="9.3984375" style="1" customWidth="1"/>
    <col min="28" max="16384" width="9.09765625" style="1"/>
  </cols>
  <sheetData>
    <row r="1" spans="1:26" ht="28.8" x14ac:dyDescent="0.25">
      <c r="A1" s="10" t="s">
        <v>223</v>
      </c>
    </row>
    <row r="2" spans="1:26" s="2" customFormat="1" ht="26.4" x14ac:dyDescent="0.25">
      <c r="A2" s="4" t="s">
        <v>155</v>
      </c>
      <c r="B2" s="4" t="s">
        <v>119</v>
      </c>
      <c r="C2" s="4" t="s">
        <v>0</v>
      </c>
      <c r="D2" s="4" t="s">
        <v>1</v>
      </c>
      <c r="E2" s="4" t="s">
        <v>24</v>
      </c>
      <c r="F2" s="4" t="s">
        <v>185</v>
      </c>
      <c r="G2" s="5" t="s">
        <v>2</v>
      </c>
      <c r="H2" s="4" t="s">
        <v>3</v>
      </c>
      <c r="I2" s="4" t="s">
        <v>116</v>
      </c>
      <c r="J2" s="7" t="s">
        <v>109</v>
      </c>
      <c r="K2" s="7" t="s">
        <v>182</v>
      </c>
      <c r="L2" s="12" t="s">
        <v>153</v>
      </c>
      <c r="M2" s="4" t="s">
        <v>135</v>
      </c>
      <c r="N2" s="4" t="s">
        <v>111</v>
      </c>
      <c r="O2" s="4" t="s">
        <v>141</v>
      </c>
      <c r="P2" s="4" t="s">
        <v>4</v>
      </c>
      <c r="Q2" s="4" t="s">
        <v>5</v>
      </c>
      <c r="R2" s="6" t="s">
        <v>31</v>
      </c>
      <c r="S2" s="6" t="s">
        <v>32</v>
      </c>
      <c r="T2" s="6" t="s">
        <v>33</v>
      </c>
      <c r="U2" s="6" t="s">
        <v>34</v>
      </c>
      <c r="V2" s="6" t="s">
        <v>35</v>
      </c>
      <c r="W2" s="4" t="s">
        <v>6</v>
      </c>
      <c r="X2" s="4" t="s">
        <v>7</v>
      </c>
      <c r="Y2" s="4" t="s">
        <v>47</v>
      </c>
      <c r="Z2" s="4" t="s">
        <v>19</v>
      </c>
    </row>
    <row r="3" spans="1:26" x14ac:dyDescent="0.25">
      <c r="A3" s="1">
        <v>1</v>
      </c>
      <c r="B3" s="23">
        <v>243710</v>
      </c>
      <c r="C3" s="1" t="s">
        <v>64</v>
      </c>
      <c r="D3" s="1" t="s">
        <v>72</v>
      </c>
      <c r="E3" s="1" t="s">
        <v>73</v>
      </c>
      <c r="F3" s="1" t="s">
        <v>151</v>
      </c>
      <c r="G3" s="24" t="s">
        <v>89</v>
      </c>
      <c r="H3" s="1" t="s">
        <v>216</v>
      </c>
      <c r="I3" s="1" t="s">
        <v>118</v>
      </c>
      <c r="J3" s="9">
        <v>8000</v>
      </c>
      <c r="K3" s="9" t="s">
        <v>184</v>
      </c>
      <c r="L3" s="13" t="s">
        <v>217</v>
      </c>
      <c r="M3" s="23" t="s">
        <v>136</v>
      </c>
      <c r="O3" s="23" t="s">
        <v>142</v>
      </c>
      <c r="P3" s="1" t="s">
        <v>11</v>
      </c>
      <c r="Q3" s="1" t="s">
        <v>90</v>
      </c>
      <c r="R3" s="1" t="s">
        <v>92</v>
      </c>
      <c r="S3" s="1" t="s">
        <v>93</v>
      </c>
      <c r="T3" s="1">
        <v>1</v>
      </c>
      <c r="U3" s="1">
        <v>398</v>
      </c>
      <c r="V3" s="1">
        <v>398</v>
      </c>
      <c r="W3" s="1">
        <v>4</v>
      </c>
      <c r="X3" s="1">
        <v>398</v>
      </c>
      <c r="Y3" s="25" t="s">
        <v>101</v>
      </c>
      <c r="Z3" s="1" t="s">
        <v>83</v>
      </c>
    </row>
    <row r="4" spans="1:26" x14ac:dyDescent="0.25">
      <c r="A4" s="1">
        <v>2</v>
      </c>
      <c r="B4" s="23">
        <v>243711</v>
      </c>
      <c r="D4" s="1" t="s">
        <v>181</v>
      </c>
      <c r="E4" s="1" t="s">
        <v>180</v>
      </c>
      <c r="F4" s="1" t="s">
        <v>152</v>
      </c>
      <c r="H4" s="1" t="s">
        <v>213</v>
      </c>
      <c r="I4" s="1" t="s">
        <v>118</v>
      </c>
      <c r="J4" s="9">
        <v>2000</v>
      </c>
      <c r="K4" s="9" t="s">
        <v>215</v>
      </c>
      <c r="L4" s="13">
        <v>91</v>
      </c>
      <c r="M4" s="23" t="s">
        <v>136</v>
      </c>
      <c r="O4" s="1" t="s">
        <v>145</v>
      </c>
      <c r="Y4" s="25" t="s">
        <v>91</v>
      </c>
      <c r="Z4" s="1" t="s">
        <v>80</v>
      </c>
    </row>
    <row r="5" spans="1:26" x14ac:dyDescent="0.25">
      <c r="A5" s="1">
        <v>3</v>
      </c>
      <c r="B5" s="23">
        <v>243712</v>
      </c>
      <c r="C5" s="1" t="s">
        <v>67</v>
      </c>
      <c r="D5" s="1" t="s">
        <v>76</v>
      </c>
      <c r="E5" s="1" t="s">
        <v>77</v>
      </c>
      <c r="F5" s="1" t="s">
        <v>132</v>
      </c>
      <c r="G5" s="24" t="s">
        <v>102</v>
      </c>
      <c r="H5" s="1" t="s">
        <v>219</v>
      </c>
      <c r="I5" s="1" t="s">
        <v>118</v>
      </c>
      <c r="J5" s="9">
        <v>3000</v>
      </c>
      <c r="K5" s="9" t="s">
        <v>184</v>
      </c>
      <c r="L5" s="13" t="s">
        <v>218</v>
      </c>
      <c r="M5" s="23" t="s">
        <v>136</v>
      </c>
      <c r="O5" s="23" t="s">
        <v>142</v>
      </c>
      <c r="P5" s="1" t="s">
        <v>11</v>
      </c>
      <c r="Q5" s="1" t="s">
        <v>100</v>
      </c>
      <c r="R5" s="1" t="s">
        <v>40</v>
      </c>
      <c r="S5" s="1" t="s">
        <v>41</v>
      </c>
      <c r="T5" s="1">
        <v>1</v>
      </c>
      <c r="U5" s="1">
        <v>250</v>
      </c>
      <c r="V5" s="1">
        <v>250</v>
      </c>
      <c r="W5" s="1">
        <v>3</v>
      </c>
      <c r="X5" s="1">
        <v>250</v>
      </c>
      <c r="Y5" s="25" t="s">
        <v>105</v>
      </c>
      <c r="Z5" s="1" t="s">
        <v>84</v>
      </c>
    </row>
    <row r="6" spans="1:26" x14ac:dyDescent="0.25">
      <c r="A6" s="1">
        <v>4</v>
      </c>
      <c r="B6" s="23">
        <v>243715</v>
      </c>
      <c r="D6" s="1" t="s">
        <v>114</v>
      </c>
      <c r="E6" s="1" t="s">
        <v>115</v>
      </c>
      <c r="F6" s="1" t="s">
        <v>133</v>
      </c>
      <c r="H6" s="1" t="s">
        <v>220</v>
      </c>
      <c r="I6" s="1" t="s">
        <v>118</v>
      </c>
      <c r="J6" s="9">
        <v>10500</v>
      </c>
      <c r="K6" s="9" t="s">
        <v>184</v>
      </c>
      <c r="L6" s="13" t="s">
        <v>221</v>
      </c>
      <c r="M6" s="23" t="s">
        <v>136</v>
      </c>
      <c r="O6" s="1" t="s">
        <v>145</v>
      </c>
    </row>
    <row r="7" spans="1:26" x14ac:dyDescent="0.25">
      <c r="A7" s="1">
        <v>5</v>
      </c>
      <c r="B7" s="23">
        <v>243715</v>
      </c>
      <c r="C7" s="1" t="s">
        <v>68</v>
      </c>
      <c r="D7" s="1" t="s">
        <v>78</v>
      </c>
      <c r="E7" s="1" t="s">
        <v>110</v>
      </c>
      <c r="F7" s="1" t="s">
        <v>130</v>
      </c>
      <c r="G7" s="24" t="s">
        <v>103</v>
      </c>
      <c r="H7" s="1" t="s">
        <v>14</v>
      </c>
      <c r="I7" s="1" t="s">
        <v>118</v>
      </c>
      <c r="J7" s="9">
        <v>3000</v>
      </c>
      <c r="K7" s="9" t="s">
        <v>184</v>
      </c>
      <c r="L7" s="13" t="s">
        <v>158</v>
      </c>
      <c r="M7" s="23" t="s">
        <v>136</v>
      </c>
      <c r="O7" s="23" t="s">
        <v>142</v>
      </c>
      <c r="P7" s="1" t="s">
        <v>11</v>
      </c>
      <c r="Q7" s="1" t="s">
        <v>104</v>
      </c>
      <c r="R7" s="1" t="s">
        <v>36</v>
      </c>
      <c r="S7" s="1" t="s">
        <v>37</v>
      </c>
      <c r="T7" s="1">
        <v>1</v>
      </c>
      <c r="U7" s="1">
        <v>250</v>
      </c>
      <c r="V7" s="1">
        <v>250</v>
      </c>
      <c r="W7" s="1">
        <v>1</v>
      </c>
      <c r="X7" s="1">
        <f>SUM(V7:V10)</f>
        <v>798</v>
      </c>
    </row>
    <row r="8" spans="1:26" x14ac:dyDescent="0.25">
      <c r="A8" s="1">
        <v>6</v>
      </c>
      <c r="B8" s="23">
        <v>243719</v>
      </c>
      <c r="D8" s="1" t="s">
        <v>179</v>
      </c>
      <c r="E8" s="1" t="s">
        <v>178</v>
      </c>
      <c r="F8" s="1" t="s">
        <v>148</v>
      </c>
      <c r="H8" s="1" t="s">
        <v>211</v>
      </c>
      <c r="I8" s="1" t="s">
        <v>177</v>
      </c>
      <c r="J8" s="9">
        <v>0</v>
      </c>
      <c r="K8" s="9" t="s">
        <v>215</v>
      </c>
      <c r="L8" s="13" t="s">
        <v>158</v>
      </c>
      <c r="M8" s="1" t="s">
        <v>214</v>
      </c>
      <c r="O8" s="1" t="s">
        <v>145</v>
      </c>
      <c r="Y8" s="25" t="s">
        <v>96</v>
      </c>
      <c r="Z8" s="1" t="s">
        <v>81</v>
      </c>
    </row>
    <row r="9" spans="1:26" x14ac:dyDescent="0.25">
      <c r="A9" s="1">
        <v>7</v>
      </c>
      <c r="B9" s="23">
        <v>243724</v>
      </c>
      <c r="C9" s="1" t="s">
        <v>65</v>
      </c>
      <c r="D9" s="1" t="s">
        <v>74</v>
      </c>
      <c r="E9" s="24" t="s">
        <v>75</v>
      </c>
      <c r="F9" s="1" t="s">
        <v>134</v>
      </c>
      <c r="G9" s="24" t="s">
        <v>94</v>
      </c>
      <c r="H9" s="1" t="s">
        <v>14</v>
      </c>
      <c r="I9" s="1" t="s">
        <v>137</v>
      </c>
      <c r="J9" s="9">
        <v>10000</v>
      </c>
      <c r="K9" s="9" t="s">
        <v>184</v>
      </c>
      <c r="L9" s="13" t="s">
        <v>158</v>
      </c>
      <c r="M9" s="23" t="s">
        <v>143</v>
      </c>
      <c r="O9" s="23" t="s">
        <v>142</v>
      </c>
      <c r="P9" s="1" t="s">
        <v>11</v>
      </c>
      <c r="Q9" s="1" t="s">
        <v>95</v>
      </c>
      <c r="R9" s="1" t="s">
        <v>38</v>
      </c>
      <c r="S9" s="1" t="s">
        <v>39</v>
      </c>
      <c r="T9" s="1">
        <v>1</v>
      </c>
      <c r="U9" s="1">
        <v>150</v>
      </c>
      <c r="V9" s="1">
        <v>150</v>
      </c>
      <c r="W9" s="1">
        <v>3</v>
      </c>
      <c r="X9" s="1">
        <v>150</v>
      </c>
      <c r="Y9" s="25" t="s">
        <v>99</v>
      </c>
      <c r="Z9" s="1" t="s">
        <v>82</v>
      </c>
    </row>
    <row r="10" spans="1:26" x14ac:dyDescent="0.25">
      <c r="A10" s="1">
        <v>8</v>
      </c>
      <c r="B10" s="23">
        <v>243729</v>
      </c>
      <c r="C10" s="1" t="s">
        <v>66</v>
      </c>
      <c r="D10" s="1" t="s">
        <v>121</v>
      </c>
      <c r="E10" s="1" t="s">
        <v>113</v>
      </c>
      <c r="F10" s="1" t="s">
        <v>120</v>
      </c>
      <c r="G10" s="24" t="s">
        <v>97</v>
      </c>
      <c r="H10" s="1" t="s">
        <v>14</v>
      </c>
      <c r="I10" s="1" t="s">
        <v>118</v>
      </c>
      <c r="J10" s="9">
        <v>10000</v>
      </c>
      <c r="K10" s="9" t="s">
        <v>184</v>
      </c>
      <c r="L10" s="13" t="s">
        <v>158</v>
      </c>
      <c r="M10" s="23" t="s">
        <v>136</v>
      </c>
      <c r="N10" s="1" t="s">
        <v>112</v>
      </c>
      <c r="O10" s="23" t="s">
        <v>142</v>
      </c>
      <c r="P10" s="1" t="s">
        <v>11</v>
      </c>
      <c r="Q10" s="1" t="s">
        <v>98</v>
      </c>
      <c r="R10" s="1" t="s">
        <v>92</v>
      </c>
      <c r="S10" s="1" t="s">
        <v>93</v>
      </c>
      <c r="T10" s="1">
        <v>1</v>
      </c>
      <c r="U10" s="1">
        <v>398</v>
      </c>
      <c r="V10" s="1">
        <v>398</v>
      </c>
      <c r="W10" s="1">
        <v>4</v>
      </c>
      <c r="X10" s="1">
        <v>398</v>
      </c>
    </row>
    <row r="11" spans="1:26" ht="24" thickBot="1" x14ac:dyDescent="0.3">
      <c r="J11" s="14">
        <f>SUM(J3:J10)</f>
        <v>46500</v>
      </c>
      <c r="K11" s="26"/>
      <c r="L11" s="13"/>
    </row>
    <row r="12" spans="1:26" ht="24" thickTop="1" x14ac:dyDescent="0.25">
      <c r="G12" s="1"/>
      <c r="J12" s="1"/>
      <c r="K12" s="1"/>
      <c r="L12" s="13"/>
    </row>
    <row r="13" spans="1:26" x14ac:dyDescent="0.25">
      <c r="G13" s="1"/>
      <c r="J13" s="1"/>
      <c r="K13" s="1"/>
      <c r="L13" s="13"/>
    </row>
    <row r="14" spans="1:26" x14ac:dyDescent="0.25">
      <c r="G14" s="1"/>
      <c r="J14" s="1"/>
      <c r="K14" s="1"/>
      <c r="L14" s="13"/>
    </row>
    <row r="15" spans="1:26" x14ac:dyDescent="0.25">
      <c r="G15" s="1"/>
      <c r="J15" s="1"/>
      <c r="K15" s="1"/>
      <c r="L15" s="13"/>
    </row>
    <row r="16" spans="1:26" x14ac:dyDescent="0.25">
      <c r="G16" s="1"/>
      <c r="J16" s="1"/>
      <c r="K16" s="1"/>
      <c r="L16" s="13"/>
    </row>
    <row r="17" spans="7:12" x14ac:dyDescent="0.25">
      <c r="G17" s="1"/>
      <c r="J17" s="1"/>
      <c r="K17" s="1"/>
      <c r="L17" s="13"/>
    </row>
    <row r="18" spans="7:12" x14ac:dyDescent="0.25">
      <c r="G18" s="1"/>
      <c r="J18" s="1"/>
      <c r="K18" s="1"/>
      <c r="L18" s="13"/>
    </row>
    <row r="19" spans="7:12" x14ac:dyDescent="0.25">
      <c r="G19" s="1"/>
      <c r="J19" s="1"/>
      <c r="K19" s="1"/>
      <c r="L19" s="13"/>
    </row>
    <row r="20" spans="7:12" x14ac:dyDescent="0.25">
      <c r="G20" s="1"/>
      <c r="J20" s="1"/>
      <c r="K20" s="1"/>
    </row>
  </sheetData>
  <autoFilter ref="A2:AE2" xr:uid="{2700307C-5EF2-4B3B-B29B-CFF4F17D76B4}">
    <sortState xmlns:xlrd2="http://schemas.microsoft.com/office/spreadsheetml/2017/richdata2" ref="A3:AE12">
      <sortCondition ref="B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DBD8-879F-491E-8187-79BFCD11D861}">
  <sheetPr>
    <tabColor rgb="FFFFCCFF"/>
  </sheetPr>
  <dimension ref="A1:Z13"/>
  <sheetViews>
    <sheetView zoomScale="85" zoomScaleNormal="85" workbookViewId="0">
      <pane xSplit="7" ySplit="2" topLeftCell="H3" activePane="bottomRight" state="frozen"/>
      <selection pane="topRight" activeCell="F1" sqref="F1"/>
      <selection pane="bottomLeft" activeCell="A2" sqref="A2"/>
      <selection pane="bottomRight" activeCell="A3" sqref="A3:XFD3"/>
    </sheetView>
  </sheetViews>
  <sheetFormatPr defaultColWidth="9.09765625" defaultRowHeight="23.4" x14ac:dyDescent="0.25"/>
  <cols>
    <col min="1" max="1" width="9.09765625" style="1"/>
    <col min="2" max="2" width="20" style="1" customWidth="1"/>
    <col min="3" max="3" width="12.8984375" style="1" bestFit="1" customWidth="1"/>
    <col min="4" max="4" width="23.8984375" style="1" bestFit="1" customWidth="1"/>
    <col min="5" max="5" width="23.8984375" style="1" customWidth="1"/>
    <col min="6" max="6" width="23.296875" style="1" bestFit="1" customWidth="1"/>
    <col min="7" max="7" width="18.09765625" style="3" customWidth="1"/>
    <col min="8" max="8" width="23.59765625" style="1" bestFit="1" customWidth="1"/>
    <col min="9" max="9" width="31" style="1" customWidth="1"/>
    <col min="10" max="11" width="23.296875" style="8" customWidth="1"/>
    <col min="12" max="12" width="17" style="11" customWidth="1"/>
    <col min="13" max="15" width="27.69921875" style="1" customWidth="1"/>
    <col min="16" max="16" width="6.59765625" style="1" bestFit="1" customWidth="1"/>
    <col min="17" max="17" width="24.296875" style="1" customWidth="1"/>
    <col min="18" max="18" width="15.09765625" style="1" customWidth="1"/>
    <col min="19" max="19" width="40.3984375" style="1" customWidth="1"/>
    <col min="20" max="20" width="14.59765625" style="1" customWidth="1"/>
    <col min="21" max="21" width="9.296875" style="1" customWidth="1"/>
    <col min="22" max="22" width="8.8984375" style="1" customWidth="1"/>
    <col min="23" max="23" width="18.59765625" style="1" customWidth="1"/>
    <col min="24" max="24" width="8.69921875" style="1" customWidth="1"/>
    <col min="25" max="25" width="89.09765625" style="1" customWidth="1"/>
    <col min="26" max="26" width="28.09765625" style="1" bestFit="1" customWidth="1"/>
    <col min="27" max="27" width="9.3984375" style="1" customWidth="1"/>
    <col min="28" max="16384" width="9.09765625" style="1"/>
  </cols>
  <sheetData>
    <row r="1" spans="1:26" ht="28.8" x14ac:dyDescent="0.25">
      <c r="A1" s="10" t="s">
        <v>222</v>
      </c>
    </row>
    <row r="2" spans="1:26" s="2" customFormat="1" ht="26.4" x14ac:dyDescent="0.25">
      <c r="A2" s="4" t="s">
        <v>155</v>
      </c>
      <c r="B2" s="4" t="s">
        <v>119</v>
      </c>
      <c r="C2" s="4" t="s">
        <v>0</v>
      </c>
      <c r="D2" s="4" t="s">
        <v>1</v>
      </c>
      <c r="E2" s="4" t="s">
        <v>24</v>
      </c>
      <c r="F2" s="4" t="s">
        <v>185</v>
      </c>
      <c r="G2" s="5" t="s">
        <v>2</v>
      </c>
      <c r="H2" s="4" t="s">
        <v>3</v>
      </c>
      <c r="I2" s="4" t="s">
        <v>116</v>
      </c>
      <c r="J2" s="7" t="s">
        <v>109</v>
      </c>
      <c r="K2" s="7" t="s">
        <v>182</v>
      </c>
      <c r="L2" s="12" t="s">
        <v>153</v>
      </c>
      <c r="M2" s="4" t="s">
        <v>135</v>
      </c>
      <c r="N2" s="4" t="s">
        <v>111</v>
      </c>
      <c r="O2" s="4" t="s">
        <v>141</v>
      </c>
      <c r="P2" s="4" t="s">
        <v>4</v>
      </c>
      <c r="Q2" s="4" t="s">
        <v>5</v>
      </c>
      <c r="R2" s="6" t="s">
        <v>31</v>
      </c>
      <c r="S2" s="6" t="s">
        <v>32</v>
      </c>
      <c r="T2" s="6" t="s">
        <v>33</v>
      </c>
      <c r="U2" s="6" t="s">
        <v>34</v>
      </c>
      <c r="V2" s="6" t="s">
        <v>35</v>
      </c>
      <c r="W2" s="4" t="s">
        <v>6</v>
      </c>
      <c r="X2" s="4" t="s">
        <v>7</v>
      </c>
      <c r="Y2" s="4" t="s">
        <v>47</v>
      </c>
      <c r="Z2" s="4" t="s">
        <v>19</v>
      </c>
    </row>
    <row r="3" spans="1:26" x14ac:dyDescent="0.25">
      <c r="A3" s="1">
        <v>1</v>
      </c>
      <c r="B3" s="23">
        <v>243750</v>
      </c>
      <c r="D3" s="1" t="s">
        <v>181</v>
      </c>
      <c r="E3" s="1" t="s">
        <v>180</v>
      </c>
      <c r="F3" s="1" t="s">
        <v>152</v>
      </c>
      <c r="H3" s="1" t="s">
        <v>213</v>
      </c>
      <c r="I3" s="1" t="s">
        <v>118</v>
      </c>
      <c r="J3" s="9">
        <v>2000</v>
      </c>
      <c r="K3" s="9" t="s">
        <v>215</v>
      </c>
      <c r="L3" s="13" t="s">
        <v>158</v>
      </c>
      <c r="M3" s="23" t="s">
        <v>136</v>
      </c>
      <c r="O3" s="1" t="s">
        <v>145</v>
      </c>
    </row>
    <row r="4" spans="1:26" ht="22.5" customHeight="1" thickBot="1" x14ac:dyDescent="0.3">
      <c r="J4" s="14">
        <f>SUM(J3:J3)</f>
        <v>2000</v>
      </c>
      <c r="K4" s="26"/>
      <c r="L4" s="13"/>
    </row>
    <row r="5" spans="1:26" ht="24" thickTop="1" x14ac:dyDescent="0.25">
      <c r="G5" s="1"/>
      <c r="J5" s="1"/>
      <c r="K5" s="1"/>
      <c r="L5" s="13"/>
    </row>
    <row r="6" spans="1:26" x14ac:dyDescent="0.25">
      <c r="G6" s="1"/>
      <c r="J6" s="1"/>
      <c r="K6" s="1"/>
      <c r="L6" s="13"/>
    </row>
    <row r="7" spans="1:26" x14ac:dyDescent="0.25">
      <c r="G7" s="1"/>
      <c r="J7" s="1"/>
      <c r="K7" s="1"/>
      <c r="L7" s="13"/>
    </row>
    <row r="8" spans="1:26" x14ac:dyDescent="0.25">
      <c r="G8" s="1"/>
      <c r="J8" s="1"/>
      <c r="K8" s="1"/>
      <c r="L8" s="13"/>
    </row>
    <row r="9" spans="1:26" x14ac:dyDescent="0.25">
      <c r="G9" s="1"/>
      <c r="J9" s="1"/>
      <c r="K9" s="1"/>
      <c r="L9" s="13"/>
    </row>
    <row r="10" spans="1:26" x14ac:dyDescent="0.25">
      <c r="G10" s="1"/>
      <c r="J10" s="1"/>
      <c r="K10" s="1"/>
      <c r="L10" s="13"/>
    </row>
    <row r="11" spans="1:26" x14ac:dyDescent="0.25">
      <c r="G11" s="1"/>
      <c r="J11" s="1"/>
      <c r="K11" s="1"/>
      <c r="L11" s="13"/>
    </row>
    <row r="12" spans="1:26" x14ac:dyDescent="0.25">
      <c r="G12" s="1"/>
      <c r="J12" s="1"/>
      <c r="K12" s="1"/>
      <c r="L12" s="13"/>
    </row>
    <row r="13" spans="1:26" x14ac:dyDescent="0.25">
      <c r="G13" s="1"/>
      <c r="J13" s="1"/>
      <c r="K13" s="1"/>
    </row>
  </sheetData>
  <autoFilter ref="C2:X2" xr:uid="{ABAFF259-57FD-4F17-A1FD-6B9BEFB72B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90CB-2951-42C9-983E-F3D7269E1971}">
  <sheetPr>
    <tabColor rgb="FFFFCCFF"/>
  </sheetPr>
  <dimension ref="A1:Z13"/>
  <sheetViews>
    <sheetView zoomScale="85" zoomScaleNormal="85" workbookViewId="0">
      <pane xSplit="7" ySplit="2" topLeftCell="U3" activePane="bottomRight" state="frozen"/>
      <selection pane="topRight" activeCell="F1" sqref="F1"/>
      <selection pane="bottomLeft" activeCell="A2" sqref="A2"/>
      <selection pane="bottomRight" activeCell="A6" sqref="A6"/>
    </sheetView>
  </sheetViews>
  <sheetFormatPr defaultColWidth="9.09765625" defaultRowHeight="23.4" x14ac:dyDescent="0.25"/>
  <cols>
    <col min="1" max="1" width="9.09765625" style="1"/>
    <col min="2" max="2" width="20" style="1" customWidth="1"/>
    <col min="3" max="3" width="12.8984375" style="1" bestFit="1" customWidth="1"/>
    <col min="4" max="4" width="23.8984375" style="1" bestFit="1" customWidth="1"/>
    <col min="5" max="5" width="23.8984375" style="1" customWidth="1"/>
    <col min="6" max="6" width="23.296875" style="1" bestFit="1" customWidth="1"/>
    <col min="7" max="7" width="18.09765625" style="3" customWidth="1"/>
    <col min="8" max="8" width="23.59765625" style="1" bestFit="1" customWidth="1"/>
    <col min="9" max="9" width="31" style="1" customWidth="1"/>
    <col min="10" max="11" width="23.296875" style="8" customWidth="1"/>
    <col min="12" max="12" width="17" style="11" customWidth="1"/>
    <col min="13" max="15" width="27.69921875" style="1" customWidth="1"/>
    <col min="16" max="16" width="6.59765625" style="1" bestFit="1" customWidth="1"/>
    <col min="17" max="17" width="24.296875" style="1" customWidth="1"/>
    <col min="18" max="18" width="15.09765625" style="1" customWidth="1"/>
    <col min="19" max="19" width="40.3984375" style="1" customWidth="1"/>
    <col min="20" max="20" width="14.59765625" style="1" customWidth="1"/>
    <col min="21" max="21" width="9.296875" style="1" customWidth="1"/>
    <col min="22" max="22" width="8.8984375" style="1" customWidth="1"/>
    <col min="23" max="23" width="18.59765625" style="1" customWidth="1"/>
    <col min="24" max="24" width="8.69921875" style="1" customWidth="1"/>
    <col min="25" max="25" width="89.09765625" style="1" customWidth="1"/>
    <col min="26" max="26" width="28.09765625" style="1" bestFit="1" customWidth="1"/>
    <col min="27" max="27" width="9.3984375" style="1" customWidth="1"/>
    <col min="28" max="16384" width="9.09765625" style="1"/>
  </cols>
  <sheetData>
    <row r="1" spans="1:26" ht="28.8" x14ac:dyDescent="0.25">
      <c r="A1" s="10" t="s">
        <v>224</v>
      </c>
    </row>
    <row r="2" spans="1:26" s="2" customFormat="1" ht="26.4" x14ac:dyDescent="0.25">
      <c r="A2" s="4" t="s">
        <v>155</v>
      </c>
      <c r="B2" s="4" t="s">
        <v>119</v>
      </c>
      <c r="C2" s="4" t="s">
        <v>0</v>
      </c>
      <c r="D2" s="4" t="s">
        <v>1</v>
      </c>
      <c r="E2" s="4" t="s">
        <v>24</v>
      </c>
      <c r="F2" s="4" t="s">
        <v>185</v>
      </c>
      <c r="G2" s="5" t="s">
        <v>2</v>
      </c>
      <c r="H2" s="4" t="s">
        <v>3</v>
      </c>
      <c r="I2" s="4" t="s">
        <v>116</v>
      </c>
      <c r="J2" s="7" t="s">
        <v>109</v>
      </c>
      <c r="K2" s="7" t="s">
        <v>182</v>
      </c>
      <c r="L2" s="12" t="s">
        <v>153</v>
      </c>
      <c r="M2" s="4" t="s">
        <v>135</v>
      </c>
      <c r="N2" s="4" t="s">
        <v>111</v>
      </c>
      <c r="O2" s="4" t="s">
        <v>141</v>
      </c>
      <c r="P2" s="4" t="s">
        <v>4</v>
      </c>
      <c r="Q2" s="4" t="s">
        <v>5</v>
      </c>
      <c r="R2" s="6" t="s">
        <v>31</v>
      </c>
      <c r="S2" s="6" t="s">
        <v>32</v>
      </c>
      <c r="T2" s="6" t="s">
        <v>33</v>
      </c>
      <c r="U2" s="6" t="s">
        <v>34</v>
      </c>
      <c r="V2" s="6" t="s">
        <v>35</v>
      </c>
      <c r="W2" s="4" t="s">
        <v>6</v>
      </c>
      <c r="X2" s="4" t="s">
        <v>7</v>
      </c>
      <c r="Y2" s="4" t="s">
        <v>47</v>
      </c>
      <c r="Z2" s="4" t="s">
        <v>19</v>
      </c>
    </row>
    <row r="3" spans="1:26" x14ac:dyDescent="0.25">
      <c r="B3" s="23"/>
      <c r="J3" s="9"/>
      <c r="K3" s="9"/>
      <c r="L3" s="13"/>
      <c r="M3" s="23"/>
    </row>
    <row r="4" spans="1:26" ht="22.5" customHeight="1" thickBot="1" x14ac:dyDescent="0.3">
      <c r="J4" s="14">
        <f>SUM(J3:J3)</f>
        <v>0</v>
      </c>
      <c r="K4" s="26"/>
      <c r="L4" s="13"/>
    </row>
    <row r="5" spans="1:26" ht="24" thickTop="1" x14ac:dyDescent="0.25">
      <c r="G5" s="1"/>
      <c r="J5" s="1"/>
      <c r="K5" s="1"/>
      <c r="L5" s="13"/>
    </row>
    <row r="6" spans="1:26" x14ac:dyDescent="0.25">
      <c r="G6" s="1"/>
      <c r="J6" s="1"/>
      <c r="K6" s="1"/>
      <c r="L6" s="13"/>
    </row>
    <row r="7" spans="1:26" x14ac:dyDescent="0.25">
      <c r="G7" s="1"/>
      <c r="J7" s="1"/>
      <c r="K7" s="1"/>
      <c r="L7" s="13"/>
    </row>
    <row r="8" spans="1:26" x14ac:dyDescent="0.25">
      <c r="G8" s="1"/>
      <c r="J8" s="1"/>
      <c r="K8" s="1"/>
      <c r="L8" s="13"/>
    </row>
    <row r="9" spans="1:26" x14ac:dyDescent="0.25">
      <c r="G9" s="1"/>
      <c r="J9" s="1"/>
      <c r="K9" s="1"/>
      <c r="L9" s="13"/>
    </row>
    <row r="10" spans="1:26" x14ac:dyDescent="0.25">
      <c r="G10" s="1"/>
      <c r="J10" s="1"/>
      <c r="K10" s="1"/>
      <c r="L10" s="13"/>
    </row>
    <row r="11" spans="1:26" x14ac:dyDescent="0.25">
      <c r="G11" s="1"/>
      <c r="J11" s="1"/>
      <c r="K11" s="1"/>
      <c r="L11" s="13"/>
    </row>
    <row r="12" spans="1:26" x14ac:dyDescent="0.25">
      <c r="G12" s="1"/>
      <c r="J12" s="1"/>
      <c r="K12" s="1"/>
      <c r="L12" s="13"/>
    </row>
    <row r="13" spans="1:26" x14ac:dyDescent="0.25">
      <c r="G13" s="1"/>
      <c r="J13" s="1"/>
      <c r="K13" s="1"/>
    </row>
  </sheetData>
  <autoFilter ref="C2:X2" xr:uid="{ABAFF259-57FD-4F17-A1FD-6B9BEFB72B6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6EC3-8A67-434A-B946-F194D58ED16F}">
  <sheetPr>
    <tabColor rgb="FFFFCCFF"/>
  </sheetPr>
  <dimension ref="A1:Z13"/>
  <sheetViews>
    <sheetView zoomScale="85" zoomScaleNormal="85" workbookViewId="0">
      <pane xSplit="7" ySplit="2" topLeftCell="U3" activePane="bottomRight" state="frozen"/>
      <selection pane="topRight" activeCell="F1" sqref="F1"/>
      <selection pane="bottomLeft" activeCell="A2" sqref="A2"/>
      <selection pane="bottomRight" activeCell="Y24" sqref="Y24"/>
    </sheetView>
  </sheetViews>
  <sheetFormatPr defaultColWidth="9.09765625" defaultRowHeight="23.4" x14ac:dyDescent="0.25"/>
  <cols>
    <col min="1" max="1" width="9.09765625" style="1"/>
    <col min="2" max="2" width="20" style="1" customWidth="1"/>
    <col min="3" max="3" width="12.8984375" style="1" bestFit="1" customWidth="1"/>
    <col min="4" max="4" width="23.8984375" style="1" bestFit="1" customWidth="1"/>
    <col min="5" max="5" width="23.8984375" style="1" customWidth="1"/>
    <col min="6" max="6" width="23.296875" style="1" bestFit="1" customWidth="1"/>
    <col min="7" max="7" width="18.09765625" style="3" customWidth="1"/>
    <col min="8" max="8" width="23.59765625" style="1" bestFit="1" customWidth="1"/>
    <col min="9" max="9" width="31" style="1" customWidth="1"/>
    <col min="10" max="11" width="23.296875" style="8" customWidth="1"/>
    <col min="12" max="12" width="17" style="11" customWidth="1"/>
    <col min="13" max="15" width="27.69921875" style="1" customWidth="1"/>
    <col min="16" max="16" width="6.59765625" style="1" bestFit="1" customWidth="1"/>
    <col min="17" max="17" width="24.296875" style="1" customWidth="1"/>
    <col min="18" max="18" width="15.09765625" style="1" customWidth="1"/>
    <col min="19" max="19" width="40.3984375" style="1" customWidth="1"/>
    <col min="20" max="20" width="14.59765625" style="1" customWidth="1"/>
    <col min="21" max="21" width="9.296875" style="1" customWidth="1"/>
    <col min="22" max="22" width="8.8984375" style="1" customWidth="1"/>
    <col min="23" max="23" width="18.59765625" style="1" customWidth="1"/>
    <col min="24" max="24" width="8.69921875" style="1" customWidth="1"/>
    <col min="25" max="25" width="89.09765625" style="1" customWidth="1"/>
    <col min="26" max="26" width="28.09765625" style="1" bestFit="1" customWidth="1"/>
    <col min="27" max="27" width="9.3984375" style="1" customWidth="1"/>
    <col min="28" max="16384" width="9.09765625" style="1"/>
  </cols>
  <sheetData>
    <row r="1" spans="1:26" ht="28.8" x14ac:dyDescent="0.25">
      <c r="A1" s="10" t="s">
        <v>224</v>
      </c>
    </row>
    <row r="2" spans="1:26" s="2" customFormat="1" ht="26.4" x14ac:dyDescent="0.25">
      <c r="A2" s="4" t="s">
        <v>155</v>
      </c>
      <c r="B2" s="4" t="s">
        <v>119</v>
      </c>
      <c r="C2" s="4" t="s">
        <v>0</v>
      </c>
      <c r="D2" s="4" t="s">
        <v>1</v>
      </c>
      <c r="E2" s="4" t="s">
        <v>24</v>
      </c>
      <c r="F2" s="4" t="s">
        <v>185</v>
      </c>
      <c r="G2" s="5" t="s">
        <v>2</v>
      </c>
      <c r="H2" s="4" t="s">
        <v>3</v>
      </c>
      <c r="I2" s="4" t="s">
        <v>116</v>
      </c>
      <c r="J2" s="7" t="s">
        <v>109</v>
      </c>
      <c r="K2" s="7" t="s">
        <v>182</v>
      </c>
      <c r="L2" s="12" t="s">
        <v>153</v>
      </c>
      <c r="M2" s="4" t="s">
        <v>135</v>
      </c>
      <c r="N2" s="4" t="s">
        <v>111</v>
      </c>
      <c r="O2" s="4" t="s">
        <v>141</v>
      </c>
      <c r="P2" s="4" t="s">
        <v>4</v>
      </c>
      <c r="Q2" s="4" t="s">
        <v>5</v>
      </c>
      <c r="R2" s="6" t="s">
        <v>31</v>
      </c>
      <c r="S2" s="6" t="s">
        <v>32</v>
      </c>
      <c r="T2" s="6" t="s">
        <v>33</v>
      </c>
      <c r="U2" s="6" t="s">
        <v>34</v>
      </c>
      <c r="V2" s="6" t="s">
        <v>35</v>
      </c>
      <c r="W2" s="4" t="s">
        <v>6</v>
      </c>
      <c r="X2" s="4" t="s">
        <v>7</v>
      </c>
      <c r="Y2" s="4" t="s">
        <v>47</v>
      </c>
      <c r="Z2" s="4" t="s">
        <v>19</v>
      </c>
    </row>
    <row r="3" spans="1:26" x14ac:dyDescent="0.25">
      <c r="B3" s="23"/>
      <c r="J3" s="9"/>
      <c r="K3" s="9"/>
      <c r="L3" s="13"/>
      <c r="M3" s="23"/>
    </row>
    <row r="4" spans="1:26" ht="22.5" customHeight="1" thickBot="1" x14ac:dyDescent="0.3">
      <c r="J4" s="14">
        <f>SUM(J3:J3)</f>
        <v>0</v>
      </c>
      <c r="K4" s="26"/>
      <c r="L4" s="13"/>
    </row>
    <row r="5" spans="1:26" ht="24" thickTop="1" x14ac:dyDescent="0.25">
      <c r="G5" s="1"/>
      <c r="J5" s="1"/>
      <c r="K5" s="1"/>
      <c r="L5" s="13"/>
    </row>
    <row r="6" spans="1:26" x14ac:dyDescent="0.25">
      <c r="G6" s="1"/>
      <c r="J6" s="1"/>
      <c r="K6" s="1"/>
      <c r="L6" s="13"/>
    </row>
    <row r="7" spans="1:26" x14ac:dyDescent="0.25">
      <c r="G7" s="1"/>
      <c r="J7" s="1"/>
      <c r="K7" s="1"/>
      <c r="L7" s="13"/>
    </row>
    <row r="8" spans="1:26" x14ac:dyDescent="0.25">
      <c r="G8" s="1"/>
      <c r="J8" s="1"/>
      <c r="K8" s="1"/>
      <c r="L8" s="13"/>
    </row>
    <row r="9" spans="1:26" x14ac:dyDescent="0.25">
      <c r="G9" s="1"/>
      <c r="J9" s="1"/>
      <c r="K9" s="1"/>
      <c r="L9" s="13"/>
    </row>
    <row r="10" spans="1:26" x14ac:dyDescent="0.25">
      <c r="G10" s="1"/>
      <c r="J10" s="1"/>
      <c r="K10" s="1"/>
      <c r="L10" s="13"/>
    </row>
    <row r="11" spans="1:26" x14ac:dyDescent="0.25">
      <c r="G11" s="1"/>
      <c r="J11" s="1"/>
      <c r="K11" s="1"/>
      <c r="L11" s="13"/>
    </row>
    <row r="12" spans="1:26" x14ac:dyDescent="0.25">
      <c r="G12" s="1"/>
      <c r="J12" s="1"/>
      <c r="K12" s="1"/>
      <c r="L12" s="13"/>
    </row>
    <row r="13" spans="1:26" x14ac:dyDescent="0.25">
      <c r="G13" s="1"/>
      <c r="J13" s="1"/>
      <c r="K13" s="1"/>
    </row>
  </sheetData>
  <autoFilter ref="C2:X2" xr:uid="{ABAFF259-57FD-4F17-A1FD-6B9BEFB72B6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D763-464B-419C-B359-BD5D3432E159}">
  <sheetPr>
    <tabColor rgb="FFFFCCFF"/>
  </sheetPr>
  <dimension ref="A1:P13"/>
  <sheetViews>
    <sheetView zoomScale="70" zoomScaleNormal="70" workbookViewId="0">
      <pane xSplit="7" ySplit="2" topLeftCell="H3" activePane="bottomRight" state="frozen"/>
      <selection pane="topRight" activeCell="F1" sqref="F1"/>
      <selection pane="bottomLeft" activeCell="A2" sqref="A2"/>
      <selection pane="bottomRight" activeCell="M9" sqref="A9:M12"/>
    </sheetView>
  </sheetViews>
  <sheetFormatPr defaultColWidth="9.09765625" defaultRowHeight="23.4" x14ac:dyDescent="0.25"/>
  <cols>
    <col min="1" max="1" width="9.09765625" style="1"/>
    <col min="2" max="2" width="12" style="1" bestFit="1" customWidth="1"/>
    <col min="3" max="3" width="20" style="1" customWidth="1"/>
    <col min="4" max="5" width="23.8984375" style="1" customWidth="1"/>
    <col min="6" max="6" width="23.296875" style="1" bestFit="1" customWidth="1"/>
    <col min="7" max="7" width="18.09765625" style="3" hidden="1" customWidth="1"/>
    <col min="8" max="8" width="23.59765625" style="1" bestFit="1" customWidth="1"/>
    <col min="9" max="9" width="23.59765625" style="1" customWidth="1"/>
    <col min="10" max="10" width="31" style="1" customWidth="1"/>
    <col min="11" max="12" width="23.296875" style="8" customWidth="1"/>
    <col min="13" max="13" width="17" style="11" customWidth="1"/>
    <col min="14" max="15" width="27.69921875" style="1" customWidth="1"/>
    <col min="16" max="16" width="28.09765625" style="1" bestFit="1" customWidth="1"/>
    <col min="17" max="17" width="9.3984375" style="1" customWidth="1"/>
    <col min="18" max="16384" width="9.09765625" style="1"/>
  </cols>
  <sheetData>
    <row r="1" spans="1:16" ht="28.8" x14ac:dyDescent="0.25">
      <c r="A1" s="10" t="s">
        <v>157</v>
      </c>
      <c r="B1" s="10"/>
    </row>
    <row r="2" spans="1:16" s="2" customFormat="1" ht="26.4" x14ac:dyDescent="0.25">
      <c r="A2" s="4" t="s">
        <v>155</v>
      </c>
      <c r="B2" s="4" t="s">
        <v>227</v>
      </c>
      <c r="C2" s="4" t="s">
        <v>119</v>
      </c>
      <c r="D2" s="4" t="s">
        <v>1</v>
      </c>
      <c r="E2" s="4" t="s">
        <v>24</v>
      </c>
      <c r="F2" s="4" t="s">
        <v>185</v>
      </c>
      <c r="G2" s="5" t="s">
        <v>2</v>
      </c>
      <c r="H2" s="4" t="s">
        <v>3</v>
      </c>
      <c r="I2" s="4" t="s">
        <v>226</v>
      </c>
      <c r="J2" s="4" t="s">
        <v>116</v>
      </c>
      <c r="K2" s="7" t="s">
        <v>109</v>
      </c>
      <c r="L2" s="7" t="s">
        <v>182</v>
      </c>
      <c r="M2" s="12" t="s">
        <v>153</v>
      </c>
      <c r="N2" s="4" t="s">
        <v>135</v>
      </c>
      <c r="O2" s="4" t="s">
        <v>111</v>
      </c>
      <c r="P2" s="4" t="s">
        <v>19</v>
      </c>
    </row>
    <row r="3" spans="1:16" x14ac:dyDescent="0.25">
      <c r="A3" s="1">
        <v>1</v>
      </c>
      <c r="B3" s="23">
        <v>243953</v>
      </c>
      <c r="C3" s="23" t="s">
        <v>228</v>
      </c>
      <c r="D3" s="1" t="s">
        <v>179</v>
      </c>
      <c r="E3" s="1" t="s">
        <v>178</v>
      </c>
      <c r="F3" s="1" t="s">
        <v>148</v>
      </c>
      <c r="H3" s="1" t="s">
        <v>211</v>
      </c>
      <c r="I3" s="1" t="s">
        <v>229</v>
      </c>
      <c r="J3" s="1" t="s">
        <v>118</v>
      </c>
      <c r="K3" s="9">
        <v>7000</v>
      </c>
      <c r="L3" s="9" t="s">
        <v>225</v>
      </c>
      <c r="M3" s="13"/>
      <c r="N3" s="1" t="s">
        <v>230</v>
      </c>
    </row>
    <row r="4" spans="1:16" x14ac:dyDescent="0.25">
      <c r="A4" s="1">
        <v>2</v>
      </c>
      <c r="B4" s="23">
        <v>243952</v>
      </c>
      <c r="C4" s="23" t="s">
        <v>228</v>
      </c>
      <c r="D4" s="1" t="s">
        <v>181</v>
      </c>
      <c r="E4" s="1" t="s">
        <v>180</v>
      </c>
      <c r="F4" s="1" t="s">
        <v>152</v>
      </c>
      <c r="H4" s="1" t="s">
        <v>213</v>
      </c>
      <c r="I4" s="1" t="s">
        <v>229</v>
      </c>
      <c r="J4" s="1" t="s">
        <v>118</v>
      </c>
      <c r="K4" s="9">
        <v>4000</v>
      </c>
      <c r="L4" s="9" t="s">
        <v>215</v>
      </c>
      <c r="M4" s="13"/>
      <c r="N4" s="1" t="s">
        <v>230</v>
      </c>
    </row>
    <row r="5" spans="1:16" ht="24" thickBot="1" x14ac:dyDescent="0.3">
      <c r="G5" s="1"/>
      <c r="K5" s="14">
        <f>SUM(K3:K4)</f>
        <v>11000</v>
      </c>
      <c r="L5" s="1"/>
      <c r="M5" s="13"/>
    </row>
    <row r="6" spans="1:16" ht="24" thickTop="1" x14ac:dyDescent="0.25">
      <c r="G6" s="1"/>
      <c r="K6" s="1"/>
      <c r="L6" s="1"/>
      <c r="M6" s="13"/>
    </row>
    <row r="7" spans="1:16" x14ac:dyDescent="0.25">
      <c r="G7" s="1"/>
      <c r="K7" s="1"/>
      <c r="L7" s="1"/>
      <c r="M7" s="13"/>
    </row>
    <row r="8" spans="1:16" x14ac:dyDescent="0.25">
      <c r="G8" s="1"/>
      <c r="K8" s="1"/>
      <c r="L8" s="1"/>
      <c r="M8" s="13"/>
    </row>
    <row r="9" spans="1:16" x14ac:dyDescent="0.25">
      <c r="G9" s="1"/>
      <c r="K9" s="1"/>
      <c r="L9" s="1"/>
      <c r="M9" s="13"/>
    </row>
    <row r="10" spans="1:16" x14ac:dyDescent="0.25">
      <c r="G10" s="1"/>
      <c r="K10" s="1"/>
      <c r="L10" s="1"/>
      <c r="M10" s="13"/>
    </row>
    <row r="11" spans="1:16" x14ac:dyDescent="0.25">
      <c r="G11" s="1"/>
      <c r="K11" s="1"/>
      <c r="L11" s="1"/>
      <c r="M11" s="13"/>
    </row>
    <row r="12" spans="1:16" x14ac:dyDescent="0.25">
      <c r="G12" s="1"/>
      <c r="K12" s="1"/>
      <c r="L12" s="1"/>
      <c r="M12" s="13"/>
    </row>
    <row r="13" spans="1:16" x14ac:dyDescent="0.25">
      <c r="G13" s="1"/>
      <c r="K13" s="1"/>
      <c r="L13" s="1"/>
    </row>
  </sheetData>
  <autoFilter ref="D2:O2" xr:uid="{ABAFF259-57FD-4F17-A1FD-6B9BEFB72B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7</vt:i4>
      </vt:variant>
      <vt:variant>
        <vt:lpstr>ช่วงที่มีชื่อ</vt:lpstr>
      </vt:variant>
      <vt:variant>
        <vt:i4>5</vt:i4>
      </vt:variant>
    </vt:vector>
  </HeadingPairs>
  <TitlesOfParts>
    <vt:vector size="12" baseType="lpstr">
      <vt:lpstr>สรุป</vt:lpstr>
      <vt:lpstr>จ้างอินฟูลรีวิว มี.ค.</vt:lpstr>
      <vt:lpstr>จ้างอินฟูลรีวิว เม.ย.</vt:lpstr>
      <vt:lpstr>จ้างอินฟูลรีวิว พ.ค.</vt:lpstr>
      <vt:lpstr>จ้างอินฟูลรีวิว มิ.ย.</vt:lpstr>
      <vt:lpstr>จ้างอินฟูลรีวิว ก.ค.</vt:lpstr>
      <vt:lpstr>จ้างอินฟลูมางานเกษตร</vt:lpstr>
      <vt:lpstr>จ้างอินฟลูมางานเกษตร!_FilterDatabase</vt:lpstr>
      <vt:lpstr>'จ้างอินฟูลรีวิว ก.ค.'!_FilterDatabase</vt:lpstr>
      <vt:lpstr>'จ้างอินฟูลรีวิว พ.ค.'!_FilterDatabase</vt:lpstr>
      <vt:lpstr>'จ้างอินฟูลรีวิว มิ.ย.'!_FilterDatabase</vt:lpstr>
      <vt:lpstr>'จ้างอินฟูลรีวิว มี.ค.'!_FilterDatabase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dcterms:created xsi:type="dcterms:W3CDTF">2024-03-08T01:43:04Z</dcterms:created>
  <dcterms:modified xsi:type="dcterms:W3CDTF">2025-08-21T08:35:01Z</dcterms:modified>
</cp:coreProperties>
</file>