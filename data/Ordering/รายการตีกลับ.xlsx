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erh\OneDrive\Desktop\ORDERING\คาดปิด 2569\สรุปบิล\"/>
    </mc:Choice>
  </mc:AlternateContent>
  <xr:revisionPtr revIDLastSave="0" documentId="13_ncr:1_{30186067-D303-4177-9894-50332768DA28}" xr6:coauthVersionLast="47" xr6:coauthVersionMax="47" xr10:uidLastSave="{00000000-0000-0000-0000-000000000000}"/>
  <bookViews>
    <workbookView xWindow="-108" yWindow="-108" windowWidth="23256" windowHeight="12456" activeTab="5" xr2:uid="{EC86FD2E-BEF9-4F01-BCFB-102DBD9A54B3}"/>
  </bookViews>
  <sheets>
    <sheet name="08-28.02.69" sheetId="1" r:id="rId1"/>
    <sheet name="01-31.03.69" sheetId="3" r:id="rId2"/>
    <sheet name="Sheet1" sheetId="2" r:id="rId3"/>
    <sheet name="1-30.04.69" sheetId="4" r:id="rId4"/>
    <sheet name="01-31.05.69" sheetId="5" r:id="rId5"/>
    <sheet name="01-30.06.69" sheetId="6" r:id="rId6"/>
  </sheets>
  <definedNames>
    <definedName name="_xlnm._FilterDatabase" localSheetId="5" hidden="1">'01-30.06.69'!$A$2:$I$44</definedName>
    <definedName name="_xlnm._FilterDatabase" localSheetId="1" hidden="1">'01-31.03.69'!$A$2:$J$23</definedName>
    <definedName name="_xlnm._FilterDatabase" localSheetId="4" hidden="1">'01-31.05.69'!$A$2:$I$28</definedName>
    <definedName name="_xlnm._FilterDatabase" localSheetId="0" hidden="1">'08-28.02.69'!$A$2:$J$54</definedName>
    <definedName name="_xlnm._FilterDatabase" localSheetId="3" hidden="1">'1-30.04.69'!$A$2:$I$23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6" l="1"/>
  <c r="L31" i="6"/>
  <c r="D48" i="6"/>
  <c r="L14" i="5"/>
  <c r="D41" i="5"/>
  <c r="L11" i="4"/>
  <c r="D25" i="4"/>
  <c r="D25" i="3"/>
  <c r="M8" i="3"/>
  <c r="M11" i="3" s="1"/>
  <c r="D19" i="2" l="1"/>
  <c r="D55" i="1"/>
</calcChain>
</file>

<file path=xl/sharedStrings.xml><?xml version="1.0" encoding="utf-8"?>
<sst xmlns="http://schemas.openxmlformats.org/spreadsheetml/2006/main" count="1156" uniqueCount="258">
  <si>
    <t>รายการตีกลับ 08-28 กุมภาพันธ์  2569</t>
  </si>
  <si>
    <t>ลำดับ</t>
  </si>
  <si>
    <t>ชื่อสินค้า</t>
  </si>
  <si>
    <t>ผู้รับผิดชอบ</t>
  </si>
  <si>
    <t>พนักงานคีย์ออเดอร์</t>
  </si>
  <si>
    <t>เค้กโบราณครีม 2ชิ้น</t>
  </si>
  <si>
    <t>เค้กโบราณผลไม้ 2 ชิ้น</t>
  </si>
  <si>
    <t>เอแคร์นมสด อเมซอน</t>
  </si>
  <si>
    <t>ธุรการขาย</t>
  </si>
  <si>
    <t>คุณอาทิตย์ตยา</t>
  </si>
  <si>
    <t>วันที่ตีกลับสินค้า</t>
  </si>
  <si>
    <t>ดำเนินการ</t>
  </si>
  <si>
    <t>ระบายขายพนักงาน</t>
  </si>
  <si>
    <t>สาเหตุ</t>
  </si>
  <si>
    <t>เจ้าหน้าคีย์ออเดอร์ผิด</t>
  </si>
  <si>
    <t>ครีมฮอรน์ใบเตย อเมซอน</t>
  </si>
  <si>
    <t>พนักงานขนส่งไม่ได้ลงของให้ลูกค้า</t>
  </si>
  <si>
    <t>ขนส่ง</t>
  </si>
  <si>
    <t>ขนส่งรับผิดชอบ</t>
  </si>
  <si>
    <t>จำนวน/ชิ้น</t>
  </si>
  <si>
    <t>ครีมฮอรน์วนิลา อเมซอน</t>
  </si>
  <si>
    <t>เค้กฝอยทองลาวา</t>
  </si>
  <si>
    <t>ลูกค้าไม่มีของเปลี่ยน</t>
  </si>
  <si>
    <t>ปังเนยนิ่ม 5 ชิ้น  อเมซอน</t>
  </si>
  <si>
    <t>แซนวิชปูอัด อเมซอน</t>
  </si>
  <si>
    <t>แซนวิชทูน่า อเมซอน</t>
  </si>
  <si>
    <t>ชิฟฟ่อนรวม 4 ชิ้น</t>
  </si>
  <si>
    <t>แซนวิชปูอัดสาหร่าย อเมซอน</t>
  </si>
  <si>
    <t>พนักงานขนส่งลงสินค้าสลับสินค้า</t>
  </si>
  <si>
    <t>แซนวิชปูอัด</t>
  </si>
  <si>
    <t>รหัสสาขา</t>
  </si>
  <si>
    <t>DD0614</t>
  </si>
  <si>
    <t>DD0616</t>
  </si>
  <si>
    <t>DD1586</t>
  </si>
  <si>
    <t>เครปโรลฝอยทอง</t>
  </si>
  <si>
    <t>DD4362</t>
  </si>
  <si>
    <t>ลูกค้าแจ้งของเคลมมาซ้ำทางOR</t>
  </si>
  <si>
    <t>เค้กกล้วยหอมเนยสด 4 ชิ้น</t>
  </si>
  <si>
    <t>SD4965</t>
  </si>
  <si>
    <t>ปังลาวาไข่เค็ม</t>
  </si>
  <si>
    <t>DD4033</t>
  </si>
  <si>
    <t>เส้น</t>
  </si>
  <si>
    <t>นครนายก</t>
  </si>
  <si>
    <t>สงขลา</t>
  </si>
  <si>
    <t>อำนาจเจริญ</t>
  </si>
  <si>
    <t>กระทุ่มแบน</t>
  </si>
  <si>
    <t>สุพรรณบุรี</t>
  </si>
  <si>
    <t>คุณยุวดี</t>
  </si>
  <si>
    <t>คุณสุพัตรา</t>
  </si>
  <si>
    <t>OEM</t>
  </si>
  <si>
    <t>นางสาวภาณุมาศ ศรีทันดร</t>
  </si>
  <si>
    <t>เค้ก</t>
  </si>
  <si>
    <t>หัวหน้างาน Ordering Center / OEM</t>
  </si>
  <si>
    <t>ดูแลงานออเดอร์ฝ่ายขาย และขาย OEM</t>
  </si>
  <si>
    <t>Ordering Center</t>
  </si>
  <si>
    <t>นางสาวยุวดี สิงคาน</t>
  </si>
  <si>
    <t>อ้อ</t>
  </si>
  <si>
    <t>Ordering center Officer</t>
  </si>
  <si>
    <t>เจ้าหน้าที่</t>
  </si>
  <si>
    <t>คีย์ออเดอร์ ติดต่อประสานงานลูกค้า</t>
  </si>
  <si>
    <t>นางสาวกาญจนา ศรีเหรา</t>
  </si>
  <si>
    <t>แตงกวา</t>
  </si>
  <si>
    <t>นางสาวจุฑามาศ คุ้มผล</t>
  </si>
  <si>
    <t>อัพ</t>
  </si>
  <si>
    <t>นางสาวสุพัตรา แซ่ตั้น</t>
  </si>
  <si>
    <t>โบว์</t>
  </si>
  <si>
    <t>นางสาวอาทิตย์ตยา ไดยะศรี</t>
  </si>
  <si>
    <t>อุ้ม</t>
  </si>
  <si>
    <t>นางสาวศุภนิดา สวัสดี</t>
  </si>
  <si>
    <t>ทราย</t>
  </si>
  <si>
    <t>นายอัฐพล สงวนดี</t>
  </si>
  <si>
    <t>ฟิวส์</t>
  </si>
  <si>
    <t>Support , รับ PO : Amazon , MDT</t>
  </si>
  <si>
    <t xml:space="preserve">เค้กโบราณบานเย็น </t>
  </si>
  <si>
    <t>รายวัน</t>
  </si>
  <si>
    <t>คุณจุฑามาศ</t>
  </si>
  <si>
    <t>***ส่วนน้องรับผิดชอบคะ***</t>
  </si>
  <si>
    <t>ร้านคุณชมพู่</t>
  </si>
  <si>
    <t>ชิฟฟ่อนรวม 6 ชิ้น</t>
  </si>
  <si>
    <t>ขนส่งรับผิดชอบนะคะ เพราะทางขนส่งลงของสลับตัวสินค้าให้กับทางร้านคะ</t>
  </si>
  <si>
    <t>เส้นเชียงใหม่</t>
  </si>
  <si>
    <t>ครีมฮอร์นใบเตย</t>
  </si>
  <si>
    <t>สาขา DD5418 ทำให้สินค้าที่กลับมาจากเส้นเชียงใหม่ไม่ครบคะ</t>
  </si>
  <si>
    <t>ขนมปังสังขยา</t>
  </si>
  <si>
    <t xml:space="preserve">ลูกค้าไม่รับสินค้าเนื่องจากธุรการขายไม่ได้แจ้งทางขนส่งคะ </t>
  </si>
  <si>
    <t>ซอฟท์เค้กชอคโกแลต</t>
  </si>
  <si>
    <t>คัพเค้กมะพร้าวไส้ครีมเนยสด 4ชิ้น</t>
  </si>
  <si>
    <t>ขนมเปี๊ยะไส้ถั่ว</t>
  </si>
  <si>
    <t>ครีมฮอร์นวนิลา</t>
  </si>
  <si>
    <t>แซนวิชโฮลวีทแฮมชีส</t>
  </si>
  <si>
    <t>แซนวิชแฮมชีส</t>
  </si>
  <si>
    <t>แซนวิชโฮลวีททูน่า</t>
  </si>
  <si>
    <t>เอแคร์ชาไทย</t>
  </si>
  <si>
    <t>ธุรการขายรับผิดชอบ</t>
  </si>
  <si>
    <t>ระบายออกเส้น</t>
  </si>
  <si>
    <t>DD5418</t>
  </si>
  <si>
    <t>DD4701</t>
  </si>
  <si>
    <t>ครีมฮอร์นใบเตย 6 ชิ้น วรรณวนัช</t>
  </si>
  <si>
    <t>FG โหลดสินค้าผิด</t>
  </si>
  <si>
    <t>เส้นสงขลา</t>
  </si>
  <si>
    <t>FG</t>
  </si>
  <si>
    <t>FG รับผิดชอบ</t>
  </si>
  <si>
    <t>ครีมฮอร์นใบเตย 3 ชิ้น วรรณวนัช</t>
  </si>
  <si>
    <t>ขนมปังเนยนิ่ม</t>
  </si>
  <si>
    <t>เค้กลาวาฝอยทองมะพร้าว</t>
  </si>
  <si>
    <t>ซอฟท์เค้กมะพร้าวนมสด</t>
  </si>
  <si>
    <t>ขนมเปี๊ยะไส้ถั่ว 4 ลูก</t>
  </si>
  <si>
    <t>เจ้าหน้าคีย์ออเดอร์ผิด(คีย์ยอดเกิน)</t>
  </si>
  <si>
    <t>เส้นชลบุรี 2</t>
  </si>
  <si>
    <t xml:space="preserve">จำนวน /ชิ้น </t>
  </si>
  <si>
    <t>ขนส่งไม่ได้ลงสินค้าให้สาขา DD0956</t>
  </si>
  <si>
    <t>DD0956</t>
  </si>
  <si>
    <t>รวมจำนวน(ชิ้น)</t>
  </si>
  <si>
    <t>รายการตีกลับ 01-31 มีนาคม  2569</t>
  </si>
  <si>
    <t>ขนมปังหิมะฮอกไกโด</t>
  </si>
  <si>
    <t>สินค้าที่ยิงราคา แต่เจ้าหน้าที่ติดA</t>
  </si>
  <si>
    <t>เส้นกำแพงเพชร-ตาก</t>
  </si>
  <si>
    <t>DD0288</t>
  </si>
  <si>
    <t>เค้กโบราณครีม 2 ชิ้น</t>
  </si>
  <si>
    <t>นำเข้าเส้น</t>
  </si>
  <si>
    <t>ขนมเปี๊ยะไส้ถั่วไข่เค็ม4ลูก</t>
  </si>
  <si>
    <t>ชิฟฟ่อนรวมรส 8 ชิ้น</t>
  </si>
  <si>
    <t>คีย์ออเดอร์ผิด ลูกค้าค้างส่ง4 ชิ้น</t>
  </si>
  <si>
    <t>เส้นระยอง</t>
  </si>
  <si>
    <t>คัพเค้กมะพร้าว 4 ชิ้น</t>
  </si>
  <si>
    <t>เส้นโคราช1</t>
  </si>
  <si>
    <t>คุณอาทิตยตยา</t>
  </si>
  <si>
    <t>คุณบุญยานุช</t>
  </si>
  <si>
    <t>DD1195</t>
  </si>
  <si>
    <t>ลูกค้าสั่งเอแคร์ เจ้าหน้าที่คีย์สินค้าผิดตัว</t>
  </si>
  <si>
    <t>เจ้าหน้าที่คีย์สินค้าผิดตัว</t>
  </si>
  <si>
    <t>แซนวิชปูอัดสาหร่าย</t>
  </si>
  <si>
    <t>ขนส่งค้างส่ง 4 ชิ้นรอบการส่งวันที่ 18/2 ทางธุรการคีย์ออเดอร์ผิด4/3</t>
  </si>
  <si>
    <t>เชียงใหม่</t>
  </si>
  <si>
    <t>รายการสินค้าตีกลับ 01-18 มีนาคม  2569</t>
  </si>
  <si>
    <t>นำเข้าเส้น/รับผิดชอบ</t>
  </si>
  <si>
    <t>ไม่ได้ติดสติกเกอร์</t>
  </si>
  <si>
    <t>ระยอง</t>
  </si>
  <si>
    <t>DD0189</t>
  </si>
  <si>
    <t>ห้องแพ็ค+FG</t>
  </si>
  <si>
    <t>ชิฟฟ่อนสอดใส้เนยมะพร้าว</t>
  </si>
  <si>
    <t>เจ้าหน้าที่คีย์ออเดอร์สินค้าผิด</t>
  </si>
  <si>
    <t>สระบุรี2</t>
  </si>
  <si>
    <t>RM2902</t>
  </si>
  <si>
    <t>แซนวิชแฮมชีสไร้ขอบ</t>
  </si>
  <si>
    <t>แซนวิชโฮลวิทแฮมชีส</t>
  </si>
  <si>
    <t>ปังเนยนิ่ม</t>
  </si>
  <si>
    <t>เอแคลร์นมสด</t>
  </si>
  <si>
    <t>ชูครีมไส้ครีมนมฮอกไกโด</t>
  </si>
  <si>
    <t>ลูกค้าปฏิเสธสินค้าเนื่องจากต้องสินค้ารอบวันที่ 27/3/69</t>
  </si>
  <si>
    <t>COCOกทม</t>
  </si>
  <si>
    <t>SD4683</t>
  </si>
  <si>
    <t>คุณกาญจนา</t>
  </si>
  <si>
    <t>บริษัท</t>
  </si>
  <si>
    <t xml:space="preserve">ธุรการขาย </t>
  </si>
  <si>
    <t>นำเข้าเส้น/ธุรการรับผิดชอบ</t>
  </si>
  <si>
    <t>รายการสินค้าตีกลับ 01-25 มีนาคม  2569</t>
  </si>
  <si>
    <t>เมอร์แรงค์ กระปุก</t>
  </si>
  <si>
    <t>ขอนแก่น</t>
  </si>
  <si>
    <t>รายการตีกลับ 01-30 เมษายน  2569</t>
  </si>
  <si>
    <t>เอแคร์นมสด</t>
  </si>
  <si>
    <t>ฝ่ายขายเปิดจองแล้ว/แต่บัญชีไม่ได้เปิดบิล</t>
  </si>
  <si>
    <t>บ่อพลอย</t>
  </si>
  <si>
    <t>บัญชี</t>
  </si>
  <si>
    <t>บัญชีรับผิดชอบ</t>
  </si>
  <si>
    <t>รายการสินค้าตีกลับ 01-30 เมษายน 2569</t>
  </si>
  <si>
    <t>แซนวิชไก่หยองพริกเผา จัมโบ้</t>
  </si>
  <si>
    <t>สินค้าไม่ตรงสเปก</t>
  </si>
  <si>
    <t>ยูไนเต็ด</t>
  </si>
  <si>
    <t>ระบายขายบูธ</t>
  </si>
  <si>
    <t>บริษัท/ระบายขายบูธ</t>
  </si>
  <si>
    <t>เส้นชลบุรีทางร้านปิดไม่ได้แจ้งทางคนที่รับออเดอร์</t>
  </si>
  <si>
    <t>นำเข้าเส้นที่ส่งสินค้า1 วัน</t>
  </si>
  <si>
    <t>เค้กสามเหลี่ยม รสมะพร้าวน้ำหอม</t>
  </si>
  <si>
    <t>FG ขึ้นสินค้าเกินไป</t>
  </si>
  <si>
    <t>COCO</t>
  </si>
  <si>
    <t>ชิฟฟ่อนเค้กสอดใส้มะพร้าว2 ชิ้น</t>
  </si>
  <si>
    <t>ครีมฮอรน์วนิลา</t>
  </si>
  <si>
    <t>เค้กโบราณผลไม้</t>
  </si>
  <si>
    <t>แซนวิชโฮวีทแฮมชีส</t>
  </si>
  <si>
    <t>ชิฟฟ่อนรวมรส 4 ชิ้น</t>
  </si>
  <si>
    <t>คัพเค้กมะพร้าว</t>
  </si>
  <si>
    <t>แซนวิชโฮวีททูน่า</t>
  </si>
  <si>
    <t>ธุรการฟีดบิลซ้ำ</t>
  </si>
  <si>
    <t>ธรุการขาย</t>
  </si>
  <si>
    <t>รายการตีกลับ 01-31 พฤษภาคม  2569</t>
  </si>
  <si>
    <t>รายการสินค้าตีกลับ 01-31 พฤษภาคม 2569</t>
  </si>
  <si>
    <t>เค้กลาวาฝอยทอง</t>
  </si>
  <si>
    <t>พนักงานขนส่งลงของสลับ</t>
  </si>
  <si>
    <t>ทางขนส่งซื้อคืนหน้าสาขา</t>
  </si>
  <si>
    <t>อำนาจฯ</t>
  </si>
  <si>
    <t>แซนวิชโฮวิทแฮมชีส</t>
  </si>
  <si>
    <t>พนักงานลงสินค้าให้ทางสาขาไม่ครบและลงเกินบางสาขา</t>
  </si>
  <si>
    <t>ให้ขนส่งรับผิดส่วนที่ตีกลับ</t>
  </si>
  <si>
    <t>ชิฟฟ่อนเค้กสอดใส้ครีมมะพร้าว8ชิ้น</t>
  </si>
  <si>
    <t>ทางสาขาไม่มีของเปลี่ยน</t>
  </si>
  <si>
    <t>พนักงานรับออเดอร์คีย์สินค้าผิด</t>
  </si>
  <si>
    <t>ชลบุรี2</t>
  </si>
  <si>
    <t>ฝ่ายขาย</t>
  </si>
  <si>
    <t>นำเข้าเส้น+รับผิดชอบค่าขนส่ง</t>
  </si>
  <si>
    <t>ชิฟฟ่อนรวมรส4ชิ้น</t>
  </si>
  <si>
    <t>บูธหลัก</t>
  </si>
  <si>
    <t>สินค้าเสียก่อนหมดอายุ</t>
  </si>
  <si>
    <t>ตาก</t>
  </si>
  <si>
    <t>นำมาให้QCตรวจสอบ</t>
  </si>
  <si>
    <t>เค้กเบาหวิวมพร้าวน้ำหอม</t>
  </si>
  <si>
    <t>พบสิ่งแปลกปลอม</t>
  </si>
  <si>
    <t>แซนวิชปูอัดไข่กุ้ง</t>
  </si>
  <si>
    <t>ครีมฮอรน์ใบเตย</t>
  </si>
  <si>
    <t xml:space="preserve">ปังเนยนิ่ม 5 ชิ้น  </t>
  </si>
  <si>
    <t>เค้กกล้วยหอมคาราเมล</t>
  </si>
  <si>
    <t>พนักงานรับออเดอร์คีย์บิลเบิ้ล</t>
  </si>
  <si>
    <t>รวมยอด</t>
  </si>
  <si>
    <t>พนักงานFG จัดสินค้าผิด</t>
  </si>
  <si>
    <t>ปังใส้กรอกมินิ</t>
  </si>
  <si>
    <t>ชิฟฟ่อนรวมรส 4ชิ้น</t>
  </si>
  <si>
    <t>เปี๊ยะไข่เค็ม 4 ลูก</t>
  </si>
  <si>
    <t>มินิบันฝอยทองน้ำสลัด</t>
  </si>
  <si>
    <t>ปังไก่หยองมายองเนสสาหร่าย</t>
  </si>
  <si>
    <t>คอนเฟลค</t>
  </si>
  <si>
    <t>รายการตีกลับ 01-30 มิถุนายน  2569</t>
  </si>
  <si>
    <t>รายการสินค้าตีกลับ 01-30  มิถุนายน 2569</t>
  </si>
  <si>
    <t>ชิฟฟ่อนฝอยทอง 8 ชิ้น(หนองพงนก)</t>
  </si>
  <si>
    <t>ทางFGจัดสินค้าเกินไปกับเส้นCOCO</t>
  </si>
  <si>
    <t>DD3381</t>
  </si>
  <si>
    <t>ชิฟฟ่อนเค้กสอดใส้มะพร้าว3 ชิ้น</t>
  </si>
  <si>
    <t>เค้กโบราณผลไม้ 2ชิ้น</t>
  </si>
  <si>
    <t>ขนส่งไม่ลงสินค้าให้ทางสาขา DD3381</t>
  </si>
  <si>
    <t>ขนมปังหิมะ</t>
  </si>
  <si>
    <t>ทีมโทร</t>
  </si>
  <si>
    <t>ทีมโทรดึงยอดเกิน</t>
  </si>
  <si>
    <t>เมอร์แรงค์</t>
  </si>
  <si>
    <t>ปังไก่หยองสาหร่าย</t>
  </si>
  <si>
    <t>มินิบันฝอยทอง</t>
  </si>
  <si>
    <t>พายสับปะรด</t>
  </si>
  <si>
    <t>ขนส่งไปลงสินค้าให้ทางสาขาผิด</t>
  </si>
  <si>
    <t>พบสินค้าขึ้นรา</t>
  </si>
  <si>
    <t>ทำลาย</t>
  </si>
  <si>
    <t>เค้กโบราณ1/2ปอนด์ รสส้ม</t>
  </si>
  <si>
    <t>อายุ5 วัน</t>
  </si>
  <si>
    <t>หน้ามอ</t>
  </si>
  <si>
    <t>ชิฟฟ่อนสอดใส้ใส้เนย</t>
  </si>
  <si>
    <t>ขึ้นสินค้าผิด</t>
  </si>
  <si>
    <t>FG/QC/ขนส่ง</t>
  </si>
  <si>
    <t>FG ขึ้นสินค้าผิดเส้น</t>
  </si>
  <si>
    <t>เค้กโบราณครีม 6ชิ้นหนองพงนก</t>
  </si>
  <si>
    <t>ถุงบรรจุรั่ว/แตก</t>
  </si>
  <si>
    <t>ไม่ราดหน้าคาราเมล</t>
  </si>
  <si>
    <t>ชลบุรี 1</t>
  </si>
  <si>
    <t>ทำลาย/ระบายขายพนักงาน</t>
  </si>
  <si>
    <t>ให้วันเกิดพนักงาน</t>
  </si>
  <si>
    <t>ขึ้นราก่อนวันหมดอายุ</t>
  </si>
  <si>
    <t>นครสวรรค์1</t>
  </si>
  <si>
    <t>ทำลายทิ้ง</t>
  </si>
  <si>
    <t>ปังเนบนิ่ม</t>
  </si>
  <si>
    <t>สิ่งแปลกปลอม</t>
  </si>
  <si>
    <t>นครสวรรค์2</t>
  </si>
  <si>
    <t>พบสินค้าขึ้นราก่อนวันหมดอายุ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</si>
</sst>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;@"/>
  </numFmts>
  <fonts count="11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8"/>
      <color theme="1"/>
      <name val="Angsana New"/>
      <family val="1"/>
    </font>
    <font>
      <b/>
      <u/>
      <sz val="16"/>
      <color rgb="FFFF0000"/>
      <name val="Angsana New"/>
      <family val="1"/>
    </font>
    <font>
      <b/>
      <sz val="20"/>
      <color theme="1"/>
      <name val="Angsana New"/>
      <family val="1"/>
    </font>
    <font>
      <sz val="14"/>
      <color theme="1"/>
      <name val="Angsana New"/>
      <family val="1"/>
    </font>
    <font>
      <sz val="15"/>
      <color theme="1"/>
      <name val="Angsana New"/>
      <family val="1"/>
    </font>
    <font>
      <sz val="8"/>
      <name val="Calibri"/>
      <family val="2"/>
      <charset val="222"/>
      <scheme val="minor"/>
    </font>
    <font>
      <b/>
      <u/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0808-D7B7-400E-8A37-980E1F6C1041}">
  <dimension ref="A1:O55"/>
  <sheetViews>
    <sheetView topLeftCell="A40" workbookViewId="0">
      <selection activeCell="C50" sqref="C50"/>
    </sheetView>
  </sheetViews>
  <sheetFormatPr defaultRowHeight="23.4"/>
  <cols>
    <col min="1" max="1" width="6.88671875" style="2" customWidth="1"/>
    <col min="2" max="2" width="13.88671875" style="3" customWidth="1"/>
    <col min="3" max="3" width="29.109375" style="1" bestFit="1" customWidth="1"/>
    <col min="4" max="4" width="9.88671875" style="2" bestFit="1" customWidth="1"/>
    <col min="5" max="5" width="30.6640625" style="4" bestFit="1" customWidth="1"/>
    <col min="6" max="6" width="11.5546875" style="2" bestFit="1" customWidth="1"/>
    <col min="7" max="7" width="13.6640625" style="2" bestFit="1" customWidth="1"/>
    <col min="8" max="8" width="15.21875" style="2" bestFit="1" customWidth="1"/>
    <col min="9" max="9" width="17.6640625" style="2" customWidth="1"/>
    <col min="10" max="10" width="19.5546875" style="2" bestFit="1" customWidth="1"/>
    <col min="11" max="12" width="8.88671875" style="1"/>
    <col min="13" max="13" width="18.109375" style="1" bestFit="1" customWidth="1"/>
    <col min="14" max="14" width="10.88671875" style="2" bestFit="1" customWidth="1"/>
    <col min="15" max="15" width="10.77734375" style="2" bestFit="1" customWidth="1"/>
    <col min="16" max="16384" width="8.88671875" style="1"/>
  </cols>
  <sheetData>
    <row r="1" spans="1:15" ht="32.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M1" s="15" t="s">
        <v>0</v>
      </c>
      <c r="N1" s="15"/>
      <c r="O1" s="15"/>
    </row>
    <row r="2" spans="1:15">
      <c r="A2" s="9" t="s">
        <v>1</v>
      </c>
      <c r="B2" s="10" t="s">
        <v>10</v>
      </c>
      <c r="C2" s="11" t="s">
        <v>2</v>
      </c>
      <c r="D2" s="9" t="s">
        <v>19</v>
      </c>
      <c r="E2" s="9" t="s">
        <v>13</v>
      </c>
      <c r="F2" s="9" t="s">
        <v>41</v>
      </c>
      <c r="G2" s="9" t="s">
        <v>30</v>
      </c>
      <c r="H2" s="9" t="s">
        <v>3</v>
      </c>
      <c r="I2" s="9" t="s">
        <v>4</v>
      </c>
      <c r="J2" s="9" t="s">
        <v>11</v>
      </c>
      <c r="M2" s="9" t="s">
        <v>13</v>
      </c>
      <c r="N2" s="9" t="s">
        <v>109</v>
      </c>
      <c r="O2" s="9" t="s">
        <v>3</v>
      </c>
    </row>
    <row r="3" spans="1:15">
      <c r="A3" s="5">
        <v>1</v>
      </c>
      <c r="B3" s="6">
        <v>46061</v>
      </c>
      <c r="C3" s="7" t="s">
        <v>5</v>
      </c>
      <c r="D3" s="5">
        <v>15</v>
      </c>
      <c r="E3" s="8" t="s">
        <v>14</v>
      </c>
      <c r="F3" s="5" t="s">
        <v>42</v>
      </c>
      <c r="G3" s="5"/>
      <c r="H3" s="5" t="s">
        <v>8</v>
      </c>
      <c r="I3" s="5" t="s">
        <v>9</v>
      </c>
      <c r="J3" s="5" t="s">
        <v>12</v>
      </c>
      <c r="M3" s="5"/>
      <c r="N3" s="5"/>
      <c r="O3" s="7"/>
    </row>
    <row r="4" spans="1:15">
      <c r="A4" s="5">
        <v>2</v>
      </c>
      <c r="B4" s="6">
        <v>46061</v>
      </c>
      <c r="C4" s="7" t="s">
        <v>6</v>
      </c>
      <c r="D4" s="5">
        <v>5</v>
      </c>
      <c r="E4" s="8" t="s">
        <v>14</v>
      </c>
      <c r="F4" s="5" t="s">
        <v>42</v>
      </c>
      <c r="G4" s="5"/>
      <c r="H4" s="5" t="s">
        <v>8</v>
      </c>
      <c r="I4" s="5" t="s">
        <v>9</v>
      </c>
      <c r="J4" s="5" t="s">
        <v>12</v>
      </c>
      <c r="M4" s="5"/>
      <c r="N4" s="5"/>
      <c r="O4" s="7"/>
    </row>
    <row r="5" spans="1:15">
      <c r="A5" s="5">
        <v>3</v>
      </c>
      <c r="B5" s="6">
        <v>46061</v>
      </c>
      <c r="C5" s="7" t="s">
        <v>7</v>
      </c>
      <c r="D5" s="5">
        <v>5</v>
      </c>
      <c r="E5" s="8" t="s">
        <v>14</v>
      </c>
      <c r="F5" s="5" t="s">
        <v>42</v>
      </c>
      <c r="G5" s="5"/>
      <c r="H5" s="5" t="s">
        <v>8</v>
      </c>
      <c r="I5" s="5" t="s">
        <v>9</v>
      </c>
      <c r="J5" s="5" t="s">
        <v>12</v>
      </c>
      <c r="M5" s="5"/>
      <c r="N5" s="5"/>
      <c r="O5" s="5"/>
    </row>
    <row r="6" spans="1:15">
      <c r="A6" s="5">
        <v>4</v>
      </c>
      <c r="B6" s="6">
        <v>46062</v>
      </c>
      <c r="C6" s="7" t="s">
        <v>15</v>
      </c>
      <c r="D6" s="5">
        <v>4</v>
      </c>
      <c r="E6" s="8" t="s">
        <v>16</v>
      </c>
      <c r="F6" s="5" t="s">
        <v>43</v>
      </c>
      <c r="G6" s="5" t="s">
        <v>33</v>
      </c>
      <c r="H6" s="5" t="s">
        <v>17</v>
      </c>
      <c r="I6" s="5" t="s">
        <v>47</v>
      </c>
      <c r="J6" s="12" t="s">
        <v>18</v>
      </c>
      <c r="M6" s="5"/>
      <c r="N6" s="5"/>
      <c r="O6" s="5"/>
    </row>
    <row r="7" spans="1:15">
      <c r="A7" s="5">
        <v>5</v>
      </c>
      <c r="B7" s="6">
        <v>46062</v>
      </c>
      <c r="C7" s="7" t="s">
        <v>20</v>
      </c>
      <c r="D7" s="5">
        <v>4</v>
      </c>
      <c r="E7" s="8" t="s">
        <v>16</v>
      </c>
      <c r="F7" s="5" t="s">
        <v>43</v>
      </c>
      <c r="G7" s="5" t="s">
        <v>33</v>
      </c>
      <c r="H7" s="5" t="s">
        <v>17</v>
      </c>
      <c r="I7" s="5" t="s">
        <v>47</v>
      </c>
      <c r="J7" s="12" t="s">
        <v>18</v>
      </c>
      <c r="M7" s="5"/>
      <c r="N7" s="5"/>
      <c r="O7" s="5"/>
    </row>
    <row r="8" spans="1:15">
      <c r="A8" s="5">
        <v>6</v>
      </c>
      <c r="B8" s="6">
        <v>46062</v>
      </c>
      <c r="C8" s="7" t="s">
        <v>21</v>
      </c>
      <c r="D8" s="5">
        <v>2</v>
      </c>
      <c r="E8" s="8" t="s">
        <v>22</v>
      </c>
      <c r="F8" s="5" t="s">
        <v>43</v>
      </c>
      <c r="G8" s="5"/>
      <c r="H8" s="5"/>
      <c r="I8" s="5" t="s">
        <v>47</v>
      </c>
      <c r="J8" s="5" t="s">
        <v>12</v>
      </c>
      <c r="M8" s="9"/>
      <c r="N8" s="11"/>
      <c r="O8" s="11"/>
    </row>
    <row r="9" spans="1:15">
      <c r="A9" s="5">
        <v>7</v>
      </c>
      <c r="B9" s="6">
        <v>46062</v>
      </c>
      <c r="C9" s="7" t="s">
        <v>23</v>
      </c>
      <c r="D9" s="5">
        <v>1</v>
      </c>
      <c r="E9" s="8" t="s">
        <v>22</v>
      </c>
      <c r="F9" s="5" t="s">
        <v>43</v>
      </c>
      <c r="G9" s="5"/>
      <c r="H9" s="5"/>
      <c r="I9" s="5" t="s">
        <v>47</v>
      </c>
      <c r="J9" s="5" t="s">
        <v>12</v>
      </c>
    </row>
    <row r="10" spans="1:15">
      <c r="A10" s="5">
        <v>8</v>
      </c>
      <c r="B10" s="6">
        <v>46062</v>
      </c>
      <c r="C10" s="7" t="s">
        <v>7</v>
      </c>
      <c r="D10" s="5">
        <v>2</v>
      </c>
      <c r="E10" s="8" t="s">
        <v>22</v>
      </c>
      <c r="F10" s="5" t="s">
        <v>43</v>
      </c>
      <c r="G10" s="5"/>
      <c r="H10" s="5"/>
      <c r="I10" s="5" t="s">
        <v>47</v>
      </c>
      <c r="J10" s="5" t="s">
        <v>12</v>
      </c>
    </row>
    <row r="11" spans="1:15">
      <c r="A11" s="5">
        <v>9</v>
      </c>
      <c r="B11" s="6">
        <v>46062</v>
      </c>
      <c r="C11" s="7" t="s">
        <v>24</v>
      </c>
      <c r="D11" s="5">
        <v>2</v>
      </c>
      <c r="E11" s="8" t="s">
        <v>22</v>
      </c>
      <c r="F11" s="5" t="s">
        <v>43</v>
      </c>
      <c r="G11" s="5"/>
      <c r="H11" s="5"/>
      <c r="I11" s="5" t="s">
        <v>47</v>
      </c>
      <c r="J11" s="5" t="s">
        <v>12</v>
      </c>
    </row>
    <row r="12" spans="1:15">
      <c r="A12" s="5">
        <v>10</v>
      </c>
      <c r="B12" s="6">
        <v>46062</v>
      </c>
      <c r="C12" s="7" t="s">
        <v>25</v>
      </c>
      <c r="D12" s="5">
        <v>1</v>
      </c>
      <c r="E12" s="8" t="s">
        <v>22</v>
      </c>
      <c r="F12" s="5" t="s">
        <v>43</v>
      </c>
      <c r="G12" s="5"/>
      <c r="H12" s="5"/>
      <c r="I12" s="5" t="s">
        <v>47</v>
      </c>
      <c r="J12" s="5" t="s">
        <v>12</v>
      </c>
    </row>
    <row r="13" spans="1:15">
      <c r="A13" s="5">
        <v>11</v>
      </c>
      <c r="B13" s="6">
        <v>46062</v>
      </c>
      <c r="C13" s="7" t="s">
        <v>27</v>
      </c>
      <c r="D13" s="5">
        <v>1</v>
      </c>
      <c r="E13" s="8" t="s">
        <v>22</v>
      </c>
      <c r="F13" s="5" t="s">
        <v>43</v>
      </c>
      <c r="G13" s="5"/>
      <c r="H13" s="5"/>
      <c r="I13" s="5" t="s">
        <v>47</v>
      </c>
      <c r="J13" s="5" t="s">
        <v>12</v>
      </c>
    </row>
    <row r="14" spans="1:15">
      <c r="A14" s="5">
        <v>12</v>
      </c>
      <c r="B14" s="6">
        <v>46063</v>
      </c>
      <c r="C14" s="7" t="s">
        <v>26</v>
      </c>
      <c r="D14" s="5">
        <v>10</v>
      </c>
      <c r="E14" s="8" t="s">
        <v>16</v>
      </c>
      <c r="F14" s="5" t="s">
        <v>44</v>
      </c>
      <c r="G14" s="5" t="s">
        <v>31</v>
      </c>
      <c r="H14" s="5" t="s">
        <v>17</v>
      </c>
      <c r="I14" s="5" t="s">
        <v>48</v>
      </c>
      <c r="J14" s="12" t="s">
        <v>18</v>
      </c>
    </row>
    <row r="15" spans="1:15">
      <c r="A15" s="5">
        <v>13</v>
      </c>
      <c r="B15" s="6">
        <v>46063</v>
      </c>
      <c r="C15" s="7" t="s">
        <v>27</v>
      </c>
      <c r="D15" s="5">
        <v>2</v>
      </c>
      <c r="E15" s="8" t="s">
        <v>28</v>
      </c>
      <c r="F15" s="5" t="s">
        <v>44</v>
      </c>
      <c r="G15" s="5" t="s">
        <v>32</v>
      </c>
      <c r="H15" s="5" t="s">
        <v>17</v>
      </c>
      <c r="I15" s="5" t="s">
        <v>48</v>
      </c>
      <c r="J15" s="12" t="s">
        <v>18</v>
      </c>
    </row>
    <row r="16" spans="1:15">
      <c r="A16" s="5">
        <v>14</v>
      </c>
      <c r="B16" s="6">
        <v>46063</v>
      </c>
      <c r="C16" s="7" t="s">
        <v>29</v>
      </c>
      <c r="D16" s="5">
        <v>1</v>
      </c>
      <c r="E16" s="8" t="s">
        <v>28</v>
      </c>
      <c r="F16" s="5" t="s">
        <v>44</v>
      </c>
      <c r="G16" s="5"/>
      <c r="H16" s="5" t="s">
        <v>17</v>
      </c>
      <c r="I16" s="5" t="s">
        <v>48</v>
      </c>
      <c r="J16" s="12" t="s">
        <v>18</v>
      </c>
    </row>
    <row r="17" spans="1:11">
      <c r="A17" s="5">
        <v>15</v>
      </c>
      <c r="B17" s="6">
        <v>46064</v>
      </c>
      <c r="C17" s="7" t="s">
        <v>34</v>
      </c>
      <c r="D17" s="5">
        <v>2</v>
      </c>
      <c r="E17" s="8" t="s">
        <v>36</v>
      </c>
      <c r="F17" s="5" t="s">
        <v>45</v>
      </c>
      <c r="G17" s="5" t="s">
        <v>35</v>
      </c>
      <c r="H17" s="5"/>
      <c r="I17" s="5" t="s">
        <v>47</v>
      </c>
      <c r="J17" s="5" t="s">
        <v>12</v>
      </c>
    </row>
    <row r="18" spans="1:11">
      <c r="A18" s="5">
        <v>16</v>
      </c>
      <c r="B18" s="6">
        <v>46064</v>
      </c>
      <c r="C18" s="7" t="s">
        <v>23</v>
      </c>
      <c r="D18" s="5">
        <v>2</v>
      </c>
      <c r="E18" s="8" t="s">
        <v>16</v>
      </c>
      <c r="F18" s="5" t="s">
        <v>45</v>
      </c>
      <c r="G18" s="5" t="s">
        <v>38</v>
      </c>
      <c r="H18" s="5" t="s">
        <v>17</v>
      </c>
      <c r="I18" s="5" t="s">
        <v>47</v>
      </c>
      <c r="J18" s="12" t="s">
        <v>18</v>
      </c>
    </row>
    <row r="19" spans="1:11">
      <c r="A19" s="5">
        <v>17</v>
      </c>
      <c r="B19" s="6">
        <v>46064</v>
      </c>
      <c r="C19" s="7" t="s">
        <v>37</v>
      </c>
      <c r="D19" s="5">
        <v>2</v>
      </c>
      <c r="E19" s="8" t="s">
        <v>16</v>
      </c>
      <c r="F19" s="5" t="s">
        <v>45</v>
      </c>
      <c r="G19" s="5" t="s">
        <v>38</v>
      </c>
      <c r="H19" s="5" t="s">
        <v>17</v>
      </c>
      <c r="I19" s="5" t="s">
        <v>47</v>
      </c>
      <c r="J19" s="12" t="s">
        <v>18</v>
      </c>
    </row>
    <row r="20" spans="1:11">
      <c r="A20" s="5">
        <v>18</v>
      </c>
      <c r="B20" s="6">
        <v>46064</v>
      </c>
      <c r="C20" s="7" t="s">
        <v>7</v>
      </c>
      <c r="D20" s="5">
        <v>1</v>
      </c>
      <c r="E20" s="8" t="s">
        <v>16</v>
      </c>
      <c r="F20" s="5" t="s">
        <v>45</v>
      </c>
      <c r="G20" s="5" t="s">
        <v>38</v>
      </c>
      <c r="H20" s="5" t="s">
        <v>17</v>
      </c>
      <c r="I20" s="5" t="s">
        <v>47</v>
      </c>
      <c r="J20" s="12" t="s">
        <v>18</v>
      </c>
    </row>
    <row r="21" spans="1:11">
      <c r="A21" s="5">
        <v>19</v>
      </c>
      <c r="B21" s="6">
        <v>46067</v>
      </c>
      <c r="C21" s="7" t="s">
        <v>39</v>
      </c>
      <c r="D21" s="5">
        <v>1</v>
      </c>
      <c r="E21" s="8" t="s">
        <v>16</v>
      </c>
      <c r="F21" s="5" t="s">
        <v>46</v>
      </c>
      <c r="G21" s="5" t="s">
        <v>40</v>
      </c>
      <c r="H21" s="5" t="s">
        <v>17</v>
      </c>
      <c r="I21" s="5" t="s">
        <v>47</v>
      </c>
      <c r="J21" s="12" t="s">
        <v>18</v>
      </c>
    </row>
    <row r="22" spans="1:11">
      <c r="A22" s="5">
        <v>20</v>
      </c>
      <c r="B22" s="6">
        <v>46068</v>
      </c>
      <c r="C22" s="7" t="s">
        <v>78</v>
      </c>
      <c r="D22" s="5">
        <v>20</v>
      </c>
      <c r="E22" s="8" t="s">
        <v>14</v>
      </c>
      <c r="F22" s="5" t="s">
        <v>42</v>
      </c>
      <c r="G22" s="5">
        <v>10067</v>
      </c>
      <c r="H22" s="5" t="s">
        <v>8</v>
      </c>
      <c r="I22" s="5" t="s">
        <v>9</v>
      </c>
      <c r="J22" s="5" t="s">
        <v>94</v>
      </c>
    </row>
    <row r="23" spans="1:11">
      <c r="A23" s="5">
        <v>21</v>
      </c>
      <c r="B23" s="6">
        <v>46071</v>
      </c>
      <c r="C23" s="7" t="s">
        <v>73</v>
      </c>
      <c r="D23" s="5">
        <v>10</v>
      </c>
      <c r="E23" s="8" t="s">
        <v>14</v>
      </c>
      <c r="F23" s="5" t="s">
        <v>74</v>
      </c>
      <c r="G23" s="5" t="s">
        <v>77</v>
      </c>
      <c r="H23" s="5" t="s">
        <v>8</v>
      </c>
      <c r="I23" s="5" t="s">
        <v>75</v>
      </c>
      <c r="J23" s="5" t="s">
        <v>93</v>
      </c>
      <c r="K23" s="1" t="s">
        <v>76</v>
      </c>
    </row>
    <row r="24" spans="1:11" ht="70.2">
      <c r="A24" s="5">
        <v>22</v>
      </c>
      <c r="B24" s="6">
        <v>46073</v>
      </c>
      <c r="C24" s="7" t="s">
        <v>7</v>
      </c>
      <c r="D24" s="5">
        <v>2</v>
      </c>
      <c r="E24" s="13" t="s">
        <v>79</v>
      </c>
      <c r="F24" s="5" t="s">
        <v>80</v>
      </c>
      <c r="G24" s="5"/>
      <c r="H24" s="5" t="s">
        <v>17</v>
      </c>
      <c r="I24" s="5" t="s">
        <v>47</v>
      </c>
      <c r="J24" s="12" t="s">
        <v>18</v>
      </c>
    </row>
    <row r="25" spans="1:11">
      <c r="A25" s="5">
        <v>23</v>
      </c>
      <c r="B25" s="6">
        <v>46073</v>
      </c>
      <c r="C25" s="7" t="s">
        <v>29</v>
      </c>
      <c r="D25" s="5">
        <v>4</v>
      </c>
      <c r="E25" s="8" t="s">
        <v>16</v>
      </c>
      <c r="F25" s="5" t="s">
        <v>80</v>
      </c>
      <c r="G25" s="5" t="s">
        <v>96</v>
      </c>
      <c r="H25" s="5" t="s">
        <v>17</v>
      </c>
      <c r="I25" s="5" t="s">
        <v>47</v>
      </c>
      <c r="J25" s="12" t="s">
        <v>18</v>
      </c>
    </row>
    <row r="26" spans="1:11" ht="46.8">
      <c r="A26" s="5">
        <v>24</v>
      </c>
      <c r="B26" s="6">
        <v>46073</v>
      </c>
      <c r="C26" s="7" t="s">
        <v>81</v>
      </c>
      <c r="D26" s="5">
        <v>2</v>
      </c>
      <c r="E26" s="13" t="s">
        <v>82</v>
      </c>
      <c r="F26" s="5" t="s">
        <v>80</v>
      </c>
      <c r="G26" s="5" t="s">
        <v>95</v>
      </c>
      <c r="H26" s="5" t="s">
        <v>17</v>
      </c>
      <c r="I26" s="5" t="s">
        <v>47</v>
      </c>
      <c r="J26" s="12" t="s">
        <v>18</v>
      </c>
    </row>
    <row r="27" spans="1:11" ht="46.8">
      <c r="A27" s="5">
        <v>25</v>
      </c>
      <c r="B27" s="6">
        <v>46073</v>
      </c>
      <c r="C27" s="7" t="s">
        <v>83</v>
      </c>
      <c r="D27" s="5">
        <v>2</v>
      </c>
      <c r="E27" s="13" t="s">
        <v>84</v>
      </c>
      <c r="F27" s="5" t="s">
        <v>80</v>
      </c>
      <c r="G27" s="5" t="s">
        <v>95</v>
      </c>
      <c r="H27" s="5" t="s">
        <v>8</v>
      </c>
      <c r="I27" s="5" t="s">
        <v>47</v>
      </c>
      <c r="J27" s="5" t="s">
        <v>93</v>
      </c>
    </row>
    <row r="28" spans="1:11" ht="46.8">
      <c r="A28" s="5">
        <v>26</v>
      </c>
      <c r="B28" s="6">
        <v>46073</v>
      </c>
      <c r="C28" s="7" t="s">
        <v>85</v>
      </c>
      <c r="D28" s="5">
        <v>2</v>
      </c>
      <c r="E28" s="13" t="s">
        <v>84</v>
      </c>
      <c r="F28" s="5" t="s">
        <v>80</v>
      </c>
      <c r="G28" s="5" t="s">
        <v>95</v>
      </c>
      <c r="H28" s="5" t="s">
        <v>8</v>
      </c>
      <c r="I28" s="5" t="s">
        <v>47</v>
      </c>
      <c r="J28" s="5" t="s">
        <v>93</v>
      </c>
    </row>
    <row r="29" spans="1:11" ht="46.8">
      <c r="A29" s="5">
        <v>27</v>
      </c>
      <c r="B29" s="6">
        <v>46073</v>
      </c>
      <c r="C29" s="7" t="s">
        <v>86</v>
      </c>
      <c r="D29" s="5">
        <v>2</v>
      </c>
      <c r="E29" s="13" t="s">
        <v>84</v>
      </c>
      <c r="F29" s="5" t="s">
        <v>80</v>
      </c>
      <c r="G29" s="5" t="s">
        <v>95</v>
      </c>
      <c r="H29" s="5" t="s">
        <v>8</v>
      </c>
      <c r="I29" s="5" t="s">
        <v>47</v>
      </c>
      <c r="J29" s="5" t="s">
        <v>93</v>
      </c>
    </row>
    <row r="30" spans="1:11" ht="46.8">
      <c r="A30" s="5">
        <v>28</v>
      </c>
      <c r="B30" s="6">
        <v>46073</v>
      </c>
      <c r="C30" s="7" t="s">
        <v>7</v>
      </c>
      <c r="D30" s="5">
        <v>3</v>
      </c>
      <c r="E30" s="13" t="s">
        <v>84</v>
      </c>
      <c r="F30" s="5" t="s">
        <v>80</v>
      </c>
      <c r="G30" s="5" t="s">
        <v>95</v>
      </c>
      <c r="H30" s="5" t="s">
        <v>8</v>
      </c>
      <c r="I30" s="5" t="s">
        <v>47</v>
      </c>
      <c r="J30" s="5" t="s">
        <v>93</v>
      </c>
    </row>
    <row r="31" spans="1:11" ht="46.8">
      <c r="A31" s="5">
        <v>29</v>
      </c>
      <c r="B31" s="6">
        <v>46073</v>
      </c>
      <c r="C31" s="7" t="s">
        <v>87</v>
      </c>
      <c r="D31" s="5">
        <v>3</v>
      </c>
      <c r="E31" s="13" t="s">
        <v>84</v>
      </c>
      <c r="F31" s="5" t="s">
        <v>80</v>
      </c>
      <c r="G31" s="5" t="s">
        <v>95</v>
      </c>
      <c r="H31" s="5" t="s">
        <v>8</v>
      </c>
      <c r="I31" s="5" t="s">
        <v>47</v>
      </c>
      <c r="J31" s="5" t="s">
        <v>93</v>
      </c>
    </row>
    <row r="32" spans="1:11" ht="46.8">
      <c r="A32" s="5">
        <v>30</v>
      </c>
      <c r="B32" s="6">
        <v>46073</v>
      </c>
      <c r="C32" s="7" t="s">
        <v>88</v>
      </c>
      <c r="D32" s="5">
        <v>3</v>
      </c>
      <c r="E32" s="13" t="s">
        <v>84</v>
      </c>
      <c r="F32" s="5" t="s">
        <v>80</v>
      </c>
      <c r="G32" s="5" t="s">
        <v>95</v>
      </c>
      <c r="H32" s="5" t="s">
        <v>8</v>
      </c>
      <c r="I32" s="5" t="s">
        <v>47</v>
      </c>
      <c r="J32" s="5" t="s">
        <v>93</v>
      </c>
    </row>
    <row r="33" spans="1:13" ht="46.8">
      <c r="A33" s="5">
        <v>31</v>
      </c>
      <c r="B33" s="6">
        <v>46073</v>
      </c>
      <c r="C33" s="7" t="s">
        <v>81</v>
      </c>
      <c r="D33" s="5">
        <v>1</v>
      </c>
      <c r="E33" s="13" t="s">
        <v>84</v>
      </c>
      <c r="F33" s="5" t="s">
        <v>80</v>
      </c>
      <c r="G33" s="5" t="s">
        <v>95</v>
      </c>
      <c r="H33" s="5" t="s">
        <v>8</v>
      </c>
      <c r="I33" s="5" t="s">
        <v>47</v>
      </c>
      <c r="J33" s="5" t="s">
        <v>93</v>
      </c>
    </row>
    <row r="34" spans="1:13" ht="46.8">
      <c r="A34" s="5">
        <v>32</v>
      </c>
      <c r="B34" s="6">
        <v>46073</v>
      </c>
      <c r="C34" s="7" t="s">
        <v>29</v>
      </c>
      <c r="D34" s="5">
        <v>2</v>
      </c>
      <c r="E34" s="13" t="s">
        <v>84</v>
      </c>
      <c r="F34" s="5" t="s">
        <v>80</v>
      </c>
      <c r="G34" s="5" t="s">
        <v>95</v>
      </c>
      <c r="H34" s="5" t="s">
        <v>8</v>
      </c>
      <c r="I34" s="5" t="s">
        <v>47</v>
      </c>
      <c r="J34" s="5" t="s">
        <v>93</v>
      </c>
    </row>
    <row r="35" spans="1:13" ht="46.8">
      <c r="A35" s="5">
        <v>33</v>
      </c>
      <c r="B35" s="6">
        <v>46073</v>
      </c>
      <c r="C35" s="7" t="s">
        <v>89</v>
      </c>
      <c r="D35" s="5">
        <v>2</v>
      </c>
      <c r="E35" s="13" t="s">
        <v>84</v>
      </c>
      <c r="F35" s="5" t="s">
        <v>80</v>
      </c>
      <c r="G35" s="5" t="s">
        <v>95</v>
      </c>
      <c r="H35" s="5" t="s">
        <v>8</v>
      </c>
      <c r="I35" s="5" t="s">
        <v>47</v>
      </c>
      <c r="J35" s="5" t="s">
        <v>93</v>
      </c>
    </row>
    <row r="36" spans="1:13" ht="46.8">
      <c r="A36" s="5">
        <v>34</v>
      </c>
      <c r="B36" s="6">
        <v>46073</v>
      </c>
      <c r="C36" s="7" t="s">
        <v>90</v>
      </c>
      <c r="D36" s="5">
        <v>2</v>
      </c>
      <c r="E36" s="13" t="s">
        <v>84</v>
      </c>
      <c r="F36" s="5" t="s">
        <v>80</v>
      </c>
      <c r="G36" s="5" t="s">
        <v>95</v>
      </c>
      <c r="H36" s="5" t="s">
        <v>8</v>
      </c>
      <c r="I36" s="5" t="s">
        <v>47</v>
      </c>
      <c r="J36" s="5" t="s">
        <v>93</v>
      </c>
    </row>
    <row r="37" spans="1:13" ht="46.8">
      <c r="A37" s="5">
        <v>35</v>
      </c>
      <c r="B37" s="6">
        <v>46073</v>
      </c>
      <c r="C37" s="7" t="s">
        <v>91</v>
      </c>
      <c r="D37" s="5">
        <v>2</v>
      </c>
      <c r="E37" s="13" t="s">
        <v>84</v>
      </c>
      <c r="F37" s="5" t="s">
        <v>80</v>
      </c>
      <c r="G37" s="5" t="s">
        <v>95</v>
      </c>
      <c r="H37" s="5" t="s">
        <v>8</v>
      </c>
      <c r="I37" s="5" t="s">
        <v>47</v>
      </c>
      <c r="J37" s="5" t="s">
        <v>93</v>
      </c>
    </row>
    <row r="38" spans="1:13" ht="46.8">
      <c r="A38" s="5">
        <v>36</v>
      </c>
      <c r="B38" s="6">
        <v>46073</v>
      </c>
      <c r="C38" s="7" t="s">
        <v>92</v>
      </c>
      <c r="D38" s="5">
        <v>2</v>
      </c>
      <c r="E38" s="13" t="s">
        <v>84</v>
      </c>
      <c r="F38" s="5" t="s">
        <v>80</v>
      </c>
      <c r="G38" s="5" t="s">
        <v>95</v>
      </c>
      <c r="H38" s="5" t="s">
        <v>8</v>
      </c>
      <c r="I38" s="5" t="s">
        <v>47</v>
      </c>
      <c r="J38" s="5" t="s">
        <v>93</v>
      </c>
    </row>
    <row r="39" spans="1:13">
      <c r="A39" s="5"/>
      <c r="B39" s="6">
        <v>46075</v>
      </c>
      <c r="C39" s="7" t="s">
        <v>97</v>
      </c>
      <c r="D39" s="5">
        <v>11</v>
      </c>
      <c r="E39" s="8" t="s">
        <v>98</v>
      </c>
      <c r="F39" s="5" t="s">
        <v>99</v>
      </c>
      <c r="G39" s="5"/>
      <c r="H39" s="5" t="s">
        <v>100</v>
      </c>
      <c r="I39" s="5" t="s">
        <v>47</v>
      </c>
      <c r="J39" s="5" t="s">
        <v>101</v>
      </c>
      <c r="M39" s="4"/>
    </row>
    <row r="40" spans="1:13">
      <c r="A40" s="5"/>
      <c r="B40" s="6"/>
      <c r="C40" s="7" t="s">
        <v>91</v>
      </c>
      <c r="D40" s="5">
        <v>2</v>
      </c>
      <c r="E40" s="8" t="s">
        <v>98</v>
      </c>
      <c r="F40" s="5" t="s">
        <v>99</v>
      </c>
      <c r="G40" s="5"/>
      <c r="H40" s="5" t="s">
        <v>100</v>
      </c>
      <c r="I40" s="5" t="s">
        <v>47</v>
      </c>
      <c r="J40" s="5" t="s">
        <v>101</v>
      </c>
    </row>
    <row r="41" spans="1:13">
      <c r="A41" s="5"/>
      <c r="B41" s="6"/>
      <c r="C41" s="7" t="s">
        <v>90</v>
      </c>
      <c r="D41" s="5">
        <v>3</v>
      </c>
      <c r="E41" s="8" t="s">
        <v>98</v>
      </c>
      <c r="F41" s="5" t="s">
        <v>99</v>
      </c>
      <c r="G41" s="5"/>
      <c r="H41" s="5" t="s">
        <v>100</v>
      </c>
      <c r="I41" s="5" t="s">
        <v>47</v>
      </c>
      <c r="J41" s="5" t="s">
        <v>101</v>
      </c>
    </row>
    <row r="42" spans="1:13">
      <c r="A42" s="5"/>
      <c r="B42" s="6"/>
      <c r="C42" s="7" t="s">
        <v>102</v>
      </c>
      <c r="D42" s="5">
        <v>1</v>
      </c>
      <c r="E42" s="8" t="s">
        <v>98</v>
      </c>
      <c r="F42" s="5" t="s">
        <v>99</v>
      </c>
      <c r="G42" s="5"/>
      <c r="H42" s="5" t="s">
        <v>100</v>
      </c>
      <c r="I42" s="5" t="s">
        <v>47</v>
      </c>
      <c r="J42" s="5" t="s">
        <v>101</v>
      </c>
    </row>
    <row r="43" spans="1:13">
      <c r="A43" s="5"/>
      <c r="B43" s="6">
        <v>46078</v>
      </c>
      <c r="C43" s="7" t="s">
        <v>103</v>
      </c>
      <c r="D43" s="5">
        <v>4</v>
      </c>
      <c r="E43" s="8" t="s">
        <v>107</v>
      </c>
      <c r="F43" s="5" t="s">
        <v>108</v>
      </c>
      <c r="G43" s="5"/>
      <c r="H43" s="5"/>
      <c r="I43" s="5" t="s">
        <v>47</v>
      </c>
      <c r="J43" s="5" t="s">
        <v>94</v>
      </c>
    </row>
    <row r="44" spans="1:13">
      <c r="A44" s="5"/>
      <c r="B44" s="6"/>
      <c r="C44" s="7" t="s">
        <v>83</v>
      </c>
      <c r="D44" s="5">
        <v>6</v>
      </c>
      <c r="E44" s="8" t="s">
        <v>107</v>
      </c>
      <c r="F44" s="5" t="s">
        <v>108</v>
      </c>
      <c r="G44" s="5"/>
      <c r="H44" s="5" t="s">
        <v>17</v>
      </c>
      <c r="I44" s="5" t="s">
        <v>47</v>
      </c>
      <c r="J44" s="12" t="s">
        <v>18</v>
      </c>
    </row>
    <row r="45" spans="1:13">
      <c r="A45" s="5"/>
      <c r="B45" s="6"/>
      <c r="C45" s="7" t="s">
        <v>104</v>
      </c>
      <c r="D45" s="5">
        <v>2</v>
      </c>
      <c r="E45" s="8" t="s">
        <v>107</v>
      </c>
      <c r="F45" s="5" t="s">
        <v>108</v>
      </c>
      <c r="G45" s="5"/>
      <c r="H45" s="5" t="s">
        <v>17</v>
      </c>
      <c r="I45" s="5" t="s">
        <v>47</v>
      </c>
      <c r="J45" s="12" t="s">
        <v>18</v>
      </c>
    </row>
    <row r="46" spans="1:13">
      <c r="A46" s="5"/>
      <c r="B46" s="6"/>
      <c r="C46" s="7" t="s">
        <v>104</v>
      </c>
      <c r="D46" s="5">
        <v>2</v>
      </c>
      <c r="E46" s="8" t="s">
        <v>107</v>
      </c>
      <c r="F46" s="5" t="s">
        <v>108</v>
      </c>
      <c r="G46" s="5"/>
      <c r="H46" s="5"/>
      <c r="I46" s="5" t="s">
        <v>47</v>
      </c>
      <c r="J46" s="5" t="s">
        <v>94</v>
      </c>
    </row>
    <row r="47" spans="1:13">
      <c r="A47" s="5"/>
      <c r="B47" s="6"/>
      <c r="C47" s="7" t="s">
        <v>85</v>
      </c>
      <c r="D47" s="5">
        <v>3</v>
      </c>
      <c r="E47" s="8" t="s">
        <v>107</v>
      </c>
      <c r="F47" s="5" t="s">
        <v>108</v>
      </c>
      <c r="G47" s="5"/>
      <c r="H47" s="5"/>
      <c r="I47" s="5" t="s">
        <v>47</v>
      </c>
      <c r="J47" s="5" t="s">
        <v>94</v>
      </c>
    </row>
    <row r="48" spans="1:13">
      <c r="A48" s="5"/>
      <c r="B48" s="6"/>
      <c r="C48" s="7" t="s">
        <v>85</v>
      </c>
      <c r="D48" s="5">
        <v>1</v>
      </c>
      <c r="E48" s="8" t="s">
        <v>107</v>
      </c>
      <c r="F48" s="5" t="s">
        <v>108</v>
      </c>
      <c r="G48" s="5"/>
      <c r="H48" s="5" t="s">
        <v>17</v>
      </c>
      <c r="I48" s="5" t="s">
        <v>47</v>
      </c>
      <c r="J48" s="12" t="s">
        <v>18</v>
      </c>
    </row>
    <row r="49" spans="1:10">
      <c r="A49" s="5"/>
      <c r="B49" s="6"/>
      <c r="C49" s="7" t="s">
        <v>105</v>
      </c>
      <c r="D49" s="5">
        <v>4</v>
      </c>
      <c r="E49" s="8" t="s">
        <v>107</v>
      </c>
      <c r="F49" s="5" t="s">
        <v>108</v>
      </c>
      <c r="G49" s="5"/>
      <c r="H49" s="5"/>
      <c r="I49" s="5" t="s">
        <v>47</v>
      </c>
      <c r="J49" s="5" t="s">
        <v>94</v>
      </c>
    </row>
    <row r="50" spans="1:10">
      <c r="A50" s="5"/>
      <c r="B50" s="6"/>
      <c r="C50" s="7" t="s">
        <v>5</v>
      </c>
      <c r="D50" s="5">
        <v>4</v>
      </c>
      <c r="E50" s="8" t="s">
        <v>107</v>
      </c>
      <c r="F50" s="5" t="s">
        <v>108</v>
      </c>
      <c r="G50" s="5"/>
      <c r="H50" s="5"/>
      <c r="I50" s="5" t="s">
        <v>47</v>
      </c>
      <c r="J50" s="5" t="s">
        <v>94</v>
      </c>
    </row>
    <row r="51" spans="1:10">
      <c r="A51" s="5"/>
      <c r="B51" s="6"/>
      <c r="C51" s="7" t="s">
        <v>106</v>
      </c>
      <c r="D51" s="5">
        <v>5</v>
      </c>
      <c r="E51" s="8" t="s">
        <v>107</v>
      </c>
      <c r="F51" s="5" t="s">
        <v>108</v>
      </c>
      <c r="G51" s="5"/>
      <c r="H51" s="5"/>
      <c r="I51" s="5" t="s">
        <v>47</v>
      </c>
      <c r="J51" s="5" t="s">
        <v>94</v>
      </c>
    </row>
    <row r="52" spans="1:10">
      <c r="A52" s="5"/>
      <c r="B52" s="6"/>
      <c r="C52" s="7" t="s">
        <v>106</v>
      </c>
      <c r="D52" s="5">
        <v>1</v>
      </c>
      <c r="E52" s="8" t="s">
        <v>107</v>
      </c>
      <c r="F52" s="5" t="s">
        <v>108</v>
      </c>
      <c r="G52" s="5"/>
      <c r="H52" s="5" t="s">
        <v>17</v>
      </c>
      <c r="I52" s="5" t="s">
        <v>47</v>
      </c>
      <c r="J52" s="12" t="s">
        <v>18</v>
      </c>
    </row>
    <row r="53" spans="1:10">
      <c r="A53" s="5"/>
      <c r="B53" s="6"/>
      <c r="C53" s="7" t="s">
        <v>88</v>
      </c>
      <c r="D53" s="5">
        <v>4</v>
      </c>
      <c r="E53" s="8" t="s">
        <v>107</v>
      </c>
      <c r="F53" s="5" t="s">
        <v>108</v>
      </c>
      <c r="G53" s="5"/>
      <c r="H53" s="5" t="s">
        <v>17</v>
      </c>
      <c r="I53" s="5" t="s">
        <v>47</v>
      </c>
      <c r="J53" s="12" t="s">
        <v>18</v>
      </c>
    </row>
    <row r="54" spans="1:10">
      <c r="A54" s="5"/>
      <c r="B54" s="6"/>
      <c r="C54" s="7" t="s">
        <v>81</v>
      </c>
      <c r="D54" s="5">
        <v>4</v>
      </c>
      <c r="E54" s="8" t="s">
        <v>107</v>
      </c>
      <c r="F54" s="5" t="s">
        <v>108</v>
      </c>
      <c r="G54" s="5"/>
      <c r="H54" s="5"/>
      <c r="I54" s="5" t="s">
        <v>47</v>
      </c>
      <c r="J54" s="5" t="s">
        <v>94</v>
      </c>
    </row>
    <row r="55" spans="1:10">
      <c r="A55" s="5"/>
      <c r="B55" s="6"/>
      <c r="C55" s="7"/>
      <c r="D55" s="18">
        <f>SUM(D3:D54)</f>
        <v>184</v>
      </c>
      <c r="E55" s="8"/>
      <c r="F55" s="5"/>
      <c r="G55" s="5"/>
      <c r="H55" s="5"/>
      <c r="I55" s="5"/>
      <c r="J55" s="5"/>
    </row>
  </sheetData>
  <autoFilter ref="A2:J54" xr:uid="{DE980808-D7B7-400E-8A37-980E1F6C1041}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B2D-A5F9-4E82-BA7F-7BACC1FCE319}">
  <dimension ref="A1:N25"/>
  <sheetViews>
    <sheetView workbookViewId="0">
      <pane ySplit="2" topLeftCell="A3" activePane="bottomLeft" state="frozen"/>
      <selection pane="bottomLeft" activeCell="C9" sqref="C9"/>
    </sheetView>
  </sheetViews>
  <sheetFormatPr defaultRowHeight="23.4"/>
  <cols>
    <col min="1" max="1" width="6.88671875" style="2" customWidth="1"/>
    <col min="2" max="2" width="13.88671875" style="3" customWidth="1"/>
    <col min="3" max="3" width="29.109375" style="1" bestFit="1" customWidth="1"/>
    <col min="4" max="4" width="9.88671875" style="2" bestFit="1" customWidth="1"/>
    <col min="5" max="5" width="32.6640625" style="4" customWidth="1"/>
    <col min="6" max="6" width="19.33203125" style="2" customWidth="1"/>
    <col min="7" max="7" width="13.6640625" style="2" bestFit="1" customWidth="1"/>
    <col min="8" max="8" width="15.21875" style="2" bestFit="1" customWidth="1"/>
    <col min="9" max="9" width="17.6640625" style="2" customWidth="1"/>
    <col min="10" max="10" width="19.5546875" style="2" bestFit="1" customWidth="1"/>
    <col min="11" max="11" width="8.88671875" style="1"/>
    <col min="12" max="12" width="31.88671875" style="1" bestFit="1" customWidth="1"/>
    <col min="13" max="13" width="12.21875" style="1" bestFit="1" customWidth="1"/>
    <col min="14" max="14" width="23.77734375" style="1" bestFit="1" customWidth="1"/>
    <col min="15" max="16384" width="8.88671875" style="1"/>
  </cols>
  <sheetData>
    <row r="1" spans="1:14" ht="32.4">
      <c r="A1" s="27" t="s">
        <v>113</v>
      </c>
      <c r="B1" s="27"/>
      <c r="C1" s="27"/>
      <c r="D1" s="27"/>
      <c r="E1" s="27"/>
      <c r="F1" s="27"/>
      <c r="G1" s="27"/>
      <c r="H1" s="27"/>
      <c r="I1" s="27"/>
      <c r="J1" s="27"/>
    </row>
    <row r="2" spans="1:14" s="2" customFormat="1">
      <c r="A2" s="9" t="s">
        <v>1</v>
      </c>
      <c r="B2" s="10" t="s">
        <v>10</v>
      </c>
      <c r="C2" s="9" t="s">
        <v>2</v>
      </c>
      <c r="D2" s="9" t="s">
        <v>19</v>
      </c>
      <c r="E2" s="9" t="s">
        <v>13</v>
      </c>
      <c r="F2" s="9" t="s">
        <v>41</v>
      </c>
      <c r="G2" s="9" t="s">
        <v>30</v>
      </c>
      <c r="H2" s="9" t="s">
        <v>3</v>
      </c>
      <c r="I2" s="9" t="s">
        <v>4</v>
      </c>
      <c r="J2" s="9" t="s">
        <v>11</v>
      </c>
    </row>
    <row r="3" spans="1:14">
      <c r="A3" s="5">
        <v>1</v>
      </c>
      <c r="B3" s="6">
        <v>46082</v>
      </c>
      <c r="C3" s="7" t="s">
        <v>7</v>
      </c>
      <c r="D3" s="5">
        <v>4</v>
      </c>
      <c r="E3" s="8" t="s">
        <v>110</v>
      </c>
      <c r="F3" s="5" t="s">
        <v>99</v>
      </c>
      <c r="G3" s="5" t="s">
        <v>111</v>
      </c>
      <c r="H3" s="5" t="s">
        <v>17</v>
      </c>
      <c r="I3" s="5" t="s">
        <v>47</v>
      </c>
      <c r="J3" s="5" t="s">
        <v>18</v>
      </c>
    </row>
    <row r="4" spans="1:14" ht="32.4">
      <c r="A4" s="5">
        <v>2</v>
      </c>
      <c r="B4" s="6">
        <v>46086</v>
      </c>
      <c r="C4" s="7" t="s">
        <v>114</v>
      </c>
      <c r="D4" s="5">
        <v>1</v>
      </c>
      <c r="E4" s="8" t="s">
        <v>115</v>
      </c>
      <c r="F4" s="17" t="s">
        <v>116</v>
      </c>
      <c r="G4" s="5" t="s">
        <v>117</v>
      </c>
      <c r="H4" s="5" t="s">
        <v>153</v>
      </c>
      <c r="I4" s="5" t="s">
        <v>47</v>
      </c>
      <c r="J4" s="5" t="s">
        <v>119</v>
      </c>
      <c r="L4" s="27" t="s">
        <v>156</v>
      </c>
      <c r="M4" s="27"/>
      <c r="N4" s="27"/>
    </row>
    <row r="5" spans="1:14" ht="26.4">
      <c r="A5" s="5">
        <v>3</v>
      </c>
      <c r="B5" s="6">
        <v>46086</v>
      </c>
      <c r="C5" s="7" t="s">
        <v>118</v>
      </c>
      <c r="D5" s="5">
        <v>1</v>
      </c>
      <c r="E5" s="8" t="s">
        <v>115</v>
      </c>
      <c r="F5" s="17" t="s">
        <v>116</v>
      </c>
      <c r="G5" s="5" t="s">
        <v>117</v>
      </c>
      <c r="H5" s="5" t="s">
        <v>153</v>
      </c>
      <c r="I5" s="5" t="s">
        <v>47</v>
      </c>
      <c r="J5" s="5" t="s">
        <v>12</v>
      </c>
      <c r="L5" s="14" t="s">
        <v>13</v>
      </c>
      <c r="M5" s="14" t="s">
        <v>109</v>
      </c>
      <c r="N5" s="14" t="s">
        <v>3</v>
      </c>
    </row>
    <row r="6" spans="1:14">
      <c r="A6" s="5">
        <v>4</v>
      </c>
      <c r="B6" s="6">
        <v>46086</v>
      </c>
      <c r="C6" s="7" t="s">
        <v>120</v>
      </c>
      <c r="D6" s="5">
        <v>1</v>
      </c>
      <c r="E6" s="8" t="s">
        <v>115</v>
      </c>
      <c r="F6" s="17" t="s">
        <v>116</v>
      </c>
      <c r="G6" s="5" t="s">
        <v>117</v>
      </c>
      <c r="H6" s="5" t="s">
        <v>153</v>
      </c>
      <c r="I6" s="5" t="s">
        <v>47</v>
      </c>
      <c r="J6" s="5" t="s">
        <v>119</v>
      </c>
      <c r="L6" s="8" t="s">
        <v>110</v>
      </c>
      <c r="M6" s="5">
        <v>4</v>
      </c>
      <c r="N6" s="5" t="s">
        <v>18</v>
      </c>
    </row>
    <row r="7" spans="1:14">
      <c r="A7" s="5">
        <v>5</v>
      </c>
      <c r="B7" s="6">
        <v>46087</v>
      </c>
      <c r="C7" s="7" t="s">
        <v>121</v>
      </c>
      <c r="D7" s="5">
        <v>1</v>
      </c>
      <c r="E7" s="8" t="s">
        <v>122</v>
      </c>
      <c r="F7" s="5" t="s">
        <v>123</v>
      </c>
      <c r="G7" s="5" t="s">
        <v>128</v>
      </c>
      <c r="H7" s="5" t="s">
        <v>153</v>
      </c>
      <c r="I7" s="5" t="s">
        <v>126</v>
      </c>
      <c r="J7" s="5" t="s">
        <v>119</v>
      </c>
      <c r="L7" s="8" t="s">
        <v>115</v>
      </c>
      <c r="M7" s="5">
        <v>3</v>
      </c>
      <c r="N7" s="5" t="s">
        <v>119</v>
      </c>
    </row>
    <row r="8" spans="1:14">
      <c r="A8" s="5">
        <v>6</v>
      </c>
      <c r="B8" s="6">
        <v>46091</v>
      </c>
      <c r="C8" s="7" t="s">
        <v>124</v>
      </c>
      <c r="D8" s="5">
        <v>30</v>
      </c>
      <c r="E8" s="8" t="s">
        <v>129</v>
      </c>
      <c r="F8" s="5" t="s">
        <v>125</v>
      </c>
      <c r="G8" s="5">
        <v>10078</v>
      </c>
      <c r="H8" s="5" t="s">
        <v>153</v>
      </c>
      <c r="I8" s="5" t="s">
        <v>127</v>
      </c>
      <c r="J8" s="5" t="s">
        <v>119</v>
      </c>
      <c r="L8" s="8" t="s">
        <v>130</v>
      </c>
      <c r="M8" s="5">
        <f>39+6</f>
        <v>45</v>
      </c>
      <c r="N8" s="5" t="s">
        <v>155</v>
      </c>
    </row>
    <row r="9" spans="1:14" ht="46.8">
      <c r="A9" s="5">
        <v>7</v>
      </c>
      <c r="B9" s="6">
        <v>46094</v>
      </c>
      <c r="C9" s="7" t="s">
        <v>131</v>
      </c>
      <c r="D9" s="5">
        <v>8</v>
      </c>
      <c r="E9" s="13" t="s">
        <v>132</v>
      </c>
      <c r="F9" s="5" t="s">
        <v>133</v>
      </c>
      <c r="G9" s="5" t="s">
        <v>96</v>
      </c>
      <c r="H9" s="5" t="s">
        <v>154</v>
      </c>
      <c r="I9" s="5" t="s">
        <v>47</v>
      </c>
      <c r="J9" s="5" t="s">
        <v>154</v>
      </c>
      <c r="L9" s="8" t="s">
        <v>136</v>
      </c>
      <c r="M9" s="5">
        <v>2</v>
      </c>
      <c r="N9" s="5" t="s">
        <v>139</v>
      </c>
    </row>
    <row r="10" spans="1:14" ht="46.8">
      <c r="A10" s="20">
        <v>8</v>
      </c>
      <c r="B10" s="21">
        <v>46100</v>
      </c>
      <c r="C10" s="7" t="s">
        <v>34</v>
      </c>
      <c r="D10" s="20">
        <v>2</v>
      </c>
      <c r="E10" s="8" t="s">
        <v>136</v>
      </c>
      <c r="F10" s="5" t="s">
        <v>137</v>
      </c>
      <c r="G10" s="5" t="s">
        <v>138</v>
      </c>
      <c r="H10" s="5" t="s">
        <v>139</v>
      </c>
      <c r="I10" s="5" t="s">
        <v>9</v>
      </c>
      <c r="J10" s="5" t="s">
        <v>139</v>
      </c>
      <c r="L10" s="13" t="s">
        <v>149</v>
      </c>
      <c r="M10" s="5">
        <v>26</v>
      </c>
      <c r="N10" s="5" t="s">
        <v>119</v>
      </c>
    </row>
    <row r="11" spans="1:14" ht="28.8">
      <c r="A11" s="5">
        <v>9</v>
      </c>
      <c r="B11" s="6">
        <v>46100</v>
      </c>
      <c r="C11" s="7" t="s">
        <v>140</v>
      </c>
      <c r="D11" s="20">
        <v>5</v>
      </c>
      <c r="E11" s="8" t="s">
        <v>141</v>
      </c>
      <c r="F11" s="5" t="s">
        <v>142</v>
      </c>
      <c r="G11" s="5">
        <v>10070</v>
      </c>
      <c r="H11" s="5" t="s">
        <v>154</v>
      </c>
      <c r="I11" s="5" t="s">
        <v>127</v>
      </c>
      <c r="J11" s="5" t="s">
        <v>8</v>
      </c>
      <c r="L11" s="19" t="s">
        <v>112</v>
      </c>
      <c r="M11" s="19">
        <f>SUM(M6:M10)</f>
        <v>80</v>
      </c>
      <c r="N11" s="2"/>
    </row>
    <row r="12" spans="1:14">
      <c r="A12" s="5">
        <v>10</v>
      </c>
      <c r="B12" s="6">
        <v>46101</v>
      </c>
      <c r="C12" s="7" t="s">
        <v>118</v>
      </c>
      <c r="D12" s="20">
        <v>1</v>
      </c>
      <c r="E12" s="8" t="s">
        <v>141</v>
      </c>
      <c r="F12" s="5" t="s">
        <v>133</v>
      </c>
      <c r="G12" s="5" t="s">
        <v>143</v>
      </c>
      <c r="H12" s="5" t="s">
        <v>154</v>
      </c>
      <c r="I12" s="5" t="s">
        <v>47</v>
      </c>
      <c r="J12" s="5" t="s">
        <v>8</v>
      </c>
    </row>
    <row r="13" spans="1:14" ht="46.8">
      <c r="A13" s="5">
        <v>11</v>
      </c>
      <c r="B13" s="6">
        <v>46106</v>
      </c>
      <c r="C13" s="7" t="s">
        <v>91</v>
      </c>
      <c r="D13" s="5">
        <v>3</v>
      </c>
      <c r="E13" s="13" t="s">
        <v>149</v>
      </c>
      <c r="F13" s="5" t="s">
        <v>150</v>
      </c>
      <c r="G13" s="5" t="s">
        <v>151</v>
      </c>
      <c r="H13" s="5" t="s">
        <v>153</v>
      </c>
      <c r="I13" s="5" t="s">
        <v>152</v>
      </c>
      <c r="J13" s="5" t="s">
        <v>119</v>
      </c>
    </row>
    <row r="14" spans="1:14" ht="46.8">
      <c r="A14" s="5">
        <v>12</v>
      </c>
      <c r="B14" s="6">
        <v>46106</v>
      </c>
      <c r="C14" s="7" t="s">
        <v>29</v>
      </c>
      <c r="D14" s="5">
        <v>3</v>
      </c>
      <c r="E14" s="13" t="s">
        <v>149</v>
      </c>
      <c r="F14" s="5" t="s">
        <v>150</v>
      </c>
      <c r="G14" s="5" t="s">
        <v>151</v>
      </c>
      <c r="H14" s="5" t="s">
        <v>153</v>
      </c>
      <c r="I14" s="5" t="s">
        <v>152</v>
      </c>
      <c r="J14" s="5" t="s">
        <v>119</v>
      </c>
    </row>
    <row r="15" spans="1:14" ht="46.8">
      <c r="A15" s="5">
        <v>13</v>
      </c>
      <c r="B15" s="6">
        <v>46106</v>
      </c>
      <c r="C15" s="7" t="s">
        <v>144</v>
      </c>
      <c r="D15" s="5">
        <v>2</v>
      </c>
      <c r="E15" s="13" t="s">
        <v>149</v>
      </c>
      <c r="F15" s="5" t="s">
        <v>150</v>
      </c>
      <c r="G15" s="5" t="s">
        <v>151</v>
      </c>
      <c r="H15" s="5" t="s">
        <v>153</v>
      </c>
      <c r="I15" s="5" t="s">
        <v>152</v>
      </c>
      <c r="J15" s="5" t="s">
        <v>119</v>
      </c>
    </row>
    <row r="16" spans="1:14" ht="46.8">
      <c r="A16" s="5">
        <v>14</v>
      </c>
      <c r="B16" s="6">
        <v>46106</v>
      </c>
      <c r="C16" s="7" t="s">
        <v>145</v>
      </c>
      <c r="D16" s="5">
        <v>2</v>
      </c>
      <c r="E16" s="13" t="s">
        <v>149</v>
      </c>
      <c r="F16" s="5" t="s">
        <v>150</v>
      </c>
      <c r="G16" s="5" t="s">
        <v>151</v>
      </c>
      <c r="H16" s="5" t="s">
        <v>153</v>
      </c>
      <c r="I16" s="5" t="s">
        <v>152</v>
      </c>
      <c r="J16" s="5" t="s">
        <v>119</v>
      </c>
    </row>
    <row r="17" spans="1:10" ht="46.8">
      <c r="A17" s="5">
        <v>15</v>
      </c>
      <c r="B17" s="6">
        <v>46106</v>
      </c>
      <c r="C17" s="7" t="s">
        <v>131</v>
      </c>
      <c r="D17" s="5">
        <v>2</v>
      </c>
      <c r="E17" s="13" t="s">
        <v>149</v>
      </c>
      <c r="F17" s="5" t="s">
        <v>150</v>
      </c>
      <c r="G17" s="5" t="s">
        <v>151</v>
      </c>
      <c r="H17" s="5" t="s">
        <v>153</v>
      </c>
      <c r="I17" s="5" t="s">
        <v>152</v>
      </c>
      <c r="J17" s="5" t="s">
        <v>119</v>
      </c>
    </row>
    <row r="18" spans="1:10" ht="46.8">
      <c r="A18" s="5">
        <v>16</v>
      </c>
      <c r="B18" s="6">
        <v>46106</v>
      </c>
      <c r="C18" s="7" t="s">
        <v>81</v>
      </c>
      <c r="D18" s="5">
        <v>2</v>
      </c>
      <c r="E18" s="13" t="s">
        <v>149</v>
      </c>
      <c r="F18" s="5" t="s">
        <v>150</v>
      </c>
      <c r="G18" s="5" t="s">
        <v>151</v>
      </c>
      <c r="H18" s="5" t="s">
        <v>153</v>
      </c>
      <c r="I18" s="5" t="s">
        <v>152</v>
      </c>
      <c r="J18" s="5" t="s">
        <v>119</v>
      </c>
    </row>
    <row r="19" spans="1:10" ht="46.8">
      <c r="A19" s="5">
        <v>17</v>
      </c>
      <c r="B19" s="6">
        <v>46106</v>
      </c>
      <c r="C19" s="7" t="s">
        <v>88</v>
      </c>
      <c r="D19" s="5">
        <v>2</v>
      </c>
      <c r="E19" s="13" t="s">
        <v>149</v>
      </c>
      <c r="F19" s="5" t="s">
        <v>150</v>
      </c>
      <c r="G19" s="5" t="s">
        <v>151</v>
      </c>
      <c r="H19" s="5" t="s">
        <v>153</v>
      </c>
      <c r="I19" s="5" t="s">
        <v>152</v>
      </c>
      <c r="J19" s="5" t="s">
        <v>119</v>
      </c>
    </row>
    <row r="20" spans="1:10" ht="46.8">
      <c r="A20" s="5">
        <v>18</v>
      </c>
      <c r="B20" s="6">
        <v>46106</v>
      </c>
      <c r="C20" s="7" t="s">
        <v>146</v>
      </c>
      <c r="D20" s="5">
        <v>4</v>
      </c>
      <c r="E20" s="13" t="s">
        <v>149</v>
      </c>
      <c r="F20" s="5" t="s">
        <v>150</v>
      </c>
      <c r="G20" s="5" t="s">
        <v>151</v>
      </c>
      <c r="H20" s="5" t="s">
        <v>153</v>
      </c>
      <c r="I20" s="5" t="s">
        <v>152</v>
      </c>
      <c r="J20" s="5" t="s">
        <v>119</v>
      </c>
    </row>
    <row r="21" spans="1:10" ht="46.8">
      <c r="A21" s="5">
        <v>19</v>
      </c>
      <c r="B21" s="6">
        <v>46106</v>
      </c>
      <c r="C21" s="7" t="s">
        <v>147</v>
      </c>
      <c r="D21" s="5">
        <v>2</v>
      </c>
      <c r="E21" s="13" t="s">
        <v>149</v>
      </c>
      <c r="F21" s="5" t="s">
        <v>150</v>
      </c>
      <c r="G21" s="5" t="s">
        <v>151</v>
      </c>
      <c r="H21" s="5" t="s">
        <v>153</v>
      </c>
      <c r="I21" s="5" t="s">
        <v>152</v>
      </c>
      <c r="J21" s="5" t="s">
        <v>119</v>
      </c>
    </row>
    <row r="22" spans="1:10" ht="46.8">
      <c r="A22" s="5">
        <v>20</v>
      </c>
      <c r="B22" s="6">
        <v>46106</v>
      </c>
      <c r="C22" s="7" t="s">
        <v>148</v>
      </c>
      <c r="D22" s="5">
        <v>2</v>
      </c>
      <c r="E22" s="13" t="s">
        <v>149</v>
      </c>
      <c r="F22" s="5" t="s">
        <v>150</v>
      </c>
      <c r="G22" s="5" t="s">
        <v>151</v>
      </c>
      <c r="H22" s="5" t="s">
        <v>153</v>
      </c>
      <c r="I22" s="5" t="s">
        <v>152</v>
      </c>
      <c r="J22" s="5" t="s">
        <v>119</v>
      </c>
    </row>
    <row r="23" spans="1:10" ht="46.8">
      <c r="A23" s="5">
        <v>21</v>
      </c>
      <c r="B23" s="6">
        <v>46106</v>
      </c>
      <c r="C23" s="7" t="s">
        <v>39</v>
      </c>
      <c r="D23" s="5">
        <v>2</v>
      </c>
      <c r="E23" s="13" t="s">
        <v>149</v>
      </c>
      <c r="F23" s="5" t="s">
        <v>150</v>
      </c>
      <c r="G23" s="5" t="s">
        <v>151</v>
      </c>
      <c r="H23" s="5" t="s">
        <v>153</v>
      </c>
      <c r="I23" s="5" t="s">
        <v>152</v>
      </c>
      <c r="J23" s="5" t="s">
        <v>119</v>
      </c>
    </row>
    <row r="24" spans="1:10">
      <c r="A24" s="5">
        <v>22</v>
      </c>
      <c r="B24" s="6">
        <v>46111</v>
      </c>
      <c r="C24" s="7" t="s">
        <v>157</v>
      </c>
      <c r="D24" s="5">
        <v>3</v>
      </c>
      <c r="E24" s="13" t="s">
        <v>141</v>
      </c>
      <c r="F24" s="5" t="s">
        <v>158</v>
      </c>
      <c r="G24" s="5">
        <v>50173</v>
      </c>
      <c r="H24" s="5" t="s">
        <v>154</v>
      </c>
      <c r="I24" s="5" t="s">
        <v>48</v>
      </c>
      <c r="J24" s="5" t="s">
        <v>154</v>
      </c>
    </row>
    <row r="25" spans="1:10">
      <c r="D25" s="22">
        <f>SUM(D3:D24)</f>
        <v>83</v>
      </c>
    </row>
  </sheetData>
  <autoFilter ref="A2:J23" xr:uid="{DE980808-D7B7-400E-8A37-980E1F6C1041}"/>
  <mergeCells count="2">
    <mergeCell ref="A1:J1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7F0F-ECB5-4FE5-AEA2-8811055C8477}">
  <dimension ref="C3:I19"/>
  <sheetViews>
    <sheetView topLeftCell="A4" workbookViewId="0">
      <selection activeCell="D19" sqref="D19"/>
    </sheetView>
  </sheetViews>
  <sheetFormatPr defaultRowHeight="23.4"/>
  <cols>
    <col min="1" max="2" width="8.88671875" style="2"/>
    <col min="3" max="3" width="32.77734375" style="2" customWidth="1"/>
    <col min="4" max="4" width="12.21875" style="2" bestFit="1" customWidth="1"/>
    <col min="5" max="5" width="21.77734375" style="2" customWidth="1"/>
    <col min="6" max="6" width="8.88671875" style="2"/>
    <col min="7" max="8" width="29.77734375" style="2" bestFit="1" customWidth="1"/>
    <col min="9" max="9" width="33.33203125" style="2" bestFit="1" customWidth="1"/>
    <col min="10" max="16384" width="8.88671875" style="2"/>
  </cols>
  <sheetData>
    <row r="3" spans="3:9">
      <c r="C3" s="2" t="s">
        <v>49</v>
      </c>
      <c r="D3" s="2">
        <v>67070076</v>
      </c>
      <c r="E3" s="2" t="s">
        <v>50</v>
      </c>
      <c r="F3" s="2" t="s">
        <v>51</v>
      </c>
      <c r="G3" s="2" t="s">
        <v>52</v>
      </c>
      <c r="H3" s="2" t="s">
        <v>52</v>
      </c>
      <c r="I3" s="2" t="s">
        <v>53</v>
      </c>
    </row>
    <row r="4" spans="3:9">
      <c r="C4" s="2" t="s">
        <v>54</v>
      </c>
      <c r="D4" s="2">
        <v>62070003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</row>
    <row r="5" spans="3:9">
      <c r="C5" s="2" t="s">
        <v>54</v>
      </c>
      <c r="D5" s="2">
        <v>68080282</v>
      </c>
      <c r="E5" s="2" t="s">
        <v>60</v>
      </c>
      <c r="F5" s="2" t="s">
        <v>61</v>
      </c>
      <c r="G5" s="2" t="s">
        <v>57</v>
      </c>
      <c r="H5" s="2" t="s">
        <v>58</v>
      </c>
      <c r="I5" s="2" t="s">
        <v>59</v>
      </c>
    </row>
    <row r="6" spans="3:9">
      <c r="C6" s="2" t="s">
        <v>54</v>
      </c>
      <c r="D6" s="2">
        <v>67120209</v>
      </c>
      <c r="E6" s="2" t="s">
        <v>62</v>
      </c>
      <c r="F6" s="2" t="s">
        <v>63</v>
      </c>
      <c r="G6" s="2" t="s">
        <v>57</v>
      </c>
      <c r="H6" s="2" t="s">
        <v>58</v>
      </c>
      <c r="I6" s="2" t="s">
        <v>59</v>
      </c>
    </row>
    <row r="7" spans="3:9">
      <c r="C7" s="2" t="s">
        <v>54</v>
      </c>
      <c r="D7" s="2">
        <v>68120509</v>
      </c>
      <c r="E7" s="2" t="s">
        <v>64</v>
      </c>
      <c r="F7" s="2" t="s">
        <v>65</v>
      </c>
      <c r="G7" s="2" t="s">
        <v>57</v>
      </c>
      <c r="H7" s="2" t="s">
        <v>58</v>
      </c>
      <c r="I7" s="2" t="s">
        <v>59</v>
      </c>
    </row>
    <row r="8" spans="3:9">
      <c r="C8" s="2" t="s">
        <v>54</v>
      </c>
      <c r="D8" s="2">
        <v>69020033</v>
      </c>
      <c r="E8" s="2" t="s">
        <v>66</v>
      </c>
      <c r="F8" s="2" t="s">
        <v>67</v>
      </c>
      <c r="G8" s="2" t="s">
        <v>57</v>
      </c>
      <c r="H8" s="2" t="s">
        <v>58</v>
      </c>
      <c r="I8" s="2" t="s">
        <v>59</v>
      </c>
    </row>
    <row r="9" spans="3:9">
      <c r="C9" s="2" t="s">
        <v>54</v>
      </c>
      <c r="E9" s="2" t="s">
        <v>68</v>
      </c>
      <c r="F9" s="2" t="s">
        <v>69</v>
      </c>
      <c r="G9" s="2" t="s">
        <v>57</v>
      </c>
      <c r="H9" s="2" t="s">
        <v>58</v>
      </c>
      <c r="I9" s="2" t="s">
        <v>59</v>
      </c>
    </row>
    <row r="10" spans="3:9">
      <c r="C10" s="2" t="s">
        <v>54</v>
      </c>
      <c r="D10" s="2">
        <v>67120200</v>
      </c>
      <c r="E10" s="2" t="s">
        <v>70</v>
      </c>
      <c r="F10" s="2" t="s">
        <v>71</v>
      </c>
      <c r="G10" s="2" t="s">
        <v>57</v>
      </c>
      <c r="H10" s="2" t="s">
        <v>58</v>
      </c>
      <c r="I10" s="2" t="s">
        <v>72</v>
      </c>
    </row>
    <row r="13" spans="3:9" ht="32.4">
      <c r="C13" s="27" t="s">
        <v>134</v>
      </c>
      <c r="D13" s="27"/>
      <c r="E13" s="27"/>
      <c r="F13" s="16"/>
    </row>
    <row r="14" spans="3:9" ht="26.4">
      <c r="C14" s="14" t="s">
        <v>13</v>
      </c>
      <c r="D14" s="14" t="s">
        <v>109</v>
      </c>
      <c r="E14" s="14" t="s">
        <v>3</v>
      </c>
    </row>
    <row r="15" spans="3:9">
      <c r="C15" s="8" t="s">
        <v>110</v>
      </c>
      <c r="D15" s="5">
        <v>4</v>
      </c>
      <c r="E15" s="5" t="s">
        <v>18</v>
      </c>
    </row>
    <row r="16" spans="3:9">
      <c r="C16" s="8" t="s">
        <v>115</v>
      </c>
      <c r="D16" s="5">
        <v>3</v>
      </c>
      <c r="E16" s="5" t="s">
        <v>119</v>
      </c>
    </row>
    <row r="17" spans="3:5">
      <c r="C17" s="8" t="s">
        <v>130</v>
      </c>
      <c r="D17" s="5">
        <v>39</v>
      </c>
      <c r="E17" s="5" t="s">
        <v>135</v>
      </c>
    </row>
    <row r="18" spans="3:5">
      <c r="C18" s="8" t="s">
        <v>136</v>
      </c>
      <c r="D18" s="5"/>
    </row>
    <row r="19" spans="3:5" ht="28.8">
      <c r="C19" s="19" t="s">
        <v>112</v>
      </c>
      <c r="D19" s="19">
        <f>SUM(D15:D17)</f>
        <v>46</v>
      </c>
    </row>
  </sheetData>
  <mergeCells count="1">
    <mergeCell ref="C13:E13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28D6-125A-4A7B-A6FE-6FCD557A6BA7}">
  <dimension ref="A1:M25"/>
  <sheetViews>
    <sheetView workbookViewId="0">
      <pane ySplit="2" topLeftCell="A3" activePane="bottomLeft" state="frozen"/>
      <selection pane="bottomLeft" activeCell="C15" sqref="C15"/>
    </sheetView>
  </sheetViews>
  <sheetFormatPr defaultRowHeight="23.4"/>
  <cols>
    <col min="1" max="1" width="6.88671875" style="2" customWidth="1"/>
    <col min="2" max="2" width="13.88671875" style="3" customWidth="1"/>
    <col min="3" max="3" width="29.109375" style="1" bestFit="1" customWidth="1"/>
    <col min="4" max="4" width="9.88671875" style="2" bestFit="1" customWidth="1"/>
    <col min="5" max="5" width="32.6640625" style="2" customWidth="1"/>
    <col min="6" max="6" width="19.33203125" style="2" customWidth="1"/>
    <col min="7" max="7" width="13.6640625" style="2" bestFit="1" customWidth="1"/>
    <col min="8" max="8" width="15.21875" style="2" bestFit="1" customWidth="1"/>
    <col min="9" max="9" width="19.5546875" style="2" bestFit="1" customWidth="1"/>
    <col min="10" max="10" width="8.88671875" style="1"/>
    <col min="11" max="11" width="31.88671875" style="1" bestFit="1" customWidth="1"/>
    <col min="12" max="12" width="12.21875" style="1" bestFit="1" customWidth="1"/>
    <col min="13" max="13" width="23.77734375" style="1" bestFit="1" customWidth="1"/>
    <col min="14" max="16384" width="8.88671875" style="1"/>
  </cols>
  <sheetData>
    <row r="1" spans="1:13" ht="32.4">
      <c r="A1" s="27" t="s">
        <v>159</v>
      </c>
      <c r="B1" s="27"/>
      <c r="C1" s="27"/>
      <c r="D1" s="27"/>
      <c r="E1" s="27"/>
      <c r="F1" s="27"/>
      <c r="G1" s="27"/>
      <c r="H1" s="27"/>
      <c r="I1" s="27"/>
    </row>
    <row r="2" spans="1:13" s="2" customFormat="1">
      <c r="A2" s="9" t="s">
        <v>1</v>
      </c>
      <c r="B2" s="10" t="s">
        <v>10</v>
      </c>
      <c r="C2" s="9" t="s">
        <v>2</v>
      </c>
      <c r="D2" s="9" t="s">
        <v>19</v>
      </c>
      <c r="E2" s="9" t="s">
        <v>13</v>
      </c>
      <c r="F2" s="9" t="s">
        <v>41</v>
      </c>
      <c r="G2" s="9" t="s">
        <v>30</v>
      </c>
      <c r="H2" s="9" t="s">
        <v>3</v>
      </c>
      <c r="I2" s="9" t="s">
        <v>11</v>
      </c>
    </row>
    <row r="3" spans="1:13" ht="46.8">
      <c r="A3" s="5">
        <v>1</v>
      </c>
      <c r="B3" s="6">
        <v>46130</v>
      </c>
      <c r="C3" s="7" t="s">
        <v>160</v>
      </c>
      <c r="D3" s="5">
        <v>3</v>
      </c>
      <c r="E3" s="17" t="s">
        <v>161</v>
      </c>
      <c r="F3" s="5" t="s">
        <v>162</v>
      </c>
      <c r="G3" s="5"/>
      <c r="H3" s="5" t="s">
        <v>163</v>
      </c>
      <c r="I3" s="5" t="s">
        <v>164</v>
      </c>
    </row>
    <row r="4" spans="1:13" ht="32.4">
      <c r="A4" s="5">
        <v>2</v>
      </c>
      <c r="B4" s="6">
        <v>46132</v>
      </c>
      <c r="C4" s="7" t="s">
        <v>166</v>
      </c>
      <c r="D4" s="5">
        <v>30</v>
      </c>
      <c r="E4" s="5" t="s">
        <v>167</v>
      </c>
      <c r="F4" s="17" t="s">
        <v>168</v>
      </c>
      <c r="G4" s="5"/>
      <c r="H4" s="5" t="s">
        <v>153</v>
      </c>
      <c r="I4" s="5" t="s">
        <v>169</v>
      </c>
      <c r="K4" s="27" t="s">
        <v>165</v>
      </c>
      <c r="L4" s="27"/>
      <c r="M4" s="27"/>
    </row>
    <row r="5" spans="1:13" ht="26.4">
      <c r="A5" s="5">
        <v>3</v>
      </c>
      <c r="B5" s="6">
        <v>46136</v>
      </c>
      <c r="C5" s="7" t="s">
        <v>173</v>
      </c>
      <c r="D5" s="5">
        <v>10</v>
      </c>
      <c r="E5" s="5" t="s">
        <v>174</v>
      </c>
      <c r="F5" s="17" t="s">
        <v>175</v>
      </c>
      <c r="G5" s="5"/>
      <c r="H5" s="5" t="s">
        <v>100</v>
      </c>
      <c r="I5" s="5" t="s">
        <v>101</v>
      </c>
      <c r="K5" s="14" t="s">
        <v>13</v>
      </c>
      <c r="L5" s="14" t="s">
        <v>109</v>
      </c>
      <c r="M5" s="14" t="s">
        <v>3</v>
      </c>
    </row>
    <row r="6" spans="1:13">
      <c r="A6" s="5">
        <v>4</v>
      </c>
      <c r="B6" s="6">
        <v>46136</v>
      </c>
      <c r="C6" s="7" t="s">
        <v>176</v>
      </c>
      <c r="D6" s="5">
        <v>10</v>
      </c>
      <c r="E6" s="5" t="s">
        <v>174</v>
      </c>
      <c r="F6" s="17" t="s">
        <v>175</v>
      </c>
      <c r="G6" s="5"/>
      <c r="H6" s="5" t="s">
        <v>100</v>
      </c>
      <c r="I6" s="5" t="s">
        <v>101</v>
      </c>
      <c r="K6" s="23" t="s">
        <v>161</v>
      </c>
      <c r="L6" s="5">
        <v>3</v>
      </c>
      <c r="M6" s="5" t="s">
        <v>164</v>
      </c>
    </row>
    <row r="7" spans="1:13">
      <c r="A7" s="5">
        <v>5</v>
      </c>
      <c r="B7" s="6">
        <v>46141</v>
      </c>
      <c r="C7" s="7" t="s">
        <v>29</v>
      </c>
      <c r="D7" s="5">
        <v>11</v>
      </c>
      <c r="E7" s="5" t="s">
        <v>183</v>
      </c>
      <c r="F7" s="5" t="s">
        <v>45</v>
      </c>
      <c r="G7" s="5"/>
      <c r="H7" s="5" t="s">
        <v>184</v>
      </c>
      <c r="I7" s="5" t="s">
        <v>119</v>
      </c>
      <c r="K7" s="5" t="s">
        <v>167</v>
      </c>
      <c r="L7" s="5">
        <v>30</v>
      </c>
      <c r="M7" s="5" t="s">
        <v>170</v>
      </c>
    </row>
    <row r="8" spans="1:13" ht="46.8">
      <c r="A8" s="5">
        <v>6</v>
      </c>
      <c r="B8" s="6">
        <v>46141</v>
      </c>
      <c r="C8" s="7" t="s">
        <v>177</v>
      </c>
      <c r="D8" s="5">
        <v>6</v>
      </c>
      <c r="E8" s="5" t="s">
        <v>183</v>
      </c>
      <c r="F8" s="5" t="s">
        <v>45</v>
      </c>
      <c r="G8" s="5"/>
      <c r="H8" s="5" t="s">
        <v>184</v>
      </c>
      <c r="I8" s="5" t="s">
        <v>119</v>
      </c>
      <c r="K8" s="17" t="s">
        <v>171</v>
      </c>
      <c r="L8" s="5">
        <v>26</v>
      </c>
      <c r="M8" s="5" t="s">
        <v>172</v>
      </c>
    </row>
    <row r="9" spans="1:13">
      <c r="A9" s="5">
        <v>7</v>
      </c>
      <c r="B9" s="6">
        <v>46141</v>
      </c>
      <c r="C9" s="7" t="s">
        <v>83</v>
      </c>
      <c r="D9" s="5">
        <v>6</v>
      </c>
      <c r="E9" s="17" t="s">
        <v>183</v>
      </c>
      <c r="F9" s="5" t="s">
        <v>45</v>
      </c>
      <c r="G9" s="5"/>
      <c r="H9" s="5" t="s">
        <v>184</v>
      </c>
      <c r="I9" s="5" t="s">
        <v>119</v>
      </c>
      <c r="K9" s="5" t="s">
        <v>174</v>
      </c>
      <c r="L9" s="5">
        <v>20</v>
      </c>
      <c r="M9" s="5" t="s">
        <v>101</v>
      </c>
    </row>
    <row r="10" spans="1:13">
      <c r="A10" s="5">
        <v>8</v>
      </c>
      <c r="B10" s="6">
        <v>46141</v>
      </c>
      <c r="C10" s="7" t="s">
        <v>92</v>
      </c>
      <c r="D10" s="5">
        <v>6</v>
      </c>
      <c r="E10" s="5" t="s">
        <v>183</v>
      </c>
      <c r="F10" s="5" t="s">
        <v>45</v>
      </c>
      <c r="G10" s="5"/>
      <c r="H10" s="5" t="s">
        <v>184</v>
      </c>
      <c r="I10" s="5" t="s">
        <v>119</v>
      </c>
      <c r="K10" s="17" t="s">
        <v>183</v>
      </c>
      <c r="L10" s="5">
        <v>86</v>
      </c>
      <c r="M10" s="5" t="s">
        <v>172</v>
      </c>
    </row>
    <row r="11" spans="1:13" ht="28.8">
      <c r="A11" s="5">
        <v>9</v>
      </c>
      <c r="B11" s="6">
        <v>46141</v>
      </c>
      <c r="C11" s="7" t="s">
        <v>178</v>
      </c>
      <c r="D11" s="5">
        <v>3</v>
      </c>
      <c r="E11" s="5" t="s">
        <v>183</v>
      </c>
      <c r="F11" s="5" t="s">
        <v>45</v>
      </c>
      <c r="G11" s="5"/>
      <c r="H11" s="5" t="s">
        <v>184</v>
      </c>
      <c r="I11" s="5" t="s">
        <v>119</v>
      </c>
      <c r="K11" s="19" t="s">
        <v>112</v>
      </c>
      <c r="L11" s="28">
        <f>SUM(L6:L10)</f>
        <v>165</v>
      </c>
      <c r="M11" s="28"/>
    </row>
    <row r="12" spans="1:13">
      <c r="A12" s="5">
        <v>10</v>
      </c>
      <c r="B12" s="6">
        <v>46141</v>
      </c>
      <c r="C12" s="7" t="s">
        <v>179</v>
      </c>
      <c r="D12" s="5">
        <v>11</v>
      </c>
      <c r="E12" s="5" t="s">
        <v>183</v>
      </c>
      <c r="F12" s="5" t="s">
        <v>45</v>
      </c>
      <c r="G12" s="5"/>
      <c r="H12" s="5" t="s">
        <v>184</v>
      </c>
      <c r="I12" s="5" t="s">
        <v>119</v>
      </c>
    </row>
    <row r="13" spans="1:13">
      <c r="A13" s="5">
        <v>11</v>
      </c>
      <c r="B13" s="6">
        <v>46141</v>
      </c>
      <c r="C13" s="7" t="s">
        <v>160</v>
      </c>
      <c r="D13" s="5">
        <v>10</v>
      </c>
      <c r="E13" s="17" t="s">
        <v>183</v>
      </c>
      <c r="F13" s="5" t="s">
        <v>45</v>
      </c>
      <c r="G13" s="5"/>
      <c r="H13" s="5" t="s">
        <v>184</v>
      </c>
      <c r="I13" s="5" t="s">
        <v>119</v>
      </c>
    </row>
    <row r="14" spans="1:13">
      <c r="A14" s="5">
        <v>12</v>
      </c>
      <c r="B14" s="6">
        <v>46141</v>
      </c>
      <c r="C14" s="7" t="s">
        <v>180</v>
      </c>
      <c r="D14" s="5">
        <v>5</v>
      </c>
      <c r="E14" s="17" t="s">
        <v>183</v>
      </c>
      <c r="F14" s="5" t="s">
        <v>45</v>
      </c>
      <c r="G14" s="5"/>
      <c r="H14" s="5" t="s">
        <v>184</v>
      </c>
      <c r="I14" s="5" t="s">
        <v>119</v>
      </c>
    </row>
    <row r="15" spans="1:13">
      <c r="A15" s="5">
        <v>13</v>
      </c>
      <c r="B15" s="6">
        <v>46141</v>
      </c>
      <c r="C15" s="7" t="s">
        <v>181</v>
      </c>
      <c r="D15" s="5">
        <v>6</v>
      </c>
      <c r="E15" s="17" t="s">
        <v>183</v>
      </c>
      <c r="F15" s="5" t="s">
        <v>45</v>
      </c>
      <c r="G15" s="5"/>
      <c r="H15" s="5" t="s">
        <v>184</v>
      </c>
      <c r="I15" s="5" t="s">
        <v>119</v>
      </c>
    </row>
    <row r="16" spans="1:13">
      <c r="A16" s="5">
        <v>14</v>
      </c>
      <c r="B16" s="6">
        <v>46141</v>
      </c>
      <c r="C16" s="7" t="s">
        <v>90</v>
      </c>
      <c r="D16" s="5">
        <v>11</v>
      </c>
      <c r="E16" s="17" t="s">
        <v>183</v>
      </c>
      <c r="F16" s="5" t="s">
        <v>45</v>
      </c>
      <c r="G16" s="5"/>
      <c r="H16" s="5" t="s">
        <v>184</v>
      </c>
      <c r="I16" s="5" t="s">
        <v>119</v>
      </c>
    </row>
    <row r="17" spans="1:9">
      <c r="A17" s="5">
        <v>15</v>
      </c>
      <c r="B17" s="6">
        <v>46141</v>
      </c>
      <c r="C17" s="7" t="s">
        <v>182</v>
      </c>
      <c r="D17" s="5">
        <v>11</v>
      </c>
      <c r="E17" s="17" t="s">
        <v>183</v>
      </c>
      <c r="F17" s="5" t="s">
        <v>45</v>
      </c>
      <c r="G17" s="5"/>
      <c r="H17" s="5" t="s">
        <v>184</v>
      </c>
      <c r="I17" s="5" t="s">
        <v>119</v>
      </c>
    </row>
    <row r="18" spans="1:9">
      <c r="A18" s="5"/>
      <c r="B18" s="6"/>
      <c r="C18" s="7"/>
      <c r="D18" s="5"/>
      <c r="E18" s="17"/>
      <c r="F18" s="5"/>
      <c r="G18" s="5"/>
      <c r="H18" s="5"/>
      <c r="I18" s="5"/>
    </row>
    <row r="19" spans="1:9">
      <c r="A19" s="5"/>
      <c r="B19" s="6"/>
      <c r="C19" s="7"/>
      <c r="D19" s="5"/>
      <c r="E19" s="17"/>
      <c r="F19" s="5"/>
      <c r="G19" s="5"/>
      <c r="H19" s="5"/>
      <c r="I19" s="5"/>
    </row>
    <row r="20" spans="1:9">
      <c r="A20" s="5"/>
      <c r="B20" s="6"/>
      <c r="C20" s="7"/>
      <c r="D20" s="5"/>
      <c r="E20" s="17"/>
      <c r="F20" s="5"/>
      <c r="G20" s="5"/>
      <c r="H20" s="5"/>
      <c r="I20" s="5"/>
    </row>
    <row r="21" spans="1:9">
      <c r="A21" s="5"/>
      <c r="B21" s="6"/>
      <c r="C21" s="7"/>
      <c r="D21" s="5"/>
      <c r="E21" s="17"/>
      <c r="F21" s="5"/>
      <c r="G21" s="5"/>
      <c r="H21" s="5"/>
      <c r="I21" s="5"/>
    </row>
    <row r="22" spans="1:9">
      <c r="A22" s="5"/>
      <c r="B22" s="6"/>
      <c r="C22" s="7"/>
      <c r="D22" s="5"/>
      <c r="E22" s="17"/>
      <c r="F22" s="5"/>
      <c r="G22" s="5"/>
      <c r="H22" s="5"/>
      <c r="I22" s="5"/>
    </row>
    <row r="23" spans="1:9">
      <c r="A23" s="5"/>
      <c r="B23" s="6"/>
      <c r="C23" s="7"/>
      <c r="D23" s="5"/>
      <c r="E23" s="17"/>
      <c r="F23" s="5"/>
      <c r="G23" s="5"/>
      <c r="H23" s="5"/>
      <c r="I23" s="5"/>
    </row>
    <row r="24" spans="1:9">
      <c r="A24" s="5"/>
      <c r="B24" s="6"/>
      <c r="C24" s="7"/>
      <c r="D24" s="5"/>
      <c r="E24" s="17"/>
      <c r="F24" s="5"/>
      <c r="G24" s="5"/>
      <c r="H24" s="5"/>
      <c r="I24" s="5"/>
    </row>
    <row r="25" spans="1:9">
      <c r="D25" s="22">
        <f>SUM(D3:D24)</f>
        <v>139</v>
      </c>
    </row>
  </sheetData>
  <autoFilter ref="A2:I23" xr:uid="{DE980808-D7B7-400E-8A37-980E1F6C1041}"/>
  <mergeCells count="3">
    <mergeCell ref="A1:I1"/>
    <mergeCell ref="K4:M4"/>
    <mergeCell ref="L11:M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76C7-4C8D-4CFF-A490-4A975971A261}">
  <dimension ref="A1:M41"/>
  <sheetViews>
    <sheetView zoomScale="90" zoomScaleNormal="90" workbookViewId="0">
      <pane ySplit="2" topLeftCell="A27" activePane="bottomLeft" state="frozen"/>
      <selection pane="bottomLeft" activeCell="C40" sqref="C40"/>
    </sheetView>
  </sheetViews>
  <sheetFormatPr defaultRowHeight="23.4"/>
  <cols>
    <col min="1" max="1" width="6.88671875" style="2" customWidth="1"/>
    <col min="2" max="2" width="13.88671875" style="3" customWidth="1"/>
    <col min="3" max="3" width="31" style="1" bestFit="1" customWidth="1"/>
    <col min="4" max="4" width="9.88671875" style="2" bestFit="1" customWidth="1"/>
    <col min="5" max="5" width="32.6640625" style="2" customWidth="1"/>
    <col min="6" max="6" width="19.33203125" style="2" customWidth="1"/>
    <col min="7" max="7" width="13.6640625" style="2" bestFit="1" customWidth="1"/>
    <col min="8" max="8" width="15.21875" style="2" bestFit="1" customWidth="1"/>
    <col min="9" max="9" width="26.21875" style="2" bestFit="1" customWidth="1"/>
    <col min="10" max="10" width="8.88671875" style="1"/>
    <col min="11" max="11" width="31.88671875" style="1" bestFit="1" customWidth="1"/>
    <col min="12" max="12" width="12.21875" style="2" bestFit="1" customWidth="1"/>
    <col min="13" max="13" width="23.77734375" style="2" bestFit="1" customWidth="1"/>
    <col min="14" max="16384" width="8.88671875" style="1"/>
  </cols>
  <sheetData>
    <row r="1" spans="1:13" ht="32.4">
      <c r="A1" s="27" t="s">
        <v>185</v>
      </c>
      <c r="B1" s="27"/>
      <c r="C1" s="27"/>
      <c r="D1" s="27"/>
      <c r="E1" s="27"/>
      <c r="F1" s="27"/>
      <c r="G1" s="27"/>
      <c r="H1" s="27"/>
      <c r="I1" s="27"/>
    </row>
    <row r="2" spans="1:13" s="2" customFormat="1">
      <c r="A2" s="9" t="s">
        <v>1</v>
      </c>
      <c r="B2" s="10" t="s">
        <v>10</v>
      </c>
      <c r="C2" s="9" t="s">
        <v>2</v>
      </c>
      <c r="D2" s="9" t="s">
        <v>19</v>
      </c>
      <c r="E2" s="9" t="s">
        <v>13</v>
      </c>
      <c r="F2" s="9" t="s">
        <v>41</v>
      </c>
      <c r="G2" s="9" t="s">
        <v>30</v>
      </c>
      <c r="H2" s="9" t="s">
        <v>3</v>
      </c>
      <c r="I2" s="9" t="s">
        <v>11</v>
      </c>
    </row>
    <row r="3" spans="1:13">
      <c r="A3" s="5">
        <v>1</v>
      </c>
      <c r="B3" s="6">
        <v>46145</v>
      </c>
      <c r="C3" s="7" t="s">
        <v>187</v>
      </c>
      <c r="D3" s="5">
        <v>2</v>
      </c>
      <c r="E3" s="17" t="s">
        <v>188</v>
      </c>
      <c r="F3" s="5" t="s">
        <v>158</v>
      </c>
      <c r="G3" s="5"/>
      <c r="H3" s="5" t="s">
        <v>17</v>
      </c>
      <c r="I3" s="5" t="s">
        <v>189</v>
      </c>
    </row>
    <row r="4" spans="1:13" ht="46.8">
      <c r="A4" s="5">
        <v>2</v>
      </c>
      <c r="B4" s="6">
        <v>46154</v>
      </c>
      <c r="C4" s="7" t="s">
        <v>83</v>
      </c>
      <c r="D4" s="5">
        <v>2</v>
      </c>
      <c r="E4" s="17" t="s">
        <v>192</v>
      </c>
      <c r="F4" s="17" t="s">
        <v>190</v>
      </c>
      <c r="G4" s="5"/>
      <c r="H4" s="5" t="s">
        <v>17</v>
      </c>
      <c r="I4" s="5" t="s">
        <v>193</v>
      </c>
      <c r="K4" s="27" t="s">
        <v>186</v>
      </c>
      <c r="L4" s="27"/>
      <c r="M4" s="27"/>
    </row>
    <row r="5" spans="1:13" ht="46.8">
      <c r="A5" s="5">
        <v>3</v>
      </c>
      <c r="B5" s="6">
        <v>46154</v>
      </c>
      <c r="C5" s="7" t="s">
        <v>160</v>
      </c>
      <c r="D5" s="5">
        <v>1</v>
      </c>
      <c r="E5" s="17" t="s">
        <v>192</v>
      </c>
      <c r="F5" s="17" t="s">
        <v>190</v>
      </c>
      <c r="G5" s="5"/>
      <c r="H5" s="5" t="s">
        <v>17</v>
      </c>
      <c r="I5" s="5" t="s">
        <v>193</v>
      </c>
      <c r="K5" s="14" t="s">
        <v>13</v>
      </c>
      <c r="L5" s="14" t="s">
        <v>109</v>
      </c>
      <c r="M5" s="14" t="s">
        <v>3</v>
      </c>
    </row>
    <row r="6" spans="1:13" ht="46.8">
      <c r="A6" s="5">
        <v>4</v>
      </c>
      <c r="B6" s="6">
        <v>46154</v>
      </c>
      <c r="C6" s="7" t="s">
        <v>131</v>
      </c>
      <c r="D6" s="5">
        <v>1</v>
      </c>
      <c r="E6" s="17" t="s">
        <v>192</v>
      </c>
      <c r="F6" s="17" t="s">
        <v>190</v>
      </c>
      <c r="G6" s="5"/>
      <c r="H6" s="5" t="s">
        <v>17</v>
      </c>
      <c r="I6" s="5" t="s">
        <v>193</v>
      </c>
      <c r="K6" s="17" t="s">
        <v>188</v>
      </c>
      <c r="L6" s="5">
        <v>9</v>
      </c>
      <c r="M6" s="5" t="s">
        <v>17</v>
      </c>
    </row>
    <row r="7" spans="1:13" ht="46.8">
      <c r="A7" s="5">
        <v>5</v>
      </c>
      <c r="B7" s="6">
        <v>46154</v>
      </c>
      <c r="C7" s="7" t="s">
        <v>191</v>
      </c>
      <c r="D7" s="5">
        <v>3</v>
      </c>
      <c r="E7" s="17" t="s">
        <v>192</v>
      </c>
      <c r="F7" s="17" t="s">
        <v>190</v>
      </c>
      <c r="G7" s="5"/>
      <c r="H7" s="5" t="s">
        <v>17</v>
      </c>
      <c r="I7" s="5" t="s">
        <v>193</v>
      </c>
      <c r="K7" s="17" t="s">
        <v>192</v>
      </c>
      <c r="L7" s="5">
        <v>7</v>
      </c>
      <c r="M7" s="5" t="s">
        <v>17</v>
      </c>
    </row>
    <row r="8" spans="1:13">
      <c r="A8" s="5">
        <v>6</v>
      </c>
      <c r="B8" s="6">
        <v>46157</v>
      </c>
      <c r="C8" s="7" t="s">
        <v>194</v>
      </c>
      <c r="D8" s="5">
        <v>3</v>
      </c>
      <c r="E8" s="17" t="s">
        <v>188</v>
      </c>
      <c r="F8" s="5" t="s">
        <v>142</v>
      </c>
      <c r="G8" s="5"/>
      <c r="H8" s="5" t="s">
        <v>17</v>
      </c>
      <c r="I8" s="5" t="s">
        <v>193</v>
      </c>
      <c r="K8" s="5" t="s">
        <v>195</v>
      </c>
      <c r="L8" s="5">
        <v>2</v>
      </c>
      <c r="M8" s="5" t="s">
        <v>153</v>
      </c>
    </row>
    <row r="9" spans="1:13">
      <c r="A9" s="5">
        <v>7</v>
      </c>
      <c r="B9" s="6">
        <v>46161</v>
      </c>
      <c r="C9" s="7" t="s">
        <v>160</v>
      </c>
      <c r="D9" s="5">
        <v>2</v>
      </c>
      <c r="E9" s="17" t="s">
        <v>195</v>
      </c>
      <c r="F9" s="5" t="s">
        <v>74</v>
      </c>
      <c r="G9" s="5"/>
      <c r="H9" s="5"/>
      <c r="I9" s="5" t="s">
        <v>119</v>
      </c>
      <c r="K9" s="5" t="s">
        <v>196</v>
      </c>
      <c r="L9" s="5">
        <v>15</v>
      </c>
      <c r="M9" s="5" t="s">
        <v>198</v>
      </c>
    </row>
    <row r="10" spans="1:13">
      <c r="A10" s="5">
        <v>8</v>
      </c>
      <c r="B10" s="6">
        <v>46162</v>
      </c>
      <c r="C10" s="7" t="s">
        <v>194</v>
      </c>
      <c r="D10" s="5">
        <v>15</v>
      </c>
      <c r="E10" s="5" t="s">
        <v>196</v>
      </c>
      <c r="F10" s="5" t="s">
        <v>197</v>
      </c>
      <c r="G10" s="5"/>
      <c r="H10" s="5" t="s">
        <v>198</v>
      </c>
      <c r="I10" s="5" t="s">
        <v>199</v>
      </c>
      <c r="K10" s="5" t="s">
        <v>202</v>
      </c>
      <c r="L10" s="5">
        <v>65</v>
      </c>
      <c r="M10" s="5" t="s">
        <v>153</v>
      </c>
    </row>
    <row r="11" spans="1:13">
      <c r="A11" s="5">
        <v>9</v>
      </c>
      <c r="B11" s="6">
        <v>46164</v>
      </c>
      <c r="C11" s="7" t="s">
        <v>200</v>
      </c>
      <c r="D11" s="5">
        <v>4</v>
      </c>
      <c r="E11" s="17" t="s">
        <v>188</v>
      </c>
      <c r="F11" s="5" t="s">
        <v>201</v>
      </c>
      <c r="G11" s="5"/>
      <c r="H11" s="5" t="s">
        <v>17</v>
      </c>
      <c r="I11" s="5" t="s">
        <v>193</v>
      </c>
      <c r="K11" s="5" t="s">
        <v>206</v>
      </c>
      <c r="L11" s="5">
        <v>8</v>
      </c>
      <c r="M11" s="5" t="s">
        <v>153</v>
      </c>
    </row>
    <row r="12" spans="1:13">
      <c r="A12" s="5">
        <v>10</v>
      </c>
      <c r="B12" s="6">
        <v>46166</v>
      </c>
      <c r="C12" s="7" t="s">
        <v>121</v>
      </c>
      <c r="D12" s="5">
        <v>43</v>
      </c>
      <c r="E12" s="5" t="s">
        <v>202</v>
      </c>
      <c r="F12" s="5" t="s">
        <v>203</v>
      </c>
      <c r="G12" s="5"/>
      <c r="H12" s="5"/>
      <c r="I12" s="5" t="s">
        <v>204</v>
      </c>
      <c r="K12" s="5" t="s">
        <v>211</v>
      </c>
      <c r="L12" s="5">
        <v>21</v>
      </c>
      <c r="M12" s="5" t="s">
        <v>198</v>
      </c>
    </row>
    <row r="13" spans="1:13">
      <c r="A13" s="5">
        <v>11</v>
      </c>
      <c r="B13" s="6"/>
      <c r="C13" s="7" t="s">
        <v>205</v>
      </c>
      <c r="D13" s="5">
        <v>8</v>
      </c>
      <c r="E13" s="17" t="s">
        <v>206</v>
      </c>
      <c r="F13" s="5" t="s">
        <v>203</v>
      </c>
      <c r="G13" s="5"/>
      <c r="H13" s="5"/>
      <c r="I13" s="5" t="s">
        <v>204</v>
      </c>
      <c r="K13" s="5" t="s">
        <v>213</v>
      </c>
      <c r="L13" s="5">
        <v>48</v>
      </c>
      <c r="M13" s="5" t="s">
        <v>100</v>
      </c>
    </row>
    <row r="14" spans="1:13">
      <c r="A14" s="5">
        <v>12</v>
      </c>
      <c r="B14" s="6">
        <v>46168</v>
      </c>
      <c r="C14" s="7" t="s">
        <v>207</v>
      </c>
      <c r="D14" s="5">
        <v>22</v>
      </c>
      <c r="E14" s="17" t="s">
        <v>202</v>
      </c>
      <c r="F14" s="5" t="s">
        <v>175</v>
      </c>
      <c r="G14" s="5"/>
      <c r="H14" s="5"/>
      <c r="I14" s="5" t="s">
        <v>204</v>
      </c>
      <c r="K14" s="5" t="s">
        <v>212</v>
      </c>
      <c r="L14" s="5">
        <f>SUM(L6:L13)</f>
        <v>175</v>
      </c>
    </row>
    <row r="15" spans="1:13">
      <c r="A15" s="5">
        <v>13</v>
      </c>
      <c r="B15" s="6">
        <v>46169</v>
      </c>
      <c r="C15" s="7" t="s">
        <v>177</v>
      </c>
      <c r="D15" s="5">
        <v>1</v>
      </c>
      <c r="E15" s="17" t="s">
        <v>211</v>
      </c>
      <c r="F15" s="5" t="s">
        <v>45</v>
      </c>
      <c r="G15" s="5"/>
      <c r="H15" s="5" t="s">
        <v>198</v>
      </c>
      <c r="I15" s="5" t="s">
        <v>119</v>
      </c>
    </row>
    <row r="16" spans="1:13">
      <c r="A16" s="5">
        <v>14</v>
      </c>
      <c r="B16" s="6"/>
      <c r="C16" s="7" t="s">
        <v>208</v>
      </c>
      <c r="D16" s="5">
        <v>1</v>
      </c>
      <c r="E16" s="17" t="s">
        <v>211</v>
      </c>
      <c r="F16" s="5" t="s">
        <v>45</v>
      </c>
      <c r="G16" s="5"/>
      <c r="H16" s="5" t="s">
        <v>198</v>
      </c>
      <c r="I16" s="5" t="s">
        <v>119</v>
      </c>
    </row>
    <row r="17" spans="1:9">
      <c r="A17" s="5">
        <v>15</v>
      </c>
      <c r="B17" s="6"/>
      <c r="C17" s="7" t="s">
        <v>85</v>
      </c>
      <c r="D17" s="5">
        <v>1</v>
      </c>
      <c r="E17" s="17" t="s">
        <v>211</v>
      </c>
      <c r="F17" s="5" t="s">
        <v>45</v>
      </c>
      <c r="G17" s="5"/>
      <c r="H17" s="5" t="s">
        <v>198</v>
      </c>
      <c r="I17" s="5" t="s">
        <v>119</v>
      </c>
    </row>
    <row r="18" spans="1:9">
      <c r="A18" s="5">
        <v>16</v>
      </c>
      <c r="B18" s="6"/>
      <c r="C18" s="7" t="s">
        <v>209</v>
      </c>
      <c r="D18" s="5">
        <v>1</v>
      </c>
      <c r="E18" s="17" t="s">
        <v>211</v>
      </c>
      <c r="F18" s="5" t="s">
        <v>45</v>
      </c>
      <c r="G18" s="5"/>
      <c r="H18" s="5" t="s">
        <v>198</v>
      </c>
      <c r="I18" s="5" t="s">
        <v>119</v>
      </c>
    </row>
    <row r="19" spans="1:9">
      <c r="A19" s="5">
        <v>17</v>
      </c>
      <c r="B19" s="6"/>
      <c r="C19" s="7" t="s">
        <v>91</v>
      </c>
      <c r="D19" s="5">
        <v>3</v>
      </c>
      <c r="E19" s="17" t="s">
        <v>211</v>
      </c>
      <c r="F19" s="5" t="s">
        <v>45</v>
      </c>
      <c r="G19" s="5"/>
      <c r="H19" s="5" t="s">
        <v>198</v>
      </c>
      <c r="I19" s="5" t="s">
        <v>119</v>
      </c>
    </row>
    <row r="20" spans="1:9">
      <c r="A20" s="5">
        <v>18</v>
      </c>
      <c r="B20" s="6"/>
      <c r="C20" s="7" t="s">
        <v>89</v>
      </c>
      <c r="D20" s="5">
        <v>2</v>
      </c>
      <c r="E20" s="17" t="s">
        <v>211</v>
      </c>
      <c r="F20" s="5" t="s">
        <v>45</v>
      </c>
      <c r="G20" s="5"/>
      <c r="H20" s="5" t="s">
        <v>198</v>
      </c>
      <c r="I20" s="5" t="s">
        <v>119</v>
      </c>
    </row>
    <row r="21" spans="1:9">
      <c r="A21" s="5">
        <v>19</v>
      </c>
      <c r="B21" s="6"/>
      <c r="C21" s="7" t="s">
        <v>160</v>
      </c>
      <c r="D21" s="5">
        <v>2</v>
      </c>
      <c r="E21" s="17" t="s">
        <v>211</v>
      </c>
      <c r="F21" s="5" t="s">
        <v>45</v>
      </c>
      <c r="G21" s="5"/>
      <c r="H21" s="5" t="s">
        <v>198</v>
      </c>
      <c r="I21" s="5" t="s">
        <v>119</v>
      </c>
    </row>
    <row r="22" spans="1:9">
      <c r="A22" s="5">
        <v>20</v>
      </c>
      <c r="B22" s="6"/>
      <c r="C22" s="7" t="s">
        <v>176</v>
      </c>
      <c r="D22" s="5">
        <v>1</v>
      </c>
      <c r="E22" s="17" t="s">
        <v>211</v>
      </c>
      <c r="F22" s="5" t="s">
        <v>45</v>
      </c>
      <c r="G22" s="5"/>
      <c r="H22" s="5" t="s">
        <v>198</v>
      </c>
      <c r="I22" s="5" t="s">
        <v>119</v>
      </c>
    </row>
    <row r="23" spans="1:9">
      <c r="A23" s="5">
        <v>21</v>
      </c>
      <c r="B23" s="6"/>
      <c r="C23" s="7" t="s">
        <v>210</v>
      </c>
      <c r="D23" s="5">
        <v>1</v>
      </c>
      <c r="E23" s="17" t="s">
        <v>211</v>
      </c>
      <c r="F23" s="5" t="s">
        <v>45</v>
      </c>
      <c r="G23" s="5"/>
      <c r="H23" s="5" t="s">
        <v>198</v>
      </c>
      <c r="I23" s="5" t="s">
        <v>119</v>
      </c>
    </row>
    <row r="24" spans="1:9">
      <c r="A24" s="5">
        <v>22</v>
      </c>
      <c r="B24" s="6"/>
      <c r="C24" s="7" t="s">
        <v>83</v>
      </c>
      <c r="D24" s="5">
        <v>2</v>
      </c>
      <c r="E24" s="17" t="s">
        <v>211</v>
      </c>
      <c r="F24" s="5" t="s">
        <v>45</v>
      </c>
      <c r="G24" s="5"/>
      <c r="H24" s="5" t="s">
        <v>198</v>
      </c>
      <c r="I24" s="5" t="s">
        <v>119</v>
      </c>
    </row>
    <row r="25" spans="1:9">
      <c r="A25" s="5">
        <v>23</v>
      </c>
      <c r="B25" s="6"/>
      <c r="C25" s="7" t="s">
        <v>39</v>
      </c>
      <c r="D25" s="5">
        <v>1</v>
      </c>
      <c r="E25" s="17" t="s">
        <v>211</v>
      </c>
      <c r="F25" s="5" t="s">
        <v>45</v>
      </c>
      <c r="G25" s="5"/>
      <c r="H25" s="5" t="s">
        <v>198</v>
      </c>
      <c r="I25" s="5" t="s">
        <v>119</v>
      </c>
    </row>
    <row r="26" spans="1:9">
      <c r="A26" s="5">
        <v>24</v>
      </c>
      <c r="B26" s="6"/>
      <c r="C26" s="7" t="s">
        <v>29</v>
      </c>
      <c r="D26" s="5">
        <v>2</v>
      </c>
      <c r="E26" s="17" t="s">
        <v>211</v>
      </c>
      <c r="F26" s="5" t="s">
        <v>45</v>
      </c>
      <c r="G26" s="5"/>
      <c r="H26" s="5" t="s">
        <v>198</v>
      </c>
      <c r="I26" s="5" t="s">
        <v>119</v>
      </c>
    </row>
    <row r="27" spans="1:9">
      <c r="A27" s="5">
        <v>25</v>
      </c>
      <c r="B27" s="6"/>
      <c r="C27" s="7" t="s">
        <v>6</v>
      </c>
      <c r="D27" s="5">
        <v>1</v>
      </c>
      <c r="E27" s="17" t="s">
        <v>211</v>
      </c>
      <c r="F27" s="5" t="s">
        <v>45</v>
      </c>
      <c r="G27" s="5"/>
      <c r="H27" s="5" t="s">
        <v>198</v>
      </c>
      <c r="I27" s="5" t="s">
        <v>119</v>
      </c>
    </row>
    <row r="28" spans="1:9">
      <c r="A28" s="5">
        <v>26</v>
      </c>
      <c r="B28" s="6"/>
      <c r="C28" s="7" t="s">
        <v>131</v>
      </c>
      <c r="D28" s="5">
        <v>2</v>
      </c>
      <c r="E28" s="17" t="s">
        <v>211</v>
      </c>
      <c r="F28" s="5" t="s">
        <v>45</v>
      </c>
      <c r="G28" s="5"/>
      <c r="H28" s="5" t="s">
        <v>198</v>
      </c>
      <c r="I28" s="5" t="s">
        <v>119</v>
      </c>
    </row>
    <row r="29" spans="1:9">
      <c r="A29" s="5">
        <v>27</v>
      </c>
      <c r="B29" s="6">
        <v>46171</v>
      </c>
      <c r="C29" s="7" t="s">
        <v>160</v>
      </c>
      <c r="D29" s="5">
        <v>10</v>
      </c>
      <c r="E29" s="17" t="s">
        <v>213</v>
      </c>
      <c r="F29" s="5" t="s">
        <v>201</v>
      </c>
      <c r="G29" s="5"/>
      <c r="H29" s="5" t="s">
        <v>100</v>
      </c>
      <c r="I29" s="5" t="s">
        <v>119</v>
      </c>
    </row>
    <row r="30" spans="1:9">
      <c r="A30" s="5">
        <v>28</v>
      </c>
      <c r="B30" s="6"/>
      <c r="C30" s="7" t="s">
        <v>29</v>
      </c>
      <c r="D30" s="5">
        <v>6</v>
      </c>
      <c r="E30" s="17" t="s">
        <v>213</v>
      </c>
      <c r="F30" s="5" t="s">
        <v>201</v>
      </c>
      <c r="G30" s="5"/>
      <c r="H30" s="5" t="s">
        <v>100</v>
      </c>
      <c r="I30" s="5" t="s">
        <v>119</v>
      </c>
    </row>
    <row r="31" spans="1:9">
      <c r="A31" s="5">
        <v>29</v>
      </c>
      <c r="B31" s="6"/>
      <c r="C31" s="7" t="s">
        <v>90</v>
      </c>
      <c r="D31" s="5">
        <v>6</v>
      </c>
      <c r="E31" s="17" t="s">
        <v>213</v>
      </c>
      <c r="F31" s="5" t="s">
        <v>201</v>
      </c>
      <c r="G31" s="5"/>
      <c r="H31" s="5" t="s">
        <v>100</v>
      </c>
      <c r="I31" s="5" t="s">
        <v>119</v>
      </c>
    </row>
    <row r="32" spans="1:9">
      <c r="A32" s="5">
        <v>30</v>
      </c>
      <c r="B32" s="6"/>
      <c r="C32" s="7" t="s">
        <v>214</v>
      </c>
      <c r="D32" s="5">
        <v>4</v>
      </c>
      <c r="E32" s="17" t="s">
        <v>213</v>
      </c>
      <c r="F32" s="5" t="s">
        <v>201</v>
      </c>
      <c r="G32" s="5"/>
      <c r="H32" s="5" t="s">
        <v>100</v>
      </c>
      <c r="I32" s="5" t="s">
        <v>119</v>
      </c>
    </row>
    <row r="33" spans="1:9">
      <c r="A33" s="5">
        <v>31</v>
      </c>
      <c r="B33" s="6"/>
      <c r="C33" s="7" t="s">
        <v>208</v>
      </c>
      <c r="D33" s="5">
        <v>2</v>
      </c>
      <c r="E33" s="17" t="s">
        <v>213</v>
      </c>
      <c r="F33" s="5" t="s">
        <v>201</v>
      </c>
      <c r="G33" s="5"/>
      <c r="H33" s="5" t="s">
        <v>100</v>
      </c>
      <c r="I33" s="5" t="s">
        <v>119</v>
      </c>
    </row>
    <row r="34" spans="1:9">
      <c r="A34" s="5">
        <v>32</v>
      </c>
      <c r="B34" s="6"/>
      <c r="C34" s="7" t="s">
        <v>177</v>
      </c>
      <c r="D34" s="5">
        <v>2</v>
      </c>
      <c r="E34" s="17" t="s">
        <v>213</v>
      </c>
      <c r="F34" s="5" t="s">
        <v>201</v>
      </c>
      <c r="G34" s="5"/>
      <c r="H34" s="5" t="s">
        <v>100</v>
      </c>
      <c r="I34" s="5" t="s">
        <v>119</v>
      </c>
    </row>
    <row r="35" spans="1:9">
      <c r="A35" s="5">
        <v>33</v>
      </c>
      <c r="B35" s="6"/>
      <c r="C35" s="7" t="s">
        <v>209</v>
      </c>
      <c r="D35" s="5">
        <v>4</v>
      </c>
      <c r="E35" s="17" t="s">
        <v>213</v>
      </c>
      <c r="F35" s="5" t="s">
        <v>201</v>
      </c>
      <c r="G35" s="5"/>
      <c r="H35" s="5" t="s">
        <v>100</v>
      </c>
      <c r="I35" s="5" t="s">
        <v>119</v>
      </c>
    </row>
    <row r="36" spans="1:9">
      <c r="A36" s="5">
        <v>34</v>
      </c>
      <c r="B36" s="6"/>
      <c r="C36" s="7" t="s">
        <v>215</v>
      </c>
      <c r="D36" s="5">
        <v>4</v>
      </c>
      <c r="E36" s="17" t="s">
        <v>213</v>
      </c>
      <c r="F36" s="5" t="s">
        <v>201</v>
      </c>
      <c r="G36" s="5"/>
      <c r="H36" s="5" t="s">
        <v>100</v>
      </c>
      <c r="I36" s="5" t="s">
        <v>119</v>
      </c>
    </row>
    <row r="37" spans="1:9">
      <c r="A37" s="5">
        <v>35</v>
      </c>
      <c r="B37" s="6"/>
      <c r="C37" s="7" t="s">
        <v>216</v>
      </c>
      <c r="D37" s="5">
        <v>4</v>
      </c>
      <c r="E37" s="17" t="s">
        <v>213</v>
      </c>
      <c r="F37" s="5" t="s">
        <v>201</v>
      </c>
      <c r="G37" s="5"/>
      <c r="H37" s="5" t="s">
        <v>100</v>
      </c>
      <c r="I37" s="5" t="s">
        <v>119</v>
      </c>
    </row>
    <row r="38" spans="1:9">
      <c r="A38" s="5">
        <v>36</v>
      </c>
      <c r="B38" s="6"/>
      <c r="C38" s="7" t="s">
        <v>217</v>
      </c>
      <c r="D38" s="5">
        <v>2</v>
      </c>
      <c r="E38" s="17" t="s">
        <v>213</v>
      </c>
      <c r="F38" s="5" t="s">
        <v>201</v>
      </c>
      <c r="G38" s="5"/>
      <c r="H38" s="5" t="s">
        <v>100</v>
      </c>
      <c r="I38" s="5" t="s">
        <v>119</v>
      </c>
    </row>
    <row r="39" spans="1:9">
      <c r="A39" s="5">
        <v>37</v>
      </c>
      <c r="B39" s="6"/>
      <c r="C39" s="7" t="s">
        <v>218</v>
      </c>
      <c r="D39" s="5">
        <v>2</v>
      </c>
      <c r="E39" s="17" t="s">
        <v>213</v>
      </c>
      <c r="F39" s="5" t="s">
        <v>201</v>
      </c>
      <c r="G39" s="5"/>
      <c r="H39" s="5" t="s">
        <v>100</v>
      </c>
      <c r="I39" s="5" t="s">
        <v>119</v>
      </c>
    </row>
    <row r="40" spans="1:9">
      <c r="A40" s="5">
        <v>38</v>
      </c>
      <c r="B40" s="6"/>
      <c r="C40" s="7" t="s">
        <v>219</v>
      </c>
      <c r="D40" s="5">
        <v>2</v>
      </c>
      <c r="E40" s="17" t="s">
        <v>213</v>
      </c>
      <c r="F40" s="5" t="s">
        <v>201</v>
      </c>
      <c r="G40" s="5"/>
      <c r="H40" s="5" t="s">
        <v>100</v>
      </c>
      <c r="I40" s="5" t="s">
        <v>119</v>
      </c>
    </row>
    <row r="41" spans="1:9">
      <c r="D41" s="22">
        <f>SUM(D3:D40)</f>
        <v>175</v>
      </c>
    </row>
  </sheetData>
  <autoFilter ref="A2:I28" xr:uid="{DE980808-D7B7-400E-8A37-980E1F6C1041}"/>
  <mergeCells count="2">
    <mergeCell ref="A1:I1"/>
    <mergeCell ref="K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A9BC-1539-441B-9FE7-E2A643088073}">
  <dimension ref="A1:M51"/>
  <sheetViews>
    <sheetView tabSelected="1" zoomScale="80" zoomScaleNormal="80" workbookViewId="0">
      <pane ySplit="2" topLeftCell="A24" activePane="bottomLeft" state="frozen"/>
      <selection pane="bottomLeft" activeCell="K25" sqref="K25:M38"/>
    </sheetView>
  </sheetViews>
  <sheetFormatPr defaultRowHeight="21" customHeight="1"/>
  <cols>
    <col min="1" max="1" width="6.88671875" style="2" customWidth="1"/>
    <col min="2" max="2" width="13.88671875" style="3" customWidth="1"/>
    <col min="3" max="3" width="31" style="1" bestFit="1" customWidth="1"/>
    <col min="4" max="4" width="9.88671875" style="2" bestFit="1" customWidth="1"/>
    <col min="5" max="5" width="32.6640625" style="2" customWidth="1"/>
    <col min="6" max="6" width="19.33203125" style="2" customWidth="1"/>
    <col min="7" max="7" width="13.6640625" style="2" bestFit="1" customWidth="1"/>
    <col min="8" max="8" width="15.21875" style="2" bestFit="1" customWidth="1"/>
    <col min="9" max="9" width="16.77734375" style="2" bestFit="1" customWidth="1"/>
    <col min="10" max="10" width="8.88671875" style="1"/>
    <col min="11" max="11" width="31.88671875" style="1" bestFit="1" customWidth="1"/>
    <col min="12" max="12" width="12.21875" style="2" bestFit="1" customWidth="1"/>
    <col min="13" max="13" width="23.77734375" style="2" bestFit="1" customWidth="1"/>
    <col min="14" max="16384" width="8.88671875" style="1"/>
  </cols>
  <sheetData>
    <row r="1" spans="1:11" ht="21" customHeight="1">
      <c r="A1" s="27" t="s">
        <v>220</v>
      </c>
      <c r="B1" s="27"/>
      <c r="C1" s="27"/>
      <c r="D1" s="27"/>
      <c r="E1" s="27"/>
      <c r="F1" s="27"/>
      <c r="G1" s="27"/>
      <c r="H1" s="27"/>
      <c r="I1" s="27"/>
    </row>
    <row r="2" spans="1:11" s="2" customFormat="1" ht="21" customHeight="1">
      <c r="A2" s="9" t="s">
        <v>1</v>
      </c>
      <c r="B2" s="10" t="s">
        <v>10</v>
      </c>
      <c r="C2" s="9" t="s">
        <v>2</v>
      </c>
      <c r="D2" s="9" t="s">
        <v>19</v>
      </c>
      <c r="E2" s="9" t="s">
        <v>13</v>
      </c>
      <c r="F2" s="9" t="s">
        <v>41</v>
      </c>
      <c r="G2" s="9" t="s">
        <v>30</v>
      </c>
      <c r="H2" s="9" t="s">
        <v>3</v>
      </c>
      <c r="I2" s="9" t="s">
        <v>11</v>
      </c>
      <c r="K2" s="1"/>
    </row>
    <row r="3" spans="1:11" ht="21" customHeight="1">
      <c r="A3" s="5">
        <v>1</v>
      </c>
      <c r="B3" s="6">
        <v>46174</v>
      </c>
      <c r="C3" s="7" t="s">
        <v>222</v>
      </c>
      <c r="D3" s="5">
        <v>3</v>
      </c>
      <c r="E3" s="17" t="s">
        <v>223</v>
      </c>
      <c r="F3" s="5" t="s">
        <v>175</v>
      </c>
      <c r="G3" s="5"/>
      <c r="H3" s="5" t="s">
        <v>100</v>
      </c>
      <c r="I3" s="5" t="s">
        <v>101</v>
      </c>
    </row>
    <row r="4" spans="1:11" ht="21" customHeight="1">
      <c r="A4" s="5">
        <v>2</v>
      </c>
      <c r="B4" s="6">
        <v>46178</v>
      </c>
      <c r="C4" s="7" t="s">
        <v>200</v>
      </c>
      <c r="D4" s="5">
        <v>8</v>
      </c>
      <c r="E4" s="24" t="s">
        <v>227</v>
      </c>
      <c r="F4" s="17" t="s">
        <v>201</v>
      </c>
      <c r="G4" s="5" t="s">
        <v>224</v>
      </c>
      <c r="H4" s="5" t="s">
        <v>17</v>
      </c>
      <c r="I4" s="5" t="s">
        <v>18</v>
      </c>
    </row>
    <row r="5" spans="1:11" ht="21" customHeight="1">
      <c r="A5" s="5">
        <v>3</v>
      </c>
      <c r="B5" s="6"/>
      <c r="C5" s="7" t="s">
        <v>225</v>
      </c>
      <c r="D5" s="5">
        <v>8</v>
      </c>
      <c r="E5" s="24" t="s">
        <v>227</v>
      </c>
      <c r="F5" s="17" t="s">
        <v>201</v>
      </c>
      <c r="G5" s="5" t="s">
        <v>224</v>
      </c>
      <c r="H5" s="5" t="s">
        <v>17</v>
      </c>
      <c r="I5" s="5" t="s">
        <v>18</v>
      </c>
    </row>
    <row r="6" spans="1:11" ht="21" customHeight="1">
      <c r="A6" s="5">
        <v>4</v>
      </c>
      <c r="B6" s="6"/>
      <c r="C6" s="7" t="s">
        <v>160</v>
      </c>
      <c r="D6" s="5">
        <v>20</v>
      </c>
      <c r="E6" s="24" t="s">
        <v>227</v>
      </c>
      <c r="F6" s="17" t="s">
        <v>201</v>
      </c>
      <c r="G6" s="5" t="s">
        <v>224</v>
      </c>
      <c r="H6" s="5" t="s">
        <v>17</v>
      </c>
      <c r="I6" s="5" t="s">
        <v>18</v>
      </c>
    </row>
    <row r="7" spans="1:11" ht="21" customHeight="1">
      <c r="A7" s="5">
        <v>5</v>
      </c>
      <c r="B7" s="6"/>
      <c r="C7" s="7" t="s">
        <v>181</v>
      </c>
      <c r="D7" s="5">
        <v>4</v>
      </c>
      <c r="E7" s="24" t="s">
        <v>227</v>
      </c>
      <c r="F7" s="17" t="s">
        <v>201</v>
      </c>
      <c r="G7" s="5" t="s">
        <v>224</v>
      </c>
      <c r="H7" s="5" t="s">
        <v>17</v>
      </c>
      <c r="I7" s="5" t="s">
        <v>18</v>
      </c>
    </row>
    <row r="8" spans="1:11" ht="21" customHeight="1">
      <c r="A8" s="5">
        <v>6</v>
      </c>
      <c r="B8" s="6"/>
      <c r="C8" s="7" t="s">
        <v>187</v>
      </c>
      <c r="D8" s="5">
        <v>3</v>
      </c>
      <c r="E8" s="24" t="s">
        <v>227</v>
      </c>
      <c r="F8" s="5" t="s">
        <v>201</v>
      </c>
      <c r="G8" s="5" t="s">
        <v>224</v>
      </c>
      <c r="H8" s="5" t="s">
        <v>17</v>
      </c>
      <c r="I8" s="5" t="s">
        <v>18</v>
      </c>
    </row>
    <row r="9" spans="1:11" ht="21" customHeight="1">
      <c r="A9" s="5">
        <v>7</v>
      </c>
      <c r="B9" s="6"/>
      <c r="C9" s="7" t="s">
        <v>83</v>
      </c>
      <c r="D9" s="5">
        <v>4</v>
      </c>
      <c r="E9" s="24" t="s">
        <v>227</v>
      </c>
      <c r="F9" s="5" t="s">
        <v>201</v>
      </c>
      <c r="G9" s="5" t="s">
        <v>224</v>
      </c>
      <c r="H9" s="5" t="s">
        <v>17</v>
      </c>
      <c r="I9" s="5" t="s">
        <v>18</v>
      </c>
    </row>
    <row r="10" spans="1:11" ht="21" customHeight="1">
      <c r="A10" s="5">
        <v>8</v>
      </c>
      <c r="B10" s="6"/>
      <c r="C10" s="7" t="s">
        <v>208</v>
      </c>
      <c r="D10" s="5">
        <v>3</v>
      </c>
      <c r="E10" s="25" t="s">
        <v>227</v>
      </c>
      <c r="F10" s="5" t="s">
        <v>201</v>
      </c>
      <c r="G10" s="5" t="s">
        <v>224</v>
      </c>
      <c r="H10" s="5" t="s">
        <v>17</v>
      </c>
      <c r="I10" s="5" t="s">
        <v>18</v>
      </c>
    </row>
    <row r="11" spans="1:11" ht="21" customHeight="1">
      <c r="A11" s="5">
        <v>9</v>
      </c>
      <c r="B11" s="6"/>
      <c r="C11" s="7" t="s">
        <v>34</v>
      </c>
      <c r="D11" s="5">
        <v>3</v>
      </c>
      <c r="E11" s="24" t="s">
        <v>227</v>
      </c>
      <c r="F11" s="5" t="s">
        <v>201</v>
      </c>
      <c r="G11" s="5" t="s">
        <v>224</v>
      </c>
      <c r="H11" s="5" t="s">
        <v>17</v>
      </c>
      <c r="I11" s="5" t="s">
        <v>18</v>
      </c>
    </row>
    <row r="12" spans="1:11" ht="21" customHeight="1">
      <c r="A12" s="5">
        <v>10</v>
      </c>
      <c r="B12" s="6"/>
      <c r="C12" s="7" t="s">
        <v>177</v>
      </c>
      <c r="D12" s="5">
        <v>3</v>
      </c>
      <c r="E12" s="25" t="s">
        <v>227</v>
      </c>
      <c r="F12" s="5" t="s">
        <v>201</v>
      </c>
      <c r="G12" s="5" t="s">
        <v>224</v>
      </c>
      <c r="H12" s="5" t="s">
        <v>17</v>
      </c>
      <c r="I12" s="5" t="s">
        <v>18</v>
      </c>
    </row>
    <row r="13" spans="1:11" ht="21" customHeight="1">
      <c r="A13" s="5">
        <v>11</v>
      </c>
      <c r="B13" s="6"/>
      <c r="C13" s="7" t="s">
        <v>85</v>
      </c>
      <c r="D13" s="5">
        <v>3</v>
      </c>
      <c r="E13" s="24" t="s">
        <v>227</v>
      </c>
      <c r="F13" s="5" t="s">
        <v>201</v>
      </c>
      <c r="G13" s="5" t="s">
        <v>224</v>
      </c>
      <c r="H13" s="5" t="s">
        <v>17</v>
      </c>
      <c r="I13" s="5" t="s">
        <v>18</v>
      </c>
    </row>
    <row r="14" spans="1:11" ht="21" customHeight="1">
      <c r="A14" s="5">
        <v>12</v>
      </c>
      <c r="B14" s="6"/>
      <c r="C14" s="7" t="s">
        <v>105</v>
      </c>
      <c r="D14" s="5">
        <v>6</v>
      </c>
      <c r="E14" s="24" t="s">
        <v>227</v>
      </c>
      <c r="F14" s="5" t="s">
        <v>201</v>
      </c>
      <c r="G14" s="5" t="s">
        <v>224</v>
      </c>
      <c r="H14" s="5" t="s">
        <v>17</v>
      </c>
      <c r="I14" s="5" t="s">
        <v>18</v>
      </c>
    </row>
    <row r="15" spans="1:11" ht="21" customHeight="1">
      <c r="A15" s="5">
        <v>13</v>
      </c>
      <c r="B15" s="6"/>
      <c r="C15" s="7" t="s">
        <v>5</v>
      </c>
      <c r="D15" s="5">
        <v>2</v>
      </c>
      <c r="E15" s="24" t="s">
        <v>227</v>
      </c>
      <c r="F15" s="5" t="s">
        <v>201</v>
      </c>
      <c r="G15" s="5" t="s">
        <v>224</v>
      </c>
      <c r="H15" s="5" t="s">
        <v>17</v>
      </c>
      <c r="I15" s="5" t="s">
        <v>18</v>
      </c>
    </row>
    <row r="16" spans="1:11" ht="21" customHeight="1">
      <c r="A16" s="5">
        <v>14</v>
      </c>
      <c r="B16" s="6"/>
      <c r="C16" s="7" t="s">
        <v>226</v>
      </c>
      <c r="D16" s="5">
        <v>2</v>
      </c>
      <c r="E16" s="24" t="s">
        <v>227</v>
      </c>
      <c r="F16" s="5" t="s">
        <v>201</v>
      </c>
      <c r="G16" s="5" t="s">
        <v>224</v>
      </c>
      <c r="H16" s="5" t="s">
        <v>17</v>
      </c>
      <c r="I16" s="5" t="s">
        <v>18</v>
      </c>
    </row>
    <row r="17" spans="1:13" ht="21" customHeight="1">
      <c r="A17" s="5">
        <v>15</v>
      </c>
      <c r="B17" s="6">
        <v>46180</v>
      </c>
      <c r="C17" s="7" t="s">
        <v>160</v>
      </c>
      <c r="D17" s="5">
        <v>4</v>
      </c>
      <c r="E17" s="17" t="s">
        <v>230</v>
      </c>
      <c r="F17" s="5" t="s">
        <v>201</v>
      </c>
      <c r="G17" s="5"/>
      <c r="H17" s="5" t="s">
        <v>229</v>
      </c>
      <c r="I17" s="5" t="s">
        <v>119</v>
      </c>
    </row>
    <row r="18" spans="1:13" ht="21" customHeight="1">
      <c r="A18" s="5">
        <v>16</v>
      </c>
      <c r="B18" s="6"/>
      <c r="C18" s="7" t="s">
        <v>83</v>
      </c>
      <c r="D18" s="5">
        <v>3</v>
      </c>
      <c r="E18" s="17" t="s">
        <v>230</v>
      </c>
      <c r="F18" s="5" t="s">
        <v>201</v>
      </c>
      <c r="G18" s="5"/>
      <c r="H18" s="5" t="s">
        <v>229</v>
      </c>
      <c r="I18" s="5" t="s">
        <v>119</v>
      </c>
    </row>
    <row r="19" spans="1:13" ht="21" customHeight="1">
      <c r="A19" s="5">
        <v>17</v>
      </c>
      <c r="B19" s="6"/>
      <c r="C19" s="7" t="s">
        <v>226</v>
      </c>
      <c r="D19" s="5">
        <v>1</v>
      </c>
      <c r="E19" s="17" t="s">
        <v>230</v>
      </c>
      <c r="F19" s="5" t="s">
        <v>201</v>
      </c>
      <c r="G19" s="5"/>
      <c r="H19" s="5" t="s">
        <v>229</v>
      </c>
      <c r="I19" s="5" t="s">
        <v>119</v>
      </c>
    </row>
    <row r="20" spans="1:13" ht="21" customHeight="1">
      <c r="A20" s="5">
        <v>18</v>
      </c>
      <c r="B20" s="6"/>
      <c r="C20" s="7" t="s">
        <v>228</v>
      </c>
      <c r="D20" s="5">
        <v>1</v>
      </c>
      <c r="E20" s="17" t="s">
        <v>230</v>
      </c>
      <c r="F20" s="5" t="s">
        <v>201</v>
      </c>
      <c r="G20" s="5"/>
      <c r="H20" s="5" t="s">
        <v>229</v>
      </c>
      <c r="I20" s="5" t="s">
        <v>119</v>
      </c>
    </row>
    <row r="21" spans="1:13" ht="21" customHeight="1">
      <c r="A21" s="5">
        <v>19</v>
      </c>
      <c r="B21" s="6"/>
      <c r="C21" s="7" t="s">
        <v>200</v>
      </c>
      <c r="D21" s="5">
        <v>1</v>
      </c>
      <c r="E21" s="17" t="s">
        <v>230</v>
      </c>
      <c r="F21" s="5" t="s">
        <v>201</v>
      </c>
      <c r="G21" s="5"/>
      <c r="H21" s="5" t="s">
        <v>229</v>
      </c>
      <c r="I21" s="5" t="s">
        <v>119</v>
      </c>
    </row>
    <row r="22" spans="1:13" ht="21" customHeight="1">
      <c r="A22" s="5">
        <v>20</v>
      </c>
      <c r="B22" s="6">
        <v>46181</v>
      </c>
      <c r="C22" s="7" t="s">
        <v>200</v>
      </c>
      <c r="D22" s="5">
        <v>4</v>
      </c>
      <c r="E22" s="17" t="s">
        <v>235</v>
      </c>
      <c r="F22" s="5" t="s">
        <v>201</v>
      </c>
      <c r="G22" s="5">
        <v>10254</v>
      </c>
      <c r="H22" s="5" t="s">
        <v>17</v>
      </c>
      <c r="I22" s="5" t="s">
        <v>18</v>
      </c>
    </row>
    <row r="23" spans="1:13" ht="21" customHeight="1">
      <c r="A23" s="5">
        <v>21</v>
      </c>
      <c r="B23" s="6"/>
      <c r="C23" s="7" t="s">
        <v>219</v>
      </c>
      <c r="D23" s="5">
        <v>2</v>
      </c>
      <c r="E23" s="17" t="s">
        <v>235</v>
      </c>
      <c r="F23" s="5" t="s">
        <v>201</v>
      </c>
      <c r="G23" s="5">
        <v>10254</v>
      </c>
      <c r="H23" s="5" t="s">
        <v>17</v>
      </c>
      <c r="I23" s="5" t="s">
        <v>18</v>
      </c>
    </row>
    <row r="24" spans="1:13" ht="21" customHeight="1">
      <c r="A24" s="5">
        <v>22</v>
      </c>
      <c r="B24" s="6"/>
      <c r="C24" s="7" t="s">
        <v>146</v>
      </c>
      <c r="D24" s="5">
        <v>4</v>
      </c>
      <c r="E24" s="17" t="s">
        <v>235</v>
      </c>
      <c r="F24" s="5" t="s">
        <v>201</v>
      </c>
      <c r="G24" s="5">
        <v>10254</v>
      </c>
      <c r="H24" s="5" t="s">
        <v>17</v>
      </c>
      <c r="I24" s="5" t="s">
        <v>18</v>
      </c>
    </row>
    <row r="25" spans="1:13" ht="21" customHeight="1">
      <c r="A25" s="5">
        <v>23</v>
      </c>
      <c r="B25" s="6"/>
      <c r="C25" s="7" t="s">
        <v>231</v>
      </c>
      <c r="D25" s="5">
        <v>2</v>
      </c>
      <c r="E25" s="17" t="s">
        <v>235</v>
      </c>
      <c r="F25" s="5" t="s">
        <v>201</v>
      </c>
      <c r="G25" s="5">
        <v>10254</v>
      </c>
      <c r="H25" s="5" t="s">
        <v>17</v>
      </c>
      <c r="I25" s="5" t="s">
        <v>18</v>
      </c>
      <c r="K25" s="27" t="s">
        <v>221</v>
      </c>
      <c r="L25" s="27"/>
      <c r="M25" s="27"/>
    </row>
    <row r="26" spans="1:13" ht="21" customHeight="1">
      <c r="A26" s="5">
        <v>24</v>
      </c>
      <c r="B26" s="6"/>
      <c r="C26" s="7" t="s">
        <v>232</v>
      </c>
      <c r="D26" s="5">
        <v>2</v>
      </c>
      <c r="E26" s="17" t="s">
        <v>235</v>
      </c>
      <c r="F26" s="5" t="s">
        <v>201</v>
      </c>
      <c r="G26" s="5">
        <v>10254</v>
      </c>
      <c r="H26" s="5" t="s">
        <v>17</v>
      </c>
      <c r="I26" s="5" t="s">
        <v>18</v>
      </c>
      <c r="K26" s="14" t="s">
        <v>13</v>
      </c>
      <c r="L26" s="14" t="s">
        <v>109</v>
      </c>
      <c r="M26" s="14" t="s">
        <v>3</v>
      </c>
    </row>
    <row r="27" spans="1:13" ht="21" customHeight="1">
      <c r="A27" s="5">
        <v>25</v>
      </c>
      <c r="B27" s="6"/>
      <c r="C27" s="7" t="s">
        <v>214</v>
      </c>
      <c r="D27" s="5">
        <v>4</v>
      </c>
      <c r="E27" s="17" t="s">
        <v>235</v>
      </c>
      <c r="F27" s="5" t="s">
        <v>201</v>
      </c>
      <c r="G27" s="5">
        <v>10254</v>
      </c>
      <c r="H27" s="5" t="s">
        <v>17</v>
      </c>
      <c r="I27" s="5" t="s">
        <v>18</v>
      </c>
      <c r="K27" s="13" t="s">
        <v>223</v>
      </c>
      <c r="L27" s="5">
        <v>3</v>
      </c>
      <c r="M27" s="5" t="s">
        <v>101</v>
      </c>
    </row>
    <row r="28" spans="1:13" ht="21" customHeight="1">
      <c r="A28" s="5">
        <v>26</v>
      </c>
      <c r="B28" s="6"/>
      <c r="C28" s="7" t="s">
        <v>233</v>
      </c>
      <c r="D28" s="5">
        <v>2</v>
      </c>
      <c r="E28" s="17" t="s">
        <v>235</v>
      </c>
      <c r="F28" s="5" t="s">
        <v>201</v>
      </c>
      <c r="G28" s="5">
        <v>10254</v>
      </c>
      <c r="H28" s="5" t="s">
        <v>17</v>
      </c>
      <c r="I28" s="5" t="s">
        <v>18</v>
      </c>
      <c r="K28" s="26" t="s">
        <v>227</v>
      </c>
      <c r="L28" s="5">
        <v>69</v>
      </c>
      <c r="M28" s="5" t="s">
        <v>18</v>
      </c>
    </row>
    <row r="29" spans="1:13" ht="21" customHeight="1">
      <c r="A29" s="5">
        <v>27</v>
      </c>
      <c r="B29" s="6"/>
      <c r="C29" s="7" t="s">
        <v>90</v>
      </c>
      <c r="D29" s="5">
        <v>4</v>
      </c>
      <c r="E29" s="17" t="s">
        <v>235</v>
      </c>
      <c r="F29" s="5" t="s">
        <v>201</v>
      </c>
      <c r="G29" s="5">
        <v>10254</v>
      </c>
      <c r="H29" s="5" t="s">
        <v>17</v>
      </c>
      <c r="I29" s="5" t="s">
        <v>18</v>
      </c>
      <c r="K29" s="8" t="s">
        <v>230</v>
      </c>
      <c r="L29" s="5">
        <v>10</v>
      </c>
      <c r="M29" s="5" t="s">
        <v>119</v>
      </c>
    </row>
    <row r="30" spans="1:13" ht="21" customHeight="1">
      <c r="A30" s="5">
        <v>28</v>
      </c>
      <c r="B30" s="6"/>
      <c r="C30" s="7" t="s">
        <v>234</v>
      </c>
      <c r="D30" s="5">
        <v>4</v>
      </c>
      <c r="E30" s="17" t="s">
        <v>235</v>
      </c>
      <c r="F30" s="5" t="s">
        <v>201</v>
      </c>
      <c r="G30" s="5">
        <v>10254</v>
      </c>
      <c r="H30" s="5" t="s">
        <v>17</v>
      </c>
      <c r="I30" s="5" t="s">
        <v>18</v>
      </c>
      <c r="K30" s="8" t="s">
        <v>235</v>
      </c>
      <c r="L30" s="5">
        <v>43</v>
      </c>
      <c r="M30" s="5" t="s">
        <v>18</v>
      </c>
    </row>
    <row r="31" spans="1:13" ht="21" customHeight="1">
      <c r="A31" s="5">
        <v>29</v>
      </c>
      <c r="B31" s="6"/>
      <c r="C31" s="7" t="s">
        <v>160</v>
      </c>
      <c r="D31" s="5">
        <v>5</v>
      </c>
      <c r="E31" s="17" t="s">
        <v>235</v>
      </c>
      <c r="F31" s="5" t="s">
        <v>201</v>
      </c>
      <c r="G31" s="5">
        <v>10254</v>
      </c>
      <c r="H31" s="5" t="s">
        <v>17</v>
      </c>
      <c r="I31" s="5" t="s">
        <v>18</v>
      </c>
      <c r="K31" s="8" t="s">
        <v>257</v>
      </c>
      <c r="L31" s="5">
        <f>22+53</f>
        <v>75</v>
      </c>
      <c r="M31" s="5" t="s">
        <v>249</v>
      </c>
    </row>
    <row r="32" spans="1:13" ht="21" customHeight="1">
      <c r="A32" s="5">
        <v>30</v>
      </c>
      <c r="B32" s="6"/>
      <c r="C32" s="7" t="s">
        <v>177</v>
      </c>
      <c r="D32" s="5">
        <v>2</v>
      </c>
      <c r="E32" s="17" t="s">
        <v>235</v>
      </c>
      <c r="F32" s="5" t="s">
        <v>201</v>
      </c>
      <c r="G32" s="5">
        <v>10254</v>
      </c>
      <c r="H32" s="5" t="s">
        <v>17</v>
      </c>
      <c r="I32" s="5" t="s">
        <v>18</v>
      </c>
      <c r="K32" s="8" t="s">
        <v>242</v>
      </c>
      <c r="L32" s="5">
        <v>6</v>
      </c>
      <c r="M32" s="5" t="s">
        <v>243</v>
      </c>
    </row>
    <row r="33" spans="1:13" ht="21" customHeight="1">
      <c r="A33" s="5">
        <v>31</v>
      </c>
      <c r="B33" s="6"/>
      <c r="C33" s="7" t="s">
        <v>208</v>
      </c>
      <c r="D33" s="5">
        <v>2</v>
      </c>
      <c r="E33" s="17" t="s">
        <v>235</v>
      </c>
      <c r="F33" s="5" t="s">
        <v>201</v>
      </c>
      <c r="G33" s="5">
        <v>10254</v>
      </c>
      <c r="H33" s="5" t="s">
        <v>17</v>
      </c>
      <c r="I33" s="5" t="s">
        <v>18</v>
      </c>
      <c r="K33" s="8" t="s">
        <v>239</v>
      </c>
      <c r="L33" s="5">
        <v>7</v>
      </c>
      <c r="M33" s="5" t="s">
        <v>250</v>
      </c>
    </row>
    <row r="34" spans="1:13" ht="21" customHeight="1">
      <c r="A34" s="5">
        <v>32</v>
      </c>
      <c r="B34" s="6"/>
      <c r="C34" s="7" t="s">
        <v>83</v>
      </c>
      <c r="D34" s="5">
        <v>2</v>
      </c>
      <c r="E34" s="17" t="s">
        <v>235</v>
      </c>
      <c r="F34" s="5" t="s">
        <v>201</v>
      </c>
      <c r="G34" s="5">
        <v>10254</v>
      </c>
      <c r="H34" s="5" t="s">
        <v>17</v>
      </c>
      <c r="I34" s="5" t="s">
        <v>18</v>
      </c>
      <c r="K34" s="8" t="s">
        <v>244</v>
      </c>
      <c r="L34" s="5">
        <v>2</v>
      </c>
      <c r="M34" s="5" t="s">
        <v>119</v>
      </c>
    </row>
    <row r="35" spans="1:13" ht="21" customHeight="1">
      <c r="A35" s="5">
        <v>33</v>
      </c>
      <c r="B35" s="6"/>
      <c r="C35" s="7" t="s">
        <v>29</v>
      </c>
      <c r="D35" s="5">
        <v>4</v>
      </c>
      <c r="E35" s="17" t="s">
        <v>235</v>
      </c>
      <c r="F35" s="5" t="s">
        <v>201</v>
      </c>
      <c r="G35" s="5">
        <v>10254</v>
      </c>
      <c r="H35" s="5" t="s">
        <v>17</v>
      </c>
      <c r="I35" s="5" t="s">
        <v>18</v>
      </c>
      <c r="K35" s="8" t="s">
        <v>246</v>
      </c>
      <c r="L35" s="5">
        <v>1</v>
      </c>
      <c r="M35" s="5" t="s">
        <v>12</v>
      </c>
    </row>
    <row r="36" spans="1:13" ht="21" customHeight="1">
      <c r="A36" s="5">
        <v>34</v>
      </c>
      <c r="B36" s="6">
        <v>46185</v>
      </c>
      <c r="C36" s="7" t="s">
        <v>121</v>
      </c>
      <c r="D36" s="5">
        <v>27</v>
      </c>
      <c r="E36" s="17" t="s">
        <v>236</v>
      </c>
      <c r="F36" s="5" t="s">
        <v>142</v>
      </c>
      <c r="G36" s="5"/>
      <c r="H36" s="5"/>
      <c r="I36" s="5" t="s">
        <v>237</v>
      </c>
      <c r="K36" s="8" t="s">
        <v>247</v>
      </c>
      <c r="L36" s="5">
        <v>2</v>
      </c>
      <c r="M36" s="5" t="s">
        <v>12</v>
      </c>
    </row>
    <row r="37" spans="1:13" ht="21" customHeight="1">
      <c r="A37" s="5">
        <v>35</v>
      </c>
      <c r="B37" s="6"/>
      <c r="C37" s="7" t="s">
        <v>121</v>
      </c>
      <c r="D37" s="5">
        <v>13</v>
      </c>
      <c r="E37" s="17" t="s">
        <v>236</v>
      </c>
      <c r="F37" s="5" t="s">
        <v>142</v>
      </c>
      <c r="G37" s="5"/>
      <c r="H37" s="5"/>
      <c r="I37" s="5" t="s">
        <v>237</v>
      </c>
      <c r="K37" s="33" t="s">
        <v>255</v>
      </c>
      <c r="L37" s="22">
        <v>2</v>
      </c>
      <c r="M37" s="5" t="s">
        <v>12</v>
      </c>
    </row>
    <row r="38" spans="1:13" ht="21" customHeight="1">
      <c r="A38" s="5">
        <v>36</v>
      </c>
      <c r="B38" s="6">
        <v>46187</v>
      </c>
      <c r="C38" s="7" t="s">
        <v>241</v>
      </c>
      <c r="D38" s="5">
        <v>6</v>
      </c>
      <c r="E38" s="17" t="s">
        <v>242</v>
      </c>
      <c r="F38" s="5" t="s">
        <v>43</v>
      </c>
      <c r="G38" s="5"/>
      <c r="H38" s="5" t="s">
        <v>243</v>
      </c>
      <c r="I38" s="5" t="s">
        <v>243</v>
      </c>
      <c r="K38" s="22" t="s">
        <v>212</v>
      </c>
      <c r="L38" s="22">
        <f>SUM(L27:L37)</f>
        <v>220</v>
      </c>
    </row>
    <row r="39" spans="1:13" ht="21" customHeight="1">
      <c r="A39" s="5">
        <v>37</v>
      </c>
      <c r="B39" s="6">
        <v>46188</v>
      </c>
      <c r="C39" s="7" t="s">
        <v>238</v>
      </c>
      <c r="D39" s="5">
        <v>7</v>
      </c>
      <c r="E39" s="17" t="s">
        <v>239</v>
      </c>
      <c r="F39" s="5" t="s">
        <v>240</v>
      </c>
      <c r="G39" s="5"/>
      <c r="H39" s="5"/>
      <c r="I39" s="5" t="s">
        <v>250</v>
      </c>
    </row>
    <row r="40" spans="1:13" ht="21" customHeight="1">
      <c r="A40" s="5">
        <v>38</v>
      </c>
      <c r="B40" s="6">
        <v>46189</v>
      </c>
      <c r="C40" s="7" t="s">
        <v>245</v>
      </c>
      <c r="D40" s="5">
        <v>2</v>
      </c>
      <c r="E40" s="17" t="s">
        <v>244</v>
      </c>
      <c r="F40" s="5" t="s">
        <v>201</v>
      </c>
      <c r="G40" s="5"/>
      <c r="H40" s="5" t="s">
        <v>100</v>
      </c>
      <c r="I40" s="5" t="s">
        <v>119</v>
      </c>
    </row>
    <row r="41" spans="1:13" ht="21" customHeight="1">
      <c r="A41" s="5">
        <v>39</v>
      </c>
      <c r="B41" s="6">
        <v>46189</v>
      </c>
      <c r="C41" s="7" t="s">
        <v>231</v>
      </c>
      <c r="D41" s="5">
        <v>1</v>
      </c>
      <c r="E41" s="17" t="s">
        <v>246</v>
      </c>
      <c r="F41" s="5" t="s">
        <v>42</v>
      </c>
      <c r="G41" s="5"/>
      <c r="H41" s="5"/>
      <c r="I41" s="5" t="s">
        <v>12</v>
      </c>
    </row>
    <row r="42" spans="1:13" ht="21" customHeight="1">
      <c r="A42" s="5">
        <v>40</v>
      </c>
      <c r="B42" s="6">
        <v>46190</v>
      </c>
      <c r="C42" s="7" t="s">
        <v>121</v>
      </c>
      <c r="D42" s="5">
        <v>13</v>
      </c>
      <c r="E42" s="17" t="s">
        <v>236</v>
      </c>
      <c r="F42" s="5" t="s">
        <v>158</v>
      </c>
      <c r="G42" s="5">
        <v>50092</v>
      </c>
      <c r="H42" s="5"/>
      <c r="I42" s="5" t="s">
        <v>12</v>
      </c>
    </row>
    <row r="43" spans="1:13" ht="21" customHeight="1">
      <c r="A43" s="5">
        <v>41</v>
      </c>
      <c r="B43" s="6">
        <v>46191</v>
      </c>
      <c r="C43" s="7" t="s">
        <v>210</v>
      </c>
      <c r="D43" s="5">
        <v>2</v>
      </c>
      <c r="E43" s="17" t="s">
        <v>247</v>
      </c>
      <c r="F43" s="5" t="s">
        <v>248</v>
      </c>
      <c r="G43" s="5"/>
      <c r="H43" s="5"/>
      <c r="I43" s="5" t="s">
        <v>12</v>
      </c>
    </row>
    <row r="44" spans="1:13" ht="21" customHeight="1">
      <c r="A44" s="5">
        <v>42</v>
      </c>
      <c r="B44" s="6">
        <v>46193</v>
      </c>
      <c r="C44" s="7" t="s">
        <v>121</v>
      </c>
      <c r="D44" s="20">
        <v>7</v>
      </c>
      <c r="E44" s="5" t="s">
        <v>251</v>
      </c>
      <c r="F44" s="5" t="s">
        <v>252</v>
      </c>
      <c r="G44" s="5">
        <v>100335</v>
      </c>
      <c r="H44" s="5"/>
      <c r="I44" s="5" t="s">
        <v>253</v>
      </c>
    </row>
    <row r="45" spans="1:13" ht="21" customHeight="1">
      <c r="A45" s="5">
        <v>43</v>
      </c>
      <c r="B45" s="6"/>
      <c r="C45" s="7" t="s">
        <v>254</v>
      </c>
      <c r="D45" s="20">
        <v>3</v>
      </c>
      <c r="E45" s="5" t="s">
        <v>251</v>
      </c>
      <c r="F45" s="5"/>
      <c r="G45" s="5"/>
      <c r="H45" s="5"/>
      <c r="I45" s="5" t="s">
        <v>253</v>
      </c>
    </row>
    <row r="46" spans="1:13" ht="21" customHeight="1">
      <c r="A46" s="5">
        <v>44</v>
      </c>
      <c r="B46" s="6">
        <v>46200</v>
      </c>
      <c r="C46" s="7" t="s">
        <v>160</v>
      </c>
      <c r="D46" s="20">
        <v>2</v>
      </c>
      <c r="E46" s="5" t="s">
        <v>255</v>
      </c>
      <c r="F46" s="5" t="s">
        <v>256</v>
      </c>
      <c r="G46" s="5"/>
      <c r="H46" s="5"/>
      <c r="I46" s="5" t="s">
        <v>12</v>
      </c>
    </row>
    <row r="47" spans="1:13" ht="21" customHeight="1">
      <c r="A47" s="5">
        <v>45</v>
      </c>
      <c r="B47" s="6">
        <v>46202</v>
      </c>
      <c r="C47" s="7" t="s">
        <v>121</v>
      </c>
      <c r="D47" s="20">
        <v>12</v>
      </c>
      <c r="E47" s="5" t="s">
        <v>251</v>
      </c>
      <c r="F47" s="5" t="s">
        <v>252</v>
      </c>
      <c r="G47" s="5">
        <v>100335</v>
      </c>
      <c r="H47" s="5"/>
      <c r="I47" s="5" t="s">
        <v>253</v>
      </c>
    </row>
    <row r="48" spans="1:13" ht="21" customHeight="1">
      <c r="A48" s="29"/>
      <c r="B48" s="30"/>
      <c r="C48" s="31"/>
      <c r="D48" s="32">
        <f>SUM(D3:D47)</f>
        <v>220</v>
      </c>
      <c r="E48" s="29"/>
      <c r="F48" s="29"/>
      <c r="G48" s="29"/>
      <c r="H48" s="29"/>
      <c r="I48" s="29"/>
    </row>
    <row r="49" spans="1:9" ht="21" customHeight="1">
      <c r="A49" s="29"/>
      <c r="B49" s="30"/>
      <c r="C49" s="31"/>
      <c r="D49" s="29"/>
      <c r="E49" s="29"/>
      <c r="F49" s="29"/>
      <c r="G49" s="29"/>
      <c r="H49" s="29"/>
      <c r="I49" s="29"/>
    </row>
    <row r="50" spans="1:9" ht="21" customHeight="1">
      <c r="A50" s="29"/>
      <c r="B50" s="30"/>
      <c r="C50" s="31"/>
      <c r="D50" s="29"/>
      <c r="E50" s="29"/>
      <c r="F50" s="29"/>
      <c r="G50" s="29"/>
      <c r="H50" s="29"/>
      <c r="I50" s="29"/>
    </row>
    <row r="51" spans="1:9" ht="21" customHeight="1">
      <c r="A51" s="29"/>
      <c r="B51" s="30"/>
      <c r="C51" s="31"/>
      <c r="D51" s="29"/>
      <c r="E51" s="29"/>
      <c r="F51" s="29"/>
      <c r="G51" s="29"/>
      <c r="H51" s="29"/>
      <c r="I51" s="29"/>
    </row>
  </sheetData>
  <autoFilter ref="A2:I44" xr:uid="{DE980808-D7B7-400E-8A37-980E1F6C1041}"/>
  <mergeCells count="2">
    <mergeCell ref="A1:I1"/>
    <mergeCell ref="K25:M2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08-28.02.69</vt:lpstr>
      <vt:lpstr>01-31.03.69</vt:lpstr>
      <vt:lpstr>Sheet1</vt:lpstr>
      <vt:lpstr>1-30.04.69</vt:lpstr>
      <vt:lpstr>01-31.05.69</vt:lpstr>
      <vt:lpstr>01-30.06.69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Waerhouse04 Wanwanach</dc:creator>
  <cp:lastModifiedBy>Waerhouse04 Wanwanach</cp:lastModifiedBy>
  <cp:lastPrinted>2026-02-18T09:50:03Z</cp:lastPrinted>
  <dcterms:created xsi:type="dcterms:W3CDTF">2026-02-16T08:12:56Z</dcterms:created>
  <dcterms:modified xsi:type="dcterms:W3CDTF">2026-07-02T14:48:47Z</dcterms:modified>
</cp:coreProperties>
</file>