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11.พ.ย\"/>
    </mc:Choice>
  </mc:AlternateContent>
  <xr:revisionPtr revIDLastSave="0" documentId="13_ncr:1_{A7293E06-0FD6-414A-B015-0E8487F048E1}" xr6:coauthVersionLast="47" xr6:coauthVersionMax="47" xr10:uidLastSave="{00000000-0000-0000-0000-000000000000}"/>
  <bookViews>
    <workbookView xWindow="-108" yWindow="-108" windowWidth="23256" windowHeight="12456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31." sheetId="77" r:id="rId5"/>
    <sheet name="1" sheetId="78" r:id="rId6"/>
    <sheet name="2" sheetId="79" r:id="rId7"/>
    <sheet name="3" sheetId="80" r:id="rId8"/>
    <sheet name="31" sheetId="64" state="hidden" r:id="rId9"/>
  </sheets>
  <definedNames>
    <definedName name="_xlnm._FilterDatabase" localSheetId="5" hidden="1">'1'!$A$1:$S$251</definedName>
    <definedName name="_xlnm._FilterDatabase" localSheetId="6" hidden="1">'2'!$A$1:$S$251</definedName>
    <definedName name="_xlnm._FilterDatabase" localSheetId="7" hidden="1">'3'!$A$1:$S$251</definedName>
    <definedName name="_xlnm._FilterDatabase" localSheetId="8" hidden="1">'31'!$A$1:$Y$216</definedName>
    <definedName name="_xlnm._FilterDatabase" localSheetId="4" hidden="1">'31.'!$A$1:$S$251</definedName>
    <definedName name="_xlnm._FilterDatabase" localSheetId="0" hidden="1">'DATA POS'!$A$1:$J$536</definedName>
    <definedName name="_xlnm._FilterDatabase" localSheetId="3" hidden="1">ยกมา!$A$1:$S$251</definedName>
    <definedName name="_xlnm._FilterDatabase" localSheetId="2" hidden="1">สรุป!$A$4:$AC$249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50" i="8" l="1"/>
  <c r="M240" i="8"/>
  <c r="O90" i="77"/>
  <c r="AA12" i="8"/>
  <c r="M91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5" i="8"/>
  <c r="N244" i="77"/>
  <c r="G6" i="74" l="1"/>
  <c r="J6" i="74"/>
  <c r="G7" i="74"/>
  <c r="J7" i="74" s="1"/>
  <c r="G8" i="74"/>
  <c r="J8" i="74" s="1"/>
  <c r="G9" i="74"/>
  <c r="J9" i="74" s="1"/>
  <c r="G10" i="74"/>
  <c r="J10" i="74"/>
  <c r="G11" i="74"/>
  <c r="J11" i="74" s="1"/>
  <c r="G12" i="74"/>
  <c r="J12" i="74"/>
  <c r="G13" i="74"/>
  <c r="J13" i="74" s="1"/>
  <c r="G14" i="74"/>
  <c r="J14" i="74"/>
  <c r="G15" i="74"/>
  <c r="J15" i="74"/>
  <c r="G16" i="74"/>
  <c r="J16" i="74" s="1"/>
  <c r="G17" i="74"/>
  <c r="J17" i="74" s="1"/>
  <c r="G18" i="74"/>
  <c r="J18" i="74"/>
  <c r="G19" i="74"/>
  <c r="J19" i="74" s="1"/>
  <c r="G20" i="74"/>
  <c r="J20" i="74" s="1"/>
  <c r="G21" i="74"/>
  <c r="J21" i="74" s="1"/>
  <c r="G22" i="74"/>
  <c r="J22" i="74"/>
  <c r="G23" i="74"/>
  <c r="J23" i="74"/>
  <c r="G24" i="74"/>
  <c r="J24" i="74"/>
  <c r="G25" i="74"/>
  <c r="J25" i="74" s="1"/>
  <c r="G26" i="74"/>
  <c r="J26" i="74"/>
  <c r="G27" i="74"/>
  <c r="J27" i="74" s="1"/>
  <c r="G28" i="74"/>
  <c r="J28" i="74" s="1"/>
  <c r="G29" i="74"/>
  <c r="J29" i="74" s="1"/>
  <c r="G30" i="74"/>
  <c r="J30" i="74"/>
  <c r="G31" i="74"/>
  <c r="J31" i="74" s="1"/>
  <c r="G32" i="74"/>
  <c r="J32" i="74"/>
  <c r="G33" i="74"/>
  <c r="J33" i="74" s="1"/>
  <c r="G34" i="74"/>
  <c r="J34" i="74"/>
  <c r="G35" i="74"/>
  <c r="J35" i="74"/>
  <c r="G36" i="74"/>
  <c r="J36" i="74" s="1"/>
  <c r="G37" i="74"/>
  <c r="J37" i="74" s="1"/>
  <c r="G38" i="74"/>
  <c r="J38" i="74"/>
  <c r="G39" i="74"/>
  <c r="J39" i="74" s="1"/>
  <c r="G40" i="74"/>
  <c r="J40" i="74" s="1"/>
  <c r="G41" i="74"/>
  <c r="J41" i="74" s="1"/>
  <c r="G42" i="74"/>
  <c r="J42" i="74" s="1"/>
  <c r="G43" i="74"/>
  <c r="J43" i="74"/>
  <c r="G44" i="74"/>
  <c r="J44" i="74"/>
  <c r="G45" i="74"/>
  <c r="J45" i="74" s="1"/>
  <c r="G46" i="74"/>
  <c r="J46" i="74"/>
  <c r="G47" i="74"/>
  <c r="J47" i="74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/>
  <c r="G56" i="74"/>
  <c r="J56" i="74"/>
  <c r="G57" i="74"/>
  <c r="J57" i="74" s="1"/>
  <c r="G58" i="74"/>
  <c r="J58" i="74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/>
  <c r="G65" i="74"/>
  <c r="J65" i="74" s="1"/>
  <c r="G66" i="74"/>
  <c r="J66" i="74"/>
  <c r="G67" i="74"/>
  <c r="J67" i="74"/>
  <c r="G68" i="74"/>
  <c r="J68" i="74" s="1"/>
  <c r="G69" i="74"/>
  <c r="J69" i="74" s="1"/>
  <c r="G70" i="74"/>
  <c r="J70" i="74"/>
  <c r="G71" i="74"/>
  <c r="J71" i="74" s="1"/>
  <c r="G72" i="74"/>
  <c r="J72" i="74" s="1"/>
  <c r="G73" i="74"/>
  <c r="J73" i="74" s="1"/>
  <c r="G74" i="74"/>
  <c r="J74" i="74" s="1"/>
  <c r="G75" i="74"/>
  <c r="J75" i="74" s="1"/>
  <c r="G76" i="74"/>
  <c r="J76" i="74"/>
  <c r="G77" i="74"/>
  <c r="J77" i="74" s="1"/>
  <c r="G78" i="74"/>
  <c r="J78" i="74"/>
  <c r="G79" i="74"/>
  <c r="J79" i="74"/>
  <c r="G80" i="74"/>
  <c r="J80" i="74" s="1"/>
  <c r="G81" i="74"/>
  <c r="J81" i="74" s="1"/>
  <c r="G82" i="74"/>
  <c r="J82" i="74" s="1"/>
  <c r="G83" i="74"/>
  <c r="J83" i="74" s="1"/>
  <c r="G84" i="74"/>
  <c r="J84" i="74" s="1"/>
  <c r="G85" i="74"/>
  <c r="J85" i="74" s="1"/>
  <c r="G86" i="74"/>
  <c r="J86" i="74" s="1"/>
  <c r="G87" i="74"/>
  <c r="J87" i="74"/>
  <c r="G88" i="74"/>
  <c r="J88" i="74"/>
  <c r="G89" i="74"/>
  <c r="J89" i="74" s="1"/>
  <c r="G90" i="74"/>
  <c r="J90" i="74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/>
  <c r="G97" i="74"/>
  <c r="J97" i="74" s="1"/>
  <c r="G98" i="74"/>
  <c r="J98" i="74" s="1"/>
  <c r="G99" i="74"/>
  <c r="J99" i="74"/>
  <c r="G100" i="74"/>
  <c r="J100" i="74" s="1"/>
  <c r="G101" i="74"/>
  <c r="J101" i="74" s="1"/>
  <c r="G102" i="74"/>
  <c r="J102" i="74"/>
  <c r="G103" i="74"/>
  <c r="J103" i="74" s="1"/>
  <c r="G104" i="74"/>
  <c r="J104" i="74" s="1"/>
  <c r="G105" i="74"/>
  <c r="J105" i="74" s="1"/>
  <c r="G106" i="74"/>
  <c r="J106" i="74" s="1"/>
  <c r="G107" i="74"/>
  <c r="J107" i="74"/>
  <c r="G108" i="74"/>
  <c r="J108" i="74"/>
  <c r="G109" i="74"/>
  <c r="J109" i="74" s="1"/>
  <c r="G110" i="74"/>
  <c r="J110" i="74"/>
  <c r="G111" i="74"/>
  <c r="J111" i="74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/>
  <c r="G120" i="74"/>
  <c r="J120" i="74"/>
  <c r="G121" i="74"/>
  <c r="J121" i="74" s="1"/>
  <c r="G122" i="74"/>
  <c r="J122" i="74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/>
  <c r="G129" i="74"/>
  <c r="J129" i="74"/>
  <c r="G130" i="74"/>
  <c r="J130" i="74" s="1"/>
  <c r="G131" i="74"/>
  <c r="J131" i="74" s="1"/>
  <c r="G132" i="74"/>
  <c r="J132" i="74"/>
  <c r="G133" i="74"/>
  <c r="J133" i="74"/>
  <c r="G134" i="74"/>
  <c r="J134" i="74" s="1"/>
  <c r="G135" i="74"/>
  <c r="J135" i="74" s="1"/>
  <c r="G136" i="74"/>
  <c r="J136" i="74"/>
  <c r="G137" i="74"/>
  <c r="J137" i="74"/>
  <c r="G138" i="74"/>
  <c r="J138" i="74" s="1"/>
  <c r="G139" i="74"/>
  <c r="J139" i="74" s="1"/>
  <c r="G140" i="74"/>
  <c r="J140" i="74"/>
  <c r="G141" i="74"/>
  <c r="J141" i="74"/>
  <c r="G142" i="74"/>
  <c r="J142" i="74" s="1"/>
  <c r="G143" i="74"/>
  <c r="J143" i="74" s="1"/>
  <c r="G144" i="74"/>
  <c r="J144" i="74"/>
  <c r="G145" i="74"/>
  <c r="J145" i="74"/>
  <c r="G146" i="74"/>
  <c r="J146" i="74" s="1"/>
  <c r="G147" i="74"/>
  <c r="J147" i="74" s="1"/>
  <c r="G148" i="74"/>
  <c r="J148" i="74"/>
  <c r="G149" i="74"/>
  <c r="J149" i="74"/>
  <c r="G150" i="74"/>
  <c r="J150" i="74" s="1"/>
  <c r="G151" i="74"/>
  <c r="J151" i="74" s="1"/>
  <c r="G152" i="74"/>
  <c r="J152" i="74"/>
  <c r="G153" i="74"/>
  <c r="J153" i="74"/>
  <c r="G154" i="74"/>
  <c r="J154" i="74" s="1"/>
  <c r="G155" i="74"/>
  <c r="J155" i="74" s="1"/>
  <c r="G156" i="74"/>
  <c r="J156" i="74"/>
  <c r="G157" i="74"/>
  <c r="J157" i="74"/>
  <c r="G158" i="74"/>
  <c r="J158" i="74" s="1"/>
  <c r="G159" i="74"/>
  <c r="J159" i="74" s="1"/>
  <c r="G160" i="74"/>
  <c r="J160" i="74"/>
  <c r="G161" i="74"/>
  <c r="J161" i="74"/>
  <c r="G162" i="74"/>
  <c r="J162" i="74" s="1"/>
  <c r="G163" i="74"/>
  <c r="J163" i="74" s="1"/>
  <c r="G164" i="74"/>
  <c r="J164" i="74"/>
  <c r="G165" i="74"/>
  <c r="J165" i="74"/>
  <c r="G166" i="74"/>
  <c r="J166" i="74" s="1"/>
  <c r="G167" i="74"/>
  <c r="J167" i="74" s="1"/>
  <c r="G168" i="74"/>
  <c r="J168" i="74"/>
  <c r="G169" i="74"/>
  <c r="J169" i="74"/>
  <c r="G170" i="74"/>
  <c r="J170" i="74" s="1"/>
  <c r="G171" i="74"/>
  <c r="J171" i="74" s="1"/>
  <c r="G172" i="74"/>
  <c r="J172" i="74"/>
  <c r="G173" i="74"/>
  <c r="J173" i="74"/>
  <c r="G174" i="74"/>
  <c r="J174" i="74" s="1"/>
  <c r="G175" i="74"/>
  <c r="J175" i="74" s="1"/>
  <c r="G176" i="74"/>
  <c r="J176" i="74"/>
  <c r="G177" i="74"/>
  <c r="J177" i="74"/>
  <c r="G178" i="74"/>
  <c r="J178" i="74" s="1"/>
  <c r="G179" i="74"/>
  <c r="J179" i="74" s="1"/>
  <c r="G180" i="74"/>
  <c r="J180" i="74"/>
  <c r="G181" i="74"/>
  <c r="J181" i="74"/>
  <c r="G182" i="74"/>
  <c r="J182" i="74" s="1"/>
  <c r="G183" i="74"/>
  <c r="J183" i="74" s="1"/>
  <c r="G184" i="74"/>
  <c r="J184" i="74"/>
  <c r="G185" i="74"/>
  <c r="J185" i="74"/>
  <c r="G186" i="74"/>
  <c r="J186" i="74" s="1"/>
  <c r="G187" i="74"/>
  <c r="J187" i="74" s="1"/>
  <c r="G188" i="74"/>
  <c r="J188" i="74"/>
  <c r="G189" i="74"/>
  <c r="J189" i="74"/>
  <c r="G190" i="74"/>
  <c r="J190" i="74" s="1"/>
  <c r="G191" i="74"/>
  <c r="J191" i="74" s="1"/>
  <c r="G192" i="74"/>
  <c r="J192" i="74"/>
  <c r="G193" i="74"/>
  <c r="J193" i="74"/>
  <c r="G194" i="74"/>
  <c r="J194" i="74" s="1"/>
  <c r="G195" i="74"/>
  <c r="J195" i="74" s="1"/>
  <c r="G196" i="74"/>
  <c r="J196" i="74"/>
  <c r="G197" i="74"/>
  <c r="J197" i="74"/>
  <c r="G198" i="74"/>
  <c r="J198" i="74" s="1"/>
  <c r="G199" i="74"/>
  <c r="J199" i="74" s="1"/>
  <c r="G200" i="74"/>
  <c r="J200" i="74"/>
  <c r="G201" i="74"/>
  <c r="J201" i="74"/>
  <c r="G202" i="74"/>
  <c r="J202" i="74" s="1"/>
  <c r="G203" i="74"/>
  <c r="J203" i="74" s="1"/>
  <c r="G204" i="74"/>
  <c r="J204" i="74"/>
  <c r="G205" i="74"/>
  <c r="J205" i="74"/>
  <c r="G206" i="74"/>
  <c r="J206" i="74" s="1"/>
  <c r="G207" i="74"/>
  <c r="J207" i="74" s="1"/>
  <c r="G208" i="74"/>
  <c r="J208" i="74"/>
  <c r="G209" i="74"/>
  <c r="J209" i="74"/>
  <c r="G210" i="74"/>
  <c r="J210" i="74" s="1"/>
  <c r="G211" i="74"/>
  <c r="J211" i="74" s="1"/>
  <c r="G212" i="74"/>
  <c r="J212" i="74"/>
  <c r="G213" i="74"/>
  <c r="J213" i="74"/>
  <c r="G214" i="74"/>
  <c r="J214" i="74" s="1"/>
  <c r="G215" i="74"/>
  <c r="J215" i="74" s="1"/>
  <c r="G216" i="74"/>
  <c r="J216" i="74"/>
  <c r="G217" i="74"/>
  <c r="J217" i="74"/>
  <c r="G218" i="74"/>
  <c r="J218" i="74" s="1"/>
  <c r="G219" i="74"/>
  <c r="J219" i="74" s="1"/>
  <c r="G220" i="74"/>
  <c r="J220" i="74"/>
  <c r="G221" i="74"/>
  <c r="J221" i="74"/>
  <c r="G222" i="74"/>
  <c r="J222" i="74" s="1"/>
  <c r="G223" i="74"/>
  <c r="J223" i="74" s="1"/>
  <c r="G224" i="74"/>
  <c r="J224" i="74"/>
  <c r="G225" i="74"/>
  <c r="J225" i="74"/>
  <c r="G226" i="74"/>
  <c r="J226" i="74" s="1"/>
  <c r="G227" i="74"/>
  <c r="J227" i="74" s="1"/>
  <c r="G228" i="74"/>
  <c r="J228" i="74"/>
  <c r="G229" i="74"/>
  <c r="J229" i="74"/>
  <c r="G230" i="74"/>
  <c r="J230" i="74" s="1"/>
  <c r="G231" i="74"/>
  <c r="J231" i="74" s="1"/>
  <c r="G232" i="74"/>
  <c r="J232" i="74"/>
  <c r="G233" i="74"/>
  <c r="J233" i="74"/>
  <c r="G234" i="74"/>
  <c r="J234" i="74" s="1"/>
  <c r="G235" i="74"/>
  <c r="J235" i="74" s="1"/>
  <c r="G236" i="74"/>
  <c r="J236" i="74"/>
  <c r="G237" i="74"/>
  <c r="J237" i="74"/>
  <c r="G239" i="74"/>
  <c r="J239" i="74" s="1"/>
  <c r="G237" i="77"/>
  <c r="J237" i="77" s="1"/>
  <c r="N244" i="80"/>
  <c r="W8" i="8" s="1"/>
  <c r="N244" i="79"/>
  <c r="N244" i="78"/>
  <c r="P178" i="8"/>
  <c r="P179" i="8"/>
  <c r="P229" i="8"/>
  <c r="P230" i="8"/>
  <c r="P231" i="8"/>
  <c r="P232" i="8"/>
  <c r="P233" i="8"/>
  <c r="P235" i="8"/>
  <c r="P236" i="8"/>
  <c r="P5" i="8"/>
  <c r="AA9" i="8"/>
  <c r="N247" i="80"/>
  <c r="M241" i="80"/>
  <c r="N247" i="79"/>
  <c r="M241" i="79"/>
  <c r="N247" i="78"/>
  <c r="M241" i="78"/>
  <c r="N247" i="77"/>
  <c r="M241" i="77"/>
  <c r="M239" i="80"/>
  <c r="P239" i="80" s="1"/>
  <c r="M238" i="80"/>
  <c r="P238" i="80" s="1"/>
  <c r="M237" i="80"/>
  <c r="P237" i="80" s="1"/>
  <c r="M236" i="80"/>
  <c r="P236" i="80" s="1"/>
  <c r="M235" i="80"/>
  <c r="P235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7" i="80"/>
  <c r="P207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9" i="80"/>
  <c r="P189" i="80" s="1"/>
  <c r="M188" i="80"/>
  <c r="P188" i="80" s="1"/>
  <c r="M187" i="80"/>
  <c r="P187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4" i="80"/>
  <c r="P174" i="80" s="1"/>
  <c r="M173" i="80"/>
  <c r="P173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P147" i="80"/>
  <c r="M147" i="80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P125" i="80"/>
  <c r="M125" i="80"/>
  <c r="M124" i="80"/>
  <c r="P124" i="80" s="1"/>
  <c r="M123" i="80"/>
  <c r="P123" i="80" s="1"/>
  <c r="P122" i="80"/>
  <c r="M122" i="80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5" i="80"/>
  <c r="P105" i="80" s="1"/>
  <c r="M104" i="80"/>
  <c r="P104" i="80" s="1"/>
  <c r="P103" i="80"/>
  <c r="M103" i="80"/>
  <c r="M102" i="80"/>
  <c r="P102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P95" i="80"/>
  <c r="M95" i="80"/>
  <c r="M94" i="80"/>
  <c r="P94" i="80" s="1"/>
  <c r="M93" i="80"/>
  <c r="P93" i="80" s="1"/>
  <c r="M92" i="80"/>
  <c r="P92" i="80" s="1"/>
  <c r="M90" i="80"/>
  <c r="P90" i="80" s="1"/>
  <c r="M89" i="80"/>
  <c r="P89" i="80" s="1"/>
  <c r="P88" i="80"/>
  <c r="M88" i="80"/>
  <c r="M87" i="80"/>
  <c r="P87" i="80" s="1"/>
  <c r="M86" i="80"/>
  <c r="P86" i="80" s="1"/>
  <c r="M85" i="80"/>
  <c r="P85" i="80" s="1"/>
  <c r="M84" i="80"/>
  <c r="P84" i="80" s="1"/>
  <c r="M83" i="80"/>
  <c r="P83" i="80" s="1"/>
  <c r="M82" i="80"/>
  <c r="P82" i="80" s="1"/>
  <c r="M81" i="80"/>
  <c r="P81" i="80" s="1"/>
  <c r="P80" i="80"/>
  <c r="M80" i="80"/>
  <c r="M79" i="80"/>
  <c r="P79" i="80" s="1"/>
  <c r="M78" i="80"/>
  <c r="P78" i="80" s="1"/>
  <c r="M77" i="80"/>
  <c r="P77" i="80" s="1"/>
  <c r="P76" i="80"/>
  <c r="M76" i="80"/>
  <c r="M75" i="80"/>
  <c r="P75" i="80" s="1"/>
  <c r="M74" i="80"/>
  <c r="P74" i="80" s="1"/>
  <c r="M73" i="80"/>
  <c r="P73" i="80" s="1"/>
  <c r="P72" i="80"/>
  <c r="M72" i="80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P42" i="80"/>
  <c r="M42" i="80"/>
  <c r="M41" i="80"/>
  <c r="P41" i="80" s="1"/>
  <c r="M40" i="80"/>
  <c r="P40" i="80" s="1"/>
  <c r="P39" i="80"/>
  <c r="M39" i="80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P28" i="80"/>
  <c r="M28" i="80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239" i="79"/>
  <c r="P239" i="79" s="1"/>
  <c r="M238" i="79"/>
  <c r="P238" i="79" s="1"/>
  <c r="M237" i="79"/>
  <c r="P237" i="79" s="1"/>
  <c r="M236" i="79"/>
  <c r="P236" i="79" s="1"/>
  <c r="M235" i="79"/>
  <c r="P235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P226" i="79"/>
  <c r="M226" i="79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P214" i="79"/>
  <c r="M214" i="79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7" i="79"/>
  <c r="P207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P196" i="79"/>
  <c r="M196" i="79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9" i="79"/>
  <c r="P189" i="79" s="1"/>
  <c r="M188" i="79"/>
  <c r="P188" i="79" s="1"/>
  <c r="M187" i="79"/>
  <c r="P187" i="79" s="1"/>
  <c r="M186" i="79"/>
  <c r="P186" i="79" s="1"/>
  <c r="M185" i="79"/>
  <c r="P185" i="79" s="1"/>
  <c r="P184" i="79"/>
  <c r="M184" i="79"/>
  <c r="M183" i="79"/>
  <c r="P183" i="79" s="1"/>
  <c r="M182" i="79"/>
  <c r="P182" i="79" s="1"/>
  <c r="M181" i="79"/>
  <c r="P181" i="79" s="1"/>
  <c r="M180" i="79"/>
  <c r="P180" i="79" s="1"/>
  <c r="M179" i="79"/>
  <c r="P179" i="79" s="1"/>
  <c r="P178" i="79"/>
  <c r="M178" i="79"/>
  <c r="M177" i="79"/>
  <c r="P177" i="79" s="1"/>
  <c r="M176" i="79"/>
  <c r="P176" i="79" s="1"/>
  <c r="M175" i="79"/>
  <c r="P175" i="79" s="1"/>
  <c r="M174" i="79"/>
  <c r="P174" i="79" s="1"/>
  <c r="M173" i="79"/>
  <c r="P173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P114" i="79"/>
  <c r="M114" i="79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5" i="79"/>
  <c r="P105" i="79" s="1"/>
  <c r="M104" i="79"/>
  <c r="P104" i="79" s="1"/>
  <c r="M103" i="79"/>
  <c r="P103" i="79" s="1"/>
  <c r="M102" i="79"/>
  <c r="P102" i="79" s="1"/>
  <c r="M101" i="79"/>
  <c r="P101" i="79" s="1"/>
  <c r="M100" i="79"/>
  <c r="P100" i="79" s="1"/>
  <c r="M99" i="79"/>
  <c r="P99" i="79" s="1"/>
  <c r="P98" i="79"/>
  <c r="M98" i="79"/>
  <c r="M97" i="79"/>
  <c r="P97" i="79" s="1"/>
  <c r="M96" i="79"/>
  <c r="P96" i="79" s="1"/>
  <c r="M95" i="79"/>
  <c r="P95" i="79" s="1"/>
  <c r="M94" i="79"/>
  <c r="P94" i="79" s="1"/>
  <c r="M93" i="79"/>
  <c r="P93" i="79" s="1"/>
  <c r="M92" i="79"/>
  <c r="P92" i="79" s="1"/>
  <c r="M90" i="79"/>
  <c r="P90" i="79" s="1"/>
  <c r="M89" i="79"/>
  <c r="P89" i="79" s="1"/>
  <c r="M88" i="79"/>
  <c r="P88" i="79" s="1"/>
  <c r="M87" i="79"/>
  <c r="P87" i="79" s="1"/>
  <c r="M86" i="79"/>
  <c r="P86" i="79" s="1"/>
  <c r="M85" i="79"/>
  <c r="P85" i="79" s="1"/>
  <c r="M84" i="79"/>
  <c r="P84" i="79" s="1"/>
  <c r="M83" i="79"/>
  <c r="P83" i="79" s="1"/>
  <c r="M82" i="79"/>
  <c r="P82" i="79" s="1"/>
  <c r="M81" i="79"/>
  <c r="P81" i="79" s="1"/>
  <c r="M80" i="79"/>
  <c r="P80" i="79" s="1"/>
  <c r="M79" i="79"/>
  <c r="P79" i="79" s="1"/>
  <c r="M78" i="79"/>
  <c r="P78" i="79" s="1"/>
  <c r="M77" i="79"/>
  <c r="P77" i="79" s="1"/>
  <c r="M76" i="79"/>
  <c r="P76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P55" i="79"/>
  <c r="M55" i="79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P35" i="79"/>
  <c r="M35" i="79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P18" i="79"/>
  <c r="M18" i="79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M6" i="79"/>
  <c r="M5" i="79"/>
  <c r="M239" i="78"/>
  <c r="P239" i="78" s="1"/>
  <c r="M238" i="78"/>
  <c r="P238" i="78" s="1"/>
  <c r="M237" i="78"/>
  <c r="P237" i="78" s="1"/>
  <c r="P236" i="78"/>
  <c r="M236" i="78"/>
  <c r="M235" i="78"/>
  <c r="P235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7" i="78"/>
  <c r="P207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P201" i="78"/>
  <c r="M201" i="78"/>
  <c r="P200" i="78"/>
  <c r="M200" i="78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9" i="78"/>
  <c r="P189" i="78" s="1"/>
  <c r="M188" i="78"/>
  <c r="P188" i="78" s="1"/>
  <c r="M187" i="78"/>
  <c r="P187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4" i="78"/>
  <c r="P174" i="78" s="1"/>
  <c r="M173" i="78"/>
  <c r="P173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P135" i="78"/>
  <c r="M135" i="78"/>
  <c r="M134" i="78"/>
  <c r="P134" i="78" s="1"/>
  <c r="M133" i="78"/>
  <c r="P133" i="78" s="1"/>
  <c r="P132" i="78"/>
  <c r="M132" i="78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P121" i="78"/>
  <c r="M121" i="78"/>
  <c r="M120" i="78"/>
  <c r="P120" i="78" s="1"/>
  <c r="M119" i="78"/>
  <c r="P119" i="78" s="1"/>
  <c r="P118" i="78"/>
  <c r="M118" i="78"/>
  <c r="M117" i="78"/>
  <c r="P117" i="78" s="1"/>
  <c r="M116" i="78"/>
  <c r="P116" i="78" s="1"/>
  <c r="P115" i="78"/>
  <c r="M115" i="78"/>
  <c r="M114" i="78"/>
  <c r="P114" i="78" s="1"/>
  <c r="M113" i="78"/>
  <c r="P113" i="78" s="1"/>
  <c r="P112" i="78"/>
  <c r="M112" i="78"/>
  <c r="M111" i="78"/>
  <c r="P111" i="78" s="1"/>
  <c r="M110" i="78"/>
  <c r="P110" i="78" s="1"/>
  <c r="P109" i="78"/>
  <c r="M109" i="78"/>
  <c r="M108" i="78"/>
  <c r="P108" i="78" s="1"/>
  <c r="M107" i="78"/>
  <c r="P107" i="78" s="1"/>
  <c r="M106" i="78"/>
  <c r="P106" i="78" s="1"/>
  <c r="M105" i="78"/>
  <c r="P105" i="78" s="1"/>
  <c r="M104" i="78"/>
  <c r="P104" i="78" s="1"/>
  <c r="M103" i="78"/>
  <c r="P103" i="78" s="1"/>
  <c r="M102" i="78"/>
  <c r="P102" i="78" s="1"/>
  <c r="M101" i="78"/>
  <c r="P101" i="78" s="1"/>
  <c r="M100" i="78"/>
  <c r="P100" i="78" s="1"/>
  <c r="P99" i="78"/>
  <c r="M99" i="78"/>
  <c r="M98" i="78"/>
  <c r="P98" i="78" s="1"/>
  <c r="M97" i="78"/>
  <c r="P97" i="78" s="1"/>
  <c r="M96" i="78"/>
  <c r="P96" i="78" s="1"/>
  <c r="M95" i="78"/>
  <c r="P95" i="78" s="1"/>
  <c r="M94" i="78"/>
  <c r="P94" i="78" s="1"/>
  <c r="M93" i="78"/>
  <c r="P93" i="78" s="1"/>
  <c r="M92" i="78"/>
  <c r="P92" i="78" s="1"/>
  <c r="M90" i="78"/>
  <c r="P90" i="78" s="1"/>
  <c r="M89" i="78"/>
  <c r="P89" i="78" s="1"/>
  <c r="M88" i="78"/>
  <c r="P88" i="78" s="1"/>
  <c r="M87" i="78"/>
  <c r="P87" i="78" s="1"/>
  <c r="M86" i="78"/>
  <c r="P86" i="78" s="1"/>
  <c r="M85" i="78"/>
  <c r="P85" i="78" s="1"/>
  <c r="M84" i="78"/>
  <c r="P84" i="78" s="1"/>
  <c r="M83" i="78"/>
  <c r="P83" i="78" s="1"/>
  <c r="M82" i="78"/>
  <c r="P82" i="78" s="1"/>
  <c r="M81" i="78"/>
  <c r="P81" i="78" s="1"/>
  <c r="M80" i="78"/>
  <c r="P80" i="78" s="1"/>
  <c r="M79" i="78"/>
  <c r="P79" i="78" s="1"/>
  <c r="M78" i="78"/>
  <c r="P78" i="78" s="1"/>
  <c r="M77" i="78"/>
  <c r="P77" i="78" s="1"/>
  <c r="M76" i="78"/>
  <c r="P76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P59" i="78"/>
  <c r="M59" i="78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38" i="8"/>
  <c r="P237" i="8"/>
  <c r="R238" i="74"/>
  <c r="M238" i="74"/>
  <c r="P238" i="74" s="1"/>
  <c r="R237" i="74"/>
  <c r="P237" i="74"/>
  <c r="M237" i="74"/>
  <c r="E237" i="8"/>
  <c r="R238" i="78"/>
  <c r="R237" i="78"/>
  <c r="R238" i="79"/>
  <c r="R237" i="79"/>
  <c r="R238" i="80"/>
  <c r="R237" i="80"/>
  <c r="R238" i="77"/>
  <c r="M238" i="77"/>
  <c r="M238" i="8" s="1"/>
  <c r="R237" i="77"/>
  <c r="M237" i="77"/>
  <c r="M237" i="8" s="1"/>
  <c r="E237" i="77"/>
  <c r="P234" i="8"/>
  <c r="R236" i="74"/>
  <c r="M236" i="74"/>
  <c r="P236" i="74" s="1"/>
  <c r="E236" i="8"/>
  <c r="R235" i="74"/>
  <c r="M235" i="74"/>
  <c r="P235" i="74" s="1"/>
  <c r="E235" i="8"/>
  <c r="R234" i="74"/>
  <c r="M234" i="74"/>
  <c r="P234" i="74" s="1"/>
  <c r="E234" i="8"/>
  <c r="R233" i="74"/>
  <c r="M233" i="74"/>
  <c r="P233" i="74" s="1"/>
  <c r="E233" i="8"/>
  <c r="R232" i="74"/>
  <c r="M232" i="74"/>
  <c r="P232" i="74" s="1"/>
  <c r="E232" i="8"/>
  <c r="R231" i="74"/>
  <c r="M231" i="74"/>
  <c r="P231" i="74" s="1"/>
  <c r="E231" i="8"/>
  <c r="R230" i="74"/>
  <c r="M230" i="74"/>
  <c r="P230" i="74" s="1"/>
  <c r="E230" i="8"/>
  <c r="R229" i="74"/>
  <c r="M229" i="74"/>
  <c r="P229" i="74" s="1"/>
  <c r="E229" i="8"/>
  <c r="R236" i="78"/>
  <c r="R235" i="78"/>
  <c r="R234" i="78"/>
  <c r="R233" i="78"/>
  <c r="R232" i="78"/>
  <c r="R231" i="78"/>
  <c r="R230" i="78"/>
  <c r="R229" i="78"/>
  <c r="R236" i="79"/>
  <c r="R235" i="79"/>
  <c r="R234" i="79"/>
  <c r="R233" i="79"/>
  <c r="R232" i="79"/>
  <c r="R231" i="79"/>
  <c r="R230" i="79"/>
  <c r="R229" i="79"/>
  <c r="R236" i="80"/>
  <c r="R235" i="80"/>
  <c r="R234" i="80"/>
  <c r="R233" i="80"/>
  <c r="R232" i="80"/>
  <c r="R231" i="80"/>
  <c r="R230" i="80"/>
  <c r="R229" i="80"/>
  <c r="R236" i="77"/>
  <c r="M236" i="77"/>
  <c r="M236" i="8" s="1"/>
  <c r="R235" i="77"/>
  <c r="M235" i="77"/>
  <c r="M235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178" i="74"/>
  <c r="M178" i="74"/>
  <c r="P178" i="74" s="1"/>
  <c r="E178" i="8"/>
  <c r="R178" i="78"/>
  <c r="R178" i="79"/>
  <c r="R178" i="80"/>
  <c r="R178" i="77"/>
  <c r="M178" i="77"/>
  <c r="M178" i="8" s="1"/>
  <c r="R179" i="74"/>
  <c r="M179" i="74"/>
  <c r="P179" i="74" s="1"/>
  <c r="R179" i="78"/>
  <c r="R179" i="79"/>
  <c r="R179" i="80"/>
  <c r="R179" i="77"/>
  <c r="M179" i="77"/>
  <c r="M179" i="8" s="1"/>
  <c r="P5" i="79" l="1"/>
  <c r="P6" i="79"/>
  <c r="P7" i="79"/>
  <c r="G230" i="8"/>
  <c r="J230" i="8"/>
  <c r="G178" i="8"/>
  <c r="J178" i="8"/>
  <c r="J231" i="8"/>
  <c r="G231" i="8"/>
  <c r="E237" i="78"/>
  <c r="G237" i="78" s="1"/>
  <c r="J237" i="78" s="1"/>
  <c r="E237" i="79" s="1"/>
  <c r="G236" i="8"/>
  <c r="J236" i="8"/>
  <c r="G234" i="8"/>
  <c r="J234" i="8"/>
  <c r="J229" i="8"/>
  <c r="G229" i="8"/>
  <c r="J233" i="8"/>
  <c r="G233" i="8"/>
  <c r="G232" i="8"/>
  <c r="J232" i="8"/>
  <c r="J237" i="8"/>
  <c r="G237" i="8"/>
  <c r="J235" i="8"/>
  <c r="G235" i="8"/>
  <c r="E238" i="74"/>
  <c r="G238" i="74" s="1"/>
  <c r="J238" i="74" s="1"/>
  <c r="E238" i="78"/>
  <c r="G238" i="78" s="1"/>
  <c r="J238" i="78" s="1"/>
  <c r="E238" i="79" s="1"/>
  <c r="G238" i="79"/>
  <c r="J238" i="79" s="1"/>
  <c r="E238" i="80"/>
  <c r="G238" i="80" s="1"/>
  <c r="J238" i="80" s="1"/>
  <c r="E238" i="8"/>
  <c r="E238" i="77"/>
  <c r="G238" i="77" s="1"/>
  <c r="J238" i="77" s="1"/>
  <c r="P235" i="77"/>
  <c r="P231" i="77"/>
  <c r="P236" i="77"/>
  <c r="P233" i="77"/>
  <c r="P229" i="77"/>
  <c r="N242" i="78"/>
  <c r="N248" i="78" s="1"/>
  <c r="N251" i="78" s="1"/>
  <c r="N242" i="79"/>
  <c r="N248" i="79" s="1"/>
  <c r="N251" i="79" s="1"/>
  <c r="N242" i="80"/>
  <c r="N248" i="80" s="1"/>
  <c r="N250" i="80" s="1"/>
  <c r="P237" i="77"/>
  <c r="P238" i="77"/>
  <c r="P232" i="77"/>
  <c r="P234" i="77"/>
  <c r="P230" i="77"/>
  <c r="E179" i="8"/>
  <c r="E178" i="77"/>
  <c r="P179" i="77"/>
  <c r="P178" i="77"/>
  <c r="G178" i="77" l="1"/>
  <c r="J178" i="77" s="1"/>
  <c r="E178" i="78" s="1"/>
  <c r="G178" i="78" s="1"/>
  <c r="J178" i="78" s="1"/>
  <c r="E178" i="79" s="1"/>
  <c r="J179" i="8"/>
  <c r="G179" i="8"/>
  <c r="G238" i="8"/>
  <c r="J238" i="8"/>
  <c r="N250" i="79"/>
  <c r="N250" i="78"/>
  <c r="N251" i="80"/>
  <c r="P129" i="8"/>
  <c r="P128" i="8"/>
  <c r="P127" i="8"/>
  <c r="R129" i="74"/>
  <c r="M129" i="74"/>
  <c r="P129" i="74" s="1"/>
  <c r="E129" i="8"/>
  <c r="R128" i="74"/>
  <c r="M128" i="74"/>
  <c r="P128" i="74" s="1"/>
  <c r="E128" i="8"/>
  <c r="R127" i="74"/>
  <c r="M127" i="74"/>
  <c r="P127" i="74" s="1"/>
  <c r="E127" i="8"/>
  <c r="R129" i="78"/>
  <c r="R128" i="78"/>
  <c r="R127" i="78"/>
  <c r="R129" i="79"/>
  <c r="R128" i="79"/>
  <c r="R127" i="79"/>
  <c r="R129" i="80"/>
  <c r="R128" i="80"/>
  <c r="R127" i="80"/>
  <c r="R129" i="77"/>
  <c r="M129" i="77"/>
  <c r="M129" i="8" s="1"/>
  <c r="R128" i="77"/>
  <c r="M128" i="77"/>
  <c r="M128" i="8" s="1"/>
  <c r="R127" i="77"/>
  <c r="M127" i="77"/>
  <c r="M127" i="8" s="1"/>
  <c r="J127" i="8" l="1"/>
  <c r="G127" i="8"/>
  <c r="G129" i="8"/>
  <c r="J129" i="8"/>
  <c r="G128" i="8"/>
  <c r="J128" i="8"/>
  <c r="P128" i="77"/>
  <c r="P129" i="77"/>
  <c r="P127" i="77"/>
  <c r="Y8" i="8" l="1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5" i="8"/>
  <c r="P88" i="8"/>
  <c r="P89" i="8"/>
  <c r="P90" i="8"/>
  <c r="P91" i="8"/>
  <c r="P92" i="8"/>
  <c r="P93" i="8"/>
  <c r="P94" i="8"/>
  <c r="P95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8" i="8"/>
  <c r="P119" i="8"/>
  <c r="P120" i="8"/>
  <c r="P121" i="8"/>
  <c r="P122" i="8"/>
  <c r="P123" i="8"/>
  <c r="P124" i="8"/>
  <c r="P125" i="8"/>
  <c r="P126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8" i="8"/>
  <c r="P169" i="8"/>
  <c r="P170" i="8"/>
  <c r="P171" i="8"/>
  <c r="P172" i="8"/>
  <c r="P173" i="8"/>
  <c r="P174" i="8"/>
  <c r="P175" i="8"/>
  <c r="P176" i="8"/>
  <c r="P177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39" i="8"/>
  <c r="P117" i="8"/>
  <c r="P86" i="8"/>
  <c r="P38" i="8"/>
  <c r="P87" i="8"/>
  <c r="P96" i="8"/>
  <c r="P97" i="8"/>
  <c r="P98" i="8"/>
  <c r="P167" i="8"/>
  <c r="P130" i="8"/>
  <c r="P84" i="8"/>
  <c r="E35" i="77"/>
  <c r="G35" i="77" s="1"/>
  <c r="J35" i="77" s="1"/>
  <c r="E35" i="78" s="1"/>
  <c r="G35" i="78" s="1"/>
  <c r="J35" i="78" s="1"/>
  <c r="E45" i="77"/>
  <c r="G45" i="77" s="1"/>
  <c r="J45" i="77" s="1"/>
  <c r="E45" i="78" s="1"/>
  <c r="G45" i="78" s="1"/>
  <c r="J45" i="78" s="1"/>
  <c r="E60" i="77"/>
  <c r="G60" i="77" s="1"/>
  <c r="J60" i="77" s="1"/>
  <c r="E60" i="78" s="1"/>
  <c r="G60" i="78" s="1"/>
  <c r="J60" i="78" s="1"/>
  <c r="E63" i="77"/>
  <c r="G63" i="77" s="1"/>
  <c r="J63" i="77" s="1"/>
  <c r="E63" i="78" s="1"/>
  <c r="G63" i="78" s="1"/>
  <c r="J63" i="78" s="1"/>
  <c r="E75" i="77"/>
  <c r="G75" i="77" s="1"/>
  <c r="J75" i="77" s="1"/>
  <c r="E75" i="78" s="1"/>
  <c r="G75" i="78" s="1"/>
  <c r="J75" i="78" s="1"/>
  <c r="E91" i="77"/>
  <c r="G91" i="77" s="1"/>
  <c r="J91" i="77" s="1"/>
  <c r="E91" i="78" s="1"/>
  <c r="G91" i="78" s="1"/>
  <c r="J91" i="78" s="1"/>
  <c r="E102" i="77"/>
  <c r="G102" i="77" s="1"/>
  <c r="J102" i="77" s="1"/>
  <c r="E102" i="78" s="1"/>
  <c r="G102" i="78" s="1"/>
  <c r="J102" i="78" s="1"/>
  <c r="E107" i="77"/>
  <c r="G107" i="77" s="1"/>
  <c r="J107" i="77" s="1"/>
  <c r="E107" i="78" s="1"/>
  <c r="G107" i="78" s="1"/>
  <c r="J107" i="78" s="1"/>
  <c r="E122" i="77"/>
  <c r="G122" i="77" s="1"/>
  <c r="J122" i="77" s="1"/>
  <c r="E122" i="78" s="1"/>
  <c r="G122" i="78" s="1"/>
  <c r="J122" i="78" s="1"/>
  <c r="E170" i="77"/>
  <c r="G170" i="77" s="1"/>
  <c r="J170" i="77" s="1"/>
  <c r="E170" i="78" s="1"/>
  <c r="G170" i="78" s="1"/>
  <c r="J170" i="78" s="1"/>
  <c r="S8" i="8"/>
  <c r="AB8" i="8"/>
  <c r="R84" i="80"/>
  <c r="R130" i="80"/>
  <c r="R167" i="80"/>
  <c r="R98" i="80"/>
  <c r="R97" i="80"/>
  <c r="R96" i="80"/>
  <c r="R87" i="80"/>
  <c r="R38" i="80"/>
  <c r="R86" i="80"/>
  <c r="R117" i="80"/>
  <c r="R23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7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90" i="80"/>
  <c r="R189" i="80"/>
  <c r="R188" i="80"/>
  <c r="R187" i="80"/>
  <c r="R186" i="80"/>
  <c r="R185" i="80"/>
  <c r="R184" i="80"/>
  <c r="R183" i="80"/>
  <c r="R182" i="80"/>
  <c r="R181" i="80"/>
  <c r="R180" i="80"/>
  <c r="R177" i="80"/>
  <c r="R176" i="80"/>
  <c r="R175" i="80"/>
  <c r="R174" i="80"/>
  <c r="R173" i="80"/>
  <c r="R172" i="80"/>
  <c r="R171" i="80"/>
  <c r="R169" i="80"/>
  <c r="R168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7" i="80"/>
  <c r="R136" i="80"/>
  <c r="R135" i="80"/>
  <c r="R134" i="80"/>
  <c r="R133" i="80"/>
  <c r="R132" i="80"/>
  <c r="R131" i="80"/>
  <c r="R126" i="80"/>
  <c r="R125" i="80"/>
  <c r="R124" i="80"/>
  <c r="R123" i="80"/>
  <c r="R121" i="80"/>
  <c r="R120" i="80"/>
  <c r="R119" i="80"/>
  <c r="R118" i="80"/>
  <c r="R116" i="80"/>
  <c r="R115" i="80"/>
  <c r="R114" i="80"/>
  <c r="R113" i="80"/>
  <c r="R112" i="80"/>
  <c r="R111" i="80"/>
  <c r="R110" i="80"/>
  <c r="R109" i="80"/>
  <c r="R108" i="80"/>
  <c r="R106" i="80"/>
  <c r="R105" i="80"/>
  <c r="R104" i="80"/>
  <c r="R103" i="80"/>
  <c r="R101" i="80"/>
  <c r="R100" i="80"/>
  <c r="R99" i="80"/>
  <c r="R95" i="80"/>
  <c r="R94" i="80"/>
  <c r="R93" i="80"/>
  <c r="R92" i="80"/>
  <c r="R90" i="80"/>
  <c r="R89" i="80"/>
  <c r="R88" i="80"/>
  <c r="R85" i="80"/>
  <c r="R83" i="80"/>
  <c r="R82" i="80"/>
  <c r="R81" i="80"/>
  <c r="R80" i="80"/>
  <c r="R79" i="80"/>
  <c r="R78" i="80"/>
  <c r="R77" i="80"/>
  <c r="R76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4" i="79"/>
  <c r="R130" i="79"/>
  <c r="R167" i="79"/>
  <c r="R98" i="79"/>
  <c r="R97" i="79"/>
  <c r="R96" i="79"/>
  <c r="R87" i="79"/>
  <c r="R38" i="79"/>
  <c r="R86" i="79"/>
  <c r="R117" i="79"/>
  <c r="R23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7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90" i="79"/>
  <c r="R189" i="79"/>
  <c r="R188" i="79"/>
  <c r="R187" i="79"/>
  <c r="R186" i="79"/>
  <c r="R185" i="79"/>
  <c r="R184" i="79"/>
  <c r="R183" i="79"/>
  <c r="R182" i="79"/>
  <c r="R181" i="79"/>
  <c r="R180" i="79"/>
  <c r="R177" i="79"/>
  <c r="R176" i="79"/>
  <c r="R175" i="79"/>
  <c r="R174" i="79"/>
  <c r="R173" i="79"/>
  <c r="R172" i="79"/>
  <c r="R171" i="79"/>
  <c r="R169" i="79"/>
  <c r="R168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7" i="79"/>
  <c r="R136" i="79"/>
  <c r="R135" i="79"/>
  <c r="R134" i="79"/>
  <c r="R133" i="79"/>
  <c r="R132" i="79"/>
  <c r="R131" i="79"/>
  <c r="R126" i="79"/>
  <c r="R125" i="79"/>
  <c r="R124" i="79"/>
  <c r="R123" i="79"/>
  <c r="R121" i="79"/>
  <c r="R120" i="79"/>
  <c r="R119" i="79"/>
  <c r="R118" i="79"/>
  <c r="R116" i="79"/>
  <c r="R115" i="79"/>
  <c r="R114" i="79"/>
  <c r="R113" i="79"/>
  <c r="R112" i="79"/>
  <c r="R111" i="79"/>
  <c r="R110" i="79"/>
  <c r="R109" i="79"/>
  <c r="R108" i="79"/>
  <c r="R106" i="79"/>
  <c r="R105" i="79"/>
  <c r="R104" i="79"/>
  <c r="R103" i="79"/>
  <c r="R101" i="79"/>
  <c r="R100" i="79"/>
  <c r="R99" i="79"/>
  <c r="R95" i="79"/>
  <c r="R94" i="79"/>
  <c r="R93" i="79"/>
  <c r="R92" i="79"/>
  <c r="R90" i="79"/>
  <c r="R89" i="79"/>
  <c r="R88" i="79"/>
  <c r="R85" i="79"/>
  <c r="R83" i="79"/>
  <c r="R82" i="79"/>
  <c r="R81" i="79"/>
  <c r="R80" i="79"/>
  <c r="R79" i="79"/>
  <c r="R78" i="79"/>
  <c r="R77" i="79"/>
  <c r="R76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4" i="78"/>
  <c r="R130" i="78"/>
  <c r="R167" i="78"/>
  <c r="R98" i="78"/>
  <c r="R97" i="78"/>
  <c r="R96" i="78"/>
  <c r="R87" i="78"/>
  <c r="R38" i="78"/>
  <c r="R86" i="78"/>
  <c r="R117" i="78"/>
  <c r="R23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7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90" i="78"/>
  <c r="R189" i="78"/>
  <c r="R188" i="78"/>
  <c r="R187" i="78"/>
  <c r="R186" i="78"/>
  <c r="R185" i="78"/>
  <c r="R184" i="78"/>
  <c r="R183" i="78"/>
  <c r="R182" i="78"/>
  <c r="R181" i="78"/>
  <c r="R180" i="78"/>
  <c r="R177" i="78"/>
  <c r="R176" i="78"/>
  <c r="R175" i="78"/>
  <c r="R174" i="78"/>
  <c r="R173" i="78"/>
  <c r="R172" i="78"/>
  <c r="R171" i="78"/>
  <c r="R169" i="78"/>
  <c r="R168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7" i="78"/>
  <c r="R136" i="78"/>
  <c r="R135" i="78"/>
  <c r="R134" i="78"/>
  <c r="R133" i="78"/>
  <c r="R132" i="78"/>
  <c r="R131" i="78"/>
  <c r="R126" i="78"/>
  <c r="R125" i="78"/>
  <c r="R124" i="78"/>
  <c r="R123" i="78"/>
  <c r="R121" i="78"/>
  <c r="R120" i="78"/>
  <c r="R119" i="78"/>
  <c r="R118" i="78"/>
  <c r="R116" i="78"/>
  <c r="R115" i="78"/>
  <c r="R114" i="78"/>
  <c r="R113" i="78"/>
  <c r="R112" i="78"/>
  <c r="R111" i="78"/>
  <c r="R110" i="78"/>
  <c r="R109" i="78"/>
  <c r="R108" i="78"/>
  <c r="R106" i="78"/>
  <c r="R105" i="78"/>
  <c r="R104" i="78"/>
  <c r="R103" i="78"/>
  <c r="R101" i="78"/>
  <c r="R100" i="78"/>
  <c r="R99" i="78"/>
  <c r="R95" i="78"/>
  <c r="R94" i="78"/>
  <c r="R93" i="78"/>
  <c r="R92" i="78"/>
  <c r="R90" i="78"/>
  <c r="R89" i="78"/>
  <c r="R88" i="78"/>
  <c r="R85" i="78"/>
  <c r="R83" i="78"/>
  <c r="R82" i="78"/>
  <c r="R81" i="78"/>
  <c r="R80" i="78"/>
  <c r="R79" i="78"/>
  <c r="R78" i="78"/>
  <c r="R77" i="78"/>
  <c r="R76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4" i="77"/>
  <c r="M84" i="77"/>
  <c r="M84" i="8" s="1"/>
  <c r="R130" i="77"/>
  <c r="M130" i="77"/>
  <c r="M130" i="8" s="1"/>
  <c r="R167" i="77"/>
  <c r="M167" i="77"/>
  <c r="M167" i="8" s="1"/>
  <c r="R98" i="77"/>
  <c r="M98" i="77"/>
  <c r="M98" i="8" s="1"/>
  <c r="R97" i="77"/>
  <c r="M97" i="77"/>
  <c r="M97" i="8" s="1"/>
  <c r="R96" i="77"/>
  <c r="M96" i="77"/>
  <c r="M96" i="8" s="1"/>
  <c r="R87" i="77"/>
  <c r="M87" i="77"/>
  <c r="M87" i="8" s="1"/>
  <c r="R38" i="77"/>
  <c r="M38" i="77"/>
  <c r="M38" i="8" s="1"/>
  <c r="R86" i="77"/>
  <c r="M86" i="77"/>
  <c r="M86" i="8" s="1"/>
  <c r="R117" i="77"/>
  <c r="M117" i="77"/>
  <c r="M117" i="8" s="1"/>
  <c r="R239" i="77"/>
  <c r="M239" i="77"/>
  <c r="M23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7" i="77"/>
  <c r="M207" i="77"/>
  <c r="M207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90" i="77"/>
  <c r="M190" i="77"/>
  <c r="M190" i="8" s="1"/>
  <c r="R189" i="77"/>
  <c r="M189" i="77"/>
  <c r="M189" i="8" s="1"/>
  <c r="R188" i="77"/>
  <c r="M188" i="77"/>
  <c r="M188" i="8" s="1"/>
  <c r="R187" i="77"/>
  <c r="M187" i="77"/>
  <c r="M187" i="8" s="1"/>
  <c r="R186" i="77"/>
  <c r="M186" i="77"/>
  <c r="M186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7" i="77"/>
  <c r="M177" i="77"/>
  <c r="M177" i="8" s="1"/>
  <c r="R176" i="77"/>
  <c r="M176" i="77"/>
  <c r="M176" i="8" s="1"/>
  <c r="R175" i="77"/>
  <c r="M175" i="77"/>
  <c r="M175" i="8" s="1"/>
  <c r="R174" i="77"/>
  <c r="M174" i="77"/>
  <c r="M174" i="8" s="1"/>
  <c r="R173" i="77"/>
  <c r="M173" i="77"/>
  <c r="M173" i="8" s="1"/>
  <c r="R172" i="77"/>
  <c r="M172" i="77"/>
  <c r="M172" i="8" s="1"/>
  <c r="R171" i="77"/>
  <c r="M171" i="77"/>
  <c r="M171" i="8" s="1"/>
  <c r="M170" i="77"/>
  <c r="M170" i="8" s="1"/>
  <c r="R169" i="77"/>
  <c r="M169" i="77"/>
  <c r="M169" i="8" s="1"/>
  <c r="R168" i="77"/>
  <c r="M168" i="77"/>
  <c r="M168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7" i="77"/>
  <c r="M137" i="77"/>
  <c r="M137" i="8" s="1"/>
  <c r="R136" i="77"/>
  <c r="M136" i="77"/>
  <c r="M136" i="8" s="1"/>
  <c r="R135" i="77"/>
  <c r="M135" i="77"/>
  <c r="M135" i="8" s="1"/>
  <c r="R134" i="77"/>
  <c r="M134" i="77"/>
  <c r="M134" i="8" s="1"/>
  <c r="R133" i="77"/>
  <c r="M133" i="77"/>
  <c r="M133" i="8" s="1"/>
  <c r="R132" i="77"/>
  <c r="M132" i="77"/>
  <c r="M132" i="8" s="1"/>
  <c r="R131" i="77"/>
  <c r="M131" i="77"/>
  <c r="M131" i="8" s="1"/>
  <c r="R126" i="77"/>
  <c r="M126" i="77"/>
  <c r="M126" i="8" s="1"/>
  <c r="R125" i="77"/>
  <c r="M125" i="77"/>
  <c r="M125" i="8" s="1"/>
  <c r="R124" i="77"/>
  <c r="M124" i="77"/>
  <c r="M124" i="8" s="1"/>
  <c r="R123" i="77"/>
  <c r="M123" i="77"/>
  <c r="M123" i="8" s="1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6" i="77"/>
  <c r="M116" i="77"/>
  <c r="M116" i="8" s="1"/>
  <c r="R115" i="77"/>
  <c r="M115" i="77"/>
  <c r="M115" i="8" s="1"/>
  <c r="R114" i="77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R109" i="77"/>
  <c r="M109" i="77"/>
  <c r="M109" i="8" s="1"/>
  <c r="R108" i="77"/>
  <c r="M108" i="77"/>
  <c r="M108" i="8" s="1"/>
  <c r="M107" i="77"/>
  <c r="M107" i="8" s="1"/>
  <c r="R106" i="77"/>
  <c r="M106" i="77"/>
  <c r="M106" i="8" s="1"/>
  <c r="R105" i="77"/>
  <c r="M105" i="77"/>
  <c r="M105" i="8" s="1"/>
  <c r="R104" i="77"/>
  <c r="M104" i="77"/>
  <c r="M104" i="8" s="1"/>
  <c r="R103" i="77"/>
  <c r="M103" i="77"/>
  <c r="M103" i="8" s="1"/>
  <c r="M102" i="77"/>
  <c r="M102" i="8" s="1"/>
  <c r="R101" i="77"/>
  <c r="M101" i="77"/>
  <c r="M101" i="8" s="1"/>
  <c r="R100" i="77"/>
  <c r="M100" i="77"/>
  <c r="M100" i="8" s="1"/>
  <c r="R99" i="77"/>
  <c r="M99" i="77"/>
  <c r="M99" i="8" s="1"/>
  <c r="R95" i="77"/>
  <c r="M95" i="77"/>
  <c r="M95" i="8" s="1"/>
  <c r="R94" i="77"/>
  <c r="M94" i="77"/>
  <c r="M94" i="8" s="1"/>
  <c r="R93" i="77"/>
  <c r="M93" i="77"/>
  <c r="M93" i="8" s="1"/>
  <c r="R92" i="77"/>
  <c r="M92" i="77"/>
  <c r="M92" i="8" s="1"/>
  <c r="R90" i="77"/>
  <c r="M90" i="77"/>
  <c r="M90" i="8" s="1"/>
  <c r="R89" i="77"/>
  <c r="M89" i="77"/>
  <c r="M89" i="8" s="1"/>
  <c r="R88" i="77"/>
  <c r="M88" i="77"/>
  <c r="M88" i="8" s="1"/>
  <c r="R85" i="77"/>
  <c r="M85" i="77"/>
  <c r="M85" i="8" s="1"/>
  <c r="R83" i="77"/>
  <c r="M83" i="77"/>
  <c r="M83" i="8" s="1"/>
  <c r="R82" i="77"/>
  <c r="M82" i="77"/>
  <c r="M82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R76" i="77"/>
  <c r="M76" i="77"/>
  <c r="M76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M20" i="8" s="1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M5" i="8" s="1"/>
  <c r="E35" i="8"/>
  <c r="E45" i="8"/>
  <c r="E60" i="8"/>
  <c r="E63" i="8"/>
  <c r="E75" i="8"/>
  <c r="E91" i="8"/>
  <c r="E102" i="8"/>
  <c r="E107" i="8"/>
  <c r="E122" i="8"/>
  <c r="E170" i="8"/>
  <c r="M241" i="74"/>
  <c r="R60" i="74"/>
  <c r="R63" i="74"/>
  <c r="M63" i="74"/>
  <c r="P63" i="74" s="1"/>
  <c r="E162" i="77"/>
  <c r="M162" i="74"/>
  <c r="P162" i="74" s="1"/>
  <c r="R162" i="74"/>
  <c r="C241" i="8" l="1"/>
  <c r="E35" i="79"/>
  <c r="G35" i="79" s="1"/>
  <c r="J35" i="79" s="1"/>
  <c r="E35" i="80" s="1"/>
  <c r="G35" i="80" s="1"/>
  <c r="J35" i="80" s="1"/>
  <c r="E102" i="79"/>
  <c r="G102" i="79" s="1"/>
  <c r="J102" i="79" s="1"/>
  <c r="E102" i="80" s="1"/>
  <c r="G102" i="80" s="1"/>
  <c r="J102" i="80" s="1"/>
  <c r="E107" i="79"/>
  <c r="G107" i="79" s="1"/>
  <c r="J107" i="79" s="1"/>
  <c r="E107" i="80" s="1"/>
  <c r="G107" i="80" s="1"/>
  <c r="J107" i="80" s="1"/>
  <c r="E91" i="79"/>
  <c r="G91" i="79" s="1"/>
  <c r="J91" i="79" s="1"/>
  <c r="E91" i="80" s="1"/>
  <c r="G91" i="80" s="1"/>
  <c r="J91" i="80" s="1"/>
  <c r="E75" i="79"/>
  <c r="G75" i="79" s="1"/>
  <c r="J75" i="79" s="1"/>
  <c r="E75" i="80" s="1"/>
  <c r="G75" i="80" s="1"/>
  <c r="J75" i="80" s="1"/>
  <c r="E63" i="79"/>
  <c r="G63" i="79" s="1"/>
  <c r="J63" i="79" s="1"/>
  <c r="E63" i="80" s="1"/>
  <c r="G63" i="80" s="1"/>
  <c r="J63" i="80" s="1"/>
  <c r="E122" i="79"/>
  <c r="G122" i="79" s="1"/>
  <c r="J122" i="79" s="1"/>
  <c r="E122" i="80" s="1"/>
  <c r="G122" i="80" s="1"/>
  <c r="J122" i="80" s="1"/>
  <c r="E60" i="79"/>
  <c r="G60" i="79" s="1"/>
  <c r="J60" i="79" s="1"/>
  <c r="E60" i="80" s="1"/>
  <c r="G60" i="80" s="1"/>
  <c r="J60" i="80" s="1"/>
  <c r="E170" i="79"/>
  <c r="G170" i="79" s="1"/>
  <c r="J170" i="79" s="1"/>
  <c r="E170" i="80" s="1"/>
  <c r="G170" i="80" s="1"/>
  <c r="J170" i="80" s="1"/>
  <c r="E45" i="79"/>
  <c r="G45" i="79" s="1"/>
  <c r="J45" i="79" s="1"/>
  <c r="E45" i="80" s="1"/>
  <c r="G45" i="80" s="1"/>
  <c r="J45" i="80" s="1"/>
  <c r="J107" i="8"/>
  <c r="G107" i="8"/>
  <c r="G162" i="77"/>
  <c r="J162" i="77" s="1"/>
  <c r="E162" i="78" s="1"/>
  <c r="G162" i="78" s="1"/>
  <c r="J162" i="78" s="1"/>
  <c r="G102" i="8"/>
  <c r="J102" i="8"/>
  <c r="G75" i="8"/>
  <c r="J75" i="8"/>
  <c r="G35" i="8"/>
  <c r="J35" i="8"/>
  <c r="J91" i="8"/>
  <c r="G91" i="8"/>
  <c r="J63" i="8"/>
  <c r="G63" i="8"/>
  <c r="G122" i="8"/>
  <c r="J122" i="8"/>
  <c r="G60" i="8"/>
  <c r="J60" i="8"/>
  <c r="G170" i="8"/>
  <c r="J170" i="8"/>
  <c r="J45" i="8"/>
  <c r="G45" i="8"/>
  <c r="N242" i="77"/>
  <c r="N248" i="77" s="1"/>
  <c r="P6" i="77"/>
  <c r="AB5" i="8"/>
  <c r="P15" i="77"/>
  <c r="P38" i="77"/>
  <c r="P53" i="77"/>
  <c r="P140" i="77"/>
  <c r="P17" i="77"/>
  <c r="P216" i="77"/>
  <c r="P56" i="77"/>
  <c r="P136" i="77"/>
  <c r="P160" i="77"/>
  <c r="P41" i="77"/>
  <c r="P11" i="77"/>
  <c r="P228" i="77"/>
  <c r="P66" i="77"/>
  <c r="P79" i="77"/>
  <c r="P96" i="77"/>
  <c r="P112" i="77"/>
  <c r="P13" i="77"/>
  <c r="P182" i="77"/>
  <c r="P212" i="77"/>
  <c r="P218" i="77"/>
  <c r="P51" i="77"/>
  <c r="P57" i="77"/>
  <c r="P107" i="77"/>
  <c r="W7" i="8"/>
  <c r="AB7" i="8" s="1"/>
  <c r="P190" i="77"/>
  <c r="P98" i="77"/>
  <c r="P64" i="77"/>
  <c r="P154" i="77"/>
  <c r="P184" i="77"/>
  <c r="P35" i="77"/>
  <c r="P198" i="77"/>
  <c r="P220" i="77"/>
  <c r="P5" i="77"/>
  <c r="P162" i="77"/>
  <c r="P196" i="77"/>
  <c r="P42" i="77"/>
  <c r="P7" i="77"/>
  <c r="P37" i="77"/>
  <c r="P102" i="77"/>
  <c r="P150" i="77"/>
  <c r="P186" i="77"/>
  <c r="P25" i="77"/>
  <c r="P58" i="77"/>
  <c r="P65" i="77"/>
  <c r="P156" i="77"/>
  <c r="P126" i="77"/>
  <c r="P90" i="77"/>
  <c r="P62" i="77"/>
  <c r="P48" i="77"/>
  <c r="P36" i="77"/>
  <c r="E162" i="8"/>
  <c r="P9" i="77"/>
  <c r="P29" i="77"/>
  <c r="P31" i="77"/>
  <c r="P55" i="77"/>
  <c r="P60" i="77"/>
  <c r="P63" i="77"/>
  <c r="P73" i="77"/>
  <c r="P80" i="77"/>
  <c r="P88" i="77"/>
  <c r="P92" i="77"/>
  <c r="P115" i="77"/>
  <c r="P124" i="77"/>
  <c r="P143" i="77"/>
  <c r="P148" i="77"/>
  <c r="P158" i="77"/>
  <c r="P161" i="77"/>
  <c r="P169" i="77"/>
  <c r="P172" i="77"/>
  <c r="P175" i="77"/>
  <c r="P177" i="77"/>
  <c r="P189" i="77"/>
  <c r="P199" i="77"/>
  <c r="P206" i="77"/>
  <c r="P209" i="77"/>
  <c r="P211" i="77"/>
  <c r="P221" i="77"/>
  <c r="P86" i="77"/>
  <c r="P130" i="77"/>
  <c r="P16" i="77"/>
  <c r="P26" i="77"/>
  <c r="P153" i="77"/>
  <c r="P155" i="77"/>
  <c r="P163" i="77"/>
  <c r="P12" i="77"/>
  <c r="P19" i="77"/>
  <c r="P22" i="77"/>
  <c r="P24" i="77"/>
  <c r="P34" i="77"/>
  <c r="P68" i="77"/>
  <c r="P71" i="77"/>
  <c r="P76" i="77"/>
  <c r="P83" i="77"/>
  <c r="P100" i="77"/>
  <c r="P103" i="77"/>
  <c r="P105" i="77"/>
  <c r="P108" i="77"/>
  <c r="P110" i="77"/>
  <c r="P121" i="77"/>
  <c r="P131" i="77"/>
  <c r="P138" i="77"/>
  <c r="P141" i="77"/>
  <c r="P146" i="77"/>
  <c r="P151" i="77"/>
  <c r="P166" i="77"/>
  <c r="P192" i="77"/>
  <c r="P194" i="77"/>
  <c r="P204" i="77"/>
  <c r="P224" i="77"/>
  <c r="P226" i="77"/>
  <c r="P89" i="77"/>
  <c r="P113" i="77"/>
  <c r="P125" i="77"/>
  <c r="P149" i="77"/>
  <c r="P170" i="77"/>
  <c r="P173" i="77"/>
  <c r="P185" i="77"/>
  <c r="P187" i="77"/>
  <c r="P197" i="77"/>
  <c r="P207" i="77"/>
  <c r="P214" i="77"/>
  <c r="P217" i="77"/>
  <c r="P219" i="77"/>
  <c r="P239" i="77"/>
  <c r="P84" i="77"/>
  <c r="P14" i="77"/>
  <c r="P133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1" i="77"/>
  <c r="P93" i="77"/>
  <c r="P95" i="77"/>
  <c r="P116" i="77"/>
  <c r="P119" i="77"/>
  <c r="P122" i="77"/>
  <c r="P134" i="77"/>
  <c r="P144" i="77"/>
  <c r="P159" i="77"/>
  <c r="P164" i="77"/>
  <c r="P180" i="77"/>
  <c r="P200" i="77"/>
  <c r="P202" i="77"/>
  <c r="P54" i="77"/>
  <c r="P101" i="77"/>
  <c r="P104" i="77"/>
  <c r="P106" i="77"/>
  <c r="P109" i="77"/>
  <c r="P111" i="77"/>
  <c r="P137" i="77"/>
  <c r="P139" i="77"/>
  <c r="P147" i="77"/>
  <c r="P157" i="77"/>
  <c r="P168" i="77"/>
  <c r="P171" i="77"/>
  <c r="P183" i="77"/>
  <c r="P193" i="77"/>
  <c r="P195" i="77"/>
  <c r="P205" i="77"/>
  <c r="P215" i="77"/>
  <c r="P222" i="77"/>
  <c r="P225" i="77"/>
  <c r="P227" i="77"/>
  <c r="P167" i="77"/>
  <c r="R240" i="78"/>
  <c r="R240" i="80"/>
  <c r="P78" i="77"/>
  <c r="P8" i="77"/>
  <c r="P18" i="77"/>
  <c r="P28" i="77"/>
  <c r="P45" i="77"/>
  <c r="P50" i="77"/>
  <c r="P59" i="77"/>
  <c r="P67" i="77"/>
  <c r="P72" i="77"/>
  <c r="P77" i="77"/>
  <c r="P82" i="77"/>
  <c r="P85" i="77"/>
  <c r="P123" i="77"/>
  <c r="P132" i="77"/>
  <c r="P142" i="77"/>
  <c r="P145" i="77"/>
  <c r="P152" i="77"/>
  <c r="P165" i="77"/>
  <c r="P174" i="77"/>
  <c r="P176" i="77"/>
  <c r="P188" i="77"/>
  <c r="P208" i="77"/>
  <c r="P210" i="77"/>
  <c r="R240" i="77"/>
  <c r="P21" i="77"/>
  <c r="P23" i="77"/>
  <c r="P33" i="77"/>
  <c r="P39" i="77"/>
  <c r="P43" i="77"/>
  <c r="P46" i="77"/>
  <c r="P52" i="77"/>
  <c r="P70" i="77"/>
  <c r="P75" i="77"/>
  <c r="P94" i="77"/>
  <c r="P99" i="77"/>
  <c r="P114" i="77"/>
  <c r="P118" i="77"/>
  <c r="P120" i="77"/>
  <c r="P135" i="77"/>
  <c r="P181" i="77"/>
  <c r="P191" i="77"/>
  <c r="P201" i="77"/>
  <c r="P203" i="77"/>
  <c r="P213" i="77"/>
  <c r="P223" i="77"/>
  <c r="P117" i="77"/>
  <c r="P87" i="77"/>
  <c r="P97" i="77"/>
  <c r="R240" i="79"/>
  <c r="P8" i="8"/>
  <c r="R35" i="74"/>
  <c r="E162" i="79" l="1"/>
  <c r="G162" i="79" s="1"/>
  <c r="J162" i="79" s="1"/>
  <c r="E162" i="80" s="1"/>
  <c r="G162" i="80" s="1"/>
  <c r="J162" i="80" s="1"/>
  <c r="G162" i="8"/>
  <c r="J162" i="8"/>
  <c r="W9" i="8"/>
  <c r="N241" i="8" s="1"/>
  <c r="N250" i="77"/>
  <c r="N251" i="77"/>
  <c r="AB9" i="8"/>
  <c r="R7" i="8"/>
  <c r="X7" i="8" s="1"/>
  <c r="R8" i="8"/>
  <c r="X8" i="8" s="1"/>
  <c r="R5" i="8"/>
  <c r="R6" i="8"/>
  <c r="M75" i="74"/>
  <c r="P75" i="74" s="1"/>
  <c r="M45" i="74"/>
  <c r="P45" i="74" s="1"/>
  <c r="M60" i="74"/>
  <c r="P60" i="74" s="1"/>
  <c r="M12" i="74"/>
  <c r="P12" i="74" s="1"/>
  <c r="R12" i="74"/>
  <c r="R168" i="74"/>
  <c r="M168" i="74"/>
  <c r="P168" i="74" s="1"/>
  <c r="M170" i="74"/>
  <c r="P170" i="74" s="1"/>
  <c r="M122" i="74"/>
  <c r="P122" i="74" s="1"/>
  <c r="M107" i="74"/>
  <c r="P107" i="74" s="1"/>
  <c r="M102" i="74"/>
  <c r="P102" i="74" s="1"/>
  <c r="M35" i="74"/>
  <c r="P35" i="74" s="1"/>
  <c r="E168" i="77" l="1"/>
  <c r="E168" i="8"/>
  <c r="E12" i="77"/>
  <c r="E12" i="8"/>
  <c r="M217" i="74"/>
  <c r="P217" i="74" s="1"/>
  <c r="R217" i="74"/>
  <c r="G12" i="8" l="1"/>
  <c r="J12" i="8"/>
  <c r="G12" i="77"/>
  <c r="J12" i="77" s="1"/>
  <c r="E12" i="78" s="1"/>
  <c r="G12" i="78" s="1"/>
  <c r="J12" i="78" s="1"/>
  <c r="G168" i="8"/>
  <c r="J168" i="8"/>
  <c r="G168" i="77"/>
  <c r="J168" i="77" s="1"/>
  <c r="E168" i="78" s="1"/>
  <c r="G168" i="78" s="1"/>
  <c r="J168" i="78" s="1"/>
  <c r="R202" i="74"/>
  <c r="M202" i="74"/>
  <c r="P202" i="74" s="1"/>
  <c r="R126" i="74"/>
  <c r="M126" i="74"/>
  <c r="P126" i="74" s="1"/>
  <c r="E168" i="79" l="1"/>
  <c r="G168" i="79" s="1"/>
  <c r="J168" i="79" s="1"/>
  <c r="E168" i="80" s="1"/>
  <c r="G168" i="80" s="1"/>
  <c r="J168" i="80" s="1"/>
  <c r="E12" i="79"/>
  <c r="G12" i="79" s="1"/>
  <c r="J12" i="79" s="1"/>
  <c r="E12" i="80" s="1"/>
  <c r="G12" i="80" s="1"/>
  <c r="J12" i="80" s="1"/>
  <c r="E217" i="77" l="1"/>
  <c r="E217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66" i="74"/>
  <c r="R72" i="74"/>
  <c r="R73" i="74"/>
  <c r="R74" i="74"/>
  <c r="R76" i="74"/>
  <c r="R77" i="74"/>
  <c r="R78" i="74"/>
  <c r="R79" i="74"/>
  <c r="R80" i="74"/>
  <c r="R89" i="74"/>
  <c r="R90" i="74"/>
  <c r="R92" i="74"/>
  <c r="R93" i="74"/>
  <c r="R94" i="74"/>
  <c r="R95" i="74"/>
  <c r="R99" i="74"/>
  <c r="R100" i="74"/>
  <c r="R101" i="74"/>
  <c r="R103" i="74"/>
  <c r="R104" i="74"/>
  <c r="R106" i="74"/>
  <c r="R108" i="74"/>
  <c r="R109" i="74"/>
  <c r="R110" i="74"/>
  <c r="R81" i="74"/>
  <c r="R82" i="74"/>
  <c r="R83" i="74"/>
  <c r="R88" i="74"/>
  <c r="R111" i="74"/>
  <c r="R112" i="74"/>
  <c r="R113" i="74"/>
  <c r="R115" i="74"/>
  <c r="R116" i="74"/>
  <c r="R118" i="74"/>
  <c r="R119" i="74"/>
  <c r="R120" i="74"/>
  <c r="R121" i="74"/>
  <c r="R123" i="74"/>
  <c r="R124" i="74"/>
  <c r="R125" i="74"/>
  <c r="R131" i="74"/>
  <c r="R132" i="74"/>
  <c r="R133" i="74"/>
  <c r="R134" i="74"/>
  <c r="R135" i="74"/>
  <c r="R136" i="74"/>
  <c r="R137" i="74"/>
  <c r="R138" i="74"/>
  <c r="R139" i="74"/>
  <c r="R140" i="74"/>
  <c r="R141" i="74"/>
  <c r="R142" i="74"/>
  <c r="R143" i="74"/>
  <c r="R144" i="74"/>
  <c r="R145" i="74"/>
  <c r="R146" i="74"/>
  <c r="R148" i="74"/>
  <c r="R149" i="74"/>
  <c r="R150" i="74"/>
  <c r="R151" i="74"/>
  <c r="R152" i="74"/>
  <c r="R153" i="74"/>
  <c r="R154" i="74"/>
  <c r="R155" i="74"/>
  <c r="R156" i="74"/>
  <c r="R157" i="74"/>
  <c r="R158" i="74"/>
  <c r="R159" i="74"/>
  <c r="R163" i="74"/>
  <c r="R164" i="74"/>
  <c r="R165" i="74"/>
  <c r="R169" i="74"/>
  <c r="R171" i="74"/>
  <c r="R172" i="74"/>
  <c r="R174" i="74"/>
  <c r="R176" i="74"/>
  <c r="R177" i="74"/>
  <c r="R180" i="74"/>
  <c r="R181" i="74"/>
  <c r="R182" i="74"/>
  <c r="R183" i="74"/>
  <c r="R184" i="74"/>
  <c r="R185" i="74"/>
  <c r="R186" i="74"/>
  <c r="R187" i="74"/>
  <c r="R188" i="74"/>
  <c r="R189" i="74"/>
  <c r="R190" i="74"/>
  <c r="R191" i="74"/>
  <c r="R192" i="74"/>
  <c r="R193" i="74"/>
  <c r="R173" i="74"/>
  <c r="R194" i="74"/>
  <c r="R195" i="74"/>
  <c r="R196" i="74"/>
  <c r="R197" i="74"/>
  <c r="R199" i="74"/>
  <c r="R200" i="74"/>
  <c r="R198" i="74"/>
  <c r="R201" i="74"/>
  <c r="R204" i="74"/>
  <c r="R205" i="74"/>
  <c r="R206" i="74"/>
  <c r="R207" i="74"/>
  <c r="R208" i="74"/>
  <c r="R209" i="74"/>
  <c r="R210" i="74"/>
  <c r="R211" i="74"/>
  <c r="R212" i="74"/>
  <c r="R213" i="74"/>
  <c r="R214" i="74"/>
  <c r="R215" i="74"/>
  <c r="R218" i="74"/>
  <c r="R219" i="74"/>
  <c r="R220" i="74"/>
  <c r="R221" i="74"/>
  <c r="R222" i="74"/>
  <c r="R223" i="74"/>
  <c r="R224" i="74"/>
  <c r="R225" i="74"/>
  <c r="R226" i="74"/>
  <c r="R227" i="74"/>
  <c r="R228" i="74"/>
  <c r="R239" i="74"/>
  <c r="R216" i="74"/>
  <c r="R85" i="74"/>
  <c r="R175" i="74"/>
  <c r="R117" i="74"/>
  <c r="R86" i="74"/>
  <c r="R38" i="74"/>
  <c r="R87" i="74"/>
  <c r="R96" i="74"/>
  <c r="R97" i="74"/>
  <c r="R98" i="74"/>
  <c r="R167" i="74"/>
  <c r="R130" i="74"/>
  <c r="R84" i="74"/>
  <c r="R43" i="74"/>
  <c r="R52" i="74"/>
  <c r="R48" i="74"/>
  <c r="R53" i="74"/>
  <c r="R147" i="74"/>
  <c r="R203" i="74"/>
  <c r="R114" i="74"/>
  <c r="R161" i="74"/>
  <c r="R160" i="74"/>
  <c r="R49" i="74"/>
  <c r="R105" i="74"/>
  <c r="R5" i="74"/>
  <c r="J217" i="8" l="1"/>
  <c r="G217" i="8"/>
  <c r="G217" i="77"/>
  <c r="J217" i="77" s="1"/>
  <c r="E217" i="78" s="1"/>
  <c r="G217" i="78" s="1"/>
  <c r="J217" i="78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66" i="74"/>
  <c r="M72" i="74"/>
  <c r="M73" i="74"/>
  <c r="M74" i="74"/>
  <c r="M76" i="74"/>
  <c r="M77" i="74"/>
  <c r="M78" i="74"/>
  <c r="M79" i="74"/>
  <c r="M80" i="74"/>
  <c r="M89" i="74"/>
  <c r="M90" i="74"/>
  <c r="M92" i="74"/>
  <c r="M93" i="74"/>
  <c r="M94" i="74"/>
  <c r="M95" i="74"/>
  <c r="M99" i="74"/>
  <c r="M100" i="74"/>
  <c r="M101" i="74"/>
  <c r="M103" i="74"/>
  <c r="M104" i="74"/>
  <c r="M106" i="74"/>
  <c r="M108" i="74"/>
  <c r="M109" i="74"/>
  <c r="M110" i="74"/>
  <c r="M81" i="74"/>
  <c r="M82" i="74"/>
  <c r="M83" i="74"/>
  <c r="M88" i="74"/>
  <c r="M111" i="74"/>
  <c r="M112" i="74"/>
  <c r="M113" i="74"/>
  <c r="M115" i="74"/>
  <c r="M116" i="74"/>
  <c r="M118" i="74"/>
  <c r="M119" i="74"/>
  <c r="M120" i="74"/>
  <c r="M121" i="74"/>
  <c r="M123" i="74"/>
  <c r="M124" i="74"/>
  <c r="M125" i="74"/>
  <c r="M131" i="74"/>
  <c r="M132" i="74"/>
  <c r="M133" i="74"/>
  <c r="M134" i="74"/>
  <c r="M135" i="74"/>
  <c r="M136" i="74"/>
  <c r="M137" i="74"/>
  <c r="M138" i="74"/>
  <c r="M139" i="74"/>
  <c r="M140" i="74"/>
  <c r="M141" i="74"/>
  <c r="M142" i="74"/>
  <c r="M143" i="74"/>
  <c r="M144" i="74"/>
  <c r="M145" i="74"/>
  <c r="M146" i="74"/>
  <c r="M148" i="74"/>
  <c r="M149" i="74"/>
  <c r="M150" i="74"/>
  <c r="M151" i="74"/>
  <c r="M152" i="74"/>
  <c r="M153" i="74"/>
  <c r="M154" i="74"/>
  <c r="M155" i="74"/>
  <c r="M156" i="74"/>
  <c r="M157" i="74"/>
  <c r="M158" i="74"/>
  <c r="M159" i="74"/>
  <c r="M163" i="74"/>
  <c r="M164" i="74"/>
  <c r="M165" i="74"/>
  <c r="M169" i="74"/>
  <c r="M171" i="74"/>
  <c r="M172" i="74"/>
  <c r="M174" i="74"/>
  <c r="M176" i="74"/>
  <c r="M177" i="74"/>
  <c r="M180" i="74"/>
  <c r="M181" i="74"/>
  <c r="M182" i="74"/>
  <c r="M183" i="74"/>
  <c r="M184" i="74"/>
  <c r="M185" i="74"/>
  <c r="M186" i="74"/>
  <c r="M187" i="74"/>
  <c r="M188" i="74"/>
  <c r="M189" i="74"/>
  <c r="M190" i="74"/>
  <c r="M191" i="74"/>
  <c r="M192" i="74"/>
  <c r="M193" i="74"/>
  <c r="M173" i="74"/>
  <c r="M194" i="74"/>
  <c r="M195" i="74"/>
  <c r="M196" i="74"/>
  <c r="M197" i="74"/>
  <c r="M199" i="74"/>
  <c r="M200" i="74"/>
  <c r="M198" i="74"/>
  <c r="M201" i="74"/>
  <c r="M204" i="74"/>
  <c r="M205" i="74"/>
  <c r="M206" i="74"/>
  <c r="M207" i="74"/>
  <c r="M208" i="74"/>
  <c r="M209" i="74"/>
  <c r="M210" i="74"/>
  <c r="M211" i="74"/>
  <c r="M212" i="74"/>
  <c r="M213" i="74"/>
  <c r="M214" i="74"/>
  <c r="M215" i="74"/>
  <c r="M218" i="74"/>
  <c r="M219" i="74"/>
  <c r="M220" i="74"/>
  <c r="M221" i="74"/>
  <c r="M222" i="74"/>
  <c r="M223" i="74"/>
  <c r="M224" i="74"/>
  <c r="M225" i="74"/>
  <c r="M226" i="74"/>
  <c r="M227" i="74"/>
  <c r="M228" i="74"/>
  <c r="M239" i="74"/>
  <c r="M216" i="74"/>
  <c r="M85" i="74"/>
  <c r="M175" i="74"/>
  <c r="M117" i="74"/>
  <c r="M86" i="74"/>
  <c r="M38" i="74"/>
  <c r="M87" i="74"/>
  <c r="M96" i="74"/>
  <c r="M97" i="74"/>
  <c r="M98" i="74"/>
  <c r="M167" i="74"/>
  <c r="M130" i="74"/>
  <c r="M84" i="74"/>
  <c r="M43" i="74"/>
  <c r="P43" i="74" s="1"/>
  <c r="M52" i="74"/>
  <c r="P52" i="74" s="1"/>
  <c r="M48" i="74"/>
  <c r="P48" i="74" s="1"/>
  <c r="M53" i="74"/>
  <c r="P53" i="74" s="1"/>
  <c r="M147" i="74"/>
  <c r="P147" i="74" s="1"/>
  <c r="M203" i="74"/>
  <c r="P203" i="74" s="1"/>
  <c r="M114" i="74"/>
  <c r="P114" i="74" s="1"/>
  <c r="M161" i="74"/>
  <c r="M160" i="74"/>
  <c r="P160" i="74" s="1"/>
  <c r="M49" i="74"/>
  <c r="P49" i="74" s="1"/>
  <c r="M105" i="74"/>
  <c r="P105" i="74" s="1"/>
  <c r="E217" i="79" l="1"/>
  <c r="G217" i="79" s="1"/>
  <c r="J217" i="79" s="1"/>
  <c r="E217" i="80" s="1"/>
  <c r="G217" i="80" s="1"/>
  <c r="J217" i="80" s="1"/>
  <c r="P161" i="74"/>
  <c r="P97" i="74"/>
  <c r="P216" i="74"/>
  <c r="P222" i="74"/>
  <c r="P213" i="74"/>
  <c r="P205" i="74"/>
  <c r="P195" i="74"/>
  <c r="P188" i="74"/>
  <c r="P183" i="74"/>
  <c r="P171" i="74"/>
  <c r="P157" i="74"/>
  <c r="P149" i="74"/>
  <c r="P140" i="74"/>
  <c r="P132" i="74"/>
  <c r="P118" i="74"/>
  <c r="P82" i="74"/>
  <c r="P101" i="74"/>
  <c r="P89" i="74"/>
  <c r="P72" i="74"/>
  <c r="P65" i="74"/>
  <c r="P57" i="74"/>
  <c r="P41" i="74"/>
  <c r="P31" i="74"/>
  <c r="P23" i="74"/>
  <c r="P15" i="74"/>
  <c r="P7" i="74"/>
  <c r="P84" i="74"/>
  <c r="P86" i="74"/>
  <c r="P226" i="74"/>
  <c r="P218" i="74"/>
  <c r="P209" i="74"/>
  <c r="P200" i="74"/>
  <c r="P192" i="74"/>
  <c r="P187" i="74"/>
  <c r="P177" i="74"/>
  <c r="P163" i="74"/>
  <c r="P153" i="74"/>
  <c r="P144" i="74"/>
  <c r="P136" i="74"/>
  <c r="P123" i="74"/>
  <c r="P112" i="74"/>
  <c r="P108" i="74"/>
  <c r="P94" i="74"/>
  <c r="P77" i="74"/>
  <c r="P69" i="74"/>
  <c r="P55" i="74"/>
  <c r="P47" i="74"/>
  <c r="P36" i="74"/>
  <c r="P27" i="74"/>
  <c r="P19" i="74"/>
  <c r="P11" i="74"/>
  <c r="P130" i="74"/>
  <c r="P117" i="74"/>
  <c r="P225" i="74"/>
  <c r="P208" i="74"/>
  <c r="P199" i="74"/>
  <c r="P191" i="74"/>
  <c r="P186" i="74"/>
  <c r="P176" i="74"/>
  <c r="P152" i="74"/>
  <c r="P143" i="74"/>
  <c r="P135" i="74"/>
  <c r="P121" i="74"/>
  <c r="P111" i="74"/>
  <c r="P106" i="74"/>
  <c r="P93" i="74"/>
  <c r="P76" i="74"/>
  <c r="P68" i="74"/>
  <c r="P61" i="74"/>
  <c r="P46" i="74"/>
  <c r="P34" i="74"/>
  <c r="P26" i="74"/>
  <c r="P18" i="74"/>
  <c r="P10" i="74"/>
  <c r="P167" i="74"/>
  <c r="P175" i="74"/>
  <c r="P224" i="74"/>
  <c r="P215" i="74"/>
  <c r="P207" i="74"/>
  <c r="P197" i="74"/>
  <c r="P190" i="74"/>
  <c r="P185" i="74"/>
  <c r="P174" i="74"/>
  <c r="P159" i="74"/>
  <c r="P151" i="74"/>
  <c r="P142" i="74"/>
  <c r="P134" i="74"/>
  <c r="P120" i="74"/>
  <c r="P88" i="74"/>
  <c r="P104" i="74"/>
  <c r="P92" i="74"/>
  <c r="P74" i="74"/>
  <c r="P67" i="74"/>
  <c r="P59" i="74"/>
  <c r="P44" i="74"/>
  <c r="P33" i="74"/>
  <c r="P25" i="74"/>
  <c r="P17" i="74"/>
  <c r="P9" i="74"/>
  <c r="P98" i="74"/>
  <c r="P85" i="74"/>
  <c r="P223" i="74"/>
  <c r="P214" i="74"/>
  <c r="P206" i="74"/>
  <c r="P196" i="74"/>
  <c r="P189" i="74"/>
  <c r="P184" i="74"/>
  <c r="P172" i="74"/>
  <c r="P158" i="74"/>
  <c r="P150" i="74"/>
  <c r="P141" i="74"/>
  <c r="P133" i="74"/>
  <c r="P119" i="74"/>
  <c r="P83" i="74"/>
  <c r="P103" i="74"/>
  <c r="P90" i="74"/>
  <c r="P73" i="74"/>
  <c r="P66" i="74"/>
  <c r="P58" i="74"/>
  <c r="P42" i="74"/>
  <c r="P32" i="74"/>
  <c r="P24" i="74"/>
  <c r="P16" i="74"/>
  <c r="P8" i="74"/>
  <c r="P96" i="74"/>
  <c r="P239" i="74"/>
  <c r="P221" i="74"/>
  <c r="P212" i="74"/>
  <c r="P204" i="74"/>
  <c r="P194" i="74"/>
  <c r="P182" i="74"/>
  <c r="P169" i="74"/>
  <c r="P156" i="74"/>
  <c r="P148" i="74"/>
  <c r="P139" i="74"/>
  <c r="P131" i="74"/>
  <c r="P116" i="74"/>
  <c r="P81" i="74"/>
  <c r="P100" i="74"/>
  <c r="P80" i="74"/>
  <c r="P166" i="74"/>
  <c r="P64" i="74"/>
  <c r="P51" i="74"/>
  <c r="P40" i="74"/>
  <c r="P30" i="74"/>
  <c r="P22" i="74"/>
  <c r="P14" i="74"/>
  <c r="P6" i="74"/>
  <c r="P87" i="74"/>
  <c r="P228" i="74"/>
  <c r="P220" i="74"/>
  <c r="P211" i="74"/>
  <c r="P201" i="74"/>
  <c r="P173" i="74"/>
  <c r="P181" i="74"/>
  <c r="P165" i="74"/>
  <c r="P155" i="74"/>
  <c r="P146" i="74"/>
  <c r="P138" i="74"/>
  <c r="P125" i="74"/>
  <c r="P115" i="74"/>
  <c r="P110" i="74"/>
  <c r="P99" i="74"/>
  <c r="P79" i="74"/>
  <c r="P71" i="74"/>
  <c r="P56" i="74"/>
  <c r="P54" i="74"/>
  <c r="P39" i="74"/>
  <c r="P29" i="74"/>
  <c r="P21" i="74"/>
  <c r="P13" i="74"/>
  <c r="P38" i="74"/>
  <c r="P227" i="74"/>
  <c r="P219" i="74"/>
  <c r="P210" i="74"/>
  <c r="P198" i="74"/>
  <c r="P193" i="74"/>
  <c r="P180" i="74"/>
  <c r="P164" i="74"/>
  <c r="P154" i="74"/>
  <c r="P145" i="74"/>
  <c r="P137" i="74"/>
  <c r="P124" i="74"/>
  <c r="P113" i="74"/>
  <c r="P109" i="74"/>
  <c r="P95" i="74"/>
  <c r="P78" i="74"/>
  <c r="P70" i="74"/>
  <c r="P62" i="74"/>
  <c r="P50" i="74"/>
  <c r="P37" i="74"/>
  <c r="P28" i="74"/>
  <c r="P20" i="74"/>
  <c r="E183" i="77" l="1"/>
  <c r="E183" i="8"/>
  <c r="E81" i="77"/>
  <c r="E81" i="8"/>
  <c r="E145" i="77"/>
  <c r="E145" i="8"/>
  <c r="E141" i="77"/>
  <c r="E141" i="8"/>
  <c r="E148" i="77"/>
  <c r="E148" i="8"/>
  <c r="E120" i="77"/>
  <c r="E120" i="8"/>
  <c r="E201" i="77"/>
  <c r="E201" i="8"/>
  <c r="E118" i="77"/>
  <c r="E118" i="8"/>
  <c r="E196" i="77"/>
  <c r="E196" i="8"/>
  <c r="E194" i="77"/>
  <c r="E194" i="8"/>
  <c r="E144" i="77"/>
  <c r="E144" i="8"/>
  <c r="E119" i="77"/>
  <c r="E119" i="8"/>
  <c r="E169" i="77"/>
  <c r="E169" i="8"/>
  <c r="E219" i="77"/>
  <c r="E219" i="8"/>
  <c r="E214" i="77"/>
  <c r="E214" i="8"/>
  <c r="E82" i="77"/>
  <c r="E82" i="8"/>
  <c r="E182" i="77"/>
  <c r="E182" i="8"/>
  <c r="E195" i="77"/>
  <c r="E195" i="8"/>
  <c r="E39" i="77"/>
  <c r="E39" i="8"/>
  <c r="E173" i="77"/>
  <c r="E173" i="8"/>
  <c r="E146" i="77"/>
  <c r="E146" i="8"/>
  <c r="E11" i="8"/>
  <c r="G82" i="8" l="1"/>
  <c r="J82" i="8"/>
  <c r="G173" i="77"/>
  <c r="J173" i="77" s="1"/>
  <c r="E173" i="78" s="1"/>
  <c r="G173" i="78" s="1"/>
  <c r="J173" i="78" s="1"/>
  <c r="G118" i="77"/>
  <c r="J118" i="77" s="1"/>
  <c r="E118" i="78" s="1"/>
  <c r="G118" i="78" s="1"/>
  <c r="J118" i="78" s="1"/>
  <c r="E118" i="79" s="1"/>
  <c r="G118" i="79" s="1"/>
  <c r="J118" i="79" s="1"/>
  <c r="G141" i="77"/>
  <c r="J141" i="77" s="1"/>
  <c r="E141" i="78" s="1"/>
  <c r="G141" i="78" s="1"/>
  <c r="J141" i="78" s="1"/>
  <c r="J39" i="8"/>
  <c r="G39" i="8"/>
  <c r="G214" i="8"/>
  <c r="J214" i="8"/>
  <c r="G144" i="8"/>
  <c r="J144" i="8"/>
  <c r="J201" i="8"/>
  <c r="G201" i="8"/>
  <c r="G145" i="8"/>
  <c r="J145" i="8"/>
  <c r="J173" i="8"/>
  <c r="G173" i="8"/>
  <c r="J119" i="8"/>
  <c r="G119" i="8"/>
  <c r="J141" i="8"/>
  <c r="G141" i="8"/>
  <c r="G119" i="77"/>
  <c r="J119" i="77" s="1"/>
  <c r="E119" i="78" s="1"/>
  <c r="G119" i="78" s="1"/>
  <c r="J119" i="78" s="1"/>
  <c r="G214" i="77"/>
  <c r="J214" i="77" s="1"/>
  <c r="E214" i="78" s="1"/>
  <c r="G214" i="78" s="1"/>
  <c r="J214" i="78" s="1"/>
  <c r="G144" i="77"/>
  <c r="J144" i="77" s="1"/>
  <c r="E144" i="78" s="1"/>
  <c r="G144" i="78" s="1"/>
  <c r="J144" i="78" s="1"/>
  <c r="E144" i="79" s="1"/>
  <c r="G144" i="79" s="1"/>
  <c r="J144" i="79" s="1"/>
  <c r="G201" i="77"/>
  <c r="J201" i="77" s="1"/>
  <c r="E201" i="78" s="1"/>
  <c r="G201" i="78" s="1"/>
  <c r="J201" i="78" s="1"/>
  <c r="G145" i="77"/>
  <c r="J145" i="77" s="1"/>
  <c r="E145" i="78" s="1"/>
  <c r="G145" i="78" s="1"/>
  <c r="J145" i="78" s="1"/>
  <c r="J195" i="8"/>
  <c r="G195" i="8"/>
  <c r="J219" i="8"/>
  <c r="G219" i="8"/>
  <c r="G194" i="8"/>
  <c r="J194" i="8"/>
  <c r="G120" i="8"/>
  <c r="J120" i="8"/>
  <c r="G81" i="8"/>
  <c r="J81" i="8"/>
  <c r="G39" i="77"/>
  <c r="J39" i="77" s="1"/>
  <c r="E39" i="78" s="1"/>
  <c r="G39" i="78" s="1"/>
  <c r="J39" i="78" s="1"/>
  <c r="E39" i="79" s="1"/>
  <c r="G39" i="79" s="1"/>
  <c r="J39" i="79" s="1"/>
  <c r="G11" i="8"/>
  <c r="J11" i="8"/>
  <c r="G195" i="77"/>
  <c r="J195" i="77" s="1"/>
  <c r="E195" i="78" s="1"/>
  <c r="G195" i="78" s="1"/>
  <c r="J195" i="78" s="1"/>
  <c r="G219" i="77"/>
  <c r="J219" i="77" s="1"/>
  <c r="E219" i="78" s="1"/>
  <c r="G219" i="78" s="1"/>
  <c r="J219" i="78" s="1"/>
  <c r="G194" i="77"/>
  <c r="J194" i="77" s="1"/>
  <c r="E194" i="78" s="1"/>
  <c r="G194" i="78" s="1"/>
  <c r="J194" i="78" s="1"/>
  <c r="E194" i="79" s="1"/>
  <c r="G194" i="79" s="1"/>
  <c r="J194" i="79" s="1"/>
  <c r="G120" i="77"/>
  <c r="J120" i="77" s="1"/>
  <c r="E120" i="78" s="1"/>
  <c r="G120" i="78" s="1"/>
  <c r="J120" i="78" s="1"/>
  <c r="G81" i="77"/>
  <c r="J81" i="77" s="1"/>
  <c r="E81" i="78" s="1"/>
  <c r="G81" i="78" s="1"/>
  <c r="J81" i="78" s="1"/>
  <c r="G118" i="8"/>
  <c r="J118" i="8"/>
  <c r="G82" i="77"/>
  <c r="J82" i="77" s="1"/>
  <c r="E82" i="78" s="1"/>
  <c r="G82" i="78" s="1"/>
  <c r="J82" i="78" s="1"/>
  <c r="G146" i="8"/>
  <c r="J146" i="8"/>
  <c r="G182" i="8"/>
  <c r="J182" i="8"/>
  <c r="G169" i="8"/>
  <c r="J169" i="8"/>
  <c r="G196" i="8"/>
  <c r="J196" i="8"/>
  <c r="G148" i="8"/>
  <c r="J148" i="8"/>
  <c r="J183" i="8"/>
  <c r="G183" i="8"/>
  <c r="G146" i="77"/>
  <c r="J146" i="77" s="1"/>
  <c r="E146" i="78" s="1"/>
  <c r="G146" i="78" s="1"/>
  <c r="J146" i="78" s="1"/>
  <c r="G182" i="77"/>
  <c r="J182" i="77" s="1"/>
  <c r="E182" i="78" s="1"/>
  <c r="G182" i="78" s="1"/>
  <c r="J182" i="78" s="1"/>
  <c r="G169" i="77"/>
  <c r="J169" i="77" s="1"/>
  <c r="E169" i="78" s="1"/>
  <c r="G169" i="78" s="1"/>
  <c r="J169" i="78" s="1"/>
  <c r="G196" i="77"/>
  <c r="J196" i="77" s="1"/>
  <c r="E196" i="78" s="1"/>
  <c r="G196" i="78" s="1"/>
  <c r="J196" i="78" s="1"/>
  <c r="G148" i="77"/>
  <c r="J148" i="77" s="1"/>
  <c r="E148" i="78" s="1"/>
  <c r="G148" i="78" s="1"/>
  <c r="J148" i="78" s="1"/>
  <c r="G183" i="77"/>
  <c r="J183" i="77" s="1"/>
  <c r="E183" i="78" s="1"/>
  <c r="G183" i="78" s="1"/>
  <c r="J183" i="78" s="1"/>
  <c r="E184" i="77"/>
  <c r="E184" i="8"/>
  <c r="E11" i="77"/>
  <c r="E106" i="77"/>
  <c r="E106" i="8"/>
  <c r="E185" i="77"/>
  <c r="E185" i="8"/>
  <c r="E187" i="77"/>
  <c r="E187" i="8"/>
  <c r="E121" i="77"/>
  <c r="E121" i="8"/>
  <c r="E192" i="77"/>
  <c r="E192" i="8"/>
  <c r="E9" i="77"/>
  <c r="E9" i="8"/>
  <c r="E142" i="77"/>
  <c r="E142" i="8"/>
  <c r="E10" i="77"/>
  <c r="E10" i="8"/>
  <c r="E174" i="77"/>
  <c r="E174" i="8"/>
  <c r="E199" i="77"/>
  <c r="E199" i="8"/>
  <c r="E197" i="77"/>
  <c r="E197" i="8"/>
  <c r="E198" i="77"/>
  <c r="E198" i="8"/>
  <c r="E220" i="77"/>
  <c r="E220" i="8"/>
  <c r="E150" i="77"/>
  <c r="E150" i="8"/>
  <c r="E200" i="77"/>
  <c r="E200" i="8"/>
  <c r="E193" i="77"/>
  <c r="E193" i="8"/>
  <c r="E191" i="77"/>
  <c r="E191" i="8"/>
  <c r="E140" i="77"/>
  <c r="E140" i="8"/>
  <c r="E149" i="77"/>
  <c r="E149" i="8"/>
  <c r="E143" i="77"/>
  <c r="E143" i="8"/>
  <c r="E186" i="77"/>
  <c r="E186" i="8"/>
  <c r="E81" i="79" l="1"/>
  <c r="G81" i="79" s="1"/>
  <c r="J81" i="79" s="1"/>
  <c r="E81" i="80" s="1"/>
  <c r="G81" i="80" s="1"/>
  <c r="J81" i="80" s="1"/>
  <c r="E183" i="79"/>
  <c r="G183" i="79" s="1"/>
  <c r="J183" i="79" s="1"/>
  <c r="E183" i="80" s="1"/>
  <c r="G183" i="80" s="1"/>
  <c r="J183" i="80" s="1"/>
  <c r="E120" i="79"/>
  <c r="G120" i="79" s="1"/>
  <c r="J120" i="79" s="1"/>
  <c r="E120" i="80" s="1"/>
  <c r="G120" i="80" s="1"/>
  <c r="J120" i="80" s="1"/>
  <c r="E119" i="79"/>
  <c r="G119" i="79" s="1"/>
  <c r="J119" i="79" s="1"/>
  <c r="E119" i="80" s="1"/>
  <c r="G119" i="80" s="1"/>
  <c r="J119" i="80" s="1"/>
  <c r="E214" i="79"/>
  <c r="G214" i="79" s="1"/>
  <c r="J214" i="79" s="1"/>
  <c r="E214" i="80" s="1"/>
  <c r="G214" i="80" s="1"/>
  <c r="J214" i="80" s="1"/>
  <c r="E148" i="79"/>
  <c r="G148" i="79" s="1"/>
  <c r="J148" i="79" s="1"/>
  <c r="E148" i="80" s="1"/>
  <c r="G148" i="80" s="1"/>
  <c r="J148" i="80" s="1"/>
  <c r="E141" i="79"/>
  <c r="G141" i="79" s="1"/>
  <c r="J141" i="79" s="1"/>
  <c r="E141" i="80" s="1"/>
  <c r="G141" i="80" s="1"/>
  <c r="J141" i="80" s="1"/>
  <c r="E196" i="79"/>
  <c r="G196" i="79" s="1"/>
  <c r="J196" i="79" s="1"/>
  <c r="E196" i="80" s="1"/>
  <c r="G196" i="80" s="1"/>
  <c r="J196" i="80" s="1"/>
  <c r="E146" i="79"/>
  <c r="G146" i="79" s="1"/>
  <c r="J146" i="79" s="1"/>
  <c r="E146" i="80" s="1"/>
  <c r="G146" i="80" s="1"/>
  <c r="J146" i="80" s="1"/>
  <c r="E169" i="79"/>
  <c r="G169" i="79" s="1"/>
  <c r="J169" i="79" s="1"/>
  <c r="E169" i="80" s="1"/>
  <c r="G169" i="80" s="1"/>
  <c r="J169" i="80" s="1"/>
  <c r="E219" i="79"/>
  <c r="G219" i="79" s="1"/>
  <c r="J219" i="79" s="1"/>
  <c r="E219" i="80" s="1"/>
  <c r="G219" i="80" s="1"/>
  <c r="J219" i="80" s="1"/>
  <c r="E145" i="79"/>
  <c r="G145" i="79" s="1"/>
  <c r="J145" i="79" s="1"/>
  <c r="E145" i="80" s="1"/>
  <c r="G145" i="80" s="1"/>
  <c r="J145" i="80" s="1"/>
  <c r="E173" i="79"/>
  <c r="G173" i="79" s="1"/>
  <c r="J173" i="79" s="1"/>
  <c r="E173" i="80" s="1"/>
  <c r="G173" i="80" s="1"/>
  <c r="J173" i="80" s="1"/>
  <c r="E82" i="79"/>
  <c r="G82" i="79" s="1"/>
  <c r="J82" i="79" s="1"/>
  <c r="E82" i="80" s="1"/>
  <c r="G82" i="80" s="1"/>
  <c r="J82" i="80" s="1"/>
  <c r="E195" i="79"/>
  <c r="G195" i="79" s="1"/>
  <c r="J195" i="79" s="1"/>
  <c r="E195" i="80" s="1"/>
  <c r="G195" i="80" s="1"/>
  <c r="J195" i="80" s="1"/>
  <c r="E201" i="79"/>
  <c r="G201" i="79" s="1"/>
  <c r="J201" i="79" s="1"/>
  <c r="E201" i="80" s="1"/>
  <c r="G201" i="80" s="1"/>
  <c r="J201" i="80" s="1"/>
  <c r="E182" i="79"/>
  <c r="G182" i="79" s="1"/>
  <c r="J182" i="79" s="1"/>
  <c r="E182" i="80" s="1"/>
  <c r="G182" i="80" s="1"/>
  <c r="J182" i="80" s="1"/>
  <c r="G150" i="77"/>
  <c r="J150" i="77" s="1"/>
  <c r="E150" i="78" s="1"/>
  <c r="G150" i="78" s="1"/>
  <c r="J150" i="78" s="1"/>
  <c r="G220" i="77"/>
  <c r="J220" i="77" s="1"/>
  <c r="E220" i="78" s="1"/>
  <c r="G220" i="78" s="1"/>
  <c r="J220" i="78" s="1"/>
  <c r="J143" i="8"/>
  <c r="G143" i="8"/>
  <c r="J193" i="8"/>
  <c r="G193" i="8"/>
  <c r="G198" i="8"/>
  <c r="J198" i="8"/>
  <c r="G10" i="8"/>
  <c r="J10" i="8"/>
  <c r="G121" i="8"/>
  <c r="J121" i="8"/>
  <c r="G11" i="77"/>
  <c r="J11" i="77" s="1"/>
  <c r="E11" i="78" s="1"/>
  <c r="G11" i="78" s="1"/>
  <c r="J11" i="78" s="1"/>
  <c r="G9" i="77"/>
  <c r="J9" i="77" s="1"/>
  <c r="E9" i="78" s="1"/>
  <c r="G9" i="78" s="1"/>
  <c r="J9" i="78" s="1"/>
  <c r="G186" i="8"/>
  <c r="J186" i="8"/>
  <c r="G186" i="77"/>
  <c r="J186" i="77" s="1"/>
  <c r="E186" i="78" s="1"/>
  <c r="G186" i="78" s="1"/>
  <c r="J186" i="78" s="1"/>
  <c r="E186" i="79" s="1"/>
  <c r="G186" i="79" s="1"/>
  <c r="J186" i="79" s="1"/>
  <c r="G191" i="77"/>
  <c r="J191" i="77" s="1"/>
  <c r="E191" i="78" s="1"/>
  <c r="G191" i="78" s="1"/>
  <c r="J191" i="78" s="1"/>
  <c r="G174" i="77"/>
  <c r="J174" i="77" s="1"/>
  <c r="E174" i="78" s="1"/>
  <c r="G174" i="78" s="1"/>
  <c r="J174" i="78" s="1"/>
  <c r="G192" i="77"/>
  <c r="J192" i="77" s="1"/>
  <c r="E192" i="78" s="1"/>
  <c r="G192" i="78" s="1"/>
  <c r="J192" i="78" s="1"/>
  <c r="G106" i="77"/>
  <c r="J106" i="77" s="1"/>
  <c r="E106" i="78" s="1"/>
  <c r="G106" i="78" s="1"/>
  <c r="J106" i="78" s="1"/>
  <c r="E106" i="79" s="1"/>
  <c r="G106" i="79" s="1"/>
  <c r="J106" i="79" s="1"/>
  <c r="G143" i="77"/>
  <c r="J143" i="77" s="1"/>
  <c r="E143" i="78" s="1"/>
  <c r="G143" i="78" s="1"/>
  <c r="J143" i="78" s="1"/>
  <c r="G193" i="77"/>
  <c r="J193" i="77" s="1"/>
  <c r="E193" i="78" s="1"/>
  <c r="G193" i="78" s="1"/>
  <c r="J193" i="78" s="1"/>
  <c r="G198" i="77"/>
  <c r="J198" i="77" s="1"/>
  <c r="E198" i="78" s="1"/>
  <c r="G198" i="78" s="1"/>
  <c r="J198" i="78" s="1"/>
  <c r="G10" i="77"/>
  <c r="J10" i="77" s="1"/>
  <c r="E10" i="78" s="1"/>
  <c r="G10" i="78" s="1"/>
  <c r="J10" i="78" s="1"/>
  <c r="E10" i="79" s="1"/>
  <c r="G10" i="79" s="1"/>
  <c r="J10" i="79" s="1"/>
  <c r="G121" i="77"/>
  <c r="J121" i="77" s="1"/>
  <c r="E121" i="78" s="1"/>
  <c r="G121" i="78" s="1"/>
  <c r="J121" i="78" s="1"/>
  <c r="G184" i="8"/>
  <c r="J184" i="8"/>
  <c r="G199" i="77"/>
  <c r="J199" i="77" s="1"/>
  <c r="E199" i="78" s="1"/>
  <c r="G199" i="78" s="1"/>
  <c r="J199" i="78" s="1"/>
  <c r="G200" i="8"/>
  <c r="J200" i="8"/>
  <c r="G142" i="8"/>
  <c r="J142" i="8"/>
  <c r="G184" i="77"/>
  <c r="J184" i="77" s="1"/>
  <c r="E184" i="78" s="1"/>
  <c r="G184" i="78" s="1"/>
  <c r="J184" i="78" s="1"/>
  <c r="J149" i="8"/>
  <c r="G149" i="8"/>
  <c r="J197" i="8"/>
  <c r="G197" i="8"/>
  <c r="J187" i="8"/>
  <c r="G187" i="8"/>
  <c r="G149" i="77"/>
  <c r="J149" i="77" s="1"/>
  <c r="E149" i="78" s="1"/>
  <c r="G149" i="78" s="1"/>
  <c r="J149" i="78" s="1"/>
  <c r="G200" i="77"/>
  <c r="J200" i="77" s="1"/>
  <c r="E200" i="78" s="1"/>
  <c r="G200" i="78" s="1"/>
  <c r="J200" i="78" s="1"/>
  <c r="G197" i="77"/>
  <c r="J197" i="77" s="1"/>
  <c r="E197" i="78" s="1"/>
  <c r="G197" i="78" s="1"/>
  <c r="J197" i="78" s="1"/>
  <c r="E197" i="79" s="1"/>
  <c r="G197" i="79" s="1"/>
  <c r="J197" i="79" s="1"/>
  <c r="G142" i="77"/>
  <c r="J142" i="77" s="1"/>
  <c r="E142" i="78" s="1"/>
  <c r="G142" i="78" s="1"/>
  <c r="J142" i="78" s="1"/>
  <c r="G187" i="77"/>
  <c r="J187" i="77" s="1"/>
  <c r="E187" i="78" s="1"/>
  <c r="G187" i="78" s="1"/>
  <c r="J187" i="78" s="1"/>
  <c r="G140" i="8"/>
  <c r="J140" i="8"/>
  <c r="G150" i="8"/>
  <c r="J150" i="8"/>
  <c r="J199" i="8"/>
  <c r="G199" i="8"/>
  <c r="G9" i="8"/>
  <c r="J9" i="8"/>
  <c r="J185" i="8"/>
  <c r="G185" i="8"/>
  <c r="G140" i="77"/>
  <c r="J140" i="77" s="1"/>
  <c r="E140" i="78" s="1"/>
  <c r="G140" i="78" s="1"/>
  <c r="J140" i="78" s="1"/>
  <c r="E140" i="79" s="1"/>
  <c r="G140" i="79" s="1"/>
  <c r="J140" i="79" s="1"/>
  <c r="G185" i="77"/>
  <c r="J185" i="77" s="1"/>
  <c r="E185" i="78" s="1"/>
  <c r="G185" i="78" s="1"/>
  <c r="J185" i="78" s="1"/>
  <c r="J191" i="8"/>
  <c r="G191" i="8"/>
  <c r="G220" i="8"/>
  <c r="J220" i="8"/>
  <c r="G174" i="8"/>
  <c r="J174" i="8"/>
  <c r="G192" i="8"/>
  <c r="J192" i="8"/>
  <c r="G106" i="8"/>
  <c r="J106" i="8"/>
  <c r="E118" i="80"/>
  <c r="G118" i="80" s="1"/>
  <c r="J118" i="80" s="1"/>
  <c r="E39" i="80"/>
  <c r="G39" i="80" s="1"/>
  <c r="J39" i="80" s="1"/>
  <c r="E144" i="80"/>
  <c r="G144" i="80" s="1"/>
  <c r="J144" i="80" s="1"/>
  <c r="E194" i="80"/>
  <c r="G194" i="80" s="1"/>
  <c r="J194" i="80" s="1"/>
  <c r="E9" i="79" l="1"/>
  <c r="G9" i="79" s="1"/>
  <c r="J9" i="79" s="1"/>
  <c r="E9" i="80" s="1"/>
  <c r="G9" i="80" s="1"/>
  <c r="J9" i="80" s="1"/>
  <c r="E200" i="79"/>
  <c r="G200" i="79" s="1"/>
  <c r="J200" i="79" s="1"/>
  <c r="E200" i="80" s="1"/>
  <c r="G200" i="80" s="1"/>
  <c r="J200" i="80" s="1"/>
  <c r="E184" i="79"/>
  <c r="G184" i="79" s="1"/>
  <c r="J184" i="79" s="1"/>
  <c r="E184" i="80" s="1"/>
  <c r="G184" i="80" s="1"/>
  <c r="J184" i="80" s="1"/>
  <c r="E121" i="79"/>
  <c r="G121" i="79" s="1"/>
  <c r="J121" i="79" s="1"/>
  <c r="E121" i="80" s="1"/>
  <c r="G121" i="80" s="1"/>
  <c r="J121" i="80" s="1"/>
  <c r="E192" i="79"/>
  <c r="G192" i="79" s="1"/>
  <c r="J192" i="79" s="1"/>
  <c r="E192" i="80" s="1"/>
  <c r="G192" i="80" s="1"/>
  <c r="J192" i="80" s="1"/>
  <c r="E11" i="79"/>
  <c r="G11" i="79" s="1"/>
  <c r="J11" i="79" s="1"/>
  <c r="E11" i="80" s="1"/>
  <c r="G11" i="80" s="1"/>
  <c r="J11" i="80" s="1"/>
  <c r="E149" i="79"/>
  <c r="G149" i="79" s="1"/>
  <c r="J149" i="79" s="1"/>
  <c r="E149" i="80" s="1"/>
  <c r="G149" i="80" s="1"/>
  <c r="J149" i="80" s="1"/>
  <c r="E174" i="79"/>
  <c r="G174" i="79" s="1"/>
  <c r="J174" i="79" s="1"/>
  <c r="E174" i="80" s="1"/>
  <c r="G174" i="80" s="1"/>
  <c r="J174" i="80" s="1"/>
  <c r="E185" i="79"/>
  <c r="G185" i="79" s="1"/>
  <c r="J185" i="79" s="1"/>
  <c r="E185" i="80" s="1"/>
  <c r="G185" i="80" s="1"/>
  <c r="J185" i="80" s="1"/>
  <c r="E198" i="79"/>
  <c r="G198" i="79" s="1"/>
  <c r="J198" i="79" s="1"/>
  <c r="E198" i="80" s="1"/>
  <c r="G198" i="80" s="1"/>
  <c r="J198" i="80" s="1"/>
  <c r="E220" i="79"/>
  <c r="G220" i="79" s="1"/>
  <c r="J220" i="79" s="1"/>
  <c r="E220" i="80" s="1"/>
  <c r="G220" i="80" s="1"/>
  <c r="J220" i="80" s="1"/>
  <c r="E191" i="79"/>
  <c r="G191" i="79" s="1"/>
  <c r="J191" i="79" s="1"/>
  <c r="E191" i="80" s="1"/>
  <c r="G191" i="80" s="1"/>
  <c r="J191" i="80" s="1"/>
  <c r="E187" i="79"/>
  <c r="G187" i="79" s="1"/>
  <c r="J187" i="79" s="1"/>
  <c r="E187" i="80" s="1"/>
  <c r="G187" i="80" s="1"/>
  <c r="J187" i="80" s="1"/>
  <c r="E193" i="79"/>
  <c r="G193" i="79" s="1"/>
  <c r="J193" i="79" s="1"/>
  <c r="E193" i="80" s="1"/>
  <c r="G193" i="80" s="1"/>
  <c r="J193" i="80" s="1"/>
  <c r="E150" i="79"/>
  <c r="G150" i="79" s="1"/>
  <c r="J150" i="79" s="1"/>
  <c r="E150" i="80" s="1"/>
  <c r="G150" i="80" s="1"/>
  <c r="J150" i="80" s="1"/>
  <c r="E142" i="79"/>
  <c r="G142" i="79" s="1"/>
  <c r="J142" i="79" s="1"/>
  <c r="E142" i="80" s="1"/>
  <c r="G142" i="80" s="1"/>
  <c r="J142" i="80" s="1"/>
  <c r="E199" i="79"/>
  <c r="G199" i="79" s="1"/>
  <c r="J199" i="79" s="1"/>
  <c r="E199" i="80" s="1"/>
  <c r="G199" i="80" s="1"/>
  <c r="J199" i="80" s="1"/>
  <c r="G143" i="79"/>
  <c r="J143" i="79" s="1"/>
  <c r="E143" i="80" s="1"/>
  <c r="G143" i="80" s="1"/>
  <c r="J143" i="80" s="1"/>
  <c r="E143" i="79"/>
  <c r="E106" i="80"/>
  <c r="G106" i="80" s="1"/>
  <c r="J106" i="80" s="1"/>
  <c r="E140" i="80"/>
  <c r="G140" i="80" s="1"/>
  <c r="J140" i="80" s="1"/>
  <c r="E10" i="80"/>
  <c r="G10" i="80" s="1"/>
  <c r="J10" i="80" s="1"/>
  <c r="E186" i="80"/>
  <c r="G186" i="80" s="1"/>
  <c r="J186" i="80" s="1"/>
  <c r="E197" i="80"/>
  <c r="G197" i="80" s="1"/>
  <c r="J197" i="80" s="1"/>
  <c r="E71" i="77"/>
  <c r="E71" i="8"/>
  <c r="E70" i="77"/>
  <c r="E70" i="8"/>
  <c r="E166" i="77"/>
  <c r="E166" i="8"/>
  <c r="N247" i="74"/>
  <c r="N244" i="74"/>
  <c r="M5" i="74"/>
  <c r="N242" i="74" s="1"/>
  <c r="G166" i="77" l="1"/>
  <c r="J166" i="77" s="1"/>
  <c r="E166" i="78" s="1"/>
  <c r="G166" i="78" s="1"/>
  <c r="J166" i="78" s="1"/>
  <c r="G70" i="8"/>
  <c r="J70" i="8"/>
  <c r="G70" i="77"/>
  <c r="J70" i="77" s="1"/>
  <c r="E70" i="78" s="1"/>
  <c r="G70" i="78" s="1"/>
  <c r="J70" i="78" s="1"/>
  <c r="J71" i="8"/>
  <c r="G71" i="8"/>
  <c r="G71" i="77"/>
  <c r="J71" i="77" s="1"/>
  <c r="E71" i="78" s="1"/>
  <c r="G71" i="78" s="1"/>
  <c r="J71" i="78" s="1"/>
  <c r="G166" i="8"/>
  <c r="J166" i="8"/>
  <c r="P5" i="74"/>
  <c r="R240" i="74"/>
  <c r="E166" i="79" l="1"/>
  <c r="G166" i="79" s="1"/>
  <c r="J166" i="79" s="1"/>
  <c r="E166" i="80" s="1"/>
  <c r="G166" i="80" s="1"/>
  <c r="J166" i="80" s="1"/>
  <c r="E71" i="79"/>
  <c r="G71" i="79" s="1"/>
  <c r="J71" i="79" s="1"/>
  <c r="E71" i="80" s="1"/>
  <c r="G71" i="80" s="1"/>
  <c r="J71" i="80" s="1"/>
  <c r="E70" i="79"/>
  <c r="G70" i="79" s="1"/>
  <c r="J70" i="79" s="1"/>
  <c r="E70" i="80" s="1"/>
  <c r="G70" i="80" s="1"/>
  <c r="J70" i="80" s="1"/>
  <c r="X6" i="8"/>
  <c r="X5" i="8"/>
  <c r="Z5" i="8" s="1"/>
  <c r="AC5" i="8" s="1"/>
  <c r="N248" i="74"/>
  <c r="N251" i="74" l="1"/>
  <c r="N250" i="74"/>
  <c r="Y9" i="8"/>
  <c r="S9" i="8"/>
  <c r="V9" i="8"/>
  <c r="T9" i="8"/>
  <c r="U9" i="8"/>
  <c r="X9" i="8" l="1"/>
  <c r="K212" i="64" l="1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233" i="77" l="1"/>
  <c r="E235" i="77"/>
  <c r="E229" i="77"/>
  <c r="E22" i="8"/>
  <c r="E230" i="77"/>
  <c r="E232" i="77"/>
  <c r="E179" i="77"/>
  <c r="E231" i="77"/>
  <c r="E234" i="77"/>
  <c r="E161" i="77"/>
  <c r="G161" i="77" s="1"/>
  <c r="J161" i="77" s="1"/>
  <c r="E236" i="77"/>
  <c r="N204" i="64"/>
  <c r="X107" i="64"/>
  <c r="J206" i="64" s="1"/>
  <c r="K207" i="64" s="1"/>
  <c r="G235" i="77" l="1"/>
  <c r="J235" i="77" s="1"/>
  <c r="E235" i="78" s="1"/>
  <c r="G235" i="78" s="1"/>
  <c r="J235" i="78" s="1"/>
  <c r="E235" i="79" s="1"/>
  <c r="G234" i="77"/>
  <c r="J234" i="77" s="1"/>
  <c r="E234" i="78" s="1"/>
  <c r="G234" i="78" s="1"/>
  <c r="J234" i="78" s="1"/>
  <c r="E234" i="79" s="1"/>
  <c r="G231" i="77"/>
  <c r="J231" i="77" s="1"/>
  <c r="E231" i="78" s="1"/>
  <c r="G231" i="78" s="1"/>
  <c r="J231" i="78" s="1"/>
  <c r="E231" i="79" s="1"/>
  <c r="G230" i="77"/>
  <c r="J230" i="77" s="1"/>
  <c r="E230" i="78" s="1"/>
  <c r="G230" i="78" s="1"/>
  <c r="J230" i="78" s="1"/>
  <c r="E230" i="79" s="1"/>
  <c r="G229" i="77"/>
  <c r="J229" i="77" s="1"/>
  <c r="E229" i="78" s="1"/>
  <c r="G229" i="78" s="1"/>
  <c r="J229" i="78" s="1"/>
  <c r="G179" i="77"/>
  <c r="J179" i="77" s="1"/>
  <c r="E179" i="78" s="1"/>
  <c r="G179" i="78" s="1"/>
  <c r="J179" i="78" s="1"/>
  <c r="G232" i="77"/>
  <c r="J232" i="77" s="1"/>
  <c r="E232" i="78" s="1"/>
  <c r="G232" i="78" s="1"/>
  <c r="J232" i="78" s="1"/>
  <c r="E232" i="79" s="1"/>
  <c r="G22" i="8"/>
  <c r="J22" i="8"/>
  <c r="G236" i="77"/>
  <c r="J236" i="77" s="1"/>
  <c r="E236" i="78" s="1"/>
  <c r="G236" i="78" s="1"/>
  <c r="J236" i="78" s="1"/>
  <c r="E236" i="79" s="1"/>
  <c r="G233" i="77"/>
  <c r="J233" i="77" s="1"/>
  <c r="E233" i="78" s="1"/>
  <c r="G233" i="78" s="1"/>
  <c r="J233" i="78" s="1"/>
  <c r="E233" i="79" s="1"/>
  <c r="E176" i="77"/>
  <c r="E176" i="8"/>
  <c r="E86" i="77"/>
  <c r="E86" i="8"/>
  <c r="E41" i="77"/>
  <c r="E41" i="8"/>
  <c r="E49" i="77"/>
  <c r="E49" i="8"/>
  <c r="E133" i="77"/>
  <c r="E133" i="8"/>
  <c r="E212" i="77"/>
  <c r="E212" i="8"/>
  <c r="E65" i="77"/>
  <c r="E65" i="8"/>
  <c r="E46" i="77"/>
  <c r="E46" i="8"/>
  <c r="E108" i="77"/>
  <c r="E108" i="8"/>
  <c r="E89" i="77"/>
  <c r="E89" i="8"/>
  <c r="E55" i="77"/>
  <c r="E55" i="8"/>
  <c r="E156" i="77"/>
  <c r="E156" i="8"/>
  <c r="E222" i="77"/>
  <c r="E222" i="8"/>
  <c r="E97" i="77"/>
  <c r="E97" i="8"/>
  <c r="E20" i="77"/>
  <c r="E20" i="8"/>
  <c r="E30" i="77"/>
  <c r="E30" i="8"/>
  <c r="E160" i="77"/>
  <c r="E160" i="8"/>
  <c r="E77" i="77"/>
  <c r="E77" i="8"/>
  <c r="E32" i="77"/>
  <c r="E32" i="8"/>
  <c r="E36" i="77"/>
  <c r="E36" i="8"/>
  <c r="E24" i="77"/>
  <c r="E24" i="8"/>
  <c r="E152" i="77"/>
  <c r="E152" i="8"/>
  <c r="E181" i="77"/>
  <c r="E181" i="8"/>
  <c r="E151" i="77"/>
  <c r="E151" i="8"/>
  <c r="E26" i="77"/>
  <c r="E26" i="8"/>
  <c r="E103" i="77"/>
  <c r="E103" i="8"/>
  <c r="E96" i="77"/>
  <c r="E96" i="8"/>
  <c r="E157" i="77"/>
  <c r="E157" i="8"/>
  <c r="E203" i="77"/>
  <c r="E203" i="8"/>
  <c r="E239" i="77"/>
  <c r="E239" i="8"/>
  <c r="E132" i="77"/>
  <c r="E132" i="8"/>
  <c r="E137" i="77"/>
  <c r="E137" i="8"/>
  <c r="E44" i="77"/>
  <c r="E44" i="8"/>
  <c r="E40" i="77"/>
  <c r="E40" i="8"/>
  <c r="E69" i="77"/>
  <c r="E69" i="8"/>
  <c r="E164" i="77"/>
  <c r="E164" i="8"/>
  <c r="E113" i="77"/>
  <c r="E113" i="8"/>
  <c r="E25" i="77"/>
  <c r="E25" i="8"/>
  <c r="E66" i="77"/>
  <c r="E66" i="8"/>
  <c r="E134" i="77"/>
  <c r="E134" i="8"/>
  <c r="E68" i="77"/>
  <c r="E68" i="8"/>
  <c r="E114" i="77"/>
  <c r="E114" i="8"/>
  <c r="E105" i="77"/>
  <c r="E105" i="8"/>
  <c r="E109" i="77"/>
  <c r="E109" i="8"/>
  <c r="E171" i="77"/>
  <c r="E171" i="8"/>
  <c r="E88" i="77"/>
  <c r="E88" i="8"/>
  <c r="E210" i="77"/>
  <c r="E210" i="8"/>
  <c r="E227" i="77"/>
  <c r="E227" i="8"/>
  <c r="E31" i="77"/>
  <c r="E31" i="8"/>
  <c r="E43" i="77"/>
  <c r="E43" i="8"/>
  <c r="E172" i="77"/>
  <c r="E172" i="8"/>
  <c r="E101" i="77"/>
  <c r="E101" i="8"/>
  <c r="E131" i="77"/>
  <c r="E131" i="8"/>
  <c r="E218" i="77"/>
  <c r="E218" i="8"/>
  <c r="E52" i="77"/>
  <c r="E52" i="8"/>
  <c r="E136" i="77"/>
  <c r="E136" i="8"/>
  <c r="E116" i="77"/>
  <c r="E116" i="8"/>
  <c r="E175" i="77"/>
  <c r="E175" i="8"/>
  <c r="E57" i="77"/>
  <c r="E57" i="8"/>
  <c r="E224" i="77"/>
  <c r="E224" i="8"/>
  <c r="E211" i="77"/>
  <c r="E211" i="8"/>
  <c r="E19" i="77"/>
  <c r="E19" i="8"/>
  <c r="E221" i="77"/>
  <c r="E221" i="8"/>
  <c r="E139" i="77"/>
  <c r="E139" i="8"/>
  <c r="E123" i="77"/>
  <c r="E123" i="8"/>
  <c r="E208" i="77"/>
  <c r="E208" i="8"/>
  <c r="E92" i="77"/>
  <c r="E92" i="8"/>
  <c r="E153" i="77"/>
  <c r="E153" i="8"/>
  <c r="E98" i="77"/>
  <c r="E98" i="8"/>
  <c r="E58" i="77"/>
  <c r="E58" i="8"/>
  <c r="E228" i="77"/>
  <c r="E228" i="8"/>
  <c r="E56" i="77"/>
  <c r="E56" i="8"/>
  <c r="E87" i="77"/>
  <c r="E87" i="8"/>
  <c r="E111" i="77"/>
  <c r="E111" i="8"/>
  <c r="E50" i="77"/>
  <c r="E50" i="8"/>
  <c r="E215" i="77"/>
  <c r="E215" i="8"/>
  <c r="E62" i="77"/>
  <c r="E62" i="8"/>
  <c r="E83" i="77"/>
  <c r="E83" i="8"/>
  <c r="E48" i="77"/>
  <c r="E48" i="8"/>
  <c r="E135" i="77"/>
  <c r="E135" i="8"/>
  <c r="E147" i="77"/>
  <c r="E147" i="8"/>
  <c r="E216" i="77"/>
  <c r="E216" i="8"/>
  <c r="E177" i="77"/>
  <c r="E177" i="8"/>
  <c r="E74" i="77"/>
  <c r="E74" i="8"/>
  <c r="E78" i="77"/>
  <c r="E78" i="8"/>
  <c r="E94" i="77"/>
  <c r="E94" i="8"/>
  <c r="E90" i="77"/>
  <c r="E90" i="8"/>
  <c r="E159" i="77"/>
  <c r="E159" i="8"/>
  <c r="E165" i="77"/>
  <c r="E165" i="8"/>
  <c r="E27" i="77"/>
  <c r="E27" i="8"/>
  <c r="E29" i="77"/>
  <c r="E29" i="8"/>
  <c r="E155" i="77"/>
  <c r="E155" i="8"/>
  <c r="E53" i="77"/>
  <c r="E53" i="8"/>
  <c r="E100" i="77"/>
  <c r="E100" i="8"/>
  <c r="E138" i="77"/>
  <c r="E138" i="8"/>
  <c r="E59" i="77"/>
  <c r="E59" i="8"/>
  <c r="E226" i="77"/>
  <c r="E226" i="8"/>
  <c r="E180" i="77"/>
  <c r="E180" i="8"/>
  <c r="E42" i="77"/>
  <c r="E42" i="8"/>
  <c r="E22" i="77"/>
  <c r="E130" i="77"/>
  <c r="E130" i="8"/>
  <c r="E21" i="77"/>
  <c r="E21" i="8"/>
  <c r="E163" i="77"/>
  <c r="E163" i="8"/>
  <c r="E47" i="77"/>
  <c r="E47" i="8"/>
  <c r="E213" i="77"/>
  <c r="E213" i="8"/>
  <c r="E64" i="77"/>
  <c r="E64" i="8"/>
  <c r="E225" i="77"/>
  <c r="E225" i="8"/>
  <c r="E28" i="77"/>
  <c r="E28" i="8"/>
  <c r="E33" i="77"/>
  <c r="E33" i="8"/>
  <c r="E76" i="77"/>
  <c r="E76" i="8"/>
  <c r="E37" i="77"/>
  <c r="E37" i="8"/>
  <c r="E104" i="77"/>
  <c r="E104" i="8"/>
  <c r="E61" i="77"/>
  <c r="E61" i="8"/>
  <c r="E67" i="77"/>
  <c r="E67" i="8"/>
  <c r="E99" i="77"/>
  <c r="E99" i="8"/>
  <c r="E79" i="77"/>
  <c r="E79" i="8"/>
  <c r="E54" i="77"/>
  <c r="E54" i="8"/>
  <c r="E223" i="77"/>
  <c r="E223" i="8"/>
  <c r="E72" i="77"/>
  <c r="E72" i="8"/>
  <c r="E80" i="77"/>
  <c r="E80" i="8"/>
  <c r="E84" i="77"/>
  <c r="E84" i="8"/>
  <c r="E23" i="77"/>
  <c r="E23" i="8"/>
  <c r="E110" i="77"/>
  <c r="E110" i="8"/>
  <c r="E51" i="77"/>
  <c r="E51" i="8"/>
  <c r="E167" i="77"/>
  <c r="E167" i="8"/>
  <c r="E95" i="77"/>
  <c r="E95" i="8"/>
  <c r="E73" i="77"/>
  <c r="E73" i="8"/>
  <c r="E34" i="77"/>
  <c r="E34" i="8"/>
  <c r="E85" i="77"/>
  <c r="E85" i="8"/>
  <c r="E161" i="8"/>
  <c r="E161" i="78"/>
  <c r="G161" i="78" s="1"/>
  <c r="J161" i="78" s="1"/>
  <c r="E161" i="79" s="1"/>
  <c r="E128" i="77"/>
  <c r="K213" i="64"/>
  <c r="K215" i="64" s="1"/>
  <c r="G178" i="79" l="1"/>
  <c r="J178" i="79" s="1"/>
  <c r="E179" i="79"/>
  <c r="G237" i="79"/>
  <c r="J237" i="79" s="1"/>
  <c r="E229" i="79"/>
  <c r="G138" i="77"/>
  <c r="J138" i="77" s="1"/>
  <c r="E138" i="78" s="1"/>
  <c r="G138" i="78" s="1"/>
  <c r="J138" i="78" s="1"/>
  <c r="G128" i="77"/>
  <c r="J128" i="77" s="1"/>
  <c r="E128" i="78" s="1"/>
  <c r="G128" i="78" s="1"/>
  <c r="J128" i="78" s="1"/>
  <c r="E128" i="79" s="1"/>
  <c r="G72" i="77"/>
  <c r="J72" i="77" s="1"/>
  <c r="E72" i="78" s="1"/>
  <c r="G72" i="78" s="1"/>
  <c r="J72" i="78" s="1"/>
  <c r="E72" i="79" s="1"/>
  <c r="G72" i="79" s="1"/>
  <c r="J72" i="79" s="1"/>
  <c r="G225" i="77"/>
  <c r="J225" i="77" s="1"/>
  <c r="E225" i="78" s="1"/>
  <c r="G225" i="78" s="1"/>
  <c r="J225" i="78" s="1"/>
  <c r="E225" i="79" s="1"/>
  <c r="G100" i="8"/>
  <c r="J100" i="8"/>
  <c r="G83" i="8"/>
  <c r="J83" i="8"/>
  <c r="J23" i="8"/>
  <c r="G23" i="8"/>
  <c r="J223" i="8"/>
  <c r="G223" i="8"/>
  <c r="G67" i="8"/>
  <c r="J67" i="8"/>
  <c r="G76" i="8"/>
  <c r="J76" i="8"/>
  <c r="G21" i="8"/>
  <c r="J21" i="8"/>
  <c r="G180" i="77"/>
  <c r="J180" i="77" s="1"/>
  <c r="E180" i="78" s="1"/>
  <c r="G180" i="78" s="1"/>
  <c r="J180" i="78" s="1"/>
  <c r="E180" i="79" s="1"/>
  <c r="G100" i="77"/>
  <c r="J100" i="77" s="1"/>
  <c r="E100" i="78" s="1"/>
  <c r="G100" i="78" s="1"/>
  <c r="J100" i="78" s="1"/>
  <c r="G94" i="77"/>
  <c r="J94" i="77" s="1"/>
  <c r="E94" i="78" s="1"/>
  <c r="G94" i="78" s="1"/>
  <c r="J94" i="78" s="1"/>
  <c r="G83" i="77"/>
  <c r="J83" i="77" s="1"/>
  <c r="E83" i="78" s="1"/>
  <c r="G83" i="78" s="1"/>
  <c r="J83" i="78" s="1"/>
  <c r="E83" i="79" s="1"/>
  <c r="G83" i="79" s="1"/>
  <c r="J83" i="79" s="1"/>
  <c r="G161" i="8"/>
  <c r="J161" i="8"/>
  <c r="G95" i="77"/>
  <c r="J95" i="77" s="1"/>
  <c r="E95" i="78" s="1"/>
  <c r="G95" i="78" s="1"/>
  <c r="J95" i="78" s="1"/>
  <c r="G23" i="77"/>
  <c r="J23" i="77" s="1"/>
  <c r="E23" i="78" s="1"/>
  <c r="G23" i="78" s="1"/>
  <c r="J23" i="78" s="1"/>
  <c r="E223" i="78"/>
  <c r="G223" i="78" s="1"/>
  <c r="J223" i="78" s="1"/>
  <c r="E223" i="79" s="1"/>
  <c r="G223" i="77"/>
  <c r="J223" i="77" s="1"/>
  <c r="G67" i="77"/>
  <c r="J67" i="77" s="1"/>
  <c r="E67" i="78" s="1"/>
  <c r="G67" i="78" s="1"/>
  <c r="J67" i="78" s="1"/>
  <c r="G76" i="77"/>
  <c r="J76" i="77" s="1"/>
  <c r="E76" i="78" s="1"/>
  <c r="G76" i="78" s="1"/>
  <c r="J76" i="78" s="1"/>
  <c r="G64" i="77"/>
  <c r="J64" i="77" s="1"/>
  <c r="E64" i="78" s="1"/>
  <c r="G64" i="78" s="1"/>
  <c r="J64" i="78" s="1"/>
  <c r="G21" i="77"/>
  <c r="J21" i="77" s="1"/>
  <c r="E21" i="78" s="1"/>
  <c r="G21" i="78" s="1"/>
  <c r="J21" i="78" s="1"/>
  <c r="E21" i="79" s="1"/>
  <c r="G21" i="79" s="1"/>
  <c r="J21" i="79" s="1"/>
  <c r="G226" i="8"/>
  <c r="J226" i="8"/>
  <c r="J53" i="8"/>
  <c r="G53" i="8"/>
  <c r="J165" i="8"/>
  <c r="G165" i="8"/>
  <c r="G78" i="8"/>
  <c r="J78" i="8"/>
  <c r="G147" i="8"/>
  <c r="J147" i="8"/>
  <c r="G62" i="8"/>
  <c r="J62" i="8"/>
  <c r="J87" i="8"/>
  <c r="G87" i="8"/>
  <c r="G98" i="8"/>
  <c r="J98" i="8"/>
  <c r="J123" i="8"/>
  <c r="G123" i="8"/>
  <c r="J211" i="8"/>
  <c r="G211" i="8"/>
  <c r="G116" i="8"/>
  <c r="J116" i="8"/>
  <c r="G131" i="8"/>
  <c r="J131" i="8"/>
  <c r="J31" i="8"/>
  <c r="G31" i="8"/>
  <c r="G171" i="8"/>
  <c r="J171" i="8"/>
  <c r="G68" i="8"/>
  <c r="J68" i="8"/>
  <c r="G113" i="8"/>
  <c r="J113" i="8"/>
  <c r="G44" i="8"/>
  <c r="J44" i="8"/>
  <c r="J203" i="8"/>
  <c r="G203" i="8"/>
  <c r="G26" i="8"/>
  <c r="J26" i="8"/>
  <c r="G24" i="8"/>
  <c r="J24" i="8"/>
  <c r="G160" i="8"/>
  <c r="J160" i="8"/>
  <c r="G222" i="8"/>
  <c r="J222" i="8"/>
  <c r="G108" i="8"/>
  <c r="J108" i="8"/>
  <c r="J133" i="8"/>
  <c r="G133" i="8"/>
  <c r="G176" i="8"/>
  <c r="J176" i="8"/>
  <c r="G99" i="8"/>
  <c r="J99" i="8"/>
  <c r="G48" i="77"/>
  <c r="J48" i="77" s="1"/>
  <c r="E48" i="78" s="1"/>
  <c r="G48" i="78" s="1"/>
  <c r="J48" i="78" s="1"/>
  <c r="G181" i="77"/>
  <c r="J181" i="77" s="1"/>
  <c r="E181" i="78" s="1"/>
  <c r="G181" i="78" s="1"/>
  <c r="J181" i="78" s="1"/>
  <c r="E181" i="79" s="1"/>
  <c r="G181" i="79" s="1"/>
  <c r="J181" i="79" s="1"/>
  <c r="J167" i="8"/>
  <c r="G167" i="8"/>
  <c r="J213" i="8"/>
  <c r="G213" i="8"/>
  <c r="G226" i="77"/>
  <c r="J226" i="77" s="1"/>
  <c r="E226" i="78" s="1"/>
  <c r="G226" i="78" s="1"/>
  <c r="J226" i="78" s="1"/>
  <c r="E226" i="79" s="1"/>
  <c r="G53" i="77"/>
  <c r="J53" i="77" s="1"/>
  <c r="E53" i="78" s="1"/>
  <c r="G53" i="78" s="1"/>
  <c r="J53" i="78" s="1"/>
  <c r="E53" i="79" s="1"/>
  <c r="G53" i="79" s="1"/>
  <c r="J53" i="79" s="1"/>
  <c r="G165" i="77"/>
  <c r="J165" i="77" s="1"/>
  <c r="E165" i="78" s="1"/>
  <c r="G165" i="78" s="1"/>
  <c r="J165" i="78" s="1"/>
  <c r="G78" i="77"/>
  <c r="J78" i="77" s="1"/>
  <c r="E78" i="78" s="1"/>
  <c r="G78" i="78" s="1"/>
  <c r="J78" i="78" s="1"/>
  <c r="G147" i="77"/>
  <c r="J147" i="77" s="1"/>
  <c r="E147" i="78" s="1"/>
  <c r="G147" i="78" s="1"/>
  <c r="J147" i="78" s="1"/>
  <c r="G62" i="77"/>
  <c r="J62" i="77" s="1"/>
  <c r="E62" i="78" s="1"/>
  <c r="G62" i="78" s="1"/>
  <c r="J62" i="78" s="1"/>
  <c r="E62" i="79" s="1"/>
  <c r="G62" i="79" s="1"/>
  <c r="J62" i="79" s="1"/>
  <c r="G87" i="77"/>
  <c r="J87" i="77" s="1"/>
  <c r="E87" i="78" s="1"/>
  <c r="G87" i="78" s="1"/>
  <c r="J87" i="78" s="1"/>
  <c r="G98" i="77"/>
  <c r="J98" i="77" s="1"/>
  <c r="E98" i="78" s="1"/>
  <c r="G98" i="78" s="1"/>
  <c r="J98" i="78" s="1"/>
  <c r="G123" i="77"/>
  <c r="J123" i="77" s="1"/>
  <c r="E123" i="78" s="1"/>
  <c r="G123" i="78" s="1"/>
  <c r="J123" i="78" s="1"/>
  <c r="G211" i="77"/>
  <c r="J211" i="77" s="1"/>
  <c r="E211" i="78" s="1"/>
  <c r="G211" i="78" s="1"/>
  <c r="J211" i="78" s="1"/>
  <c r="E211" i="79" s="1"/>
  <c r="G211" i="79" s="1"/>
  <c r="J211" i="79" s="1"/>
  <c r="G116" i="77"/>
  <c r="J116" i="77" s="1"/>
  <c r="E116" i="78" s="1"/>
  <c r="G116" i="78" s="1"/>
  <c r="J116" i="78" s="1"/>
  <c r="G131" i="77"/>
  <c r="J131" i="77" s="1"/>
  <c r="E131" i="78" s="1"/>
  <c r="G131" i="78" s="1"/>
  <c r="J131" i="78" s="1"/>
  <c r="G31" i="77"/>
  <c r="J31" i="77" s="1"/>
  <c r="E31" i="78" s="1"/>
  <c r="G31" i="78" s="1"/>
  <c r="J31" i="78" s="1"/>
  <c r="G171" i="77"/>
  <c r="J171" i="77" s="1"/>
  <c r="E171" i="78" s="1"/>
  <c r="G171" i="78" s="1"/>
  <c r="J171" i="78" s="1"/>
  <c r="E171" i="79" s="1"/>
  <c r="G171" i="79" s="1"/>
  <c r="J171" i="79" s="1"/>
  <c r="G68" i="77"/>
  <c r="J68" i="77" s="1"/>
  <c r="E68" i="78" s="1"/>
  <c r="G68" i="78" s="1"/>
  <c r="J68" i="78" s="1"/>
  <c r="G113" i="77"/>
  <c r="J113" i="77" s="1"/>
  <c r="E113" i="78" s="1"/>
  <c r="G113" i="78" s="1"/>
  <c r="J113" i="78" s="1"/>
  <c r="G44" i="77"/>
  <c r="J44" i="77" s="1"/>
  <c r="E44" i="78" s="1"/>
  <c r="G44" i="78" s="1"/>
  <c r="J44" i="78" s="1"/>
  <c r="G203" i="77"/>
  <c r="J203" i="77" s="1"/>
  <c r="E203" i="78" s="1"/>
  <c r="G203" i="78" s="1"/>
  <c r="J203" i="78" s="1"/>
  <c r="E203" i="79" s="1"/>
  <c r="G203" i="79" s="1"/>
  <c r="J203" i="79" s="1"/>
  <c r="G26" i="77"/>
  <c r="J26" i="77" s="1"/>
  <c r="E26" i="78" s="1"/>
  <c r="G26" i="78" s="1"/>
  <c r="J26" i="78" s="1"/>
  <c r="G24" i="77"/>
  <c r="J24" i="77" s="1"/>
  <c r="E24" i="78" s="1"/>
  <c r="G24" i="78" s="1"/>
  <c r="J24" i="78" s="1"/>
  <c r="G160" i="77"/>
  <c r="J160" i="77" s="1"/>
  <c r="E160" i="78" s="1"/>
  <c r="G160" i="78" s="1"/>
  <c r="J160" i="78" s="1"/>
  <c r="G222" i="77"/>
  <c r="J222" i="77" s="1"/>
  <c r="E222" i="78" s="1"/>
  <c r="G222" i="78" s="1"/>
  <c r="J222" i="78" s="1"/>
  <c r="E222" i="79" s="1"/>
  <c r="G222" i="79" s="1"/>
  <c r="J222" i="79" s="1"/>
  <c r="G108" i="77"/>
  <c r="J108" i="77" s="1"/>
  <c r="E108" i="78" s="1"/>
  <c r="G108" i="78" s="1"/>
  <c r="J108" i="78" s="1"/>
  <c r="G133" i="77"/>
  <c r="J133" i="77" s="1"/>
  <c r="E133" i="78" s="1"/>
  <c r="G133" i="78" s="1"/>
  <c r="J133" i="78" s="1"/>
  <c r="G176" i="77"/>
  <c r="J176" i="77" s="1"/>
  <c r="E176" i="78" s="1"/>
  <c r="G176" i="78" s="1"/>
  <c r="J176" i="78" s="1"/>
  <c r="G72" i="8"/>
  <c r="J72" i="8"/>
  <c r="G29" i="77"/>
  <c r="J29" i="77" s="1"/>
  <c r="E29" i="78" s="1"/>
  <c r="G29" i="78" s="1"/>
  <c r="J29" i="78" s="1"/>
  <c r="G92" i="77"/>
  <c r="J92" i="77" s="1"/>
  <c r="E92" i="78" s="1"/>
  <c r="G92" i="78" s="1"/>
  <c r="J92" i="78" s="1"/>
  <c r="G172" i="77"/>
  <c r="J172" i="77" s="1"/>
  <c r="E172" i="78" s="1"/>
  <c r="G172" i="78" s="1"/>
  <c r="J172" i="78" s="1"/>
  <c r="G69" i="77"/>
  <c r="J69" i="77" s="1"/>
  <c r="E69" i="78" s="1"/>
  <c r="G69" i="78" s="1"/>
  <c r="J69" i="78" s="1"/>
  <c r="E69" i="79" s="1"/>
  <c r="G69" i="79" s="1"/>
  <c r="J69" i="79" s="1"/>
  <c r="G96" i="77"/>
  <c r="J96" i="77" s="1"/>
  <c r="E96" i="78" s="1"/>
  <c r="G96" i="78" s="1"/>
  <c r="J96" i="78" s="1"/>
  <c r="G20" i="77"/>
  <c r="J20" i="77" s="1"/>
  <c r="E20" i="78" s="1"/>
  <c r="G20" i="78" s="1"/>
  <c r="J20" i="78" s="1"/>
  <c r="G84" i="8"/>
  <c r="J84" i="8"/>
  <c r="G85" i="77"/>
  <c r="J85" i="77" s="1"/>
  <c r="E85" i="78" s="1"/>
  <c r="G85" i="78" s="1"/>
  <c r="J85" i="78" s="1"/>
  <c r="E85" i="79" s="1"/>
  <c r="G85" i="79" s="1"/>
  <c r="J85" i="79" s="1"/>
  <c r="G33" i="77"/>
  <c r="J33" i="77" s="1"/>
  <c r="E33" i="78" s="1"/>
  <c r="G33" i="78" s="1"/>
  <c r="J33" i="78" s="1"/>
  <c r="J155" i="8"/>
  <c r="G155" i="8"/>
  <c r="J135" i="8"/>
  <c r="G135" i="8"/>
  <c r="G56" i="8"/>
  <c r="J56" i="8"/>
  <c r="G153" i="8"/>
  <c r="J153" i="8"/>
  <c r="G224" i="8"/>
  <c r="J224" i="8"/>
  <c r="G136" i="8"/>
  <c r="J136" i="8"/>
  <c r="J101" i="8"/>
  <c r="G101" i="8"/>
  <c r="J227" i="8"/>
  <c r="G227" i="8"/>
  <c r="J109" i="8"/>
  <c r="G109" i="8"/>
  <c r="G134" i="8"/>
  <c r="J134" i="8"/>
  <c r="G164" i="8"/>
  <c r="J164" i="8"/>
  <c r="G137" i="8"/>
  <c r="J137" i="8"/>
  <c r="J157" i="8"/>
  <c r="G157" i="8"/>
  <c r="J151" i="8"/>
  <c r="G151" i="8"/>
  <c r="G36" i="8"/>
  <c r="J36" i="8"/>
  <c r="G30" i="8"/>
  <c r="J30" i="8"/>
  <c r="G156" i="8"/>
  <c r="J156" i="8"/>
  <c r="G46" i="8"/>
  <c r="J46" i="8"/>
  <c r="G49" i="8"/>
  <c r="J49" i="8"/>
  <c r="G73" i="8"/>
  <c r="J73" i="8"/>
  <c r="G163" i="8"/>
  <c r="J163" i="8"/>
  <c r="G228" i="77"/>
  <c r="J228" i="77" s="1"/>
  <c r="E228" i="78" s="1"/>
  <c r="G228" i="78" s="1"/>
  <c r="J228" i="78" s="1"/>
  <c r="E228" i="79" s="1"/>
  <c r="E210" i="78"/>
  <c r="G210" i="78" s="1"/>
  <c r="J210" i="78" s="1"/>
  <c r="E210" i="79" s="1"/>
  <c r="G210" i="79" s="1"/>
  <c r="J210" i="79" s="1"/>
  <c r="G210" i="77"/>
  <c r="J210" i="77" s="1"/>
  <c r="G55" i="77"/>
  <c r="J55" i="77" s="1"/>
  <c r="E55" i="78" s="1"/>
  <c r="G55" i="78" s="1"/>
  <c r="J55" i="78" s="1"/>
  <c r="G54" i="8"/>
  <c r="J54" i="8"/>
  <c r="G33" i="8"/>
  <c r="J33" i="8"/>
  <c r="G167" i="77"/>
  <c r="J167" i="77" s="1"/>
  <c r="E167" i="78" s="1"/>
  <c r="G167" i="78" s="1"/>
  <c r="J167" i="78" s="1"/>
  <c r="E167" i="79" s="1"/>
  <c r="G167" i="79" s="1"/>
  <c r="J167" i="79" s="1"/>
  <c r="G54" i="77"/>
  <c r="J54" i="77" s="1"/>
  <c r="E54" i="78" s="1"/>
  <c r="G54" i="78" s="1"/>
  <c r="J54" i="78" s="1"/>
  <c r="G213" i="77"/>
  <c r="J213" i="77" s="1"/>
  <c r="E213" i="78" s="1"/>
  <c r="G213" i="78" s="1"/>
  <c r="J213" i="78" s="1"/>
  <c r="G59" i="8"/>
  <c r="J59" i="8"/>
  <c r="G74" i="8"/>
  <c r="J74" i="8"/>
  <c r="G28" i="8"/>
  <c r="J28" i="8"/>
  <c r="G59" i="77"/>
  <c r="J59" i="77" s="1"/>
  <c r="E59" i="78" s="1"/>
  <c r="G59" i="78" s="1"/>
  <c r="J59" i="78" s="1"/>
  <c r="G74" i="77"/>
  <c r="J74" i="77" s="1"/>
  <c r="E74" i="78" s="1"/>
  <c r="G74" i="78" s="1"/>
  <c r="J74" i="78" s="1"/>
  <c r="G215" i="77"/>
  <c r="J215" i="77" s="1"/>
  <c r="E215" i="78" s="1"/>
  <c r="G215" i="78" s="1"/>
  <c r="J215" i="78" s="1"/>
  <c r="E215" i="79" s="1"/>
  <c r="G215" i="79" s="1"/>
  <c r="J215" i="79" s="1"/>
  <c r="G56" i="77"/>
  <c r="J56" i="77" s="1"/>
  <c r="E56" i="78" s="1"/>
  <c r="G56" i="78" s="1"/>
  <c r="J56" i="78" s="1"/>
  <c r="G153" i="77"/>
  <c r="J153" i="77" s="1"/>
  <c r="E153" i="78" s="1"/>
  <c r="G153" i="78" s="1"/>
  <c r="J153" i="78" s="1"/>
  <c r="G139" i="77"/>
  <c r="J139" i="77" s="1"/>
  <c r="E139" i="78" s="1"/>
  <c r="G139" i="78" s="1"/>
  <c r="J139" i="78" s="1"/>
  <c r="G224" i="77"/>
  <c r="J224" i="77" s="1"/>
  <c r="E224" i="78" s="1"/>
  <c r="G224" i="78" s="1"/>
  <c r="J224" i="78" s="1"/>
  <c r="E224" i="79" s="1"/>
  <c r="G224" i="79" s="1"/>
  <c r="J224" i="79" s="1"/>
  <c r="G136" i="77"/>
  <c r="J136" i="77" s="1"/>
  <c r="E136" i="78" s="1"/>
  <c r="G136" i="78" s="1"/>
  <c r="J136" i="78" s="1"/>
  <c r="G101" i="77"/>
  <c r="J101" i="77" s="1"/>
  <c r="E101" i="78" s="1"/>
  <c r="G101" i="78" s="1"/>
  <c r="J101" i="78" s="1"/>
  <c r="G227" i="77"/>
  <c r="J227" i="77" s="1"/>
  <c r="E227" i="78" s="1"/>
  <c r="G227" i="78" s="1"/>
  <c r="J227" i="78" s="1"/>
  <c r="E227" i="79" s="1"/>
  <c r="G109" i="77"/>
  <c r="J109" i="77" s="1"/>
  <c r="E109" i="78" s="1"/>
  <c r="G109" i="78" s="1"/>
  <c r="J109" i="78" s="1"/>
  <c r="E109" i="79" s="1"/>
  <c r="G109" i="79" s="1"/>
  <c r="J109" i="79" s="1"/>
  <c r="G134" i="77"/>
  <c r="J134" i="77" s="1"/>
  <c r="E134" i="78" s="1"/>
  <c r="G134" i="78" s="1"/>
  <c r="J134" i="78" s="1"/>
  <c r="G164" i="77"/>
  <c r="J164" i="77" s="1"/>
  <c r="E164" i="78" s="1"/>
  <c r="G164" i="78" s="1"/>
  <c r="J164" i="78" s="1"/>
  <c r="G137" i="77"/>
  <c r="J137" i="77" s="1"/>
  <c r="E137" i="78" s="1"/>
  <c r="G137" i="78" s="1"/>
  <c r="J137" i="78" s="1"/>
  <c r="G157" i="77"/>
  <c r="J157" i="77" s="1"/>
  <c r="E157" i="78" s="1"/>
  <c r="G157" i="78" s="1"/>
  <c r="J157" i="78" s="1"/>
  <c r="E157" i="79" s="1"/>
  <c r="G157" i="79" s="1"/>
  <c r="J157" i="79" s="1"/>
  <c r="G151" i="77"/>
  <c r="J151" i="77" s="1"/>
  <c r="E151" i="78" s="1"/>
  <c r="G151" i="78" s="1"/>
  <c r="J151" i="78" s="1"/>
  <c r="G36" i="77"/>
  <c r="J36" i="77" s="1"/>
  <c r="E36" i="78" s="1"/>
  <c r="G36" i="78" s="1"/>
  <c r="J36" i="78" s="1"/>
  <c r="G30" i="77"/>
  <c r="J30" i="77" s="1"/>
  <c r="E30" i="78" s="1"/>
  <c r="G30" i="78" s="1"/>
  <c r="J30" i="78" s="1"/>
  <c r="G156" i="77"/>
  <c r="J156" i="77" s="1"/>
  <c r="E156" i="78" s="1"/>
  <c r="G156" i="78" s="1"/>
  <c r="J156" i="78" s="1"/>
  <c r="E156" i="79" s="1"/>
  <c r="G156" i="79" s="1"/>
  <c r="J156" i="79" s="1"/>
  <c r="G46" i="77"/>
  <c r="J46" i="77" s="1"/>
  <c r="E46" i="78" s="1"/>
  <c r="G46" i="78" s="1"/>
  <c r="J46" i="78" s="1"/>
  <c r="G49" i="77"/>
  <c r="J49" i="77" s="1"/>
  <c r="E49" i="78" s="1"/>
  <c r="G49" i="78" s="1"/>
  <c r="J49" i="78" s="1"/>
  <c r="J225" i="8"/>
  <c r="G225" i="8"/>
  <c r="G177" i="77"/>
  <c r="J177" i="77" s="1"/>
  <c r="E177" i="78" s="1"/>
  <c r="G177" i="78" s="1"/>
  <c r="J177" i="78" s="1"/>
  <c r="E177" i="79" s="1"/>
  <c r="G177" i="79" s="1"/>
  <c r="J177" i="79" s="1"/>
  <c r="G221" i="77"/>
  <c r="J221" i="77" s="1"/>
  <c r="E221" i="78" s="1"/>
  <c r="G221" i="78" s="1"/>
  <c r="J221" i="78" s="1"/>
  <c r="E221" i="79" s="1"/>
  <c r="G66" i="77"/>
  <c r="J66" i="77" s="1"/>
  <c r="E66" i="78" s="1"/>
  <c r="G66" i="78" s="1"/>
  <c r="J66" i="78" s="1"/>
  <c r="G32" i="77"/>
  <c r="J32" i="77" s="1"/>
  <c r="E32" i="78" s="1"/>
  <c r="G32" i="78" s="1"/>
  <c r="J32" i="78" s="1"/>
  <c r="J85" i="8"/>
  <c r="G85" i="8"/>
  <c r="J61" i="8"/>
  <c r="G61" i="8"/>
  <c r="G130" i="8"/>
  <c r="J130" i="8"/>
  <c r="G84" i="77"/>
  <c r="J84" i="77" s="1"/>
  <c r="E84" i="78" s="1"/>
  <c r="G84" i="78" s="1"/>
  <c r="J84" i="78" s="1"/>
  <c r="G61" i="77"/>
  <c r="J61" i="77" s="1"/>
  <c r="E61" i="78" s="1"/>
  <c r="G61" i="78" s="1"/>
  <c r="J61" i="78" s="1"/>
  <c r="E61" i="79" s="1"/>
  <c r="G61" i="79" s="1"/>
  <c r="J61" i="79" s="1"/>
  <c r="G130" i="77"/>
  <c r="J130" i="77" s="1"/>
  <c r="E130" i="78" s="1"/>
  <c r="G130" i="78" s="1"/>
  <c r="J130" i="78" s="1"/>
  <c r="J159" i="8"/>
  <c r="G159" i="8"/>
  <c r="J215" i="8"/>
  <c r="G215" i="8"/>
  <c r="J139" i="8"/>
  <c r="G139" i="8"/>
  <c r="G34" i="8"/>
  <c r="J34" i="8"/>
  <c r="G51" i="8"/>
  <c r="J51" i="8"/>
  <c r="G80" i="8"/>
  <c r="J80" i="8"/>
  <c r="J79" i="8"/>
  <c r="G79" i="8"/>
  <c r="G104" i="8"/>
  <c r="J104" i="8"/>
  <c r="J47" i="8"/>
  <c r="G47" i="8"/>
  <c r="G22" i="77"/>
  <c r="J22" i="77" s="1"/>
  <c r="E22" i="78" s="1"/>
  <c r="G22" i="78" s="1"/>
  <c r="J22" i="78" s="1"/>
  <c r="G155" i="77"/>
  <c r="J155" i="77" s="1"/>
  <c r="E155" i="78" s="1"/>
  <c r="G155" i="78" s="1"/>
  <c r="J155" i="78" s="1"/>
  <c r="E155" i="79" s="1"/>
  <c r="G155" i="79" s="1"/>
  <c r="J155" i="79" s="1"/>
  <c r="G159" i="77"/>
  <c r="J159" i="77" s="1"/>
  <c r="E159" i="78" s="1"/>
  <c r="G159" i="78" s="1"/>
  <c r="J159" i="78" s="1"/>
  <c r="G135" i="77"/>
  <c r="J135" i="77" s="1"/>
  <c r="E135" i="78" s="1"/>
  <c r="G135" i="78" s="1"/>
  <c r="J135" i="78" s="1"/>
  <c r="G34" i="77"/>
  <c r="J34" i="77" s="1"/>
  <c r="E34" i="78" s="1"/>
  <c r="G34" i="78" s="1"/>
  <c r="J34" i="78" s="1"/>
  <c r="G51" i="77"/>
  <c r="J51" i="77" s="1"/>
  <c r="E51" i="78" s="1"/>
  <c r="G51" i="78" s="1"/>
  <c r="J51" i="78" s="1"/>
  <c r="G80" i="77"/>
  <c r="J80" i="77" s="1"/>
  <c r="E80" i="78" s="1"/>
  <c r="G80" i="78" s="1"/>
  <c r="J80" i="78" s="1"/>
  <c r="G79" i="77"/>
  <c r="J79" i="77" s="1"/>
  <c r="E79" i="78" s="1"/>
  <c r="G79" i="78" s="1"/>
  <c r="J79" i="78" s="1"/>
  <c r="G104" i="77"/>
  <c r="J104" i="77" s="1"/>
  <c r="E104" i="78" s="1"/>
  <c r="G104" i="78" s="1"/>
  <c r="J104" i="78" s="1"/>
  <c r="G28" i="77"/>
  <c r="J28" i="77" s="1"/>
  <c r="E28" i="78" s="1"/>
  <c r="G28" i="78" s="1"/>
  <c r="J28" i="78" s="1"/>
  <c r="E28" i="79" s="1"/>
  <c r="G28" i="79" s="1"/>
  <c r="J28" i="79" s="1"/>
  <c r="G47" i="77"/>
  <c r="J47" i="77" s="1"/>
  <c r="E47" i="78" s="1"/>
  <c r="G47" i="78" s="1"/>
  <c r="J47" i="78" s="1"/>
  <c r="G42" i="8"/>
  <c r="J42" i="8"/>
  <c r="G138" i="8"/>
  <c r="J138" i="8"/>
  <c r="G29" i="8"/>
  <c r="J29" i="8"/>
  <c r="G90" i="8"/>
  <c r="J90" i="8"/>
  <c r="J177" i="8"/>
  <c r="G177" i="8"/>
  <c r="G48" i="8"/>
  <c r="J48" i="8"/>
  <c r="G50" i="8"/>
  <c r="J50" i="8"/>
  <c r="G228" i="8"/>
  <c r="J228" i="8"/>
  <c r="G92" i="8"/>
  <c r="J92" i="8"/>
  <c r="J221" i="8"/>
  <c r="G221" i="8"/>
  <c r="G57" i="8"/>
  <c r="J57" i="8"/>
  <c r="G52" i="8"/>
  <c r="J52" i="8"/>
  <c r="G172" i="8"/>
  <c r="J172" i="8"/>
  <c r="G210" i="8"/>
  <c r="J210" i="8"/>
  <c r="G105" i="8"/>
  <c r="J105" i="8"/>
  <c r="G66" i="8"/>
  <c r="J66" i="8"/>
  <c r="J69" i="8"/>
  <c r="G69" i="8"/>
  <c r="G132" i="8"/>
  <c r="J132" i="8"/>
  <c r="G96" i="8"/>
  <c r="J96" i="8"/>
  <c r="J181" i="8"/>
  <c r="G181" i="8"/>
  <c r="G32" i="8"/>
  <c r="J32" i="8"/>
  <c r="G20" i="8"/>
  <c r="J20" i="8"/>
  <c r="J55" i="8"/>
  <c r="G55" i="8"/>
  <c r="G65" i="8"/>
  <c r="J65" i="8"/>
  <c r="G41" i="8"/>
  <c r="J41" i="8"/>
  <c r="G110" i="8"/>
  <c r="J110" i="8"/>
  <c r="E42" i="78"/>
  <c r="G42" i="78" s="1"/>
  <c r="J42" i="78" s="1"/>
  <c r="E42" i="79" s="1"/>
  <c r="G42" i="79" s="1"/>
  <c r="J42" i="79" s="1"/>
  <c r="G42" i="77"/>
  <c r="J42" i="77" s="1"/>
  <c r="G50" i="77"/>
  <c r="J50" i="77" s="1"/>
  <c r="E50" i="78" s="1"/>
  <c r="G50" i="78" s="1"/>
  <c r="J50" i="78" s="1"/>
  <c r="G57" i="77"/>
  <c r="J57" i="77" s="1"/>
  <c r="E57" i="78" s="1"/>
  <c r="G57" i="78" s="1"/>
  <c r="J57" i="78" s="1"/>
  <c r="G105" i="77"/>
  <c r="J105" i="77" s="1"/>
  <c r="E105" i="78" s="1"/>
  <c r="G105" i="78" s="1"/>
  <c r="J105" i="78" s="1"/>
  <c r="G132" i="77"/>
  <c r="J132" i="77" s="1"/>
  <c r="E132" i="78" s="1"/>
  <c r="G132" i="78" s="1"/>
  <c r="J132" i="78" s="1"/>
  <c r="E132" i="79" s="1"/>
  <c r="G132" i="79" s="1"/>
  <c r="J132" i="79" s="1"/>
  <c r="G65" i="77"/>
  <c r="J65" i="77" s="1"/>
  <c r="E65" i="78" s="1"/>
  <c r="G65" i="78" s="1"/>
  <c r="J65" i="78" s="1"/>
  <c r="G110" i="77"/>
  <c r="J110" i="77" s="1"/>
  <c r="E110" i="78" s="1"/>
  <c r="G110" i="78" s="1"/>
  <c r="J110" i="78" s="1"/>
  <c r="G37" i="77"/>
  <c r="J37" i="77" s="1"/>
  <c r="E37" i="78" s="1"/>
  <c r="G37" i="78" s="1"/>
  <c r="J37" i="78" s="1"/>
  <c r="G180" i="8"/>
  <c r="J180" i="8"/>
  <c r="G94" i="8"/>
  <c r="J94" i="8"/>
  <c r="G216" i="8"/>
  <c r="J216" i="8"/>
  <c r="G58" i="8"/>
  <c r="J58" i="8"/>
  <c r="G208" i="8"/>
  <c r="J208" i="8"/>
  <c r="G19" i="8"/>
  <c r="J19" i="8"/>
  <c r="J175" i="8"/>
  <c r="G175" i="8"/>
  <c r="G218" i="8"/>
  <c r="J218" i="8"/>
  <c r="G43" i="8"/>
  <c r="J43" i="8"/>
  <c r="G88" i="8"/>
  <c r="J88" i="8"/>
  <c r="G114" i="8"/>
  <c r="J114" i="8"/>
  <c r="G25" i="8"/>
  <c r="J25" i="8"/>
  <c r="G40" i="8"/>
  <c r="J40" i="8"/>
  <c r="J239" i="8"/>
  <c r="G239" i="8"/>
  <c r="J103" i="8"/>
  <c r="G103" i="8"/>
  <c r="G152" i="8"/>
  <c r="J152" i="8"/>
  <c r="J77" i="8"/>
  <c r="G77" i="8"/>
  <c r="G97" i="8"/>
  <c r="J97" i="8"/>
  <c r="G89" i="8"/>
  <c r="J89" i="8"/>
  <c r="G212" i="8"/>
  <c r="J212" i="8"/>
  <c r="G86" i="8"/>
  <c r="J86" i="8"/>
  <c r="J37" i="8"/>
  <c r="G37" i="8"/>
  <c r="G90" i="77"/>
  <c r="J90" i="77" s="1"/>
  <c r="E90" i="78" s="1"/>
  <c r="G90" i="78" s="1"/>
  <c r="J90" i="78" s="1"/>
  <c r="G52" i="77"/>
  <c r="J52" i="77" s="1"/>
  <c r="E52" i="78" s="1"/>
  <c r="G52" i="78" s="1"/>
  <c r="J52" i="78" s="1"/>
  <c r="G41" i="77"/>
  <c r="J41" i="77" s="1"/>
  <c r="E41" i="78" s="1"/>
  <c r="G41" i="78" s="1"/>
  <c r="J41" i="78" s="1"/>
  <c r="E41" i="79" s="1"/>
  <c r="G41" i="79" s="1"/>
  <c r="J41" i="79" s="1"/>
  <c r="G73" i="77"/>
  <c r="J73" i="77" s="1"/>
  <c r="E73" i="78" s="1"/>
  <c r="G73" i="78" s="1"/>
  <c r="J73" i="78" s="1"/>
  <c r="G99" i="77"/>
  <c r="J99" i="77" s="1"/>
  <c r="E99" i="78" s="1"/>
  <c r="G99" i="78" s="1"/>
  <c r="J99" i="78" s="1"/>
  <c r="G163" i="77"/>
  <c r="J163" i="77" s="1"/>
  <c r="E163" i="78" s="1"/>
  <c r="G163" i="78" s="1"/>
  <c r="J163" i="78" s="1"/>
  <c r="G27" i="8"/>
  <c r="J27" i="8"/>
  <c r="J111" i="8"/>
  <c r="G111" i="8"/>
  <c r="J95" i="8"/>
  <c r="G95" i="8"/>
  <c r="G64" i="8"/>
  <c r="J64" i="8"/>
  <c r="G27" i="77"/>
  <c r="J27" i="77" s="1"/>
  <c r="E27" i="78" s="1"/>
  <c r="G27" i="78" s="1"/>
  <c r="J27" i="78" s="1"/>
  <c r="G216" i="77"/>
  <c r="J216" i="77" s="1"/>
  <c r="E216" i="78" s="1"/>
  <c r="G216" i="78" s="1"/>
  <c r="J216" i="78" s="1"/>
  <c r="G111" i="77"/>
  <c r="J111" i="77" s="1"/>
  <c r="E111" i="78" s="1"/>
  <c r="G111" i="78" s="1"/>
  <c r="J111" i="78" s="1"/>
  <c r="G58" i="77"/>
  <c r="J58" i="77" s="1"/>
  <c r="E58" i="78" s="1"/>
  <c r="G58" i="78" s="1"/>
  <c r="J58" i="78" s="1"/>
  <c r="G208" i="77"/>
  <c r="J208" i="77" s="1"/>
  <c r="E208" i="78" s="1"/>
  <c r="G208" i="78" s="1"/>
  <c r="J208" i="78" s="1"/>
  <c r="G19" i="77"/>
  <c r="J19" i="77" s="1"/>
  <c r="E19" i="78" s="1"/>
  <c r="G19" i="78" s="1"/>
  <c r="J19" i="78" s="1"/>
  <c r="G175" i="77"/>
  <c r="J175" i="77" s="1"/>
  <c r="E175" i="78" s="1"/>
  <c r="G175" i="78" s="1"/>
  <c r="J175" i="78" s="1"/>
  <c r="G218" i="77"/>
  <c r="J218" i="77" s="1"/>
  <c r="E218" i="78" s="1"/>
  <c r="G218" i="78" s="1"/>
  <c r="J218" i="78" s="1"/>
  <c r="G43" i="77"/>
  <c r="J43" i="77" s="1"/>
  <c r="E43" i="78" s="1"/>
  <c r="G43" i="78" s="1"/>
  <c r="J43" i="78" s="1"/>
  <c r="E43" i="79" s="1"/>
  <c r="G43" i="79" s="1"/>
  <c r="J43" i="79" s="1"/>
  <c r="G88" i="77"/>
  <c r="J88" i="77" s="1"/>
  <c r="E88" i="78" s="1"/>
  <c r="G88" i="78" s="1"/>
  <c r="J88" i="78" s="1"/>
  <c r="G114" i="77"/>
  <c r="J114" i="77" s="1"/>
  <c r="E114" i="78" s="1"/>
  <c r="G114" i="78" s="1"/>
  <c r="J114" i="78" s="1"/>
  <c r="G25" i="77"/>
  <c r="J25" i="77" s="1"/>
  <c r="E25" i="78" s="1"/>
  <c r="G25" i="78" s="1"/>
  <c r="J25" i="78" s="1"/>
  <c r="G40" i="77"/>
  <c r="J40" i="77" s="1"/>
  <c r="E40" i="78" s="1"/>
  <c r="G40" i="78" s="1"/>
  <c r="J40" i="78" s="1"/>
  <c r="G239" i="77"/>
  <c r="J239" i="77" s="1"/>
  <c r="E239" i="78" s="1"/>
  <c r="G239" i="78" s="1"/>
  <c r="J239" i="78" s="1"/>
  <c r="G103" i="77"/>
  <c r="J103" i="77" s="1"/>
  <c r="E103" i="78" s="1"/>
  <c r="G103" i="78" s="1"/>
  <c r="J103" i="78" s="1"/>
  <c r="G152" i="77"/>
  <c r="J152" i="77" s="1"/>
  <c r="E152" i="78" s="1"/>
  <c r="G152" i="78" s="1"/>
  <c r="J152" i="78" s="1"/>
  <c r="G77" i="77"/>
  <c r="J77" i="77" s="1"/>
  <c r="E77" i="78" s="1"/>
  <c r="G77" i="78" s="1"/>
  <c r="J77" i="78" s="1"/>
  <c r="G97" i="77"/>
  <c r="J97" i="77" s="1"/>
  <c r="E97" i="78" s="1"/>
  <c r="G97" i="78" s="1"/>
  <c r="J97" i="78" s="1"/>
  <c r="G89" i="77"/>
  <c r="J89" i="77" s="1"/>
  <c r="E89" i="78" s="1"/>
  <c r="G89" i="78" s="1"/>
  <c r="J89" i="78" s="1"/>
  <c r="G212" i="77"/>
  <c r="J212" i="77" s="1"/>
  <c r="E212" i="78" s="1"/>
  <c r="G212" i="78" s="1"/>
  <c r="J212" i="78" s="1"/>
  <c r="G86" i="77"/>
  <c r="J86" i="77" s="1"/>
  <c r="E86" i="78" s="1"/>
  <c r="G86" i="78" s="1"/>
  <c r="J86" i="78" s="1"/>
  <c r="E86" i="79" s="1"/>
  <c r="G86" i="79" s="1"/>
  <c r="J86" i="79" s="1"/>
  <c r="G161" i="79"/>
  <c r="J161" i="79" s="1"/>
  <c r="G230" i="79"/>
  <c r="J230" i="79" s="1"/>
  <c r="G223" i="79"/>
  <c r="J223" i="79" s="1"/>
  <c r="G231" i="79"/>
  <c r="J231" i="79" s="1"/>
  <c r="G232" i="79"/>
  <c r="J232" i="79" s="1"/>
  <c r="E112" i="77"/>
  <c r="E112" i="8"/>
  <c r="E93" i="77"/>
  <c r="E93" i="8"/>
  <c r="E154" i="77"/>
  <c r="E154" i="8"/>
  <c r="E125" i="77"/>
  <c r="E125" i="8"/>
  <c r="E158" i="77"/>
  <c r="E158" i="8"/>
  <c r="E38" i="77"/>
  <c r="E38" i="8"/>
  <c r="E209" i="77"/>
  <c r="E209" i="8"/>
  <c r="E115" i="77"/>
  <c r="E115" i="8"/>
  <c r="E129" i="77"/>
  <c r="E127" i="77"/>
  <c r="K216" i="64"/>
  <c r="E99" i="79" l="1"/>
  <c r="G99" i="79" s="1"/>
  <c r="J99" i="79" s="1"/>
  <c r="E99" i="80" s="1"/>
  <c r="G99" i="80" s="1"/>
  <c r="J99" i="80" s="1"/>
  <c r="E101" i="79"/>
  <c r="G101" i="79" s="1"/>
  <c r="J101" i="79" s="1"/>
  <c r="E101" i="80" s="1"/>
  <c r="G101" i="80" s="1"/>
  <c r="J101" i="80" s="1"/>
  <c r="E175" i="79"/>
  <c r="G175" i="79" s="1"/>
  <c r="J175" i="79" s="1"/>
  <c r="E175" i="80" s="1"/>
  <c r="G175" i="80" s="1"/>
  <c r="J175" i="80" s="1"/>
  <c r="E36" i="79"/>
  <c r="G36" i="79" s="1"/>
  <c r="J36" i="79" s="1"/>
  <c r="E36" i="80" s="1"/>
  <c r="G36" i="80" s="1"/>
  <c r="J36" i="80" s="1"/>
  <c r="E56" i="79"/>
  <c r="G56" i="79" s="1"/>
  <c r="J56" i="79" s="1"/>
  <c r="E56" i="80" s="1"/>
  <c r="G56" i="80" s="1"/>
  <c r="J56" i="80" s="1"/>
  <c r="E133" i="79"/>
  <c r="G133" i="79" s="1"/>
  <c r="J133" i="79" s="1"/>
  <c r="E133" i="80" s="1"/>
  <c r="G133" i="80" s="1"/>
  <c r="J133" i="80" s="1"/>
  <c r="E116" i="79"/>
  <c r="G116" i="79" s="1"/>
  <c r="J116" i="79" s="1"/>
  <c r="E116" i="80" s="1"/>
  <c r="G116" i="80" s="1"/>
  <c r="J116" i="80" s="1"/>
  <c r="E147" i="79"/>
  <c r="G147" i="79" s="1"/>
  <c r="J147" i="79" s="1"/>
  <c r="E147" i="80" s="1"/>
  <c r="G147" i="80" s="1"/>
  <c r="J147" i="80" s="1"/>
  <c r="E23" i="79"/>
  <c r="G23" i="79" s="1"/>
  <c r="J23" i="79" s="1"/>
  <c r="E23" i="80" s="1"/>
  <c r="G23" i="80" s="1"/>
  <c r="J23" i="80" s="1"/>
  <c r="E57" i="79"/>
  <c r="G57" i="79" s="1"/>
  <c r="J57" i="79" s="1"/>
  <c r="E57" i="80" s="1"/>
  <c r="G57" i="80" s="1"/>
  <c r="J57" i="80" s="1"/>
  <c r="E165" i="79"/>
  <c r="G165" i="79" s="1"/>
  <c r="J165" i="79" s="1"/>
  <c r="E165" i="80" s="1"/>
  <c r="G165" i="80" s="1"/>
  <c r="J165" i="80" s="1"/>
  <c r="E208" i="79"/>
  <c r="G208" i="79" s="1"/>
  <c r="J208" i="79" s="1"/>
  <c r="E208" i="80" s="1"/>
  <c r="G208" i="80" s="1"/>
  <c r="J208" i="80" s="1"/>
  <c r="E212" i="79"/>
  <c r="G212" i="79" s="1"/>
  <c r="J212" i="79" s="1"/>
  <c r="E212" i="80" s="1"/>
  <c r="G212" i="80" s="1"/>
  <c r="J212" i="80" s="1"/>
  <c r="E27" i="79"/>
  <c r="G27" i="79" s="1"/>
  <c r="J27" i="79" s="1"/>
  <c r="E27" i="80" s="1"/>
  <c r="G27" i="80" s="1"/>
  <c r="J27" i="80" s="1"/>
  <c r="E89" i="79"/>
  <c r="G89" i="79" s="1"/>
  <c r="J89" i="79" s="1"/>
  <c r="E89" i="80" s="1"/>
  <c r="G89" i="80" s="1"/>
  <c r="J89" i="80" s="1"/>
  <c r="E40" i="79"/>
  <c r="G40" i="79" s="1"/>
  <c r="J40" i="79" s="1"/>
  <c r="E40" i="80" s="1"/>
  <c r="G40" i="80" s="1"/>
  <c r="J40" i="80" s="1"/>
  <c r="E19" i="79"/>
  <c r="G19" i="79" s="1"/>
  <c r="J19" i="79" s="1"/>
  <c r="E19" i="80" s="1"/>
  <c r="G19" i="80" s="1"/>
  <c r="J19" i="80" s="1"/>
  <c r="E163" i="79"/>
  <c r="G163" i="79" s="1"/>
  <c r="J163" i="79" s="1"/>
  <c r="E163" i="80" s="1"/>
  <c r="G163" i="80" s="1"/>
  <c r="J163" i="80" s="1"/>
  <c r="E105" i="79"/>
  <c r="G105" i="79" s="1"/>
  <c r="J105" i="79" s="1"/>
  <c r="E105" i="80" s="1"/>
  <c r="G105" i="80" s="1"/>
  <c r="J105" i="80" s="1"/>
  <c r="E51" i="79"/>
  <c r="G51" i="79" s="1"/>
  <c r="J51" i="79" s="1"/>
  <c r="E51" i="80" s="1"/>
  <c r="G51" i="80" s="1"/>
  <c r="J51" i="80" s="1"/>
  <c r="E151" i="79"/>
  <c r="G151" i="79" s="1"/>
  <c r="J151" i="79" s="1"/>
  <c r="E151" i="80" s="1"/>
  <c r="G151" i="80" s="1"/>
  <c r="J151" i="80" s="1"/>
  <c r="E33" i="79"/>
  <c r="G33" i="79" s="1"/>
  <c r="J33" i="79" s="1"/>
  <c r="E33" i="80" s="1"/>
  <c r="G33" i="80" s="1"/>
  <c r="J33" i="80" s="1"/>
  <c r="E108" i="79"/>
  <c r="G108" i="79" s="1"/>
  <c r="J108" i="79" s="1"/>
  <c r="E108" i="80" s="1"/>
  <c r="G108" i="80" s="1"/>
  <c r="J108" i="80" s="1"/>
  <c r="E44" i="79"/>
  <c r="G44" i="79" s="1"/>
  <c r="J44" i="79" s="1"/>
  <c r="E44" i="80" s="1"/>
  <c r="G44" i="80" s="1"/>
  <c r="J44" i="80" s="1"/>
  <c r="E78" i="79"/>
  <c r="G78" i="79" s="1"/>
  <c r="J78" i="79" s="1"/>
  <c r="E78" i="80" s="1"/>
  <c r="G78" i="80" s="1"/>
  <c r="J78" i="80" s="1"/>
  <c r="E95" i="79"/>
  <c r="G95" i="79" s="1"/>
  <c r="J95" i="79" s="1"/>
  <c r="E95" i="80" s="1"/>
  <c r="G95" i="80" s="1"/>
  <c r="J95" i="80" s="1"/>
  <c r="E114" i="79"/>
  <c r="G114" i="79" s="1"/>
  <c r="J114" i="79" s="1"/>
  <c r="E114" i="80" s="1"/>
  <c r="G114" i="80" s="1"/>
  <c r="J114" i="80" s="1"/>
  <c r="E136" i="79"/>
  <c r="G136" i="79" s="1"/>
  <c r="J136" i="79" s="1"/>
  <c r="E136" i="80" s="1"/>
  <c r="G136" i="80" s="1"/>
  <c r="J136" i="80" s="1"/>
  <c r="E68" i="79"/>
  <c r="G68" i="79" s="1"/>
  <c r="J68" i="79" s="1"/>
  <c r="E68" i="80" s="1"/>
  <c r="G68" i="80" s="1"/>
  <c r="J68" i="80" s="1"/>
  <c r="E77" i="79"/>
  <c r="G77" i="79" s="1"/>
  <c r="J77" i="79" s="1"/>
  <c r="E77" i="80" s="1"/>
  <c r="G77" i="80" s="1"/>
  <c r="J77" i="80" s="1"/>
  <c r="E88" i="79"/>
  <c r="G88" i="79" s="1"/>
  <c r="J88" i="79" s="1"/>
  <c r="E88" i="80" s="1"/>
  <c r="G88" i="80" s="1"/>
  <c r="J88" i="80" s="1"/>
  <c r="E58" i="79"/>
  <c r="G58" i="79" s="1"/>
  <c r="J58" i="79" s="1"/>
  <c r="E58" i="80" s="1"/>
  <c r="G58" i="80" s="1"/>
  <c r="J58" i="80" s="1"/>
  <c r="E37" i="79"/>
  <c r="G37" i="79" s="1"/>
  <c r="J37" i="79" s="1"/>
  <c r="E37" i="80" s="1"/>
  <c r="G37" i="80" s="1"/>
  <c r="J37" i="80" s="1"/>
  <c r="E159" i="79"/>
  <c r="G159" i="79" s="1"/>
  <c r="J159" i="79" s="1"/>
  <c r="E159" i="80" s="1"/>
  <c r="G159" i="80" s="1"/>
  <c r="J159" i="80" s="1"/>
  <c r="E32" i="79"/>
  <c r="G32" i="79" s="1"/>
  <c r="J32" i="79" s="1"/>
  <c r="E32" i="80" s="1"/>
  <c r="G32" i="80" s="1"/>
  <c r="J32" i="80" s="1"/>
  <c r="E46" i="79"/>
  <c r="G46" i="79" s="1"/>
  <c r="J46" i="79" s="1"/>
  <c r="E46" i="80" s="1"/>
  <c r="G46" i="80" s="1"/>
  <c r="J46" i="80" s="1"/>
  <c r="E137" i="79"/>
  <c r="G137" i="79" s="1"/>
  <c r="J137" i="79" s="1"/>
  <c r="E137" i="80" s="1"/>
  <c r="G137" i="80" s="1"/>
  <c r="J137" i="80" s="1"/>
  <c r="E59" i="79"/>
  <c r="G59" i="79" s="1"/>
  <c r="J59" i="79" s="1"/>
  <c r="E59" i="80" s="1"/>
  <c r="G59" i="80" s="1"/>
  <c r="J59" i="80" s="1"/>
  <c r="E54" i="79"/>
  <c r="G54" i="79" s="1"/>
  <c r="J54" i="79" s="1"/>
  <c r="E54" i="80" s="1"/>
  <c r="G54" i="80" s="1"/>
  <c r="J54" i="80" s="1"/>
  <c r="E29" i="79"/>
  <c r="G29" i="79" s="1"/>
  <c r="J29" i="79" s="1"/>
  <c r="E29" i="80" s="1"/>
  <c r="G29" i="80" s="1"/>
  <c r="J29" i="80" s="1"/>
  <c r="E160" i="79"/>
  <c r="G160" i="79" s="1"/>
  <c r="J160" i="79" s="1"/>
  <c r="E160" i="80" s="1"/>
  <c r="G160" i="80" s="1"/>
  <c r="J160" i="80" s="1"/>
  <c r="E98" i="79"/>
  <c r="G98" i="79" s="1"/>
  <c r="J98" i="79" s="1"/>
  <c r="E98" i="80" s="1"/>
  <c r="G98" i="80" s="1"/>
  <c r="J98" i="80" s="1"/>
  <c r="E48" i="79"/>
  <c r="G48" i="79" s="1"/>
  <c r="J48" i="79" s="1"/>
  <c r="E48" i="80" s="1"/>
  <c r="G48" i="80" s="1"/>
  <c r="J48" i="80" s="1"/>
  <c r="E76" i="79"/>
  <c r="G76" i="79" s="1"/>
  <c r="J76" i="79" s="1"/>
  <c r="E76" i="80" s="1"/>
  <c r="G76" i="80" s="1"/>
  <c r="J76" i="80" s="1"/>
  <c r="E25" i="79"/>
  <c r="G25" i="79" s="1"/>
  <c r="J25" i="79" s="1"/>
  <c r="E25" i="80" s="1"/>
  <c r="G25" i="80" s="1"/>
  <c r="J25" i="80" s="1"/>
  <c r="E34" i="79"/>
  <c r="G34" i="79" s="1"/>
  <c r="J34" i="79" s="1"/>
  <c r="E34" i="80" s="1"/>
  <c r="G34" i="80" s="1"/>
  <c r="J34" i="80" s="1"/>
  <c r="E172" i="79"/>
  <c r="G172" i="79" s="1"/>
  <c r="J172" i="79" s="1"/>
  <c r="E172" i="80" s="1"/>
  <c r="G172" i="80" s="1"/>
  <c r="J172" i="80" s="1"/>
  <c r="E73" i="79"/>
  <c r="G73" i="79" s="1"/>
  <c r="J73" i="79" s="1"/>
  <c r="E73" i="80" s="1"/>
  <c r="G73" i="80" s="1"/>
  <c r="J73" i="80" s="1"/>
  <c r="E49" i="79"/>
  <c r="G49" i="79" s="1"/>
  <c r="J49" i="79" s="1"/>
  <c r="E49" i="80" s="1"/>
  <c r="G49" i="80" s="1"/>
  <c r="J49" i="80" s="1"/>
  <c r="E213" i="79"/>
  <c r="G213" i="79" s="1"/>
  <c r="J213" i="79" s="1"/>
  <c r="E213" i="80" s="1"/>
  <c r="G213" i="80" s="1"/>
  <c r="J213" i="80" s="1"/>
  <c r="E138" i="79"/>
  <c r="G138" i="79" s="1"/>
  <c r="J138" i="79" s="1"/>
  <c r="E138" i="80" s="1"/>
  <c r="G138" i="80" s="1"/>
  <c r="J138" i="80" s="1"/>
  <c r="E152" i="79"/>
  <c r="G152" i="79" s="1"/>
  <c r="J152" i="79" s="1"/>
  <c r="E152" i="80" s="1"/>
  <c r="G152" i="80" s="1"/>
  <c r="J152" i="80" s="1"/>
  <c r="E111" i="79"/>
  <c r="G111" i="79" s="1"/>
  <c r="J111" i="79" s="1"/>
  <c r="E111" i="80" s="1"/>
  <c r="G111" i="80" s="1"/>
  <c r="J111" i="80" s="1"/>
  <c r="E110" i="79"/>
  <c r="G110" i="79" s="1"/>
  <c r="J110" i="79" s="1"/>
  <c r="E110" i="80" s="1"/>
  <c r="G110" i="80" s="1"/>
  <c r="J110" i="80" s="1"/>
  <c r="E104" i="79"/>
  <c r="G104" i="79" s="1"/>
  <c r="J104" i="79" s="1"/>
  <c r="E104" i="80" s="1"/>
  <c r="G104" i="80" s="1"/>
  <c r="J104" i="80" s="1"/>
  <c r="E84" i="79"/>
  <c r="G84" i="79" s="1"/>
  <c r="J84" i="79" s="1"/>
  <c r="E84" i="80" s="1"/>
  <c r="G84" i="80" s="1"/>
  <c r="J84" i="80" s="1"/>
  <c r="E66" i="79"/>
  <c r="G66" i="79" s="1"/>
  <c r="J66" i="79" s="1"/>
  <c r="E66" i="80" s="1"/>
  <c r="G66" i="80" s="1"/>
  <c r="J66" i="80" s="1"/>
  <c r="E164" i="79"/>
  <c r="G164" i="79" s="1"/>
  <c r="J164" i="79" s="1"/>
  <c r="E164" i="80" s="1"/>
  <c r="G164" i="80" s="1"/>
  <c r="J164" i="80" s="1"/>
  <c r="E24" i="79"/>
  <c r="G24" i="79" s="1"/>
  <c r="J24" i="79" s="1"/>
  <c r="E24" i="80" s="1"/>
  <c r="G24" i="80" s="1"/>
  <c r="J24" i="80" s="1"/>
  <c r="E87" i="79"/>
  <c r="G87" i="79" s="1"/>
  <c r="J87" i="79" s="1"/>
  <c r="E87" i="80" s="1"/>
  <c r="G87" i="80" s="1"/>
  <c r="J87" i="80" s="1"/>
  <c r="E67" i="79"/>
  <c r="G67" i="79" s="1"/>
  <c r="J67" i="79" s="1"/>
  <c r="E67" i="80" s="1"/>
  <c r="G67" i="80" s="1"/>
  <c r="J67" i="80" s="1"/>
  <c r="E130" i="79"/>
  <c r="G130" i="79" s="1"/>
  <c r="J130" i="79" s="1"/>
  <c r="E130" i="80" s="1"/>
  <c r="G130" i="80" s="1"/>
  <c r="J130" i="80" s="1"/>
  <c r="E135" i="79"/>
  <c r="G135" i="79" s="1"/>
  <c r="J135" i="79" s="1"/>
  <c r="E135" i="80" s="1"/>
  <c r="G135" i="80" s="1"/>
  <c r="J135" i="80" s="1"/>
  <c r="E74" i="79"/>
  <c r="G74" i="79" s="1"/>
  <c r="J74" i="79" s="1"/>
  <c r="E74" i="80" s="1"/>
  <c r="G74" i="80" s="1"/>
  <c r="J74" i="80" s="1"/>
  <c r="E103" i="79"/>
  <c r="G103" i="79" s="1"/>
  <c r="J103" i="79" s="1"/>
  <c r="E103" i="80" s="1"/>
  <c r="G103" i="80" s="1"/>
  <c r="J103" i="80" s="1"/>
  <c r="E216" i="79"/>
  <c r="G216" i="79" s="1"/>
  <c r="J216" i="79" s="1"/>
  <c r="E216" i="80" s="1"/>
  <c r="G216" i="80" s="1"/>
  <c r="J216" i="80" s="1"/>
  <c r="E52" i="79"/>
  <c r="G52" i="79" s="1"/>
  <c r="J52" i="79" s="1"/>
  <c r="E52" i="80" s="1"/>
  <c r="G52" i="80" s="1"/>
  <c r="J52" i="80" s="1"/>
  <c r="E65" i="79"/>
  <c r="G65" i="79" s="1"/>
  <c r="J65" i="79" s="1"/>
  <c r="E65" i="80" s="1"/>
  <c r="G65" i="80" s="1"/>
  <c r="J65" i="80" s="1"/>
  <c r="E79" i="79"/>
  <c r="G79" i="79" s="1"/>
  <c r="J79" i="79" s="1"/>
  <c r="E79" i="80" s="1"/>
  <c r="G79" i="80" s="1"/>
  <c r="J79" i="80" s="1"/>
  <c r="E134" i="79"/>
  <c r="G134" i="79" s="1"/>
  <c r="J134" i="79" s="1"/>
  <c r="E134" i="80" s="1"/>
  <c r="G134" i="80" s="1"/>
  <c r="J134" i="80" s="1"/>
  <c r="E139" i="79"/>
  <c r="G139" i="79" s="1"/>
  <c r="J139" i="79" s="1"/>
  <c r="E139" i="80" s="1"/>
  <c r="G139" i="80" s="1"/>
  <c r="J139" i="80" s="1"/>
  <c r="E20" i="79"/>
  <c r="G20" i="79" s="1"/>
  <c r="J20" i="79" s="1"/>
  <c r="E20" i="80" s="1"/>
  <c r="G20" i="80" s="1"/>
  <c r="J20" i="80" s="1"/>
  <c r="E26" i="79"/>
  <c r="G26" i="79" s="1"/>
  <c r="J26" i="79" s="1"/>
  <c r="E26" i="80" s="1"/>
  <c r="G26" i="80" s="1"/>
  <c r="J26" i="80" s="1"/>
  <c r="E31" i="79"/>
  <c r="G31" i="79" s="1"/>
  <c r="J31" i="79" s="1"/>
  <c r="E31" i="80" s="1"/>
  <c r="G31" i="80" s="1"/>
  <c r="J31" i="80" s="1"/>
  <c r="E94" i="79"/>
  <c r="G94" i="79" s="1"/>
  <c r="J94" i="79" s="1"/>
  <c r="E94" i="80" s="1"/>
  <c r="E97" i="79"/>
  <c r="G97" i="79" s="1"/>
  <c r="J97" i="79" s="1"/>
  <c r="E97" i="80" s="1"/>
  <c r="G97" i="80" s="1"/>
  <c r="J97" i="80" s="1"/>
  <c r="E47" i="79"/>
  <c r="G47" i="79" s="1"/>
  <c r="J47" i="79" s="1"/>
  <c r="E47" i="80" s="1"/>
  <c r="G47" i="80" s="1"/>
  <c r="J47" i="80" s="1"/>
  <c r="E113" i="79"/>
  <c r="G113" i="79" s="1"/>
  <c r="J113" i="79" s="1"/>
  <c r="E113" i="80" s="1"/>
  <c r="G113" i="80" s="1"/>
  <c r="J113" i="80" s="1"/>
  <c r="E50" i="79"/>
  <c r="G50" i="79" s="1"/>
  <c r="J50" i="79" s="1"/>
  <c r="E50" i="80" s="1"/>
  <c r="G50" i="80" s="1"/>
  <c r="J50" i="80" s="1"/>
  <c r="E55" i="79"/>
  <c r="G55" i="79" s="1"/>
  <c r="J55" i="79" s="1"/>
  <c r="E55" i="80" s="1"/>
  <c r="G55" i="80" s="1"/>
  <c r="J55" i="80" s="1"/>
  <c r="E92" i="79"/>
  <c r="G92" i="79" s="1"/>
  <c r="J92" i="79" s="1"/>
  <c r="E92" i="80" s="1"/>
  <c r="G92" i="80" s="1"/>
  <c r="J92" i="80" s="1"/>
  <c r="E123" i="79"/>
  <c r="G123" i="79" s="1"/>
  <c r="J123" i="79" s="1"/>
  <c r="E123" i="80" s="1"/>
  <c r="G123" i="80" s="1"/>
  <c r="J123" i="80" s="1"/>
  <c r="E64" i="79"/>
  <c r="G64" i="79" s="1"/>
  <c r="J64" i="79" s="1"/>
  <c r="E64" i="80" s="1"/>
  <c r="G64" i="80" s="1"/>
  <c r="J64" i="80" s="1"/>
  <c r="E239" i="79"/>
  <c r="G239" i="79" s="1"/>
  <c r="J239" i="79" s="1"/>
  <c r="E239" i="80" s="1"/>
  <c r="G239" i="80" s="1"/>
  <c r="J239" i="80" s="1"/>
  <c r="E218" i="79"/>
  <c r="G218" i="79" s="1"/>
  <c r="J218" i="79" s="1"/>
  <c r="E218" i="80" s="1"/>
  <c r="G218" i="80" s="1"/>
  <c r="J218" i="80" s="1"/>
  <c r="E90" i="79"/>
  <c r="G90" i="79" s="1"/>
  <c r="J90" i="79" s="1"/>
  <c r="E90" i="80" s="1"/>
  <c r="G90" i="80" s="1"/>
  <c r="J90" i="80" s="1"/>
  <c r="E80" i="79"/>
  <c r="G80" i="79" s="1"/>
  <c r="J80" i="79" s="1"/>
  <c r="E80" i="80" s="1"/>
  <c r="G80" i="80" s="1"/>
  <c r="J80" i="80" s="1"/>
  <c r="E22" i="79"/>
  <c r="G22" i="79" s="1"/>
  <c r="J22" i="79" s="1"/>
  <c r="E22" i="80" s="1"/>
  <c r="G22" i="80" s="1"/>
  <c r="J22" i="80" s="1"/>
  <c r="E30" i="79"/>
  <c r="G30" i="79" s="1"/>
  <c r="J30" i="79" s="1"/>
  <c r="E30" i="80" s="1"/>
  <c r="G30" i="80" s="1"/>
  <c r="J30" i="80" s="1"/>
  <c r="E153" i="79"/>
  <c r="G153" i="79" s="1"/>
  <c r="J153" i="79" s="1"/>
  <c r="E153" i="80" s="1"/>
  <c r="G153" i="80" s="1"/>
  <c r="J153" i="80" s="1"/>
  <c r="E96" i="79"/>
  <c r="G96" i="79" s="1"/>
  <c r="J96" i="79" s="1"/>
  <c r="E96" i="80" s="1"/>
  <c r="G96" i="80" s="1"/>
  <c r="J96" i="80" s="1"/>
  <c r="E176" i="79"/>
  <c r="G176" i="79" s="1"/>
  <c r="J176" i="79" s="1"/>
  <c r="E176" i="80" s="1"/>
  <c r="G176" i="80" s="1"/>
  <c r="J176" i="80" s="1"/>
  <c r="E131" i="79"/>
  <c r="G131" i="79" s="1"/>
  <c r="J131" i="79" s="1"/>
  <c r="E131" i="80" s="1"/>
  <c r="G131" i="80" s="1"/>
  <c r="J131" i="80" s="1"/>
  <c r="E100" i="79"/>
  <c r="G100" i="79" s="1"/>
  <c r="J100" i="79" s="1"/>
  <c r="E100" i="80" s="1"/>
  <c r="G100" i="80" s="1"/>
  <c r="J100" i="80" s="1"/>
  <c r="G226" i="79"/>
  <c r="J226" i="79" s="1"/>
  <c r="E226" i="80" s="1"/>
  <c r="G226" i="80" s="1"/>
  <c r="J226" i="80" s="1"/>
  <c r="G234" i="79"/>
  <c r="J234" i="79" s="1"/>
  <c r="G225" i="79"/>
  <c r="J225" i="79" s="1"/>
  <c r="E225" i="80" s="1"/>
  <c r="G225" i="80" s="1"/>
  <c r="J225" i="80" s="1"/>
  <c r="G233" i="79"/>
  <c r="J233" i="79" s="1"/>
  <c r="G221" i="79"/>
  <c r="J221" i="79" s="1"/>
  <c r="E221" i="80" s="1"/>
  <c r="G221" i="80" s="1"/>
  <c r="J221" i="80" s="1"/>
  <c r="G229" i="79"/>
  <c r="J229" i="79" s="1"/>
  <c r="E237" i="80" s="1"/>
  <c r="G237" i="80" s="1"/>
  <c r="J237" i="80" s="1"/>
  <c r="G228" i="79"/>
  <c r="J228" i="79" s="1"/>
  <c r="G236" i="79"/>
  <c r="J236" i="79" s="1"/>
  <c r="G179" i="79"/>
  <c r="J179" i="79" s="1"/>
  <c r="E178" i="80" s="1"/>
  <c r="G178" i="80" s="1"/>
  <c r="J178" i="80" s="1"/>
  <c r="G180" i="79"/>
  <c r="J180" i="79" s="1"/>
  <c r="E180" i="80" s="1"/>
  <c r="G180" i="80" s="1"/>
  <c r="J180" i="80" s="1"/>
  <c r="G227" i="79"/>
  <c r="J227" i="79" s="1"/>
  <c r="E227" i="80" s="1"/>
  <c r="G227" i="80" s="1"/>
  <c r="J227" i="80" s="1"/>
  <c r="G235" i="79"/>
  <c r="J235" i="79" s="1"/>
  <c r="J209" i="8"/>
  <c r="G209" i="8"/>
  <c r="G154" i="8"/>
  <c r="J154" i="8"/>
  <c r="G209" i="77"/>
  <c r="J209" i="77" s="1"/>
  <c r="E209" i="78" s="1"/>
  <c r="G209" i="78" s="1"/>
  <c r="J209" i="78" s="1"/>
  <c r="G154" i="77"/>
  <c r="J154" i="77" s="1"/>
  <c r="E154" i="78" s="1"/>
  <c r="G154" i="78" s="1"/>
  <c r="J154" i="78" s="1"/>
  <c r="E154" i="79" s="1"/>
  <c r="G154" i="79" s="1"/>
  <c r="J154" i="79" s="1"/>
  <c r="J93" i="8"/>
  <c r="G93" i="8"/>
  <c r="G115" i="77"/>
  <c r="J115" i="77" s="1"/>
  <c r="E115" i="78" s="1"/>
  <c r="G115" i="78" s="1"/>
  <c r="J115" i="78" s="1"/>
  <c r="E115" i="79" s="1"/>
  <c r="G115" i="79" s="1"/>
  <c r="J115" i="79" s="1"/>
  <c r="G38" i="8"/>
  <c r="J38" i="8"/>
  <c r="G38" i="77"/>
  <c r="J38" i="77" s="1"/>
  <c r="E38" i="78" s="1"/>
  <c r="G38" i="78" s="1"/>
  <c r="J38" i="78" s="1"/>
  <c r="E38" i="79" s="1"/>
  <c r="G38" i="79" s="1"/>
  <c r="J38" i="79" s="1"/>
  <c r="G93" i="77"/>
  <c r="J93" i="77" s="1"/>
  <c r="E93" i="78" s="1"/>
  <c r="G93" i="78" s="1"/>
  <c r="J93" i="78" s="1"/>
  <c r="G127" i="77"/>
  <c r="J127" i="77" s="1"/>
  <c r="E127" i="78" s="1"/>
  <c r="G127" i="78" s="1"/>
  <c r="J127" i="78" s="1"/>
  <c r="E127" i="79" s="1"/>
  <c r="G158" i="8"/>
  <c r="J158" i="8"/>
  <c r="G112" i="8"/>
  <c r="J112" i="8"/>
  <c r="G125" i="77"/>
  <c r="J125" i="77" s="1"/>
  <c r="E125" i="78" s="1"/>
  <c r="G125" i="78" s="1"/>
  <c r="J125" i="78" s="1"/>
  <c r="E125" i="79" s="1"/>
  <c r="E158" i="78"/>
  <c r="G158" i="78" s="1"/>
  <c r="J158" i="78" s="1"/>
  <c r="E158" i="79" s="1"/>
  <c r="G158" i="79" s="1"/>
  <c r="J158" i="79" s="1"/>
  <c r="G158" i="77"/>
  <c r="J158" i="77" s="1"/>
  <c r="G129" i="77"/>
  <c r="J129" i="77" s="1"/>
  <c r="E129" i="78" s="1"/>
  <c r="G129" i="78" s="1"/>
  <c r="J129" i="78" s="1"/>
  <c r="E129" i="79" s="1"/>
  <c r="G112" i="77"/>
  <c r="J112" i="77" s="1"/>
  <c r="E112" i="78" s="1"/>
  <c r="G112" i="78" s="1"/>
  <c r="J112" i="78" s="1"/>
  <c r="E112" i="79" s="1"/>
  <c r="G112" i="79" s="1"/>
  <c r="J112" i="79" s="1"/>
  <c r="G115" i="8"/>
  <c r="J115" i="8"/>
  <c r="J125" i="8"/>
  <c r="G125" i="8"/>
  <c r="E21" i="80"/>
  <c r="G21" i="80" s="1"/>
  <c r="J21" i="80" s="1"/>
  <c r="E210" i="80"/>
  <c r="G210" i="80" s="1"/>
  <c r="J210" i="80" s="1"/>
  <c r="E155" i="80"/>
  <c r="G155" i="80" s="1"/>
  <c r="J155" i="80" s="1"/>
  <c r="E42" i="80"/>
  <c r="G42" i="80" s="1"/>
  <c r="J42" i="80" s="1"/>
  <c r="E28" i="80"/>
  <c r="G28" i="80" s="1"/>
  <c r="J28" i="80" s="1"/>
  <c r="E156" i="80"/>
  <c r="G156" i="80" s="1"/>
  <c r="J156" i="80" s="1"/>
  <c r="E109" i="80"/>
  <c r="G109" i="80" s="1"/>
  <c r="J109" i="80" s="1"/>
  <c r="E61" i="80"/>
  <c r="G61" i="80" s="1"/>
  <c r="J61" i="80" s="1"/>
  <c r="E181" i="80"/>
  <c r="G181" i="80" s="1"/>
  <c r="J181" i="80" s="1"/>
  <c r="E86" i="80"/>
  <c r="G86" i="80" s="1"/>
  <c r="J86" i="80" s="1"/>
  <c r="E62" i="80"/>
  <c r="G62" i="80" s="1"/>
  <c r="J62" i="80" s="1"/>
  <c r="E83" i="80"/>
  <c r="G83" i="80" s="1"/>
  <c r="J83" i="80" s="1"/>
  <c r="E132" i="80"/>
  <c r="G132" i="80" s="1"/>
  <c r="J132" i="80" s="1"/>
  <c r="E167" i="80"/>
  <c r="G167" i="80" s="1"/>
  <c r="J167" i="80" s="1"/>
  <c r="E171" i="80"/>
  <c r="G171" i="80" s="1"/>
  <c r="J171" i="80" s="1"/>
  <c r="E53" i="80"/>
  <c r="G53" i="80" s="1"/>
  <c r="J53" i="80" s="1"/>
  <c r="E41" i="80"/>
  <c r="G41" i="80" s="1"/>
  <c r="J41" i="80" s="1"/>
  <c r="E69" i="80"/>
  <c r="G69" i="80" s="1"/>
  <c r="J69" i="80" s="1"/>
  <c r="E157" i="80"/>
  <c r="G157" i="80" s="1"/>
  <c r="J157" i="80" s="1"/>
  <c r="E85" i="80"/>
  <c r="G85" i="80" s="1"/>
  <c r="J85" i="80" s="1"/>
  <c r="E211" i="80"/>
  <c r="G211" i="80" s="1"/>
  <c r="J211" i="80" s="1"/>
  <c r="E43" i="80"/>
  <c r="G43" i="80" s="1"/>
  <c r="J43" i="80" s="1"/>
  <c r="E215" i="80"/>
  <c r="G215" i="80" s="1"/>
  <c r="J215" i="80" s="1"/>
  <c r="E203" i="80"/>
  <c r="G203" i="80" s="1"/>
  <c r="J203" i="80" s="1"/>
  <c r="E72" i="80"/>
  <c r="G72" i="80" s="1"/>
  <c r="J72" i="80" s="1"/>
  <c r="E177" i="80"/>
  <c r="G177" i="80" s="1"/>
  <c r="J177" i="80" s="1"/>
  <c r="E161" i="80"/>
  <c r="G161" i="80" s="1"/>
  <c r="J161" i="80" s="1"/>
  <c r="E223" i="80"/>
  <c r="G223" i="80" s="1"/>
  <c r="J223" i="80" s="1"/>
  <c r="E231" i="80"/>
  <c r="G231" i="80" s="1"/>
  <c r="J231" i="80" s="1"/>
  <c r="E222" i="80"/>
  <c r="G222" i="80" s="1"/>
  <c r="J222" i="80" s="1"/>
  <c r="E230" i="80"/>
  <c r="G230" i="80" s="1"/>
  <c r="J230" i="80" s="1"/>
  <c r="E224" i="80"/>
  <c r="G224" i="80" s="1"/>
  <c r="J224" i="80" s="1"/>
  <c r="E232" i="80"/>
  <c r="G232" i="80" s="1"/>
  <c r="J232" i="80" s="1"/>
  <c r="E228" i="80"/>
  <c r="G228" i="80" s="1"/>
  <c r="J228" i="80" s="1"/>
  <c r="E236" i="80"/>
  <c r="G236" i="80" s="1"/>
  <c r="J236" i="80" s="1"/>
  <c r="E124" i="77"/>
  <c r="E124" i="8"/>
  <c r="E126" i="77"/>
  <c r="E126" i="8"/>
  <c r="E202" i="77"/>
  <c r="E202" i="8"/>
  <c r="E15" i="8"/>
  <c r="E6" i="8"/>
  <c r="E229" i="80" l="1"/>
  <c r="G229" i="80" s="1"/>
  <c r="J229" i="80" s="1"/>
  <c r="E233" i="80"/>
  <c r="G233" i="80" s="1"/>
  <c r="J233" i="80" s="1"/>
  <c r="E235" i="80"/>
  <c r="G235" i="80" s="1"/>
  <c r="J235" i="80" s="1"/>
  <c r="E93" i="79"/>
  <c r="G93" i="79" s="1"/>
  <c r="J93" i="79" s="1"/>
  <c r="E93" i="80" s="1"/>
  <c r="G93" i="80" s="1"/>
  <c r="J93" i="80" s="1"/>
  <c r="E209" i="79"/>
  <c r="G209" i="79" s="1"/>
  <c r="J209" i="79" s="1"/>
  <c r="E209" i="80" s="1"/>
  <c r="G209" i="80" s="1"/>
  <c r="J209" i="80" s="1"/>
  <c r="E179" i="80"/>
  <c r="G179" i="80" s="1"/>
  <c r="J179" i="80" s="1"/>
  <c r="E234" i="80"/>
  <c r="G234" i="80" s="1"/>
  <c r="J234" i="80" s="1"/>
  <c r="G128" i="79"/>
  <c r="J128" i="79" s="1"/>
  <c r="G125" i="79"/>
  <c r="J125" i="79" s="1"/>
  <c r="E128" i="80" s="1"/>
  <c r="G128" i="80" s="1"/>
  <c r="J128" i="80" s="1"/>
  <c r="G124" i="8"/>
  <c r="J124" i="8"/>
  <c r="G126" i="8"/>
  <c r="J126" i="8"/>
  <c r="G94" i="80"/>
  <c r="J94" i="80" s="1"/>
  <c r="G6" i="8"/>
  <c r="J6" i="8"/>
  <c r="J15" i="8"/>
  <c r="G15" i="8"/>
  <c r="G124" i="77"/>
  <c r="J124" i="77" s="1"/>
  <c r="E124" i="78" s="1"/>
  <c r="G124" i="78" s="1"/>
  <c r="J124" i="78" s="1"/>
  <c r="E124" i="79" s="1"/>
  <c r="G202" i="8"/>
  <c r="J202" i="8"/>
  <c r="G202" i="77"/>
  <c r="J202" i="77" s="1"/>
  <c r="E202" i="78" s="1"/>
  <c r="G202" i="78" s="1"/>
  <c r="J202" i="78" s="1"/>
  <c r="G126" i="77"/>
  <c r="J126" i="77" s="1"/>
  <c r="E126" i="78" s="1"/>
  <c r="G126" i="78" s="1"/>
  <c r="J126" i="78" s="1"/>
  <c r="E126" i="79" s="1"/>
  <c r="E115" i="80"/>
  <c r="G115" i="80" s="1"/>
  <c r="J115" i="80" s="1"/>
  <c r="E38" i="80"/>
  <c r="G38" i="80" s="1"/>
  <c r="J38" i="80" s="1"/>
  <c r="E154" i="80"/>
  <c r="G154" i="80" s="1"/>
  <c r="J154" i="80" s="1"/>
  <c r="E112" i="80"/>
  <c r="G112" i="80" s="1"/>
  <c r="J112" i="80" s="1"/>
  <c r="E158" i="80"/>
  <c r="G158" i="80" s="1"/>
  <c r="J158" i="80" s="1"/>
  <c r="E18" i="77"/>
  <c r="E18" i="8"/>
  <c r="E6" i="77"/>
  <c r="E8" i="77"/>
  <c r="E8" i="8"/>
  <c r="E13" i="77"/>
  <c r="E13" i="8"/>
  <c r="E17" i="77"/>
  <c r="E17" i="8"/>
  <c r="E16" i="77"/>
  <c r="E16" i="8"/>
  <c r="E7" i="77"/>
  <c r="E7" i="8"/>
  <c r="E15" i="77"/>
  <c r="E14" i="77"/>
  <c r="E14" i="8"/>
  <c r="M242" i="8"/>
  <c r="H241" i="8"/>
  <c r="H243" i="8"/>
  <c r="E125" i="80" l="1"/>
  <c r="G125" i="80" s="1"/>
  <c r="J125" i="80" s="1"/>
  <c r="E202" i="79"/>
  <c r="G202" i="79" s="1"/>
  <c r="J202" i="79" s="1"/>
  <c r="E202" i="80" s="1"/>
  <c r="G202" i="80" s="1"/>
  <c r="J202" i="80" s="1"/>
  <c r="G126" i="79"/>
  <c r="J126" i="79" s="1"/>
  <c r="E129" i="80" s="1"/>
  <c r="G129" i="80" s="1"/>
  <c r="J129" i="80" s="1"/>
  <c r="G129" i="79"/>
  <c r="J129" i="79" s="1"/>
  <c r="G124" i="79"/>
  <c r="J124" i="79" s="1"/>
  <c r="E127" i="80" s="1"/>
  <c r="G127" i="80" s="1"/>
  <c r="J127" i="80" s="1"/>
  <c r="G127" i="79"/>
  <c r="J127" i="79" s="1"/>
  <c r="G14" i="8"/>
  <c r="J14" i="8"/>
  <c r="G17" i="77"/>
  <c r="J17" i="77" s="1"/>
  <c r="E17" i="78" s="1"/>
  <c r="G17" i="78" s="1"/>
  <c r="J17" i="78" s="1"/>
  <c r="G17" i="8"/>
  <c r="J17" i="8"/>
  <c r="G14" i="77"/>
  <c r="J14" i="77" s="1"/>
  <c r="E14" i="78" s="1"/>
  <c r="G14" i="78" s="1"/>
  <c r="J14" i="78" s="1"/>
  <c r="G15" i="77"/>
  <c r="J15" i="77" s="1"/>
  <c r="E15" i="78" s="1"/>
  <c r="G15" i="78" s="1"/>
  <c r="J15" i="78" s="1"/>
  <c r="G13" i="77"/>
  <c r="J13" i="77" s="1"/>
  <c r="E13" i="78" s="1"/>
  <c r="G13" i="78" s="1"/>
  <c r="J13" i="78" s="1"/>
  <c r="J7" i="8"/>
  <c r="G7" i="8"/>
  <c r="G8" i="8"/>
  <c r="J8" i="8"/>
  <c r="G7" i="77"/>
  <c r="J7" i="77" s="1"/>
  <c r="E7" i="78" s="1"/>
  <c r="G7" i="78" s="1"/>
  <c r="J7" i="78" s="1"/>
  <c r="G8" i="77"/>
  <c r="J8" i="77" s="1"/>
  <c r="E8" i="78" s="1"/>
  <c r="G8" i="78" s="1"/>
  <c r="J8" i="78" s="1"/>
  <c r="G18" i="77"/>
  <c r="J18" i="77" s="1"/>
  <c r="E18" i="78" s="1"/>
  <c r="G18" i="78" s="1"/>
  <c r="J18" i="78" s="1"/>
  <c r="G16" i="8"/>
  <c r="J16" i="8"/>
  <c r="G6" i="77"/>
  <c r="J6" i="77" s="1"/>
  <c r="E6" i="78" s="1"/>
  <c r="G6" i="78" s="1"/>
  <c r="J6" i="78" s="1"/>
  <c r="G13" i="8"/>
  <c r="J13" i="8"/>
  <c r="G16" i="77"/>
  <c r="J16" i="77" s="1"/>
  <c r="E16" i="78" s="1"/>
  <c r="G16" i="78" s="1"/>
  <c r="J16" i="78" s="1"/>
  <c r="G18" i="8"/>
  <c r="J18" i="8"/>
  <c r="Z7" i="8"/>
  <c r="AC7" i="8" s="1"/>
  <c r="Z8" i="8"/>
  <c r="AC8" i="8" s="1"/>
  <c r="Z6" i="8"/>
  <c r="AC6" i="8" s="1"/>
  <c r="N243" i="8"/>
  <c r="F242" i="8" s="1"/>
  <c r="C243" i="8" s="1"/>
  <c r="H244" i="8"/>
  <c r="E126" i="80" l="1"/>
  <c r="G126" i="80" s="1"/>
  <c r="J126" i="80" s="1"/>
  <c r="E18" i="79"/>
  <c r="G18" i="79" s="1"/>
  <c r="J18" i="79" s="1"/>
  <c r="E18" i="80" s="1"/>
  <c r="G18" i="80" s="1"/>
  <c r="J18" i="80" s="1"/>
  <c r="E8" i="79"/>
  <c r="G8" i="79" s="1"/>
  <c r="J8" i="79" s="1"/>
  <c r="E8" i="80" s="1"/>
  <c r="G8" i="80" s="1"/>
  <c r="J8" i="80" s="1"/>
  <c r="E15" i="79"/>
  <c r="G15" i="79" s="1"/>
  <c r="J15" i="79" s="1"/>
  <c r="E15" i="80" s="1"/>
  <c r="G15" i="80" s="1"/>
  <c r="J15" i="80" s="1"/>
  <c r="E16" i="79"/>
  <c r="G16" i="79" s="1"/>
  <c r="J16" i="79" s="1"/>
  <c r="E16" i="80" s="1"/>
  <c r="G16" i="80" s="1"/>
  <c r="J16" i="80" s="1"/>
  <c r="E7" i="79"/>
  <c r="G7" i="79" s="1"/>
  <c r="J7" i="79" s="1"/>
  <c r="E7" i="80" s="1"/>
  <c r="G7" i="80" s="1"/>
  <c r="J7" i="80" s="1"/>
  <c r="E14" i="79"/>
  <c r="G14" i="79" s="1"/>
  <c r="J14" i="79" s="1"/>
  <c r="E14" i="80" s="1"/>
  <c r="G14" i="80" s="1"/>
  <c r="J14" i="80" s="1"/>
  <c r="E13" i="79"/>
  <c r="G13" i="79" s="1"/>
  <c r="J13" i="79" s="1"/>
  <c r="E13" i="80" s="1"/>
  <c r="G13" i="80" s="1"/>
  <c r="J13" i="80" s="1"/>
  <c r="E6" i="79"/>
  <c r="G6" i="79" s="1"/>
  <c r="J6" i="79" s="1"/>
  <c r="E6" i="80" s="1"/>
  <c r="G6" i="80" s="1"/>
  <c r="J6" i="80" s="1"/>
  <c r="E17" i="79"/>
  <c r="G17" i="79" s="1"/>
  <c r="J17" i="79" s="1"/>
  <c r="E17" i="80" s="1"/>
  <c r="G17" i="80" s="1"/>
  <c r="J17" i="80" s="1"/>
  <c r="E124" i="80"/>
  <c r="G124" i="80" s="1"/>
  <c r="J124" i="80" s="1"/>
  <c r="R9" i="8"/>
  <c r="M244" i="8"/>
  <c r="Z9" i="8" l="1"/>
  <c r="C5" i="64" l="1"/>
  <c r="E5" i="64" s="1"/>
  <c r="G5" i="64" s="1"/>
  <c r="C31" i="64" l="1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6" i="64" l="1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87" i="64" l="1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115" i="64" l="1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5" i="74" l="1"/>
  <c r="J5" i="74" s="1"/>
  <c r="E5" i="8" s="1"/>
  <c r="J5" i="8" s="1"/>
  <c r="E5" i="77" l="1"/>
  <c r="G5" i="77" s="1"/>
  <c r="J5" i="77" s="1"/>
  <c r="E5" i="78" s="1"/>
  <c r="G5" i="78" l="1"/>
  <c r="J5" i="78" s="1"/>
  <c r="E5" i="79" s="1"/>
  <c r="G5" i="8"/>
  <c r="G5" i="79" l="1"/>
  <c r="J5" i="79" s="1"/>
  <c r="E5" i="80" s="1"/>
  <c r="G5" i="80" l="1"/>
  <c r="J5" i="80" s="1"/>
  <c r="E207" i="77"/>
  <c r="E207" i="8"/>
  <c r="G207" i="77" l="1"/>
  <c r="J207" i="77" s="1"/>
  <c r="E207" i="78" s="1"/>
  <c r="G207" i="78" s="1"/>
  <c r="J207" i="78" s="1"/>
  <c r="J207" i="8"/>
  <c r="G207" i="8"/>
  <c r="E205" i="77"/>
  <c r="E205" i="8"/>
  <c r="E190" i="77"/>
  <c r="E190" i="8"/>
  <c r="E188" i="77"/>
  <c r="E188" i="8"/>
  <c r="E189" i="77"/>
  <c r="E189" i="8"/>
  <c r="E206" i="77"/>
  <c r="E206" i="8"/>
  <c r="E204" i="77"/>
  <c r="E204" i="8"/>
  <c r="E207" i="79" l="1"/>
  <c r="G207" i="79" s="1"/>
  <c r="J207" i="79" s="1"/>
  <c r="E207" i="80" s="1"/>
  <c r="G207" i="80" s="1"/>
  <c r="J207" i="80" s="1"/>
  <c r="G206" i="8"/>
  <c r="J206" i="8"/>
  <c r="J205" i="8"/>
  <c r="G205" i="8"/>
  <c r="G188" i="77"/>
  <c r="J188" i="77" s="1"/>
  <c r="E188" i="78" s="1"/>
  <c r="G188" i="78" s="1"/>
  <c r="J188" i="78" s="1"/>
  <c r="G206" i="77"/>
  <c r="J206" i="77" s="1"/>
  <c r="E206" i="78" s="1"/>
  <c r="G206" i="78" s="1"/>
  <c r="J206" i="78" s="1"/>
  <c r="G189" i="77"/>
  <c r="J189" i="77" s="1"/>
  <c r="E189" i="78" s="1"/>
  <c r="G189" i="78" s="1"/>
  <c r="J189" i="78" s="1"/>
  <c r="G205" i="77"/>
  <c r="J205" i="77" s="1"/>
  <c r="E205" i="78" s="1"/>
  <c r="G205" i="78" s="1"/>
  <c r="J205" i="78" s="1"/>
  <c r="J189" i="8"/>
  <c r="G189" i="8"/>
  <c r="G188" i="8"/>
  <c r="J188" i="8"/>
  <c r="G204" i="8"/>
  <c r="J204" i="8"/>
  <c r="G190" i="8"/>
  <c r="J190" i="8"/>
  <c r="G204" i="77"/>
  <c r="J204" i="77" s="1"/>
  <c r="E204" i="78" s="1"/>
  <c r="G204" i="78" s="1"/>
  <c r="J204" i="78" s="1"/>
  <c r="G190" i="77"/>
  <c r="J190" i="77" s="1"/>
  <c r="E190" i="78" s="1"/>
  <c r="G190" i="78" s="1"/>
  <c r="J190" i="78" s="1"/>
  <c r="E206" i="79" l="1"/>
  <c r="G206" i="79" s="1"/>
  <c r="J206" i="79" s="1"/>
  <c r="E206" i="80" s="1"/>
  <c r="G206" i="80" s="1"/>
  <c r="J206" i="80" s="1"/>
  <c r="E188" i="79"/>
  <c r="G188" i="79" s="1"/>
  <c r="J188" i="79" s="1"/>
  <c r="E188" i="80" s="1"/>
  <c r="G188" i="80" s="1"/>
  <c r="J188" i="80" s="1"/>
  <c r="E190" i="79"/>
  <c r="G190" i="79" s="1"/>
  <c r="J190" i="79" s="1"/>
  <c r="E190" i="80" s="1"/>
  <c r="G190" i="80" s="1"/>
  <c r="J190" i="80" s="1"/>
  <c r="E204" i="79"/>
  <c r="G204" i="79" s="1"/>
  <c r="J204" i="79" s="1"/>
  <c r="E204" i="80" s="1"/>
  <c r="G204" i="80" s="1"/>
  <c r="J204" i="80" s="1"/>
  <c r="E189" i="79"/>
  <c r="G189" i="79" s="1"/>
  <c r="J189" i="79" s="1"/>
  <c r="E189" i="80" s="1"/>
  <c r="G189" i="80" s="1"/>
  <c r="J189" i="80" s="1"/>
  <c r="E205" i="79"/>
  <c r="G205" i="79" s="1"/>
  <c r="J205" i="79" s="1"/>
  <c r="E205" i="80" s="1"/>
  <c r="G205" i="80" s="1"/>
  <c r="J205" i="80" s="1"/>
  <c r="E117" i="8"/>
  <c r="E117" i="77"/>
  <c r="J117" i="8" l="1"/>
  <c r="G117" i="8"/>
  <c r="G117" i="77"/>
  <c r="J117" i="77" s="1"/>
  <c r="E117" i="78" s="1"/>
  <c r="G117" i="78" s="1"/>
  <c r="J117" i="78" s="1"/>
  <c r="E117" i="79" l="1"/>
  <c r="G117" i="79" s="1"/>
  <c r="J117" i="79" s="1"/>
  <c r="E117" i="80" s="1"/>
  <c r="G117" i="80" s="1"/>
  <c r="J117" i="80" s="1"/>
  <c r="M243" i="8"/>
  <c r="F241" i="8"/>
  <c r="F244" i="8" s="1"/>
  <c r="F246" i="8" s="1"/>
  <c r="C244" i="8" l="1"/>
  <c r="M245" i="8"/>
  <c r="M248" i="8" s="1"/>
</calcChain>
</file>

<file path=xl/sharedStrings.xml><?xml version="1.0" encoding="utf-8"?>
<sst xmlns="http://schemas.openxmlformats.org/spreadsheetml/2006/main" count="11365" uniqueCount="1411">
  <si>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</si>
  <si>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</si>
  <si>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</si>
  <si>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</si>
  <si>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</si>
  <si>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</si>
  <si>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</si>
  <si>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</si>
  <si>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</si>
  <si>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</si>
  <si>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</si>
  <si>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</si>
  <si>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</si>
  <si>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</si>
  <si>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</si>
  <si>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</si>
  <si>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</si>
  <si>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</si>
  <si>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</si>
  <si>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</si>
  <si>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</si>
  <si>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</si>
  <si>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</si>
  <si>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</si>
  <si>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</si>
  <si>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</si>
  <si>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</si>
  <si>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</si>
  <si>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</si>
  <si>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</si>
  <si>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</si>
  <si>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</si>
  <si>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</si>
  <si>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</si>
  <si>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</si>
  <si>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</si>
  <si>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</si>
  <si>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</si>
  <si>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</si>
  <si>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</si>
  <si>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</si>
  <si>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</si>
  <si>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</si>
  <si>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</si>
  <si>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</si>
  <si>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</si>
  <si>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</si>
  <si>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</si>
  <si>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</si>
  <si>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</si>
  <si>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</si>
  <si>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</si>
  <si>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</si>
  <si>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</si>
  <si>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</si>
  <si>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</si>
  <si>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</si>
  <si>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</si>
  <si>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</si>
  <si>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</si>
  <si>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</si>
  <si>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</si>
  <si>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</si>
  <si>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</si>
  <si>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</si>
  <si>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</si>
  <si>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</si>
  <si>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</si>
  <si>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</si>
  <si>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</si>
  <si>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</si>
  <si>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</si>
  <si>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</si>
  <si>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</si>
  <si>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</si>
  <si>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</si>
  <si>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</si>
  <si>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</si>
  <si>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</si>
  <si>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</si>
  <si>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</si>
  <si>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</si>
  <si>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</si>
  <si>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</si>
  <si>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</si>
  <si>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</si>
  <si>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</si>
  <si>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</si>
  <si>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</si>
  <si>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</si>
  <si>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</si>
  <si>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</si>
  <si>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</si>
  <si>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</si>
  <si>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</si>
  <si>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</si>
  <si>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</si>
  <si>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</si>
  <si>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</si>
  <si>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</si>
  <si>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</si>
  <si>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</si>
  <si>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</si>
  <si>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</si>
  <si>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</si>
  <si>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</si>
  <si>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</si>
  <si>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</si>
  <si>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</si>
  <si>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</si>
  <si>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</si>
  <si>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</si>
  <si>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</si>
  <si>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</si>
  <si>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</si>
  <si>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</si>
  <si>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</si>
  <si>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</si>
  <si>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</si>
  <si>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</si>
  <si>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</si>
  <si>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</si>
  <si>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</si>
  <si>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</si>
  <si>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</si>
  <si>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</si>
  <si>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</si>
  <si>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</si>
  <si>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</si>
  <si>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</si>
  <si>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</si>
  <si>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</si>
  <si>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</si>
  <si>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</si>
  <si>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</si>
  <si>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</si>
  <si>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</si>
  <si>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</si>
  <si>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</si>
  <si>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</si>
  <si>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</si>
  <si>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</si>
  <si>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</si>
  <si>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</si>
  <si>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</si>
  <si>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</si>
  <si>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</si>
  <si>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</si>
  <si>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</si>
  <si>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</si>
  <si>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</si>
  <si>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</si>
  <si>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</si>
  <si>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</si>
  <si>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</si>
  <si>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</si>
  <si>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</si>
  <si>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</si>
  <si>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</si>
  <si>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</si>
  <si>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</si>
  <si>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</si>
  <si>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</si>
  <si>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</si>
  <si>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</si>
  <si>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</si>
  <si>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</si>
  <si>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</si>
  <si>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</si>
  <si>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</si>
  <si>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</si>
  <si>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</si>
  <si>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</si>
  <si>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</si>
  <si>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</si>
  <si>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</si>
  <si>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</si>
  <si>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</si>
  <si>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</si>
  <si>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</si>
  <si>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</si>
  <si>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</si>
  <si>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</si>
  <si>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</si>
  <si>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</si>
  <si>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</si>
  <si>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</si>
  <si>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</si>
  <si>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</si>
  <si>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</si>
  <si>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</si>
  <si>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</si>
  <si>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</si>
  <si>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</si>
  <si>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</si>
  <si>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</si>
  <si>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</si>
  <si>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</si>
  <si>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</si>
  <si>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</si>
  <si>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</si>
  <si>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</si>
  <si>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</si>
  <si>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</si>
  <si>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</si>
  <si>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</si>
  <si>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</si>
  <si>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</si>
  <si>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</si>
  <si>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</si>
  <si>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</si>
  <si>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</si>
  <si>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</si>
  <si>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</si>
  <si>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</si>
  <si>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</si>
  <si>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</si>
  <si>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</si>
  <si>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</si>
  <si>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</si>
  <si>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</si>
  <si>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</si>
  <si>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</si>
  <si>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</si>
  <si>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</si>
  <si>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</si>
  <si>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</si>
  <si>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</si>
  <si>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</si>
  <si>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</si>
  <si>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</si>
  <si>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</si>
  <si>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</si>
  <si>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</si>
  <si>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</si>
  <si>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</si>
  <si>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</si>
  <si>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</si>
  <si>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</si>
  <si>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</si>
  <si>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</si>
  <si>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</si>
  <si>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</si>
  <si>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</si>
  <si>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</si>
  <si>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</si>
  <si>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</si>
  <si>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</si>
  <si>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</si>
  <si>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</si>
  <si>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</si>
  <si>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</si>
  <si>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</si>
  <si>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</si>
  <si>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</si>
  <si>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</si>
  <si>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</si>
  <si>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</si>
  <si>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</si>
  <si>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</si>
  <si>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</si>
  <si>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</si>
  <si>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</si>
  <si>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</si>
  <si>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</si>
  <si>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</si>
  <si>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</si>
  <si>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</si>
  <si>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</si>
  <si>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</si>
  <si>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</si>
  <si>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</si>
  <si>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</si>
  <si>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</si>
  <si>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</si>
  <si>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</si>
  <si>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</si>
  <si>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</si>
  <si>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</si>
  <si>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</si>
  <si>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</si>
  <si>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</si>
  <si>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</si>
  <si>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</si>
  <si>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</si>
  <si>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</si>
  <si>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</si>
  <si>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</si>
  <si>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</si>
  <si>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</si>
  <si>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</si>
  <si>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</si>
  <si>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</si>
  <si>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</si>
  <si>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</si>
  <si>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</si>
  <si>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</si>
  <si>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</si>
  <si>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</si>
  <si>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</si>
  <si>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</si>
  <si>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</si>
  <si>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</si>
  <si>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</si>
  <si>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</si>
  <si>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</si>
  <si>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</si>
  <si>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</si>
  <si>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</si>
  <si>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</si>
  <si>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</si>
  <si>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</si>
  <si>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</si>
  <si>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</si>
  <si>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</si>
  <si>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</si>
  <si>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</si>
  <si>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</si>
  <si>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</si>
  <si>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</si>
  <si>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</si>
  <si>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</si>
  <si>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</si>
  <si>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</si>
  <si>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</si>
  <si>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</si>
  <si>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</si>
  <si>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</si>
  <si>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</si>
  <si>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</si>
  <si>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</si>
  <si>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</si>
  <si>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</si>
  <si>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</si>
  <si>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</si>
  <si>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</si>
  <si>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</si>
  <si>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</si>
  <si>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</si>
  <si>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</si>
  <si>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</si>
  <si>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</si>
  <si>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</si>
  <si>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</si>
  <si>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</si>
  <si>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</si>
  <si>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</si>
  <si>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</si>
  <si>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</si>
  <si>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</si>
  <si>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</si>
  <si>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</si>
  <si>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</si>
  <si>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</si>
  <si>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</si>
  <si>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</si>
  <si>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</si>
  <si>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</si>
  <si>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</si>
  <si>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</si>
  <si>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</si>
  <si>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</si>
  <si>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</si>
  <si>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</si>
  <si>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</si>
  <si>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</si>
  <si>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</si>
  <si>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</si>
  <si>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</si>
  <si>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</si>
  <si>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</si>
  <si>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</si>
  <si>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</si>
  <si>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</si>
  <si>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</si>
  <si>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</si>
  <si>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</si>
  <si>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</si>
  <si>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</si>
  <si>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</si>
  <si>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</si>
  <si>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</si>
  <si>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</si>
  <si>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</si>
  <si>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</si>
  <si>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</si>
  <si>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</si>
  <si>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</si>
  <si>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</si>
  <si>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</si>
  <si>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</si>
  <si>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</si>
  <si>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</si>
  <si>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</si>
  <si>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</si>
  <si>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</si>
  <si>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</si>
  <si>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</si>
  <si>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</si>
  <si>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</si>
  <si>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</si>
  <si>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</si>
  <si>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</si>
  <si>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</si>
  <si>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</si>
  <si>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</si>
  <si>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</si>
  <si>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</si>
  <si>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</si>
  <si>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</si>
  <si>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</si>
  <si>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</si>
  <si>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</si>
  <si>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</si>
  <si>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</si>
  <si>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</si>
  <si>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</si>
  <si>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</si>
  <si>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</si>
  <si>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</si>
  <si>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</si>
  <si>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</si>
  <si>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</si>
  <si>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</si>
  <si>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</si>
  <si>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</si>
  <si>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</si>
  <si>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</si>
  <si>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</si>
  <si>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</si>
  <si>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</si>
  <si>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</si>
  <si>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</si>
  <si>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</si>
  <si>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</si>
  <si>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</si>
  <si>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</si>
  <si>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</si>
  <si>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</si>
  <si>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</si>
  <si>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</si>
  <si>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</si>
  <si>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</si>
  <si>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</si>
  <si>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</si>
  <si>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</si>
  <si>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</si>
  <si>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</si>
  <si>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</si>
  <si>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</si>
  <si>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</si>
  <si>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</si>
  <si>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</si>
  <si>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</si>
  <si>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</si>
  <si>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</si>
  <si>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</si>
  <si>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</si>
  <si>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</si>
  <si>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</si>
  <si>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</si>
  <si>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</si>
  <si>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</si>
  <si>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</si>
  <si>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</si>
  <si>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</si>
  <si>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</si>
  <si>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</si>
  <si>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</si>
  <si>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</si>
  <si>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</si>
  <si>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</si>
  <si>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</si>
  <si>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</si>
  <si>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</si>
  <si>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</si>
  <si>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</si>
  <si>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</si>
  <si>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</si>
  <si>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</si>
  <si>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</si>
  <si>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</si>
  <si>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</si>
  <si>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</si>
  <si>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</si>
  <si>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</si>
  <si>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</si>
  <si>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</si>
  <si>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</si>
  <si>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</si>
  <si>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</si>
  <si>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</si>
  <si>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</si>
  <si>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</si>
  <si>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</si>
  <si>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</si>
  <si>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</si>
  <si>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</si>
  <si>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</si>
  <si>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</si>
  <si>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</si>
  <si>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</si>
  <si>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</si>
  <si>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</si>
  <si>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</si>
  <si>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</si>
  <si>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</si>
  <si>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</si>
  <si>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</si>
  <si>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</si>
  <si>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</si>
  <si>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</si>
  <si>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</si>
  <si>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</si>
  <si>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</si>
  <si>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</si>
  <si>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</si>
  <si>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</si>
  <si>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</si>
  <si>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</si>
  <si>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</si>
  <si>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</si>
  <si>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</si>
  <si>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</si>
  <si>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</si>
  <si>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</si>
  <si>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</si>
  <si>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</si>
  <si>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</si>
  <si>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</si>
  <si>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</si>
  <si>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</si>
  <si>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</si>
  <si>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</si>
  <si>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</si>
  <si>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</si>
  <si>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</si>
  <si>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</si>
  <si>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</si>
  <si>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</si>
  <si>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</si>
  <si>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</si>
  <si>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</si>
  <si>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</si>
  <si>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</si>
  <si>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</si>
  <si>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</si>
  <si>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</si>
  <si>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</si>
  <si>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</si>
  <si>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</si>
  <si>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</si>
  <si>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</si>
  <si>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</si>
  <si>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</si>
  <si>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</si>
  <si>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</si>
  <si>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</si>
  <si>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</si>
  <si>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</si>
  <si>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</si>
  <si>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</si>
  <si>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</si>
  <si>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</si>
  <si>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</si>
  <si>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</si>
  <si>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</si>
  <si>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</si>
  <si>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</si>
  <si>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</si>
  <si>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</si>
  <si>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</si>
  <si>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</si>
  <si>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</si>
  <si>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</si>
  <si>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</si>
  <si>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</si>
  <si>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</si>
  <si>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</si>
  <si>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</si>
  <si>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</si>
  <si>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</si>
  <si>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</si>
  <si>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</si>
  <si>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</si>
  <si>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</si>
  <si>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</si>
  <si>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</si>
  <si>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</si>
  <si>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</si>
  <si>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</si>
  <si>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</si>
  <si>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</si>
  <si>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</si>
  <si>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</si>
  <si>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</si>
  <si>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</si>
  <si>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</si>
  <si>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</si>
  <si>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</si>
  <si>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</si>
  <si>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</si>
  <si>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</si>
  <si>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</si>
  <si>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</si>
  <si>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</si>
  <si>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</si>
  <si>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</si>
  <si>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</si>
  <si>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</si>
  <si>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</si>
  <si>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</si>
  <si>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</si>
  <si>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</si>
  <si>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</si>
  <si>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</si>
  <si>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</si>
  <si>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</si>
  <si>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</si>
  <si>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</si>
  <si>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</si>
  <si>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</si>
  <si>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</si>
  <si>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</si>
  <si>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</si>
  <si>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</si>
  <si>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</si>
  <si>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</si>
  <si>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</si>
  <si>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</si>
  <si>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</si>
  <si>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</si>
  <si>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</si>
  <si>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</si>
  <si>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</si>
  <si>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</si>
  <si>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</si>
  <si>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</si>
  <si>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</si>
  <si>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</si>
  <si>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</si>
  <si>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</si>
  <si>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</si>
  <si>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</si>
  <si>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</si>
  <si>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</si>
  <si>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</si>
  <si>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</si>
  <si>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</si>
  <si>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</si>
  <si>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</si>
  <si>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</si>
  <si>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</si>
  <si>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</si>
  <si>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</si>
  <si>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</si>
  <si>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</si>
  <si>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</si>
  <si>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</si>
  <si>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</si>
  <si>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</si>
  <si>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</si>
  <si>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</si>
  <si>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</si>
  <si>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</si>
  <si>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</si>
  <si>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</si>
  <si>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</si>
  <si>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</si>
  <si>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</si>
  <si>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</si>
  <si>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</si>
  <si>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</si>
  <si>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</si>
  <si>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</si>
  <si>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</si>
  <si>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</si>
  <si>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</si>
  <si>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</si>
  <si>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</si>
  <si>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</si>
  <si>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</si>
  <si>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</si>
  <si>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</si>
  <si>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</si>
  <si>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</si>
  <si>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</si>
  <si>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</si>
  <si>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</si>
  <si>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</si>
  <si>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</si>
  <si>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</si>
  <si>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</si>
  <si>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</si>
  <si>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</si>
  <si>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</si>
  <si>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</si>
  <si>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</si>
  <si>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</si>
  <si>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</si>
  <si>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</si>
  <si>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</si>
  <si>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</si>
  <si>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</si>
  <si>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</si>
  <si>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</si>
  <si>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</si>
  <si>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</si>
  <si>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</si>
  <si>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</si>
  <si>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</si>
  <si>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</si>
  <si>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</si>
  <si>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</si>
  <si>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</si>
  <si>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</si>
  <si>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</si>
  <si>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</si>
  <si>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</si>
  <si>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</si>
  <si>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</si>
  <si>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</si>
  <si>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</si>
  <si>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</si>
  <si>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</si>
  <si>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</si>
  <si>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</si>
  <si>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</si>
  <si>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</si>
  <si>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</si>
  <si>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</si>
  <si>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</si>
  <si>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</si>
  <si>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</si>
  <si>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</si>
  <si>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</si>
  <si>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</si>
  <si>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</si>
  <si>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</si>
  <si>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</si>
  <si>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</si>
  <si>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</si>
  <si>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</si>
  <si>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</si>
  <si>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</si>
  <si>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</si>
  <si>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</si>
  <si>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</si>
  <si>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</si>
  <si>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</si>
  <si>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</si>
  <si>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</si>
  <si>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</si>
  <si>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</si>
  <si>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</si>
  <si>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</si>
  <si>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</si>
  <si>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</si>
  <si>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</si>
  <si>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</si>
  <si>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</si>
  <si>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</si>
  <si>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</si>
  <si>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</si>
  <si>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</si>
  <si>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</si>
  <si>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</si>
  <si>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</si>
  <si>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</si>
  <si>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</si>
  <si>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</si>
  <si>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</si>
  <si>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</si>
  <si>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</si>
  <si>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</si>
  <si>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</si>
  <si>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</si>
  <si>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</si>
  <si>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</si>
  <si>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</si>
  <si>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</si>
  <si>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</si>
  <si>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</si>
  <si>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</si>
  <si>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</si>
  <si>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</si>
  <si>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</si>
  <si>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</si>
  <si>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</si>
  <si>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</si>
  <si>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</si>
  <si>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</si>
  <si>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</si>
  <si>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</si>
  <si>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</si>
  <si>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</si>
  <si>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</si>
  <si>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</si>
  <si>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</si>
  <si>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</si>
  <si>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</si>
  <si>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</si>
  <si>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</si>
  <si>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</si>
  <si>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</si>
  <si>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</si>
  <si>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</si>
  <si>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</si>
  <si>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</si>
  <si>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</si>
  <si>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</si>
  <si>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</si>
  <si>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</si>
  <si>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</si>
  <si>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</si>
  <si>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</si>
  <si>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</si>
  <si>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</si>
  <si>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</si>
  <si>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</si>
  <si>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</si>
  <si>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</si>
  <si>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</si>
  <si>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</si>
  <si>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</si>
  <si>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</si>
  <si>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</si>
  <si>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</si>
  <si>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</si>
  <si>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</si>
  <si>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</si>
  <si>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</si>
  <si>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</si>
  <si>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</si>
  <si>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</si>
  <si>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</si>
  <si>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</si>
  <si>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</si>
  <si>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</si>
  <si>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</si>
  <si>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</si>
  <si>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</si>
  <si>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</si>
  <si>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</si>
  <si>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</si>
  <si>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</si>
  <si>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</si>
  <si>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</si>
  <si>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</si>
  <si>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</si>
  <si>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</si>
  <si>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</si>
  <si>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</si>
  <si>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</si>
  <si>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</si>
  <si>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</si>
  <si>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</si>
  <si>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</si>
  <si>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</si>
  <si>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</si>
  <si>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</si>
  <si>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</si>
  <si>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</si>
  <si>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</si>
  <si>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</si>
  <si>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</si>
  <si>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</si>
  <si>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</si>
  <si>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</si>
  <si>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</si>
  <si>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</si>
  <si>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</si>
  <si>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</si>
  <si>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</si>
  <si>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</si>
  <si>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</si>
  <si>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</si>
  <si>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</si>
  <si>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</si>
  <si>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</si>
  <si>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</si>
  <si>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</si>
  <si>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</si>
  <si>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</si>
  <si>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</si>
  <si>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</si>
  <si>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</si>
  <si>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</si>
  <si>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</si>
  <si>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</si>
  <si>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</si>
  <si>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</si>
  <si>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</si>
  <si>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</si>
  <si>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</si>
  <si>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</si>
  <si>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</si>
  <si>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</si>
  <si>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</si>
  <si>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</si>
  <si>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</si>
  <si>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</si>
  <si>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</si>
  <si>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</si>
  <si>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</si>
  <si>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</si>
  <si>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</si>
  <si>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</si>
  <si>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</si>
  <si>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</si>
  <si>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</si>
  <si>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</si>
  <si>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</si>
  <si>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</si>
  <si>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</si>
  <si>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</si>
  <si>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</si>
  <si>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</si>
  <si>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</si>
  <si>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</si>
  <si>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</si>
  <si>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</si>
  <si>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</si>
  <si>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</si>
  <si>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</si>
  <si>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</si>
  <si>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</si>
  <si>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</si>
  <si>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</si>
  <si>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</si>
  <si>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</si>
  <si>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</si>
  <si>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</si>
  <si>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</si>
  <si>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</si>
  <si>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</si>
  <si>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</si>
  <si>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</si>
  <si>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</si>
  <si>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</si>
  <si>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</si>
  <si>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</si>
  <si>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</si>
  <si>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</si>
  <si>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</si>
  <si>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</si>
  <si>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</si>
  <si>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</si>
  <si>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</si>
  <si>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</si>
  <si>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</si>
  <si>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</si>
  <si>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</si>
  <si>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</si>
  <si>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</si>
  <si>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</si>
  <si>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</si>
  <si>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</si>
  <si>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</si>
  <si>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</si>
  <si>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</si>
  <si>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</si>
  <si>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</si>
  <si>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</si>
  <si>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</si>
  <si>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</si>
  <si>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</si>
  <si>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</si>
  <si>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</si>
  <si>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</si>
  <si>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</si>
  <si>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</si>
  <si>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</si>
  <si>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</si>
  <si>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</si>
  <si>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</si>
  <si>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</si>
  <si>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</si>
  <si>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</si>
  <si>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</si>
  <si>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</si>
  <si>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</si>
  <si>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</si>
  <si>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</si>
  <si>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</si>
  <si>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</si>
  <si>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</si>
  <si>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</si>
  <si>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</si>
  <si>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</si>
  <si>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</si>
  <si>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</si>
  <si>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</si>
  <si>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</si>
  <si>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</si>
  <si>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</si>
  <si>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</si>
  <si>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</si>
  <si>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</si>
  <si>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</si>
  <si>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</si>
  <si>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</si>
  <si>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</si>
  <si>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</si>
  <si>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</si>
  <si>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</si>
  <si>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</si>
  <si>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</si>
  <si>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</si>
  <si>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</si>
  <si>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</si>
  <si>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</si>
  <si>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</si>
  <si>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</si>
  <si>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</si>
  <si>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</si>
  <si>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</si>
  <si>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</si>
  <si>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</si>
  <si>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</si>
  <si>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</si>
  <si>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</si>
  <si>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</si>
  <si>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</si>
  <si>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</si>
  <si>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</si>
  <si>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</si>
  <si>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</si>
  <si>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</si>
  <si>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</si>
  <si>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</si>
  <si>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</si>
  <si>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</si>
  <si>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</si>
  <si>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</si>
  <si>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</si>
  <si>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</si>
  <si>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</si>
  <si>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</si>
  <si>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</si>
  <si>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</si>
  <si>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</si>
  <si>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</si>
  <si>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</si>
  <si>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</si>
  <si>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</si>
  <si>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</si>
  <si>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</si>
  <si>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</si>
  <si>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</si>
  <si>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</si>
  <si>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</si>
  <si>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</si>
  <si>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</si>
  <si>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</si>
  <si>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</si>
  <si>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</si>
  <si>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</si>
  <si>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</si>
  <si>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</si>
  <si>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</si>
  <si>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</si>
  <si>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</si>
  <si>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</si>
  <si>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</si>
  <si>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</si>
  <si>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</si>
  <si>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</si>
  <si>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</si>
  <si>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</si>
  <si>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</si>
  <si>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</si>
  <si>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</si>
  <si>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</si>
  <si>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</si>
  <si>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</si>
  <si>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</si>
  <si>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</si>
  <si>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</si>
  <si>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</si>
  <si>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</si>
  <si>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</si>
  <si>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</si>
  <si>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</si>
  <si>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</si>
  <si>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</si>
  <si>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</si>
  <si>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</si>
  <si>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</si>
  <si>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</si>
  <si>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</si>
  <si>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</si>
  <si>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</si>
  <si>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</si>
  <si>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</si>
  <si>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</si>
  <si>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</si>
  <si>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</si>
  <si>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</si>
  <si>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</si>
  <si>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</si>
  <si>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</si>
  <si>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</si>
  <si>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</si>
  <si>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</si>
  <si>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</si>
  <si>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</si>
  <si>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</si>
  <si>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</si>
  <si>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</si>
  <si>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</si>
  <si>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</si>
  <si>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</si>
  <si>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</si>
  <si>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</si>
  <si>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</si>
  <si>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</si>
  <si>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</si>
  <si>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</si>
  <si>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</si>
  <si>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</si>
  <si>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</si>
  <si>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</si>
  <si>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</si>
  <si>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</si>
  <si>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</si>
  <si>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</si>
  <si>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</si>
  <si>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</si>
  <si>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</si>
  <si>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</si>
  <si>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</si>
  <si>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</si>
  <si>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</si>
  <si>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</si>
  <si>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</si>
  <si>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</si>
  <si>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</si>
  <si>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</si>
  <si>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</si>
  <si>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</si>
  <si>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</si>
  <si>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</si>
  <si>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</si>
  <si>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</si>
  <si>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</si>
  <si>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</si>
  <si>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</si>
  <si>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</si>
  <si>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</si>
  <si>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</si>
  <si>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</si>
  <si>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</si>
  <si>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</si>
  <si>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</si>
  <si>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</si>
  <si>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</si>
  <si>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</si>
  <si>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</si>
  <si>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</si>
  <si>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</si>
  <si>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</si>
  <si>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</si>
  <si>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</si>
  <si>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</si>
  <si>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</si>
  <si>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</si>
  <si>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</si>
  <si>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</si>
  <si>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</si>
  <si>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</si>
  <si>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</si>
  <si>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</si>
  <si>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</si>
  <si>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</si>
  <si>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</si>
  <si>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</si>
  <si>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</si>
  <si>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</si>
  <si>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</si>
  <si>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</si>
  <si>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</si>
  <si>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</si>
  <si>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</si>
  <si>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</si>
  <si>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</si>
  <si>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</si>
  <si>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</si>
  <si>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</si>
  <si>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</si>
  <si>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</si>
  <si>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</si>
  <si>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</si>
  <si>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</si>
  <si>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</si>
  <si>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</si>
  <si>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</si>
  <si>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</si>
  <si>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</si>
  <si>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</si>
  <si>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</si>
  <si>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</si>
  <si>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</si>
  <si>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</si>
  <si>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</si>
  <si>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</si>
  <si>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</si>
  <si>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</si>
  <si>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</si>
  <si>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</si>
  <si>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</si>
  <si>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</si>
  <si>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</si>
  <si>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</si>
  <si>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</si>
  <si>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</si>
  <si>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</si>
  <si>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</si>
  <si>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</si>
  <si>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</si>
  <si>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</si>
  <si>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</si>
  <si>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</si>
  <si>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</si>
  <si>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</si>
  <si>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</si>
  <si>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</si>
  <si>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</si>
  <si>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</si>
  <si>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</si>
  <si>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</si>
  <si>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</si>
  <si>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</si>
  <si>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</si>
  <si>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</si>
  <si>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</si>
  <si>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</si>
  <si>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</si>
  <si>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</si>
  <si>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</si>
  <si>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</si>
  <si>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</si>
  <si>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</si>
  <si>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</si>
  <si>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</si>
  <si>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</si>
  <si>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</si>
  <si>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</si>
  <si>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</si>
  <si>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</si>
  <si>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</si>
  <si>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</si>
  <si>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</si>
  <si>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</si>
  <si>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</si>
  <si>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</si>
  <si>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</si>
  <si>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</si>
  <si>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</si>
  <si>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</si>
  <si>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</si>
  <si>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</si>
  <si>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</si>
  <si>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</si>
  <si>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</si>
  <si>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</si>
  <si>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</si>
  <si>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</si>
  <si>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</si>
  <si>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</si>
  <si>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</si>
  <si>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</si>
  <si>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</si>
  <si>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</si>
  <si>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</si>
  <si>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</si>
  <si>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</si>
  <si>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</si>
  <si>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</si>
  <si>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</si>
  <si>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</si>
  <si>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</si>
  <si>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</si>
  <si>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</si>
  <si>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</si>
  <si>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</si>
  <si>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</si>
  <si>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</si>
  <si>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</si>
  <si>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</si>
  <si>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</si>
  <si>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</si>
  <si>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</si>
  <si>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</si>
  <si>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</si>
  <si>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</si>
  <si>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</si>
  <si>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</si>
  <si>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</si>
  <si>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</si>
  <si>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</si>
  <si>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</si>
  <si>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</si>
  <si>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</si>
  <si>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</si>
  <si>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</si>
  <si>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</si>
  <si>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</si>
  <si>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</si>
  <si>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</si>
  <si>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</si>
  <si>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</si>
  <si>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</si>
  <si>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</si>
  <si>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</si>
  <si>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</si>
  <si>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</si>
  <si>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</si>
  <si>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</si>
  <si>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</si>
  <si>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</si>
  <si>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</si>
  <si>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</si>
  <si>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</si>
  <si>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</si>
  <si>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</si>
  <si>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</si>
  <si>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</si>
  <si>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</si>
  <si>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</si>
  <si>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</si>
  <si>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</si>
  <si>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</si>
  <si>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</si>
  <si>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</si>
  <si>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</si>
  <si>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</si>
  <si>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</si>
  <si>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</si>
  <si>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</si>
  <si>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</si>
  <si>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</si>
  <si>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</si>
  <si>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</si>
  <si>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</si>
  <si>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</si>
  <si>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</si>
  <si>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</si>
  <si>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</si>
  <si>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</si>
  <si>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</si>
  <si>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</si>
  <si>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</si>
  <si>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</si>
  <si>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</si>
  <si>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</si>
  <si>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</si>
  <si>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</si>
  <si>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</si>
  <si>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</si>
  <si>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</si>
  <si>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</si>
  <si>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</si>
  <si>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</si>
  <si>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</si>
  <si>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</si>
  <si>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</si>
  <si>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</si>
  <si>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</si>
  <si>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</si>
  <si>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06</t>
  </si>
  <si>
    <t>มะม่วงชีสพาย</t>
  </si>
  <si>
    <t>ชิฟฟ่อนหม้อแกง</t>
  </si>
  <si>
    <t>เลเยอร์เค้กใบเตย</t>
  </si>
  <si>
    <t>เค้กกล้วยหอมชีท</t>
  </si>
  <si>
    <t>พายแอปเปิ้ล</t>
  </si>
  <si>
    <t>ชูครีมนมฮอกไกโด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</si>
  <si>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</si>
  <si>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</si>
  <si>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</si>
  <si>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</si>
  <si>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</si>
  <si>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พฤหัสบดี</t>
  </si>
  <si>
    <t>ศุกร์</t>
  </si>
  <si>
    <t>เสาร์</t>
  </si>
  <si>
    <t>อาทิตย์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</si>
  <si>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</si>
  <si>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</si>
  <si>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</si>
  <si>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ขนมปังครีมมะพร้าวอ่อน</t>
  </si>
  <si>
    <t>ขนมปังแครนเบอร์รี่</t>
  </si>
  <si>
    <t>ขนมปังฟักทองธัญพืช</t>
  </si>
  <si>
    <t>ขนมปังหมูแดงจากพืช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</si>
  <si>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</si>
  <si>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</si>
  <si>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</si>
  <si>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ทาร์ตมะพร้าวอ่อน 100 กรัม</t>
  </si>
  <si>
    <t>บูธ EVENT MakroHoReCa17 31 ต.ค. 67 -4 พ.ย. 67</t>
  </si>
  <si>
    <t>ขนมปังไก่หยองพริกเผา</t>
  </si>
  <si>
    <t>ของรางวัล 3</t>
  </si>
  <si>
    <t>โปรจับคู่ 2 กล่อง 170 บาท</t>
  </si>
  <si>
    <t>ขาย 3 กล่อง 100 = 2 , แจกชิม 2</t>
  </si>
  <si>
    <t>โปร 3 ถุง 100 = 1</t>
  </si>
  <si>
    <t>โปร 3 กล่อง = 100 = 4  , ชิม 1</t>
  </si>
  <si>
    <t>ขาด</t>
  </si>
  <si>
    <t>ของรางวัล 2</t>
  </si>
  <si>
    <t>ลด 5 บาท</t>
  </si>
  <si>
    <t xml:space="preserve">ของรางวัล 3 , ลดราคา 6 </t>
  </si>
  <si>
    <t>ลดราคา 6</t>
  </si>
  <si>
    <t>เปรี๊ยวคืน 3</t>
  </si>
  <si>
    <t>เปรี๊ยวคืน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</si>
</sst>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18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0" fontId="2" fillId="0" borderId="19" xfId="0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14" fontId="2" fillId="0" borderId="0" xfId="0" applyNumberFormat="1" applyFont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7" borderId="0" xfId="1" applyFont="1" applyFill="1" applyBorder="1" applyAlignment="1">
      <alignment horizontal="center"/>
    </xf>
    <xf numFmtId="43" fontId="2" fillId="2" borderId="0" xfId="0" applyNumberFormat="1" applyFont="1" applyFill="1"/>
    <xf numFmtId="43" fontId="2" fillId="2" borderId="1" xfId="1" applyFont="1" applyFill="1" applyBorder="1" applyAlignment="1">
      <alignment horizontal="center"/>
    </xf>
    <xf numFmtId="43" fontId="2" fillId="2" borderId="1" xfId="1" applyFont="1" applyFill="1" applyBorder="1"/>
    <xf numFmtId="43" fontId="2" fillId="0" borderId="0" xfId="0" applyNumberFormat="1" applyFont="1" applyFill="1"/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C79" sqref="C79"/>
      <selection pane="bottomLeft" activeCell="C79" sqref="C79"/>
    </sheetView>
  </sheetViews>
  <sheetFormatPr defaultRowHeight="13.8" x14ac:dyDescent="0.25"/>
  <cols>
    <col min="1" max="1" width="21.3984375" style="82" customWidth="1"/>
    <col min="2" max="2" width="42.8984375" style="82" customWidth="1"/>
    <col min="3" max="3" width="21.3984375" style="82" customWidth="1"/>
    <col min="4" max="4" width="14.19921875" style="83" customWidth="1"/>
    <col min="5" max="6" width="11.3984375" style="84" customWidth="1"/>
    <col min="7" max="8" width="11.3984375" style="85" customWidth="1"/>
    <col min="9" max="9" width="71.3984375" style="82" customWidth="1"/>
    <col min="10" max="10" width="14.19921875" style="86" customWidth="1"/>
    <col min="11" max="256" width="8.69921875" style="81"/>
    <col min="257" max="257" width="21.3984375" style="81" customWidth="1"/>
    <col min="258" max="258" width="42.8984375" style="81" customWidth="1"/>
    <col min="259" max="259" width="21.3984375" style="81" customWidth="1"/>
    <col min="260" max="260" width="14.19921875" style="81" customWidth="1"/>
    <col min="261" max="264" width="11.3984375" style="81" customWidth="1"/>
    <col min="265" max="265" width="71.3984375" style="81" customWidth="1"/>
    <col min="266" max="266" width="14.19921875" style="81" customWidth="1"/>
    <col min="267" max="512" width="8.69921875" style="81"/>
    <col min="513" max="513" width="21.3984375" style="81" customWidth="1"/>
    <col min="514" max="514" width="42.8984375" style="81" customWidth="1"/>
    <col min="515" max="515" width="21.3984375" style="81" customWidth="1"/>
    <col min="516" max="516" width="14.19921875" style="81" customWidth="1"/>
    <col min="517" max="520" width="11.3984375" style="81" customWidth="1"/>
    <col min="521" max="521" width="71.3984375" style="81" customWidth="1"/>
    <col min="522" max="522" width="14.19921875" style="81" customWidth="1"/>
    <col min="523" max="768" width="8.69921875" style="81"/>
    <col min="769" max="769" width="21.3984375" style="81" customWidth="1"/>
    <col min="770" max="770" width="42.8984375" style="81" customWidth="1"/>
    <col min="771" max="771" width="21.3984375" style="81" customWidth="1"/>
    <col min="772" max="772" width="14.19921875" style="81" customWidth="1"/>
    <col min="773" max="776" width="11.3984375" style="81" customWidth="1"/>
    <col min="777" max="777" width="71.3984375" style="81" customWidth="1"/>
    <col min="778" max="778" width="14.19921875" style="81" customWidth="1"/>
    <col min="779" max="1024" width="8.69921875" style="81"/>
    <col min="1025" max="1025" width="21.3984375" style="81" customWidth="1"/>
    <col min="1026" max="1026" width="42.8984375" style="81" customWidth="1"/>
    <col min="1027" max="1027" width="21.3984375" style="81" customWidth="1"/>
    <col min="1028" max="1028" width="14.19921875" style="81" customWidth="1"/>
    <col min="1029" max="1032" width="11.3984375" style="81" customWidth="1"/>
    <col min="1033" max="1033" width="71.3984375" style="81" customWidth="1"/>
    <col min="1034" max="1034" width="14.19921875" style="81" customWidth="1"/>
    <col min="1035" max="1280" width="8.69921875" style="81"/>
    <col min="1281" max="1281" width="21.3984375" style="81" customWidth="1"/>
    <col min="1282" max="1282" width="42.8984375" style="81" customWidth="1"/>
    <col min="1283" max="1283" width="21.3984375" style="81" customWidth="1"/>
    <col min="1284" max="1284" width="14.19921875" style="81" customWidth="1"/>
    <col min="1285" max="1288" width="11.3984375" style="81" customWidth="1"/>
    <col min="1289" max="1289" width="71.3984375" style="81" customWidth="1"/>
    <col min="1290" max="1290" width="14.19921875" style="81" customWidth="1"/>
    <col min="1291" max="1536" width="8.69921875" style="81"/>
    <col min="1537" max="1537" width="21.3984375" style="81" customWidth="1"/>
    <col min="1538" max="1538" width="42.8984375" style="81" customWidth="1"/>
    <col min="1539" max="1539" width="21.3984375" style="81" customWidth="1"/>
    <col min="1540" max="1540" width="14.19921875" style="81" customWidth="1"/>
    <col min="1541" max="1544" width="11.3984375" style="81" customWidth="1"/>
    <col min="1545" max="1545" width="71.3984375" style="81" customWidth="1"/>
    <col min="1546" max="1546" width="14.19921875" style="81" customWidth="1"/>
    <col min="1547" max="1792" width="8.69921875" style="81"/>
    <col min="1793" max="1793" width="21.3984375" style="81" customWidth="1"/>
    <col min="1794" max="1794" width="42.8984375" style="81" customWidth="1"/>
    <col min="1795" max="1795" width="21.3984375" style="81" customWidth="1"/>
    <col min="1796" max="1796" width="14.19921875" style="81" customWidth="1"/>
    <col min="1797" max="1800" width="11.3984375" style="81" customWidth="1"/>
    <col min="1801" max="1801" width="71.3984375" style="81" customWidth="1"/>
    <col min="1802" max="1802" width="14.19921875" style="81" customWidth="1"/>
    <col min="1803" max="2048" width="8.69921875" style="81"/>
    <col min="2049" max="2049" width="21.3984375" style="81" customWidth="1"/>
    <col min="2050" max="2050" width="42.8984375" style="81" customWidth="1"/>
    <col min="2051" max="2051" width="21.3984375" style="81" customWidth="1"/>
    <col min="2052" max="2052" width="14.19921875" style="81" customWidth="1"/>
    <col min="2053" max="2056" width="11.3984375" style="81" customWidth="1"/>
    <col min="2057" max="2057" width="71.3984375" style="81" customWidth="1"/>
    <col min="2058" max="2058" width="14.19921875" style="81" customWidth="1"/>
    <col min="2059" max="2304" width="8.69921875" style="81"/>
    <col min="2305" max="2305" width="21.3984375" style="81" customWidth="1"/>
    <col min="2306" max="2306" width="42.8984375" style="81" customWidth="1"/>
    <col min="2307" max="2307" width="21.3984375" style="81" customWidth="1"/>
    <col min="2308" max="2308" width="14.19921875" style="81" customWidth="1"/>
    <col min="2309" max="2312" width="11.3984375" style="81" customWidth="1"/>
    <col min="2313" max="2313" width="71.3984375" style="81" customWidth="1"/>
    <col min="2314" max="2314" width="14.19921875" style="81" customWidth="1"/>
    <col min="2315" max="2560" width="8.69921875" style="81"/>
    <col min="2561" max="2561" width="21.3984375" style="81" customWidth="1"/>
    <col min="2562" max="2562" width="42.8984375" style="81" customWidth="1"/>
    <col min="2563" max="2563" width="21.3984375" style="81" customWidth="1"/>
    <col min="2564" max="2564" width="14.19921875" style="81" customWidth="1"/>
    <col min="2565" max="2568" width="11.3984375" style="81" customWidth="1"/>
    <col min="2569" max="2569" width="71.3984375" style="81" customWidth="1"/>
    <col min="2570" max="2570" width="14.19921875" style="81" customWidth="1"/>
    <col min="2571" max="2816" width="8.69921875" style="81"/>
    <col min="2817" max="2817" width="21.3984375" style="81" customWidth="1"/>
    <col min="2818" max="2818" width="42.8984375" style="81" customWidth="1"/>
    <col min="2819" max="2819" width="21.3984375" style="81" customWidth="1"/>
    <col min="2820" max="2820" width="14.19921875" style="81" customWidth="1"/>
    <col min="2821" max="2824" width="11.3984375" style="81" customWidth="1"/>
    <col min="2825" max="2825" width="71.3984375" style="81" customWidth="1"/>
    <col min="2826" max="2826" width="14.19921875" style="81" customWidth="1"/>
    <col min="2827" max="3072" width="8.69921875" style="81"/>
    <col min="3073" max="3073" width="21.3984375" style="81" customWidth="1"/>
    <col min="3074" max="3074" width="42.8984375" style="81" customWidth="1"/>
    <col min="3075" max="3075" width="21.3984375" style="81" customWidth="1"/>
    <col min="3076" max="3076" width="14.19921875" style="81" customWidth="1"/>
    <col min="3077" max="3080" width="11.3984375" style="81" customWidth="1"/>
    <col min="3081" max="3081" width="71.3984375" style="81" customWidth="1"/>
    <col min="3082" max="3082" width="14.19921875" style="81" customWidth="1"/>
    <col min="3083" max="3328" width="8.69921875" style="81"/>
    <col min="3329" max="3329" width="21.3984375" style="81" customWidth="1"/>
    <col min="3330" max="3330" width="42.8984375" style="81" customWidth="1"/>
    <col min="3331" max="3331" width="21.3984375" style="81" customWidth="1"/>
    <col min="3332" max="3332" width="14.19921875" style="81" customWidth="1"/>
    <col min="3333" max="3336" width="11.3984375" style="81" customWidth="1"/>
    <col min="3337" max="3337" width="71.3984375" style="81" customWidth="1"/>
    <col min="3338" max="3338" width="14.19921875" style="81" customWidth="1"/>
    <col min="3339" max="3584" width="8.69921875" style="81"/>
    <col min="3585" max="3585" width="21.3984375" style="81" customWidth="1"/>
    <col min="3586" max="3586" width="42.8984375" style="81" customWidth="1"/>
    <col min="3587" max="3587" width="21.3984375" style="81" customWidth="1"/>
    <col min="3588" max="3588" width="14.19921875" style="81" customWidth="1"/>
    <col min="3589" max="3592" width="11.3984375" style="81" customWidth="1"/>
    <col min="3593" max="3593" width="71.3984375" style="81" customWidth="1"/>
    <col min="3594" max="3594" width="14.19921875" style="81" customWidth="1"/>
    <col min="3595" max="3840" width="8.69921875" style="81"/>
    <col min="3841" max="3841" width="21.3984375" style="81" customWidth="1"/>
    <col min="3842" max="3842" width="42.8984375" style="81" customWidth="1"/>
    <col min="3843" max="3843" width="21.3984375" style="81" customWidth="1"/>
    <col min="3844" max="3844" width="14.19921875" style="81" customWidth="1"/>
    <col min="3845" max="3848" width="11.3984375" style="81" customWidth="1"/>
    <col min="3849" max="3849" width="71.3984375" style="81" customWidth="1"/>
    <col min="3850" max="3850" width="14.19921875" style="81" customWidth="1"/>
    <col min="3851" max="4096" width="8.69921875" style="81"/>
    <col min="4097" max="4097" width="21.3984375" style="81" customWidth="1"/>
    <col min="4098" max="4098" width="42.8984375" style="81" customWidth="1"/>
    <col min="4099" max="4099" width="21.3984375" style="81" customWidth="1"/>
    <col min="4100" max="4100" width="14.19921875" style="81" customWidth="1"/>
    <col min="4101" max="4104" width="11.3984375" style="81" customWidth="1"/>
    <col min="4105" max="4105" width="71.3984375" style="81" customWidth="1"/>
    <col min="4106" max="4106" width="14.19921875" style="81" customWidth="1"/>
    <col min="4107" max="4352" width="8.69921875" style="81"/>
    <col min="4353" max="4353" width="21.3984375" style="81" customWidth="1"/>
    <col min="4354" max="4354" width="42.8984375" style="81" customWidth="1"/>
    <col min="4355" max="4355" width="21.3984375" style="81" customWidth="1"/>
    <col min="4356" max="4356" width="14.19921875" style="81" customWidth="1"/>
    <col min="4357" max="4360" width="11.3984375" style="81" customWidth="1"/>
    <col min="4361" max="4361" width="71.3984375" style="81" customWidth="1"/>
    <col min="4362" max="4362" width="14.19921875" style="81" customWidth="1"/>
    <col min="4363" max="4608" width="8.69921875" style="81"/>
    <col min="4609" max="4609" width="21.3984375" style="81" customWidth="1"/>
    <col min="4610" max="4610" width="42.8984375" style="81" customWidth="1"/>
    <col min="4611" max="4611" width="21.3984375" style="81" customWidth="1"/>
    <col min="4612" max="4612" width="14.19921875" style="81" customWidth="1"/>
    <col min="4613" max="4616" width="11.3984375" style="81" customWidth="1"/>
    <col min="4617" max="4617" width="71.3984375" style="81" customWidth="1"/>
    <col min="4618" max="4618" width="14.19921875" style="81" customWidth="1"/>
    <col min="4619" max="4864" width="8.69921875" style="81"/>
    <col min="4865" max="4865" width="21.3984375" style="81" customWidth="1"/>
    <col min="4866" max="4866" width="42.8984375" style="81" customWidth="1"/>
    <col min="4867" max="4867" width="21.3984375" style="81" customWidth="1"/>
    <col min="4868" max="4868" width="14.19921875" style="81" customWidth="1"/>
    <col min="4869" max="4872" width="11.3984375" style="81" customWidth="1"/>
    <col min="4873" max="4873" width="71.3984375" style="81" customWidth="1"/>
    <col min="4874" max="4874" width="14.19921875" style="81" customWidth="1"/>
    <col min="4875" max="5120" width="8.69921875" style="81"/>
    <col min="5121" max="5121" width="21.3984375" style="81" customWidth="1"/>
    <col min="5122" max="5122" width="42.8984375" style="81" customWidth="1"/>
    <col min="5123" max="5123" width="21.3984375" style="81" customWidth="1"/>
    <col min="5124" max="5124" width="14.19921875" style="81" customWidth="1"/>
    <col min="5125" max="5128" width="11.3984375" style="81" customWidth="1"/>
    <col min="5129" max="5129" width="71.3984375" style="81" customWidth="1"/>
    <col min="5130" max="5130" width="14.19921875" style="81" customWidth="1"/>
    <col min="5131" max="5376" width="8.69921875" style="81"/>
    <col min="5377" max="5377" width="21.3984375" style="81" customWidth="1"/>
    <col min="5378" max="5378" width="42.8984375" style="81" customWidth="1"/>
    <col min="5379" max="5379" width="21.3984375" style="81" customWidth="1"/>
    <col min="5380" max="5380" width="14.19921875" style="81" customWidth="1"/>
    <col min="5381" max="5384" width="11.3984375" style="81" customWidth="1"/>
    <col min="5385" max="5385" width="71.3984375" style="81" customWidth="1"/>
    <col min="5386" max="5386" width="14.19921875" style="81" customWidth="1"/>
    <col min="5387" max="5632" width="8.69921875" style="81"/>
    <col min="5633" max="5633" width="21.3984375" style="81" customWidth="1"/>
    <col min="5634" max="5634" width="42.8984375" style="81" customWidth="1"/>
    <col min="5635" max="5635" width="21.3984375" style="81" customWidth="1"/>
    <col min="5636" max="5636" width="14.19921875" style="81" customWidth="1"/>
    <col min="5637" max="5640" width="11.3984375" style="81" customWidth="1"/>
    <col min="5641" max="5641" width="71.3984375" style="81" customWidth="1"/>
    <col min="5642" max="5642" width="14.19921875" style="81" customWidth="1"/>
    <col min="5643" max="5888" width="8.69921875" style="81"/>
    <col min="5889" max="5889" width="21.3984375" style="81" customWidth="1"/>
    <col min="5890" max="5890" width="42.8984375" style="81" customWidth="1"/>
    <col min="5891" max="5891" width="21.3984375" style="81" customWidth="1"/>
    <col min="5892" max="5892" width="14.19921875" style="81" customWidth="1"/>
    <col min="5893" max="5896" width="11.3984375" style="81" customWidth="1"/>
    <col min="5897" max="5897" width="71.3984375" style="81" customWidth="1"/>
    <col min="5898" max="5898" width="14.19921875" style="81" customWidth="1"/>
    <col min="5899" max="6144" width="8.69921875" style="81"/>
    <col min="6145" max="6145" width="21.3984375" style="81" customWidth="1"/>
    <col min="6146" max="6146" width="42.8984375" style="81" customWidth="1"/>
    <col min="6147" max="6147" width="21.3984375" style="81" customWidth="1"/>
    <col min="6148" max="6148" width="14.19921875" style="81" customWidth="1"/>
    <col min="6149" max="6152" width="11.3984375" style="81" customWidth="1"/>
    <col min="6153" max="6153" width="71.3984375" style="81" customWidth="1"/>
    <col min="6154" max="6154" width="14.19921875" style="81" customWidth="1"/>
    <col min="6155" max="6400" width="8.69921875" style="81"/>
    <col min="6401" max="6401" width="21.3984375" style="81" customWidth="1"/>
    <col min="6402" max="6402" width="42.8984375" style="81" customWidth="1"/>
    <col min="6403" max="6403" width="21.3984375" style="81" customWidth="1"/>
    <col min="6404" max="6404" width="14.19921875" style="81" customWidth="1"/>
    <col min="6405" max="6408" width="11.3984375" style="81" customWidth="1"/>
    <col min="6409" max="6409" width="71.3984375" style="81" customWidth="1"/>
    <col min="6410" max="6410" width="14.19921875" style="81" customWidth="1"/>
    <col min="6411" max="6656" width="8.69921875" style="81"/>
    <col min="6657" max="6657" width="21.3984375" style="81" customWidth="1"/>
    <col min="6658" max="6658" width="42.8984375" style="81" customWidth="1"/>
    <col min="6659" max="6659" width="21.3984375" style="81" customWidth="1"/>
    <col min="6660" max="6660" width="14.19921875" style="81" customWidth="1"/>
    <col min="6661" max="6664" width="11.3984375" style="81" customWidth="1"/>
    <col min="6665" max="6665" width="71.3984375" style="81" customWidth="1"/>
    <col min="6666" max="6666" width="14.19921875" style="81" customWidth="1"/>
    <col min="6667" max="6912" width="8.69921875" style="81"/>
    <col min="6913" max="6913" width="21.3984375" style="81" customWidth="1"/>
    <col min="6914" max="6914" width="42.8984375" style="81" customWidth="1"/>
    <col min="6915" max="6915" width="21.3984375" style="81" customWidth="1"/>
    <col min="6916" max="6916" width="14.19921875" style="81" customWidth="1"/>
    <col min="6917" max="6920" width="11.3984375" style="81" customWidth="1"/>
    <col min="6921" max="6921" width="71.3984375" style="81" customWidth="1"/>
    <col min="6922" max="6922" width="14.19921875" style="81" customWidth="1"/>
    <col min="6923" max="7168" width="8.69921875" style="81"/>
    <col min="7169" max="7169" width="21.3984375" style="81" customWidth="1"/>
    <col min="7170" max="7170" width="42.8984375" style="81" customWidth="1"/>
    <col min="7171" max="7171" width="21.3984375" style="81" customWidth="1"/>
    <col min="7172" max="7172" width="14.19921875" style="81" customWidth="1"/>
    <col min="7173" max="7176" width="11.3984375" style="81" customWidth="1"/>
    <col min="7177" max="7177" width="71.3984375" style="81" customWidth="1"/>
    <col min="7178" max="7178" width="14.19921875" style="81" customWidth="1"/>
    <col min="7179" max="7424" width="8.69921875" style="81"/>
    <col min="7425" max="7425" width="21.3984375" style="81" customWidth="1"/>
    <col min="7426" max="7426" width="42.8984375" style="81" customWidth="1"/>
    <col min="7427" max="7427" width="21.3984375" style="81" customWidth="1"/>
    <col min="7428" max="7428" width="14.19921875" style="81" customWidth="1"/>
    <col min="7429" max="7432" width="11.3984375" style="81" customWidth="1"/>
    <col min="7433" max="7433" width="71.3984375" style="81" customWidth="1"/>
    <col min="7434" max="7434" width="14.19921875" style="81" customWidth="1"/>
    <col min="7435" max="7680" width="8.69921875" style="81"/>
    <col min="7681" max="7681" width="21.3984375" style="81" customWidth="1"/>
    <col min="7682" max="7682" width="42.8984375" style="81" customWidth="1"/>
    <col min="7683" max="7683" width="21.3984375" style="81" customWidth="1"/>
    <col min="7684" max="7684" width="14.19921875" style="81" customWidth="1"/>
    <col min="7685" max="7688" width="11.3984375" style="81" customWidth="1"/>
    <col min="7689" max="7689" width="71.3984375" style="81" customWidth="1"/>
    <col min="7690" max="7690" width="14.19921875" style="81" customWidth="1"/>
    <col min="7691" max="7936" width="8.69921875" style="81"/>
    <col min="7937" max="7937" width="21.3984375" style="81" customWidth="1"/>
    <col min="7938" max="7938" width="42.8984375" style="81" customWidth="1"/>
    <col min="7939" max="7939" width="21.3984375" style="81" customWidth="1"/>
    <col min="7940" max="7940" width="14.19921875" style="81" customWidth="1"/>
    <col min="7941" max="7944" width="11.3984375" style="81" customWidth="1"/>
    <col min="7945" max="7945" width="71.3984375" style="81" customWidth="1"/>
    <col min="7946" max="7946" width="14.19921875" style="81" customWidth="1"/>
    <col min="7947" max="8192" width="8.69921875" style="81"/>
    <col min="8193" max="8193" width="21.3984375" style="81" customWidth="1"/>
    <col min="8194" max="8194" width="42.8984375" style="81" customWidth="1"/>
    <col min="8195" max="8195" width="21.3984375" style="81" customWidth="1"/>
    <col min="8196" max="8196" width="14.19921875" style="81" customWidth="1"/>
    <col min="8197" max="8200" width="11.3984375" style="81" customWidth="1"/>
    <col min="8201" max="8201" width="71.3984375" style="81" customWidth="1"/>
    <col min="8202" max="8202" width="14.19921875" style="81" customWidth="1"/>
    <col min="8203" max="8448" width="8.69921875" style="81"/>
    <col min="8449" max="8449" width="21.3984375" style="81" customWidth="1"/>
    <col min="8450" max="8450" width="42.8984375" style="81" customWidth="1"/>
    <col min="8451" max="8451" width="21.3984375" style="81" customWidth="1"/>
    <col min="8452" max="8452" width="14.19921875" style="81" customWidth="1"/>
    <col min="8453" max="8456" width="11.3984375" style="81" customWidth="1"/>
    <col min="8457" max="8457" width="71.3984375" style="81" customWidth="1"/>
    <col min="8458" max="8458" width="14.19921875" style="81" customWidth="1"/>
    <col min="8459" max="8704" width="8.69921875" style="81"/>
    <col min="8705" max="8705" width="21.3984375" style="81" customWidth="1"/>
    <col min="8706" max="8706" width="42.8984375" style="81" customWidth="1"/>
    <col min="8707" max="8707" width="21.3984375" style="81" customWidth="1"/>
    <col min="8708" max="8708" width="14.19921875" style="81" customWidth="1"/>
    <col min="8709" max="8712" width="11.3984375" style="81" customWidth="1"/>
    <col min="8713" max="8713" width="71.3984375" style="81" customWidth="1"/>
    <col min="8714" max="8714" width="14.19921875" style="81" customWidth="1"/>
    <col min="8715" max="8960" width="8.69921875" style="81"/>
    <col min="8961" max="8961" width="21.3984375" style="81" customWidth="1"/>
    <col min="8962" max="8962" width="42.8984375" style="81" customWidth="1"/>
    <col min="8963" max="8963" width="21.3984375" style="81" customWidth="1"/>
    <col min="8964" max="8964" width="14.19921875" style="81" customWidth="1"/>
    <col min="8965" max="8968" width="11.3984375" style="81" customWidth="1"/>
    <col min="8969" max="8969" width="71.3984375" style="81" customWidth="1"/>
    <col min="8970" max="8970" width="14.19921875" style="81" customWidth="1"/>
    <col min="8971" max="9216" width="8.69921875" style="81"/>
    <col min="9217" max="9217" width="21.3984375" style="81" customWidth="1"/>
    <col min="9218" max="9218" width="42.8984375" style="81" customWidth="1"/>
    <col min="9219" max="9219" width="21.3984375" style="81" customWidth="1"/>
    <col min="9220" max="9220" width="14.19921875" style="81" customWidth="1"/>
    <col min="9221" max="9224" width="11.3984375" style="81" customWidth="1"/>
    <col min="9225" max="9225" width="71.3984375" style="81" customWidth="1"/>
    <col min="9226" max="9226" width="14.19921875" style="81" customWidth="1"/>
    <col min="9227" max="9472" width="8.69921875" style="81"/>
    <col min="9473" max="9473" width="21.3984375" style="81" customWidth="1"/>
    <col min="9474" max="9474" width="42.8984375" style="81" customWidth="1"/>
    <col min="9475" max="9475" width="21.3984375" style="81" customWidth="1"/>
    <col min="9476" max="9476" width="14.19921875" style="81" customWidth="1"/>
    <col min="9477" max="9480" width="11.3984375" style="81" customWidth="1"/>
    <col min="9481" max="9481" width="71.3984375" style="81" customWidth="1"/>
    <col min="9482" max="9482" width="14.19921875" style="81" customWidth="1"/>
    <col min="9483" max="9728" width="8.69921875" style="81"/>
    <col min="9729" max="9729" width="21.3984375" style="81" customWidth="1"/>
    <col min="9730" max="9730" width="42.8984375" style="81" customWidth="1"/>
    <col min="9731" max="9731" width="21.3984375" style="81" customWidth="1"/>
    <col min="9732" max="9732" width="14.19921875" style="81" customWidth="1"/>
    <col min="9733" max="9736" width="11.3984375" style="81" customWidth="1"/>
    <col min="9737" max="9737" width="71.3984375" style="81" customWidth="1"/>
    <col min="9738" max="9738" width="14.19921875" style="81" customWidth="1"/>
    <col min="9739" max="9984" width="8.69921875" style="81"/>
    <col min="9985" max="9985" width="21.3984375" style="81" customWidth="1"/>
    <col min="9986" max="9986" width="42.8984375" style="81" customWidth="1"/>
    <col min="9987" max="9987" width="21.3984375" style="81" customWidth="1"/>
    <col min="9988" max="9988" width="14.19921875" style="81" customWidth="1"/>
    <col min="9989" max="9992" width="11.3984375" style="81" customWidth="1"/>
    <col min="9993" max="9993" width="71.3984375" style="81" customWidth="1"/>
    <col min="9994" max="9994" width="14.19921875" style="81" customWidth="1"/>
    <col min="9995" max="10240" width="8.69921875" style="81"/>
    <col min="10241" max="10241" width="21.3984375" style="81" customWidth="1"/>
    <col min="10242" max="10242" width="42.8984375" style="81" customWidth="1"/>
    <col min="10243" max="10243" width="21.3984375" style="81" customWidth="1"/>
    <col min="10244" max="10244" width="14.19921875" style="81" customWidth="1"/>
    <col min="10245" max="10248" width="11.3984375" style="81" customWidth="1"/>
    <col min="10249" max="10249" width="71.3984375" style="81" customWidth="1"/>
    <col min="10250" max="10250" width="14.19921875" style="81" customWidth="1"/>
    <col min="10251" max="10496" width="8.69921875" style="81"/>
    <col min="10497" max="10497" width="21.3984375" style="81" customWidth="1"/>
    <col min="10498" max="10498" width="42.8984375" style="81" customWidth="1"/>
    <col min="10499" max="10499" width="21.3984375" style="81" customWidth="1"/>
    <col min="10500" max="10500" width="14.19921875" style="81" customWidth="1"/>
    <col min="10501" max="10504" width="11.3984375" style="81" customWidth="1"/>
    <col min="10505" max="10505" width="71.3984375" style="81" customWidth="1"/>
    <col min="10506" max="10506" width="14.19921875" style="81" customWidth="1"/>
    <col min="10507" max="10752" width="8.69921875" style="81"/>
    <col min="10753" max="10753" width="21.3984375" style="81" customWidth="1"/>
    <col min="10754" max="10754" width="42.8984375" style="81" customWidth="1"/>
    <col min="10755" max="10755" width="21.3984375" style="81" customWidth="1"/>
    <col min="10756" max="10756" width="14.19921875" style="81" customWidth="1"/>
    <col min="10757" max="10760" width="11.3984375" style="81" customWidth="1"/>
    <col min="10761" max="10761" width="71.3984375" style="81" customWidth="1"/>
    <col min="10762" max="10762" width="14.19921875" style="81" customWidth="1"/>
    <col min="10763" max="11008" width="8.69921875" style="81"/>
    <col min="11009" max="11009" width="21.3984375" style="81" customWidth="1"/>
    <col min="11010" max="11010" width="42.8984375" style="81" customWidth="1"/>
    <col min="11011" max="11011" width="21.3984375" style="81" customWidth="1"/>
    <col min="11012" max="11012" width="14.19921875" style="81" customWidth="1"/>
    <col min="11013" max="11016" width="11.3984375" style="81" customWidth="1"/>
    <col min="11017" max="11017" width="71.3984375" style="81" customWidth="1"/>
    <col min="11018" max="11018" width="14.19921875" style="81" customWidth="1"/>
    <col min="11019" max="11264" width="8.69921875" style="81"/>
    <col min="11265" max="11265" width="21.3984375" style="81" customWidth="1"/>
    <col min="11266" max="11266" width="42.8984375" style="81" customWidth="1"/>
    <col min="11267" max="11267" width="21.3984375" style="81" customWidth="1"/>
    <col min="11268" max="11268" width="14.19921875" style="81" customWidth="1"/>
    <col min="11269" max="11272" width="11.3984375" style="81" customWidth="1"/>
    <col min="11273" max="11273" width="71.3984375" style="81" customWidth="1"/>
    <col min="11274" max="11274" width="14.19921875" style="81" customWidth="1"/>
    <col min="11275" max="11520" width="8.69921875" style="81"/>
    <col min="11521" max="11521" width="21.3984375" style="81" customWidth="1"/>
    <col min="11522" max="11522" width="42.8984375" style="81" customWidth="1"/>
    <col min="11523" max="11523" width="21.3984375" style="81" customWidth="1"/>
    <col min="11524" max="11524" width="14.19921875" style="81" customWidth="1"/>
    <col min="11525" max="11528" width="11.3984375" style="81" customWidth="1"/>
    <col min="11529" max="11529" width="71.3984375" style="81" customWidth="1"/>
    <col min="11530" max="11530" width="14.19921875" style="81" customWidth="1"/>
    <col min="11531" max="11776" width="8.69921875" style="81"/>
    <col min="11777" max="11777" width="21.3984375" style="81" customWidth="1"/>
    <col min="11778" max="11778" width="42.8984375" style="81" customWidth="1"/>
    <col min="11779" max="11779" width="21.3984375" style="81" customWidth="1"/>
    <col min="11780" max="11780" width="14.19921875" style="81" customWidth="1"/>
    <col min="11781" max="11784" width="11.3984375" style="81" customWidth="1"/>
    <col min="11785" max="11785" width="71.3984375" style="81" customWidth="1"/>
    <col min="11786" max="11786" width="14.19921875" style="81" customWidth="1"/>
    <col min="11787" max="12032" width="8.69921875" style="81"/>
    <col min="12033" max="12033" width="21.3984375" style="81" customWidth="1"/>
    <col min="12034" max="12034" width="42.8984375" style="81" customWidth="1"/>
    <col min="12035" max="12035" width="21.3984375" style="81" customWidth="1"/>
    <col min="12036" max="12036" width="14.19921875" style="81" customWidth="1"/>
    <col min="12037" max="12040" width="11.3984375" style="81" customWidth="1"/>
    <col min="12041" max="12041" width="71.3984375" style="81" customWidth="1"/>
    <col min="12042" max="12042" width="14.19921875" style="81" customWidth="1"/>
    <col min="12043" max="12288" width="8.69921875" style="81"/>
    <col min="12289" max="12289" width="21.3984375" style="81" customWidth="1"/>
    <col min="12290" max="12290" width="42.8984375" style="81" customWidth="1"/>
    <col min="12291" max="12291" width="21.3984375" style="81" customWidth="1"/>
    <col min="12292" max="12292" width="14.19921875" style="81" customWidth="1"/>
    <col min="12293" max="12296" width="11.3984375" style="81" customWidth="1"/>
    <col min="12297" max="12297" width="71.3984375" style="81" customWidth="1"/>
    <col min="12298" max="12298" width="14.19921875" style="81" customWidth="1"/>
    <col min="12299" max="12544" width="8.69921875" style="81"/>
    <col min="12545" max="12545" width="21.3984375" style="81" customWidth="1"/>
    <col min="12546" max="12546" width="42.8984375" style="81" customWidth="1"/>
    <col min="12547" max="12547" width="21.3984375" style="81" customWidth="1"/>
    <col min="12548" max="12548" width="14.19921875" style="81" customWidth="1"/>
    <col min="12549" max="12552" width="11.3984375" style="81" customWidth="1"/>
    <col min="12553" max="12553" width="71.3984375" style="81" customWidth="1"/>
    <col min="12554" max="12554" width="14.19921875" style="81" customWidth="1"/>
    <col min="12555" max="12800" width="8.69921875" style="81"/>
    <col min="12801" max="12801" width="21.3984375" style="81" customWidth="1"/>
    <col min="12802" max="12802" width="42.8984375" style="81" customWidth="1"/>
    <col min="12803" max="12803" width="21.3984375" style="81" customWidth="1"/>
    <col min="12804" max="12804" width="14.19921875" style="81" customWidth="1"/>
    <col min="12805" max="12808" width="11.3984375" style="81" customWidth="1"/>
    <col min="12809" max="12809" width="71.3984375" style="81" customWidth="1"/>
    <col min="12810" max="12810" width="14.19921875" style="81" customWidth="1"/>
    <col min="12811" max="13056" width="8.69921875" style="81"/>
    <col min="13057" max="13057" width="21.3984375" style="81" customWidth="1"/>
    <col min="13058" max="13058" width="42.8984375" style="81" customWidth="1"/>
    <col min="13059" max="13059" width="21.3984375" style="81" customWidth="1"/>
    <col min="13060" max="13060" width="14.19921875" style="81" customWidth="1"/>
    <col min="13061" max="13064" width="11.3984375" style="81" customWidth="1"/>
    <col min="13065" max="13065" width="71.3984375" style="81" customWidth="1"/>
    <col min="13066" max="13066" width="14.19921875" style="81" customWidth="1"/>
    <col min="13067" max="13312" width="8.69921875" style="81"/>
    <col min="13313" max="13313" width="21.3984375" style="81" customWidth="1"/>
    <col min="13314" max="13314" width="42.8984375" style="81" customWidth="1"/>
    <col min="13315" max="13315" width="21.3984375" style="81" customWidth="1"/>
    <col min="13316" max="13316" width="14.19921875" style="81" customWidth="1"/>
    <col min="13317" max="13320" width="11.3984375" style="81" customWidth="1"/>
    <col min="13321" max="13321" width="71.3984375" style="81" customWidth="1"/>
    <col min="13322" max="13322" width="14.19921875" style="81" customWidth="1"/>
    <col min="13323" max="13568" width="8.69921875" style="81"/>
    <col min="13569" max="13569" width="21.3984375" style="81" customWidth="1"/>
    <col min="13570" max="13570" width="42.8984375" style="81" customWidth="1"/>
    <col min="13571" max="13571" width="21.3984375" style="81" customWidth="1"/>
    <col min="13572" max="13572" width="14.19921875" style="81" customWidth="1"/>
    <col min="13573" max="13576" width="11.3984375" style="81" customWidth="1"/>
    <col min="13577" max="13577" width="71.3984375" style="81" customWidth="1"/>
    <col min="13578" max="13578" width="14.19921875" style="81" customWidth="1"/>
    <col min="13579" max="13824" width="8.69921875" style="81"/>
    <col min="13825" max="13825" width="21.3984375" style="81" customWidth="1"/>
    <col min="13826" max="13826" width="42.8984375" style="81" customWidth="1"/>
    <col min="13827" max="13827" width="21.3984375" style="81" customWidth="1"/>
    <col min="13828" max="13828" width="14.19921875" style="81" customWidth="1"/>
    <col min="13829" max="13832" width="11.3984375" style="81" customWidth="1"/>
    <col min="13833" max="13833" width="71.3984375" style="81" customWidth="1"/>
    <col min="13834" max="13834" width="14.19921875" style="81" customWidth="1"/>
    <col min="13835" max="14080" width="8.69921875" style="81"/>
    <col min="14081" max="14081" width="21.3984375" style="81" customWidth="1"/>
    <col min="14082" max="14082" width="42.8984375" style="81" customWidth="1"/>
    <col min="14083" max="14083" width="21.3984375" style="81" customWidth="1"/>
    <col min="14084" max="14084" width="14.19921875" style="81" customWidth="1"/>
    <col min="14085" max="14088" width="11.3984375" style="81" customWidth="1"/>
    <col min="14089" max="14089" width="71.3984375" style="81" customWidth="1"/>
    <col min="14090" max="14090" width="14.19921875" style="81" customWidth="1"/>
    <col min="14091" max="14336" width="8.69921875" style="81"/>
    <col min="14337" max="14337" width="21.3984375" style="81" customWidth="1"/>
    <col min="14338" max="14338" width="42.8984375" style="81" customWidth="1"/>
    <col min="14339" max="14339" width="21.3984375" style="81" customWidth="1"/>
    <col min="14340" max="14340" width="14.19921875" style="81" customWidth="1"/>
    <col min="14341" max="14344" width="11.3984375" style="81" customWidth="1"/>
    <col min="14345" max="14345" width="71.3984375" style="81" customWidth="1"/>
    <col min="14346" max="14346" width="14.19921875" style="81" customWidth="1"/>
    <col min="14347" max="14592" width="8.69921875" style="81"/>
    <col min="14593" max="14593" width="21.3984375" style="81" customWidth="1"/>
    <col min="14594" max="14594" width="42.8984375" style="81" customWidth="1"/>
    <col min="14595" max="14595" width="21.3984375" style="81" customWidth="1"/>
    <col min="14596" max="14596" width="14.19921875" style="81" customWidth="1"/>
    <col min="14597" max="14600" width="11.3984375" style="81" customWidth="1"/>
    <col min="14601" max="14601" width="71.3984375" style="81" customWidth="1"/>
    <col min="14602" max="14602" width="14.19921875" style="81" customWidth="1"/>
    <col min="14603" max="14848" width="8.69921875" style="81"/>
    <col min="14849" max="14849" width="21.3984375" style="81" customWidth="1"/>
    <col min="14850" max="14850" width="42.8984375" style="81" customWidth="1"/>
    <col min="14851" max="14851" width="21.3984375" style="81" customWidth="1"/>
    <col min="14852" max="14852" width="14.19921875" style="81" customWidth="1"/>
    <col min="14853" max="14856" width="11.3984375" style="81" customWidth="1"/>
    <col min="14857" max="14857" width="71.3984375" style="81" customWidth="1"/>
    <col min="14858" max="14858" width="14.19921875" style="81" customWidth="1"/>
    <col min="14859" max="15104" width="8.69921875" style="81"/>
    <col min="15105" max="15105" width="21.3984375" style="81" customWidth="1"/>
    <col min="15106" max="15106" width="42.8984375" style="81" customWidth="1"/>
    <col min="15107" max="15107" width="21.3984375" style="81" customWidth="1"/>
    <col min="15108" max="15108" width="14.19921875" style="81" customWidth="1"/>
    <col min="15109" max="15112" width="11.3984375" style="81" customWidth="1"/>
    <col min="15113" max="15113" width="71.3984375" style="81" customWidth="1"/>
    <col min="15114" max="15114" width="14.19921875" style="81" customWidth="1"/>
    <col min="15115" max="15360" width="8.69921875" style="81"/>
    <col min="15361" max="15361" width="21.3984375" style="81" customWidth="1"/>
    <col min="15362" max="15362" width="42.8984375" style="81" customWidth="1"/>
    <col min="15363" max="15363" width="21.3984375" style="81" customWidth="1"/>
    <col min="15364" max="15364" width="14.19921875" style="81" customWidth="1"/>
    <col min="15365" max="15368" width="11.3984375" style="81" customWidth="1"/>
    <col min="15369" max="15369" width="71.3984375" style="81" customWidth="1"/>
    <col min="15370" max="15370" width="14.19921875" style="81" customWidth="1"/>
    <col min="15371" max="15616" width="8.69921875" style="81"/>
    <col min="15617" max="15617" width="21.3984375" style="81" customWidth="1"/>
    <col min="15618" max="15618" width="42.8984375" style="81" customWidth="1"/>
    <col min="15619" max="15619" width="21.3984375" style="81" customWidth="1"/>
    <col min="15620" max="15620" width="14.19921875" style="81" customWidth="1"/>
    <col min="15621" max="15624" width="11.3984375" style="81" customWidth="1"/>
    <col min="15625" max="15625" width="71.3984375" style="81" customWidth="1"/>
    <col min="15626" max="15626" width="14.19921875" style="81" customWidth="1"/>
    <col min="15627" max="15872" width="8.69921875" style="81"/>
    <col min="15873" max="15873" width="21.3984375" style="81" customWidth="1"/>
    <col min="15874" max="15874" width="42.8984375" style="81" customWidth="1"/>
    <col min="15875" max="15875" width="21.3984375" style="81" customWidth="1"/>
    <col min="15876" max="15876" width="14.19921875" style="81" customWidth="1"/>
    <col min="15877" max="15880" width="11.3984375" style="81" customWidth="1"/>
    <col min="15881" max="15881" width="71.3984375" style="81" customWidth="1"/>
    <col min="15882" max="15882" width="14.19921875" style="81" customWidth="1"/>
    <col min="15883" max="16128" width="8.69921875" style="81"/>
    <col min="16129" max="16129" width="21.3984375" style="81" customWidth="1"/>
    <col min="16130" max="16130" width="42.8984375" style="81" customWidth="1"/>
    <col min="16131" max="16131" width="21.3984375" style="81" customWidth="1"/>
    <col min="16132" max="16132" width="14.19921875" style="81" customWidth="1"/>
    <col min="16133" max="16136" width="11.3984375" style="81" customWidth="1"/>
    <col min="16137" max="16137" width="71.3984375" style="81" customWidth="1"/>
    <col min="16138" max="16138" width="14.19921875" style="81" customWidth="1"/>
    <col min="16139" max="16384" width="8.69921875" style="81"/>
  </cols>
  <sheetData>
    <row r="1" spans="1:10" x14ac:dyDescent="0.25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5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5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5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5">
      <c r="A5" s="82" t="s">
        <v>446</v>
      </c>
      <c r="B5" s="82" t="s">
        <v>447</v>
      </c>
      <c r="C5" s="82" t="s">
        <v>448</v>
      </c>
      <c r="D5" s="83" t="s">
        <v>449</v>
      </c>
      <c r="E5" s="84" t="s">
        <v>450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5">
      <c r="A6" s="82" t="s">
        <v>451</v>
      </c>
      <c r="B6" s="82" t="s">
        <v>452</v>
      </c>
      <c r="C6" s="82" t="s">
        <v>433</v>
      </c>
      <c r="D6" s="83" t="s">
        <v>434</v>
      </c>
      <c r="E6" s="84" t="s">
        <v>453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5">
      <c r="A7" s="82" t="s">
        <v>454</v>
      </c>
      <c r="B7" s="82" t="s">
        <v>455</v>
      </c>
      <c r="C7" s="82" t="s">
        <v>456</v>
      </c>
      <c r="D7" s="83" t="s">
        <v>434</v>
      </c>
      <c r="E7" s="84" t="s">
        <v>457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5">
      <c r="A8" s="82" t="s">
        <v>458</v>
      </c>
      <c r="B8" s="82" t="s">
        <v>459</v>
      </c>
      <c r="C8" s="82" t="s">
        <v>456</v>
      </c>
      <c r="D8" s="83" t="s">
        <v>434</v>
      </c>
      <c r="E8" s="84" t="s">
        <v>457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5">
      <c r="A9" s="82" t="s">
        <v>460</v>
      </c>
      <c r="B9" s="82" t="s">
        <v>461</v>
      </c>
      <c r="C9" s="82" t="s">
        <v>456</v>
      </c>
      <c r="D9" s="83" t="s">
        <v>434</v>
      </c>
      <c r="E9" s="84" t="s">
        <v>457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5">
      <c r="A10" s="82" t="s">
        <v>462</v>
      </c>
      <c r="B10" s="82" t="s">
        <v>463</v>
      </c>
      <c r="C10" s="82" t="s">
        <v>456</v>
      </c>
      <c r="D10" s="83" t="s">
        <v>434</v>
      </c>
      <c r="E10" s="84" t="s">
        <v>457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5">
      <c r="A11" s="82" t="s">
        <v>464</v>
      </c>
      <c r="B11" s="82" t="s">
        <v>465</v>
      </c>
      <c r="C11" s="82" t="s">
        <v>456</v>
      </c>
      <c r="D11" s="83" t="s">
        <v>434</v>
      </c>
      <c r="E11" s="84" t="s">
        <v>457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5">
      <c r="A12" s="82" t="s">
        <v>466</v>
      </c>
      <c r="B12" s="82" t="s">
        <v>467</v>
      </c>
      <c r="C12" s="82" t="s">
        <v>456</v>
      </c>
      <c r="D12" s="83" t="s">
        <v>434</v>
      </c>
      <c r="E12" s="84" t="s">
        <v>457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5">
      <c r="A13" s="82" t="s">
        <v>468</v>
      </c>
      <c r="B13" s="82" t="s">
        <v>469</v>
      </c>
      <c r="C13" s="82" t="s">
        <v>456</v>
      </c>
      <c r="D13" s="83" t="s">
        <v>434</v>
      </c>
      <c r="E13" s="84" t="s">
        <v>457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5">
      <c r="A14" s="82" t="s">
        <v>470</v>
      </c>
      <c r="B14" s="82" t="s">
        <v>471</v>
      </c>
      <c r="C14" s="82" t="s">
        <v>456</v>
      </c>
      <c r="D14" s="83" t="s">
        <v>434</v>
      </c>
      <c r="E14" s="84" t="s">
        <v>457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5">
      <c r="A15" s="82" t="s">
        <v>472</v>
      </c>
      <c r="B15" s="82" t="s">
        <v>473</v>
      </c>
      <c r="C15" s="82" t="s">
        <v>456</v>
      </c>
      <c r="D15" s="83" t="s">
        <v>434</v>
      </c>
      <c r="E15" s="84" t="s">
        <v>457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5">
      <c r="A16" s="82" t="s">
        <v>474</v>
      </c>
      <c r="B16" s="82" t="s">
        <v>475</v>
      </c>
      <c r="C16" s="82" t="s">
        <v>456</v>
      </c>
      <c r="D16" s="83" t="s">
        <v>434</v>
      </c>
      <c r="E16" s="84" t="s">
        <v>457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5">
      <c r="A17" s="82" t="s">
        <v>476</v>
      </c>
      <c r="B17" s="82" t="s">
        <v>477</v>
      </c>
      <c r="C17" s="82" t="s">
        <v>456</v>
      </c>
      <c r="D17" s="83" t="s">
        <v>434</v>
      </c>
      <c r="E17" s="84" t="s">
        <v>457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5">
      <c r="A18" s="82" t="s">
        <v>478</v>
      </c>
      <c r="B18" s="82" t="s">
        <v>479</v>
      </c>
      <c r="C18" s="82" t="s">
        <v>456</v>
      </c>
      <c r="D18" s="83" t="s">
        <v>434</v>
      </c>
      <c r="E18" s="84" t="s">
        <v>457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5">
      <c r="A19" s="82" t="s">
        <v>480</v>
      </c>
      <c r="B19" s="82" t="s">
        <v>481</v>
      </c>
      <c r="C19" s="82" t="s">
        <v>456</v>
      </c>
      <c r="D19" s="83" t="s">
        <v>434</v>
      </c>
      <c r="E19" s="84" t="s">
        <v>457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5">
      <c r="A20" s="82" t="s">
        <v>482</v>
      </c>
      <c r="B20" s="82" t="s">
        <v>483</v>
      </c>
      <c r="C20" s="82" t="s">
        <v>456</v>
      </c>
      <c r="D20" s="83" t="s">
        <v>434</v>
      </c>
      <c r="E20" s="84" t="s">
        <v>457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5">
      <c r="A21" s="82" t="s">
        <v>484</v>
      </c>
      <c r="B21" s="82" t="s">
        <v>485</v>
      </c>
      <c r="C21" s="82" t="s">
        <v>456</v>
      </c>
      <c r="D21" s="83" t="s">
        <v>434</v>
      </c>
      <c r="E21" s="84" t="s">
        <v>457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5">
      <c r="A22" s="82" t="s">
        <v>486</v>
      </c>
      <c r="B22" s="82" t="s">
        <v>487</v>
      </c>
      <c r="C22" s="82" t="s">
        <v>456</v>
      </c>
      <c r="D22" s="83" t="s">
        <v>434</v>
      </c>
      <c r="E22" s="84" t="s">
        <v>457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5">
      <c r="A23" s="82" t="s">
        <v>488</v>
      </c>
      <c r="B23" s="82" t="s">
        <v>489</v>
      </c>
      <c r="C23" s="82" t="s">
        <v>456</v>
      </c>
      <c r="D23" s="83" t="s">
        <v>434</v>
      </c>
      <c r="E23" s="84" t="s">
        <v>457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5">
      <c r="A24" s="82" t="s">
        <v>490</v>
      </c>
      <c r="B24" s="82" t="s">
        <v>491</v>
      </c>
      <c r="C24" s="82" t="s">
        <v>456</v>
      </c>
      <c r="D24" s="83" t="s">
        <v>434</v>
      </c>
      <c r="E24" s="84" t="s">
        <v>457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5">
      <c r="A25" s="82" t="s">
        <v>492</v>
      </c>
      <c r="B25" s="82" t="s">
        <v>493</v>
      </c>
      <c r="C25" s="82" t="s">
        <v>456</v>
      </c>
      <c r="D25" s="83" t="s">
        <v>434</v>
      </c>
      <c r="E25" s="84" t="s">
        <v>457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5">
      <c r="A26" s="82" t="s">
        <v>494</v>
      </c>
      <c r="B26" s="82" t="s">
        <v>495</v>
      </c>
      <c r="C26" s="82" t="s">
        <v>456</v>
      </c>
      <c r="D26" s="83" t="s">
        <v>434</v>
      </c>
      <c r="E26" s="84" t="s">
        <v>457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5">
      <c r="A27" s="82" t="s">
        <v>496</v>
      </c>
      <c r="B27" s="82" t="s">
        <v>497</v>
      </c>
      <c r="C27" s="82" t="s">
        <v>456</v>
      </c>
      <c r="D27" s="83" t="s">
        <v>434</v>
      </c>
      <c r="E27" s="84" t="s">
        <v>457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5">
      <c r="A28" s="82" t="s">
        <v>498</v>
      </c>
      <c r="B28" s="82" t="s">
        <v>499</v>
      </c>
      <c r="C28" s="82" t="s">
        <v>456</v>
      </c>
      <c r="D28" s="83" t="s">
        <v>434</v>
      </c>
      <c r="E28" s="84" t="s">
        <v>457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5">
      <c r="A29" s="82" t="s">
        <v>500</v>
      </c>
      <c r="B29" s="82" t="s">
        <v>501</v>
      </c>
      <c r="C29" s="82" t="s">
        <v>456</v>
      </c>
      <c r="D29" s="83" t="s">
        <v>434</v>
      </c>
      <c r="E29" s="84" t="s">
        <v>457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5">
      <c r="A30" s="82" t="s">
        <v>502</v>
      </c>
      <c r="B30" s="82" t="s">
        <v>503</v>
      </c>
      <c r="C30" s="82" t="s">
        <v>456</v>
      </c>
      <c r="D30" s="83" t="s">
        <v>434</v>
      </c>
      <c r="E30" s="84" t="s">
        <v>457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5">
      <c r="A31" s="82" t="s">
        <v>504</v>
      </c>
      <c r="B31" s="82" t="s">
        <v>505</v>
      </c>
      <c r="C31" s="82" t="s">
        <v>456</v>
      </c>
      <c r="D31" s="83" t="s">
        <v>434</v>
      </c>
      <c r="E31" s="84" t="s">
        <v>457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5">
      <c r="A32" s="82" t="s">
        <v>506</v>
      </c>
      <c r="B32" s="82" t="s">
        <v>507</v>
      </c>
      <c r="C32" s="82" t="s">
        <v>456</v>
      </c>
      <c r="D32" s="83" t="s">
        <v>434</v>
      </c>
      <c r="E32" s="84" t="s">
        <v>457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5">
      <c r="A33" s="82" t="s">
        <v>508</v>
      </c>
      <c r="B33" s="82" t="s">
        <v>509</v>
      </c>
      <c r="C33" s="82" t="s">
        <v>456</v>
      </c>
      <c r="D33" s="83" t="s">
        <v>434</v>
      </c>
      <c r="E33" s="84" t="s">
        <v>457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5">
      <c r="A34" s="82" t="s">
        <v>510</v>
      </c>
      <c r="B34" s="82" t="s">
        <v>511</v>
      </c>
      <c r="C34" s="82" t="s">
        <v>456</v>
      </c>
      <c r="D34" s="83" t="s">
        <v>434</v>
      </c>
      <c r="E34" s="84" t="s">
        <v>457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5">
      <c r="A35" s="82" t="s">
        <v>512</v>
      </c>
      <c r="B35" s="82" t="s">
        <v>513</v>
      </c>
      <c r="C35" s="82" t="s">
        <v>456</v>
      </c>
      <c r="D35" s="83" t="s">
        <v>434</v>
      </c>
      <c r="E35" s="84" t="s">
        <v>457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5">
      <c r="A36" s="82" t="s">
        <v>514</v>
      </c>
      <c r="B36" s="82" t="s">
        <v>515</v>
      </c>
      <c r="C36" s="82" t="s">
        <v>456</v>
      </c>
      <c r="D36" s="83" t="s">
        <v>434</v>
      </c>
      <c r="E36" s="84" t="s">
        <v>457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5">
      <c r="A37" s="82" t="s">
        <v>516</v>
      </c>
      <c r="B37" s="82" t="s">
        <v>517</v>
      </c>
      <c r="C37" s="82" t="s">
        <v>456</v>
      </c>
      <c r="D37" s="83" t="s">
        <v>434</v>
      </c>
      <c r="E37" s="84" t="s">
        <v>457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5">
      <c r="A38" s="82" t="s">
        <v>518</v>
      </c>
      <c r="B38" s="82" t="s">
        <v>519</v>
      </c>
      <c r="C38" s="82" t="s">
        <v>456</v>
      </c>
      <c r="D38" s="83" t="s">
        <v>434</v>
      </c>
      <c r="E38" s="84" t="s">
        <v>457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5">
      <c r="A39" s="82" t="s">
        <v>520</v>
      </c>
      <c r="B39" s="82" t="s">
        <v>521</v>
      </c>
      <c r="C39" s="82" t="s">
        <v>456</v>
      </c>
      <c r="D39" s="83" t="s">
        <v>434</v>
      </c>
      <c r="E39" s="84" t="s">
        <v>457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5">
      <c r="A40" s="82" t="s">
        <v>522</v>
      </c>
      <c r="B40" s="82" t="s">
        <v>523</v>
      </c>
      <c r="C40" s="82" t="s">
        <v>456</v>
      </c>
      <c r="D40" s="83" t="s">
        <v>434</v>
      </c>
      <c r="E40" s="84" t="s">
        <v>457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5">
      <c r="A41" s="82" t="s">
        <v>524</v>
      </c>
      <c r="B41" s="82" t="s">
        <v>525</v>
      </c>
      <c r="C41" s="82" t="s">
        <v>456</v>
      </c>
      <c r="D41" s="83" t="s">
        <v>434</v>
      </c>
      <c r="E41" s="84" t="s">
        <v>457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5">
      <c r="A42" s="82" t="s">
        <v>526</v>
      </c>
      <c r="B42" s="82" t="s">
        <v>527</v>
      </c>
      <c r="C42" s="82" t="s">
        <v>456</v>
      </c>
      <c r="D42" s="83" t="s">
        <v>434</v>
      </c>
      <c r="E42" s="84" t="s">
        <v>457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5">
      <c r="A43" s="82" t="s">
        <v>528</v>
      </c>
      <c r="B43" s="82" t="s">
        <v>529</v>
      </c>
      <c r="C43" s="82" t="s">
        <v>456</v>
      </c>
      <c r="D43" s="83" t="s">
        <v>434</v>
      </c>
      <c r="E43" s="84" t="s">
        <v>457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5">
      <c r="A44" s="82" t="s">
        <v>530</v>
      </c>
      <c r="B44" s="82" t="s">
        <v>531</v>
      </c>
      <c r="C44" s="82" t="s">
        <v>456</v>
      </c>
      <c r="D44" s="83" t="s">
        <v>434</v>
      </c>
      <c r="E44" s="84" t="s">
        <v>457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5">
      <c r="A45" s="82" t="s">
        <v>532</v>
      </c>
      <c r="B45" s="82" t="s">
        <v>533</v>
      </c>
      <c r="C45" s="82" t="s">
        <v>456</v>
      </c>
      <c r="D45" s="83" t="s">
        <v>434</v>
      </c>
      <c r="E45" s="84" t="s">
        <v>457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5">
      <c r="A46" s="82" t="s">
        <v>534</v>
      </c>
      <c r="B46" s="82" t="s">
        <v>535</v>
      </c>
      <c r="C46" s="82" t="s">
        <v>456</v>
      </c>
      <c r="D46" s="83" t="s">
        <v>434</v>
      </c>
      <c r="E46" s="84" t="s">
        <v>457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5">
      <c r="A47" s="82" t="s">
        <v>536</v>
      </c>
      <c r="B47" s="82" t="s">
        <v>537</v>
      </c>
      <c r="C47" s="82" t="s">
        <v>456</v>
      </c>
      <c r="D47" s="83" t="s">
        <v>434</v>
      </c>
      <c r="E47" s="84" t="s">
        <v>457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5">
      <c r="A48" s="82" t="s">
        <v>538</v>
      </c>
      <c r="B48" s="82" t="s">
        <v>539</v>
      </c>
      <c r="C48" s="82" t="s">
        <v>456</v>
      </c>
      <c r="D48" s="83" t="s">
        <v>434</v>
      </c>
      <c r="E48" s="84" t="s">
        <v>457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5">
      <c r="A49" s="82" t="s">
        <v>540</v>
      </c>
      <c r="B49" s="82" t="s">
        <v>541</v>
      </c>
      <c r="C49" s="82" t="s">
        <v>456</v>
      </c>
      <c r="D49" s="83" t="s">
        <v>434</v>
      </c>
      <c r="E49" s="84" t="s">
        <v>457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5">
      <c r="A50" s="82" t="s">
        <v>542</v>
      </c>
      <c r="B50" s="82" t="s">
        <v>543</v>
      </c>
      <c r="C50" s="82" t="s">
        <v>456</v>
      </c>
      <c r="D50" s="83" t="s">
        <v>434</v>
      </c>
      <c r="E50" s="84" t="s">
        <v>457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5">
      <c r="A51" s="82" t="s">
        <v>544</v>
      </c>
      <c r="B51" s="82" t="s">
        <v>545</v>
      </c>
      <c r="C51" s="82" t="s">
        <v>448</v>
      </c>
      <c r="D51" s="83" t="s">
        <v>434</v>
      </c>
      <c r="E51" s="84" t="s">
        <v>546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5">
      <c r="A52" s="82" t="s">
        <v>547</v>
      </c>
      <c r="B52" s="82" t="s">
        <v>548</v>
      </c>
      <c r="C52" s="82" t="s">
        <v>433</v>
      </c>
      <c r="D52" s="83" t="s">
        <v>549</v>
      </c>
      <c r="E52" s="84" t="s">
        <v>436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5">
      <c r="A53" s="82" t="s">
        <v>550</v>
      </c>
      <c r="B53" s="82" t="s">
        <v>551</v>
      </c>
      <c r="C53" s="82" t="s">
        <v>552</v>
      </c>
      <c r="D53" s="83" t="s">
        <v>434</v>
      </c>
      <c r="E53" s="84" t="s">
        <v>553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5">
      <c r="A54" s="82" t="s">
        <v>554</v>
      </c>
      <c r="B54" s="82" t="s">
        <v>555</v>
      </c>
      <c r="C54" s="82" t="s">
        <v>552</v>
      </c>
      <c r="D54" s="83" t="s">
        <v>434</v>
      </c>
      <c r="E54" s="84" t="s">
        <v>556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5">
      <c r="A55" s="82" t="s">
        <v>557</v>
      </c>
      <c r="B55" s="82" t="s">
        <v>558</v>
      </c>
      <c r="C55" s="82" t="s">
        <v>552</v>
      </c>
      <c r="D55" s="83" t="s">
        <v>434</v>
      </c>
      <c r="E55" s="84" t="s">
        <v>559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5">
      <c r="A56" s="82" t="s">
        <v>560</v>
      </c>
      <c r="B56" s="82" t="s">
        <v>311</v>
      </c>
      <c r="C56" s="82" t="s">
        <v>561</v>
      </c>
      <c r="D56" s="83" t="s">
        <v>434</v>
      </c>
      <c r="E56" s="84" t="s">
        <v>436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5">
      <c r="A57" s="82" t="s">
        <v>562</v>
      </c>
      <c r="B57" s="82" t="s">
        <v>563</v>
      </c>
      <c r="C57" s="82" t="s">
        <v>561</v>
      </c>
      <c r="D57" s="83" t="s">
        <v>434</v>
      </c>
      <c r="E57" s="84" t="s">
        <v>436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5">
      <c r="A58" s="82" t="s">
        <v>564</v>
      </c>
      <c r="B58" s="82" t="s">
        <v>321</v>
      </c>
      <c r="C58" s="82" t="s">
        <v>565</v>
      </c>
      <c r="D58" s="83" t="s">
        <v>566</v>
      </c>
      <c r="E58" s="84" t="s">
        <v>559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5">
      <c r="A59" s="82" t="s">
        <v>567</v>
      </c>
      <c r="B59" s="82" t="s">
        <v>267</v>
      </c>
      <c r="C59" s="82" t="s">
        <v>565</v>
      </c>
      <c r="D59" s="83" t="s">
        <v>566</v>
      </c>
      <c r="E59" s="84" t="s">
        <v>568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5">
      <c r="A60" s="82" t="s">
        <v>569</v>
      </c>
      <c r="B60" s="82" t="s">
        <v>261</v>
      </c>
      <c r="C60" s="82" t="s">
        <v>565</v>
      </c>
      <c r="D60" s="83" t="s">
        <v>566</v>
      </c>
      <c r="E60" s="84" t="s">
        <v>568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5">
      <c r="A61" s="82" t="s">
        <v>570</v>
      </c>
      <c r="B61" s="82" t="s">
        <v>415</v>
      </c>
      <c r="C61" s="82" t="s">
        <v>565</v>
      </c>
      <c r="D61" s="83" t="s">
        <v>566</v>
      </c>
      <c r="E61" s="84" t="s">
        <v>571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5">
      <c r="A62" s="82" t="s">
        <v>572</v>
      </c>
      <c r="B62" s="82" t="s">
        <v>262</v>
      </c>
      <c r="C62" s="82" t="s">
        <v>565</v>
      </c>
      <c r="D62" s="83" t="s">
        <v>566</v>
      </c>
      <c r="E62" s="84" t="s">
        <v>573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5">
      <c r="A63" s="82" t="s">
        <v>574</v>
      </c>
      <c r="B63" s="82" t="s">
        <v>268</v>
      </c>
      <c r="C63" s="82" t="s">
        <v>565</v>
      </c>
      <c r="D63" s="83" t="s">
        <v>566</v>
      </c>
      <c r="E63" s="84" t="s">
        <v>573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5">
      <c r="A64" s="82" t="s">
        <v>575</v>
      </c>
      <c r="B64" s="82" t="s">
        <v>263</v>
      </c>
      <c r="C64" s="82" t="s">
        <v>565</v>
      </c>
      <c r="D64" s="83" t="s">
        <v>566</v>
      </c>
      <c r="E64" s="84" t="s">
        <v>576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5">
      <c r="A65" s="82" t="s">
        <v>577</v>
      </c>
      <c r="B65" s="82" t="s">
        <v>270</v>
      </c>
      <c r="C65" s="82" t="s">
        <v>565</v>
      </c>
      <c r="D65" s="83" t="s">
        <v>566</v>
      </c>
      <c r="E65" s="84" t="s">
        <v>578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5">
      <c r="A66" s="82" t="s">
        <v>579</v>
      </c>
      <c r="B66" s="82" t="s">
        <v>580</v>
      </c>
      <c r="C66" s="82" t="s">
        <v>565</v>
      </c>
      <c r="D66" s="83" t="s">
        <v>566</v>
      </c>
      <c r="E66" s="84" t="s">
        <v>559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5">
      <c r="A67" s="82" t="s">
        <v>581</v>
      </c>
      <c r="B67" s="82" t="s">
        <v>265</v>
      </c>
      <c r="C67" s="82" t="s">
        <v>565</v>
      </c>
      <c r="D67" s="83" t="s">
        <v>566</v>
      </c>
      <c r="E67" s="84" t="s">
        <v>573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5">
      <c r="A68" s="82" t="s">
        <v>582</v>
      </c>
      <c r="B68" s="82" t="s">
        <v>583</v>
      </c>
      <c r="C68" s="82" t="s">
        <v>565</v>
      </c>
      <c r="D68" s="83" t="s">
        <v>566</v>
      </c>
      <c r="E68" s="84" t="s">
        <v>573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5">
      <c r="A69" s="82" t="s">
        <v>584</v>
      </c>
      <c r="B69" s="82" t="s">
        <v>585</v>
      </c>
      <c r="C69" s="82" t="s">
        <v>586</v>
      </c>
      <c r="D69" s="83" t="s">
        <v>587</v>
      </c>
      <c r="E69" s="84" t="s">
        <v>588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589</v>
      </c>
    </row>
    <row r="70" spans="1:10" x14ac:dyDescent="0.25">
      <c r="A70" s="82" t="s">
        <v>590</v>
      </c>
      <c r="B70" s="82" t="s">
        <v>421</v>
      </c>
      <c r="C70" s="82" t="s">
        <v>552</v>
      </c>
      <c r="D70" s="83" t="s">
        <v>434</v>
      </c>
      <c r="E70" s="84" t="s">
        <v>591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5">
      <c r="A71" s="82" t="s">
        <v>592</v>
      </c>
      <c r="B71" s="82" t="s">
        <v>593</v>
      </c>
      <c r="C71" s="82" t="s">
        <v>594</v>
      </c>
      <c r="D71" s="83" t="s">
        <v>434</v>
      </c>
      <c r="E71" s="84" t="s">
        <v>453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5">
      <c r="A72" s="82" t="s">
        <v>595</v>
      </c>
      <c r="B72" s="82" t="s">
        <v>301</v>
      </c>
      <c r="C72" s="82" t="s">
        <v>586</v>
      </c>
      <c r="D72" s="83" t="s">
        <v>434</v>
      </c>
      <c r="E72" s="84" t="s">
        <v>559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5">
      <c r="A73" s="82" t="s">
        <v>596</v>
      </c>
      <c r="B73" s="82" t="s">
        <v>368</v>
      </c>
      <c r="C73" s="82" t="s">
        <v>561</v>
      </c>
      <c r="D73" s="83" t="s">
        <v>566</v>
      </c>
      <c r="E73" s="84" t="s">
        <v>571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5">
      <c r="A74" s="82" t="s">
        <v>597</v>
      </c>
      <c r="B74" s="82" t="s">
        <v>598</v>
      </c>
      <c r="C74" s="82" t="s">
        <v>561</v>
      </c>
      <c r="D74" s="83" t="s">
        <v>566</v>
      </c>
      <c r="E74" s="84" t="s">
        <v>576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5">
      <c r="A75" s="82" t="s">
        <v>599</v>
      </c>
      <c r="B75" s="82" t="s">
        <v>600</v>
      </c>
      <c r="C75" s="82" t="s">
        <v>552</v>
      </c>
      <c r="D75" s="83" t="s">
        <v>434</v>
      </c>
      <c r="E75" s="84" t="s">
        <v>591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5">
      <c r="A76" s="82" t="s">
        <v>601</v>
      </c>
      <c r="B76" s="82" t="s">
        <v>358</v>
      </c>
      <c r="C76" s="82" t="s">
        <v>561</v>
      </c>
      <c r="D76" s="83" t="s">
        <v>434</v>
      </c>
      <c r="E76" s="84" t="s">
        <v>436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5">
      <c r="A77" s="82" t="s">
        <v>602</v>
      </c>
      <c r="B77" s="82" t="s">
        <v>359</v>
      </c>
      <c r="C77" s="82" t="s">
        <v>561</v>
      </c>
      <c r="D77" s="83" t="s">
        <v>434</v>
      </c>
      <c r="E77" s="84" t="s">
        <v>603</v>
      </c>
      <c r="F77" s="84" t="s">
        <v>436</v>
      </c>
      <c r="G77" s="85" t="s">
        <v>437</v>
      </c>
      <c r="H77" s="85" t="s">
        <v>437</v>
      </c>
      <c r="I77" s="82" t="s">
        <v>604</v>
      </c>
      <c r="J77" s="86" t="s">
        <v>438</v>
      </c>
    </row>
    <row r="78" spans="1:10" x14ac:dyDescent="0.25">
      <c r="A78" s="82" t="s">
        <v>605</v>
      </c>
      <c r="B78" s="82" t="s">
        <v>247</v>
      </c>
      <c r="C78" s="82" t="s">
        <v>594</v>
      </c>
      <c r="D78" s="83" t="s">
        <v>606</v>
      </c>
      <c r="E78" s="84" t="s">
        <v>435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5">
      <c r="A79" s="82" t="s">
        <v>607</v>
      </c>
      <c r="B79" s="82" t="s">
        <v>362</v>
      </c>
      <c r="C79" s="82" t="s">
        <v>561</v>
      </c>
      <c r="D79" s="83" t="s">
        <v>434</v>
      </c>
      <c r="E79" s="84" t="s">
        <v>608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5">
      <c r="A80" s="82" t="s">
        <v>609</v>
      </c>
      <c r="B80" s="82" t="s">
        <v>381</v>
      </c>
      <c r="C80" s="82" t="s">
        <v>594</v>
      </c>
      <c r="D80" s="83" t="s">
        <v>434</v>
      </c>
      <c r="E80" s="84" t="s">
        <v>608</v>
      </c>
      <c r="F80" s="84" t="s">
        <v>436</v>
      </c>
      <c r="G80" s="85" t="s">
        <v>437</v>
      </c>
      <c r="H80" s="85" t="s">
        <v>437</v>
      </c>
      <c r="I80" s="82" t="s">
        <v>610</v>
      </c>
      <c r="J80" s="86" t="s">
        <v>438</v>
      </c>
    </row>
    <row r="81" spans="1:10" x14ac:dyDescent="0.25">
      <c r="A81" s="82" t="s">
        <v>611</v>
      </c>
      <c r="B81" s="82" t="s">
        <v>382</v>
      </c>
      <c r="C81" s="82" t="s">
        <v>594</v>
      </c>
      <c r="D81" s="83" t="s">
        <v>434</v>
      </c>
      <c r="E81" s="84" t="s">
        <v>608</v>
      </c>
      <c r="F81" s="84" t="s">
        <v>436</v>
      </c>
      <c r="G81" s="85" t="s">
        <v>437</v>
      </c>
      <c r="H81" s="85" t="s">
        <v>437</v>
      </c>
      <c r="I81" s="82" t="s">
        <v>610</v>
      </c>
      <c r="J81" s="86" t="s">
        <v>438</v>
      </c>
    </row>
    <row r="82" spans="1:10" x14ac:dyDescent="0.25">
      <c r="A82" s="82" t="s">
        <v>612</v>
      </c>
      <c r="B82" s="82" t="s">
        <v>416</v>
      </c>
      <c r="C82" s="82" t="s">
        <v>561</v>
      </c>
      <c r="D82" s="83" t="s">
        <v>434</v>
      </c>
      <c r="E82" s="84" t="s">
        <v>613</v>
      </c>
      <c r="F82" s="84" t="s">
        <v>436</v>
      </c>
      <c r="G82" s="85" t="s">
        <v>437</v>
      </c>
      <c r="H82" s="85" t="s">
        <v>437</v>
      </c>
      <c r="I82" s="82" t="s">
        <v>614</v>
      </c>
      <c r="J82" s="86" t="s">
        <v>438</v>
      </c>
    </row>
    <row r="83" spans="1:10" x14ac:dyDescent="0.25">
      <c r="A83" s="82" t="s">
        <v>615</v>
      </c>
      <c r="B83" s="82" t="s">
        <v>616</v>
      </c>
      <c r="C83" s="82" t="s">
        <v>594</v>
      </c>
      <c r="D83" s="83" t="s">
        <v>566</v>
      </c>
      <c r="E83" s="84" t="s">
        <v>546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5">
      <c r="A84" s="82" t="s">
        <v>617</v>
      </c>
      <c r="B84" s="82" t="s">
        <v>282</v>
      </c>
      <c r="C84" s="82" t="s">
        <v>594</v>
      </c>
      <c r="D84" s="83" t="s">
        <v>618</v>
      </c>
      <c r="E84" s="84" t="s">
        <v>591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5">
      <c r="A85" s="82" t="s">
        <v>619</v>
      </c>
      <c r="B85" s="82" t="s">
        <v>620</v>
      </c>
      <c r="C85" s="82" t="s">
        <v>594</v>
      </c>
      <c r="D85" s="83" t="s">
        <v>434</v>
      </c>
      <c r="E85" s="84" t="s">
        <v>559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5">
      <c r="A86" s="82" t="s">
        <v>621</v>
      </c>
      <c r="B86" s="82" t="s">
        <v>400</v>
      </c>
      <c r="C86" s="82" t="s">
        <v>594</v>
      </c>
      <c r="D86" s="83" t="s">
        <v>434</v>
      </c>
      <c r="E86" s="84" t="s">
        <v>568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5">
      <c r="A87" s="82" t="s">
        <v>622</v>
      </c>
      <c r="B87" s="82" t="s">
        <v>399</v>
      </c>
      <c r="C87" s="82" t="s">
        <v>594</v>
      </c>
      <c r="D87" s="83" t="s">
        <v>434</v>
      </c>
      <c r="E87" s="84" t="s">
        <v>559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5">
      <c r="A88" s="82" t="s">
        <v>623</v>
      </c>
      <c r="B88" s="82" t="s">
        <v>401</v>
      </c>
      <c r="C88" s="82" t="s">
        <v>594</v>
      </c>
      <c r="D88" s="83" t="s">
        <v>434</v>
      </c>
      <c r="E88" s="84" t="s">
        <v>568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5">
      <c r="A89" s="82" t="s">
        <v>624</v>
      </c>
      <c r="B89" s="82" t="s">
        <v>398</v>
      </c>
      <c r="C89" s="82" t="s">
        <v>594</v>
      </c>
      <c r="D89" s="83" t="s">
        <v>434</v>
      </c>
      <c r="E89" s="84" t="s">
        <v>559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5">
      <c r="A90" s="82" t="s">
        <v>625</v>
      </c>
      <c r="B90" s="82" t="s">
        <v>626</v>
      </c>
      <c r="C90" s="82" t="s">
        <v>594</v>
      </c>
      <c r="D90" s="83" t="s">
        <v>566</v>
      </c>
      <c r="E90" s="84" t="s">
        <v>627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5">
      <c r="A91" s="82" t="s">
        <v>628</v>
      </c>
      <c r="B91" s="82" t="s">
        <v>629</v>
      </c>
      <c r="C91" s="82" t="s">
        <v>594</v>
      </c>
      <c r="D91" s="83" t="s">
        <v>566</v>
      </c>
      <c r="E91" s="84" t="s">
        <v>627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5">
      <c r="A92" s="82" t="s">
        <v>630</v>
      </c>
      <c r="B92" s="82" t="s">
        <v>389</v>
      </c>
      <c r="C92" s="82" t="s">
        <v>594</v>
      </c>
      <c r="D92" s="83" t="s">
        <v>566</v>
      </c>
      <c r="E92" s="84" t="s">
        <v>627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5">
      <c r="A93" s="82" t="s">
        <v>631</v>
      </c>
      <c r="B93" s="82" t="s">
        <v>390</v>
      </c>
      <c r="C93" s="82" t="s">
        <v>594</v>
      </c>
      <c r="D93" s="83" t="s">
        <v>566</v>
      </c>
      <c r="E93" s="84" t="s">
        <v>627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5">
      <c r="A94" s="82" t="s">
        <v>632</v>
      </c>
      <c r="B94" s="82" t="s">
        <v>633</v>
      </c>
      <c r="C94" s="82" t="s">
        <v>594</v>
      </c>
      <c r="D94" s="83" t="s">
        <v>566</v>
      </c>
      <c r="E94" s="84" t="s">
        <v>627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5">
      <c r="A95" s="82" t="s">
        <v>634</v>
      </c>
      <c r="B95" s="82" t="s">
        <v>635</v>
      </c>
      <c r="C95" s="82" t="s">
        <v>594</v>
      </c>
      <c r="D95" s="83" t="s">
        <v>566</v>
      </c>
      <c r="E95" s="84" t="s">
        <v>627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5">
      <c r="A96" s="82" t="s">
        <v>636</v>
      </c>
      <c r="B96" s="82" t="s">
        <v>637</v>
      </c>
      <c r="C96" s="82" t="s">
        <v>638</v>
      </c>
      <c r="D96" s="83" t="s">
        <v>434</v>
      </c>
      <c r="E96" s="84" t="s">
        <v>639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5">
      <c r="A97" s="82" t="s">
        <v>640</v>
      </c>
      <c r="B97" s="82" t="s">
        <v>369</v>
      </c>
      <c r="C97" s="82" t="s">
        <v>431</v>
      </c>
      <c r="D97" s="83" t="s">
        <v>641</v>
      </c>
      <c r="E97" s="84" t="s">
        <v>578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5">
      <c r="A98" s="82" t="s">
        <v>642</v>
      </c>
      <c r="B98" s="82" t="s">
        <v>420</v>
      </c>
      <c r="C98" s="82" t="s">
        <v>561</v>
      </c>
      <c r="D98" s="83" t="s">
        <v>434</v>
      </c>
      <c r="E98" s="84" t="s">
        <v>608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5">
      <c r="A99" s="82" t="s">
        <v>643</v>
      </c>
      <c r="B99" s="82" t="s">
        <v>402</v>
      </c>
      <c r="C99" s="82" t="s">
        <v>594</v>
      </c>
      <c r="D99" s="83" t="s">
        <v>434</v>
      </c>
      <c r="E99" s="84" t="s">
        <v>608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5">
      <c r="A100" s="82" t="s">
        <v>644</v>
      </c>
      <c r="B100" s="82" t="s">
        <v>645</v>
      </c>
      <c r="C100" s="82" t="s">
        <v>646</v>
      </c>
      <c r="D100" s="83" t="s">
        <v>566</v>
      </c>
      <c r="E100" s="84" t="s">
        <v>457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5">
      <c r="A101" s="82" t="s">
        <v>647</v>
      </c>
      <c r="B101" s="82" t="s">
        <v>648</v>
      </c>
      <c r="C101" s="82" t="s">
        <v>646</v>
      </c>
      <c r="D101" s="83" t="s">
        <v>434</v>
      </c>
      <c r="E101" s="84" t="s">
        <v>649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5">
      <c r="A102" s="82" t="s">
        <v>650</v>
      </c>
      <c r="B102" s="82" t="s">
        <v>651</v>
      </c>
      <c r="C102" s="82" t="s">
        <v>646</v>
      </c>
      <c r="D102" s="83" t="s">
        <v>566</v>
      </c>
      <c r="E102" s="84" t="s">
        <v>652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5">
      <c r="A103" s="82" t="s">
        <v>653</v>
      </c>
      <c r="B103" s="82" t="s">
        <v>654</v>
      </c>
      <c r="C103" s="82" t="s">
        <v>646</v>
      </c>
      <c r="D103" s="83" t="s">
        <v>566</v>
      </c>
      <c r="E103" s="84" t="s">
        <v>571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5">
      <c r="A104" s="82" t="s">
        <v>655</v>
      </c>
      <c r="B104" s="82" t="s">
        <v>656</v>
      </c>
      <c r="C104" s="82" t="s">
        <v>646</v>
      </c>
      <c r="D104" s="83" t="s">
        <v>566</v>
      </c>
      <c r="E104" s="84" t="s">
        <v>649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5">
      <c r="A105" s="82" t="s">
        <v>657</v>
      </c>
      <c r="B105" s="82" t="s">
        <v>658</v>
      </c>
      <c r="C105" s="82" t="s">
        <v>646</v>
      </c>
      <c r="D105" s="83" t="s">
        <v>566</v>
      </c>
      <c r="E105" s="84" t="s">
        <v>649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5">
      <c r="A106" s="82" t="s">
        <v>659</v>
      </c>
      <c r="B106" s="82" t="s">
        <v>660</v>
      </c>
      <c r="C106" s="82" t="s">
        <v>646</v>
      </c>
      <c r="D106" s="83" t="s">
        <v>566</v>
      </c>
      <c r="E106" s="84" t="s">
        <v>649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5">
      <c r="A107" s="82" t="s">
        <v>661</v>
      </c>
      <c r="B107" s="82" t="s">
        <v>662</v>
      </c>
      <c r="C107" s="82" t="s">
        <v>646</v>
      </c>
      <c r="D107" s="83" t="s">
        <v>566</v>
      </c>
      <c r="E107" s="84" t="s">
        <v>573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5">
      <c r="A108" s="82" t="s">
        <v>663</v>
      </c>
      <c r="B108" s="82" t="s">
        <v>664</v>
      </c>
      <c r="C108" s="82" t="s">
        <v>646</v>
      </c>
      <c r="D108" s="83" t="s">
        <v>566</v>
      </c>
      <c r="E108" s="84" t="s">
        <v>652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5">
      <c r="A109" s="82" t="s">
        <v>665</v>
      </c>
      <c r="B109" s="82" t="s">
        <v>666</v>
      </c>
      <c r="C109" s="82" t="s">
        <v>646</v>
      </c>
      <c r="D109" s="83" t="s">
        <v>566</v>
      </c>
      <c r="E109" s="84" t="s">
        <v>649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5">
      <c r="A110" s="82" t="s">
        <v>667</v>
      </c>
      <c r="B110" s="82" t="s">
        <v>668</v>
      </c>
      <c r="C110" s="82" t="s">
        <v>646</v>
      </c>
      <c r="D110" s="83" t="s">
        <v>566</v>
      </c>
      <c r="E110" s="84" t="s">
        <v>652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5">
      <c r="A111" s="82" t="s">
        <v>669</v>
      </c>
      <c r="B111" s="82" t="s">
        <v>670</v>
      </c>
      <c r="C111" s="82" t="s">
        <v>646</v>
      </c>
      <c r="D111" s="83" t="s">
        <v>566</v>
      </c>
      <c r="E111" s="84" t="s">
        <v>571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5">
      <c r="A112" s="82" t="s">
        <v>671</v>
      </c>
      <c r="B112" s="82" t="s">
        <v>672</v>
      </c>
      <c r="C112" s="82" t="s">
        <v>646</v>
      </c>
      <c r="D112" s="83" t="s">
        <v>566</v>
      </c>
      <c r="E112" s="84" t="s">
        <v>573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5">
      <c r="A113" s="82" t="s">
        <v>673</v>
      </c>
      <c r="B113" s="82" t="s">
        <v>674</v>
      </c>
      <c r="C113" s="82" t="s">
        <v>646</v>
      </c>
      <c r="D113" s="83" t="s">
        <v>566</v>
      </c>
      <c r="E113" s="84" t="s">
        <v>675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5">
      <c r="A114" s="82" t="s">
        <v>676</v>
      </c>
      <c r="B114" s="82" t="s">
        <v>677</v>
      </c>
      <c r="C114" s="82" t="s">
        <v>646</v>
      </c>
      <c r="D114" s="83" t="s">
        <v>566</v>
      </c>
      <c r="E114" s="84" t="s">
        <v>652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5">
      <c r="A115" s="82" t="s">
        <v>678</v>
      </c>
      <c r="B115" s="82" t="s">
        <v>679</v>
      </c>
      <c r="C115" s="82" t="s">
        <v>646</v>
      </c>
      <c r="D115" s="83" t="s">
        <v>566</v>
      </c>
      <c r="E115" s="84" t="s">
        <v>680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5">
      <c r="A116" s="82" t="s">
        <v>681</v>
      </c>
      <c r="B116" s="82" t="s">
        <v>682</v>
      </c>
      <c r="C116" s="82" t="s">
        <v>646</v>
      </c>
      <c r="D116" s="83" t="s">
        <v>566</v>
      </c>
      <c r="E116" s="84" t="s">
        <v>652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5">
      <c r="A117" s="82" t="s">
        <v>683</v>
      </c>
      <c r="B117" s="82" t="s">
        <v>684</v>
      </c>
      <c r="C117" s="82" t="s">
        <v>646</v>
      </c>
      <c r="D117" s="83" t="s">
        <v>566</v>
      </c>
      <c r="E117" s="84" t="s">
        <v>576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5">
      <c r="A118" s="82" t="s">
        <v>685</v>
      </c>
      <c r="B118" s="82" t="s">
        <v>686</v>
      </c>
      <c r="C118" s="82" t="s">
        <v>646</v>
      </c>
      <c r="D118" s="83" t="s">
        <v>566</v>
      </c>
      <c r="E118" s="84" t="s">
        <v>568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5">
      <c r="A119" s="82" t="s">
        <v>687</v>
      </c>
      <c r="B119" s="82" t="s">
        <v>688</v>
      </c>
      <c r="C119" s="82" t="s">
        <v>646</v>
      </c>
      <c r="D119" s="83" t="s">
        <v>566</v>
      </c>
      <c r="E119" s="84" t="s">
        <v>568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5">
      <c r="A120" s="82" t="s">
        <v>689</v>
      </c>
      <c r="B120" s="82" t="s">
        <v>690</v>
      </c>
      <c r="C120" s="82" t="s">
        <v>646</v>
      </c>
      <c r="D120" s="83" t="s">
        <v>566</v>
      </c>
      <c r="E120" s="84" t="s">
        <v>559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5">
      <c r="A121" s="82" t="s">
        <v>691</v>
      </c>
      <c r="B121" s="82" t="s">
        <v>692</v>
      </c>
      <c r="C121" s="82" t="s">
        <v>646</v>
      </c>
      <c r="D121" s="83" t="s">
        <v>566</v>
      </c>
      <c r="E121" s="84" t="s">
        <v>435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5">
      <c r="A122" s="82" t="s">
        <v>693</v>
      </c>
      <c r="B122" s="82" t="s">
        <v>694</v>
      </c>
      <c r="C122" s="82" t="s">
        <v>646</v>
      </c>
      <c r="D122" s="83" t="s">
        <v>566</v>
      </c>
      <c r="E122" s="84" t="s">
        <v>568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5">
      <c r="A123" s="82" t="s">
        <v>695</v>
      </c>
      <c r="B123" s="82" t="s">
        <v>696</v>
      </c>
      <c r="C123" s="82" t="s">
        <v>646</v>
      </c>
      <c r="D123" s="83" t="s">
        <v>566</v>
      </c>
      <c r="E123" s="84" t="s">
        <v>553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5">
      <c r="A124" s="82" t="s">
        <v>697</v>
      </c>
      <c r="B124" s="82" t="s">
        <v>698</v>
      </c>
      <c r="C124" s="82" t="s">
        <v>646</v>
      </c>
      <c r="D124" s="83" t="s">
        <v>566</v>
      </c>
      <c r="E124" s="84" t="s">
        <v>613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5">
      <c r="A125" s="82" t="s">
        <v>699</v>
      </c>
      <c r="B125" s="82" t="s">
        <v>700</v>
      </c>
      <c r="C125" s="82" t="s">
        <v>646</v>
      </c>
      <c r="D125" s="83" t="s">
        <v>566</v>
      </c>
      <c r="E125" s="84" t="s">
        <v>573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5">
      <c r="A126" s="82" t="s">
        <v>701</v>
      </c>
      <c r="B126" s="82" t="s">
        <v>702</v>
      </c>
      <c r="C126" s="82" t="s">
        <v>646</v>
      </c>
      <c r="D126" s="83" t="s">
        <v>566</v>
      </c>
      <c r="E126" s="84" t="s">
        <v>571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5">
      <c r="A127" s="82" t="s">
        <v>703</v>
      </c>
      <c r="B127" s="82" t="s">
        <v>704</v>
      </c>
      <c r="C127" s="82" t="s">
        <v>646</v>
      </c>
      <c r="D127" s="83" t="s">
        <v>566</v>
      </c>
      <c r="E127" s="84" t="s">
        <v>571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5">
      <c r="A128" s="82" t="s">
        <v>705</v>
      </c>
      <c r="B128" s="82" t="s">
        <v>706</v>
      </c>
      <c r="C128" s="82" t="s">
        <v>646</v>
      </c>
      <c r="D128" s="83" t="s">
        <v>566</v>
      </c>
      <c r="E128" s="84" t="s">
        <v>578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5">
      <c r="A129" s="82" t="s">
        <v>707</v>
      </c>
      <c r="B129" s="82" t="s">
        <v>708</v>
      </c>
      <c r="C129" s="82" t="s">
        <v>646</v>
      </c>
      <c r="D129" s="83" t="s">
        <v>566</v>
      </c>
      <c r="E129" s="84" t="s">
        <v>559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5">
      <c r="A130" s="82" t="s">
        <v>709</v>
      </c>
      <c r="B130" s="82" t="s">
        <v>710</v>
      </c>
      <c r="C130" s="82" t="s">
        <v>646</v>
      </c>
      <c r="D130" s="83" t="s">
        <v>566</v>
      </c>
      <c r="E130" s="84" t="s">
        <v>578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5">
      <c r="A131" s="82" t="s">
        <v>711</v>
      </c>
      <c r="B131" s="82" t="s">
        <v>712</v>
      </c>
      <c r="C131" s="82" t="s">
        <v>646</v>
      </c>
      <c r="D131" s="83" t="s">
        <v>566</v>
      </c>
      <c r="E131" s="84" t="s">
        <v>713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5">
      <c r="A132" s="82" t="s">
        <v>714</v>
      </c>
      <c r="B132" s="82" t="s">
        <v>715</v>
      </c>
      <c r="C132" s="82" t="s">
        <v>646</v>
      </c>
      <c r="D132" s="83" t="s">
        <v>566</v>
      </c>
      <c r="E132" s="84" t="s">
        <v>639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5">
      <c r="A133" s="82" t="s">
        <v>716</v>
      </c>
      <c r="B133" s="82" t="s">
        <v>717</v>
      </c>
      <c r="C133" s="82" t="s">
        <v>646</v>
      </c>
      <c r="D133" s="83" t="s">
        <v>566</v>
      </c>
      <c r="E133" s="84" t="s">
        <v>453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5">
      <c r="A134" s="82" t="s">
        <v>718</v>
      </c>
      <c r="B134" s="82" t="s">
        <v>719</v>
      </c>
      <c r="C134" s="82" t="s">
        <v>646</v>
      </c>
      <c r="D134" s="83" t="s">
        <v>566</v>
      </c>
      <c r="E134" s="84" t="s">
        <v>591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5">
      <c r="A135" s="82" t="s">
        <v>720</v>
      </c>
      <c r="B135" s="82" t="s">
        <v>721</v>
      </c>
      <c r="C135" s="82" t="s">
        <v>646</v>
      </c>
      <c r="D135" s="83" t="s">
        <v>566</v>
      </c>
      <c r="E135" s="84" t="s">
        <v>568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5">
      <c r="A136" s="82" t="s">
        <v>722</v>
      </c>
      <c r="B136" s="82" t="s">
        <v>723</v>
      </c>
      <c r="C136" s="82" t="s">
        <v>646</v>
      </c>
      <c r="D136" s="83" t="s">
        <v>566</v>
      </c>
      <c r="E136" s="84" t="s">
        <v>568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5">
      <c r="A137" s="82" t="s">
        <v>724</v>
      </c>
      <c r="B137" s="82" t="s">
        <v>725</v>
      </c>
      <c r="C137" s="82" t="s">
        <v>646</v>
      </c>
      <c r="D137" s="83" t="s">
        <v>434</v>
      </c>
      <c r="E137" s="84" t="s">
        <v>613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5">
      <c r="A138" s="82" t="s">
        <v>726</v>
      </c>
      <c r="B138" s="82" t="s">
        <v>727</v>
      </c>
      <c r="C138" s="82" t="s">
        <v>646</v>
      </c>
      <c r="D138" s="83" t="s">
        <v>434</v>
      </c>
      <c r="E138" s="84" t="s">
        <v>591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5">
      <c r="A139" s="82" t="s">
        <v>728</v>
      </c>
      <c r="B139" s="82" t="s">
        <v>729</v>
      </c>
      <c r="C139" s="82" t="s">
        <v>646</v>
      </c>
      <c r="D139" s="83" t="s">
        <v>434</v>
      </c>
      <c r="E139" s="84" t="s">
        <v>591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5">
      <c r="A140" s="82" t="s">
        <v>730</v>
      </c>
      <c r="B140" s="82" t="s">
        <v>731</v>
      </c>
      <c r="C140" s="82" t="s">
        <v>561</v>
      </c>
      <c r="D140" s="83" t="s">
        <v>434</v>
      </c>
      <c r="E140" s="84" t="s">
        <v>559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5">
      <c r="A141" s="82" t="s">
        <v>732</v>
      </c>
      <c r="B141" s="82" t="s">
        <v>733</v>
      </c>
      <c r="C141" s="82" t="s">
        <v>594</v>
      </c>
      <c r="D141" s="83" t="s">
        <v>434</v>
      </c>
      <c r="E141" s="84" t="s">
        <v>608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5">
      <c r="A142" s="82" t="s">
        <v>734</v>
      </c>
      <c r="B142" s="82" t="s">
        <v>735</v>
      </c>
      <c r="C142" s="82" t="s">
        <v>646</v>
      </c>
      <c r="D142" s="83" t="s">
        <v>434</v>
      </c>
      <c r="E142" s="84" t="s">
        <v>576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5">
      <c r="A143" s="82" t="s">
        <v>736</v>
      </c>
      <c r="B143" s="82" t="s">
        <v>737</v>
      </c>
      <c r="C143" s="82" t="s">
        <v>646</v>
      </c>
      <c r="D143" s="83" t="s">
        <v>566</v>
      </c>
      <c r="E143" s="84" t="s">
        <v>608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5">
      <c r="A144" s="82" t="s">
        <v>738</v>
      </c>
      <c r="B144" s="82" t="s">
        <v>739</v>
      </c>
      <c r="C144" s="82" t="s">
        <v>646</v>
      </c>
      <c r="D144" s="83" t="s">
        <v>566</v>
      </c>
      <c r="E144" s="84" t="s">
        <v>559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5">
      <c r="A145" s="82" t="s">
        <v>740</v>
      </c>
      <c r="B145" s="82" t="s">
        <v>741</v>
      </c>
      <c r="C145" s="82" t="s">
        <v>646</v>
      </c>
      <c r="D145" s="83" t="s">
        <v>434</v>
      </c>
      <c r="E145" s="84" t="s">
        <v>591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5">
      <c r="A146" s="82" t="s">
        <v>742</v>
      </c>
      <c r="B146" s="82" t="s">
        <v>743</v>
      </c>
      <c r="C146" s="82" t="s">
        <v>646</v>
      </c>
      <c r="D146" s="83" t="s">
        <v>606</v>
      </c>
      <c r="E146" s="84" t="s">
        <v>608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5">
      <c r="A147" s="82" t="s">
        <v>744</v>
      </c>
      <c r="B147" s="82" t="s">
        <v>745</v>
      </c>
      <c r="C147" s="82" t="s">
        <v>646</v>
      </c>
      <c r="D147" s="83" t="s">
        <v>434</v>
      </c>
      <c r="E147" s="84" t="s">
        <v>746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5">
      <c r="A148" s="82" t="s">
        <v>747</v>
      </c>
      <c r="B148" s="82" t="s">
        <v>748</v>
      </c>
      <c r="C148" s="82" t="s">
        <v>646</v>
      </c>
      <c r="D148" s="83" t="s">
        <v>449</v>
      </c>
      <c r="E148" s="84" t="s">
        <v>749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5">
      <c r="A149" s="82" t="s">
        <v>750</v>
      </c>
      <c r="B149" s="82" t="s">
        <v>751</v>
      </c>
      <c r="C149" s="82" t="s">
        <v>646</v>
      </c>
      <c r="D149" s="83" t="s">
        <v>434</v>
      </c>
      <c r="E149" s="84" t="s">
        <v>546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5">
      <c r="A150" s="82" t="s">
        <v>752</v>
      </c>
      <c r="B150" s="82" t="s">
        <v>753</v>
      </c>
      <c r="C150" s="82" t="s">
        <v>646</v>
      </c>
      <c r="D150" s="83" t="s">
        <v>434</v>
      </c>
      <c r="E150" s="84" t="s">
        <v>754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5">
      <c r="A151" s="82" t="s">
        <v>755</v>
      </c>
      <c r="B151" s="82" t="s">
        <v>756</v>
      </c>
      <c r="C151" s="82" t="s">
        <v>646</v>
      </c>
      <c r="D151" s="83" t="s">
        <v>449</v>
      </c>
      <c r="E151" s="84" t="s">
        <v>546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5">
      <c r="A152" s="82" t="s">
        <v>757</v>
      </c>
      <c r="B152" s="82" t="s">
        <v>758</v>
      </c>
      <c r="C152" s="82" t="s">
        <v>646</v>
      </c>
      <c r="D152" s="83" t="s">
        <v>449</v>
      </c>
      <c r="E152" s="84" t="s">
        <v>457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5">
      <c r="A153" s="82" t="s">
        <v>759</v>
      </c>
      <c r="B153" s="82" t="s">
        <v>760</v>
      </c>
      <c r="C153" s="82" t="s">
        <v>646</v>
      </c>
      <c r="D153" s="83" t="s">
        <v>449</v>
      </c>
      <c r="E153" s="84" t="s">
        <v>457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5">
      <c r="A154" s="82" t="s">
        <v>761</v>
      </c>
      <c r="B154" s="82" t="s">
        <v>762</v>
      </c>
      <c r="C154" s="82" t="s">
        <v>646</v>
      </c>
      <c r="D154" s="83" t="s">
        <v>449</v>
      </c>
      <c r="E154" s="84" t="s">
        <v>457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5">
      <c r="A155" s="82" t="s">
        <v>763</v>
      </c>
      <c r="B155" s="82" t="s">
        <v>764</v>
      </c>
      <c r="C155" s="82" t="s">
        <v>646</v>
      </c>
      <c r="D155" s="83" t="s">
        <v>606</v>
      </c>
      <c r="E155" s="84" t="s">
        <v>553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5">
      <c r="A156" s="82" t="s">
        <v>765</v>
      </c>
      <c r="B156" s="82" t="s">
        <v>766</v>
      </c>
      <c r="C156" s="82" t="s">
        <v>646</v>
      </c>
      <c r="D156" s="83" t="s">
        <v>434</v>
      </c>
      <c r="E156" s="84" t="s">
        <v>568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5">
      <c r="A157" s="82" t="s">
        <v>767</v>
      </c>
      <c r="B157" s="82" t="s">
        <v>768</v>
      </c>
      <c r="C157" s="82" t="s">
        <v>646</v>
      </c>
      <c r="D157" s="83" t="s">
        <v>606</v>
      </c>
      <c r="E157" s="84" t="s">
        <v>568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5">
      <c r="A158" s="82" t="s">
        <v>769</v>
      </c>
      <c r="B158" s="82" t="s">
        <v>770</v>
      </c>
      <c r="C158" s="82" t="s">
        <v>646</v>
      </c>
      <c r="D158" s="83" t="s">
        <v>606</v>
      </c>
      <c r="E158" s="84" t="s">
        <v>771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5">
      <c r="A159" s="82" t="s">
        <v>772</v>
      </c>
      <c r="B159" s="82" t="s">
        <v>773</v>
      </c>
      <c r="C159" s="82" t="s">
        <v>646</v>
      </c>
      <c r="D159" s="83" t="s">
        <v>566</v>
      </c>
      <c r="E159" s="84" t="s">
        <v>774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5">
      <c r="A160" s="82" t="s">
        <v>775</v>
      </c>
      <c r="B160" s="82" t="s">
        <v>776</v>
      </c>
      <c r="C160" s="82" t="s">
        <v>646</v>
      </c>
      <c r="D160" s="83" t="s">
        <v>566</v>
      </c>
      <c r="E160" s="84" t="s">
        <v>627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5">
      <c r="A161" s="82" t="s">
        <v>777</v>
      </c>
      <c r="B161" s="82" t="s">
        <v>778</v>
      </c>
      <c r="C161" s="82" t="s">
        <v>646</v>
      </c>
      <c r="D161" s="83" t="s">
        <v>566</v>
      </c>
      <c r="E161" s="84" t="s">
        <v>774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5">
      <c r="A162" s="82" t="s">
        <v>779</v>
      </c>
      <c r="B162" s="82" t="s">
        <v>780</v>
      </c>
      <c r="C162" s="82" t="s">
        <v>646</v>
      </c>
      <c r="D162" s="83" t="s">
        <v>587</v>
      </c>
      <c r="E162" s="84" t="s">
        <v>559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5">
      <c r="A163" s="82" t="s">
        <v>781</v>
      </c>
      <c r="B163" s="82" t="s">
        <v>782</v>
      </c>
      <c r="C163" s="82" t="s">
        <v>646</v>
      </c>
      <c r="D163" s="83" t="s">
        <v>434</v>
      </c>
      <c r="E163" s="84" t="s">
        <v>435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5">
      <c r="A164" s="82" t="s">
        <v>783</v>
      </c>
      <c r="B164" s="82" t="s">
        <v>784</v>
      </c>
      <c r="C164" s="82" t="s">
        <v>646</v>
      </c>
      <c r="D164" s="83" t="s">
        <v>434</v>
      </c>
      <c r="E164" s="84" t="s">
        <v>453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5">
      <c r="A165" s="82" t="s">
        <v>785</v>
      </c>
      <c r="B165" s="82" t="s">
        <v>786</v>
      </c>
      <c r="C165" s="82" t="s">
        <v>646</v>
      </c>
      <c r="D165" s="83" t="s">
        <v>606</v>
      </c>
      <c r="E165" s="84" t="s">
        <v>453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5">
      <c r="A166" s="82" t="s">
        <v>787</v>
      </c>
      <c r="B166" s="82" t="s">
        <v>788</v>
      </c>
      <c r="C166" s="82" t="s">
        <v>646</v>
      </c>
      <c r="D166" s="83" t="s">
        <v>618</v>
      </c>
      <c r="E166" s="84" t="s">
        <v>608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5">
      <c r="A167" s="82" t="s">
        <v>789</v>
      </c>
      <c r="B167" s="82" t="s">
        <v>790</v>
      </c>
      <c r="C167" s="82" t="s">
        <v>646</v>
      </c>
      <c r="D167" s="83" t="s">
        <v>566</v>
      </c>
      <c r="E167" s="84" t="s">
        <v>791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5">
      <c r="A168" s="82" t="s">
        <v>792</v>
      </c>
      <c r="B168" s="82" t="s">
        <v>793</v>
      </c>
      <c r="C168" s="82" t="s">
        <v>646</v>
      </c>
      <c r="D168" s="83" t="s">
        <v>566</v>
      </c>
      <c r="E168" s="84" t="s">
        <v>546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5">
      <c r="A169" s="82" t="s">
        <v>794</v>
      </c>
      <c r="B169" s="82" t="s">
        <v>795</v>
      </c>
      <c r="C169" s="82" t="s">
        <v>646</v>
      </c>
      <c r="D169" s="83" t="s">
        <v>618</v>
      </c>
      <c r="E169" s="84" t="s">
        <v>796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5">
      <c r="A170" s="82" t="s">
        <v>797</v>
      </c>
      <c r="B170" s="82" t="s">
        <v>798</v>
      </c>
      <c r="C170" s="82" t="s">
        <v>646</v>
      </c>
      <c r="D170" s="83" t="s">
        <v>566</v>
      </c>
      <c r="E170" s="84" t="s">
        <v>591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5">
      <c r="A171" s="82" t="s">
        <v>799</v>
      </c>
      <c r="B171" s="82" t="s">
        <v>800</v>
      </c>
      <c r="C171" s="82" t="s">
        <v>646</v>
      </c>
      <c r="D171" s="83" t="s">
        <v>618</v>
      </c>
      <c r="E171" s="84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5">
      <c r="A172" s="82" t="s">
        <v>801</v>
      </c>
      <c r="B172" s="82" t="s">
        <v>802</v>
      </c>
      <c r="C172" s="82" t="s">
        <v>646</v>
      </c>
      <c r="D172" s="83" t="s">
        <v>618</v>
      </c>
      <c r="E172" s="84" t="s">
        <v>553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5">
      <c r="A173" s="82" t="s">
        <v>803</v>
      </c>
      <c r="B173" s="82" t="s">
        <v>804</v>
      </c>
      <c r="C173" s="82" t="s">
        <v>646</v>
      </c>
      <c r="D173" s="83" t="s">
        <v>805</v>
      </c>
      <c r="E173" s="84" t="s">
        <v>453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5">
      <c r="A174" s="82" t="s">
        <v>806</v>
      </c>
      <c r="B174" s="82" t="s">
        <v>807</v>
      </c>
      <c r="C174" s="82" t="s">
        <v>646</v>
      </c>
      <c r="D174" s="83" t="s">
        <v>566</v>
      </c>
      <c r="E174" s="84" t="s">
        <v>546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5">
      <c r="A175" s="82" t="s">
        <v>808</v>
      </c>
      <c r="B175" s="82" t="s">
        <v>809</v>
      </c>
      <c r="C175" s="82" t="s">
        <v>646</v>
      </c>
      <c r="D175" s="83" t="s">
        <v>606</v>
      </c>
      <c r="E175" s="84" t="s">
        <v>639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5">
      <c r="A176" s="82" t="s">
        <v>810</v>
      </c>
      <c r="B176" s="82" t="s">
        <v>811</v>
      </c>
      <c r="C176" s="82" t="s">
        <v>646</v>
      </c>
      <c r="D176" s="83" t="s">
        <v>566</v>
      </c>
      <c r="E176" s="84" t="s">
        <v>796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5">
      <c r="A177" s="82" t="s">
        <v>812</v>
      </c>
      <c r="B177" s="82" t="s">
        <v>813</v>
      </c>
      <c r="C177" s="82" t="s">
        <v>646</v>
      </c>
      <c r="D177" s="83" t="s">
        <v>566</v>
      </c>
      <c r="E177" s="84" t="s">
        <v>591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5">
      <c r="A178" s="82" t="s">
        <v>814</v>
      </c>
      <c r="B178" s="82" t="s">
        <v>815</v>
      </c>
      <c r="C178" s="82" t="s">
        <v>646</v>
      </c>
      <c r="D178" s="83" t="s">
        <v>566</v>
      </c>
      <c r="E178" s="84" t="s">
        <v>613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5">
      <c r="A179" s="82" t="s">
        <v>816</v>
      </c>
      <c r="B179" s="82" t="s">
        <v>817</v>
      </c>
      <c r="C179" s="82" t="s">
        <v>646</v>
      </c>
      <c r="D179" s="83" t="s">
        <v>566</v>
      </c>
      <c r="E179" s="84" t="s">
        <v>453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5">
      <c r="A180" s="82" t="s">
        <v>818</v>
      </c>
      <c r="B180" s="82" t="s">
        <v>819</v>
      </c>
      <c r="C180" s="82" t="s">
        <v>646</v>
      </c>
      <c r="D180" s="83" t="s">
        <v>606</v>
      </c>
      <c r="E180" s="84" t="s">
        <v>559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5">
      <c r="A181" s="82" t="s">
        <v>820</v>
      </c>
      <c r="B181" s="82" t="s">
        <v>821</v>
      </c>
      <c r="C181" s="82" t="s">
        <v>646</v>
      </c>
      <c r="D181" s="83" t="s">
        <v>606</v>
      </c>
      <c r="E181" s="84" t="s">
        <v>559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5">
      <c r="A182" s="82" t="s">
        <v>822</v>
      </c>
      <c r="B182" s="82" t="s">
        <v>823</v>
      </c>
      <c r="C182" s="82" t="s">
        <v>646</v>
      </c>
      <c r="D182" s="83" t="s">
        <v>606</v>
      </c>
      <c r="E182" s="84" t="s">
        <v>559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5">
      <c r="A183" s="82" t="s">
        <v>824</v>
      </c>
      <c r="B183" s="82" t="s">
        <v>825</v>
      </c>
      <c r="C183" s="82" t="s">
        <v>646</v>
      </c>
      <c r="D183" s="83" t="s">
        <v>606</v>
      </c>
      <c r="E183" s="84" t="s">
        <v>559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5">
      <c r="A184" s="82" t="s">
        <v>826</v>
      </c>
      <c r="B184" s="82" t="s">
        <v>827</v>
      </c>
      <c r="C184" s="82" t="s">
        <v>646</v>
      </c>
      <c r="D184" s="83" t="s">
        <v>606</v>
      </c>
      <c r="E184" s="84" t="s">
        <v>559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5">
      <c r="A185" s="82" t="s">
        <v>828</v>
      </c>
      <c r="B185" s="82" t="s">
        <v>829</v>
      </c>
      <c r="C185" s="82" t="s">
        <v>646</v>
      </c>
      <c r="D185" s="83" t="s">
        <v>606</v>
      </c>
      <c r="E185" s="84" t="s">
        <v>559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5">
      <c r="A186" s="82" t="s">
        <v>830</v>
      </c>
      <c r="B186" s="82" t="s">
        <v>831</v>
      </c>
      <c r="C186" s="82" t="s">
        <v>646</v>
      </c>
      <c r="D186" s="83" t="s">
        <v>566</v>
      </c>
      <c r="E186" s="84" t="s">
        <v>453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5">
      <c r="A187" s="82" t="s">
        <v>832</v>
      </c>
      <c r="B187" s="82" t="s">
        <v>833</v>
      </c>
      <c r="C187" s="82" t="s">
        <v>646</v>
      </c>
      <c r="D187" s="83" t="s">
        <v>566</v>
      </c>
      <c r="E187" s="84" t="s">
        <v>453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5">
      <c r="A188" s="82" t="s">
        <v>834</v>
      </c>
      <c r="B188" s="82" t="s">
        <v>835</v>
      </c>
      <c r="C188" s="82" t="s">
        <v>646</v>
      </c>
      <c r="D188" s="83" t="s">
        <v>566</v>
      </c>
      <c r="E188" s="84" t="s">
        <v>453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5">
      <c r="A189" s="82" t="s">
        <v>836</v>
      </c>
      <c r="B189" s="82" t="s">
        <v>837</v>
      </c>
      <c r="C189" s="82" t="s">
        <v>646</v>
      </c>
      <c r="D189" s="83" t="s">
        <v>566</v>
      </c>
      <c r="E189" s="84" t="s">
        <v>453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5">
      <c r="A190" s="82" t="s">
        <v>838</v>
      </c>
      <c r="B190" s="82" t="s">
        <v>839</v>
      </c>
      <c r="C190" s="82" t="s">
        <v>646</v>
      </c>
      <c r="D190" s="83" t="s">
        <v>566</v>
      </c>
      <c r="E190" s="84" t="s">
        <v>453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5">
      <c r="A191" s="82" t="s">
        <v>840</v>
      </c>
      <c r="B191" s="82" t="s">
        <v>841</v>
      </c>
      <c r="C191" s="82" t="s">
        <v>646</v>
      </c>
      <c r="D191" s="83" t="s">
        <v>566</v>
      </c>
      <c r="E191" s="84" t="s">
        <v>453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5">
      <c r="A192" s="82" t="s">
        <v>842</v>
      </c>
      <c r="B192" s="82" t="s">
        <v>843</v>
      </c>
      <c r="C192" s="82" t="s">
        <v>646</v>
      </c>
      <c r="D192" s="83" t="s">
        <v>566</v>
      </c>
      <c r="E192" s="84" t="s">
        <v>453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5">
      <c r="A193" s="82" t="s">
        <v>844</v>
      </c>
      <c r="B193" s="82" t="s">
        <v>845</v>
      </c>
      <c r="C193" s="82" t="s">
        <v>646</v>
      </c>
      <c r="D193" s="83" t="s">
        <v>434</v>
      </c>
      <c r="E193" s="84" t="s">
        <v>613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5">
      <c r="A194" s="82" t="s">
        <v>846</v>
      </c>
      <c r="B194" s="82" t="s">
        <v>847</v>
      </c>
      <c r="C194" s="82" t="s">
        <v>646</v>
      </c>
      <c r="D194" s="83" t="s">
        <v>434</v>
      </c>
      <c r="E194" s="84" t="s">
        <v>608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5">
      <c r="A195" s="82" t="s">
        <v>848</v>
      </c>
      <c r="B195" s="82" t="s">
        <v>849</v>
      </c>
      <c r="C195" s="82" t="s">
        <v>646</v>
      </c>
      <c r="D195" s="83" t="s">
        <v>434</v>
      </c>
      <c r="E195" s="84" t="s">
        <v>559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5">
      <c r="A196" s="82" t="s">
        <v>850</v>
      </c>
      <c r="B196" s="82" t="s">
        <v>851</v>
      </c>
      <c r="C196" s="82" t="s">
        <v>646</v>
      </c>
      <c r="D196" s="83" t="s">
        <v>434</v>
      </c>
      <c r="E196" s="84" t="s">
        <v>553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5">
      <c r="A197" s="82" t="s">
        <v>852</v>
      </c>
      <c r="B197" s="82" t="s">
        <v>853</v>
      </c>
      <c r="C197" s="82" t="s">
        <v>646</v>
      </c>
      <c r="D197" s="83" t="s">
        <v>566</v>
      </c>
      <c r="E197" s="84" t="s">
        <v>652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5">
      <c r="A198" s="82" t="s">
        <v>854</v>
      </c>
      <c r="B198" s="82" t="s">
        <v>414</v>
      </c>
      <c r="C198" s="82" t="s">
        <v>448</v>
      </c>
      <c r="D198" s="83" t="s">
        <v>434</v>
      </c>
      <c r="E198" s="84" t="s">
        <v>546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5">
      <c r="A199" s="82" t="s">
        <v>855</v>
      </c>
      <c r="B199" s="82" t="s">
        <v>856</v>
      </c>
      <c r="C199" s="82" t="s">
        <v>433</v>
      </c>
      <c r="D199" s="83" t="s">
        <v>434</v>
      </c>
      <c r="E199" s="84" t="s">
        <v>436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5">
      <c r="A200" s="82" t="s">
        <v>857</v>
      </c>
      <c r="B200" s="82" t="s">
        <v>264</v>
      </c>
      <c r="C200" s="82" t="s">
        <v>565</v>
      </c>
      <c r="D200" s="83" t="s">
        <v>434</v>
      </c>
      <c r="E200" s="84" t="s">
        <v>568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5">
      <c r="A201" s="82" t="s">
        <v>858</v>
      </c>
      <c r="B201" s="82" t="s">
        <v>403</v>
      </c>
      <c r="C201" s="82" t="s">
        <v>594</v>
      </c>
      <c r="D201" s="83" t="s">
        <v>434</v>
      </c>
      <c r="E201" s="84" t="s">
        <v>453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5">
      <c r="A202" s="82" t="s">
        <v>859</v>
      </c>
      <c r="B202" s="82" t="s">
        <v>373</v>
      </c>
      <c r="C202" s="82" t="s">
        <v>594</v>
      </c>
      <c r="D202" s="83" t="s">
        <v>434</v>
      </c>
      <c r="E202" s="84" t="s">
        <v>608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5">
      <c r="A203" s="82" t="s">
        <v>860</v>
      </c>
      <c r="B203" s="82" t="s">
        <v>417</v>
      </c>
      <c r="C203" s="82" t="s">
        <v>861</v>
      </c>
      <c r="D203" s="83" t="s">
        <v>434</v>
      </c>
      <c r="E203" s="84" t="s">
        <v>608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5">
      <c r="A204" s="82" t="s">
        <v>862</v>
      </c>
      <c r="B204" s="82" t="s">
        <v>419</v>
      </c>
      <c r="C204" s="82" t="s">
        <v>586</v>
      </c>
      <c r="D204" s="83" t="s">
        <v>434</v>
      </c>
      <c r="E204" s="84" t="s">
        <v>436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5">
      <c r="A205" s="82" t="s">
        <v>863</v>
      </c>
      <c r="B205" s="82" t="s">
        <v>361</v>
      </c>
      <c r="C205" s="82" t="s">
        <v>561</v>
      </c>
      <c r="D205" s="83" t="s">
        <v>434</v>
      </c>
      <c r="E205" s="84" t="s">
        <v>608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5">
      <c r="A206" s="82" t="s">
        <v>864</v>
      </c>
      <c r="B206" s="82" t="s">
        <v>355</v>
      </c>
      <c r="C206" s="82" t="s">
        <v>594</v>
      </c>
      <c r="D206" s="83" t="s">
        <v>431</v>
      </c>
      <c r="E206" s="84" t="s">
        <v>608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5">
      <c r="A207" s="82" t="s">
        <v>865</v>
      </c>
      <c r="B207" s="82" t="s">
        <v>866</v>
      </c>
      <c r="C207" s="82" t="s">
        <v>448</v>
      </c>
      <c r="D207" s="83" t="s">
        <v>805</v>
      </c>
      <c r="E207" s="84" t="s">
        <v>867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5">
      <c r="A208" s="82" t="s">
        <v>868</v>
      </c>
      <c r="B208" s="82" t="s">
        <v>869</v>
      </c>
      <c r="C208" s="82" t="s">
        <v>433</v>
      </c>
      <c r="D208" s="83" t="s">
        <v>434</v>
      </c>
      <c r="E208" s="84" t="s">
        <v>435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5">
      <c r="A209" s="82" t="s">
        <v>870</v>
      </c>
      <c r="B209" s="82" t="s">
        <v>871</v>
      </c>
      <c r="C209" s="82" t="s">
        <v>638</v>
      </c>
      <c r="D209" s="83" t="s">
        <v>434</v>
      </c>
      <c r="E209" s="84" t="s">
        <v>872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5">
      <c r="A210" s="82" t="s">
        <v>873</v>
      </c>
      <c r="B210" s="82" t="s">
        <v>874</v>
      </c>
      <c r="C210" s="82" t="s">
        <v>861</v>
      </c>
      <c r="D210" s="83" t="s">
        <v>434</v>
      </c>
      <c r="E210" s="84" t="s">
        <v>591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5">
      <c r="A211" s="82" t="s">
        <v>875</v>
      </c>
      <c r="B211" s="82" t="s">
        <v>876</v>
      </c>
      <c r="C211" s="82" t="s">
        <v>861</v>
      </c>
      <c r="D211" s="83" t="s">
        <v>434</v>
      </c>
      <c r="E211" s="84" t="s">
        <v>591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5">
      <c r="A212" s="82" t="s">
        <v>877</v>
      </c>
      <c r="B212" s="82" t="s">
        <v>878</v>
      </c>
      <c r="C212" s="82" t="s">
        <v>861</v>
      </c>
      <c r="D212" s="83" t="s">
        <v>434</v>
      </c>
      <c r="E212" s="84" t="s">
        <v>591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5">
      <c r="A213" s="82" t="s">
        <v>879</v>
      </c>
      <c r="B213" s="82" t="s">
        <v>348</v>
      </c>
      <c r="C213" s="82" t="s">
        <v>433</v>
      </c>
      <c r="D213" s="83" t="s">
        <v>434</v>
      </c>
      <c r="E213" s="84" t="s">
        <v>652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5">
      <c r="A214" s="82" t="s">
        <v>880</v>
      </c>
      <c r="B214" s="82" t="s">
        <v>347</v>
      </c>
      <c r="C214" s="82" t="s">
        <v>433</v>
      </c>
      <c r="D214" s="83" t="s">
        <v>434</v>
      </c>
      <c r="E214" s="84" t="s">
        <v>652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5">
      <c r="A215" s="82" t="s">
        <v>881</v>
      </c>
      <c r="B215" s="82" t="s">
        <v>200</v>
      </c>
      <c r="C215" s="82" t="s">
        <v>433</v>
      </c>
      <c r="D215" s="83" t="s">
        <v>434</v>
      </c>
      <c r="E215" s="84" t="s">
        <v>652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5">
      <c r="A216" s="82" t="s">
        <v>882</v>
      </c>
      <c r="B216" s="82" t="s">
        <v>883</v>
      </c>
      <c r="C216" s="82" t="s">
        <v>433</v>
      </c>
      <c r="D216" s="83" t="s">
        <v>587</v>
      </c>
      <c r="E216" s="84" t="s">
        <v>884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5">
      <c r="A217" s="82" t="s">
        <v>885</v>
      </c>
      <c r="B217" s="82" t="s">
        <v>378</v>
      </c>
      <c r="C217" s="82" t="s">
        <v>886</v>
      </c>
      <c r="D217" s="83" t="s">
        <v>434</v>
      </c>
      <c r="E217" s="84" t="s">
        <v>639</v>
      </c>
      <c r="F217" s="84" t="s">
        <v>436</v>
      </c>
      <c r="G217" s="85" t="s">
        <v>437</v>
      </c>
      <c r="H217" s="85" t="s">
        <v>437</v>
      </c>
      <c r="I217" s="82" t="s">
        <v>887</v>
      </c>
      <c r="J217" s="86" t="s">
        <v>438</v>
      </c>
    </row>
    <row r="218" spans="1:10" x14ac:dyDescent="0.25">
      <c r="A218" s="82" t="s">
        <v>888</v>
      </c>
      <c r="B218" s="82" t="s">
        <v>889</v>
      </c>
      <c r="C218" s="82" t="s">
        <v>886</v>
      </c>
      <c r="D218" s="83" t="s">
        <v>434</v>
      </c>
      <c r="E218" s="84" t="s">
        <v>890</v>
      </c>
      <c r="F218" s="84" t="s">
        <v>436</v>
      </c>
      <c r="G218" s="85" t="s">
        <v>437</v>
      </c>
      <c r="H218" s="85" t="s">
        <v>437</v>
      </c>
      <c r="I218" s="82" t="s">
        <v>887</v>
      </c>
      <c r="J218" s="86" t="s">
        <v>438</v>
      </c>
    </row>
    <row r="219" spans="1:10" x14ac:dyDescent="0.25">
      <c r="A219" s="82" t="s">
        <v>891</v>
      </c>
      <c r="B219" s="82" t="s">
        <v>892</v>
      </c>
      <c r="C219" s="82" t="s">
        <v>433</v>
      </c>
      <c r="D219" s="83" t="s">
        <v>434</v>
      </c>
      <c r="E219" s="84" t="s">
        <v>435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5">
      <c r="A220" s="82" t="s">
        <v>893</v>
      </c>
      <c r="B220" s="82" t="s">
        <v>238</v>
      </c>
      <c r="C220" s="82" t="s">
        <v>433</v>
      </c>
      <c r="D220" s="83" t="s">
        <v>434</v>
      </c>
      <c r="E220" s="84" t="s">
        <v>553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5">
      <c r="A221" s="82" t="s">
        <v>894</v>
      </c>
      <c r="B221" s="82" t="s">
        <v>895</v>
      </c>
      <c r="C221" s="82" t="s">
        <v>561</v>
      </c>
      <c r="D221" s="83" t="s">
        <v>434</v>
      </c>
      <c r="E221" s="84" t="s">
        <v>568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5">
      <c r="A222" s="82" t="s">
        <v>896</v>
      </c>
      <c r="B222" s="82" t="s">
        <v>696</v>
      </c>
      <c r="C222" s="82" t="s">
        <v>552</v>
      </c>
      <c r="D222" s="83" t="s">
        <v>606</v>
      </c>
      <c r="E222" s="84" t="s">
        <v>436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5">
      <c r="A223" s="82" t="s">
        <v>897</v>
      </c>
      <c r="B223" s="82" t="s">
        <v>898</v>
      </c>
      <c r="C223" s="82" t="s">
        <v>594</v>
      </c>
      <c r="D223" s="83" t="s">
        <v>434</v>
      </c>
      <c r="E223" s="84" t="s">
        <v>559</v>
      </c>
      <c r="F223" s="84" t="s">
        <v>436</v>
      </c>
      <c r="G223" s="85" t="s">
        <v>437</v>
      </c>
      <c r="H223" s="85" t="s">
        <v>437</v>
      </c>
      <c r="I223" s="82" t="s">
        <v>899</v>
      </c>
      <c r="J223" s="86" t="s">
        <v>438</v>
      </c>
    </row>
    <row r="224" spans="1:10" x14ac:dyDescent="0.25">
      <c r="A224" s="82" t="s">
        <v>900</v>
      </c>
      <c r="B224" s="82" t="s">
        <v>901</v>
      </c>
      <c r="C224" s="82" t="s">
        <v>448</v>
      </c>
      <c r="D224" s="83" t="s">
        <v>805</v>
      </c>
      <c r="E224" s="84" t="s">
        <v>559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5">
      <c r="A225" s="82" t="s">
        <v>902</v>
      </c>
      <c r="B225" s="82" t="s">
        <v>374</v>
      </c>
      <c r="C225" s="82" t="s">
        <v>886</v>
      </c>
      <c r="D225" s="83" t="s">
        <v>434</v>
      </c>
      <c r="E225" s="84" t="s">
        <v>613</v>
      </c>
      <c r="F225" s="84" t="s">
        <v>436</v>
      </c>
      <c r="G225" s="85" t="s">
        <v>437</v>
      </c>
      <c r="H225" s="85" t="s">
        <v>437</v>
      </c>
      <c r="I225" s="82" t="s">
        <v>887</v>
      </c>
      <c r="J225" s="86" t="s">
        <v>438</v>
      </c>
    </row>
    <row r="226" spans="1:10" x14ac:dyDescent="0.25">
      <c r="A226" s="82" t="s">
        <v>903</v>
      </c>
      <c r="B226" s="82" t="s">
        <v>269</v>
      </c>
      <c r="C226" s="82" t="s">
        <v>565</v>
      </c>
      <c r="D226" s="83" t="s">
        <v>566</v>
      </c>
      <c r="E226" s="84" t="s">
        <v>652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5">
      <c r="A227" s="82" t="s">
        <v>904</v>
      </c>
      <c r="B227" s="82" t="s">
        <v>266</v>
      </c>
      <c r="C227" s="82" t="s">
        <v>565</v>
      </c>
      <c r="D227" s="83" t="s">
        <v>434</v>
      </c>
      <c r="E227" s="84" t="s">
        <v>872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5">
      <c r="A228" s="82" t="s">
        <v>905</v>
      </c>
      <c r="B228" s="82" t="s">
        <v>906</v>
      </c>
      <c r="C228" s="82" t="s">
        <v>861</v>
      </c>
      <c r="D228" s="83" t="s">
        <v>566</v>
      </c>
      <c r="E228" s="84" t="s">
        <v>608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5">
      <c r="A229" s="82" t="s">
        <v>907</v>
      </c>
      <c r="B229" s="82" t="s">
        <v>908</v>
      </c>
      <c r="C229" s="82" t="s">
        <v>861</v>
      </c>
      <c r="D229" s="83" t="s">
        <v>566</v>
      </c>
      <c r="E229" s="84" t="s">
        <v>608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5">
      <c r="A230" s="82" t="s">
        <v>909</v>
      </c>
      <c r="B230" s="82" t="s">
        <v>910</v>
      </c>
      <c r="C230" s="82" t="s">
        <v>861</v>
      </c>
      <c r="D230" s="83" t="s">
        <v>566</v>
      </c>
      <c r="E230" s="84" t="s">
        <v>608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5">
      <c r="A231" s="82" t="s">
        <v>911</v>
      </c>
      <c r="B231" s="82" t="s">
        <v>418</v>
      </c>
      <c r="C231" s="82" t="s">
        <v>586</v>
      </c>
      <c r="D231" s="83" t="s">
        <v>566</v>
      </c>
      <c r="E231" s="84" t="s">
        <v>608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5">
      <c r="A232" s="82" t="s">
        <v>912</v>
      </c>
      <c r="B232" s="82" t="s">
        <v>281</v>
      </c>
      <c r="C232" s="82" t="s">
        <v>913</v>
      </c>
      <c r="D232" s="83" t="s">
        <v>434</v>
      </c>
      <c r="E232" s="84" t="s">
        <v>553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5">
      <c r="A233" s="82" t="s">
        <v>914</v>
      </c>
      <c r="B233" s="82" t="s">
        <v>915</v>
      </c>
      <c r="C233" s="82" t="s">
        <v>594</v>
      </c>
      <c r="D233" s="83" t="s">
        <v>434</v>
      </c>
      <c r="E233" s="84" t="s">
        <v>613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5">
      <c r="A234" s="82" t="s">
        <v>916</v>
      </c>
      <c r="B234" s="82" t="s">
        <v>917</v>
      </c>
      <c r="C234" s="82" t="s">
        <v>594</v>
      </c>
      <c r="D234" s="83" t="s">
        <v>434</v>
      </c>
      <c r="E234" s="84" t="s">
        <v>435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5">
      <c r="A235" s="82" t="s">
        <v>918</v>
      </c>
      <c r="B235" s="82" t="s">
        <v>316</v>
      </c>
      <c r="C235" s="82" t="s">
        <v>594</v>
      </c>
      <c r="D235" s="83" t="s">
        <v>434</v>
      </c>
      <c r="E235" s="84" t="s">
        <v>435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5">
      <c r="A236" s="82" t="s">
        <v>919</v>
      </c>
      <c r="B236" s="82" t="s">
        <v>920</v>
      </c>
      <c r="C236" s="82" t="s">
        <v>561</v>
      </c>
      <c r="D236" s="83" t="s">
        <v>434</v>
      </c>
      <c r="E236" s="84" t="s">
        <v>553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589</v>
      </c>
    </row>
    <row r="237" spans="1:10" x14ac:dyDescent="0.25">
      <c r="A237" s="82" t="s">
        <v>921</v>
      </c>
      <c r="B237" s="82" t="s">
        <v>922</v>
      </c>
      <c r="C237" s="82" t="s">
        <v>552</v>
      </c>
      <c r="D237" s="83" t="s">
        <v>606</v>
      </c>
      <c r="E237" s="84" t="s">
        <v>559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5">
      <c r="A238" s="82" t="s">
        <v>923</v>
      </c>
      <c r="B238" s="82" t="s">
        <v>924</v>
      </c>
      <c r="C238" s="82" t="s">
        <v>638</v>
      </c>
      <c r="D238" s="83" t="s">
        <v>434</v>
      </c>
      <c r="E238" s="84" t="s">
        <v>573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5">
      <c r="A239" s="82" t="s">
        <v>925</v>
      </c>
      <c r="B239" s="82" t="s">
        <v>926</v>
      </c>
      <c r="C239" s="82" t="s">
        <v>594</v>
      </c>
      <c r="D239" s="83" t="s">
        <v>618</v>
      </c>
      <c r="E239" s="84" t="s">
        <v>627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5">
      <c r="A240" s="82" t="s">
        <v>927</v>
      </c>
      <c r="B240" s="82" t="s">
        <v>928</v>
      </c>
      <c r="C240" s="82" t="s">
        <v>594</v>
      </c>
      <c r="D240" s="83" t="s">
        <v>434</v>
      </c>
      <c r="E240" s="84" t="s">
        <v>435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0" x14ac:dyDescent="0.25">
      <c r="A241" s="82" t="s">
        <v>929</v>
      </c>
      <c r="B241" s="82" t="s">
        <v>930</v>
      </c>
      <c r="C241" s="82" t="s">
        <v>561</v>
      </c>
      <c r="D241" s="83" t="s">
        <v>566</v>
      </c>
      <c r="E241" s="84" t="s">
        <v>627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0" x14ac:dyDescent="0.25">
      <c r="A242" s="82" t="s">
        <v>931</v>
      </c>
      <c r="B242" s="82" t="s">
        <v>285</v>
      </c>
      <c r="C242" s="82" t="s">
        <v>433</v>
      </c>
      <c r="D242" s="83" t="s">
        <v>441</v>
      </c>
      <c r="E242" s="84" t="s">
        <v>571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</row>
    <row r="243" spans="1:10" x14ac:dyDescent="0.25">
      <c r="A243" s="82" t="s">
        <v>932</v>
      </c>
      <c r="B243" s="82" t="s">
        <v>284</v>
      </c>
      <c r="C243" s="82" t="s">
        <v>433</v>
      </c>
      <c r="D243" s="83" t="s">
        <v>441</v>
      </c>
      <c r="E243" s="84" t="s">
        <v>652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0" x14ac:dyDescent="0.25">
      <c r="A244" s="82" t="s">
        <v>933</v>
      </c>
      <c r="B244" s="82" t="s">
        <v>934</v>
      </c>
      <c r="C244" s="82" t="s">
        <v>433</v>
      </c>
      <c r="D244" s="83" t="s">
        <v>566</v>
      </c>
      <c r="E244" s="84" t="s">
        <v>627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0" x14ac:dyDescent="0.25">
      <c r="A245" s="82" t="s">
        <v>935</v>
      </c>
      <c r="B245" s="82" t="s">
        <v>936</v>
      </c>
      <c r="C245" s="82" t="s">
        <v>638</v>
      </c>
      <c r="D245" s="83" t="s">
        <v>434</v>
      </c>
      <c r="E245" s="84" t="s">
        <v>573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0" x14ac:dyDescent="0.25">
      <c r="A246" s="82" t="s">
        <v>937</v>
      </c>
      <c r="B246" s="82" t="s">
        <v>938</v>
      </c>
      <c r="C246" s="82" t="s">
        <v>448</v>
      </c>
      <c r="D246" s="83" t="s">
        <v>449</v>
      </c>
      <c r="E246" s="84" t="s">
        <v>746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0" x14ac:dyDescent="0.25">
      <c r="A247" s="82" t="s">
        <v>939</v>
      </c>
      <c r="B247" s="82" t="s">
        <v>940</v>
      </c>
      <c r="C247" s="82" t="s">
        <v>433</v>
      </c>
      <c r="D247" s="83" t="s">
        <v>434</v>
      </c>
      <c r="E247" s="84" t="s">
        <v>746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0" x14ac:dyDescent="0.25">
      <c r="A248" s="82" t="s">
        <v>941</v>
      </c>
      <c r="B248" s="82" t="s">
        <v>324</v>
      </c>
      <c r="C248" s="82" t="s">
        <v>942</v>
      </c>
      <c r="D248" s="83" t="s">
        <v>434</v>
      </c>
      <c r="E248" s="84" t="s">
        <v>872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0" x14ac:dyDescent="0.25">
      <c r="A249" s="82" t="s">
        <v>943</v>
      </c>
      <c r="B249" s="82" t="s">
        <v>698</v>
      </c>
      <c r="C249" s="82" t="s">
        <v>448</v>
      </c>
      <c r="D249" s="83" t="s">
        <v>805</v>
      </c>
      <c r="E249" s="84" t="s">
        <v>746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0" x14ac:dyDescent="0.25">
      <c r="A250" s="82" t="s">
        <v>944</v>
      </c>
      <c r="B250" s="82" t="s">
        <v>407</v>
      </c>
      <c r="C250" s="82" t="s">
        <v>913</v>
      </c>
      <c r="D250" s="83" t="s">
        <v>566</v>
      </c>
      <c r="E250" s="84" t="s">
        <v>608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0" x14ac:dyDescent="0.25">
      <c r="A251" s="82" t="s">
        <v>945</v>
      </c>
      <c r="B251" s="82" t="s">
        <v>252</v>
      </c>
      <c r="C251" s="82" t="s">
        <v>594</v>
      </c>
      <c r="D251" s="83" t="s">
        <v>434</v>
      </c>
      <c r="E251" s="84" t="s">
        <v>553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0" x14ac:dyDescent="0.25">
      <c r="A252" s="82" t="s">
        <v>946</v>
      </c>
      <c r="B252" s="82" t="s">
        <v>788</v>
      </c>
      <c r="C252" s="82" t="s">
        <v>552</v>
      </c>
      <c r="D252" s="83" t="s">
        <v>618</v>
      </c>
      <c r="E252" s="84" t="s">
        <v>453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0" x14ac:dyDescent="0.25">
      <c r="A253" s="82" t="s">
        <v>947</v>
      </c>
      <c r="B253" s="82" t="s">
        <v>290</v>
      </c>
      <c r="C253" s="82" t="s">
        <v>586</v>
      </c>
      <c r="D253" s="83" t="s">
        <v>434</v>
      </c>
      <c r="E253" s="84" t="s">
        <v>559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0" x14ac:dyDescent="0.25">
      <c r="A254" s="82" t="s">
        <v>948</v>
      </c>
      <c r="B254" s="82" t="s">
        <v>372</v>
      </c>
      <c r="C254" s="82" t="s">
        <v>552</v>
      </c>
      <c r="D254" s="83" t="s">
        <v>618</v>
      </c>
      <c r="E254" s="84" t="s">
        <v>573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0" x14ac:dyDescent="0.25">
      <c r="A255" s="82" t="s">
        <v>949</v>
      </c>
      <c r="B255" s="82" t="s">
        <v>950</v>
      </c>
      <c r="C255" s="82" t="s">
        <v>586</v>
      </c>
      <c r="D255" s="83" t="s">
        <v>434</v>
      </c>
      <c r="E255" s="84" t="s">
        <v>559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589</v>
      </c>
    </row>
    <row r="256" spans="1:10" x14ac:dyDescent="0.25">
      <c r="A256" s="82" t="s">
        <v>951</v>
      </c>
      <c r="B256" s="82" t="s">
        <v>288</v>
      </c>
      <c r="C256" s="82" t="s">
        <v>586</v>
      </c>
      <c r="D256" s="83" t="s">
        <v>434</v>
      </c>
      <c r="E256" s="84" t="s">
        <v>559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5">
      <c r="A257" s="82" t="s">
        <v>952</v>
      </c>
      <c r="B257" s="82" t="s">
        <v>313</v>
      </c>
      <c r="C257" s="82" t="s">
        <v>586</v>
      </c>
      <c r="D257" s="83" t="s">
        <v>434</v>
      </c>
      <c r="E257" s="84" t="s">
        <v>559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5">
      <c r="A258" s="82" t="s">
        <v>953</v>
      </c>
      <c r="B258" s="82" t="s">
        <v>325</v>
      </c>
      <c r="C258" s="82" t="s">
        <v>942</v>
      </c>
      <c r="D258" s="83" t="s">
        <v>434</v>
      </c>
      <c r="E258" s="84" t="s">
        <v>872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5">
      <c r="A259" s="82" t="s">
        <v>954</v>
      </c>
      <c r="B259" s="82" t="s">
        <v>326</v>
      </c>
      <c r="C259" s="82" t="s">
        <v>942</v>
      </c>
      <c r="D259" s="83" t="s">
        <v>434</v>
      </c>
      <c r="E259" s="84" t="s">
        <v>872</v>
      </c>
      <c r="F259" s="84" t="s">
        <v>639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5">
      <c r="A260" s="82" t="s">
        <v>955</v>
      </c>
      <c r="B260" s="82" t="s">
        <v>327</v>
      </c>
      <c r="C260" s="82" t="s">
        <v>942</v>
      </c>
      <c r="D260" s="83" t="s">
        <v>434</v>
      </c>
      <c r="E260" s="84" t="s">
        <v>872</v>
      </c>
      <c r="F260" s="84" t="s">
        <v>639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5">
      <c r="A261" s="82" t="s">
        <v>956</v>
      </c>
      <c r="B261" s="82" t="s">
        <v>328</v>
      </c>
      <c r="C261" s="82" t="s">
        <v>942</v>
      </c>
      <c r="D261" s="83" t="s">
        <v>434</v>
      </c>
      <c r="E261" s="84" t="s">
        <v>872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5">
      <c r="A262" s="82" t="s">
        <v>957</v>
      </c>
      <c r="B262" s="82" t="s">
        <v>298</v>
      </c>
      <c r="C262" s="82" t="s">
        <v>586</v>
      </c>
      <c r="D262" s="83" t="s">
        <v>434</v>
      </c>
      <c r="E262" s="84" t="s">
        <v>890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5">
      <c r="A263" s="82" t="s">
        <v>958</v>
      </c>
      <c r="B263" s="82" t="s">
        <v>280</v>
      </c>
      <c r="C263" s="82" t="s">
        <v>594</v>
      </c>
      <c r="D263" s="83" t="s">
        <v>434</v>
      </c>
      <c r="E263" s="84" t="s">
        <v>559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5">
      <c r="A264" s="82" t="s">
        <v>959</v>
      </c>
      <c r="B264" s="82" t="s">
        <v>329</v>
      </c>
      <c r="C264" s="82" t="s">
        <v>942</v>
      </c>
      <c r="D264" s="83" t="s">
        <v>434</v>
      </c>
      <c r="E264" s="84" t="s">
        <v>559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5">
      <c r="A265" s="82" t="s">
        <v>960</v>
      </c>
      <c r="B265" s="82" t="s">
        <v>330</v>
      </c>
      <c r="C265" s="82" t="s">
        <v>942</v>
      </c>
      <c r="D265" s="83" t="s">
        <v>434</v>
      </c>
      <c r="E265" s="84" t="s">
        <v>559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5">
      <c r="A266" s="82" t="s">
        <v>961</v>
      </c>
      <c r="B266" s="82" t="s">
        <v>331</v>
      </c>
      <c r="C266" s="82" t="s">
        <v>942</v>
      </c>
      <c r="D266" s="83" t="s">
        <v>434</v>
      </c>
      <c r="E266" s="84" t="s">
        <v>559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5">
      <c r="A267" s="82" t="s">
        <v>962</v>
      </c>
      <c r="B267" s="82" t="s">
        <v>332</v>
      </c>
      <c r="C267" s="82" t="s">
        <v>942</v>
      </c>
      <c r="D267" s="83" t="s">
        <v>434</v>
      </c>
      <c r="E267" s="84" t="s">
        <v>559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5">
      <c r="A268" s="82" t="s">
        <v>963</v>
      </c>
      <c r="B268" s="82" t="s">
        <v>248</v>
      </c>
      <c r="C268" s="82" t="s">
        <v>552</v>
      </c>
      <c r="D268" s="83" t="s">
        <v>441</v>
      </c>
      <c r="E268" s="84" t="s">
        <v>573</v>
      </c>
      <c r="F268" s="84" t="s">
        <v>639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5">
      <c r="A269" s="82" t="s">
        <v>964</v>
      </c>
      <c r="B269" s="82" t="s">
        <v>342</v>
      </c>
      <c r="C269" s="82" t="s">
        <v>561</v>
      </c>
      <c r="D269" s="83" t="s">
        <v>434</v>
      </c>
      <c r="E269" s="84" t="s">
        <v>559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5">
      <c r="A270" s="82" t="s">
        <v>965</v>
      </c>
      <c r="B270" s="82" t="s">
        <v>249</v>
      </c>
      <c r="C270" s="82" t="s">
        <v>552</v>
      </c>
      <c r="D270" s="83" t="s">
        <v>434</v>
      </c>
      <c r="E270" s="84" t="s">
        <v>553</v>
      </c>
      <c r="F270" s="84" t="s">
        <v>559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5">
      <c r="A271" s="82" t="s">
        <v>966</v>
      </c>
      <c r="B271" s="82" t="s">
        <v>293</v>
      </c>
      <c r="C271" s="82" t="s">
        <v>586</v>
      </c>
      <c r="D271" s="83" t="s">
        <v>434</v>
      </c>
      <c r="E271" s="84" t="s">
        <v>559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5">
      <c r="A272" s="82" t="s">
        <v>967</v>
      </c>
      <c r="B272" s="82" t="s">
        <v>286</v>
      </c>
      <c r="C272" s="82" t="s">
        <v>586</v>
      </c>
      <c r="D272" s="83" t="s">
        <v>434</v>
      </c>
      <c r="E272" s="84" t="s">
        <v>559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5">
      <c r="A273" s="82" t="s">
        <v>968</v>
      </c>
      <c r="B273" s="82" t="s">
        <v>333</v>
      </c>
      <c r="C273" s="82" t="s">
        <v>942</v>
      </c>
      <c r="D273" s="83" t="s">
        <v>434</v>
      </c>
      <c r="E273" s="84" t="s">
        <v>872</v>
      </c>
      <c r="F273" s="84" t="s">
        <v>639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5">
      <c r="A274" s="82" t="s">
        <v>969</v>
      </c>
      <c r="B274" s="82" t="s">
        <v>970</v>
      </c>
      <c r="C274" s="82" t="s">
        <v>586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5">
      <c r="A275" s="82" t="s">
        <v>971</v>
      </c>
      <c r="B275" s="82" t="s">
        <v>972</v>
      </c>
      <c r="C275" s="82" t="s">
        <v>561</v>
      </c>
      <c r="D275" s="83" t="s">
        <v>566</v>
      </c>
      <c r="E275" s="84" t="s">
        <v>872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5">
      <c r="A276" s="82" t="s">
        <v>973</v>
      </c>
      <c r="B276" s="82" t="s">
        <v>75</v>
      </c>
      <c r="C276" s="82" t="s">
        <v>561</v>
      </c>
      <c r="D276" s="83" t="s">
        <v>434</v>
      </c>
      <c r="E276" s="84" t="s">
        <v>627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5">
      <c r="A277" s="82" t="s">
        <v>974</v>
      </c>
      <c r="B277" s="82" t="s">
        <v>334</v>
      </c>
      <c r="C277" s="82" t="s">
        <v>942</v>
      </c>
      <c r="D277" s="83" t="s">
        <v>434</v>
      </c>
      <c r="E277" s="84" t="s">
        <v>872</v>
      </c>
      <c r="F277" s="84" t="s">
        <v>639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5">
      <c r="A278" s="82" t="s">
        <v>975</v>
      </c>
      <c r="B278" s="82" t="s">
        <v>371</v>
      </c>
      <c r="C278" s="82" t="s">
        <v>552</v>
      </c>
      <c r="D278" s="83" t="s">
        <v>606</v>
      </c>
      <c r="E278" s="84" t="s">
        <v>553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5">
      <c r="A279" s="82" t="s">
        <v>976</v>
      </c>
      <c r="B279" s="82" t="s">
        <v>370</v>
      </c>
      <c r="C279" s="82" t="s">
        <v>638</v>
      </c>
      <c r="D279" s="83" t="s">
        <v>606</v>
      </c>
      <c r="E279" s="84" t="s">
        <v>568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5">
      <c r="A280" s="82" t="s">
        <v>977</v>
      </c>
      <c r="B280" s="82" t="s">
        <v>384</v>
      </c>
      <c r="C280" s="82" t="s">
        <v>594</v>
      </c>
      <c r="D280" s="83" t="s">
        <v>618</v>
      </c>
      <c r="E280" s="84" t="s">
        <v>559</v>
      </c>
      <c r="F280" s="84" t="s">
        <v>613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5">
      <c r="A281" s="82" t="s">
        <v>978</v>
      </c>
      <c r="B281" s="82" t="s">
        <v>349</v>
      </c>
      <c r="C281" s="82" t="s">
        <v>552</v>
      </c>
      <c r="D281" s="83" t="s">
        <v>434</v>
      </c>
      <c r="E281" s="84" t="s">
        <v>559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5">
      <c r="A282" s="82" t="s">
        <v>979</v>
      </c>
      <c r="B282" s="82" t="s">
        <v>980</v>
      </c>
      <c r="C282" s="82" t="s">
        <v>594</v>
      </c>
      <c r="D282" s="83" t="s">
        <v>434</v>
      </c>
      <c r="E282" s="84" t="s">
        <v>559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5">
      <c r="A283" s="82" t="s">
        <v>981</v>
      </c>
      <c r="B283" s="82" t="s">
        <v>394</v>
      </c>
      <c r="C283" s="82" t="s">
        <v>594</v>
      </c>
      <c r="D283" s="83" t="s">
        <v>434</v>
      </c>
      <c r="E283" s="84" t="s">
        <v>627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5">
      <c r="A284" s="82" t="s">
        <v>982</v>
      </c>
      <c r="B284" s="82" t="s">
        <v>335</v>
      </c>
      <c r="C284" s="82" t="s">
        <v>942</v>
      </c>
      <c r="D284" s="83" t="s">
        <v>434</v>
      </c>
      <c r="E284" s="84" t="s">
        <v>559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5">
      <c r="A285" s="82" t="s">
        <v>983</v>
      </c>
      <c r="B285" s="82" t="s">
        <v>145</v>
      </c>
      <c r="C285" s="82" t="s">
        <v>561</v>
      </c>
      <c r="D285" s="83" t="s">
        <v>434</v>
      </c>
      <c r="E285" s="84" t="s">
        <v>613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5">
      <c r="A286" s="82" t="s">
        <v>984</v>
      </c>
      <c r="B286" s="82" t="s">
        <v>336</v>
      </c>
      <c r="C286" s="82" t="s">
        <v>942</v>
      </c>
      <c r="D286" s="83" t="s">
        <v>434</v>
      </c>
      <c r="E286" s="84" t="s">
        <v>872</v>
      </c>
      <c r="F286" s="84" t="s">
        <v>639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5">
      <c r="A287" s="82" t="s">
        <v>985</v>
      </c>
      <c r="B287" s="82" t="s">
        <v>101</v>
      </c>
      <c r="C287" s="82" t="s">
        <v>561</v>
      </c>
      <c r="D287" s="83" t="s">
        <v>434</v>
      </c>
      <c r="E287" s="84" t="s">
        <v>559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5">
      <c r="A288" s="82" t="s">
        <v>986</v>
      </c>
      <c r="B288" s="82" t="s">
        <v>356</v>
      </c>
      <c r="C288" s="82" t="s">
        <v>561</v>
      </c>
      <c r="D288" s="83" t="s">
        <v>434</v>
      </c>
      <c r="E288" s="84" t="s">
        <v>553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5">
      <c r="A289" s="82" t="s">
        <v>987</v>
      </c>
      <c r="B289" s="82" t="s">
        <v>312</v>
      </c>
      <c r="C289" s="82" t="s">
        <v>561</v>
      </c>
      <c r="D289" s="83" t="s">
        <v>434</v>
      </c>
      <c r="E289" s="84" t="s">
        <v>553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5">
      <c r="A290" s="82" t="s">
        <v>988</v>
      </c>
      <c r="B290" s="82" t="s">
        <v>989</v>
      </c>
      <c r="C290" s="82" t="s">
        <v>561</v>
      </c>
      <c r="D290" s="83" t="s">
        <v>434</v>
      </c>
      <c r="E290" s="84" t="s">
        <v>553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5">
      <c r="A291" s="82" t="s">
        <v>990</v>
      </c>
      <c r="B291" s="82" t="s">
        <v>146</v>
      </c>
      <c r="C291" s="82" t="s">
        <v>561</v>
      </c>
      <c r="D291" s="83" t="s">
        <v>434</v>
      </c>
      <c r="E291" s="84" t="s">
        <v>613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5">
      <c r="A292" s="82" t="s">
        <v>991</v>
      </c>
      <c r="B292" s="82" t="s">
        <v>279</v>
      </c>
      <c r="C292" s="82" t="s">
        <v>594</v>
      </c>
      <c r="D292" s="83" t="s">
        <v>434</v>
      </c>
      <c r="E292" s="84" t="s">
        <v>559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5">
      <c r="A293" s="82" t="s">
        <v>992</v>
      </c>
      <c r="B293" s="82" t="s">
        <v>383</v>
      </c>
      <c r="C293" s="82" t="s">
        <v>594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5">
      <c r="A294" s="82" t="s">
        <v>993</v>
      </c>
      <c r="B294" s="82" t="s">
        <v>147</v>
      </c>
      <c r="C294" s="82" t="s">
        <v>561</v>
      </c>
      <c r="D294" s="83" t="s">
        <v>434</v>
      </c>
      <c r="E294" s="84" t="s">
        <v>553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589</v>
      </c>
    </row>
    <row r="295" spans="1:10" x14ac:dyDescent="0.25">
      <c r="A295" s="82" t="s">
        <v>994</v>
      </c>
      <c r="B295" s="82" t="s">
        <v>51</v>
      </c>
      <c r="C295" s="82" t="s">
        <v>861</v>
      </c>
      <c r="D295" s="83" t="s">
        <v>434</v>
      </c>
      <c r="E295" s="84" t="s">
        <v>559</v>
      </c>
      <c r="F295" s="84" t="s">
        <v>613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5">
      <c r="A296" s="82" t="s">
        <v>995</v>
      </c>
      <c r="B296" s="82" t="s">
        <v>50</v>
      </c>
      <c r="C296" s="82" t="s">
        <v>861</v>
      </c>
      <c r="D296" s="83" t="s">
        <v>434</v>
      </c>
      <c r="E296" s="84" t="s">
        <v>559</v>
      </c>
      <c r="F296" s="84" t="s">
        <v>613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5">
      <c r="A297" s="82" t="s">
        <v>996</v>
      </c>
      <c r="B297" s="82" t="s">
        <v>49</v>
      </c>
      <c r="C297" s="82" t="s">
        <v>861</v>
      </c>
      <c r="D297" s="83" t="s">
        <v>434</v>
      </c>
      <c r="E297" s="84" t="s">
        <v>559</v>
      </c>
      <c r="F297" s="84" t="s">
        <v>613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5">
      <c r="A298" s="82" t="s">
        <v>997</v>
      </c>
      <c r="B298" s="82" t="s">
        <v>998</v>
      </c>
      <c r="C298" s="82" t="s">
        <v>913</v>
      </c>
      <c r="D298" s="83" t="s">
        <v>587</v>
      </c>
      <c r="E298" s="84" t="s">
        <v>559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589</v>
      </c>
    </row>
    <row r="299" spans="1:10" x14ac:dyDescent="0.25">
      <c r="A299" s="82" t="s">
        <v>999</v>
      </c>
      <c r="B299" s="82" t="s">
        <v>142</v>
      </c>
      <c r="C299" s="82" t="s">
        <v>594</v>
      </c>
      <c r="D299" s="83" t="s">
        <v>434</v>
      </c>
      <c r="E299" s="84" t="s">
        <v>559</v>
      </c>
      <c r="F299" s="84" t="s">
        <v>608</v>
      </c>
      <c r="G299" s="85" t="s">
        <v>437</v>
      </c>
      <c r="H299" s="85" t="s">
        <v>437</v>
      </c>
      <c r="I299" s="82" t="s">
        <v>431</v>
      </c>
      <c r="J299" s="86" t="s">
        <v>589</v>
      </c>
    </row>
    <row r="300" spans="1:10" x14ac:dyDescent="0.25">
      <c r="A300" s="82" t="s">
        <v>1000</v>
      </c>
      <c r="B300" s="82" t="s">
        <v>135</v>
      </c>
      <c r="C300" s="82" t="s">
        <v>594</v>
      </c>
      <c r="D300" s="83" t="s">
        <v>434</v>
      </c>
      <c r="E300" s="84" t="s">
        <v>553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5">
      <c r="A301" s="82" t="s">
        <v>1001</v>
      </c>
      <c r="B301" s="82" t="s">
        <v>143</v>
      </c>
      <c r="C301" s="82" t="s">
        <v>594</v>
      </c>
      <c r="D301" s="83" t="s">
        <v>434</v>
      </c>
      <c r="E301" s="84" t="s">
        <v>553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589</v>
      </c>
    </row>
    <row r="302" spans="1:10" x14ac:dyDescent="0.25">
      <c r="A302" s="82" t="s">
        <v>1002</v>
      </c>
      <c r="B302" s="82" t="s">
        <v>144</v>
      </c>
      <c r="C302" s="82" t="s">
        <v>594</v>
      </c>
      <c r="D302" s="83" t="s">
        <v>434</v>
      </c>
      <c r="E302" s="84" t="s">
        <v>553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589</v>
      </c>
    </row>
    <row r="303" spans="1:10" x14ac:dyDescent="0.25">
      <c r="A303" s="82" t="s">
        <v>1003</v>
      </c>
      <c r="B303" s="82" t="s">
        <v>126</v>
      </c>
      <c r="C303" s="82" t="s">
        <v>561</v>
      </c>
      <c r="D303" s="83" t="s">
        <v>566</v>
      </c>
      <c r="E303" s="84" t="s">
        <v>608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5">
      <c r="A304" s="82" t="s">
        <v>1004</v>
      </c>
      <c r="B304" s="82" t="s">
        <v>317</v>
      </c>
      <c r="C304" s="82" t="s">
        <v>594</v>
      </c>
      <c r="D304" s="83" t="s">
        <v>566</v>
      </c>
      <c r="E304" s="84" t="s">
        <v>613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5">
      <c r="A305" s="82" t="s">
        <v>1005</v>
      </c>
      <c r="B305" s="82" t="s">
        <v>150</v>
      </c>
      <c r="C305" s="82" t="s">
        <v>594</v>
      </c>
      <c r="D305" s="83" t="s">
        <v>566</v>
      </c>
      <c r="E305" s="84" t="s">
        <v>613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5">
      <c r="A306" s="82" t="s">
        <v>1006</v>
      </c>
      <c r="B306" s="82" t="s">
        <v>152</v>
      </c>
      <c r="C306" s="82" t="s">
        <v>594</v>
      </c>
      <c r="D306" s="83" t="s">
        <v>434</v>
      </c>
      <c r="E306" s="84" t="s">
        <v>613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5">
      <c r="A307" s="82" t="s">
        <v>1007</v>
      </c>
      <c r="B307" s="82" t="s">
        <v>318</v>
      </c>
      <c r="C307" s="82" t="s">
        <v>594</v>
      </c>
      <c r="D307" s="83" t="s">
        <v>566</v>
      </c>
      <c r="E307" s="84" t="s">
        <v>613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5">
      <c r="A308" s="82" t="s">
        <v>1008</v>
      </c>
      <c r="B308" s="82" t="s">
        <v>337</v>
      </c>
      <c r="C308" s="82" t="s">
        <v>942</v>
      </c>
      <c r="D308" s="83" t="s">
        <v>434</v>
      </c>
      <c r="E308" s="84" t="s">
        <v>559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5">
      <c r="A309" s="82" t="s">
        <v>1009</v>
      </c>
      <c r="B309" s="82" t="s">
        <v>346</v>
      </c>
      <c r="C309" s="82" t="s">
        <v>561</v>
      </c>
      <c r="D309" s="83" t="s">
        <v>434</v>
      </c>
      <c r="E309" s="84" t="s">
        <v>627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5">
      <c r="A310" s="82" t="s">
        <v>1010</v>
      </c>
      <c r="B310" s="82" t="s">
        <v>250</v>
      </c>
      <c r="C310" s="82" t="s">
        <v>594</v>
      </c>
      <c r="D310" s="83" t="s">
        <v>434</v>
      </c>
      <c r="E310" s="84" t="s">
        <v>559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5">
      <c r="A311" s="82" t="s">
        <v>1011</v>
      </c>
      <c r="B311" s="82" t="s">
        <v>1012</v>
      </c>
      <c r="C311" s="82" t="s">
        <v>942</v>
      </c>
      <c r="D311" s="83" t="s">
        <v>434</v>
      </c>
      <c r="E311" s="84" t="s">
        <v>559</v>
      </c>
      <c r="F311" s="84" t="s">
        <v>627</v>
      </c>
      <c r="G311" s="85" t="s">
        <v>437</v>
      </c>
      <c r="H311" s="85" t="s">
        <v>437</v>
      </c>
      <c r="I311" s="82" t="s">
        <v>431</v>
      </c>
      <c r="J311" s="86" t="s">
        <v>589</v>
      </c>
    </row>
    <row r="312" spans="1:10" x14ac:dyDescent="0.25">
      <c r="A312" s="82" t="s">
        <v>1013</v>
      </c>
      <c r="B312" s="82" t="s">
        <v>102</v>
      </c>
      <c r="C312" s="82" t="s">
        <v>561</v>
      </c>
      <c r="D312" s="83" t="s">
        <v>434</v>
      </c>
      <c r="E312" s="84" t="s">
        <v>559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5">
      <c r="A313" s="82" t="s">
        <v>1014</v>
      </c>
      <c r="B313" s="82" t="s">
        <v>397</v>
      </c>
      <c r="C313" s="82" t="s">
        <v>594</v>
      </c>
      <c r="D313" s="83" t="s">
        <v>618</v>
      </c>
      <c r="E313" s="84" t="s">
        <v>559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5">
      <c r="A314" s="82" t="s">
        <v>1015</v>
      </c>
      <c r="B314" s="82" t="s">
        <v>338</v>
      </c>
      <c r="C314" s="82" t="s">
        <v>942</v>
      </c>
      <c r="D314" s="83" t="s">
        <v>434</v>
      </c>
      <c r="E314" s="84" t="s">
        <v>559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5">
      <c r="A315" s="82" t="s">
        <v>1016</v>
      </c>
      <c r="B315" s="82" t="s">
        <v>1017</v>
      </c>
      <c r="C315" s="82" t="s">
        <v>561</v>
      </c>
      <c r="D315" s="83" t="s">
        <v>434</v>
      </c>
      <c r="E315" s="84" t="s">
        <v>553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589</v>
      </c>
    </row>
    <row r="316" spans="1:10" x14ac:dyDescent="0.25">
      <c r="A316" s="82" t="s">
        <v>1018</v>
      </c>
      <c r="B316" s="82" t="s">
        <v>314</v>
      </c>
      <c r="C316" s="82" t="s">
        <v>586</v>
      </c>
      <c r="D316" s="83" t="s">
        <v>434</v>
      </c>
      <c r="E316" s="84" t="s">
        <v>573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5">
      <c r="A317" s="82" t="s">
        <v>1019</v>
      </c>
      <c r="B317" s="82" t="s">
        <v>291</v>
      </c>
      <c r="C317" s="82" t="s">
        <v>586</v>
      </c>
      <c r="D317" s="83" t="s">
        <v>434</v>
      </c>
      <c r="E317" s="84" t="s">
        <v>573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5">
      <c r="A318" s="82" t="s">
        <v>1020</v>
      </c>
      <c r="B318" s="82" t="s">
        <v>303</v>
      </c>
      <c r="C318" s="82" t="s">
        <v>586</v>
      </c>
      <c r="D318" s="83" t="s">
        <v>434</v>
      </c>
      <c r="E318" s="84" t="s">
        <v>573</v>
      </c>
      <c r="F318" s="84" t="s">
        <v>639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5">
      <c r="A319" s="82" t="s">
        <v>1021</v>
      </c>
      <c r="B319" s="82" t="s">
        <v>1022</v>
      </c>
      <c r="C319" s="82" t="s">
        <v>586</v>
      </c>
      <c r="D319" s="83" t="s">
        <v>434</v>
      </c>
      <c r="E319" s="84" t="s">
        <v>573</v>
      </c>
      <c r="F319" s="84" t="s">
        <v>639</v>
      </c>
      <c r="G319" s="85" t="s">
        <v>437</v>
      </c>
      <c r="H319" s="85" t="s">
        <v>437</v>
      </c>
      <c r="I319" s="82" t="s">
        <v>431</v>
      </c>
      <c r="J319" s="86" t="s">
        <v>589</v>
      </c>
    </row>
    <row r="320" spans="1:10" x14ac:dyDescent="0.25">
      <c r="A320" s="82" t="s">
        <v>1023</v>
      </c>
      <c r="B320" s="82" t="s">
        <v>289</v>
      </c>
      <c r="C320" s="82" t="s">
        <v>586</v>
      </c>
      <c r="D320" s="83" t="s">
        <v>434</v>
      </c>
      <c r="E320" s="84" t="s">
        <v>573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5">
      <c r="A321" s="82" t="s">
        <v>1024</v>
      </c>
      <c r="B321" s="82" t="s">
        <v>297</v>
      </c>
      <c r="C321" s="82" t="s">
        <v>586</v>
      </c>
      <c r="D321" s="83" t="s">
        <v>434</v>
      </c>
      <c r="E321" s="84" t="s">
        <v>573</v>
      </c>
      <c r="F321" s="84" t="s">
        <v>639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5">
      <c r="A322" s="82" t="s">
        <v>1025</v>
      </c>
      <c r="B322" s="82" t="s">
        <v>294</v>
      </c>
      <c r="C322" s="82" t="s">
        <v>586</v>
      </c>
      <c r="D322" s="83" t="s">
        <v>434</v>
      </c>
      <c r="E322" s="84" t="s">
        <v>573</v>
      </c>
      <c r="F322" s="84" t="s">
        <v>639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5">
      <c r="A323" s="82" t="s">
        <v>1026</v>
      </c>
      <c r="B323" s="82" t="s">
        <v>292</v>
      </c>
      <c r="C323" s="82" t="s">
        <v>586</v>
      </c>
      <c r="D323" s="83" t="s">
        <v>434</v>
      </c>
      <c r="E323" s="84" t="s">
        <v>573</v>
      </c>
      <c r="F323" s="84" t="s">
        <v>639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5">
      <c r="A324" s="82" t="s">
        <v>1027</v>
      </c>
      <c r="B324" s="82" t="s">
        <v>302</v>
      </c>
      <c r="C324" s="82" t="s">
        <v>586</v>
      </c>
      <c r="D324" s="83" t="s">
        <v>434</v>
      </c>
      <c r="E324" s="84" t="s">
        <v>559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5">
      <c r="A325" s="82" t="s">
        <v>1028</v>
      </c>
      <c r="B325" s="82" t="s">
        <v>125</v>
      </c>
      <c r="C325" s="82" t="s">
        <v>561</v>
      </c>
      <c r="D325" s="83" t="s">
        <v>566</v>
      </c>
      <c r="E325" s="84" t="s">
        <v>608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5">
      <c r="A326" s="82" t="s">
        <v>1029</v>
      </c>
      <c r="B326" s="82" t="s">
        <v>339</v>
      </c>
      <c r="C326" s="82" t="s">
        <v>942</v>
      </c>
      <c r="D326" s="83" t="s">
        <v>434</v>
      </c>
      <c r="E326" s="84" t="s">
        <v>559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5">
      <c r="A327" s="82" t="s">
        <v>1030</v>
      </c>
      <c r="B327" s="82" t="s">
        <v>305</v>
      </c>
      <c r="C327" s="82" t="s">
        <v>586</v>
      </c>
      <c r="D327" s="83" t="s">
        <v>434</v>
      </c>
      <c r="E327" s="84" t="s">
        <v>796</v>
      </c>
      <c r="F327" s="84" t="s">
        <v>591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5">
      <c r="A328" s="82" t="s">
        <v>1031</v>
      </c>
      <c r="B328" s="82" t="s">
        <v>1032</v>
      </c>
      <c r="C328" s="82" t="s">
        <v>942</v>
      </c>
      <c r="D328" s="83" t="s">
        <v>434</v>
      </c>
      <c r="E328" s="84" t="s">
        <v>559</v>
      </c>
      <c r="F328" s="84" t="s">
        <v>627</v>
      </c>
      <c r="G328" s="85" t="s">
        <v>437</v>
      </c>
      <c r="H328" s="85" t="s">
        <v>437</v>
      </c>
      <c r="I328" s="82" t="s">
        <v>431</v>
      </c>
      <c r="J328" s="86" t="s">
        <v>589</v>
      </c>
    </row>
    <row r="329" spans="1:10" x14ac:dyDescent="0.25">
      <c r="A329" s="82" t="s">
        <v>1033</v>
      </c>
      <c r="B329" s="82" t="s">
        <v>1034</v>
      </c>
      <c r="C329" s="82" t="s">
        <v>942</v>
      </c>
      <c r="D329" s="83" t="s">
        <v>434</v>
      </c>
      <c r="E329" s="84" t="s">
        <v>1035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5">
      <c r="A330" s="82" t="s">
        <v>1036</v>
      </c>
      <c r="B330" s="82" t="s">
        <v>1037</v>
      </c>
      <c r="C330" s="82" t="s">
        <v>942</v>
      </c>
      <c r="D330" s="83" t="s">
        <v>434</v>
      </c>
      <c r="E330" s="84" t="s">
        <v>559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5">
      <c r="A331" s="82" t="s">
        <v>1038</v>
      </c>
      <c r="B331" s="82" t="s">
        <v>1039</v>
      </c>
      <c r="C331" s="82" t="s">
        <v>942</v>
      </c>
      <c r="D331" s="83" t="s">
        <v>434</v>
      </c>
      <c r="E331" s="84" t="s">
        <v>559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5">
      <c r="A332" s="82" t="s">
        <v>1040</v>
      </c>
      <c r="B332" s="82" t="s">
        <v>340</v>
      </c>
      <c r="C332" s="82" t="s">
        <v>942</v>
      </c>
      <c r="D332" s="83" t="s">
        <v>434</v>
      </c>
      <c r="E332" s="84" t="s">
        <v>559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5">
      <c r="A333" s="82" t="s">
        <v>1041</v>
      </c>
      <c r="B333" s="82" t="s">
        <v>1042</v>
      </c>
      <c r="C333" s="82" t="s">
        <v>561</v>
      </c>
      <c r="D333" s="83" t="s">
        <v>434</v>
      </c>
      <c r="E333" s="84" t="s">
        <v>559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5">
      <c r="A334" s="82" t="s">
        <v>1043</v>
      </c>
      <c r="B334" s="82" t="s">
        <v>1044</v>
      </c>
      <c r="C334" s="82" t="s">
        <v>561</v>
      </c>
      <c r="D334" s="83" t="s">
        <v>434</v>
      </c>
      <c r="E334" s="84" t="s">
        <v>627</v>
      </c>
      <c r="F334" s="84" t="s">
        <v>435</v>
      </c>
      <c r="G334" s="85" t="s">
        <v>437</v>
      </c>
      <c r="H334" s="85" t="s">
        <v>437</v>
      </c>
      <c r="I334" s="82" t="s">
        <v>1045</v>
      </c>
      <c r="J334" s="86" t="s">
        <v>438</v>
      </c>
    </row>
    <row r="335" spans="1:10" x14ac:dyDescent="0.25">
      <c r="A335" s="82" t="s">
        <v>1046</v>
      </c>
      <c r="B335" s="82" t="s">
        <v>1047</v>
      </c>
      <c r="C335" s="82" t="s">
        <v>561</v>
      </c>
      <c r="D335" s="83" t="s">
        <v>434</v>
      </c>
      <c r="E335" s="84" t="s">
        <v>559</v>
      </c>
      <c r="F335" s="84" t="s">
        <v>1048</v>
      </c>
      <c r="G335" s="85" t="s">
        <v>437</v>
      </c>
      <c r="H335" s="85" t="s">
        <v>437</v>
      </c>
      <c r="I335" s="82" t="s">
        <v>431</v>
      </c>
      <c r="J335" s="86" t="s">
        <v>589</v>
      </c>
    </row>
    <row r="336" spans="1:10" x14ac:dyDescent="0.25">
      <c r="A336" s="82" t="s">
        <v>1049</v>
      </c>
      <c r="B336" s="82" t="s">
        <v>1050</v>
      </c>
      <c r="C336" s="82" t="s">
        <v>561</v>
      </c>
      <c r="D336" s="83" t="s">
        <v>434</v>
      </c>
      <c r="E336" s="84" t="s">
        <v>627</v>
      </c>
      <c r="F336" s="84" t="s">
        <v>608</v>
      </c>
      <c r="G336" s="85" t="s">
        <v>437</v>
      </c>
      <c r="H336" s="85" t="s">
        <v>437</v>
      </c>
      <c r="I336" s="82" t="s">
        <v>1045</v>
      </c>
      <c r="J336" s="86" t="s">
        <v>438</v>
      </c>
    </row>
    <row r="337" spans="1:10" x14ac:dyDescent="0.25">
      <c r="A337" s="82" t="s">
        <v>1051</v>
      </c>
      <c r="B337" s="82" t="s">
        <v>1052</v>
      </c>
      <c r="C337" s="82" t="s">
        <v>561</v>
      </c>
      <c r="D337" s="83" t="s">
        <v>434</v>
      </c>
      <c r="E337" s="84" t="s">
        <v>627</v>
      </c>
      <c r="F337" s="84" t="s">
        <v>608</v>
      </c>
      <c r="G337" s="85" t="s">
        <v>437</v>
      </c>
      <c r="H337" s="85" t="s">
        <v>437</v>
      </c>
      <c r="I337" s="82" t="s">
        <v>1045</v>
      </c>
      <c r="J337" s="86" t="s">
        <v>438</v>
      </c>
    </row>
    <row r="338" spans="1:10" x14ac:dyDescent="0.25">
      <c r="A338" s="82" t="s">
        <v>1053</v>
      </c>
      <c r="B338" s="82" t="s">
        <v>1054</v>
      </c>
      <c r="C338" s="82" t="s">
        <v>561</v>
      </c>
      <c r="D338" s="83" t="s">
        <v>434</v>
      </c>
      <c r="E338" s="84" t="s">
        <v>627</v>
      </c>
      <c r="F338" s="84" t="s">
        <v>608</v>
      </c>
      <c r="G338" s="85" t="s">
        <v>437</v>
      </c>
      <c r="H338" s="85" t="s">
        <v>437</v>
      </c>
      <c r="I338" s="82" t="s">
        <v>1045</v>
      </c>
      <c r="J338" s="86" t="s">
        <v>438</v>
      </c>
    </row>
    <row r="339" spans="1:10" x14ac:dyDescent="0.25">
      <c r="A339" s="82" t="s">
        <v>1055</v>
      </c>
      <c r="B339" s="82" t="s">
        <v>1056</v>
      </c>
      <c r="C339" s="82" t="s">
        <v>552</v>
      </c>
      <c r="D339" s="83" t="s">
        <v>434</v>
      </c>
      <c r="E339" s="84" t="s">
        <v>457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5">
      <c r="A340" s="82" t="s">
        <v>1057</v>
      </c>
      <c r="B340" s="82" t="s">
        <v>1058</v>
      </c>
      <c r="C340" s="82" t="s">
        <v>586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5">
      <c r="A341" s="82" t="s">
        <v>1059</v>
      </c>
      <c r="B341" s="82" t="s">
        <v>385</v>
      </c>
      <c r="C341" s="82" t="s">
        <v>594</v>
      </c>
      <c r="D341" s="83" t="s">
        <v>434</v>
      </c>
      <c r="E341" s="84" t="s">
        <v>453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5">
      <c r="A342" s="82" t="s">
        <v>1060</v>
      </c>
      <c r="B342" s="82" t="s">
        <v>1061</v>
      </c>
      <c r="C342" s="82" t="s">
        <v>942</v>
      </c>
      <c r="D342" s="83" t="s">
        <v>434</v>
      </c>
      <c r="E342" s="84" t="s">
        <v>872</v>
      </c>
      <c r="F342" s="84" t="s">
        <v>639</v>
      </c>
      <c r="G342" s="85" t="s">
        <v>437</v>
      </c>
      <c r="H342" s="85" t="s">
        <v>437</v>
      </c>
      <c r="I342" s="82" t="s">
        <v>431</v>
      </c>
      <c r="J342" s="86" t="s">
        <v>589</v>
      </c>
    </row>
    <row r="343" spans="1:10" x14ac:dyDescent="0.25">
      <c r="A343" s="82" t="s">
        <v>1062</v>
      </c>
      <c r="B343" s="82" t="s">
        <v>350</v>
      </c>
      <c r="C343" s="82" t="s">
        <v>561</v>
      </c>
      <c r="D343" s="83" t="s">
        <v>566</v>
      </c>
      <c r="E343" s="84" t="s">
        <v>559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5">
      <c r="A344" s="82" t="s">
        <v>1063</v>
      </c>
      <c r="B344" s="82" t="s">
        <v>1064</v>
      </c>
      <c r="C344" s="82" t="s">
        <v>586</v>
      </c>
      <c r="D344" s="83" t="s">
        <v>434</v>
      </c>
      <c r="E344" s="84" t="s">
        <v>573</v>
      </c>
      <c r="F344" s="84" t="s">
        <v>639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5">
      <c r="A345" s="82" t="s">
        <v>1065</v>
      </c>
      <c r="B345" s="82" t="s">
        <v>1066</v>
      </c>
      <c r="C345" s="82" t="s">
        <v>586</v>
      </c>
      <c r="D345" s="83" t="s">
        <v>434</v>
      </c>
      <c r="E345" s="84" t="s">
        <v>559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5">
      <c r="A346" s="82" t="s">
        <v>1067</v>
      </c>
      <c r="B346" s="82" t="s">
        <v>1068</v>
      </c>
      <c r="C346" s="82" t="s">
        <v>594</v>
      </c>
      <c r="D346" s="83" t="s">
        <v>566</v>
      </c>
      <c r="E346" s="84" t="s">
        <v>613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5">
      <c r="A347" s="82" t="s">
        <v>1069</v>
      </c>
      <c r="B347" s="82" t="s">
        <v>151</v>
      </c>
      <c r="C347" s="82" t="s">
        <v>594</v>
      </c>
      <c r="D347" s="83" t="s">
        <v>566</v>
      </c>
      <c r="E347" s="84" t="s">
        <v>613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5">
      <c r="A348" s="82" t="s">
        <v>1070</v>
      </c>
      <c r="B348" s="82" t="s">
        <v>1071</v>
      </c>
      <c r="C348" s="82" t="s">
        <v>942</v>
      </c>
      <c r="D348" s="83" t="s">
        <v>434</v>
      </c>
      <c r="E348" s="84" t="s">
        <v>553</v>
      </c>
      <c r="F348" s="84" t="s">
        <v>613</v>
      </c>
      <c r="G348" s="85" t="s">
        <v>437</v>
      </c>
      <c r="H348" s="85" t="s">
        <v>437</v>
      </c>
      <c r="I348" s="82" t="s">
        <v>431</v>
      </c>
      <c r="J348" s="86" t="s">
        <v>589</v>
      </c>
    </row>
    <row r="349" spans="1:10" x14ac:dyDescent="0.25">
      <c r="A349" s="82" t="s">
        <v>1072</v>
      </c>
      <c r="B349" s="82" t="s">
        <v>315</v>
      </c>
      <c r="C349" s="82" t="s">
        <v>586</v>
      </c>
      <c r="D349" s="83" t="s">
        <v>434</v>
      </c>
      <c r="E349" s="84" t="s">
        <v>890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5">
      <c r="A350" s="82" t="s">
        <v>1073</v>
      </c>
      <c r="B350" s="82" t="s">
        <v>179</v>
      </c>
      <c r="C350" s="82" t="s">
        <v>552</v>
      </c>
      <c r="D350" s="83" t="s">
        <v>606</v>
      </c>
      <c r="E350" s="84" t="s">
        <v>559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5">
      <c r="A351" s="82" t="s">
        <v>1074</v>
      </c>
      <c r="B351" s="82" t="s">
        <v>323</v>
      </c>
      <c r="C351" s="82" t="s">
        <v>586</v>
      </c>
      <c r="D351" s="83" t="s">
        <v>434</v>
      </c>
      <c r="E351" s="84" t="s">
        <v>890</v>
      </c>
      <c r="F351" s="84" t="s">
        <v>890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5">
      <c r="A352" s="82" t="s">
        <v>1075</v>
      </c>
      <c r="B352" s="82" t="s">
        <v>144</v>
      </c>
      <c r="C352" s="82" t="s">
        <v>594</v>
      </c>
      <c r="D352" s="83" t="s">
        <v>566</v>
      </c>
      <c r="E352" s="84" t="s">
        <v>559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5">
      <c r="A353" s="82" t="s">
        <v>1076</v>
      </c>
      <c r="B353" s="82" t="s">
        <v>1077</v>
      </c>
      <c r="C353" s="82" t="s">
        <v>594</v>
      </c>
      <c r="D353" s="83" t="s">
        <v>566</v>
      </c>
      <c r="E353" s="84" t="s">
        <v>559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5">
      <c r="A354" s="82" t="s">
        <v>1078</v>
      </c>
      <c r="B354" s="82" t="s">
        <v>377</v>
      </c>
      <c r="C354" s="82" t="s">
        <v>886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887</v>
      </c>
      <c r="J354" s="86" t="s">
        <v>438</v>
      </c>
    </row>
    <row r="355" spans="1:10" x14ac:dyDescent="0.25">
      <c r="A355" s="82" t="s">
        <v>1079</v>
      </c>
      <c r="B355" s="82" t="s">
        <v>1080</v>
      </c>
      <c r="C355" s="82" t="s">
        <v>561</v>
      </c>
      <c r="D355" s="83" t="s">
        <v>434</v>
      </c>
      <c r="E355" s="84" t="s">
        <v>559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5">
      <c r="A356" s="82" t="s">
        <v>1081</v>
      </c>
      <c r="B356" s="82" t="s">
        <v>386</v>
      </c>
      <c r="C356" s="82" t="s">
        <v>594</v>
      </c>
      <c r="D356" s="83" t="s">
        <v>434</v>
      </c>
      <c r="E356" s="84" t="s">
        <v>568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5">
      <c r="A357" s="82" t="s">
        <v>1082</v>
      </c>
      <c r="B357" s="82" t="s">
        <v>1083</v>
      </c>
      <c r="C357" s="82" t="s">
        <v>586</v>
      </c>
      <c r="D357" s="83" t="s">
        <v>434</v>
      </c>
      <c r="E357" s="84" t="s">
        <v>553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589</v>
      </c>
    </row>
    <row r="358" spans="1:10" x14ac:dyDescent="0.25">
      <c r="A358" s="82" t="s">
        <v>1084</v>
      </c>
      <c r="B358" s="82" t="s">
        <v>295</v>
      </c>
      <c r="C358" s="82" t="s">
        <v>586</v>
      </c>
      <c r="D358" s="83" t="s">
        <v>434</v>
      </c>
      <c r="E358" s="84" t="s">
        <v>573</v>
      </c>
      <c r="F358" s="84" t="s">
        <v>639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5">
      <c r="A359" s="82" t="s">
        <v>1085</v>
      </c>
      <c r="B359" s="82" t="s">
        <v>1086</v>
      </c>
      <c r="C359" s="82" t="s">
        <v>886</v>
      </c>
      <c r="D359" s="83" t="s">
        <v>434</v>
      </c>
      <c r="E359" s="84" t="s">
        <v>553</v>
      </c>
      <c r="F359" s="84" t="s">
        <v>436</v>
      </c>
      <c r="G359" s="85" t="s">
        <v>437</v>
      </c>
      <c r="H359" s="85" t="s">
        <v>437</v>
      </c>
      <c r="I359" s="82" t="s">
        <v>887</v>
      </c>
      <c r="J359" s="86" t="s">
        <v>438</v>
      </c>
    </row>
    <row r="360" spans="1:10" x14ac:dyDescent="0.25">
      <c r="A360" s="82" t="s">
        <v>1087</v>
      </c>
      <c r="B360" s="82" t="s">
        <v>1088</v>
      </c>
      <c r="C360" s="82" t="s">
        <v>594</v>
      </c>
      <c r="D360" s="83" t="s">
        <v>434</v>
      </c>
      <c r="E360" s="84" t="s">
        <v>453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5">
      <c r="A361" s="82" t="s">
        <v>1089</v>
      </c>
      <c r="B361" s="82" t="s">
        <v>134</v>
      </c>
      <c r="C361" s="82" t="s">
        <v>594</v>
      </c>
      <c r="D361" s="83" t="s">
        <v>434</v>
      </c>
      <c r="E361" s="84" t="s">
        <v>608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5">
      <c r="A362" s="82" t="s">
        <v>1090</v>
      </c>
      <c r="B362" s="82" t="s">
        <v>1091</v>
      </c>
      <c r="C362" s="82" t="s">
        <v>594</v>
      </c>
      <c r="D362" s="83" t="s">
        <v>434</v>
      </c>
      <c r="E362" s="84" t="s">
        <v>457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5">
      <c r="A363" s="82" t="s">
        <v>1092</v>
      </c>
      <c r="B363" s="82" t="s">
        <v>1093</v>
      </c>
      <c r="C363" s="82" t="s">
        <v>594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5">
      <c r="A364" s="82" t="s">
        <v>1094</v>
      </c>
      <c r="B364" s="82" t="s">
        <v>1095</v>
      </c>
      <c r="C364" s="82" t="s">
        <v>561</v>
      </c>
      <c r="D364" s="83" t="s">
        <v>434</v>
      </c>
      <c r="E364" s="84" t="s">
        <v>559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5">
      <c r="A365" s="82" t="s">
        <v>1096</v>
      </c>
      <c r="B365" s="82" t="s">
        <v>25</v>
      </c>
      <c r="C365" s="82" t="s">
        <v>586</v>
      </c>
      <c r="D365" s="83" t="s">
        <v>434</v>
      </c>
      <c r="E365" s="84" t="s">
        <v>591</v>
      </c>
      <c r="F365" s="84" t="s">
        <v>559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5">
      <c r="A366" s="82" t="s">
        <v>1097</v>
      </c>
      <c r="B366" s="82" t="s">
        <v>296</v>
      </c>
      <c r="C366" s="82" t="s">
        <v>586</v>
      </c>
      <c r="D366" s="83" t="s">
        <v>434</v>
      </c>
      <c r="E366" s="84" t="s">
        <v>559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5">
      <c r="A367" s="82" t="s">
        <v>1098</v>
      </c>
      <c r="B367" s="82" t="s">
        <v>413</v>
      </c>
      <c r="C367" s="82" t="s">
        <v>913</v>
      </c>
      <c r="D367" s="83" t="s">
        <v>434</v>
      </c>
      <c r="E367" s="84" t="s">
        <v>652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5">
      <c r="A368" s="82" t="s">
        <v>1099</v>
      </c>
      <c r="B368" s="82" t="s">
        <v>1100</v>
      </c>
      <c r="C368" s="82" t="s">
        <v>913</v>
      </c>
      <c r="D368" s="83" t="s">
        <v>434</v>
      </c>
      <c r="E368" s="84" t="s">
        <v>1101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5">
      <c r="A369" s="82" t="s">
        <v>1102</v>
      </c>
      <c r="B369" s="82" t="s">
        <v>1103</v>
      </c>
      <c r="C369" s="82" t="s">
        <v>913</v>
      </c>
      <c r="D369" s="83" t="s">
        <v>434</v>
      </c>
      <c r="E369" s="84" t="s">
        <v>872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5">
      <c r="A370" s="82" t="s">
        <v>1104</v>
      </c>
      <c r="B370" s="82" t="s">
        <v>1105</v>
      </c>
      <c r="C370" s="82" t="s">
        <v>913</v>
      </c>
      <c r="D370" s="83" t="s">
        <v>434</v>
      </c>
      <c r="E370" s="84" t="s">
        <v>1101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5">
      <c r="A371" s="82" t="s">
        <v>1106</v>
      </c>
      <c r="B371" s="82" t="s">
        <v>1107</v>
      </c>
      <c r="C371" s="82" t="s">
        <v>913</v>
      </c>
      <c r="D371" s="83" t="s">
        <v>434</v>
      </c>
      <c r="E371" s="84" t="s">
        <v>872</v>
      </c>
      <c r="F371" s="84" t="s">
        <v>1108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5">
      <c r="A372" s="82" t="s">
        <v>1109</v>
      </c>
      <c r="B372" s="82" t="s">
        <v>1110</v>
      </c>
      <c r="C372" s="82" t="s">
        <v>913</v>
      </c>
      <c r="D372" s="83" t="s">
        <v>434</v>
      </c>
      <c r="E372" s="84" t="s">
        <v>872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5">
      <c r="A373" s="82" t="s">
        <v>1111</v>
      </c>
      <c r="B373" s="82" t="s">
        <v>1112</v>
      </c>
      <c r="C373" s="82" t="s">
        <v>913</v>
      </c>
      <c r="D373" s="83" t="s">
        <v>434</v>
      </c>
      <c r="E373" s="84" t="s">
        <v>872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5">
      <c r="A374" s="82" t="s">
        <v>1113</v>
      </c>
      <c r="B374" s="82" t="s">
        <v>1114</v>
      </c>
      <c r="C374" s="82" t="s">
        <v>913</v>
      </c>
      <c r="D374" s="83" t="s">
        <v>434</v>
      </c>
      <c r="E374" s="84" t="s">
        <v>872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5">
      <c r="A375" s="82" t="s">
        <v>1115</v>
      </c>
      <c r="B375" s="82" t="s">
        <v>1116</v>
      </c>
      <c r="C375" s="82" t="s">
        <v>913</v>
      </c>
      <c r="D375" s="83" t="s">
        <v>434</v>
      </c>
      <c r="E375" s="84" t="s">
        <v>872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5">
      <c r="A376" s="82" t="s">
        <v>1117</v>
      </c>
      <c r="B376" s="82" t="s">
        <v>1118</v>
      </c>
      <c r="C376" s="82" t="s">
        <v>561</v>
      </c>
      <c r="D376" s="83" t="s">
        <v>434</v>
      </c>
      <c r="E376" s="84" t="s">
        <v>453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5">
      <c r="A377" s="82" t="s">
        <v>1119</v>
      </c>
      <c r="B377" s="82" t="s">
        <v>405</v>
      </c>
      <c r="C377" s="82" t="s">
        <v>552</v>
      </c>
      <c r="D377" s="83" t="s">
        <v>606</v>
      </c>
      <c r="E377" s="84" t="s">
        <v>559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5">
      <c r="A378" s="82" t="s">
        <v>1120</v>
      </c>
      <c r="B378" s="82" t="s">
        <v>412</v>
      </c>
      <c r="C378" s="82" t="s">
        <v>913</v>
      </c>
      <c r="D378" s="83" t="s">
        <v>587</v>
      </c>
      <c r="E378" s="84" t="s">
        <v>559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5">
      <c r="A379" s="82" t="s">
        <v>1121</v>
      </c>
      <c r="B379" s="82" t="s">
        <v>1122</v>
      </c>
      <c r="C379" s="82" t="s">
        <v>913</v>
      </c>
      <c r="D379" s="83" t="s">
        <v>434</v>
      </c>
      <c r="E379" s="84" t="s">
        <v>1101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5">
      <c r="A380" s="82" t="s">
        <v>1123</v>
      </c>
      <c r="B380" s="82" t="s">
        <v>1124</v>
      </c>
      <c r="C380" s="82" t="s">
        <v>913</v>
      </c>
      <c r="D380" s="83" t="s">
        <v>434</v>
      </c>
      <c r="E380" s="84" t="s">
        <v>1101</v>
      </c>
      <c r="F380" s="84" t="s">
        <v>1125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5">
      <c r="A381" s="82" t="s">
        <v>1126</v>
      </c>
      <c r="B381" s="82" t="s">
        <v>1127</v>
      </c>
      <c r="C381" s="82" t="s">
        <v>913</v>
      </c>
      <c r="D381" s="83" t="s">
        <v>434</v>
      </c>
      <c r="E381" s="84" t="s">
        <v>1101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5">
      <c r="A382" s="82" t="s">
        <v>1128</v>
      </c>
      <c r="B382" s="82" t="s">
        <v>1129</v>
      </c>
      <c r="C382" s="82" t="s">
        <v>913</v>
      </c>
      <c r="D382" s="83" t="s">
        <v>434</v>
      </c>
      <c r="E382" s="84" t="s">
        <v>1101</v>
      </c>
      <c r="F382" s="84" t="s">
        <v>1125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5">
      <c r="A383" s="82" t="s">
        <v>1130</v>
      </c>
      <c r="B383" s="82" t="s">
        <v>1131</v>
      </c>
      <c r="C383" s="82" t="s">
        <v>913</v>
      </c>
      <c r="D383" s="83" t="s">
        <v>434</v>
      </c>
      <c r="E383" s="84" t="s">
        <v>1101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5">
      <c r="A384" s="82" t="s">
        <v>1132</v>
      </c>
      <c r="B384" s="82" t="s">
        <v>178</v>
      </c>
      <c r="C384" s="82" t="s">
        <v>552</v>
      </c>
      <c r="D384" s="83" t="s">
        <v>606</v>
      </c>
      <c r="E384" s="84" t="s">
        <v>559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5">
      <c r="A385" s="82" t="s">
        <v>1133</v>
      </c>
      <c r="B385" s="82" t="s">
        <v>322</v>
      </c>
      <c r="C385" s="82" t="s">
        <v>586</v>
      </c>
      <c r="D385" s="83" t="s">
        <v>434</v>
      </c>
      <c r="E385" s="84" t="s">
        <v>573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5">
      <c r="A386" s="82" t="s">
        <v>1134</v>
      </c>
      <c r="B386" s="82" t="s">
        <v>1135</v>
      </c>
      <c r="C386" s="82" t="s">
        <v>552</v>
      </c>
      <c r="D386" s="83" t="s">
        <v>566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5">
      <c r="A387" s="82" t="s">
        <v>1136</v>
      </c>
      <c r="B387" s="82" t="s">
        <v>246</v>
      </c>
      <c r="C387" s="82" t="s">
        <v>433</v>
      </c>
      <c r="D387" s="83" t="s">
        <v>618</v>
      </c>
      <c r="E387" s="84" t="s">
        <v>608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5">
      <c r="A388" s="82" t="s">
        <v>1137</v>
      </c>
      <c r="B388" s="82" t="s">
        <v>1138</v>
      </c>
      <c r="C388" s="82" t="s">
        <v>433</v>
      </c>
      <c r="D388" s="83" t="s">
        <v>566</v>
      </c>
      <c r="E388" s="84" t="s">
        <v>746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5">
      <c r="A389" s="82" t="s">
        <v>1139</v>
      </c>
      <c r="B389" s="82" t="s">
        <v>1140</v>
      </c>
      <c r="C389" s="82" t="s">
        <v>913</v>
      </c>
      <c r="D389" s="83" t="s">
        <v>587</v>
      </c>
      <c r="E389" s="84" t="s">
        <v>568</v>
      </c>
      <c r="F389" s="84" t="s">
        <v>613</v>
      </c>
      <c r="G389" s="85" t="s">
        <v>437</v>
      </c>
      <c r="H389" s="85" t="s">
        <v>437</v>
      </c>
      <c r="I389" s="82" t="s">
        <v>431</v>
      </c>
      <c r="J389" s="86" t="s">
        <v>589</v>
      </c>
    </row>
    <row r="390" spans="1:10" x14ac:dyDescent="0.25">
      <c r="A390" s="82" t="s">
        <v>1141</v>
      </c>
      <c r="B390" s="82" t="s">
        <v>1142</v>
      </c>
      <c r="C390" s="82" t="s">
        <v>913</v>
      </c>
      <c r="D390" s="83" t="s">
        <v>587</v>
      </c>
      <c r="E390" s="84" t="s">
        <v>559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589</v>
      </c>
    </row>
    <row r="391" spans="1:10" x14ac:dyDescent="0.25">
      <c r="A391" s="82" t="s">
        <v>1143</v>
      </c>
      <c r="B391" s="82" t="s">
        <v>1144</v>
      </c>
      <c r="C391" s="82" t="s">
        <v>913</v>
      </c>
      <c r="D391" s="83" t="s">
        <v>587</v>
      </c>
      <c r="E391" s="84" t="s">
        <v>568</v>
      </c>
      <c r="F391" s="84" t="s">
        <v>613</v>
      </c>
      <c r="G391" s="85" t="s">
        <v>437</v>
      </c>
      <c r="H391" s="85" t="s">
        <v>437</v>
      </c>
      <c r="I391" s="82" t="s">
        <v>431</v>
      </c>
      <c r="J391" s="86" t="s">
        <v>589</v>
      </c>
    </row>
    <row r="392" spans="1:10" x14ac:dyDescent="0.25">
      <c r="A392" s="82" t="s">
        <v>1145</v>
      </c>
      <c r="B392" s="82" t="s">
        <v>20</v>
      </c>
      <c r="C392" s="82" t="s">
        <v>586</v>
      </c>
      <c r="D392" s="83" t="s">
        <v>566</v>
      </c>
      <c r="E392" s="84" t="s">
        <v>867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5">
      <c r="A393" s="82" t="s">
        <v>1146</v>
      </c>
      <c r="B393" s="82" t="s">
        <v>21</v>
      </c>
      <c r="C393" s="82" t="s">
        <v>586</v>
      </c>
      <c r="D393" s="83" t="s">
        <v>566</v>
      </c>
      <c r="E393" s="84" t="s">
        <v>746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5">
      <c r="A394" s="82" t="s">
        <v>1147</v>
      </c>
      <c r="B394" s="82" t="s">
        <v>1148</v>
      </c>
      <c r="C394" s="82" t="s">
        <v>561</v>
      </c>
      <c r="D394" s="83" t="s">
        <v>434</v>
      </c>
      <c r="E394" s="84" t="s">
        <v>571</v>
      </c>
      <c r="F394" s="84" t="s">
        <v>578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5">
      <c r="A395" s="82" t="s">
        <v>1149</v>
      </c>
      <c r="B395" s="82" t="s">
        <v>1150</v>
      </c>
      <c r="C395" s="82" t="s">
        <v>942</v>
      </c>
      <c r="D395" s="83" t="s">
        <v>434</v>
      </c>
      <c r="E395" s="84" t="s">
        <v>872</v>
      </c>
      <c r="F395" s="84" t="s">
        <v>639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5">
      <c r="A396" s="82" t="s">
        <v>1151</v>
      </c>
      <c r="B396" s="82" t="s">
        <v>1152</v>
      </c>
      <c r="C396" s="82" t="s">
        <v>561</v>
      </c>
      <c r="D396" s="83" t="s">
        <v>566</v>
      </c>
      <c r="E396" s="84" t="s">
        <v>608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5">
      <c r="A397" s="82" t="s">
        <v>1153</v>
      </c>
      <c r="B397" s="82" t="s">
        <v>1154</v>
      </c>
      <c r="C397" s="82" t="s">
        <v>561</v>
      </c>
      <c r="D397" s="83" t="s">
        <v>566</v>
      </c>
      <c r="E397" s="84" t="s">
        <v>608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5">
      <c r="A398" s="82" t="s">
        <v>1155</v>
      </c>
      <c r="B398" s="82" t="s">
        <v>364</v>
      </c>
      <c r="C398" s="82" t="s">
        <v>561</v>
      </c>
      <c r="D398" s="83" t="s">
        <v>566</v>
      </c>
      <c r="E398" s="84" t="s">
        <v>608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5">
      <c r="A399" s="82" t="s">
        <v>1156</v>
      </c>
      <c r="B399" s="82" t="s">
        <v>1157</v>
      </c>
      <c r="C399" s="82" t="s">
        <v>561</v>
      </c>
      <c r="D399" s="83" t="s">
        <v>566</v>
      </c>
      <c r="E399" s="84" t="s">
        <v>1158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5">
      <c r="A400" s="82" t="s">
        <v>1159</v>
      </c>
      <c r="B400" s="82" t="s">
        <v>365</v>
      </c>
      <c r="C400" s="82" t="s">
        <v>561</v>
      </c>
      <c r="D400" s="83" t="s">
        <v>566</v>
      </c>
      <c r="E400" s="84" t="s">
        <v>571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5">
      <c r="A401" s="82" t="s">
        <v>1160</v>
      </c>
      <c r="B401" s="82" t="s">
        <v>1161</v>
      </c>
      <c r="C401" s="82" t="s">
        <v>561</v>
      </c>
      <c r="D401" s="83" t="s">
        <v>566</v>
      </c>
      <c r="E401" s="84" t="s">
        <v>571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5">
      <c r="A402" s="82" t="s">
        <v>1162</v>
      </c>
      <c r="B402" s="82" t="s">
        <v>1163</v>
      </c>
      <c r="C402" s="82" t="s">
        <v>561</v>
      </c>
      <c r="D402" s="83" t="s">
        <v>566</v>
      </c>
      <c r="E402" s="84" t="s">
        <v>571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5">
      <c r="A403" s="82" t="s">
        <v>1164</v>
      </c>
      <c r="B403" s="82" t="s">
        <v>1165</v>
      </c>
      <c r="C403" s="82" t="s">
        <v>561</v>
      </c>
      <c r="D403" s="83" t="s">
        <v>566</v>
      </c>
      <c r="E403" s="84" t="s">
        <v>571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5">
      <c r="A404" s="82" t="s">
        <v>1166</v>
      </c>
      <c r="B404" s="82" t="s">
        <v>366</v>
      </c>
      <c r="C404" s="82" t="s">
        <v>561</v>
      </c>
      <c r="D404" s="83" t="s">
        <v>566</v>
      </c>
      <c r="E404" s="84" t="s">
        <v>872</v>
      </c>
      <c r="F404" s="84" t="s">
        <v>573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5">
      <c r="A405" s="82" t="s">
        <v>1167</v>
      </c>
      <c r="B405" s="82" t="s">
        <v>105</v>
      </c>
      <c r="C405" s="82" t="s">
        <v>561</v>
      </c>
      <c r="D405" s="83" t="s">
        <v>566</v>
      </c>
      <c r="E405" s="84" t="s">
        <v>872</v>
      </c>
      <c r="F405" s="84" t="s">
        <v>573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5">
      <c r="A406" s="82" t="s">
        <v>1168</v>
      </c>
      <c r="B406" s="82" t="s">
        <v>106</v>
      </c>
      <c r="C406" s="82" t="s">
        <v>561</v>
      </c>
      <c r="D406" s="83" t="s">
        <v>566</v>
      </c>
      <c r="E406" s="84" t="s">
        <v>872</v>
      </c>
      <c r="F406" s="84" t="s">
        <v>573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5">
      <c r="A407" s="82" t="s">
        <v>1169</v>
      </c>
      <c r="B407" s="82" t="s">
        <v>107</v>
      </c>
      <c r="C407" s="82" t="s">
        <v>561</v>
      </c>
      <c r="D407" s="83" t="s">
        <v>566</v>
      </c>
      <c r="E407" s="84" t="s">
        <v>872</v>
      </c>
      <c r="F407" s="84" t="s">
        <v>573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5">
      <c r="A408" s="82" t="s">
        <v>1170</v>
      </c>
      <c r="B408" s="82" t="s">
        <v>1171</v>
      </c>
      <c r="C408" s="82" t="s">
        <v>1172</v>
      </c>
      <c r="D408" s="83" t="s">
        <v>618</v>
      </c>
      <c r="E408" s="84" t="s">
        <v>1108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5">
      <c r="A409" s="82" t="s">
        <v>1173</v>
      </c>
      <c r="B409" s="82" t="s">
        <v>1174</v>
      </c>
      <c r="C409" s="82" t="s">
        <v>1172</v>
      </c>
      <c r="D409" s="83" t="s">
        <v>618</v>
      </c>
      <c r="E409" s="84" t="s">
        <v>1108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5">
      <c r="A410" s="82" t="s">
        <v>1175</v>
      </c>
      <c r="B410" s="82" t="s">
        <v>173</v>
      </c>
      <c r="C410" s="82" t="s">
        <v>1172</v>
      </c>
      <c r="D410" s="83" t="s">
        <v>618</v>
      </c>
      <c r="E410" s="84" t="s">
        <v>1108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5">
      <c r="A411" s="82" t="s">
        <v>1176</v>
      </c>
      <c r="B411" s="82" t="s">
        <v>170</v>
      </c>
      <c r="C411" s="82" t="s">
        <v>1172</v>
      </c>
      <c r="D411" s="83" t="s">
        <v>618</v>
      </c>
      <c r="E411" s="84" t="s">
        <v>1177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5">
      <c r="A412" s="82" t="s">
        <v>1178</v>
      </c>
      <c r="B412" s="82" t="s">
        <v>174</v>
      </c>
      <c r="C412" s="82" t="s">
        <v>1172</v>
      </c>
      <c r="D412" s="83" t="s">
        <v>587</v>
      </c>
      <c r="E412" s="84" t="s">
        <v>1108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5">
      <c r="A413" s="82" t="s">
        <v>1179</v>
      </c>
      <c r="B413" s="82" t="s">
        <v>1180</v>
      </c>
      <c r="C413" s="82" t="s">
        <v>594</v>
      </c>
      <c r="D413" s="83" t="s">
        <v>434</v>
      </c>
      <c r="E413" s="84" t="s">
        <v>608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589</v>
      </c>
    </row>
    <row r="414" spans="1:10" x14ac:dyDescent="0.25">
      <c r="A414" s="82" t="s">
        <v>1181</v>
      </c>
      <c r="B414" s="82" t="s">
        <v>177</v>
      </c>
      <c r="C414" s="82" t="s">
        <v>552</v>
      </c>
      <c r="D414" s="83" t="s">
        <v>606</v>
      </c>
      <c r="E414" s="84" t="s">
        <v>559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5">
      <c r="A415" s="82" t="s">
        <v>1182</v>
      </c>
      <c r="B415" s="82" t="s">
        <v>1183</v>
      </c>
      <c r="C415" s="82" t="s">
        <v>433</v>
      </c>
      <c r="D415" s="83" t="s">
        <v>434</v>
      </c>
      <c r="E415" s="84" t="s">
        <v>890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5">
      <c r="A416" s="82" t="s">
        <v>1184</v>
      </c>
      <c r="B416" s="82" t="s">
        <v>180</v>
      </c>
      <c r="C416" s="82" t="s">
        <v>433</v>
      </c>
      <c r="D416" s="83" t="s">
        <v>441</v>
      </c>
      <c r="E416" s="84" t="s">
        <v>553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5">
      <c r="A417" s="82" t="s">
        <v>1185</v>
      </c>
      <c r="B417" s="82" t="s">
        <v>181</v>
      </c>
      <c r="C417" s="82" t="s">
        <v>433</v>
      </c>
      <c r="D417" s="83" t="s">
        <v>441</v>
      </c>
      <c r="E417" s="84" t="s">
        <v>796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5">
      <c r="A418" s="82" t="s">
        <v>1186</v>
      </c>
      <c r="B418" s="82" t="s">
        <v>406</v>
      </c>
      <c r="C418" s="82" t="s">
        <v>552</v>
      </c>
      <c r="D418" s="83" t="s">
        <v>606</v>
      </c>
      <c r="E418" s="84" t="s">
        <v>639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5">
      <c r="A419" s="82" t="s">
        <v>1187</v>
      </c>
      <c r="B419" s="82" t="s">
        <v>1188</v>
      </c>
      <c r="C419" s="82" t="s">
        <v>594</v>
      </c>
      <c r="D419" s="83" t="s">
        <v>641</v>
      </c>
      <c r="E419" s="84" t="s">
        <v>546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589</v>
      </c>
    </row>
    <row r="420" spans="1:10" x14ac:dyDescent="0.25">
      <c r="A420" s="82" t="s">
        <v>1189</v>
      </c>
      <c r="B420" s="82" t="s">
        <v>388</v>
      </c>
      <c r="C420" s="82" t="s">
        <v>594</v>
      </c>
      <c r="D420" s="83" t="s">
        <v>566</v>
      </c>
      <c r="E420" s="84" t="s">
        <v>546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5">
      <c r="A421" s="82" t="s">
        <v>1190</v>
      </c>
      <c r="B421" s="82" t="s">
        <v>393</v>
      </c>
      <c r="C421" s="82" t="s">
        <v>594</v>
      </c>
      <c r="D421" s="83" t="s">
        <v>566</v>
      </c>
      <c r="E421" s="84" t="s">
        <v>546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5">
      <c r="A422" s="82" t="s">
        <v>1191</v>
      </c>
      <c r="B422" s="82" t="s">
        <v>391</v>
      </c>
      <c r="C422" s="82" t="s">
        <v>594</v>
      </c>
      <c r="D422" s="83" t="s">
        <v>566</v>
      </c>
      <c r="E422" s="84" t="s">
        <v>546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5">
      <c r="A423" s="82" t="s">
        <v>1192</v>
      </c>
      <c r="B423" s="82" t="s">
        <v>387</v>
      </c>
      <c r="C423" s="82" t="s">
        <v>594</v>
      </c>
      <c r="D423" s="83" t="s">
        <v>566</v>
      </c>
      <c r="E423" s="84" t="s">
        <v>546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5">
      <c r="A424" s="82" t="s">
        <v>1193</v>
      </c>
      <c r="B424" s="82" t="s">
        <v>392</v>
      </c>
      <c r="C424" s="82" t="s">
        <v>594</v>
      </c>
      <c r="D424" s="83" t="s">
        <v>566</v>
      </c>
      <c r="E424" s="84" t="s">
        <v>546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5">
      <c r="A425" s="82" t="s">
        <v>1194</v>
      </c>
      <c r="B425" s="82" t="s">
        <v>320</v>
      </c>
      <c r="C425" s="82" t="s">
        <v>433</v>
      </c>
      <c r="D425" s="83" t="s">
        <v>587</v>
      </c>
      <c r="E425" s="84" t="s">
        <v>457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5">
      <c r="A426" s="82" t="s">
        <v>1195</v>
      </c>
      <c r="B426" s="82" t="s">
        <v>1196</v>
      </c>
      <c r="C426" s="82" t="s">
        <v>561</v>
      </c>
      <c r="D426" s="83" t="s">
        <v>566</v>
      </c>
      <c r="E426" s="84" t="s">
        <v>608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5">
      <c r="A427" s="82" t="s">
        <v>1197</v>
      </c>
      <c r="B427" s="82" t="s">
        <v>1198</v>
      </c>
      <c r="C427" s="82" t="s">
        <v>561</v>
      </c>
      <c r="D427" s="83" t="s">
        <v>566</v>
      </c>
      <c r="E427" s="84" t="s">
        <v>608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5">
      <c r="A428" s="82" t="s">
        <v>1199</v>
      </c>
      <c r="B428" s="82" t="s">
        <v>1200</v>
      </c>
      <c r="C428" s="82" t="s">
        <v>561</v>
      </c>
      <c r="D428" s="83" t="s">
        <v>566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5">
      <c r="A429" s="82" t="s">
        <v>1201</v>
      </c>
      <c r="B429" s="82" t="s">
        <v>1202</v>
      </c>
      <c r="C429" s="82" t="s">
        <v>433</v>
      </c>
      <c r="D429" s="83" t="s">
        <v>566</v>
      </c>
      <c r="E429" s="84" t="s">
        <v>746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589</v>
      </c>
    </row>
    <row r="430" spans="1:10" x14ac:dyDescent="0.25">
      <c r="A430" s="82" t="s">
        <v>1203</v>
      </c>
      <c r="B430" s="82" t="s">
        <v>1204</v>
      </c>
      <c r="C430" s="82" t="s">
        <v>433</v>
      </c>
      <c r="D430" s="83" t="s">
        <v>566</v>
      </c>
      <c r="E430" s="84" t="s">
        <v>457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5">
      <c r="A431" s="82" t="s">
        <v>1205</v>
      </c>
      <c r="B431" s="82" t="s">
        <v>118</v>
      </c>
      <c r="C431" s="82" t="s">
        <v>552</v>
      </c>
      <c r="D431" s="83" t="s">
        <v>618</v>
      </c>
      <c r="E431" s="84" t="s">
        <v>573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5">
      <c r="A432" s="82" t="s">
        <v>1206</v>
      </c>
      <c r="B432" s="82" t="s">
        <v>120</v>
      </c>
      <c r="C432" s="82" t="s">
        <v>552</v>
      </c>
      <c r="D432" s="83" t="s">
        <v>606</v>
      </c>
      <c r="E432" s="84" t="s">
        <v>639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5">
      <c r="A433" s="82" t="s">
        <v>1207</v>
      </c>
      <c r="B433" s="82" t="s">
        <v>375</v>
      </c>
      <c r="C433" s="82" t="s">
        <v>886</v>
      </c>
      <c r="D433" s="83" t="s">
        <v>434</v>
      </c>
      <c r="E433" s="84" t="s">
        <v>613</v>
      </c>
      <c r="F433" s="84" t="s">
        <v>436</v>
      </c>
      <c r="G433" s="85" t="s">
        <v>437</v>
      </c>
      <c r="H433" s="85" t="s">
        <v>437</v>
      </c>
      <c r="I433" s="82" t="s">
        <v>887</v>
      </c>
      <c r="J433" s="86" t="s">
        <v>438</v>
      </c>
    </row>
    <row r="434" spans="1:10" x14ac:dyDescent="0.25">
      <c r="A434" s="82" t="s">
        <v>1208</v>
      </c>
      <c r="B434" s="82" t="s">
        <v>258</v>
      </c>
      <c r="C434" s="82" t="s">
        <v>448</v>
      </c>
      <c r="D434" s="83" t="s">
        <v>449</v>
      </c>
      <c r="E434" s="84" t="s">
        <v>546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5">
      <c r="A435" s="82" t="s">
        <v>1209</v>
      </c>
      <c r="B435" s="82" t="s">
        <v>192</v>
      </c>
      <c r="C435" s="82" t="s">
        <v>448</v>
      </c>
      <c r="D435" s="83" t="s">
        <v>449</v>
      </c>
      <c r="E435" s="84" t="s">
        <v>608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5">
      <c r="A436" s="82" t="s">
        <v>1210</v>
      </c>
      <c r="B436" s="82" t="s">
        <v>1211</v>
      </c>
      <c r="C436" s="82" t="s">
        <v>448</v>
      </c>
      <c r="D436" s="83" t="s">
        <v>805</v>
      </c>
      <c r="E436" s="84" t="s">
        <v>613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5">
      <c r="A437" s="82" t="s">
        <v>1212</v>
      </c>
      <c r="B437" s="82" t="s">
        <v>1213</v>
      </c>
      <c r="C437" s="82" t="s">
        <v>448</v>
      </c>
      <c r="D437" s="83" t="s">
        <v>805</v>
      </c>
      <c r="E437" s="84" t="s">
        <v>613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5">
      <c r="A438" s="82" t="s">
        <v>1214</v>
      </c>
      <c r="B438" s="82" t="s">
        <v>319</v>
      </c>
      <c r="C438" s="82" t="s">
        <v>448</v>
      </c>
      <c r="D438" s="83" t="s">
        <v>805</v>
      </c>
      <c r="E438" s="84" t="s">
        <v>453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5">
      <c r="A439" s="82" t="s">
        <v>1215</v>
      </c>
      <c r="B439" s="82" t="s">
        <v>1216</v>
      </c>
      <c r="C439" s="82" t="s">
        <v>448</v>
      </c>
      <c r="D439" s="83" t="s">
        <v>805</v>
      </c>
      <c r="E439" s="84" t="s">
        <v>613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5">
      <c r="A440" s="82" t="s">
        <v>1217</v>
      </c>
      <c r="B440" s="82" t="s">
        <v>254</v>
      </c>
      <c r="C440" s="82" t="s">
        <v>448</v>
      </c>
      <c r="D440" s="83" t="s">
        <v>805</v>
      </c>
      <c r="E440" s="84" t="s">
        <v>453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5">
      <c r="A441" s="82" t="s">
        <v>1218</v>
      </c>
      <c r="B441" s="82" t="s">
        <v>1219</v>
      </c>
      <c r="C441" s="82" t="s">
        <v>448</v>
      </c>
      <c r="D441" s="83" t="s">
        <v>805</v>
      </c>
      <c r="E441" s="84" t="s">
        <v>613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5">
      <c r="A442" s="82" t="s">
        <v>1220</v>
      </c>
      <c r="B442" s="82" t="s">
        <v>1221</v>
      </c>
      <c r="C442" s="82" t="s">
        <v>448</v>
      </c>
      <c r="D442" s="83" t="s">
        <v>805</v>
      </c>
      <c r="E442" s="84" t="s">
        <v>627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5">
      <c r="A443" s="82" t="s">
        <v>1222</v>
      </c>
      <c r="B443" s="82" t="s">
        <v>257</v>
      </c>
      <c r="C443" s="82" t="s">
        <v>448</v>
      </c>
      <c r="D443" s="83" t="s">
        <v>805</v>
      </c>
      <c r="E443" s="84" t="s">
        <v>453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5">
      <c r="A444" s="82" t="s">
        <v>1223</v>
      </c>
      <c r="B444" s="82" t="s">
        <v>1224</v>
      </c>
      <c r="C444" s="82" t="s">
        <v>448</v>
      </c>
      <c r="D444" s="83" t="s">
        <v>805</v>
      </c>
      <c r="E444" s="84" t="s">
        <v>613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5">
      <c r="A445" s="82" t="s">
        <v>1225</v>
      </c>
      <c r="B445" s="82" t="s">
        <v>1226</v>
      </c>
      <c r="C445" s="82" t="s">
        <v>448</v>
      </c>
      <c r="D445" s="83" t="s">
        <v>805</v>
      </c>
      <c r="E445" s="84" t="s">
        <v>613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5">
      <c r="A446" s="82" t="s">
        <v>1227</v>
      </c>
      <c r="B446" s="82" t="s">
        <v>256</v>
      </c>
      <c r="C446" s="82" t="s">
        <v>448</v>
      </c>
      <c r="D446" s="83" t="s">
        <v>805</v>
      </c>
      <c r="E446" s="84" t="s">
        <v>453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5">
      <c r="A447" s="82" t="s">
        <v>1228</v>
      </c>
      <c r="B447" s="82" t="s">
        <v>1229</v>
      </c>
      <c r="C447" s="82" t="s">
        <v>448</v>
      </c>
      <c r="D447" s="83" t="s">
        <v>805</v>
      </c>
      <c r="E447" s="84" t="s">
        <v>613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5">
      <c r="A448" s="82" t="s">
        <v>1230</v>
      </c>
      <c r="B448" s="82" t="s">
        <v>1231</v>
      </c>
      <c r="C448" s="82" t="s">
        <v>448</v>
      </c>
      <c r="D448" s="83" t="s">
        <v>805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5">
      <c r="A449" s="82" t="s">
        <v>1232</v>
      </c>
      <c r="B449" s="82" t="s">
        <v>1233</v>
      </c>
      <c r="C449" s="82" t="s">
        <v>448</v>
      </c>
      <c r="D449" s="83" t="s">
        <v>805</v>
      </c>
      <c r="E449" s="84" t="s">
        <v>613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5">
      <c r="A450" s="82" t="s">
        <v>1234</v>
      </c>
      <c r="B450" s="82" t="s">
        <v>255</v>
      </c>
      <c r="C450" s="82" t="s">
        <v>448</v>
      </c>
      <c r="D450" s="83" t="s">
        <v>805</v>
      </c>
      <c r="E450" s="84" t="s">
        <v>453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5">
      <c r="A451" s="82" t="s">
        <v>1235</v>
      </c>
      <c r="B451" s="82" t="s">
        <v>1236</v>
      </c>
      <c r="C451" s="82" t="s">
        <v>448</v>
      </c>
      <c r="D451" s="83" t="s">
        <v>805</v>
      </c>
      <c r="E451" s="84" t="s">
        <v>559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5">
      <c r="A452" s="82" t="s">
        <v>1237</v>
      </c>
      <c r="B452" s="82" t="s">
        <v>1238</v>
      </c>
      <c r="C452" s="82" t="s">
        <v>448</v>
      </c>
      <c r="D452" s="83" t="s">
        <v>805</v>
      </c>
      <c r="E452" s="84" t="s">
        <v>553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5">
      <c r="A453" s="82" t="s">
        <v>1239</v>
      </c>
      <c r="B453" s="82" t="s">
        <v>1240</v>
      </c>
      <c r="C453" s="82" t="s">
        <v>448</v>
      </c>
      <c r="D453" s="83" t="s">
        <v>805</v>
      </c>
      <c r="E453" s="84" t="s">
        <v>591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5">
      <c r="A454" s="82" t="s">
        <v>1241</v>
      </c>
      <c r="B454" s="82" t="s">
        <v>1242</v>
      </c>
      <c r="C454" s="82" t="s">
        <v>448</v>
      </c>
      <c r="D454" s="83" t="s">
        <v>805</v>
      </c>
      <c r="E454" s="84" t="s">
        <v>713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5">
      <c r="A455" s="82" t="s">
        <v>1243</v>
      </c>
      <c r="B455" s="82" t="s">
        <v>1244</v>
      </c>
      <c r="C455" s="82" t="s">
        <v>448</v>
      </c>
      <c r="D455" s="83" t="s">
        <v>805</v>
      </c>
      <c r="E455" s="84" t="s">
        <v>553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5">
      <c r="A456" s="82" t="s">
        <v>1245</v>
      </c>
      <c r="B456" s="82" t="s">
        <v>1246</v>
      </c>
      <c r="C456" s="82" t="s">
        <v>448</v>
      </c>
      <c r="D456" s="83" t="s">
        <v>805</v>
      </c>
      <c r="E456" s="84" t="s">
        <v>559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5">
      <c r="A457" s="82" t="s">
        <v>1247</v>
      </c>
      <c r="B457" s="82" t="s">
        <v>1248</v>
      </c>
      <c r="C457" s="82" t="s">
        <v>448</v>
      </c>
      <c r="D457" s="83" t="s">
        <v>805</v>
      </c>
      <c r="E457" s="84" t="s">
        <v>553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5">
      <c r="A458" s="82" t="s">
        <v>1249</v>
      </c>
      <c r="B458" s="82" t="s">
        <v>1250</v>
      </c>
      <c r="C458" s="82" t="s">
        <v>448</v>
      </c>
      <c r="D458" s="83" t="s">
        <v>805</v>
      </c>
      <c r="E458" s="84" t="s">
        <v>713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5">
      <c r="A459" s="82" t="s">
        <v>1251</v>
      </c>
      <c r="B459" s="82" t="s">
        <v>1221</v>
      </c>
      <c r="C459" s="82" t="s">
        <v>448</v>
      </c>
      <c r="D459" s="83" t="s">
        <v>805</v>
      </c>
      <c r="E459" s="84" t="s">
        <v>627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5">
      <c r="A460" s="82" t="s">
        <v>1252</v>
      </c>
      <c r="B460" s="82" t="s">
        <v>1253</v>
      </c>
      <c r="C460" s="82" t="s">
        <v>448</v>
      </c>
      <c r="D460" s="83" t="s">
        <v>805</v>
      </c>
      <c r="E460" s="84" t="s">
        <v>713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5">
      <c r="A461" s="82" t="s">
        <v>1254</v>
      </c>
      <c r="B461" s="82" t="s">
        <v>1255</v>
      </c>
      <c r="C461" s="82" t="s">
        <v>448</v>
      </c>
      <c r="D461" s="83" t="s">
        <v>805</v>
      </c>
      <c r="E461" s="84" t="s">
        <v>796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5">
      <c r="A462" s="82" t="s">
        <v>1256</v>
      </c>
      <c r="B462" s="82" t="s">
        <v>1257</v>
      </c>
      <c r="C462" s="82" t="s">
        <v>448</v>
      </c>
      <c r="D462" s="83" t="s">
        <v>805</v>
      </c>
      <c r="E462" s="84" t="s">
        <v>713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5">
      <c r="A463" s="82" t="s">
        <v>1258</v>
      </c>
      <c r="B463" s="82" t="s">
        <v>1259</v>
      </c>
      <c r="C463" s="82" t="s">
        <v>448</v>
      </c>
      <c r="D463" s="83" t="s">
        <v>805</v>
      </c>
      <c r="E463" s="84" t="s">
        <v>639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5">
      <c r="A464" s="82" t="s">
        <v>1260</v>
      </c>
      <c r="B464" s="82" t="s">
        <v>1261</v>
      </c>
      <c r="C464" s="82" t="s">
        <v>448</v>
      </c>
      <c r="D464" s="83" t="s">
        <v>805</v>
      </c>
      <c r="E464" s="84" t="s">
        <v>713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5">
      <c r="A465" s="82" t="s">
        <v>1262</v>
      </c>
      <c r="B465" s="82" t="s">
        <v>1263</v>
      </c>
      <c r="C465" s="82" t="s">
        <v>448</v>
      </c>
      <c r="D465" s="83" t="s">
        <v>805</v>
      </c>
      <c r="E465" s="84" t="s">
        <v>553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5">
      <c r="A466" s="82" t="s">
        <v>1264</v>
      </c>
      <c r="B466" s="82" t="s">
        <v>1265</v>
      </c>
      <c r="C466" s="82" t="s">
        <v>561</v>
      </c>
      <c r="D466" s="83" t="s">
        <v>566</v>
      </c>
      <c r="E466" s="84" t="s">
        <v>652</v>
      </c>
      <c r="F466" s="84" t="s">
        <v>436</v>
      </c>
      <c r="G466" s="85" t="s">
        <v>437</v>
      </c>
      <c r="H466" s="85" t="s">
        <v>437</v>
      </c>
      <c r="I466" s="82" t="s">
        <v>1266</v>
      </c>
      <c r="J466" s="86" t="s">
        <v>438</v>
      </c>
    </row>
    <row r="467" spans="1:10" x14ac:dyDescent="0.25">
      <c r="A467" s="82" t="s">
        <v>1267</v>
      </c>
      <c r="B467" s="82" t="s">
        <v>367</v>
      </c>
      <c r="C467" s="82" t="s">
        <v>561</v>
      </c>
      <c r="D467" s="83" t="s">
        <v>566</v>
      </c>
      <c r="E467" s="84" t="s">
        <v>872</v>
      </c>
      <c r="F467" s="84" t="s">
        <v>436</v>
      </c>
      <c r="G467" s="85" t="s">
        <v>437</v>
      </c>
      <c r="H467" s="85" t="s">
        <v>437</v>
      </c>
      <c r="I467" s="82" t="s">
        <v>1268</v>
      </c>
      <c r="J467" s="86" t="s">
        <v>438</v>
      </c>
    </row>
    <row r="468" spans="1:10" x14ac:dyDescent="0.25">
      <c r="A468" s="82" t="s">
        <v>1269</v>
      </c>
      <c r="B468" s="82" t="s">
        <v>1270</v>
      </c>
      <c r="C468" s="82" t="s">
        <v>561</v>
      </c>
      <c r="D468" s="83" t="s">
        <v>566</v>
      </c>
      <c r="E468" s="84" t="s">
        <v>652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5">
      <c r="A469" s="82" t="s">
        <v>1271</v>
      </c>
      <c r="B469" s="82" t="s">
        <v>183</v>
      </c>
      <c r="C469" s="82" t="s">
        <v>638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5">
      <c r="A470" s="82" t="s">
        <v>1272</v>
      </c>
      <c r="B470" s="82" t="s">
        <v>187</v>
      </c>
      <c r="C470" s="82" t="s">
        <v>638</v>
      </c>
      <c r="D470" s="83" t="s">
        <v>434</v>
      </c>
      <c r="E470" s="84" t="s">
        <v>559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5">
      <c r="A471" s="82" t="s">
        <v>1273</v>
      </c>
      <c r="B471" s="82" t="s">
        <v>1274</v>
      </c>
      <c r="C471" s="82" t="s">
        <v>561</v>
      </c>
      <c r="D471" s="83" t="s">
        <v>434</v>
      </c>
      <c r="E471" s="84" t="s">
        <v>453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5">
      <c r="A472" s="82" t="s">
        <v>1275</v>
      </c>
      <c r="B472" s="82" t="s">
        <v>410</v>
      </c>
      <c r="C472" s="82" t="s">
        <v>913</v>
      </c>
      <c r="D472" s="83" t="s">
        <v>587</v>
      </c>
      <c r="E472" s="84" t="s">
        <v>568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5">
      <c r="A473" s="82" t="s">
        <v>1276</v>
      </c>
      <c r="B473" s="82" t="s">
        <v>411</v>
      </c>
      <c r="C473" s="82" t="s">
        <v>913</v>
      </c>
      <c r="D473" s="83" t="s">
        <v>434</v>
      </c>
      <c r="E473" s="84" t="s">
        <v>872</v>
      </c>
      <c r="F473" s="84" t="s">
        <v>573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5">
      <c r="A474" s="82" t="s">
        <v>1277</v>
      </c>
      <c r="B474" s="82" t="s">
        <v>259</v>
      </c>
      <c r="C474" s="82" t="s">
        <v>433</v>
      </c>
      <c r="D474" s="83" t="s">
        <v>441</v>
      </c>
      <c r="E474" s="84" t="s">
        <v>578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5">
      <c r="A475" s="82" t="s">
        <v>1278</v>
      </c>
      <c r="B475" s="82" t="s">
        <v>1279</v>
      </c>
      <c r="C475" s="82" t="s">
        <v>433</v>
      </c>
      <c r="D475" s="83" t="s">
        <v>441</v>
      </c>
      <c r="E475" s="84" t="s">
        <v>571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5">
      <c r="A476" s="82" t="s">
        <v>1280</v>
      </c>
      <c r="B476" s="82" t="s">
        <v>260</v>
      </c>
      <c r="C476" s="82" t="s">
        <v>433</v>
      </c>
      <c r="D476" s="83" t="s">
        <v>566</v>
      </c>
      <c r="E476" s="84" t="s">
        <v>559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5">
      <c r="A477" s="82" t="s">
        <v>1281</v>
      </c>
      <c r="B477" s="82" t="s">
        <v>1282</v>
      </c>
      <c r="C477" s="82" t="s">
        <v>433</v>
      </c>
      <c r="D477" s="83" t="s">
        <v>618</v>
      </c>
      <c r="E477" s="84" t="s">
        <v>568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5">
      <c r="A478" s="82" t="s">
        <v>1283</v>
      </c>
      <c r="B478" s="82" t="s">
        <v>276</v>
      </c>
      <c r="C478" s="82" t="s">
        <v>433</v>
      </c>
      <c r="D478" s="83" t="s">
        <v>434</v>
      </c>
      <c r="E478" s="84" t="s">
        <v>613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5">
      <c r="A479" s="82" t="s">
        <v>1284</v>
      </c>
      <c r="B479" s="82" t="s">
        <v>277</v>
      </c>
      <c r="C479" s="82" t="s">
        <v>433</v>
      </c>
      <c r="D479" s="83" t="s">
        <v>434</v>
      </c>
      <c r="E479" s="84" t="s">
        <v>608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5">
      <c r="A480" s="82" t="s">
        <v>1285</v>
      </c>
      <c r="B480" s="82" t="s">
        <v>278</v>
      </c>
      <c r="C480" s="82" t="s">
        <v>433</v>
      </c>
      <c r="D480" s="83" t="s">
        <v>434</v>
      </c>
      <c r="E480" s="84" t="s">
        <v>453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5">
      <c r="A481" s="82" t="s">
        <v>1286</v>
      </c>
      <c r="B481" s="82" t="s">
        <v>1287</v>
      </c>
      <c r="C481" s="82" t="s">
        <v>433</v>
      </c>
      <c r="D481" s="83" t="s">
        <v>434</v>
      </c>
      <c r="E481" s="84" t="s">
        <v>613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5">
      <c r="A482" s="82" t="s">
        <v>1288</v>
      </c>
      <c r="B482" s="82" t="s">
        <v>1289</v>
      </c>
      <c r="C482" s="82" t="s">
        <v>433</v>
      </c>
      <c r="D482" s="83" t="s">
        <v>434</v>
      </c>
      <c r="E482" s="84" t="s">
        <v>608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5">
      <c r="A483" s="82" t="s">
        <v>1290</v>
      </c>
      <c r="B483" s="82" t="s">
        <v>1291</v>
      </c>
      <c r="C483" s="82" t="s">
        <v>594</v>
      </c>
      <c r="D483" s="83" t="s">
        <v>566</v>
      </c>
      <c r="E483" s="84" t="s">
        <v>627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589</v>
      </c>
    </row>
    <row r="484" spans="1:10" x14ac:dyDescent="0.25">
      <c r="A484" s="82" t="s">
        <v>1292</v>
      </c>
      <c r="B484" s="82" t="s">
        <v>1293</v>
      </c>
      <c r="C484" s="82" t="s">
        <v>594</v>
      </c>
      <c r="D484" s="83" t="s">
        <v>566</v>
      </c>
      <c r="E484" s="84" t="s">
        <v>453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5">
      <c r="A485" s="82" t="s">
        <v>1294</v>
      </c>
      <c r="B485" s="82" t="s">
        <v>1295</v>
      </c>
      <c r="C485" s="82" t="s">
        <v>594</v>
      </c>
      <c r="D485" s="83" t="s">
        <v>434</v>
      </c>
      <c r="E485" s="84" t="s">
        <v>457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5">
      <c r="A486" s="82" t="s">
        <v>1296</v>
      </c>
      <c r="B486" s="82" t="s">
        <v>1297</v>
      </c>
      <c r="C486" s="82" t="s">
        <v>594</v>
      </c>
      <c r="D486" s="83" t="s">
        <v>434</v>
      </c>
      <c r="E486" s="84" t="s">
        <v>453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5">
      <c r="A487" s="82" t="s">
        <v>1298</v>
      </c>
      <c r="B487" s="82" t="s">
        <v>1299</v>
      </c>
      <c r="C487" s="82" t="s">
        <v>594</v>
      </c>
      <c r="D487" s="83" t="s">
        <v>566</v>
      </c>
      <c r="E487" s="84" t="s">
        <v>627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589</v>
      </c>
    </row>
    <row r="488" spans="1:10" x14ac:dyDescent="0.25">
      <c r="A488" s="82" t="s">
        <v>1300</v>
      </c>
      <c r="B488" s="82" t="s">
        <v>1301</v>
      </c>
      <c r="C488" s="82" t="s">
        <v>594</v>
      </c>
      <c r="D488" s="83" t="s">
        <v>566</v>
      </c>
      <c r="E488" s="84" t="s">
        <v>457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5">
      <c r="A489" s="82" t="s">
        <v>1302</v>
      </c>
      <c r="B489" s="82" t="s">
        <v>404</v>
      </c>
      <c r="C489" s="82" t="s">
        <v>552</v>
      </c>
      <c r="D489" s="83" t="s">
        <v>587</v>
      </c>
      <c r="E489" s="84" t="s">
        <v>553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5">
      <c r="A490" s="82" t="s">
        <v>1303</v>
      </c>
      <c r="B490" s="82" t="s">
        <v>341</v>
      </c>
      <c r="C490" s="82" t="s">
        <v>561</v>
      </c>
      <c r="D490" s="83" t="s">
        <v>434</v>
      </c>
      <c r="E490" s="84" t="s">
        <v>559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5">
      <c r="A491" s="82" t="s">
        <v>1304</v>
      </c>
      <c r="B491" s="82" t="s">
        <v>343</v>
      </c>
      <c r="C491" s="82" t="s">
        <v>561</v>
      </c>
      <c r="D491" s="83" t="s">
        <v>434</v>
      </c>
      <c r="E491" s="84" t="s">
        <v>559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5">
      <c r="A492" s="82" t="s">
        <v>1305</v>
      </c>
      <c r="B492" s="82" t="s">
        <v>352</v>
      </c>
      <c r="C492" s="82" t="s">
        <v>561</v>
      </c>
      <c r="D492" s="83" t="s">
        <v>434</v>
      </c>
      <c r="E492" s="84" t="s">
        <v>559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5">
      <c r="A493" s="82" t="s">
        <v>1306</v>
      </c>
      <c r="B493" s="82" t="s">
        <v>353</v>
      </c>
      <c r="C493" s="82" t="s">
        <v>561</v>
      </c>
      <c r="D493" s="83" t="s">
        <v>566</v>
      </c>
      <c r="E493" s="84" t="s">
        <v>872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5">
      <c r="A494" s="82" t="s">
        <v>1307</v>
      </c>
      <c r="B494" s="82" t="s">
        <v>351</v>
      </c>
      <c r="C494" s="82" t="s">
        <v>561</v>
      </c>
      <c r="D494" s="83" t="s">
        <v>566</v>
      </c>
      <c r="E494" s="84" t="s">
        <v>872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5">
      <c r="A495" s="82" t="s">
        <v>1308</v>
      </c>
      <c r="B495" s="82" t="s">
        <v>1309</v>
      </c>
      <c r="C495" s="82" t="s">
        <v>586</v>
      </c>
      <c r="D495" s="83" t="s">
        <v>434</v>
      </c>
      <c r="E495" s="84" t="s">
        <v>890</v>
      </c>
      <c r="F495" s="84" t="s">
        <v>573</v>
      </c>
      <c r="G495" s="85" t="s">
        <v>437</v>
      </c>
      <c r="H495" s="85" t="s">
        <v>437</v>
      </c>
      <c r="I495" s="82" t="s">
        <v>431</v>
      </c>
      <c r="J495" s="86" t="s">
        <v>589</v>
      </c>
    </row>
    <row r="496" spans="1:10" x14ac:dyDescent="0.25">
      <c r="A496" s="82" t="s">
        <v>1310</v>
      </c>
      <c r="B496" s="82" t="s">
        <v>306</v>
      </c>
      <c r="C496" s="82" t="s">
        <v>586</v>
      </c>
      <c r="D496" s="83" t="s">
        <v>434</v>
      </c>
      <c r="E496" s="84" t="s">
        <v>890</v>
      </c>
      <c r="F496" s="84" t="s">
        <v>573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5">
      <c r="A497" s="82" t="s">
        <v>1311</v>
      </c>
      <c r="B497" s="82" t="s">
        <v>1312</v>
      </c>
      <c r="C497" s="82" t="s">
        <v>586</v>
      </c>
      <c r="D497" s="83" t="s">
        <v>566</v>
      </c>
      <c r="E497" s="84" t="s">
        <v>573</v>
      </c>
      <c r="F497" s="84" t="s">
        <v>639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5">
      <c r="A498" s="82" t="s">
        <v>1313</v>
      </c>
      <c r="B498" s="82" t="s">
        <v>1314</v>
      </c>
      <c r="C498" s="82" t="s">
        <v>561</v>
      </c>
      <c r="D498" s="83" t="s">
        <v>566</v>
      </c>
      <c r="E498" s="84" t="s">
        <v>559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5">
      <c r="A499" s="82" t="s">
        <v>1315</v>
      </c>
      <c r="B499" s="82" t="s">
        <v>363</v>
      </c>
      <c r="C499" s="82" t="s">
        <v>561</v>
      </c>
      <c r="D499" s="83" t="s">
        <v>566</v>
      </c>
      <c r="E499" s="84" t="s">
        <v>608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5">
      <c r="A500" s="82" t="s">
        <v>1316</v>
      </c>
      <c r="B500" s="82" t="s">
        <v>1317</v>
      </c>
      <c r="C500" s="82" t="s">
        <v>586</v>
      </c>
      <c r="D500" s="83" t="s">
        <v>434</v>
      </c>
      <c r="E500" s="84" t="s">
        <v>573</v>
      </c>
      <c r="F500" s="84" t="s">
        <v>639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5">
      <c r="A501" s="82" t="s">
        <v>1318</v>
      </c>
      <c r="B501" s="82" t="s">
        <v>299</v>
      </c>
      <c r="C501" s="82" t="s">
        <v>586</v>
      </c>
      <c r="D501" s="83" t="s">
        <v>434</v>
      </c>
      <c r="E501" s="84" t="s">
        <v>573</v>
      </c>
      <c r="F501" s="84" t="s">
        <v>639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5">
      <c r="A502" s="82" t="s">
        <v>1319</v>
      </c>
      <c r="B502" s="82" t="s">
        <v>1320</v>
      </c>
      <c r="C502" s="82" t="s">
        <v>586</v>
      </c>
      <c r="D502" s="83" t="s">
        <v>566</v>
      </c>
      <c r="E502" s="84" t="s">
        <v>573</v>
      </c>
      <c r="F502" s="84" t="s">
        <v>639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5">
      <c r="A503" s="82" t="s">
        <v>1321</v>
      </c>
      <c r="B503" s="82" t="s">
        <v>300</v>
      </c>
      <c r="C503" s="82" t="s">
        <v>586</v>
      </c>
      <c r="D503" s="83" t="s">
        <v>566</v>
      </c>
      <c r="E503" s="84" t="s">
        <v>559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5">
      <c r="A504" s="82" t="s">
        <v>1322</v>
      </c>
      <c r="B504" s="82" t="s">
        <v>1323</v>
      </c>
      <c r="C504" s="82" t="s">
        <v>586</v>
      </c>
      <c r="D504" s="83" t="s">
        <v>566</v>
      </c>
      <c r="E504" s="84" t="s">
        <v>559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589</v>
      </c>
    </row>
    <row r="505" spans="1:10" x14ac:dyDescent="0.25">
      <c r="A505" s="82" t="s">
        <v>1324</v>
      </c>
      <c r="B505" s="82" t="s">
        <v>1325</v>
      </c>
      <c r="C505" s="82" t="s">
        <v>861</v>
      </c>
      <c r="D505" s="83" t="s">
        <v>566</v>
      </c>
      <c r="E505" s="84" t="s">
        <v>608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5">
      <c r="A506" s="82" t="s">
        <v>1326</v>
      </c>
      <c r="B506" s="82" t="s">
        <v>308</v>
      </c>
      <c r="C506" s="82" t="s">
        <v>861</v>
      </c>
      <c r="D506" s="83" t="s">
        <v>566</v>
      </c>
      <c r="E506" s="84" t="s">
        <v>608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5">
      <c r="A507" s="82" t="s">
        <v>1327</v>
      </c>
      <c r="B507" s="82" t="s">
        <v>309</v>
      </c>
      <c r="C507" s="82" t="s">
        <v>861</v>
      </c>
      <c r="D507" s="83" t="s">
        <v>566</v>
      </c>
      <c r="E507" s="84" t="s">
        <v>453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5">
      <c r="A508" s="82" t="s">
        <v>1328</v>
      </c>
      <c r="B508" s="82" t="s">
        <v>1329</v>
      </c>
      <c r="C508" s="82" t="s">
        <v>861</v>
      </c>
      <c r="D508" s="83" t="s">
        <v>566</v>
      </c>
      <c r="E508" s="84" t="s">
        <v>608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5">
      <c r="A509" s="82" t="s">
        <v>1330</v>
      </c>
      <c r="B509" s="82" t="s">
        <v>1331</v>
      </c>
      <c r="C509" s="82" t="s">
        <v>861</v>
      </c>
      <c r="D509" s="83" t="s">
        <v>566</v>
      </c>
      <c r="E509" s="84" t="s">
        <v>608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5">
      <c r="A510" s="82" t="s">
        <v>1332</v>
      </c>
      <c r="B510" s="82" t="s">
        <v>1333</v>
      </c>
      <c r="C510" s="82" t="s">
        <v>561</v>
      </c>
      <c r="D510" s="83" t="s">
        <v>434</v>
      </c>
      <c r="E510" s="84" t="s">
        <v>553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5">
      <c r="A511" s="82" t="s">
        <v>1334</v>
      </c>
      <c r="B511" s="82" t="s">
        <v>357</v>
      </c>
      <c r="C511" s="82" t="s">
        <v>561</v>
      </c>
      <c r="D511" s="83" t="s">
        <v>434</v>
      </c>
      <c r="E511" s="84" t="s">
        <v>608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5">
      <c r="A512" s="82" t="s">
        <v>1335</v>
      </c>
      <c r="B512" s="82" t="s">
        <v>354</v>
      </c>
      <c r="C512" s="82" t="s">
        <v>594</v>
      </c>
      <c r="D512" s="83" t="s">
        <v>434</v>
      </c>
      <c r="E512" s="84" t="s">
        <v>613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5">
      <c r="A513" s="82" t="s">
        <v>1336</v>
      </c>
      <c r="B513" s="82" t="s">
        <v>360</v>
      </c>
      <c r="C513" s="82" t="s">
        <v>561</v>
      </c>
      <c r="D513" s="83" t="s">
        <v>434</v>
      </c>
      <c r="E513" s="84" t="s">
        <v>613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5">
      <c r="A514" s="82" t="s">
        <v>1337</v>
      </c>
      <c r="B514" s="82" t="s">
        <v>395</v>
      </c>
      <c r="C514" s="82" t="s">
        <v>594</v>
      </c>
      <c r="D514" s="83" t="s">
        <v>434</v>
      </c>
      <c r="E514" s="84" t="s">
        <v>453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5">
      <c r="A515" s="82" t="s">
        <v>1338</v>
      </c>
      <c r="B515" s="82" t="s">
        <v>396</v>
      </c>
      <c r="C515" s="82" t="s">
        <v>594</v>
      </c>
      <c r="D515" s="83" t="s">
        <v>434</v>
      </c>
      <c r="E515" s="84" t="s">
        <v>453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5">
      <c r="A516" s="82" t="s">
        <v>1339</v>
      </c>
      <c r="B516" s="82" t="s">
        <v>310</v>
      </c>
      <c r="C516" s="82" t="s">
        <v>861</v>
      </c>
      <c r="D516" s="83" t="s">
        <v>566</v>
      </c>
      <c r="E516" s="84" t="s">
        <v>453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5">
      <c r="A517" s="82" t="s">
        <v>1340</v>
      </c>
      <c r="B517" s="82" t="s">
        <v>376</v>
      </c>
      <c r="C517" s="82" t="s">
        <v>886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887</v>
      </c>
      <c r="J517" s="86" t="s">
        <v>438</v>
      </c>
    </row>
    <row r="518" spans="1:10" x14ac:dyDescent="0.25">
      <c r="A518" s="82" t="s">
        <v>1341</v>
      </c>
      <c r="B518" s="82" t="s">
        <v>245</v>
      </c>
      <c r="C518" s="82" t="s">
        <v>561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5">
      <c r="A519" s="82" t="s">
        <v>1342</v>
      </c>
      <c r="B519" s="82" t="s">
        <v>344</v>
      </c>
      <c r="C519" s="82" t="s">
        <v>638</v>
      </c>
      <c r="D519" s="83" t="s">
        <v>434</v>
      </c>
      <c r="E519" s="84" t="s">
        <v>1035</v>
      </c>
      <c r="F519" s="84" t="s">
        <v>553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5">
      <c r="A520" s="82" t="s">
        <v>1343</v>
      </c>
      <c r="B520" s="82" t="s">
        <v>345</v>
      </c>
      <c r="C520" s="82" t="s">
        <v>638</v>
      </c>
      <c r="D520" s="83" t="s">
        <v>434</v>
      </c>
      <c r="E520" s="84" t="s">
        <v>639</v>
      </c>
      <c r="F520" s="84" t="s">
        <v>591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5">
      <c r="A521" s="82" t="s">
        <v>1344</v>
      </c>
      <c r="B521" s="82" t="s">
        <v>184</v>
      </c>
      <c r="C521" s="82" t="s">
        <v>638</v>
      </c>
      <c r="D521" s="83" t="s">
        <v>434</v>
      </c>
      <c r="E521" s="84" t="s">
        <v>872</v>
      </c>
      <c r="F521" s="84" t="s">
        <v>639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5">
      <c r="A522" s="82" t="s">
        <v>1345</v>
      </c>
      <c r="B522" s="82" t="s">
        <v>185</v>
      </c>
      <c r="C522" s="82" t="s">
        <v>638</v>
      </c>
      <c r="D522" s="83" t="s">
        <v>434</v>
      </c>
      <c r="E522" s="84" t="s">
        <v>872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5">
      <c r="A523" s="82" t="s">
        <v>1346</v>
      </c>
      <c r="B523" s="82" t="s">
        <v>409</v>
      </c>
      <c r="C523" s="82" t="s">
        <v>913</v>
      </c>
      <c r="D523" s="83" t="s">
        <v>587</v>
      </c>
      <c r="E523" s="84" t="s">
        <v>872</v>
      </c>
      <c r="F523" s="84" t="s">
        <v>573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5">
      <c r="A524" s="82" t="s">
        <v>1347</v>
      </c>
      <c r="B524" s="82" t="s">
        <v>408</v>
      </c>
      <c r="C524" s="82" t="s">
        <v>913</v>
      </c>
      <c r="D524" s="83" t="s">
        <v>587</v>
      </c>
      <c r="E524" s="84" t="s">
        <v>568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5">
      <c r="A525" s="82" t="s">
        <v>1348</v>
      </c>
      <c r="B525" s="82" t="s">
        <v>186</v>
      </c>
      <c r="C525" s="82" t="s">
        <v>638</v>
      </c>
      <c r="D525" s="83" t="s">
        <v>434</v>
      </c>
      <c r="E525" s="84" t="s">
        <v>553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5">
      <c r="A526" s="82" t="s">
        <v>1349</v>
      </c>
      <c r="B526" s="82" t="s">
        <v>253</v>
      </c>
      <c r="C526" s="82" t="s">
        <v>638</v>
      </c>
      <c r="D526" s="83" t="s">
        <v>434</v>
      </c>
      <c r="E526" s="84" t="s">
        <v>872</v>
      </c>
      <c r="F526" s="84" t="s">
        <v>573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5">
      <c r="A527" s="82" t="s">
        <v>1350</v>
      </c>
      <c r="B527" s="82" t="s">
        <v>188</v>
      </c>
      <c r="C527" s="82" t="s">
        <v>638</v>
      </c>
      <c r="D527" s="83" t="s">
        <v>434</v>
      </c>
      <c r="E527" s="84" t="s">
        <v>559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5">
      <c r="A528" s="82" t="s">
        <v>1351</v>
      </c>
      <c r="B528" s="82" t="s">
        <v>379</v>
      </c>
      <c r="C528" s="82" t="s">
        <v>638</v>
      </c>
      <c r="D528" s="83" t="s">
        <v>587</v>
      </c>
      <c r="E528" s="84" t="s">
        <v>559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5">
      <c r="A529" s="82" t="s">
        <v>1352</v>
      </c>
      <c r="B529" s="82" t="s">
        <v>380</v>
      </c>
      <c r="C529" s="82" t="s">
        <v>638</v>
      </c>
      <c r="D529" s="83" t="s">
        <v>587</v>
      </c>
      <c r="E529" s="84" t="s">
        <v>573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5">
      <c r="A530" s="82" t="s">
        <v>1353</v>
      </c>
      <c r="B530" s="82" t="s">
        <v>1354</v>
      </c>
      <c r="C530" s="82" t="s">
        <v>1172</v>
      </c>
      <c r="D530" s="83" t="s">
        <v>587</v>
      </c>
      <c r="E530" s="84" t="s">
        <v>573</v>
      </c>
      <c r="F530" s="84" t="s">
        <v>639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5">
      <c r="A531" s="82" t="s">
        <v>1355</v>
      </c>
      <c r="B531" s="82" t="s">
        <v>115</v>
      </c>
      <c r="C531" s="82" t="s">
        <v>1172</v>
      </c>
      <c r="D531" s="83" t="s">
        <v>587</v>
      </c>
      <c r="E531" s="84" t="s">
        <v>573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5">
      <c r="A532" s="82" t="s">
        <v>1356</v>
      </c>
      <c r="B532" s="82" t="s">
        <v>1357</v>
      </c>
      <c r="C532" s="82" t="s">
        <v>1172</v>
      </c>
      <c r="D532" s="83" t="s">
        <v>587</v>
      </c>
      <c r="E532" s="84" t="s">
        <v>573</v>
      </c>
      <c r="F532" s="84" t="s">
        <v>639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5">
      <c r="A533" s="82" t="s">
        <v>1358</v>
      </c>
      <c r="B533" s="82" t="s">
        <v>1359</v>
      </c>
      <c r="C533" s="82" t="s">
        <v>586</v>
      </c>
      <c r="D533" s="83" t="s">
        <v>1360</v>
      </c>
      <c r="E533" s="84" t="s">
        <v>571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5">
      <c r="A534" s="82" t="s">
        <v>1361</v>
      </c>
      <c r="B534" s="82" t="s">
        <v>1362</v>
      </c>
      <c r="C534" s="82" t="s">
        <v>586</v>
      </c>
      <c r="D534" s="83" t="s">
        <v>1360</v>
      </c>
      <c r="E534" s="84" t="s">
        <v>571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5">
      <c r="A535" s="82" t="s">
        <v>1363</v>
      </c>
      <c r="B535" s="82" t="s">
        <v>1364</v>
      </c>
      <c r="C535" s="82" t="s">
        <v>586</v>
      </c>
      <c r="D535" s="83" t="s">
        <v>1360</v>
      </c>
      <c r="E535" s="84" t="s">
        <v>571</v>
      </c>
      <c r="F535" s="84" t="s">
        <v>436</v>
      </c>
      <c r="G535" s="85" t="s">
        <v>437</v>
      </c>
      <c r="H535" s="85" t="s">
        <v>437</v>
      </c>
      <c r="I535" s="82" t="s">
        <v>1365</v>
      </c>
      <c r="J535" s="86" t="s">
        <v>438</v>
      </c>
    </row>
    <row r="536" spans="1:10" x14ac:dyDescent="0.25">
      <c r="A536" s="82" t="s">
        <v>1366</v>
      </c>
      <c r="B536" s="82" t="s">
        <v>1367</v>
      </c>
      <c r="C536" s="82" t="s">
        <v>913</v>
      </c>
      <c r="D536" s="83" t="s">
        <v>1360</v>
      </c>
      <c r="E536" s="84" t="s">
        <v>571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2" activePane="bottomRight" state="frozen"/>
      <selection activeCell="C79" sqref="C79"/>
      <selection pane="topRight" activeCell="C79" sqref="C79"/>
      <selection pane="bottomLeft" activeCell="C79" sqref="C79"/>
      <selection pane="bottomRight" activeCell="C79" sqref="C79"/>
    </sheetView>
  </sheetViews>
  <sheetFormatPr defaultRowHeight="13.8" x14ac:dyDescent="0.25"/>
  <cols>
    <col min="1" max="1" width="16.3984375" customWidth="1"/>
    <col min="2" max="2" width="42.59765625" bestFit="1" customWidth="1"/>
    <col min="3" max="3" width="9.69921875" bestFit="1" customWidth="1"/>
  </cols>
  <sheetData>
    <row r="1" spans="1:3" ht="24.6" x14ac:dyDescent="0.25">
      <c r="A1" s="94" t="s">
        <v>422</v>
      </c>
      <c r="B1" s="94" t="s">
        <v>423</v>
      </c>
      <c r="C1" s="94" t="s">
        <v>274</v>
      </c>
    </row>
    <row r="2" spans="1:3" ht="24" x14ac:dyDescent="0.6">
      <c r="A2" s="1">
        <v>1111001</v>
      </c>
      <c r="B2" s="2" t="s">
        <v>20</v>
      </c>
    </row>
    <row r="3" spans="1:3" ht="24" x14ac:dyDescent="0.6">
      <c r="A3" s="1">
        <v>1111010</v>
      </c>
      <c r="B3" s="2" t="s">
        <v>21</v>
      </c>
    </row>
    <row r="4" spans="1:3" ht="24" x14ac:dyDescent="0.6">
      <c r="A4" s="1" t="s">
        <v>595</v>
      </c>
      <c r="B4" s="2" t="s">
        <v>301</v>
      </c>
    </row>
    <row r="5" spans="1:3" ht="24" x14ac:dyDescent="0.6">
      <c r="A5" s="1">
        <v>20055116</v>
      </c>
      <c r="B5" s="2" t="s">
        <v>418</v>
      </c>
    </row>
    <row r="6" spans="1:3" ht="24" x14ac:dyDescent="0.6">
      <c r="A6" s="1" t="s">
        <v>862</v>
      </c>
      <c r="B6" s="2" t="s">
        <v>419</v>
      </c>
    </row>
    <row r="7" spans="1:3" ht="24" x14ac:dyDescent="0.6">
      <c r="A7" s="1">
        <v>1124027</v>
      </c>
      <c r="B7" s="2" t="s">
        <v>309</v>
      </c>
    </row>
    <row r="8" spans="1:3" ht="24" x14ac:dyDescent="0.6">
      <c r="A8" s="1">
        <v>1124029</v>
      </c>
      <c r="B8" s="2" t="s">
        <v>310</v>
      </c>
    </row>
    <row r="9" spans="1:3" ht="24" x14ac:dyDescent="0.6">
      <c r="A9" s="1" t="s">
        <v>860</v>
      </c>
      <c r="B9" s="2" t="s">
        <v>417</v>
      </c>
    </row>
    <row r="10" spans="1:3" ht="24" x14ac:dyDescent="0.6">
      <c r="A10" s="1">
        <v>1200019</v>
      </c>
      <c r="B10" s="2" t="s">
        <v>344</v>
      </c>
    </row>
    <row r="11" spans="1:3" ht="24" x14ac:dyDescent="0.6">
      <c r="A11" s="1">
        <v>1200020</v>
      </c>
      <c r="B11" s="2" t="s">
        <v>345</v>
      </c>
    </row>
    <row r="12" spans="1:3" ht="24" x14ac:dyDescent="0.6">
      <c r="A12" s="1">
        <v>5002400</v>
      </c>
      <c r="B12" s="2" t="s">
        <v>350</v>
      </c>
    </row>
    <row r="13" spans="1:3" ht="24" x14ac:dyDescent="0.6">
      <c r="A13" s="1">
        <v>1113011</v>
      </c>
      <c r="B13" s="2" t="s">
        <v>351</v>
      </c>
    </row>
    <row r="14" spans="1:3" ht="24" x14ac:dyDescent="0.6">
      <c r="A14" s="1">
        <v>1113010</v>
      </c>
      <c r="B14" s="2" t="s">
        <v>353</v>
      </c>
    </row>
    <row r="15" spans="1:3" ht="24" x14ac:dyDescent="0.6">
      <c r="A15" s="1">
        <v>20054637</v>
      </c>
      <c r="B15" s="2" t="s">
        <v>354</v>
      </c>
    </row>
    <row r="16" spans="1:3" ht="24" x14ac:dyDescent="0.6">
      <c r="A16" s="1" t="s">
        <v>864</v>
      </c>
      <c r="B16" s="2" t="s">
        <v>355</v>
      </c>
    </row>
    <row r="17" spans="1:2" ht="24" x14ac:dyDescent="0.6">
      <c r="A17" s="1" t="s">
        <v>859</v>
      </c>
      <c r="B17" s="2" t="s">
        <v>373</v>
      </c>
    </row>
    <row r="18" spans="1:2" ht="24" x14ac:dyDescent="0.6">
      <c r="A18" s="1" t="s">
        <v>612</v>
      </c>
      <c r="B18" s="2" t="s">
        <v>416</v>
      </c>
    </row>
    <row r="19" spans="1:2" ht="24" x14ac:dyDescent="0.6">
      <c r="A19" s="1" t="s">
        <v>560</v>
      </c>
      <c r="B19" s="2" t="s">
        <v>311</v>
      </c>
    </row>
    <row r="20" spans="1:2" ht="24" x14ac:dyDescent="0.6">
      <c r="A20" s="1" t="s">
        <v>642</v>
      </c>
      <c r="B20" s="2" t="s">
        <v>420</v>
      </c>
    </row>
    <row r="21" spans="1:2" ht="24" x14ac:dyDescent="0.6">
      <c r="A21" s="1">
        <v>1113157</v>
      </c>
      <c r="B21" s="2" t="s">
        <v>357</v>
      </c>
    </row>
    <row r="22" spans="1:2" ht="24" x14ac:dyDescent="0.6">
      <c r="A22" s="1" t="s">
        <v>601</v>
      </c>
      <c r="B22" s="2" t="s">
        <v>358</v>
      </c>
    </row>
    <row r="23" spans="1:2" ht="24" x14ac:dyDescent="0.6">
      <c r="A23" s="1" t="s">
        <v>602</v>
      </c>
      <c r="B23" s="2" t="s">
        <v>359</v>
      </c>
    </row>
    <row r="24" spans="1:2" ht="24" x14ac:dyDescent="0.6">
      <c r="A24" s="1">
        <v>20053053</v>
      </c>
      <c r="B24" s="2" t="s">
        <v>360</v>
      </c>
    </row>
    <row r="25" spans="1:2" ht="24" x14ac:dyDescent="0.6">
      <c r="A25" s="1" t="s">
        <v>863</v>
      </c>
      <c r="B25" s="2" t="s">
        <v>361</v>
      </c>
    </row>
    <row r="26" spans="1:2" ht="24" x14ac:dyDescent="0.6">
      <c r="A26" s="1">
        <v>1113004</v>
      </c>
      <c r="B26" s="2" t="s">
        <v>364</v>
      </c>
    </row>
    <row r="27" spans="1:2" ht="24" x14ac:dyDescent="0.6">
      <c r="A27" s="1">
        <v>1111410</v>
      </c>
      <c r="B27" s="2" t="s">
        <v>366</v>
      </c>
    </row>
    <row r="28" spans="1:2" ht="24" x14ac:dyDescent="0.6">
      <c r="A28" s="1">
        <v>1111406</v>
      </c>
      <c r="B28" s="2" t="s">
        <v>365</v>
      </c>
    </row>
    <row r="29" spans="1:2" ht="24" x14ac:dyDescent="0.6">
      <c r="A29" s="1">
        <v>1111410</v>
      </c>
      <c r="B29" s="2" t="s">
        <v>367</v>
      </c>
    </row>
    <row r="30" spans="1:2" ht="24" x14ac:dyDescent="0.6">
      <c r="A30" s="1" t="s">
        <v>596</v>
      </c>
      <c r="B30" s="2" t="s">
        <v>368</v>
      </c>
    </row>
    <row r="31" spans="1:2" ht="24" x14ac:dyDescent="0.6">
      <c r="A31" s="1">
        <v>1200003</v>
      </c>
      <c r="B31" s="2" t="s">
        <v>248</v>
      </c>
    </row>
    <row r="32" spans="1:2" ht="24" x14ac:dyDescent="0.6">
      <c r="A32" s="1">
        <v>1200002</v>
      </c>
      <c r="B32" s="2" t="s">
        <v>249</v>
      </c>
    </row>
    <row r="33" spans="1:2" ht="24" x14ac:dyDescent="0.6">
      <c r="A33" s="1">
        <v>1200001</v>
      </c>
      <c r="B33" s="2" t="s">
        <v>370</v>
      </c>
    </row>
    <row r="34" spans="1:2" ht="24" x14ac:dyDescent="0.6">
      <c r="A34" s="1">
        <v>1006002</v>
      </c>
      <c r="B34" s="2" t="s">
        <v>1086</v>
      </c>
    </row>
    <row r="35" spans="1:2" ht="24" x14ac:dyDescent="0.6">
      <c r="A35" s="1" t="s">
        <v>885</v>
      </c>
      <c r="B35" s="2" t="s">
        <v>378</v>
      </c>
    </row>
    <row r="36" spans="1:2" ht="24" x14ac:dyDescent="0.6">
      <c r="A36" s="1" t="s">
        <v>609</v>
      </c>
      <c r="B36" s="2" t="s">
        <v>381</v>
      </c>
    </row>
    <row r="37" spans="1:2" ht="24" x14ac:dyDescent="0.6">
      <c r="A37" s="1" t="s">
        <v>611</v>
      </c>
      <c r="B37" s="2" t="s">
        <v>382</v>
      </c>
    </row>
    <row r="38" spans="1:2" ht="24" x14ac:dyDescent="0.6">
      <c r="A38" s="1">
        <v>1113084</v>
      </c>
      <c r="B38" s="2" t="s">
        <v>385</v>
      </c>
    </row>
    <row r="39" spans="1:2" ht="24" x14ac:dyDescent="0.6">
      <c r="A39" s="1">
        <v>1124002</v>
      </c>
      <c r="B39" s="2" t="s">
        <v>386</v>
      </c>
    </row>
    <row r="40" spans="1:2" ht="24" x14ac:dyDescent="0.6">
      <c r="A40" s="1">
        <v>1113110</v>
      </c>
      <c r="B40" s="2" t="s">
        <v>134</v>
      </c>
    </row>
    <row r="41" spans="1:2" ht="24" x14ac:dyDescent="0.6">
      <c r="A41" s="1" t="s">
        <v>631</v>
      </c>
      <c r="B41" s="2" t="s">
        <v>390</v>
      </c>
    </row>
    <row r="42" spans="1:2" ht="24" x14ac:dyDescent="0.6">
      <c r="A42" s="1" t="s">
        <v>630</v>
      </c>
      <c r="B42" s="2" t="s">
        <v>389</v>
      </c>
    </row>
    <row r="43" spans="1:2" ht="24" x14ac:dyDescent="0.6">
      <c r="A43" s="1">
        <v>1115298</v>
      </c>
      <c r="B43" s="2" t="s">
        <v>251</v>
      </c>
    </row>
    <row r="44" spans="1:2" ht="24" x14ac:dyDescent="0.6">
      <c r="A44" s="1">
        <v>1113111</v>
      </c>
      <c r="B44" s="2" t="s">
        <v>1093</v>
      </c>
    </row>
    <row r="45" spans="1:2" ht="24" x14ac:dyDescent="0.6">
      <c r="A45" s="1">
        <v>1004054</v>
      </c>
      <c r="B45" s="2" t="s">
        <v>144</v>
      </c>
    </row>
    <row r="46" spans="1:2" ht="24" x14ac:dyDescent="0.6">
      <c r="A46" s="1" t="s">
        <v>617</v>
      </c>
      <c r="B46" s="2" t="s">
        <v>282</v>
      </c>
    </row>
    <row r="47" spans="1:2" ht="24" x14ac:dyDescent="0.6">
      <c r="A47" s="1" t="s">
        <v>624</v>
      </c>
      <c r="B47" s="2" t="s">
        <v>398</v>
      </c>
    </row>
    <row r="48" spans="1:2" ht="24" x14ac:dyDescent="0.6">
      <c r="A48" s="1" t="s">
        <v>622</v>
      </c>
      <c r="B48" s="2" t="s">
        <v>399</v>
      </c>
    </row>
    <row r="49" spans="1:2" ht="24" x14ac:dyDescent="0.6">
      <c r="A49" s="1" t="s">
        <v>623</v>
      </c>
      <c r="B49" s="2" t="s">
        <v>401</v>
      </c>
    </row>
    <row r="50" spans="1:2" ht="24" x14ac:dyDescent="0.6">
      <c r="A50" s="1" t="s">
        <v>621</v>
      </c>
      <c r="B50" s="2" t="s">
        <v>400</v>
      </c>
    </row>
    <row r="51" spans="1:2" ht="24" x14ac:dyDescent="0.6">
      <c r="A51" s="1">
        <v>1114021</v>
      </c>
      <c r="B51" s="2" t="s">
        <v>316</v>
      </c>
    </row>
    <row r="52" spans="1:2" ht="24" x14ac:dyDescent="0.6">
      <c r="A52" s="1" t="s">
        <v>643</v>
      </c>
      <c r="B52" s="2" t="s">
        <v>402</v>
      </c>
    </row>
    <row r="53" spans="1:2" ht="24" x14ac:dyDescent="0.6">
      <c r="A53" s="1" t="s">
        <v>858</v>
      </c>
      <c r="B53" s="2" t="s">
        <v>403</v>
      </c>
    </row>
    <row r="54" spans="1:2" ht="24" x14ac:dyDescent="0.6">
      <c r="A54" s="1">
        <v>1200094</v>
      </c>
      <c r="B54" s="2" t="s">
        <v>118</v>
      </c>
    </row>
    <row r="55" spans="1:2" ht="24" x14ac:dyDescent="0.6">
      <c r="A55" s="1" t="s">
        <v>605</v>
      </c>
      <c r="B55" s="2" t="s">
        <v>247</v>
      </c>
    </row>
    <row r="56" spans="1:2" ht="24" x14ac:dyDescent="0.6">
      <c r="A56" s="1">
        <v>1200086</v>
      </c>
      <c r="B56" s="2" t="s">
        <v>404</v>
      </c>
    </row>
    <row r="57" spans="1:2" ht="24" x14ac:dyDescent="0.6">
      <c r="A57" s="1" t="s">
        <v>893</v>
      </c>
      <c r="B57" s="2" t="s">
        <v>238</v>
      </c>
    </row>
    <row r="58" spans="1:2" ht="24" x14ac:dyDescent="0.6">
      <c r="A58" s="1">
        <v>1113108</v>
      </c>
      <c r="B58" s="2" t="s">
        <v>1091</v>
      </c>
    </row>
    <row r="59" spans="1:2" ht="24" x14ac:dyDescent="0.6">
      <c r="A59" s="1">
        <v>1005761</v>
      </c>
      <c r="B59" s="2" t="s">
        <v>246</v>
      </c>
    </row>
    <row r="60" spans="1:2" ht="24" x14ac:dyDescent="0.6">
      <c r="A60" s="1" t="s">
        <v>605</v>
      </c>
      <c r="B60" s="2" t="s">
        <v>247</v>
      </c>
    </row>
    <row r="61" spans="1:2" ht="24" x14ac:dyDescent="0.6">
      <c r="A61" s="1" t="s">
        <v>590</v>
      </c>
      <c r="B61" s="2" t="s">
        <v>421</v>
      </c>
    </row>
    <row r="62" spans="1:2" ht="24" x14ac:dyDescent="0.6">
      <c r="A62" s="1">
        <v>1120003</v>
      </c>
      <c r="B62" s="2" t="s">
        <v>406</v>
      </c>
    </row>
    <row r="63" spans="1:2" ht="24" x14ac:dyDescent="0.6">
      <c r="A63" s="1">
        <v>1124023</v>
      </c>
      <c r="B63" s="2" t="s">
        <v>407</v>
      </c>
    </row>
    <row r="64" spans="1:2" ht="24" x14ac:dyDescent="0.6">
      <c r="A64" s="1">
        <v>1113143</v>
      </c>
      <c r="B64" s="2" t="s">
        <v>170</v>
      </c>
    </row>
    <row r="65" spans="1:2" ht="24" x14ac:dyDescent="0.6">
      <c r="A65" s="1">
        <v>1200027</v>
      </c>
      <c r="B65" s="2" t="s">
        <v>115</v>
      </c>
    </row>
    <row r="66" spans="1:2" ht="24" x14ac:dyDescent="0.6">
      <c r="A66" s="1">
        <v>1113140</v>
      </c>
      <c r="B66" s="2" t="s">
        <v>1171</v>
      </c>
    </row>
    <row r="67" spans="1:2" ht="24" x14ac:dyDescent="0.6">
      <c r="A67" s="1">
        <v>1113141</v>
      </c>
      <c r="B67" s="2" t="s">
        <v>1174</v>
      </c>
    </row>
    <row r="68" spans="1:2" ht="24" x14ac:dyDescent="0.6">
      <c r="A68" s="1">
        <v>1113142</v>
      </c>
      <c r="B68" s="2" t="s">
        <v>173</v>
      </c>
    </row>
    <row r="69" spans="1:2" ht="24" x14ac:dyDescent="0.6">
      <c r="A69" s="1">
        <v>1113200</v>
      </c>
      <c r="B69" s="2" t="s">
        <v>174</v>
      </c>
    </row>
    <row r="70" spans="1:2" ht="24" x14ac:dyDescent="0.6">
      <c r="A70" s="1">
        <v>1120001</v>
      </c>
      <c r="B70" s="2" t="s">
        <v>180</v>
      </c>
    </row>
    <row r="71" spans="1:2" ht="24" x14ac:dyDescent="0.6">
      <c r="A71" s="1">
        <v>1120002</v>
      </c>
      <c r="B71" s="2" t="s">
        <v>181</v>
      </c>
    </row>
    <row r="72" spans="1:2" ht="24" x14ac:dyDescent="0.6">
      <c r="A72" s="1" t="s">
        <v>544</v>
      </c>
      <c r="B72" s="2" t="s">
        <v>545</v>
      </c>
    </row>
    <row r="73" spans="1:2" ht="24" x14ac:dyDescent="0.6">
      <c r="A73" s="1" t="s">
        <v>854</v>
      </c>
      <c r="B73" s="2" t="s">
        <v>414</v>
      </c>
    </row>
    <row r="74" spans="1:2" ht="24" x14ac:dyDescent="0.6">
      <c r="A74" s="1"/>
      <c r="B74" s="2" t="s">
        <v>258</v>
      </c>
    </row>
    <row r="75" spans="1:2" ht="24" x14ac:dyDescent="0.6">
      <c r="A75" s="1"/>
      <c r="B75" s="2" t="s">
        <v>320</v>
      </c>
    </row>
    <row r="76" spans="1:2" ht="24" x14ac:dyDescent="0.6">
      <c r="A76" s="1"/>
      <c r="B76" s="2" t="s">
        <v>283</v>
      </c>
    </row>
    <row r="77" spans="1:2" ht="24" x14ac:dyDescent="0.6">
      <c r="A77" s="1"/>
      <c r="B77" s="2" t="s">
        <v>284</v>
      </c>
    </row>
    <row r="78" spans="1:2" ht="24" x14ac:dyDescent="0.6">
      <c r="A78" s="1"/>
      <c r="B78" s="2" t="s">
        <v>259</v>
      </c>
    </row>
    <row r="79" spans="1:2" ht="24" x14ac:dyDescent="0.6">
      <c r="A79" s="1"/>
      <c r="B79" s="2" t="s">
        <v>285</v>
      </c>
    </row>
    <row r="80" spans="1:2" ht="24" x14ac:dyDescent="0.6">
      <c r="A80" s="1"/>
      <c r="B80" s="2" t="s">
        <v>260</v>
      </c>
    </row>
    <row r="81" spans="1:2" ht="24" x14ac:dyDescent="0.6">
      <c r="A81" s="1" t="s">
        <v>855</v>
      </c>
      <c r="B81" s="2" t="s">
        <v>856</v>
      </c>
    </row>
    <row r="82" spans="1:2" ht="24" x14ac:dyDescent="0.6">
      <c r="A82" s="1">
        <v>1100011</v>
      </c>
      <c r="B82" s="2" t="s">
        <v>276</v>
      </c>
    </row>
    <row r="83" spans="1:2" ht="24" x14ac:dyDescent="0.6">
      <c r="A83" s="1">
        <v>1100012</v>
      </c>
      <c r="B83" s="2" t="s">
        <v>277</v>
      </c>
    </row>
    <row r="84" spans="1:2" ht="24" x14ac:dyDescent="0.6">
      <c r="A84" s="1">
        <v>1100013</v>
      </c>
      <c r="B84" s="2" t="s">
        <v>278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50"/>
  <sheetViews>
    <sheetView tabSelected="1" zoomScale="70" zoomScaleNormal="70" workbookViewId="0">
      <pane xSplit="10" ySplit="4" topLeftCell="K232" activePane="bottomRight" state="frozen"/>
      <selection activeCell="L234" sqref="L234"/>
      <selection pane="topRight" activeCell="L234" sqref="L234"/>
      <selection pane="bottomLeft" activeCell="L234" sqref="L234"/>
      <selection pane="bottomRight" activeCell="R237" sqref="R237"/>
    </sheetView>
  </sheetViews>
  <sheetFormatPr defaultColWidth="9" defaultRowHeight="24.6" x14ac:dyDescent="0.65"/>
  <cols>
    <col min="1" max="1" width="8.09765625" style="2" customWidth="1"/>
    <col min="2" max="2" width="15.3984375" style="2" bestFit="1" customWidth="1"/>
    <col min="3" max="3" width="44.69921875" style="2" bestFit="1" customWidth="1"/>
    <col min="4" max="4" width="7.3984375" style="2" bestFit="1" customWidth="1"/>
    <col min="5" max="5" width="19.3984375" style="2" customWidth="1"/>
    <col min="6" max="6" width="12.69921875" style="2" customWidth="1"/>
    <col min="7" max="7" width="11.69921875" style="2" customWidth="1"/>
    <col min="8" max="8" width="13" style="2" customWidth="1"/>
    <col min="9" max="9" width="8.69921875" style="2" customWidth="1"/>
    <col min="10" max="10" width="8.19921875" style="2" customWidth="1"/>
    <col min="11" max="11" width="12.8984375" style="2" customWidth="1"/>
    <col min="12" max="12" width="4.19921875" style="5" customWidth="1"/>
    <col min="13" max="13" width="13.19921875" style="2" customWidth="1"/>
    <col min="14" max="14" width="20.69921875" style="2" customWidth="1"/>
    <col min="15" max="15" width="14" style="2" bestFit="1" customWidth="1"/>
    <col min="16" max="16" width="13.19921875" style="2" customWidth="1"/>
    <col min="17" max="17" width="5.09765625" style="2" bestFit="1" customWidth="1"/>
    <col min="18" max="18" width="12.19921875" style="1" bestFit="1" customWidth="1"/>
    <col min="19" max="19" width="11.09765625" style="1" bestFit="1" customWidth="1"/>
    <col min="20" max="20" width="12.69921875" style="1" customWidth="1"/>
    <col min="21" max="21" width="9.8984375" style="1" customWidth="1"/>
    <col min="22" max="22" width="17.09765625" style="1" customWidth="1"/>
    <col min="23" max="24" width="11.8984375" style="1" customWidth="1"/>
    <col min="25" max="25" width="14.69921875" style="1" customWidth="1"/>
    <col min="26" max="26" width="16.19921875" style="2" bestFit="1" customWidth="1"/>
    <col min="27" max="28" width="16.19921875" style="2" customWidth="1"/>
    <col min="29" max="29" width="10.69921875" style="2" customWidth="1"/>
    <col min="30" max="30" width="13.19921875" style="2" bestFit="1" customWidth="1"/>
    <col min="31" max="16384" width="9" style="2"/>
  </cols>
  <sheetData>
    <row r="1" spans="1:29" x14ac:dyDescent="0.65">
      <c r="A1" s="1"/>
    </row>
    <row r="2" spans="1:29" s="3" customFormat="1" ht="28.8" x14ac:dyDescent="0.75">
      <c r="A2" s="102" t="s">
        <v>1397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93"/>
      <c r="P2" s="67"/>
      <c r="Q2" s="102" t="s">
        <v>1397</v>
      </c>
      <c r="R2" s="102"/>
      <c r="S2" s="102"/>
      <c r="T2" s="102"/>
      <c r="U2" s="102"/>
      <c r="V2" s="102"/>
      <c r="W2" s="102"/>
      <c r="X2" s="102"/>
      <c r="Y2" s="102"/>
      <c r="Z2" s="102"/>
      <c r="AA2" s="95"/>
      <c r="AB2" s="95"/>
    </row>
    <row r="3" spans="1:29" s="5" customFormat="1" ht="24.6" customHeight="1" x14ac:dyDescent="0.7">
      <c r="A3" s="108" t="s">
        <v>1</v>
      </c>
      <c r="B3" s="108" t="s">
        <v>1368</v>
      </c>
      <c r="C3" s="108" t="s">
        <v>2</v>
      </c>
      <c r="D3" s="108" t="s">
        <v>1369</v>
      </c>
      <c r="E3" s="108" t="s">
        <v>3</v>
      </c>
      <c r="F3" s="108" t="s">
        <v>4</v>
      </c>
      <c r="G3" s="108" t="s">
        <v>5</v>
      </c>
      <c r="H3" s="77" t="s">
        <v>6</v>
      </c>
      <c r="I3" s="109" t="s">
        <v>273</v>
      </c>
      <c r="J3" s="108" t="s">
        <v>7</v>
      </c>
      <c r="K3" s="145" t="s">
        <v>8</v>
      </c>
      <c r="L3" s="145"/>
      <c r="M3" s="145"/>
      <c r="N3" s="108" t="s">
        <v>9</v>
      </c>
      <c r="O3" s="146" t="s">
        <v>274</v>
      </c>
      <c r="P3" s="148" t="s">
        <v>275</v>
      </c>
      <c r="Q3" s="105" t="s">
        <v>214</v>
      </c>
      <c r="R3" s="105" t="s">
        <v>215</v>
      </c>
      <c r="S3" s="105" t="s">
        <v>10</v>
      </c>
      <c r="T3" s="105" t="s">
        <v>216</v>
      </c>
      <c r="U3" s="105" t="s">
        <v>217</v>
      </c>
      <c r="V3" s="103" t="s">
        <v>218</v>
      </c>
      <c r="W3" s="103" t="s">
        <v>219</v>
      </c>
      <c r="X3" s="103" t="s">
        <v>220</v>
      </c>
      <c r="Y3" s="105" t="s">
        <v>221</v>
      </c>
      <c r="Z3" s="106" t="s">
        <v>222</v>
      </c>
      <c r="AA3" s="141" t="s">
        <v>1380</v>
      </c>
      <c r="AB3" s="142" t="s">
        <v>1381</v>
      </c>
    </row>
    <row r="4" spans="1:29" s="5" customFormat="1" ht="24.6" customHeight="1" x14ac:dyDescent="0.7">
      <c r="A4" s="108"/>
      <c r="B4" s="108"/>
      <c r="C4" s="108"/>
      <c r="D4" s="108"/>
      <c r="E4" s="108"/>
      <c r="F4" s="108"/>
      <c r="G4" s="108"/>
      <c r="H4" s="77" t="s">
        <v>11</v>
      </c>
      <c r="I4" s="110"/>
      <c r="J4" s="108"/>
      <c r="K4" s="62" t="s">
        <v>12</v>
      </c>
      <c r="L4" s="42" t="s">
        <v>13</v>
      </c>
      <c r="M4" s="62" t="s">
        <v>14</v>
      </c>
      <c r="N4" s="108"/>
      <c r="O4" s="147"/>
      <c r="P4" s="149"/>
      <c r="Q4" s="105"/>
      <c r="R4" s="105"/>
      <c r="S4" s="105"/>
      <c r="T4" s="105"/>
      <c r="U4" s="105"/>
      <c r="V4" s="104"/>
      <c r="W4" s="104"/>
      <c r="X4" s="104"/>
      <c r="Y4" s="105"/>
      <c r="Z4" s="107"/>
      <c r="AA4" s="141"/>
      <c r="AB4" s="143"/>
    </row>
    <row r="5" spans="1:29" x14ac:dyDescent="0.65">
      <c r="A5" s="10">
        <v>1</v>
      </c>
      <c r="B5" s="10" t="s">
        <v>1065</v>
      </c>
      <c r="C5" s="19" t="s">
        <v>1066</v>
      </c>
      <c r="D5" s="10" t="s">
        <v>434</v>
      </c>
      <c r="E5" s="46">
        <f>+ยกมา!J5</f>
        <v>0</v>
      </c>
      <c r="F5" s="44">
        <f>+'31.'!F5+'1'!F5+'2'!F5+'3'!F5</f>
        <v>15</v>
      </c>
      <c r="G5" s="43">
        <f t="shared" ref="G5" si="0">+E5+F5</f>
        <v>15</v>
      </c>
      <c r="H5" s="78">
        <f>+'31.'!H5+'1'!H5+'2'!H5+'3'!H5</f>
        <v>0</v>
      </c>
      <c r="I5" s="76">
        <f>+'31.'!I5+'1'!I5+'2'!I5+'3'!I5</f>
        <v>0</v>
      </c>
      <c r="J5" s="43">
        <f>E5+F5-H5-K5-I5</f>
        <v>0</v>
      </c>
      <c r="K5" s="44">
        <f>+'31.'!K5+'1'!K5+'2'!K5+'3'!K5</f>
        <v>15</v>
      </c>
      <c r="L5" s="15">
        <v>50</v>
      </c>
      <c r="M5" s="44">
        <f>+'31.'!M5+'1'!M5+'2'!M5+'3'!M5</f>
        <v>750</v>
      </c>
      <c r="N5" s="19"/>
      <c r="O5" s="90">
        <v>22.48</v>
      </c>
      <c r="P5" s="79">
        <f>+K5*O5</f>
        <v>337.2</v>
      </c>
      <c r="Q5" s="45">
        <v>31</v>
      </c>
      <c r="R5" s="46">
        <f>+'31.'!N242</f>
        <v>15735</v>
      </c>
      <c r="S5" s="46">
        <f>+'31.'!N247</f>
        <v>1850</v>
      </c>
      <c r="T5" s="46">
        <f>+'31.'!N245</f>
        <v>0</v>
      </c>
      <c r="U5" s="66">
        <f>+'31.'!N243</f>
        <v>0</v>
      </c>
      <c r="V5" s="46">
        <f>+'31.'!N246</f>
        <v>0</v>
      </c>
      <c r="W5" s="46">
        <f>+'31.'!N244</f>
        <v>10370</v>
      </c>
      <c r="X5" s="46">
        <f>+R5-S5-T5-U5-V5-W5</f>
        <v>3515</v>
      </c>
      <c r="Y5" s="46">
        <f>+'31.'!N249</f>
        <v>3273</v>
      </c>
      <c r="Z5" s="47">
        <f>+Y5-X5</f>
        <v>-242</v>
      </c>
      <c r="AA5" s="47" t="s">
        <v>1382</v>
      </c>
      <c r="AB5" s="47">
        <f>+W5+Y5</f>
        <v>13643</v>
      </c>
      <c r="AC5" s="57">
        <f>+W5+Y5+Z5</f>
        <v>13401</v>
      </c>
    </row>
    <row r="6" spans="1:29" x14ac:dyDescent="0.65">
      <c r="A6" s="10">
        <v>2</v>
      </c>
      <c r="B6" s="10" t="s">
        <v>1063</v>
      </c>
      <c r="C6" s="19" t="s">
        <v>1064</v>
      </c>
      <c r="D6" s="10" t="s">
        <v>434</v>
      </c>
      <c r="E6" s="46">
        <f>+ยกมา!J6</f>
        <v>0</v>
      </c>
      <c r="F6" s="44">
        <f>+'31.'!F6+'1'!F6+'2'!F6+'3'!F6</f>
        <v>15</v>
      </c>
      <c r="G6" s="43">
        <f t="shared" ref="G6:G69" si="1">+E6+F6</f>
        <v>15</v>
      </c>
      <c r="H6" s="78">
        <f>+'31.'!H6+'1'!H6+'2'!H6+'3'!H6</f>
        <v>0</v>
      </c>
      <c r="I6" s="76">
        <f>+'31.'!I6+'1'!I6+'2'!I6+'3'!I6</f>
        <v>0</v>
      </c>
      <c r="J6" s="43">
        <f t="shared" ref="J6:J69" si="2">E6+F6-H6-K6-I6</f>
        <v>5</v>
      </c>
      <c r="K6" s="44">
        <f>+'31.'!K6+'1'!K6+'2'!K6+'3'!K6</f>
        <v>10</v>
      </c>
      <c r="L6" s="15">
        <v>100</v>
      </c>
      <c r="M6" s="44">
        <f>+'31.'!M6+'1'!M6+'2'!M6+'3'!M6</f>
        <v>1000</v>
      </c>
      <c r="N6" s="19"/>
      <c r="O6" s="90">
        <v>39.29</v>
      </c>
      <c r="P6" s="79">
        <f t="shared" ref="P6:P70" si="3">+K6*O6</f>
        <v>392.9</v>
      </c>
      <c r="Q6" s="45">
        <v>1</v>
      </c>
      <c r="R6" s="46">
        <f>+'1'!N242</f>
        <v>0</v>
      </c>
      <c r="S6" s="46">
        <f>+'1'!N247</f>
        <v>0</v>
      </c>
      <c r="T6" s="46">
        <f>+'1'!N245</f>
        <v>0</v>
      </c>
      <c r="U6" s="66">
        <f>+'1'!N243</f>
        <v>0</v>
      </c>
      <c r="V6" s="46">
        <f>+'1'!N246</f>
        <v>0</v>
      </c>
      <c r="W6" s="46">
        <f>+'1'!N244</f>
        <v>0</v>
      </c>
      <c r="X6" s="46">
        <f>+R6-S6-T6-U6-V6-W6</f>
        <v>0</v>
      </c>
      <c r="Y6" s="46">
        <f>+'1'!N249</f>
        <v>0</v>
      </c>
      <c r="Z6" s="47">
        <f t="shared" ref="Z6:Z8" si="4">+Y6-X6</f>
        <v>0</v>
      </c>
      <c r="AA6" s="47" t="s">
        <v>1383</v>
      </c>
      <c r="AB6" s="47">
        <f t="shared" ref="AB6:AB8" si="5">+W6+Y6</f>
        <v>0</v>
      </c>
      <c r="AC6" s="57">
        <f t="shared" ref="AC6:AC8" si="6">+W6+Y6+Z6</f>
        <v>0</v>
      </c>
    </row>
    <row r="7" spans="1:29" x14ac:dyDescent="0.65">
      <c r="A7" s="10">
        <v>3</v>
      </c>
      <c r="B7" s="10" t="s">
        <v>1321</v>
      </c>
      <c r="C7" s="19" t="s">
        <v>300</v>
      </c>
      <c r="D7" s="10" t="s">
        <v>566</v>
      </c>
      <c r="E7" s="46">
        <f>+ยกมา!J7</f>
        <v>0</v>
      </c>
      <c r="F7" s="44">
        <f>+'31.'!F7+'1'!F7+'2'!F7+'3'!F7</f>
        <v>5</v>
      </c>
      <c r="G7" s="43">
        <f t="shared" si="1"/>
        <v>5</v>
      </c>
      <c r="H7" s="78">
        <f>+'31.'!H7+'1'!H7+'2'!H7+'3'!H7</f>
        <v>0</v>
      </c>
      <c r="I7" s="76">
        <f>+'31.'!I7+'1'!I7+'2'!I7+'3'!I7</f>
        <v>0</v>
      </c>
      <c r="J7" s="43">
        <f t="shared" si="2"/>
        <v>1</v>
      </c>
      <c r="K7" s="44">
        <f>+'31.'!K7+'1'!K7+'2'!K7+'3'!K7</f>
        <v>4</v>
      </c>
      <c r="L7" s="15">
        <v>50</v>
      </c>
      <c r="M7" s="44">
        <f>+'31.'!M7+'1'!M7+'2'!M7+'3'!M7</f>
        <v>200</v>
      </c>
      <c r="N7" s="19"/>
      <c r="O7" s="90">
        <v>26.11</v>
      </c>
      <c r="P7" s="79">
        <f t="shared" si="3"/>
        <v>104.44</v>
      </c>
      <c r="Q7" s="45">
        <v>2</v>
      </c>
      <c r="R7" s="46">
        <f>+'2'!N242</f>
        <v>0</v>
      </c>
      <c r="S7" s="46">
        <f>+'2'!N247</f>
        <v>0</v>
      </c>
      <c r="T7" s="46">
        <f>+'2'!N245</f>
        <v>0</v>
      </c>
      <c r="U7" s="46">
        <f>+'2'!N243</f>
        <v>0</v>
      </c>
      <c r="V7" s="46">
        <f>+'2'!N246</f>
        <v>0</v>
      </c>
      <c r="W7" s="46">
        <f>+'2'!N244</f>
        <v>0</v>
      </c>
      <c r="X7" s="46">
        <f>+R7-S7-T7-U7-V7-W7</f>
        <v>0</v>
      </c>
      <c r="Y7" s="46">
        <f>+'2'!N249</f>
        <v>0</v>
      </c>
      <c r="Z7" s="47">
        <f>+Y7-X7</f>
        <v>0</v>
      </c>
      <c r="AA7" s="98" t="s">
        <v>1384</v>
      </c>
      <c r="AB7" s="47">
        <f>+W7+Y7</f>
        <v>0</v>
      </c>
      <c r="AC7" s="57">
        <f t="shared" si="6"/>
        <v>0</v>
      </c>
    </row>
    <row r="8" spans="1:29" x14ac:dyDescent="0.65">
      <c r="A8" s="10">
        <v>4</v>
      </c>
      <c r="B8" s="10" t="s">
        <v>1318</v>
      </c>
      <c r="C8" s="19" t="s">
        <v>299</v>
      </c>
      <c r="D8" s="10" t="s">
        <v>434</v>
      </c>
      <c r="E8" s="46">
        <f>+ยกมา!J8</f>
        <v>0</v>
      </c>
      <c r="F8" s="44">
        <f>+'31.'!F8+'1'!F8+'2'!F8+'3'!F8</f>
        <v>0</v>
      </c>
      <c r="G8" s="43">
        <f t="shared" si="1"/>
        <v>0</v>
      </c>
      <c r="H8" s="78">
        <f>+'31.'!H8+'1'!H8+'2'!H8+'3'!H8</f>
        <v>0</v>
      </c>
      <c r="I8" s="76">
        <f>+'31.'!I8+'1'!I8+'2'!I8+'3'!I8</f>
        <v>0</v>
      </c>
      <c r="J8" s="43">
        <f t="shared" si="2"/>
        <v>0</v>
      </c>
      <c r="K8" s="44">
        <f>+'31.'!K8+'1'!K8+'2'!K8+'3'!K8</f>
        <v>0</v>
      </c>
      <c r="L8" s="15">
        <v>100</v>
      </c>
      <c r="M8" s="44">
        <f>+'31.'!M8+'1'!M8+'2'!M8+'3'!M8</f>
        <v>0</v>
      </c>
      <c r="N8" s="19"/>
      <c r="O8" s="90">
        <v>33.89</v>
      </c>
      <c r="P8" s="79">
        <f t="shared" si="3"/>
        <v>0</v>
      </c>
      <c r="Q8" s="45">
        <v>3</v>
      </c>
      <c r="R8" s="46">
        <f>+'3'!N242</f>
        <v>0</v>
      </c>
      <c r="S8" s="46">
        <f>+'3'!N247</f>
        <v>0</v>
      </c>
      <c r="T8" s="46">
        <f>+'3'!N245</f>
        <v>0</v>
      </c>
      <c r="U8" s="46">
        <f>+'3'!N243</f>
        <v>0</v>
      </c>
      <c r="V8" s="46">
        <f>+'3'!N246</f>
        <v>0</v>
      </c>
      <c r="W8" s="46">
        <f>+'3'!N244</f>
        <v>0</v>
      </c>
      <c r="X8" s="46">
        <f t="shared" ref="X8" si="7">+R8-S8-T8-U8-V8-W8</f>
        <v>0</v>
      </c>
      <c r="Y8" s="46">
        <f>+'3'!N249</f>
        <v>0</v>
      </c>
      <c r="Z8" s="47">
        <f t="shared" si="4"/>
        <v>0</v>
      </c>
      <c r="AA8" s="98" t="s">
        <v>1385</v>
      </c>
      <c r="AB8" s="47">
        <f t="shared" si="5"/>
        <v>0</v>
      </c>
      <c r="AC8" s="57">
        <f t="shared" si="6"/>
        <v>0</v>
      </c>
    </row>
    <row r="9" spans="1:29" x14ac:dyDescent="0.65">
      <c r="A9" s="10">
        <v>5</v>
      </c>
      <c r="B9" s="10" t="s">
        <v>1145</v>
      </c>
      <c r="C9" s="19" t="s">
        <v>20</v>
      </c>
      <c r="D9" s="10" t="s">
        <v>566</v>
      </c>
      <c r="E9" s="46">
        <f>+ยกมา!J9</f>
        <v>0</v>
      </c>
      <c r="F9" s="44">
        <f>+'31.'!F9+'1'!F9+'2'!F9+'3'!F9</f>
        <v>0</v>
      </c>
      <c r="G9" s="43">
        <f t="shared" si="1"/>
        <v>0</v>
      </c>
      <c r="H9" s="78">
        <f>+'31.'!H9+'1'!H9+'2'!H9+'3'!H9</f>
        <v>0</v>
      </c>
      <c r="I9" s="76">
        <f>+'31.'!I9+'1'!I9+'2'!I9+'3'!I9</f>
        <v>0</v>
      </c>
      <c r="J9" s="43">
        <f t="shared" si="2"/>
        <v>0</v>
      </c>
      <c r="K9" s="44">
        <f>+'31.'!K9+'1'!K9+'2'!K9+'3'!K9</f>
        <v>0</v>
      </c>
      <c r="L9" s="15">
        <v>10</v>
      </c>
      <c r="M9" s="44">
        <f>+'31.'!M9+'1'!M9+'2'!M9+'3'!M9</f>
        <v>0</v>
      </c>
      <c r="N9" s="19"/>
      <c r="O9" s="92"/>
      <c r="P9" s="79">
        <f t="shared" si="3"/>
        <v>0</v>
      </c>
      <c r="Q9" s="45"/>
      <c r="R9" s="48">
        <f t="shared" ref="R9:AB9" si="8">SUM(R5:R8)</f>
        <v>15735</v>
      </c>
      <c r="S9" s="48">
        <f t="shared" si="8"/>
        <v>1850</v>
      </c>
      <c r="T9" s="48">
        <f t="shared" si="8"/>
        <v>0</v>
      </c>
      <c r="U9" s="48">
        <f t="shared" si="8"/>
        <v>0</v>
      </c>
      <c r="V9" s="48">
        <f t="shared" si="8"/>
        <v>0</v>
      </c>
      <c r="W9" s="48">
        <f t="shared" si="8"/>
        <v>10370</v>
      </c>
      <c r="X9" s="48">
        <f t="shared" si="8"/>
        <v>3515</v>
      </c>
      <c r="Y9" s="48">
        <f t="shared" si="8"/>
        <v>3273</v>
      </c>
      <c r="Z9" s="48">
        <f t="shared" si="8"/>
        <v>-242</v>
      </c>
      <c r="AA9" s="48">
        <f t="shared" si="8"/>
        <v>0</v>
      </c>
      <c r="AB9" s="48">
        <f t="shared" si="8"/>
        <v>13643</v>
      </c>
      <c r="AC9" s="5"/>
    </row>
    <row r="10" spans="1:29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46">
        <f>+ยกมา!J10</f>
        <v>0</v>
      </c>
      <c r="F10" s="44">
        <f>+'31.'!F10+'1'!F10+'2'!F10+'3'!F10</f>
        <v>0</v>
      </c>
      <c r="G10" s="43">
        <f t="shared" si="1"/>
        <v>0</v>
      </c>
      <c r="H10" s="78">
        <f>+'31.'!H10+'1'!H10+'2'!H10+'3'!H10</f>
        <v>0</v>
      </c>
      <c r="I10" s="76">
        <f>+'31.'!I10+'1'!I10+'2'!I10+'3'!I10</f>
        <v>0</v>
      </c>
      <c r="J10" s="43">
        <f t="shared" si="2"/>
        <v>0</v>
      </c>
      <c r="K10" s="44">
        <f>+'31.'!K10+'1'!K10+'2'!K10+'3'!K10</f>
        <v>0</v>
      </c>
      <c r="L10" s="15">
        <v>15</v>
      </c>
      <c r="M10" s="44">
        <f>+'31.'!M10+'1'!M10+'2'!M10+'3'!M10</f>
        <v>0</v>
      </c>
      <c r="N10" s="19"/>
      <c r="O10" s="92"/>
      <c r="P10" s="79">
        <f t="shared" si="3"/>
        <v>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29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46">
        <f>+ยกมา!J11</f>
        <v>0</v>
      </c>
      <c r="F11" s="44">
        <f>+'31.'!F11+'1'!F11+'2'!F11+'3'!F11</f>
        <v>10</v>
      </c>
      <c r="G11" s="43">
        <f t="shared" si="1"/>
        <v>10</v>
      </c>
      <c r="H11" s="78">
        <f>+'31.'!H11+'1'!H11+'2'!H11+'3'!H11</f>
        <v>0</v>
      </c>
      <c r="I11" s="76">
        <f>+'31.'!I11+'1'!I11+'2'!I11+'3'!I11</f>
        <v>0</v>
      </c>
      <c r="J11" s="43">
        <f t="shared" si="2"/>
        <v>4</v>
      </c>
      <c r="K11" s="44">
        <f>+'31.'!K11+'1'!K11+'2'!K11+'3'!K11</f>
        <v>6</v>
      </c>
      <c r="L11" s="15">
        <v>50</v>
      </c>
      <c r="M11" s="44">
        <f>+'31.'!M11+'1'!M11+'2'!M11+'3'!M11</f>
        <v>300</v>
      </c>
      <c r="N11" s="19"/>
      <c r="O11" s="90">
        <v>16.940000000000001</v>
      </c>
      <c r="P11" s="79">
        <f t="shared" si="3"/>
        <v>101.64000000000001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 t="s">
        <v>1404</v>
      </c>
      <c r="AB11" s="5"/>
    </row>
    <row r="12" spans="1:29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46">
        <f>+ยกมา!J12</f>
        <v>0</v>
      </c>
      <c r="F12" s="44">
        <f>+'31.'!F12+'1'!F12+'2'!F12+'3'!F12</f>
        <v>0</v>
      </c>
      <c r="G12" s="43">
        <f t="shared" si="1"/>
        <v>0</v>
      </c>
      <c r="H12" s="78">
        <f>+'31.'!H12+'1'!H12+'2'!H12+'3'!H12</f>
        <v>0</v>
      </c>
      <c r="I12" s="76">
        <f>+'31.'!I12+'1'!I12+'2'!I12+'3'!I12</f>
        <v>0</v>
      </c>
      <c r="J12" s="43">
        <f t="shared" si="2"/>
        <v>0</v>
      </c>
      <c r="K12" s="44">
        <f>+'31.'!K12+'1'!K12+'2'!K12+'3'!K12</f>
        <v>0</v>
      </c>
      <c r="L12" s="15">
        <v>50</v>
      </c>
      <c r="M12" s="44">
        <f>+'31.'!M12+'1'!M12+'2'!M12+'3'!M12</f>
        <v>0</v>
      </c>
      <c r="N12" s="19"/>
      <c r="O12" s="92"/>
      <c r="P12" s="79">
        <f t="shared" si="3"/>
        <v>0</v>
      </c>
      <c r="Q12" s="5"/>
      <c r="R12" s="144" t="s">
        <v>1370</v>
      </c>
      <c r="S12" s="5" t="s">
        <v>1377</v>
      </c>
      <c r="T12" s="96" t="s">
        <v>1378</v>
      </c>
      <c r="U12" s="5"/>
      <c r="V12" s="5"/>
      <c r="W12" s="5"/>
      <c r="X12" s="5"/>
      <c r="Y12" s="5"/>
      <c r="Z12" s="5"/>
      <c r="AA12" s="5">
        <f>3273-6270</f>
        <v>-2997</v>
      </c>
      <c r="AB12" s="5"/>
      <c r="AC12" s="5"/>
    </row>
    <row r="13" spans="1:29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46">
        <f>+ยกมา!J13</f>
        <v>0</v>
      </c>
      <c r="F13" s="44">
        <f>+'31.'!F13+'1'!F13+'2'!F13+'3'!F13</f>
        <v>0</v>
      </c>
      <c r="G13" s="43">
        <f t="shared" si="1"/>
        <v>0</v>
      </c>
      <c r="H13" s="78">
        <f>+'31.'!H13+'1'!H13+'2'!H13+'3'!H13</f>
        <v>0</v>
      </c>
      <c r="I13" s="76">
        <f>+'31.'!I13+'1'!I13+'2'!I13+'3'!I13</f>
        <v>0</v>
      </c>
      <c r="J13" s="43">
        <f t="shared" si="2"/>
        <v>0</v>
      </c>
      <c r="K13" s="44">
        <f>+'31.'!K13+'1'!K13+'2'!K13+'3'!K13</f>
        <v>0</v>
      </c>
      <c r="L13" s="15">
        <v>50</v>
      </c>
      <c r="M13" s="44">
        <f>+'31.'!M13+'1'!M13+'2'!M13+'3'!M13</f>
        <v>0</v>
      </c>
      <c r="N13" s="19"/>
      <c r="O13" s="90">
        <v>17.32</v>
      </c>
      <c r="P13" s="79">
        <f t="shared" si="3"/>
        <v>0</v>
      </c>
      <c r="Q13" s="5"/>
      <c r="R13" s="144"/>
      <c r="S13" s="5"/>
      <c r="T13" s="96" t="s">
        <v>1395</v>
      </c>
      <c r="U13" s="5"/>
      <c r="V13" s="5"/>
      <c r="W13" s="5"/>
      <c r="X13" s="5"/>
      <c r="Y13" s="5"/>
      <c r="Z13" s="5"/>
      <c r="AA13" s="5"/>
      <c r="AB13" s="5"/>
      <c r="AC13" s="5"/>
    </row>
    <row r="14" spans="1:29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46">
        <f>+ยกมา!J14</f>
        <v>0</v>
      </c>
      <c r="F14" s="44">
        <f>+'31.'!F14+'1'!F14+'2'!F14+'3'!F14</f>
        <v>5</v>
      </c>
      <c r="G14" s="43">
        <f t="shared" si="1"/>
        <v>5</v>
      </c>
      <c r="H14" s="78">
        <f>+'31.'!H14+'1'!H14+'2'!H14+'3'!H14</f>
        <v>0</v>
      </c>
      <c r="I14" s="76">
        <f>+'31.'!I14+'1'!I14+'2'!I14+'3'!I14</f>
        <v>0</v>
      </c>
      <c r="J14" s="43">
        <f t="shared" si="2"/>
        <v>2</v>
      </c>
      <c r="K14" s="44">
        <f>+'31.'!K14+'1'!K14+'2'!K14+'3'!K14</f>
        <v>3</v>
      </c>
      <c r="L14" s="15">
        <v>50</v>
      </c>
      <c r="M14" s="44">
        <f>+'31.'!M14+'1'!M14+'2'!M14+'3'!M14</f>
        <v>150</v>
      </c>
      <c r="N14" s="19"/>
      <c r="O14" s="90">
        <v>21.22</v>
      </c>
      <c r="P14" s="79">
        <f t="shared" si="3"/>
        <v>63.66</v>
      </c>
      <c r="Q14" s="5"/>
      <c r="R14" s="5"/>
      <c r="S14" s="5"/>
      <c r="T14" s="96" t="s">
        <v>1379</v>
      </c>
      <c r="U14" s="5"/>
      <c r="V14" s="5"/>
      <c r="W14" s="97"/>
      <c r="X14" s="5"/>
      <c r="Y14" s="5"/>
      <c r="Z14" s="5"/>
      <c r="AA14" s="5"/>
      <c r="AB14" s="5"/>
      <c r="AC14" s="5"/>
    </row>
    <row r="15" spans="1:29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46">
        <f>+ยกมา!J15</f>
        <v>0</v>
      </c>
      <c r="F15" s="44">
        <f>+'31.'!F15+'1'!F15+'2'!F15+'3'!F15</f>
        <v>0</v>
      </c>
      <c r="G15" s="43">
        <f t="shared" si="1"/>
        <v>0</v>
      </c>
      <c r="H15" s="78">
        <f>+'31.'!H15+'1'!H15+'2'!H15+'3'!H15</f>
        <v>0</v>
      </c>
      <c r="I15" s="76">
        <f>+'31.'!I15+'1'!I15+'2'!I15+'3'!I15</f>
        <v>0</v>
      </c>
      <c r="J15" s="43">
        <f t="shared" si="2"/>
        <v>0</v>
      </c>
      <c r="K15" s="44">
        <f>+'31.'!K15+'1'!K15+'2'!K15+'3'!K15</f>
        <v>0</v>
      </c>
      <c r="L15" s="15">
        <v>50</v>
      </c>
      <c r="M15" s="44">
        <f>+'31.'!M15+'1'!M15+'2'!M15+'3'!M15</f>
        <v>0</v>
      </c>
      <c r="N15" s="19"/>
      <c r="O15" s="90">
        <v>24.37</v>
      </c>
      <c r="P15" s="79">
        <f t="shared" si="3"/>
        <v>0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9" x14ac:dyDescent="0.65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+'31.'!F16+'1'!F16+'2'!F16+'3'!F16</f>
        <v>0</v>
      </c>
      <c r="G16" s="43">
        <f t="shared" si="1"/>
        <v>0</v>
      </c>
      <c r="H16" s="78">
        <f>+'31.'!H16+'1'!H16+'2'!H16+'3'!H16</f>
        <v>0</v>
      </c>
      <c r="I16" s="76">
        <f>+'31.'!I16+'1'!I16+'2'!I16+'3'!I16</f>
        <v>0</v>
      </c>
      <c r="J16" s="43">
        <f t="shared" si="2"/>
        <v>0</v>
      </c>
      <c r="K16" s="44">
        <f>+'31.'!K16+'1'!K16+'2'!K16+'3'!K16</f>
        <v>0</v>
      </c>
      <c r="L16" s="15">
        <v>50</v>
      </c>
      <c r="M16" s="44">
        <f>+'31.'!M16+'1'!M16+'2'!M16+'3'!M16</f>
        <v>0</v>
      </c>
      <c r="N16" s="19"/>
      <c r="O16" s="90"/>
      <c r="P16" s="79">
        <f t="shared" si="3"/>
        <v>0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46">
        <f>+ยกมา!J17</f>
        <v>0</v>
      </c>
      <c r="F17" s="44">
        <f>+'31.'!F17+'1'!F17+'2'!F17+'3'!F17</f>
        <v>0</v>
      </c>
      <c r="G17" s="43">
        <f t="shared" si="1"/>
        <v>0</v>
      </c>
      <c r="H17" s="78">
        <f>+'31.'!H17+'1'!H17+'2'!H17+'3'!H17</f>
        <v>0</v>
      </c>
      <c r="I17" s="76">
        <f>+'31.'!I17+'1'!I17+'2'!I17+'3'!I17</f>
        <v>0</v>
      </c>
      <c r="J17" s="43">
        <f t="shared" si="2"/>
        <v>0</v>
      </c>
      <c r="K17" s="44">
        <f>+'31.'!K17+'1'!K17+'2'!K17+'3'!K17</f>
        <v>0</v>
      </c>
      <c r="L17" s="15">
        <v>50</v>
      </c>
      <c r="M17" s="44">
        <f>+'31.'!M17+'1'!M17+'2'!M17+'3'!M17</f>
        <v>0</v>
      </c>
      <c r="N17" s="19"/>
      <c r="O17" s="90">
        <v>15.05</v>
      </c>
      <c r="P17" s="79">
        <f t="shared" si="3"/>
        <v>0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46">
        <f>+ยกมา!J18</f>
        <v>0</v>
      </c>
      <c r="F18" s="44">
        <f>+'31.'!F18+'1'!F18+'2'!F18+'3'!F18</f>
        <v>5</v>
      </c>
      <c r="G18" s="43">
        <f t="shared" si="1"/>
        <v>5</v>
      </c>
      <c r="H18" s="78">
        <f>+'31.'!H18+'1'!H18+'2'!H18+'3'!H18</f>
        <v>0</v>
      </c>
      <c r="I18" s="76">
        <f>+'31.'!I18+'1'!I18+'2'!I18+'3'!I18</f>
        <v>0</v>
      </c>
      <c r="J18" s="43">
        <f t="shared" si="2"/>
        <v>4</v>
      </c>
      <c r="K18" s="44">
        <f>+'31.'!K18+'1'!K18+'2'!K18+'3'!K18</f>
        <v>1</v>
      </c>
      <c r="L18" s="15">
        <v>50</v>
      </c>
      <c r="M18" s="44">
        <f>+'31.'!M18+'1'!M18+'2'!M18+'3'!M18</f>
        <v>50</v>
      </c>
      <c r="N18" s="19"/>
      <c r="O18" s="90">
        <v>18.77</v>
      </c>
      <c r="P18" s="79">
        <f t="shared" si="3"/>
        <v>18.77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9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46">
        <f>+ยกมา!J19</f>
        <v>0</v>
      </c>
      <c r="F19" s="44">
        <f>+'31.'!F19+'1'!F19+'2'!F19+'3'!F19</f>
        <v>0</v>
      </c>
      <c r="G19" s="43">
        <f t="shared" si="1"/>
        <v>0</v>
      </c>
      <c r="H19" s="78">
        <f>+'31.'!H19+'1'!H19+'2'!H19+'3'!H19</f>
        <v>0</v>
      </c>
      <c r="I19" s="76">
        <f>+'31.'!I19+'1'!I19+'2'!I19+'3'!I19</f>
        <v>0</v>
      </c>
      <c r="J19" s="43">
        <f t="shared" si="2"/>
        <v>0</v>
      </c>
      <c r="K19" s="44">
        <f>+'31.'!K19+'1'!K19+'2'!K19+'3'!K19</f>
        <v>0</v>
      </c>
      <c r="L19" s="15">
        <v>50</v>
      </c>
      <c r="M19" s="44">
        <f>+'31.'!M19+'1'!M19+'2'!M19+'3'!M19</f>
        <v>0</v>
      </c>
      <c r="N19" s="19"/>
      <c r="O19" s="90">
        <v>19.04</v>
      </c>
      <c r="P19" s="79">
        <f t="shared" si="3"/>
        <v>0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9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46">
        <f>+ยกมา!J20</f>
        <v>0</v>
      </c>
      <c r="F20" s="44">
        <f>+'31.'!F20+'1'!F20+'2'!F20+'3'!F20</f>
        <v>5</v>
      </c>
      <c r="G20" s="43">
        <f t="shared" si="1"/>
        <v>5</v>
      </c>
      <c r="H20" s="78">
        <f>+'31.'!H20+'1'!H20+'2'!H20+'3'!H20</f>
        <v>0</v>
      </c>
      <c r="I20" s="76">
        <f>+'31.'!I20+'1'!I20+'2'!I20+'3'!I20</f>
        <v>0</v>
      </c>
      <c r="J20" s="43">
        <f t="shared" si="2"/>
        <v>0</v>
      </c>
      <c r="K20" s="44">
        <f>+'31.'!K20+'1'!K20+'2'!K20+'3'!K20</f>
        <v>5</v>
      </c>
      <c r="L20" s="15">
        <v>65</v>
      </c>
      <c r="M20" s="44">
        <f>+'31.'!M20+'1'!M20+'2'!M20+'3'!M20</f>
        <v>325</v>
      </c>
      <c r="N20" s="19"/>
      <c r="O20" s="90">
        <v>22.25</v>
      </c>
      <c r="P20" s="79">
        <f t="shared" si="3"/>
        <v>111.25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9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46">
        <f>+ยกมา!J21</f>
        <v>0</v>
      </c>
      <c r="F21" s="44">
        <f>+'31.'!F21+'1'!F21+'2'!F21+'3'!F21</f>
        <v>0</v>
      </c>
      <c r="G21" s="43">
        <f t="shared" si="1"/>
        <v>0</v>
      </c>
      <c r="H21" s="78">
        <f>+'31.'!H21+'1'!H21+'2'!H21+'3'!H21</f>
        <v>0</v>
      </c>
      <c r="I21" s="76">
        <f>+'31.'!I21+'1'!I21+'2'!I21+'3'!I21</f>
        <v>0</v>
      </c>
      <c r="J21" s="43">
        <f t="shared" si="2"/>
        <v>0</v>
      </c>
      <c r="K21" s="44">
        <f>+'31.'!K21+'1'!K21+'2'!K21+'3'!K21</f>
        <v>0</v>
      </c>
      <c r="L21" s="15">
        <v>85</v>
      </c>
      <c r="M21" s="44">
        <f>+'31.'!M21+'1'!M21+'2'!M21+'3'!M21</f>
        <v>0</v>
      </c>
      <c r="N21" s="19"/>
      <c r="O21" s="90">
        <v>22.85</v>
      </c>
      <c r="P21" s="79">
        <f t="shared" si="3"/>
        <v>0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9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46">
        <f>+ยกมา!J22</f>
        <v>0</v>
      </c>
      <c r="F22" s="44">
        <f>+'31.'!F22+'1'!F22+'2'!F22+'3'!F22</f>
        <v>10</v>
      </c>
      <c r="G22" s="43">
        <f t="shared" si="1"/>
        <v>10</v>
      </c>
      <c r="H22" s="78">
        <f>+'31.'!H22+'1'!H22+'2'!H22+'3'!H22</f>
        <v>0</v>
      </c>
      <c r="I22" s="76">
        <f>+'31.'!I22+'1'!I22+'2'!I22+'3'!I22</f>
        <v>0</v>
      </c>
      <c r="J22" s="43">
        <f t="shared" si="2"/>
        <v>4</v>
      </c>
      <c r="K22" s="44">
        <f>+'31.'!K22+'1'!K22+'2'!K22+'3'!K22</f>
        <v>6</v>
      </c>
      <c r="L22" s="20">
        <v>100</v>
      </c>
      <c r="M22" s="44">
        <f>+'31.'!M22+'1'!M22+'2'!M22+'3'!M22</f>
        <v>600</v>
      </c>
      <c r="N22" s="19"/>
      <c r="O22" s="90">
        <v>26.6</v>
      </c>
      <c r="P22" s="79">
        <f t="shared" si="3"/>
        <v>159.60000000000002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9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46">
        <f>+ยกมา!J23</f>
        <v>0</v>
      </c>
      <c r="F23" s="44">
        <f>+'31.'!F23+'1'!F23+'2'!F23+'3'!F23</f>
        <v>0</v>
      </c>
      <c r="G23" s="43">
        <f t="shared" si="1"/>
        <v>0</v>
      </c>
      <c r="H23" s="78">
        <f>+'31.'!H23+'1'!H23+'2'!H23+'3'!H23</f>
        <v>0</v>
      </c>
      <c r="I23" s="76">
        <f>+'31.'!I23+'1'!I23+'2'!I23+'3'!I23</f>
        <v>0</v>
      </c>
      <c r="J23" s="43">
        <f t="shared" si="2"/>
        <v>0</v>
      </c>
      <c r="K23" s="44">
        <f>+'31.'!K23+'1'!K23+'2'!K23+'3'!K23</f>
        <v>0</v>
      </c>
      <c r="L23" s="15">
        <v>100</v>
      </c>
      <c r="M23" s="44">
        <f>+'31.'!M23+'1'!M23+'2'!M23+'3'!M23</f>
        <v>0</v>
      </c>
      <c r="N23" s="19"/>
      <c r="O23" s="90">
        <v>42.24</v>
      </c>
      <c r="P23" s="79">
        <f t="shared" si="3"/>
        <v>0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9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+'31.'!F24+'1'!F24+'2'!F24+'3'!F24</f>
        <v>5</v>
      </c>
      <c r="G24" s="43">
        <f t="shared" si="1"/>
        <v>5</v>
      </c>
      <c r="H24" s="78">
        <f>+'31.'!H24+'1'!H24+'2'!H24+'3'!H24</f>
        <v>0</v>
      </c>
      <c r="I24" s="76">
        <f>+'31.'!I24+'1'!I24+'2'!I24+'3'!I24</f>
        <v>0</v>
      </c>
      <c r="J24" s="43">
        <f t="shared" si="2"/>
        <v>5</v>
      </c>
      <c r="K24" s="44">
        <f>+'31.'!K24+'1'!K24+'2'!K24+'3'!K24</f>
        <v>0</v>
      </c>
      <c r="L24" s="15">
        <v>100</v>
      </c>
      <c r="M24" s="44">
        <f>+'31.'!M24+'1'!M24+'2'!M24+'3'!M24</f>
        <v>0</v>
      </c>
      <c r="N24" s="19"/>
      <c r="O24" s="90">
        <v>40.51</v>
      </c>
      <c r="P24" s="79">
        <f t="shared" si="3"/>
        <v>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9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+'31.'!F25+'1'!F25+'2'!F25+'3'!F25</f>
        <v>5</v>
      </c>
      <c r="G25" s="43">
        <f t="shared" si="1"/>
        <v>5</v>
      </c>
      <c r="H25" s="78">
        <f>+'31.'!H25+'1'!H25+'2'!H25+'3'!H25</f>
        <v>0</v>
      </c>
      <c r="I25" s="76">
        <f>+'31.'!I25+'1'!I25+'2'!I25+'3'!I25</f>
        <v>0</v>
      </c>
      <c r="J25" s="43">
        <f t="shared" si="2"/>
        <v>5</v>
      </c>
      <c r="K25" s="44">
        <f>+'31.'!K25+'1'!K25+'2'!K25+'3'!K25</f>
        <v>0</v>
      </c>
      <c r="L25" s="15">
        <v>100</v>
      </c>
      <c r="M25" s="44">
        <f>+'31.'!M25+'1'!M25+'2'!M25+'3'!M25</f>
        <v>0</v>
      </c>
      <c r="N25" s="19"/>
      <c r="O25" s="90">
        <v>39.770000000000003</v>
      </c>
      <c r="P25" s="79">
        <f t="shared" si="3"/>
        <v>0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9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46">
        <f>+ยกมา!J26</f>
        <v>0</v>
      </c>
      <c r="F26" s="44">
        <f>+'31.'!F26+'1'!F26+'2'!F26+'3'!F26</f>
        <v>0</v>
      </c>
      <c r="G26" s="43">
        <f t="shared" si="1"/>
        <v>0</v>
      </c>
      <c r="H26" s="78">
        <f>+'31.'!H26+'1'!H26+'2'!H26+'3'!H26</f>
        <v>0</v>
      </c>
      <c r="I26" s="76">
        <f>+'31.'!I26+'1'!I26+'2'!I26+'3'!I26</f>
        <v>0</v>
      </c>
      <c r="J26" s="43">
        <f t="shared" si="2"/>
        <v>0</v>
      </c>
      <c r="K26" s="44">
        <f>+'31.'!K26+'1'!K26+'2'!K26+'3'!K26</f>
        <v>0</v>
      </c>
      <c r="L26" s="15">
        <v>100</v>
      </c>
      <c r="M26" s="44">
        <f>+'31.'!M26+'1'!M26+'2'!M26+'3'!M26</f>
        <v>0</v>
      </c>
      <c r="N26" s="19"/>
      <c r="O26" s="90">
        <v>35.39</v>
      </c>
      <c r="P26" s="79">
        <f t="shared" si="3"/>
        <v>0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9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46">
        <f>+ยกมา!J27</f>
        <v>0</v>
      </c>
      <c r="F27" s="44">
        <f>+'31.'!F27+'1'!F27+'2'!F27+'3'!F27</f>
        <v>0</v>
      </c>
      <c r="G27" s="43">
        <f t="shared" si="1"/>
        <v>0</v>
      </c>
      <c r="H27" s="78">
        <f>+'31.'!H27+'1'!H27+'2'!H27+'3'!H27</f>
        <v>0</v>
      </c>
      <c r="I27" s="76">
        <f>+'31.'!I27+'1'!I27+'2'!I27+'3'!I27</f>
        <v>0</v>
      </c>
      <c r="J27" s="43">
        <f t="shared" si="2"/>
        <v>0</v>
      </c>
      <c r="K27" s="44">
        <f>+'31.'!K27+'1'!K27+'2'!K27+'3'!K27</f>
        <v>0</v>
      </c>
      <c r="L27" s="15">
        <v>100</v>
      </c>
      <c r="M27" s="44">
        <f>+'31.'!M27+'1'!M27+'2'!M27+'3'!M27</f>
        <v>0</v>
      </c>
      <c r="N27" s="19"/>
      <c r="O27" s="90">
        <v>31.62</v>
      </c>
      <c r="P27" s="79">
        <f t="shared" si="3"/>
        <v>0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9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46">
        <f>+ยกมา!J28</f>
        <v>0</v>
      </c>
      <c r="F28" s="44">
        <f>+'31.'!F28+'1'!F28+'2'!F28+'3'!F28</f>
        <v>5</v>
      </c>
      <c r="G28" s="43">
        <f t="shared" si="1"/>
        <v>5</v>
      </c>
      <c r="H28" s="78">
        <f>+'31.'!H28+'1'!H28+'2'!H28+'3'!H28</f>
        <v>0</v>
      </c>
      <c r="I28" s="76">
        <f>+'31.'!I28+'1'!I28+'2'!I28+'3'!I28</f>
        <v>0</v>
      </c>
      <c r="J28" s="43">
        <f t="shared" si="2"/>
        <v>5</v>
      </c>
      <c r="K28" s="44">
        <f>+'31.'!K28+'1'!K28+'2'!K28+'3'!K28</f>
        <v>0</v>
      </c>
      <c r="L28" s="15">
        <v>100</v>
      </c>
      <c r="M28" s="44">
        <f>+'31.'!M28+'1'!M28+'2'!M28+'3'!M28</f>
        <v>0</v>
      </c>
      <c r="N28" s="19"/>
      <c r="O28" s="90">
        <v>31.97</v>
      </c>
      <c r="P28" s="79">
        <f t="shared" si="3"/>
        <v>0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9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46">
        <f>+ยกมา!J29</f>
        <v>0</v>
      </c>
      <c r="F29" s="44">
        <f>+'31.'!F29+'1'!F29+'2'!F29+'3'!F29</f>
        <v>0</v>
      </c>
      <c r="G29" s="43">
        <f t="shared" si="1"/>
        <v>0</v>
      </c>
      <c r="H29" s="78">
        <f>+'31.'!H29+'1'!H29+'2'!H29+'3'!H29</f>
        <v>0</v>
      </c>
      <c r="I29" s="76">
        <f>+'31.'!I29+'1'!I29+'2'!I29+'3'!I29</f>
        <v>0</v>
      </c>
      <c r="J29" s="43">
        <f t="shared" si="2"/>
        <v>0</v>
      </c>
      <c r="K29" s="44">
        <f>+'31.'!K29+'1'!K29+'2'!K29+'3'!K29</f>
        <v>0</v>
      </c>
      <c r="L29" s="15">
        <v>100</v>
      </c>
      <c r="M29" s="44">
        <f>+'31.'!M29+'1'!M29+'2'!M29+'3'!M29</f>
        <v>0</v>
      </c>
      <c r="N29" s="19"/>
      <c r="O29" s="90">
        <v>21.27</v>
      </c>
      <c r="P29" s="79">
        <f t="shared" si="3"/>
        <v>0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9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46">
        <f>+ยกมา!J30</f>
        <v>0</v>
      </c>
      <c r="F30" s="44">
        <f>+'31.'!F30+'1'!F30+'2'!F30+'3'!F30</f>
        <v>0</v>
      </c>
      <c r="G30" s="43">
        <f t="shared" si="1"/>
        <v>0</v>
      </c>
      <c r="H30" s="78">
        <f>+'31.'!H30+'1'!H30+'2'!H30+'3'!H30</f>
        <v>0</v>
      </c>
      <c r="I30" s="76">
        <f>+'31.'!I30+'1'!I30+'2'!I30+'3'!I30</f>
        <v>0</v>
      </c>
      <c r="J30" s="43">
        <f t="shared" si="2"/>
        <v>0</v>
      </c>
      <c r="K30" s="44">
        <f>+'31.'!K30+'1'!K30+'2'!K30+'3'!K30</f>
        <v>0</v>
      </c>
      <c r="L30" s="15">
        <v>100</v>
      </c>
      <c r="M30" s="44">
        <f>+'31.'!M30+'1'!M30+'2'!M30+'3'!M30</f>
        <v>0</v>
      </c>
      <c r="N30" s="19"/>
      <c r="O30" s="90">
        <v>34.26</v>
      </c>
      <c r="P30" s="79">
        <f t="shared" si="3"/>
        <v>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9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46">
        <f>+ยกมา!J31</f>
        <v>0</v>
      </c>
      <c r="F31" s="44">
        <f>+'31.'!F31+'1'!F31+'2'!F31+'3'!F31</f>
        <v>10</v>
      </c>
      <c r="G31" s="43">
        <f t="shared" si="1"/>
        <v>10</v>
      </c>
      <c r="H31" s="78">
        <f>+'31.'!H31+'1'!H31+'2'!H31+'3'!H31</f>
        <v>0</v>
      </c>
      <c r="I31" s="76">
        <f>+'31.'!I31+'1'!I31+'2'!I31+'3'!I31</f>
        <v>0</v>
      </c>
      <c r="J31" s="43">
        <f t="shared" si="2"/>
        <v>4</v>
      </c>
      <c r="K31" s="44">
        <f>+'31.'!K31+'1'!K31+'2'!K31+'3'!K31</f>
        <v>6</v>
      </c>
      <c r="L31" s="15">
        <v>100</v>
      </c>
      <c r="M31" s="44">
        <f>+'31.'!M31+'1'!M31+'2'!M31+'3'!M31</f>
        <v>600</v>
      </c>
      <c r="N31" s="19"/>
      <c r="O31" s="90">
        <v>38.46</v>
      </c>
      <c r="P31" s="79">
        <f t="shared" si="3"/>
        <v>230.76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9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46">
        <f>+ยกมา!J32</f>
        <v>0</v>
      </c>
      <c r="F32" s="44">
        <f>+'31.'!F32+'1'!F32+'2'!F32+'3'!F32</f>
        <v>0</v>
      </c>
      <c r="G32" s="43">
        <f t="shared" si="1"/>
        <v>0</v>
      </c>
      <c r="H32" s="78">
        <f>+'31.'!H32+'1'!H32+'2'!H32+'3'!H32</f>
        <v>0</v>
      </c>
      <c r="I32" s="76">
        <f>+'31.'!I32+'1'!I32+'2'!I32+'3'!I32</f>
        <v>0</v>
      </c>
      <c r="J32" s="43">
        <f t="shared" si="2"/>
        <v>0</v>
      </c>
      <c r="K32" s="44">
        <f>+'31.'!K32+'1'!K32+'2'!K32+'3'!K32</f>
        <v>0</v>
      </c>
      <c r="L32" s="15">
        <v>130</v>
      </c>
      <c r="M32" s="44">
        <f>+'31.'!M32+'1'!M32+'2'!M32+'3'!M32</f>
        <v>0</v>
      </c>
      <c r="N32" s="19"/>
      <c r="O32" s="90">
        <v>46.37</v>
      </c>
      <c r="P32" s="79">
        <f t="shared" si="3"/>
        <v>0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46">
        <f>+ยกมา!J33</f>
        <v>0</v>
      </c>
      <c r="F33" s="44">
        <f>+'31.'!F33+'1'!F33+'2'!F33+'3'!F33</f>
        <v>0</v>
      </c>
      <c r="G33" s="43">
        <f t="shared" si="1"/>
        <v>0</v>
      </c>
      <c r="H33" s="78">
        <f>+'31.'!H33+'1'!H33+'2'!H33+'3'!H33</f>
        <v>0</v>
      </c>
      <c r="I33" s="76">
        <f>+'31.'!I33+'1'!I33+'2'!I33+'3'!I33</f>
        <v>0</v>
      </c>
      <c r="J33" s="43">
        <f t="shared" si="2"/>
        <v>0</v>
      </c>
      <c r="K33" s="44">
        <f>+'31.'!K33+'1'!K33+'2'!K33+'3'!K33</f>
        <v>0</v>
      </c>
      <c r="L33" s="15">
        <v>130</v>
      </c>
      <c r="M33" s="44">
        <f>+'31.'!M33+'1'!M33+'2'!M33+'3'!M33</f>
        <v>0</v>
      </c>
      <c r="N33" s="19"/>
      <c r="O33" s="90">
        <v>38.9</v>
      </c>
      <c r="P33" s="79">
        <f t="shared" si="3"/>
        <v>0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46">
        <f>+ยกมา!J34</f>
        <v>0</v>
      </c>
      <c r="F34" s="44">
        <f>+'31.'!F34+'1'!F34+'2'!F34+'3'!F34</f>
        <v>0</v>
      </c>
      <c r="G34" s="43">
        <f t="shared" si="1"/>
        <v>0</v>
      </c>
      <c r="H34" s="78">
        <f>+'31.'!H34+'1'!H34+'2'!H34+'3'!H34</f>
        <v>0</v>
      </c>
      <c r="I34" s="76">
        <f>+'31.'!I34+'1'!I34+'2'!I34+'3'!I34</f>
        <v>0</v>
      </c>
      <c r="J34" s="43">
        <f t="shared" si="2"/>
        <v>0</v>
      </c>
      <c r="K34" s="44">
        <f>+'31.'!K34+'1'!K34+'2'!K34+'3'!K34</f>
        <v>0</v>
      </c>
      <c r="L34" s="15">
        <v>130</v>
      </c>
      <c r="M34" s="44">
        <f>+'31.'!M34+'1'!M34+'2'!M34+'3'!M34</f>
        <v>0</v>
      </c>
      <c r="N34" s="19"/>
      <c r="O34" s="90">
        <v>38.07</v>
      </c>
      <c r="P34" s="79">
        <f t="shared" si="3"/>
        <v>0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46">
        <f>+ยกมา!J35</f>
        <v>0</v>
      </c>
      <c r="F35" s="44">
        <f>+'31.'!F35+'1'!F35+'2'!F35+'3'!F35</f>
        <v>0</v>
      </c>
      <c r="G35" s="43">
        <f t="shared" si="1"/>
        <v>0</v>
      </c>
      <c r="H35" s="78">
        <f>+'31.'!H35+'1'!H35+'2'!H35+'3'!H35</f>
        <v>0</v>
      </c>
      <c r="I35" s="76">
        <f>+'31.'!I35+'1'!I35+'2'!I35+'3'!I35</f>
        <v>0</v>
      </c>
      <c r="J35" s="43">
        <f t="shared" si="2"/>
        <v>0</v>
      </c>
      <c r="K35" s="44">
        <f>+'31.'!K35+'1'!K35+'2'!K35+'3'!K35</f>
        <v>0</v>
      </c>
      <c r="L35" s="15">
        <v>130</v>
      </c>
      <c r="M35" s="44">
        <f>+'31.'!M35+'1'!M35+'2'!M35+'3'!M35</f>
        <v>0</v>
      </c>
      <c r="N35" s="19"/>
      <c r="O35" s="90">
        <v>40.799999999999997</v>
      </c>
      <c r="P35" s="79">
        <f t="shared" si="3"/>
        <v>0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46">
        <f>+ยกมา!J36</f>
        <v>0</v>
      </c>
      <c r="F36" s="44">
        <f>+'31.'!F36+'1'!F36+'2'!F36+'3'!F36</f>
        <v>0</v>
      </c>
      <c r="G36" s="43">
        <f t="shared" si="1"/>
        <v>0</v>
      </c>
      <c r="H36" s="78">
        <f>+'31.'!H36+'1'!H36+'2'!H36+'3'!H36</f>
        <v>0</v>
      </c>
      <c r="I36" s="76">
        <f>+'31.'!I36+'1'!I36+'2'!I36+'3'!I36</f>
        <v>0</v>
      </c>
      <c r="J36" s="43">
        <f t="shared" si="2"/>
        <v>0</v>
      </c>
      <c r="K36" s="44">
        <f>+'31.'!K36+'1'!K36+'2'!K36+'3'!K36</f>
        <v>0</v>
      </c>
      <c r="L36" s="15">
        <v>35</v>
      </c>
      <c r="M36" s="44">
        <f>+'31.'!M36+'1'!M36+'2'!M36+'3'!M36</f>
        <v>0</v>
      </c>
      <c r="N36" s="19"/>
      <c r="O36" s="90"/>
      <c r="P36" s="79">
        <f t="shared" si="3"/>
        <v>0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46">
        <f>+ยกมา!J37</f>
        <v>0</v>
      </c>
      <c r="F37" s="44">
        <f>+'31.'!F37+'1'!F37+'2'!F37+'3'!F37</f>
        <v>0</v>
      </c>
      <c r="G37" s="43">
        <f t="shared" si="1"/>
        <v>0</v>
      </c>
      <c r="H37" s="78">
        <f>+'31.'!H37+'1'!H37+'2'!H37+'3'!H37</f>
        <v>0</v>
      </c>
      <c r="I37" s="76">
        <f>+'31.'!I37+'1'!I37+'2'!I37+'3'!I37</f>
        <v>0</v>
      </c>
      <c r="J37" s="43">
        <f t="shared" si="2"/>
        <v>0</v>
      </c>
      <c r="K37" s="44">
        <f>+'31.'!K37+'1'!K37+'2'!K37+'3'!K37</f>
        <v>0</v>
      </c>
      <c r="L37" s="15">
        <v>35</v>
      </c>
      <c r="M37" s="44">
        <f>+'31.'!M37+'1'!M37+'2'!M37+'3'!M37</f>
        <v>0</v>
      </c>
      <c r="N37" s="19"/>
      <c r="O37" s="90"/>
      <c r="P37" s="79">
        <f t="shared" si="3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x14ac:dyDescent="0.65">
      <c r="A38" s="10">
        <v>34</v>
      </c>
      <c r="B38" s="19"/>
      <c r="C38" s="19" t="s">
        <v>1372</v>
      </c>
      <c r="D38" s="10" t="s">
        <v>434</v>
      </c>
      <c r="E38" s="46">
        <f>+ยกมา!J38</f>
        <v>0</v>
      </c>
      <c r="F38" s="44">
        <f>+'31.'!F38+'1'!F38+'2'!F38+'3'!F38</f>
        <v>0</v>
      </c>
      <c r="G38" s="43">
        <f t="shared" si="1"/>
        <v>0</v>
      </c>
      <c r="H38" s="78">
        <f>+'31.'!H38+'1'!H38+'2'!H38+'3'!H38</f>
        <v>0</v>
      </c>
      <c r="I38" s="76">
        <f>+'31.'!I38+'1'!I38+'2'!I38+'3'!I38</f>
        <v>0</v>
      </c>
      <c r="J38" s="43">
        <f t="shared" si="2"/>
        <v>0</v>
      </c>
      <c r="K38" s="44">
        <f>+'31.'!K38+'1'!K38+'2'!K38+'3'!K38</f>
        <v>0</v>
      </c>
      <c r="L38" s="20">
        <v>35</v>
      </c>
      <c r="M38" s="44">
        <f>+'31.'!M38+'1'!M38+'2'!M38+'3'!M38</f>
        <v>0</v>
      </c>
      <c r="N38" s="19"/>
      <c r="O38" s="73"/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46">
        <f>+ยกมา!J39</f>
        <v>0</v>
      </c>
      <c r="F39" s="44">
        <f>+'31.'!F39+'1'!F39+'2'!F39+'3'!F39</f>
        <v>5</v>
      </c>
      <c r="G39" s="43">
        <f t="shared" si="1"/>
        <v>5</v>
      </c>
      <c r="H39" s="78">
        <f>+'31.'!H39+'1'!H39+'2'!H39+'3'!H39</f>
        <v>3</v>
      </c>
      <c r="I39" s="76">
        <f>+'31.'!I39+'1'!I39+'2'!I39+'3'!I39</f>
        <v>0</v>
      </c>
      <c r="J39" s="43">
        <f t="shared" si="2"/>
        <v>0</v>
      </c>
      <c r="K39" s="44">
        <f>+'31.'!K39+'1'!K39+'2'!K39+'3'!K39</f>
        <v>2</v>
      </c>
      <c r="L39" s="15">
        <v>50</v>
      </c>
      <c r="M39" s="44">
        <f>+'31.'!M39+'1'!M39+'2'!M39+'3'!M39</f>
        <v>100</v>
      </c>
      <c r="N39" s="19"/>
      <c r="O39" s="90">
        <v>27.84</v>
      </c>
      <c r="P39" s="79">
        <f t="shared" si="3"/>
        <v>55.68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46">
        <f>+ยกมา!J40</f>
        <v>0</v>
      </c>
      <c r="F40" s="44">
        <f>+'31.'!F40+'1'!F40+'2'!F40+'3'!F40</f>
        <v>5</v>
      </c>
      <c r="G40" s="43">
        <f t="shared" si="1"/>
        <v>5</v>
      </c>
      <c r="H40" s="78">
        <f>+'31.'!H40+'1'!H40+'2'!H40+'3'!H40</f>
        <v>4</v>
      </c>
      <c r="I40" s="76">
        <f>+'31.'!I40+'1'!I40+'2'!I40+'3'!I40</f>
        <v>0</v>
      </c>
      <c r="J40" s="43">
        <f t="shared" si="2"/>
        <v>0</v>
      </c>
      <c r="K40" s="44">
        <f>+'31.'!K40+'1'!K40+'2'!K40+'3'!K40</f>
        <v>1</v>
      </c>
      <c r="L40" s="15">
        <v>50</v>
      </c>
      <c r="M40" s="44">
        <f>+'31.'!M40+'1'!M40+'2'!M40+'3'!M40</f>
        <v>50</v>
      </c>
      <c r="N40" s="19"/>
      <c r="O40" s="90">
        <v>27.12</v>
      </c>
      <c r="P40" s="79">
        <f t="shared" si="3"/>
        <v>27.12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46">
        <f>+ยกมา!J41</f>
        <v>0</v>
      </c>
      <c r="F41" s="44">
        <f>+'31.'!F41+'1'!F41+'2'!F41+'3'!F41</f>
        <v>5</v>
      </c>
      <c r="G41" s="43">
        <f t="shared" si="1"/>
        <v>5</v>
      </c>
      <c r="H41" s="78">
        <f>+'31.'!H41+'1'!H41+'2'!H41+'3'!H41</f>
        <v>4</v>
      </c>
      <c r="I41" s="76">
        <f>+'31.'!I41+'1'!I41+'2'!I41+'3'!I41</f>
        <v>0</v>
      </c>
      <c r="J41" s="43">
        <f t="shared" si="2"/>
        <v>0</v>
      </c>
      <c r="K41" s="44">
        <f>+'31.'!K41+'1'!K41+'2'!K41+'3'!K41</f>
        <v>1</v>
      </c>
      <c r="L41" s="15">
        <v>50</v>
      </c>
      <c r="M41" s="44">
        <f>+'31.'!M41+'1'!M41+'2'!M41+'3'!M41</f>
        <v>50</v>
      </c>
      <c r="N41" s="19"/>
      <c r="O41" s="90">
        <v>15.42</v>
      </c>
      <c r="P41" s="79">
        <f t="shared" si="3"/>
        <v>15.42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46">
        <f>+ยกมา!J42</f>
        <v>0</v>
      </c>
      <c r="F42" s="44">
        <f>+'31.'!F42+'1'!F42+'2'!F42+'3'!F42</f>
        <v>0</v>
      </c>
      <c r="G42" s="43">
        <f t="shared" si="1"/>
        <v>0</v>
      </c>
      <c r="H42" s="78">
        <f>+'31.'!H42+'1'!H42+'2'!H42+'3'!H42</f>
        <v>0</v>
      </c>
      <c r="I42" s="76">
        <f>+'31.'!I42+'1'!I42+'2'!I42+'3'!I42</f>
        <v>0</v>
      </c>
      <c r="J42" s="43">
        <f t="shared" si="2"/>
        <v>0</v>
      </c>
      <c r="K42" s="44">
        <f>+'31.'!K42+'1'!K42+'2'!K42+'3'!K42</f>
        <v>0</v>
      </c>
      <c r="L42" s="15">
        <v>25</v>
      </c>
      <c r="M42" s="44">
        <f>+'31.'!M42+'1'!M42+'2'!M42+'3'!M42</f>
        <v>0</v>
      </c>
      <c r="N42" s="19"/>
      <c r="O42" s="90">
        <v>15.55</v>
      </c>
      <c r="P42" s="79">
        <f t="shared" si="3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46">
        <f>+ยกมา!J43</f>
        <v>0</v>
      </c>
      <c r="F43" s="44">
        <f>+'31.'!F43+'1'!F43+'2'!F43+'3'!F43</f>
        <v>0</v>
      </c>
      <c r="G43" s="43">
        <f t="shared" si="1"/>
        <v>0</v>
      </c>
      <c r="H43" s="78">
        <f>+'31.'!H43+'1'!H43+'2'!H43+'3'!H43</f>
        <v>0</v>
      </c>
      <c r="I43" s="76">
        <f>+'31.'!I43+'1'!I43+'2'!I43+'3'!I43</f>
        <v>0</v>
      </c>
      <c r="J43" s="43">
        <f t="shared" si="2"/>
        <v>0</v>
      </c>
      <c r="K43" s="44">
        <f>+'31.'!K43+'1'!K43+'2'!K43+'3'!K43</f>
        <v>0</v>
      </c>
      <c r="L43" s="15">
        <v>25</v>
      </c>
      <c r="M43" s="44">
        <f>+'31.'!M43+'1'!M43+'2'!M43+'3'!M43</f>
        <v>0</v>
      </c>
      <c r="N43" s="19"/>
      <c r="O43" s="92"/>
      <c r="P43" s="79">
        <f t="shared" si="3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46">
        <f>+ยกมา!J44</f>
        <v>0</v>
      </c>
      <c r="F44" s="44">
        <f>+'31.'!F44+'1'!F44+'2'!F44+'3'!F44</f>
        <v>0</v>
      </c>
      <c r="G44" s="43">
        <f t="shared" si="1"/>
        <v>0</v>
      </c>
      <c r="H44" s="78">
        <f>+'31.'!H44+'1'!H44+'2'!H44+'3'!H44</f>
        <v>0</v>
      </c>
      <c r="I44" s="76">
        <f>+'31.'!I44+'1'!I44+'2'!I44+'3'!I44</f>
        <v>0</v>
      </c>
      <c r="J44" s="43">
        <f t="shared" si="2"/>
        <v>0</v>
      </c>
      <c r="K44" s="44">
        <f>+'31.'!K44+'1'!K44+'2'!K44+'3'!K44</f>
        <v>0</v>
      </c>
      <c r="L44" s="15">
        <v>25</v>
      </c>
      <c r="M44" s="44">
        <f>+'31.'!M44+'1'!M44+'2'!M44+'3'!M44</f>
        <v>0</v>
      </c>
      <c r="N44" s="19"/>
      <c r="O44" s="92"/>
      <c r="P44" s="79">
        <f t="shared" si="3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46">
        <f>+ยกมา!J45</f>
        <v>0</v>
      </c>
      <c r="F45" s="44">
        <f>+'31.'!F45+'1'!F45+'2'!F45+'3'!F45</f>
        <v>0</v>
      </c>
      <c r="G45" s="43">
        <f t="shared" si="1"/>
        <v>0</v>
      </c>
      <c r="H45" s="78">
        <f>+'31.'!H45+'1'!H45+'2'!H45+'3'!H45</f>
        <v>0</v>
      </c>
      <c r="I45" s="76">
        <f>+'31.'!I45+'1'!I45+'2'!I45+'3'!I45</f>
        <v>0</v>
      </c>
      <c r="J45" s="43">
        <f t="shared" si="2"/>
        <v>0</v>
      </c>
      <c r="K45" s="44">
        <f>+'31.'!K45+'1'!K45+'2'!K45+'3'!K45</f>
        <v>0</v>
      </c>
      <c r="L45" s="15">
        <v>35</v>
      </c>
      <c r="M45" s="44">
        <f>+'31.'!M45+'1'!M45+'2'!M45+'3'!M45</f>
        <v>0</v>
      </c>
      <c r="N45" s="19"/>
      <c r="O45" s="92"/>
      <c r="P45" s="79">
        <f t="shared" si="3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46">
        <f>+ยกมา!J46</f>
        <v>0</v>
      </c>
      <c r="F46" s="44">
        <f>+'31.'!F46+'1'!F46+'2'!F46+'3'!F46</f>
        <v>5</v>
      </c>
      <c r="G46" s="43">
        <f t="shared" si="1"/>
        <v>5</v>
      </c>
      <c r="H46" s="78">
        <f>+'31.'!H46+'1'!H46+'2'!H46+'3'!H46</f>
        <v>0</v>
      </c>
      <c r="I46" s="76">
        <f>+'31.'!I46+'1'!I46+'2'!I46+'3'!I46</f>
        <v>0</v>
      </c>
      <c r="J46" s="43">
        <f t="shared" si="2"/>
        <v>2</v>
      </c>
      <c r="K46" s="44">
        <f>+'31.'!K46+'1'!K46+'2'!K46+'3'!K46</f>
        <v>3</v>
      </c>
      <c r="L46" s="15">
        <v>50</v>
      </c>
      <c r="M46" s="44">
        <f>+'31.'!M46+'1'!M46+'2'!M46+'3'!M46</f>
        <v>150</v>
      </c>
      <c r="N46" s="19"/>
      <c r="O46" s="90">
        <v>19.05</v>
      </c>
      <c r="P46" s="79">
        <f t="shared" si="3"/>
        <v>57.150000000000006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46">
        <f>+ยกมา!J47</f>
        <v>0</v>
      </c>
      <c r="F47" s="44">
        <f>+'31.'!F47+'1'!F47+'2'!F47+'3'!F47</f>
        <v>5</v>
      </c>
      <c r="G47" s="43">
        <f t="shared" si="1"/>
        <v>5</v>
      </c>
      <c r="H47" s="78">
        <f>+'31.'!H47+'1'!H47+'2'!H47+'3'!H47</f>
        <v>0</v>
      </c>
      <c r="I47" s="76">
        <f>+'31.'!I47+'1'!I47+'2'!I47+'3'!I47</f>
        <v>0</v>
      </c>
      <c r="J47" s="43">
        <f t="shared" si="2"/>
        <v>5</v>
      </c>
      <c r="K47" s="44">
        <f>+'31.'!K47+'1'!K47+'2'!K47+'3'!K47</f>
        <v>0</v>
      </c>
      <c r="L47" s="15">
        <v>50</v>
      </c>
      <c r="M47" s="44">
        <f>+'31.'!M47+'1'!M47+'2'!M47+'3'!M47</f>
        <v>0</v>
      </c>
      <c r="N47" s="19"/>
      <c r="O47" s="90">
        <v>19.21</v>
      </c>
      <c r="P47" s="79">
        <f t="shared" si="3"/>
        <v>0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46">
        <f>+ยกมา!J48</f>
        <v>0</v>
      </c>
      <c r="F48" s="44">
        <f>+'31.'!F48+'1'!F48+'2'!F48+'3'!F48</f>
        <v>5</v>
      </c>
      <c r="G48" s="43">
        <f t="shared" si="1"/>
        <v>5</v>
      </c>
      <c r="H48" s="78">
        <f>+'31.'!H48+'1'!H48+'2'!H48+'3'!H48</f>
        <v>0</v>
      </c>
      <c r="I48" s="76">
        <f>+'31.'!I48+'1'!I48+'2'!I48+'3'!I48</f>
        <v>0</v>
      </c>
      <c r="J48" s="43">
        <f t="shared" si="2"/>
        <v>2</v>
      </c>
      <c r="K48" s="44">
        <f>+'31.'!K48+'1'!K48+'2'!K48+'3'!K48</f>
        <v>3</v>
      </c>
      <c r="L48" s="20">
        <v>50</v>
      </c>
      <c r="M48" s="44">
        <f>+'31.'!M48+'1'!M48+'2'!M48+'3'!M48</f>
        <v>150</v>
      </c>
      <c r="N48" s="19"/>
      <c r="O48" s="90">
        <v>18.88</v>
      </c>
      <c r="P48" s="79">
        <f t="shared" si="3"/>
        <v>56.64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46">
        <f>+ยกมา!J49</f>
        <v>0</v>
      </c>
      <c r="F49" s="44">
        <f>+'31.'!F49+'1'!F49+'2'!F49+'3'!F49</f>
        <v>5</v>
      </c>
      <c r="G49" s="43">
        <f t="shared" si="1"/>
        <v>5</v>
      </c>
      <c r="H49" s="78">
        <f>+'31.'!H49+'1'!H49+'2'!H49+'3'!H49</f>
        <v>0</v>
      </c>
      <c r="I49" s="76">
        <f>+'31.'!I49+'1'!I49+'2'!I49+'3'!I49</f>
        <v>0</v>
      </c>
      <c r="J49" s="43">
        <f t="shared" si="2"/>
        <v>3</v>
      </c>
      <c r="K49" s="44">
        <f>+'31.'!K49+'1'!K49+'2'!K49+'3'!K49</f>
        <v>2</v>
      </c>
      <c r="L49" s="20">
        <v>50</v>
      </c>
      <c r="M49" s="44">
        <f>+'31.'!M49+'1'!M49+'2'!M49+'3'!M49</f>
        <v>100</v>
      </c>
      <c r="N49" s="19"/>
      <c r="O49" s="90">
        <v>20.43</v>
      </c>
      <c r="P49" s="79">
        <f t="shared" si="3"/>
        <v>40.86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46">
        <f>+ยกมา!J50</f>
        <v>0</v>
      </c>
      <c r="F50" s="44">
        <f>+'31.'!F50+'1'!F50+'2'!F50+'3'!F50</f>
        <v>5</v>
      </c>
      <c r="G50" s="43">
        <f t="shared" si="1"/>
        <v>5</v>
      </c>
      <c r="H50" s="78">
        <f>+'31.'!H50+'1'!H50+'2'!H50+'3'!H50</f>
        <v>0</v>
      </c>
      <c r="I50" s="76">
        <f>+'31.'!I50+'1'!I50+'2'!I50+'3'!I50</f>
        <v>0</v>
      </c>
      <c r="J50" s="43">
        <f t="shared" si="2"/>
        <v>1</v>
      </c>
      <c r="K50" s="44">
        <f>+'31.'!K50+'1'!K50+'2'!K50+'3'!K50</f>
        <v>4</v>
      </c>
      <c r="L50" s="15">
        <v>50</v>
      </c>
      <c r="M50" s="44">
        <f>+'31.'!M50+'1'!M50+'2'!M50+'3'!M50</f>
        <v>200</v>
      </c>
      <c r="N50" s="19"/>
      <c r="O50" s="90">
        <v>21.81</v>
      </c>
      <c r="P50" s="79">
        <f t="shared" si="3"/>
        <v>87.24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46">
        <f>+ยกมา!J51</f>
        <v>0</v>
      </c>
      <c r="F51" s="44">
        <f>+'31.'!F51+'1'!F51+'2'!F51+'3'!F51</f>
        <v>5</v>
      </c>
      <c r="G51" s="43">
        <f t="shared" si="1"/>
        <v>5</v>
      </c>
      <c r="H51" s="78">
        <f>+'31.'!H51+'1'!H51+'2'!H51+'3'!H51</f>
        <v>0</v>
      </c>
      <c r="I51" s="76">
        <f>+'31.'!I51+'1'!I51+'2'!I51+'3'!I51</f>
        <v>0</v>
      </c>
      <c r="J51" s="43">
        <f t="shared" si="2"/>
        <v>4</v>
      </c>
      <c r="K51" s="44">
        <f>+'31.'!K51+'1'!K51+'2'!K51+'3'!K51</f>
        <v>1</v>
      </c>
      <c r="L51" s="15">
        <v>50</v>
      </c>
      <c r="M51" s="44">
        <f>+'31.'!M51+'1'!M51+'2'!M51+'3'!M51</f>
        <v>50</v>
      </c>
      <c r="N51" s="19"/>
      <c r="O51" s="90">
        <v>14.65</v>
      </c>
      <c r="P51" s="79">
        <f t="shared" si="3"/>
        <v>14.65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46">
        <f>+ยกมา!J52</f>
        <v>0</v>
      </c>
      <c r="F52" s="44">
        <f>+'31.'!F52+'1'!F52+'2'!F52+'3'!F52</f>
        <v>0</v>
      </c>
      <c r="G52" s="43">
        <f t="shared" si="1"/>
        <v>0</v>
      </c>
      <c r="H52" s="78">
        <f>+'31.'!H52+'1'!H52+'2'!H52+'3'!H52</f>
        <v>0</v>
      </c>
      <c r="I52" s="76">
        <f>+'31.'!I52+'1'!I52+'2'!I52+'3'!I52</f>
        <v>0</v>
      </c>
      <c r="J52" s="43">
        <f t="shared" si="2"/>
        <v>0</v>
      </c>
      <c r="K52" s="44">
        <f>+'31.'!K52+'1'!K52+'2'!K52+'3'!K52</f>
        <v>0</v>
      </c>
      <c r="L52" s="20">
        <v>50</v>
      </c>
      <c r="M52" s="44">
        <f>+'31.'!M52+'1'!M52+'2'!M52+'3'!M52</f>
        <v>0</v>
      </c>
      <c r="N52" s="19"/>
      <c r="O52" s="90">
        <v>18.36</v>
      </c>
      <c r="P52" s="79">
        <f t="shared" si="3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46">
        <f>+ยกมา!J53</f>
        <v>0</v>
      </c>
      <c r="F53" s="44">
        <f>+'31.'!F53+'1'!F53+'2'!F53+'3'!F53</f>
        <v>5</v>
      </c>
      <c r="G53" s="43">
        <f t="shared" si="1"/>
        <v>5</v>
      </c>
      <c r="H53" s="78">
        <f>+'31.'!H53+'1'!H53+'2'!H53+'3'!H53</f>
        <v>0</v>
      </c>
      <c r="I53" s="76">
        <f>+'31.'!I53+'1'!I53+'2'!I53+'3'!I53</f>
        <v>0</v>
      </c>
      <c r="J53" s="43">
        <f t="shared" si="2"/>
        <v>3</v>
      </c>
      <c r="K53" s="44">
        <f>+'31.'!K53+'1'!K53+'2'!K53+'3'!K53</f>
        <v>2</v>
      </c>
      <c r="L53" s="20">
        <v>50</v>
      </c>
      <c r="M53" s="44">
        <f>+'31.'!M53+'1'!M53+'2'!M53+'3'!M53</f>
        <v>100</v>
      </c>
      <c r="N53" s="19"/>
      <c r="O53" s="90">
        <v>17.53</v>
      </c>
      <c r="P53" s="79">
        <f t="shared" si="3"/>
        <v>35.06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46">
        <f>+ยกมา!J54</f>
        <v>0</v>
      </c>
      <c r="F54" s="44">
        <f>+'31.'!F54+'1'!F54+'2'!F54+'3'!F54</f>
        <v>5</v>
      </c>
      <c r="G54" s="43">
        <f t="shared" si="1"/>
        <v>5</v>
      </c>
      <c r="H54" s="78">
        <f>+'31.'!H54+'1'!H54+'2'!H54+'3'!H54</f>
        <v>0</v>
      </c>
      <c r="I54" s="76">
        <f>+'31.'!I54+'1'!I54+'2'!I54+'3'!I54</f>
        <v>0</v>
      </c>
      <c r="J54" s="43">
        <f t="shared" si="2"/>
        <v>5</v>
      </c>
      <c r="K54" s="44">
        <f>+'31.'!K54+'1'!K54+'2'!K54+'3'!K54</f>
        <v>0</v>
      </c>
      <c r="L54" s="15">
        <v>50</v>
      </c>
      <c r="M54" s="44">
        <f>+'31.'!M54+'1'!M54+'2'!M54+'3'!M54</f>
        <v>0</v>
      </c>
      <c r="N54" s="19"/>
      <c r="O54" s="90">
        <v>14.38</v>
      </c>
      <c r="P54" s="79">
        <f t="shared" si="3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46">
        <f>+ยกมา!J55</f>
        <v>0</v>
      </c>
      <c r="F55" s="44">
        <f>+'31.'!F55+'1'!F55+'2'!F55+'3'!F55</f>
        <v>3</v>
      </c>
      <c r="G55" s="43">
        <f t="shared" si="1"/>
        <v>3</v>
      </c>
      <c r="H55" s="78">
        <f>+'31.'!H55+'1'!H55+'2'!H55+'3'!H55</f>
        <v>0</v>
      </c>
      <c r="I55" s="76">
        <f>+'31.'!I55+'1'!I55+'2'!I55+'3'!I55</f>
        <v>0</v>
      </c>
      <c r="J55" s="43">
        <f t="shared" si="2"/>
        <v>0</v>
      </c>
      <c r="K55" s="44">
        <f>+'31.'!K55+'1'!K55+'2'!K55+'3'!K55</f>
        <v>3</v>
      </c>
      <c r="L55" s="15">
        <v>120</v>
      </c>
      <c r="M55" s="44">
        <f>+'31.'!M55+'1'!M55+'2'!M55+'3'!M55</f>
        <v>360</v>
      </c>
      <c r="N55" s="19"/>
      <c r="O55" s="90">
        <v>29.34</v>
      </c>
      <c r="P55" s="79">
        <f t="shared" si="3"/>
        <v>88.02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46">
        <f>+ยกมา!J56</f>
        <v>0</v>
      </c>
      <c r="F56" s="44">
        <f>+'31.'!F56+'1'!F56+'2'!F56+'3'!F56</f>
        <v>3</v>
      </c>
      <c r="G56" s="43">
        <f t="shared" si="1"/>
        <v>3</v>
      </c>
      <c r="H56" s="78">
        <f>+'31.'!H56+'1'!H56+'2'!H56+'3'!H56</f>
        <v>0</v>
      </c>
      <c r="I56" s="76">
        <f>+'31.'!I56+'1'!I56+'2'!I56+'3'!I56</f>
        <v>0</v>
      </c>
      <c r="J56" s="43">
        <f t="shared" si="2"/>
        <v>0</v>
      </c>
      <c r="K56" s="44">
        <f>+'31.'!K56+'1'!K56+'2'!K56+'3'!K56</f>
        <v>3</v>
      </c>
      <c r="L56" s="15">
        <v>120</v>
      </c>
      <c r="M56" s="44">
        <f>+'31.'!M56+'1'!M56+'2'!M56+'3'!M56</f>
        <v>360</v>
      </c>
      <c r="N56" s="19"/>
      <c r="O56" s="90">
        <v>33.409999999999997</v>
      </c>
      <c r="P56" s="79">
        <f t="shared" si="3"/>
        <v>100.22999999999999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46">
        <f>+ยกมา!J57</f>
        <v>0</v>
      </c>
      <c r="F57" s="44">
        <f>+'31.'!F57+'1'!F57+'2'!F57+'3'!F57</f>
        <v>3</v>
      </c>
      <c r="G57" s="43">
        <f t="shared" si="1"/>
        <v>3</v>
      </c>
      <c r="H57" s="78">
        <f>+'31.'!H57+'1'!H57+'2'!H57+'3'!H57</f>
        <v>0</v>
      </c>
      <c r="I57" s="76">
        <f>+'31.'!I57+'1'!I57+'2'!I57+'3'!I57</f>
        <v>0</v>
      </c>
      <c r="J57" s="43">
        <f t="shared" si="2"/>
        <v>0</v>
      </c>
      <c r="K57" s="44">
        <f>+'31.'!K57+'1'!K57+'2'!K57+'3'!K57</f>
        <v>3</v>
      </c>
      <c r="L57" s="15">
        <v>120</v>
      </c>
      <c r="M57" s="44">
        <f>+'31.'!M57+'1'!M57+'2'!M57+'3'!M57</f>
        <v>360</v>
      </c>
      <c r="N57" s="19"/>
      <c r="O57" s="90">
        <v>31.46</v>
      </c>
      <c r="P57" s="79">
        <f t="shared" si="3"/>
        <v>94.38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46">
        <f>+ยกมา!J58</f>
        <v>0</v>
      </c>
      <c r="F58" s="44">
        <f>+'31.'!F58+'1'!F58+'2'!F58+'3'!F58</f>
        <v>3</v>
      </c>
      <c r="G58" s="43">
        <f t="shared" si="1"/>
        <v>3</v>
      </c>
      <c r="H58" s="78">
        <f>+'31.'!H58+'1'!H58+'2'!H58+'3'!H58</f>
        <v>0</v>
      </c>
      <c r="I58" s="76">
        <f>+'31.'!I58+'1'!I58+'2'!I58+'3'!I58</f>
        <v>0</v>
      </c>
      <c r="J58" s="43">
        <f t="shared" si="2"/>
        <v>0</v>
      </c>
      <c r="K58" s="44">
        <f>+'31.'!K58+'1'!K58+'2'!K58+'3'!K58</f>
        <v>3</v>
      </c>
      <c r="L58" s="15">
        <v>120</v>
      </c>
      <c r="M58" s="44">
        <f>+'31.'!M58+'1'!M58+'2'!M58+'3'!M58</f>
        <v>360</v>
      </c>
      <c r="N58" s="19"/>
      <c r="O58" s="90">
        <v>34.56</v>
      </c>
      <c r="P58" s="79">
        <f t="shared" si="3"/>
        <v>103.68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46">
        <f>+ยกมา!J59</f>
        <v>0</v>
      </c>
      <c r="F59" s="44">
        <f>+'31.'!F59+'1'!F59+'2'!F59+'3'!F59</f>
        <v>3</v>
      </c>
      <c r="G59" s="43">
        <f t="shared" si="1"/>
        <v>3</v>
      </c>
      <c r="H59" s="78">
        <f>+'31.'!H59+'1'!H59+'2'!H59+'3'!H59</f>
        <v>0</v>
      </c>
      <c r="I59" s="76">
        <f>+'31.'!I59+'1'!I59+'2'!I59+'3'!I59</f>
        <v>0</v>
      </c>
      <c r="J59" s="43">
        <f t="shared" si="2"/>
        <v>0</v>
      </c>
      <c r="K59" s="44">
        <f>+'31.'!K59+'1'!K59+'2'!K59+'3'!K59</f>
        <v>3</v>
      </c>
      <c r="L59" s="15">
        <v>120</v>
      </c>
      <c r="M59" s="44">
        <f>+'31.'!M59+'1'!M59+'2'!M59+'3'!M59</f>
        <v>360</v>
      </c>
      <c r="N59" s="19"/>
      <c r="O59" s="90">
        <v>32.96</v>
      </c>
      <c r="P59" s="79">
        <f t="shared" si="3"/>
        <v>98.88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46">
        <f>+ยกมา!J60</f>
        <v>0</v>
      </c>
      <c r="F60" s="44">
        <f>+'31.'!F60+'1'!F60+'2'!F60+'3'!F60</f>
        <v>0</v>
      </c>
      <c r="G60" s="43">
        <f t="shared" si="1"/>
        <v>0</v>
      </c>
      <c r="H60" s="78">
        <f>+'31.'!H60+'1'!H60+'2'!H60+'3'!H60</f>
        <v>0</v>
      </c>
      <c r="I60" s="76">
        <f>+'31.'!I60+'1'!I60+'2'!I60+'3'!I60</f>
        <v>0</v>
      </c>
      <c r="J60" s="43">
        <f t="shared" si="2"/>
        <v>0</v>
      </c>
      <c r="K60" s="44">
        <f>+'31.'!K60+'1'!K60+'2'!K60+'3'!K60</f>
        <v>0</v>
      </c>
      <c r="L60" s="15">
        <v>120</v>
      </c>
      <c r="M60" s="44">
        <f>+'31.'!M60+'1'!M60+'2'!M60+'3'!M60</f>
        <v>0</v>
      </c>
      <c r="N60" s="19"/>
      <c r="O60" s="90">
        <v>27.25</v>
      </c>
      <c r="P60" s="79">
        <f t="shared" si="3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46">
        <f>+ยกมา!J61</f>
        <v>0</v>
      </c>
      <c r="F61" s="44">
        <f>+'31.'!F61+'1'!F61+'2'!F61+'3'!F61</f>
        <v>0</v>
      </c>
      <c r="G61" s="43">
        <f t="shared" si="1"/>
        <v>0</v>
      </c>
      <c r="H61" s="78">
        <f>+'31.'!H61+'1'!H61+'2'!H61+'3'!H61</f>
        <v>0</v>
      </c>
      <c r="I61" s="76">
        <f>+'31.'!I61+'1'!I61+'2'!I61+'3'!I61</f>
        <v>0</v>
      </c>
      <c r="J61" s="43">
        <f t="shared" si="2"/>
        <v>0</v>
      </c>
      <c r="K61" s="44">
        <f>+'31.'!K61+'1'!K61+'2'!K61+'3'!K61</f>
        <v>0</v>
      </c>
      <c r="L61" s="15">
        <v>120</v>
      </c>
      <c r="M61" s="44">
        <f>+'31.'!M61+'1'!M61+'2'!M61+'3'!M61</f>
        <v>0</v>
      </c>
      <c r="N61" s="19"/>
      <c r="O61" s="90">
        <v>24.82</v>
      </c>
      <c r="P61" s="79">
        <f t="shared" si="3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46">
        <f>+ยกมา!J62</f>
        <v>0</v>
      </c>
      <c r="F62" s="44">
        <f>+'31.'!F62+'1'!F62+'2'!F62+'3'!F62</f>
        <v>3</v>
      </c>
      <c r="G62" s="43">
        <f t="shared" si="1"/>
        <v>3</v>
      </c>
      <c r="H62" s="78">
        <f>+'31.'!H62+'1'!H62+'2'!H62+'3'!H62</f>
        <v>0</v>
      </c>
      <c r="I62" s="76">
        <f>+'31.'!I62+'1'!I62+'2'!I62+'3'!I62</f>
        <v>0</v>
      </c>
      <c r="J62" s="43">
        <f t="shared" si="2"/>
        <v>0</v>
      </c>
      <c r="K62" s="44">
        <f>+'31.'!K62+'1'!K62+'2'!K62+'3'!K62</f>
        <v>3</v>
      </c>
      <c r="L62" s="15">
        <v>120</v>
      </c>
      <c r="M62" s="44">
        <f>+'31.'!M62+'1'!M62+'2'!M62+'3'!M62</f>
        <v>360</v>
      </c>
      <c r="N62" s="19"/>
      <c r="O62" s="90">
        <v>29.82</v>
      </c>
      <c r="P62" s="79">
        <f t="shared" si="3"/>
        <v>89.460000000000008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46">
        <f>+ยกมา!J63</f>
        <v>0</v>
      </c>
      <c r="F63" s="44">
        <f>+'31.'!F63+'1'!F63+'2'!F63+'3'!F63</f>
        <v>0</v>
      </c>
      <c r="G63" s="43">
        <f t="shared" si="1"/>
        <v>0</v>
      </c>
      <c r="H63" s="78">
        <f>+'31.'!H63+'1'!H63+'2'!H63+'3'!H63</f>
        <v>0</v>
      </c>
      <c r="I63" s="76">
        <f>+'31.'!I63+'1'!I63+'2'!I63+'3'!I63</f>
        <v>0</v>
      </c>
      <c r="J63" s="43">
        <f t="shared" si="2"/>
        <v>0</v>
      </c>
      <c r="K63" s="44">
        <f>+'31.'!K63+'1'!K63+'2'!K63+'3'!K63</f>
        <v>0</v>
      </c>
      <c r="L63" s="15">
        <v>120</v>
      </c>
      <c r="M63" s="44">
        <f>+'31.'!M63+'1'!M63+'2'!M63+'3'!M63</f>
        <v>0</v>
      </c>
      <c r="N63" s="19"/>
      <c r="O63" s="90">
        <v>27.72</v>
      </c>
      <c r="P63" s="79">
        <f t="shared" si="3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46">
        <f>+ยกมา!J64</f>
        <v>0</v>
      </c>
      <c r="F64" s="44">
        <f>+'31.'!F64+'1'!F64+'2'!F64+'3'!F64</f>
        <v>0</v>
      </c>
      <c r="G64" s="43">
        <f t="shared" si="1"/>
        <v>0</v>
      </c>
      <c r="H64" s="78">
        <f>+'31.'!H64+'1'!H64+'2'!H64+'3'!H64</f>
        <v>0</v>
      </c>
      <c r="I64" s="76">
        <f>+'31.'!I64+'1'!I64+'2'!I64+'3'!I64</f>
        <v>0</v>
      </c>
      <c r="J64" s="43">
        <f t="shared" si="2"/>
        <v>0</v>
      </c>
      <c r="K64" s="44">
        <f>+'31.'!K64+'1'!K64+'2'!K64+'3'!K64</f>
        <v>0</v>
      </c>
      <c r="L64" s="15">
        <v>50</v>
      </c>
      <c r="M64" s="44">
        <f>+'31.'!M64+'1'!M64+'2'!M64+'3'!M64</f>
        <v>0</v>
      </c>
      <c r="N64" s="19"/>
      <c r="O64" s="90">
        <v>23.69</v>
      </c>
      <c r="P64" s="79">
        <f t="shared" si="3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46">
        <f>+ยกมา!J65</f>
        <v>0</v>
      </c>
      <c r="F65" s="44">
        <f>+'31.'!F65+'1'!F65+'2'!F65+'3'!F65</f>
        <v>0</v>
      </c>
      <c r="G65" s="43">
        <f t="shared" si="1"/>
        <v>0</v>
      </c>
      <c r="H65" s="78">
        <f>+'31.'!H65+'1'!H65+'2'!H65+'3'!H65</f>
        <v>0</v>
      </c>
      <c r="I65" s="76">
        <f>+'31.'!I65+'1'!I65+'2'!I65+'3'!I65</f>
        <v>0</v>
      </c>
      <c r="J65" s="43">
        <f t="shared" si="2"/>
        <v>0</v>
      </c>
      <c r="K65" s="44">
        <f>+'31.'!K65+'1'!K65+'2'!K65+'3'!K65</f>
        <v>0</v>
      </c>
      <c r="L65" s="15">
        <v>50</v>
      </c>
      <c r="M65" s="44">
        <f>+'31.'!M65+'1'!M65+'2'!M65+'3'!M65</f>
        <v>0</v>
      </c>
      <c r="N65" s="19"/>
      <c r="O65" s="90">
        <v>22.49</v>
      </c>
      <c r="P65" s="79">
        <f t="shared" si="3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46">
        <f>+ยกมา!J66</f>
        <v>0</v>
      </c>
      <c r="F66" s="44">
        <f>+'31.'!F66+'1'!F66+'2'!F66+'3'!F66</f>
        <v>0</v>
      </c>
      <c r="G66" s="43">
        <f t="shared" si="1"/>
        <v>0</v>
      </c>
      <c r="H66" s="78">
        <f>+'31.'!H66+'1'!H66+'2'!H66+'3'!H66</f>
        <v>0</v>
      </c>
      <c r="I66" s="76">
        <f>+'31.'!I66+'1'!I66+'2'!I66+'3'!I66</f>
        <v>0</v>
      </c>
      <c r="J66" s="43">
        <f t="shared" si="2"/>
        <v>0</v>
      </c>
      <c r="K66" s="44">
        <f>+'31.'!K66+'1'!K66+'2'!K66+'3'!K66</f>
        <v>0</v>
      </c>
      <c r="L66" s="15">
        <v>50</v>
      </c>
      <c r="M66" s="44">
        <f>+'31.'!M66+'1'!M66+'2'!M66+'3'!M66</f>
        <v>0</v>
      </c>
      <c r="N66" s="19"/>
      <c r="O66" s="90">
        <v>23.12</v>
      </c>
      <c r="P66" s="79">
        <f t="shared" si="3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46">
        <f>+ยกมา!J67</f>
        <v>0</v>
      </c>
      <c r="F67" s="44">
        <f>+'31.'!F67+'1'!F67+'2'!F67+'3'!F67</f>
        <v>0</v>
      </c>
      <c r="G67" s="43">
        <f t="shared" si="1"/>
        <v>0</v>
      </c>
      <c r="H67" s="78">
        <f>+'31.'!H67+'1'!H67+'2'!H67+'3'!H67</f>
        <v>0</v>
      </c>
      <c r="I67" s="76">
        <f>+'31.'!I67+'1'!I67+'2'!I67+'3'!I67</f>
        <v>0</v>
      </c>
      <c r="J67" s="43">
        <f t="shared" si="2"/>
        <v>0</v>
      </c>
      <c r="K67" s="44">
        <f>+'31.'!K67+'1'!K67+'2'!K67+'3'!K67</f>
        <v>0</v>
      </c>
      <c r="L67" s="15">
        <v>70</v>
      </c>
      <c r="M67" s="44">
        <f>+'31.'!M67+'1'!M67+'2'!M67+'3'!M67</f>
        <v>0</v>
      </c>
      <c r="N67" s="19"/>
      <c r="O67" s="92"/>
      <c r="P67" s="79">
        <f t="shared" si="3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46">
        <f>+ยกมา!J68</f>
        <v>0</v>
      </c>
      <c r="F68" s="44">
        <f>+'31.'!F68+'1'!F68+'2'!F68+'3'!F68</f>
        <v>0</v>
      </c>
      <c r="G68" s="43">
        <f t="shared" si="1"/>
        <v>0</v>
      </c>
      <c r="H68" s="78">
        <f>+'31.'!H68+'1'!H68+'2'!H68+'3'!H68</f>
        <v>0</v>
      </c>
      <c r="I68" s="76">
        <f>+'31.'!I68+'1'!I68+'2'!I68+'3'!I68</f>
        <v>0</v>
      </c>
      <c r="J68" s="43">
        <f t="shared" si="2"/>
        <v>0</v>
      </c>
      <c r="K68" s="44">
        <f>+'31.'!K68+'1'!K68+'2'!K68+'3'!K68</f>
        <v>0</v>
      </c>
      <c r="L68" s="15">
        <v>80</v>
      </c>
      <c r="M68" s="44">
        <f>+'31.'!M68+'1'!M68+'2'!M68+'3'!M68</f>
        <v>0</v>
      </c>
      <c r="N68" s="19"/>
      <c r="O68" s="92"/>
      <c r="P68" s="79">
        <f t="shared" si="3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46">
        <f>+ยกมา!J69</f>
        <v>0</v>
      </c>
      <c r="F69" s="44">
        <f>+'31.'!F69+'1'!F69+'2'!F69+'3'!F69</f>
        <v>0</v>
      </c>
      <c r="G69" s="43">
        <f t="shared" si="1"/>
        <v>0</v>
      </c>
      <c r="H69" s="78">
        <f>+'31.'!H69+'1'!H69+'2'!H69+'3'!H69</f>
        <v>0</v>
      </c>
      <c r="I69" s="76">
        <f>+'31.'!I69+'1'!I69+'2'!I69+'3'!I69</f>
        <v>0</v>
      </c>
      <c r="J69" s="43">
        <f t="shared" si="2"/>
        <v>0</v>
      </c>
      <c r="K69" s="44">
        <f>+'31.'!K69+'1'!K69+'2'!K69+'3'!K69</f>
        <v>0</v>
      </c>
      <c r="L69" s="15">
        <v>150</v>
      </c>
      <c r="M69" s="44">
        <f>+'31.'!M69+'1'!M69+'2'!M69+'3'!M69</f>
        <v>0</v>
      </c>
      <c r="N69" s="19"/>
      <c r="O69" s="90">
        <v>67.790000000000006</v>
      </c>
      <c r="P69" s="79">
        <f t="shared" si="3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46">
        <f>+ยกมา!J70</f>
        <v>0</v>
      </c>
      <c r="F70" s="44">
        <f>+'31.'!F70+'1'!F70+'2'!F70+'3'!F70</f>
        <v>0</v>
      </c>
      <c r="G70" s="43">
        <f t="shared" ref="G70:G133" si="9">+E70+F70</f>
        <v>0</v>
      </c>
      <c r="H70" s="78">
        <f>+'31.'!H70+'1'!H70+'2'!H70+'3'!H70</f>
        <v>0</v>
      </c>
      <c r="I70" s="76">
        <f>+'31.'!I70+'1'!I70+'2'!I70+'3'!I70</f>
        <v>0</v>
      </c>
      <c r="J70" s="43">
        <f t="shared" ref="J70:J133" si="10">E70+F70-H70-K70-I70</f>
        <v>0</v>
      </c>
      <c r="K70" s="44">
        <f>+'31.'!K70+'1'!K70+'2'!K70+'3'!K70</f>
        <v>0</v>
      </c>
      <c r="L70" s="15">
        <v>150</v>
      </c>
      <c r="M70" s="44">
        <f>+'31.'!M70+'1'!M70+'2'!M70+'3'!M70</f>
        <v>0</v>
      </c>
      <c r="N70" s="19"/>
      <c r="O70" s="90">
        <v>68.37</v>
      </c>
      <c r="P70" s="79">
        <f t="shared" si="3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46">
        <f>+ยกมา!J71</f>
        <v>0</v>
      </c>
      <c r="F71" s="44">
        <f>+'31.'!F71+'1'!F71+'2'!F71+'3'!F71</f>
        <v>0</v>
      </c>
      <c r="G71" s="43">
        <f t="shared" si="9"/>
        <v>0</v>
      </c>
      <c r="H71" s="78">
        <f>+'31.'!H71+'1'!H71+'2'!H71+'3'!H71</f>
        <v>0</v>
      </c>
      <c r="I71" s="76">
        <f>+'31.'!I71+'1'!I71+'2'!I71+'3'!I71</f>
        <v>0</v>
      </c>
      <c r="J71" s="43">
        <f t="shared" si="10"/>
        <v>0</v>
      </c>
      <c r="K71" s="44">
        <f>+'31.'!K71+'1'!K71+'2'!K71+'3'!K71</f>
        <v>0</v>
      </c>
      <c r="L71" s="15">
        <v>150</v>
      </c>
      <c r="M71" s="44">
        <f>+'31.'!M71+'1'!M71+'2'!M71+'3'!M71</f>
        <v>0</v>
      </c>
      <c r="N71" s="19"/>
      <c r="O71" s="90">
        <v>67.17</v>
      </c>
      <c r="P71" s="79">
        <f t="shared" ref="P71:P145" si="11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46">
        <f>+ยกมา!J72</f>
        <v>0</v>
      </c>
      <c r="F72" s="44">
        <f>+'31.'!F72+'1'!F72+'2'!F72+'3'!F72</f>
        <v>0</v>
      </c>
      <c r="G72" s="43">
        <f t="shared" si="9"/>
        <v>0</v>
      </c>
      <c r="H72" s="78">
        <f>+'31.'!H72+'1'!H72+'2'!H72+'3'!H72</f>
        <v>0</v>
      </c>
      <c r="I72" s="76">
        <f>+'31.'!I72+'1'!I72+'2'!I72+'3'!I72</f>
        <v>0</v>
      </c>
      <c r="J72" s="43">
        <f t="shared" si="10"/>
        <v>0</v>
      </c>
      <c r="K72" s="44">
        <f>+'31.'!K72+'1'!K72+'2'!K72+'3'!K72</f>
        <v>0</v>
      </c>
      <c r="L72" s="21">
        <v>50</v>
      </c>
      <c r="M72" s="44">
        <f>+'31.'!M72+'1'!M72+'2'!M72+'3'!M72</f>
        <v>0</v>
      </c>
      <c r="N72" s="19"/>
      <c r="O72" s="90"/>
      <c r="P72" s="79">
        <f t="shared" si="11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46">
        <f>+ยกมา!J73</f>
        <v>0</v>
      </c>
      <c r="F73" s="44">
        <f>+'31.'!F73+'1'!F73+'2'!F73+'3'!F73</f>
        <v>0</v>
      </c>
      <c r="G73" s="43">
        <f t="shared" si="9"/>
        <v>0</v>
      </c>
      <c r="H73" s="78">
        <f>+'31.'!H73+'1'!H73+'2'!H73+'3'!H73</f>
        <v>0</v>
      </c>
      <c r="I73" s="76">
        <f>+'31.'!I73+'1'!I73+'2'!I73+'3'!I73</f>
        <v>0</v>
      </c>
      <c r="J73" s="43">
        <f t="shared" si="10"/>
        <v>0</v>
      </c>
      <c r="K73" s="44">
        <f>+'31.'!K73+'1'!K73+'2'!K73+'3'!K73</f>
        <v>0</v>
      </c>
      <c r="L73" s="21">
        <v>120</v>
      </c>
      <c r="M73" s="44">
        <f>+'31.'!M73+'1'!M73+'2'!M73+'3'!M73</f>
        <v>0</v>
      </c>
      <c r="N73" s="19"/>
      <c r="O73" s="90">
        <v>15.4</v>
      </c>
      <c r="P73" s="79">
        <f t="shared" si="11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46">
        <f>+ยกมา!J74</f>
        <v>0</v>
      </c>
      <c r="F74" s="44">
        <f>+'31.'!F74+'1'!F74+'2'!F74+'3'!F74</f>
        <v>5</v>
      </c>
      <c r="G74" s="43">
        <f t="shared" si="9"/>
        <v>5</v>
      </c>
      <c r="H74" s="78">
        <f>+'31.'!H74+'1'!H74+'2'!H74+'3'!H74</f>
        <v>0</v>
      </c>
      <c r="I74" s="76">
        <f>+'31.'!I74+'1'!I74+'2'!I74+'3'!I74</f>
        <v>0</v>
      </c>
      <c r="J74" s="43">
        <f t="shared" si="10"/>
        <v>0</v>
      </c>
      <c r="K74" s="44">
        <f>+'31.'!K74+'1'!K74+'2'!K74+'3'!K74</f>
        <v>5</v>
      </c>
      <c r="L74" s="21">
        <v>50</v>
      </c>
      <c r="M74" s="44">
        <f>+'31.'!M74+'1'!M74+'2'!M74+'3'!M74</f>
        <v>250</v>
      </c>
      <c r="N74" s="19"/>
      <c r="O74" s="90">
        <v>17.09</v>
      </c>
      <c r="P74" s="79">
        <f t="shared" si="11"/>
        <v>85.45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46">
        <f>+ยกมา!J75</f>
        <v>0</v>
      </c>
      <c r="F75" s="44">
        <f>+'31.'!F75+'1'!F75+'2'!F75+'3'!F75</f>
        <v>0</v>
      </c>
      <c r="G75" s="43">
        <f t="shared" si="9"/>
        <v>0</v>
      </c>
      <c r="H75" s="78">
        <f>+'31.'!H75+'1'!H75+'2'!H75+'3'!H75</f>
        <v>0</v>
      </c>
      <c r="I75" s="76">
        <f>+'31.'!I75+'1'!I75+'2'!I75+'3'!I75</f>
        <v>0</v>
      </c>
      <c r="J75" s="43">
        <f t="shared" si="10"/>
        <v>0</v>
      </c>
      <c r="K75" s="44">
        <f>+'31.'!K75+'1'!K75+'2'!K75+'3'!K75</f>
        <v>0</v>
      </c>
      <c r="L75" s="21">
        <v>120</v>
      </c>
      <c r="M75" s="44">
        <f>+'31.'!M75+'1'!M75+'2'!M75+'3'!M75</f>
        <v>0</v>
      </c>
      <c r="N75" s="19"/>
      <c r="O75" s="90">
        <v>22.51</v>
      </c>
      <c r="P75" s="79">
        <f t="shared" si="11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46">
        <f>+ยกมา!J76</f>
        <v>0</v>
      </c>
      <c r="F76" s="44">
        <f>+'31.'!F76+'1'!F76+'2'!F76+'3'!F76</f>
        <v>10</v>
      </c>
      <c r="G76" s="43">
        <f t="shared" si="9"/>
        <v>10</v>
      </c>
      <c r="H76" s="78">
        <f>+'31.'!H76+'1'!H76+'2'!H76+'3'!H76</f>
        <v>0</v>
      </c>
      <c r="I76" s="76">
        <f>+'31.'!I76+'1'!I76+'2'!I76+'3'!I76</f>
        <v>0</v>
      </c>
      <c r="J76" s="43">
        <f t="shared" si="10"/>
        <v>0</v>
      </c>
      <c r="K76" s="44">
        <f>+'31.'!K76+'1'!K76+'2'!K76+'3'!K76</f>
        <v>10</v>
      </c>
      <c r="L76" s="21">
        <v>50</v>
      </c>
      <c r="M76" s="44">
        <f>+'31.'!M76+'1'!M76+'2'!M76+'3'!M76</f>
        <v>500</v>
      </c>
      <c r="N76" s="19"/>
      <c r="O76" s="90">
        <v>25.15</v>
      </c>
      <c r="P76" s="79">
        <f t="shared" si="11"/>
        <v>251.5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46">
        <f>+ยกมา!J77</f>
        <v>0</v>
      </c>
      <c r="F77" s="44">
        <f>+'31.'!F77+'1'!F77+'2'!F77+'3'!F77</f>
        <v>0</v>
      </c>
      <c r="G77" s="43">
        <f t="shared" si="9"/>
        <v>0</v>
      </c>
      <c r="H77" s="78">
        <f>+'31.'!H77+'1'!H77+'2'!H77+'3'!H77</f>
        <v>0</v>
      </c>
      <c r="I77" s="76">
        <f>+'31.'!I77+'1'!I77+'2'!I77+'3'!I77</f>
        <v>0</v>
      </c>
      <c r="J77" s="43">
        <f t="shared" si="10"/>
        <v>0</v>
      </c>
      <c r="K77" s="44">
        <f>+'31.'!K77+'1'!K77+'2'!K77+'3'!K77</f>
        <v>0</v>
      </c>
      <c r="L77" s="15">
        <v>45</v>
      </c>
      <c r="M77" s="44">
        <f>+'31.'!M77+'1'!M77+'2'!M77+'3'!M77</f>
        <v>0</v>
      </c>
      <c r="N77" s="19"/>
      <c r="O77" s="90"/>
      <c r="P77" s="79">
        <f t="shared" si="11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46">
        <f>+ยกมา!J78</f>
        <v>0</v>
      </c>
      <c r="F78" s="44">
        <f>+'31.'!F78+'1'!F78+'2'!F78+'3'!F78</f>
        <v>0</v>
      </c>
      <c r="G78" s="43">
        <f t="shared" si="9"/>
        <v>0</v>
      </c>
      <c r="H78" s="78">
        <f>+'31.'!H78+'1'!H78+'2'!H78+'3'!H78</f>
        <v>0</v>
      </c>
      <c r="I78" s="76">
        <f>+'31.'!I78+'1'!I78+'2'!I78+'3'!I78</f>
        <v>0</v>
      </c>
      <c r="J78" s="43">
        <f t="shared" si="10"/>
        <v>0</v>
      </c>
      <c r="K78" s="44">
        <f>+'31.'!K78+'1'!K78+'2'!K78+'3'!K78</f>
        <v>0</v>
      </c>
      <c r="L78" s="21">
        <v>35</v>
      </c>
      <c r="M78" s="44">
        <f>+'31.'!M78+'1'!M78+'2'!M78+'3'!M78</f>
        <v>0</v>
      </c>
      <c r="N78" s="19"/>
      <c r="O78" s="90">
        <v>30.84</v>
      </c>
      <c r="P78" s="79">
        <f t="shared" si="11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46">
        <f>+ยกมา!J79</f>
        <v>0</v>
      </c>
      <c r="F79" s="44">
        <f>+'31.'!F79+'1'!F79+'2'!F79+'3'!F79</f>
        <v>5</v>
      </c>
      <c r="G79" s="43">
        <f t="shared" si="9"/>
        <v>5</v>
      </c>
      <c r="H79" s="78">
        <f>+'31.'!H79+'1'!H79+'2'!H79+'3'!H79</f>
        <v>0</v>
      </c>
      <c r="I79" s="76">
        <f>+'31.'!I79+'1'!I79+'2'!I79+'3'!I79</f>
        <v>0</v>
      </c>
      <c r="J79" s="43">
        <f t="shared" si="10"/>
        <v>2</v>
      </c>
      <c r="K79" s="44">
        <f>+'31.'!K79+'1'!K79+'2'!K79+'3'!K79</f>
        <v>3</v>
      </c>
      <c r="L79" s="15">
        <v>55</v>
      </c>
      <c r="M79" s="44">
        <f>+'31.'!M79+'1'!M79+'2'!M79+'3'!M79</f>
        <v>165</v>
      </c>
      <c r="N79" s="19"/>
      <c r="O79" s="90">
        <v>14.35</v>
      </c>
      <c r="P79" s="79">
        <f t="shared" si="11"/>
        <v>43.05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46">
        <f>+ยกมา!J80</f>
        <v>0</v>
      </c>
      <c r="F80" s="44">
        <f>+'31.'!F80+'1'!F80+'2'!F80+'3'!F80</f>
        <v>5</v>
      </c>
      <c r="G80" s="43">
        <f t="shared" si="9"/>
        <v>5</v>
      </c>
      <c r="H80" s="78">
        <f>+'31.'!H80+'1'!H80+'2'!H80+'3'!H80</f>
        <v>0</v>
      </c>
      <c r="I80" s="76">
        <f>+'31.'!I80+'1'!I80+'2'!I80+'3'!I80</f>
        <v>0</v>
      </c>
      <c r="J80" s="43">
        <f t="shared" si="10"/>
        <v>1</v>
      </c>
      <c r="K80" s="44">
        <f>+'31.'!K80+'1'!K80+'2'!K80+'3'!K80</f>
        <v>4</v>
      </c>
      <c r="L80" s="20">
        <v>55</v>
      </c>
      <c r="M80" s="44">
        <f>+'31.'!M80+'1'!M80+'2'!M80+'3'!M80</f>
        <v>220</v>
      </c>
      <c r="N80" s="19"/>
      <c r="O80" s="90">
        <v>11.58</v>
      </c>
      <c r="P80" s="79">
        <f t="shared" si="11"/>
        <v>46.32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46">
        <f>+ยกมา!J81</f>
        <v>0</v>
      </c>
      <c r="F81" s="44">
        <f>+'31.'!F81+'1'!F81+'2'!F81+'3'!F81</f>
        <v>0</v>
      </c>
      <c r="G81" s="43">
        <f t="shared" si="9"/>
        <v>0</v>
      </c>
      <c r="H81" s="78">
        <f>+'31.'!H81+'1'!H81+'2'!H81+'3'!H81</f>
        <v>0</v>
      </c>
      <c r="I81" s="76">
        <f>+'31.'!I81+'1'!I81+'2'!I81+'3'!I81</f>
        <v>0</v>
      </c>
      <c r="J81" s="43">
        <f t="shared" si="10"/>
        <v>0</v>
      </c>
      <c r="K81" s="44">
        <f>+'31.'!K81+'1'!K81+'2'!K81+'3'!K81</f>
        <v>0</v>
      </c>
      <c r="L81" s="22">
        <v>50</v>
      </c>
      <c r="M81" s="44">
        <f>+'31.'!M81+'1'!M81+'2'!M81+'3'!M81</f>
        <v>0</v>
      </c>
      <c r="N81" s="19"/>
      <c r="O81" s="90">
        <v>18.14</v>
      </c>
      <c r="P81" s="79">
        <f t="shared" si="11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46">
        <f>+ยกมา!J82</f>
        <v>0</v>
      </c>
      <c r="F82" s="44">
        <f>+'31.'!F82+'1'!F82+'2'!F82+'3'!F82</f>
        <v>0</v>
      </c>
      <c r="G82" s="43">
        <f t="shared" si="9"/>
        <v>0</v>
      </c>
      <c r="H82" s="78">
        <f>+'31.'!H82+'1'!H82+'2'!H82+'3'!H82</f>
        <v>0</v>
      </c>
      <c r="I82" s="76">
        <f>+'31.'!I82+'1'!I82+'2'!I82+'3'!I82</f>
        <v>0</v>
      </c>
      <c r="J82" s="43">
        <f t="shared" si="10"/>
        <v>0</v>
      </c>
      <c r="K82" s="44">
        <f>+'31.'!K82+'1'!K82+'2'!K82+'3'!K82</f>
        <v>0</v>
      </c>
      <c r="L82" s="22">
        <v>50</v>
      </c>
      <c r="M82" s="44">
        <f>+'31.'!M82+'1'!M82+'2'!M82+'3'!M82</f>
        <v>0</v>
      </c>
      <c r="N82" s="19"/>
      <c r="O82" s="90">
        <v>12.94</v>
      </c>
      <c r="P82" s="79">
        <f t="shared" si="11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46">
        <f>+ยกมา!J83</f>
        <v>0</v>
      </c>
      <c r="F83" s="44">
        <f>+'31.'!F83+'1'!F83+'2'!F83+'3'!F83</f>
        <v>0</v>
      </c>
      <c r="G83" s="43">
        <f t="shared" si="9"/>
        <v>0</v>
      </c>
      <c r="H83" s="78">
        <f>+'31.'!H83+'1'!H83+'2'!H83+'3'!H83</f>
        <v>0</v>
      </c>
      <c r="I83" s="76">
        <f>+'31.'!I83+'1'!I83+'2'!I83+'3'!I83</f>
        <v>0</v>
      </c>
      <c r="J83" s="43">
        <f t="shared" si="10"/>
        <v>0</v>
      </c>
      <c r="K83" s="44">
        <f>+'31.'!K83+'1'!K83+'2'!K83+'3'!K83</f>
        <v>0</v>
      </c>
      <c r="L83" s="20">
        <v>35</v>
      </c>
      <c r="M83" s="44">
        <f>+'31.'!M83+'1'!M83+'2'!M83+'3'!M83</f>
        <v>0</v>
      </c>
      <c r="N83" s="19"/>
      <c r="O83" s="90"/>
      <c r="P83" s="79">
        <f t="shared" si="11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65">
      <c r="A84" s="10">
        <v>80</v>
      </c>
      <c r="B84" s="19"/>
      <c r="C84" s="19" t="s">
        <v>1376</v>
      </c>
      <c r="D84" s="10" t="s">
        <v>434</v>
      </c>
      <c r="E84" s="46">
        <f>+ยกมา!J84</f>
        <v>0</v>
      </c>
      <c r="F84" s="44">
        <f>+'31.'!F84+'1'!F84+'2'!F84+'3'!F84</f>
        <v>0</v>
      </c>
      <c r="G84" s="43">
        <f t="shared" si="9"/>
        <v>0</v>
      </c>
      <c r="H84" s="78">
        <f>+'31.'!H84+'1'!H84+'2'!H84+'3'!H84</f>
        <v>0</v>
      </c>
      <c r="I84" s="76">
        <f>+'31.'!I84+'1'!I84+'2'!I84+'3'!I84</f>
        <v>0</v>
      </c>
      <c r="J84" s="43">
        <f t="shared" si="10"/>
        <v>0</v>
      </c>
      <c r="K84" s="44">
        <f>+'31.'!K84+'1'!K84+'2'!K84+'3'!K84</f>
        <v>0</v>
      </c>
      <c r="L84" s="20">
        <v>35</v>
      </c>
      <c r="M84" s="44">
        <f>+'31.'!M84+'1'!M84+'2'!M84+'3'!M84</f>
        <v>0</v>
      </c>
      <c r="N84" s="19"/>
      <c r="O84" s="73"/>
      <c r="P84" s="79">
        <f>+K84*O84</f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46">
        <f>+ยกมา!J85</f>
        <v>0</v>
      </c>
      <c r="F85" s="44">
        <f>+'31.'!F85+'1'!F85+'2'!F85+'3'!F85</f>
        <v>0</v>
      </c>
      <c r="G85" s="43">
        <f t="shared" si="9"/>
        <v>0</v>
      </c>
      <c r="H85" s="78">
        <f>+'31.'!H85+'1'!H85+'2'!H85+'3'!H85</f>
        <v>0</v>
      </c>
      <c r="I85" s="76">
        <f>+'31.'!I85+'1'!I85+'2'!I85+'3'!I85</f>
        <v>0</v>
      </c>
      <c r="J85" s="43">
        <f t="shared" si="10"/>
        <v>0</v>
      </c>
      <c r="K85" s="44">
        <f>+'31.'!K85+'1'!K85+'2'!K85+'3'!K85</f>
        <v>0</v>
      </c>
      <c r="L85" s="20">
        <v>45</v>
      </c>
      <c r="M85" s="44">
        <f>+'31.'!M85+'1'!M85+'2'!M85+'3'!M85</f>
        <v>0</v>
      </c>
      <c r="N85" s="19"/>
      <c r="O85" s="90"/>
      <c r="P85" s="79">
        <f t="shared" si="11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65">
      <c r="A86" s="10">
        <v>82</v>
      </c>
      <c r="B86" s="19"/>
      <c r="C86" s="19" t="s">
        <v>1371</v>
      </c>
      <c r="D86" s="10" t="s">
        <v>434</v>
      </c>
      <c r="E86" s="46">
        <f>+ยกมา!J86</f>
        <v>0</v>
      </c>
      <c r="F86" s="44">
        <f>+'31.'!F86+'1'!F86+'2'!F86+'3'!F86</f>
        <v>0</v>
      </c>
      <c r="G86" s="43">
        <f t="shared" si="9"/>
        <v>0</v>
      </c>
      <c r="H86" s="78">
        <f>+'31.'!H86+'1'!H86+'2'!H86+'3'!H86</f>
        <v>0</v>
      </c>
      <c r="I86" s="76">
        <f>+'31.'!I86+'1'!I86+'2'!I86+'3'!I86</f>
        <v>0</v>
      </c>
      <c r="J86" s="43">
        <f t="shared" si="10"/>
        <v>0</v>
      </c>
      <c r="K86" s="44">
        <f>+'31.'!K86+'1'!K86+'2'!K86+'3'!K86</f>
        <v>0</v>
      </c>
      <c r="L86" s="20">
        <v>35</v>
      </c>
      <c r="M86" s="44">
        <f>+'31.'!M86+'1'!M86+'2'!M86+'3'!M86</f>
        <v>0</v>
      </c>
      <c r="N86" s="19"/>
      <c r="O86" s="73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65">
      <c r="A87" s="10">
        <v>83</v>
      </c>
      <c r="B87" s="19"/>
      <c r="C87" s="19" t="s">
        <v>1373</v>
      </c>
      <c r="D87" s="10" t="s">
        <v>434</v>
      </c>
      <c r="E87" s="46">
        <f>+ยกมา!J87</f>
        <v>0</v>
      </c>
      <c r="F87" s="44">
        <f>+'31.'!F87+'1'!F87+'2'!F87+'3'!F87</f>
        <v>0</v>
      </c>
      <c r="G87" s="43">
        <f t="shared" si="9"/>
        <v>0</v>
      </c>
      <c r="H87" s="78">
        <f>+'31.'!H87+'1'!H87+'2'!H87+'3'!H87</f>
        <v>0</v>
      </c>
      <c r="I87" s="76">
        <f>+'31.'!I87+'1'!I87+'2'!I87+'3'!I87</f>
        <v>0</v>
      </c>
      <c r="J87" s="43">
        <f t="shared" si="10"/>
        <v>0</v>
      </c>
      <c r="K87" s="44">
        <f>+'31.'!K87+'1'!K87+'2'!K87+'3'!K87</f>
        <v>0</v>
      </c>
      <c r="L87" s="20">
        <v>35</v>
      </c>
      <c r="M87" s="44">
        <f>+'31.'!M87+'1'!M87+'2'!M87+'3'!M87</f>
        <v>0</v>
      </c>
      <c r="N87" s="19"/>
      <c r="O87" s="73"/>
      <c r="P87" s="79">
        <f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46">
        <f>+ยกมา!J88</f>
        <v>0</v>
      </c>
      <c r="F88" s="44">
        <f>+'31.'!F88+'1'!F88+'2'!F88+'3'!F88</f>
        <v>0</v>
      </c>
      <c r="G88" s="43">
        <f t="shared" si="9"/>
        <v>0</v>
      </c>
      <c r="H88" s="78">
        <f>+'31.'!H88+'1'!H88+'2'!H88+'3'!H88</f>
        <v>0</v>
      </c>
      <c r="I88" s="76">
        <f>+'31.'!I88+'1'!I88+'2'!I88+'3'!I88</f>
        <v>0</v>
      </c>
      <c r="J88" s="43">
        <f t="shared" si="10"/>
        <v>0</v>
      </c>
      <c r="K88" s="44">
        <f>+'31.'!K88+'1'!K88+'2'!K88+'3'!K88</f>
        <v>0</v>
      </c>
      <c r="L88" s="22">
        <v>45</v>
      </c>
      <c r="M88" s="44">
        <f>+'31.'!M88+'1'!M88+'2'!M88+'3'!M88</f>
        <v>0</v>
      </c>
      <c r="N88" s="19"/>
      <c r="O88" s="90">
        <v>30.25</v>
      </c>
      <c r="P88" s="79">
        <f t="shared" si="11"/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46">
        <f>+ยกมา!J89</f>
        <v>0</v>
      </c>
      <c r="F89" s="44">
        <f>+'31.'!F89+'1'!F89+'2'!F89+'3'!F89</f>
        <v>0</v>
      </c>
      <c r="G89" s="43">
        <f t="shared" si="9"/>
        <v>0</v>
      </c>
      <c r="H89" s="78">
        <f>+'31.'!H89+'1'!H89+'2'!H89+'3'!H89</f>
        <v>0</v>
      </c>
      <c r="I89" s="76">
        <f>+'31.'!I89+'1'!I89+'2'!I89+'3'!I89</f>
        <v>0</v>
      </c>
      <c r="J89" s="43">
        <f t="shared" si="10"/>
        <v>0</v>
      </c>
      <c r="K89" s="44">
        <f>+'31.'!K89+'1'!K89+'2'!K89+'3'!K89</f>
        <v>0</v>
      </c>
      <c r="L89" s="20">
        <v>45</v>
      </c>
      <c r="M89" s="44">
        <f>+'31.'!M89+'1'!M89+'2'!M89+'3'!M89</f>
        <v>0</v>
      </c>
      <c r="N89" s="19"/>
      <c r="O89" s="90"/>
      <c r="P89" s="79">
        <f t="shared" si="11"/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46">
        <f>+ยกมา!J90</f>
        <v>0</v>
      </c>
      <c r="F90" s="44">
        <f>+'31.'!F90+'1'!F90+'2'!F90+'3'!F90</f>
        <v>60</v>
      </c>
      <c r="G90" s="43">
        <f t="shared" si="9"/>
        <v>60</v>
      </c>
      <c r="H90" s="78">
        <f>+'31.'!H90+'1'!H90+'2'!H90+'3'!H90</f>
        <v>0</v>
      </c>
      <c r="I90" s="76">
        <f>+'31.'!I90+'1'!I90+'2'!I90+'3'!I90</f>
        <v>0</v>
      </c>
      <c r="J90" s="43">
        <f t="shared" si="10"/>
        <v>29</v>
      </c>
      <c r="K90" s="44">
        <f>+'31.'!K90+'1'!K90+'2'!K90+'3'!K90</f>
        <v>31</v>
      </c>
      <c r="L90" s="21">
        <v>35</v>
      </c>
      <c r="M90" s="44">
        <f>+'31.'!M90+'1'!M90+'2'!M90+'3'!M90</f>
        <v>1085</v>
      </c>
      <c r="N90" s="19"/>
      <c r="O90" s="90">
        <v>18.63</v>
      </c>
      <c r="P90" s="79">
        <f t="shared" si="11"/>
        <v>577.53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46">
        <f>+ยกมา!J91</f>
        <v>0</v>
      </c>
      <c r="F91" s="44">
        <f>+'31.'!F91+'1'!F91+'2'!F91+'3'!F91</f>
        <v>0</v>
      </c>
      <c r="G91" s="43">
        <f t="shared" si="9"/>
        <v>0</v>
      </c>
      <c r="H91" s="78">
        <f>+'31.'!H91+'1'!H91+'2'!H91+'3'!H91</f>
        <v>0</v>
      </c>
      <c r="I91" s="76">
        <f>+'31.'!I91+'1'!I91+'2'!I91+'3'!I91</f>
        <v>0</v>
      </c>
      <c r="J91" s="43">
        <f t="shared" si="10"/>
        <v>0</v>
      </c>
      <c r="K91" s="44">
        <f>+'31.'!K91+'1'!K91+'2'!K91+'3'!K91</f>
        <v>0</v>
      </c>
      <c r="L91" s="21"/>
      <c r="M91" s="44">
        <f>+'31.'!M91+'1'!M91+'2'!M91+'3'!M91</f>
        <v>0</v>
      </c>
      <c r="N91" s="19"/>
      <c r="O91" s="90"/>
      <c r="P91" s="79">
        <f t="shared" si="11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46">
        <f>+ยกมา!J92</f>
        <v>0</v>
      </c>
      <c r="F92" s="44">
        <f>+'31.'!F92+'1'!F92+'2'!F92+'3'!F92</f>
        <v>0</v>
      </c>
      <c r="G92" s="43">
        <f t="shared" si="9"/>
        <v>0</v>
      </c>
      <c r="H92" s="78">
        <f>+'31.'!H92+'1'!H92+'2'!H92+'3'!H92</f>
        <v>0</v>
      </c>
      <c r="I92" s="76">
        <f>+'31.'!I92+'1'!I92+'2'!I92+'3'!I92</f>
        <v>0</v>
      </c>
      <c r="J92" s="43">
        <f t="shared" si="10"/>
        <v>0</v>
      </c>
      <c r="K92" s="44">
        <f>+'31.'!K92+'1'!K92+'2'!K92+'3'!K92</f>
        <v>0</v>
      </c>
      <c r="L92" s="21">
        <v>120</v>
      </c>
      <c r="M92" s="44">
        <f>+'31.'!M92+'1'!M92+'2'!M92+'3'!M92</f>
        <v>0</v>
      </c>
      <c r="N92" s="19"/>
      <c r="O92" s="90"/>
      <c r="P92" s="79">
        <f t="shared" si="11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46">
        <f>+ยกมา!J93</f>
        <v>0</v>
      </c>
      <c r="F93" s="44">
        <f>+'31.'!F93+'1'!F93+'2'!F93+'3'!F93</f>
        <v>0</v>
      </c>
      <c r="G93" s="43">
        <f t="shared" si="9"/>
        <v>0</v>
      </c>
      <c r="H93" s="78">
        <f>+'31.'!H93+'1'!H93+'2'!H93+'3'!H93</f>
        <v>0</v>
      </c>
      <c r="I93" s="76">
        <f>+'31.'!I93+'1'!I93+'2'!I93+'3'!I93</f>
        <v>0</v>
      </c>
      <c r="J93" s="43">
        <f t="shared" si="10"/>
        <v>0</v>
      </c>
      <c r="K93" s="44">
        <f>+'31.'!K93+'1'!K93+'2'!K93+'3'!K93</f>
        <v>0</v>
      </c>
      <c r="L93" s="20">
        <v>45</v>
      </c>
      <c r="M93" s="44">
        <f>+'31.'!M93+'1'!M93+'2'!M93+'3'!M93</f>
        <v>0</v>
      </c>
      <c r="N93" s="19"/>
      <c r="O93" s="90"/>
      <c r="P93" s="79">
        <f t="shared" si="11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46">
        <f>+ยกมา!J94</f>
        <v>0</v>
      </c>
      <c r="F94" s="44">
        <f>+'31.'!F94+'1'!F94+'2'!F94+'3'!F94</f>
        <v>0</v>
      </c>
      <c r="G94" s="43">
        <f t="shared" si="9"/>
        <v>0</v>
      </c>
      <c r="H94" s="78">
        <f>+'31.'!H94+'1'!H94+'2'!H94+'3'!H94</f>
        <v>0</v>
      </c>
      <c r="I94" s="76">
        <f>+'31.'!I94+'1'!I94+'2'!I94+'3'!I94</f>
        <v>0</v>
      </c>
      <c r="J94" s="43">
        <f t="shared" si="10"/>
        <v>0</v>
      </c>
      <c r="K94" s="44">
        <f>+'31.'!K94+'1'!K94+'2'!K94+'3'!K94</f>
        <v>0</v>
      </c>
      <c r="L94" s="20">
        <v>35</v>
      </c>
      <c r="M94" s="44">
        <f>+'31.'!M94+'1'!M94+'2'!M94+'3'!M94</f>
        <v>0</v>
      </c>
      <c r="N94" s="19"/>
      <c r="O94" s="90"/>
      <c r="P94" s="79">
        <f t="shared" si="11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46">
        <f>+ยกมา!J95</f>
        <v>0</v>
      </c>
      <c r="F95" s="44">
        <f>+'31.'!F95+'1'!F95+'2'!F95+'3'!F95</f>
        <v>0</v>
      </c>
      <c r="G95" s="43">
        <f t="shared" si="9"/>
        <v>0</v>
      </c>
      <c r="H95" s="78">
        <f>+'31.'!H95+'1'!H95+'2'!H95+'3'!H95</f>
        <v>0</v>
      </c>
      <c r="I95" s="76">
        <f>+'31.'!I95+'1'!I95+'2'!I95+'3'!I95</f>
        <v>0</v>
      </c>
      <c r="J95" s="43">
        <f t="shared" si="10"/>
        <v>0</v>
      </c>
      <c r="K95" s="44">
        <f>+'31.'!K95+'1'!K95+'2'!K95+'3'!K95</f>
        <v>0</v>
      </c>
      <c r="L95" s="20">
        <v>35</v>
      </c>
      <c r="M95" s="44">
        <f>+'31.'!M95+'1'!M95+'2'!M95+'3'!M95</f>
        <v>0</v>
      </c>
      <c r="N95" s="19"/>
      <c r="O95" s="90">
        <v>15.4</v>
      </c>
      <c r="P95" s="79">
        <f t="shared" si="11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65">
      <c r="A96" s="10">
        <v>92</v>
      </c>
      <c r="B96" s="19"/>
      <c r="C96" s="19" t="s">
        <v>1374</v>
      </c>
      <c r="D96" s="10" t="s">
        <v>566</v>
      </c>
      <c r="E96" s="46">
        <f>+ยกมา!J96</f>
        <v>0</v>
      </c>
      <c r="F96" s="44">
        <f>+'31.'!F96+'1'!F96+'2'!F96+'3'!F96</f>
        <v>91</v>
      </c>
      <c r="G96" s="43">
        <f t="shared" si="9"/>
        <v>91</v>
      </c>
      <c r="H96" s="78">
        <f>+'31.'!H96+'1'!H96+'2'!H96+'3'!H96</f>
        <v>0</v>
      </c>
      <c r="I96" s="76">
        <f>+'31.'!I96+'1'!I96+'2'!I96+'3'!I96</f>
        <v>0</v>
      </c>
      <c r="J96" s="43">
        <f t="shared" si="10"/>
        <v>41</v>
      </c>
      <c r="K96" s="44">
        <f>+'31.'!K96+'1'!K96+'2'!K96+'3'!K96</f>
        <v>50</v>
      </c>
      <c r="L96" s="20">
        <v>45</v>
      </c>
      <c r="M96" s="44">
        <f>+'31.'!M96+'1'!M96+'2'!M96+'3'!M96</f>
        <v>2250</v>
      </c>
      <c r="N96" s="19"/>
      <c r="O96" s="73"/>
      <c r="P96" s="79">
        <f>+K96*O96</f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65">
      <c r="A97" s="10">
        <v>93</v>
      </c>
      <c r="B97" s="19"/>
      <c r="C97" s="19" t="s">
        <v>1387</v>
      </c>
      <c r="D97" s="10" t="s">
        <v>434</v>
      </c>
      <c r="E97" s="46">
        <f>+ยกมา!J97</f>
        <v>0</v>
      </c>
      <c r="F97" s="44">
        <f>+'31.'!F97+'1'!F97+'2'!F97+'3'!F97</f>
        <v>0</v>
      </c>
      <c r="G97" s="43">
        <f t="shared" si="9"/>
        <v>0</v>
      </c>
      <c r="H97" s="78">
        <f>+'31.'!H97+'1'!H97+'2'!H97+'3'!H97</f>
        <v>0</v>
      </c>
      <c r="I97" s="76">
        <f>+'31.'!I97+'1'!I97+'2'!I97+'3'!I97</f>
        <v>0</v>
      </c>
      <c r="J97" s="43">
        <f t="shared" si="10"/>
        <v>0</v>
      </c>
      <c r="K97" s="44">
        <f>+'31.'!K97+'1'!K97+'2'!K97+'3'!K97</f>
        <v>0</v>
      </c>
      <c r="L97" s="20">
        <v>35</v>
      </c>
      <c r="M97" s="44">
        <f>+'31.'!M97+'1'!M97+'2'!M97+'3'!M97</f>
        <v>0</v>
      </c>
      <c r="N97" s="19"/>
      <c r="O97" s="73"/>
      <c r="P97" s="79">
        <f>+K97*O97</f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65">
      <c r="A98" s="10">
        <v>94</v>
      </c>
      <c r="B98" s="19"/>
      <c r="C98" s="19" t="s">
        <v>1388</v>
      </c>
      <c r="D98" s="10" t="s">
        <v>434</v>
      </c>
      <c r="E98" s="46">
        <f>+ยกมา!J98</f>
        <v>0</v>
      </c>
      <c r="F98" s="44">
        <f>+'31.'!F98+'1'!F98+'2'!F98+'3'!F98</f>
        <v>0</v>
      </c>
      <c r="G98" s="43">
        <f t="shared" si="9"/>
        <v>0</v>
      </c>
      <c r="H98" s="78">
        <f>+'31.'!H98+'1'!H98+'2'!H98+'3'!H98</f>
        <v>0</v>
      </c>
      <c r="I98" s="76">
        <f>+'31.'!I98+'1'!I98+'2'!I98+'3'!I98</f>
        <v>0</v>
      </c>
      <c r="J98" s="43">
        <f t="shared" si="10"/>
        <v>0</v>
      </c>
      <c r="K98" s="44">
        <f>+'31.'!K98+'1'!K98+'2'!K98+'3'!K98</f>
        <v>0</v>
      </c>
      <c r="L98" s="20">
        <v>35</v>
      </c>
      <c r="M98" s="44">
        <f>+'31.'!M98+'1'!M98+'2'!M98+'3'!M98</f>
        <v>0</v>
      </c>
      <c r="N98" s="19"/>
      <c r="O98" s="73"/>
      <c r="P98" s="79">
        <f>+K98*O98</f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46">
        <f>+ยกมา!J99</f>
        <v>0</v>
      </c>
      <c r="F99" s="44">
        <f>+'31.'!F99+'1'!F99+'2'!F99+'3'!F99</f>
        <v>0</v>
      </c>
      <c r="G99" s="43">
        <f t="shared" si="9"/>
        <v>0</v>
      </c>
      <c r="H99" s="78">
        <f>+'31.'!H99+'1'!H99+'2'!H99+'3'!H99</f>
        <v>0</v>
      </c>
      <c r="I99" s="76">
        <f>+'31.'!I99+'1'!I99+'2'!I99+'3'!I99</f>
        <v>0</v>
      </c>
      <c r="J99" s="43">
        <f t="shared" si="10"/>
        <v>0</v>
      </c>
      <c r="K99" s="44">
        <f>+'31.'!K99+'1'!K99+'2'!K99+'3'!K99</f>
        <v>0</v>
      </c>
      <c r="L99" s="20">
        <v>35</v>
      </c>
      <c r="M99" s="44">
        <f>+'31.'!M99+'1'!M99+'2'!M99+'3'!M99</f>
        <v>0</v>
      </c>
      <c r="N99" s="19"/>
      <c r="O99" s="90">
        <v>10.98</v>
      </c>
      <c r="P99" s="79">
        <f t="shared" si="11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46">
        <f>+ยกมา!J100</f>
        <v>0</v>
      </c>
      <c r="F100" s="44">
        <f>+'31.'!F100+'1'!F100+'2'!F100+'3'!F100</f>
        <v>0</v>
      </c>
      <c r="G100" s="43">
        <f t="shared" si="9"/>
        <v>0</v>
      </c>
      <c r="H100" s="78">
        <f>+'31.'!H100+'1'!H100+'2'!H100+'3'!H100</f>
        <v>0</v>
      </c>
      <c r="I100" s="76">
        <f>+'31.'!I100+'1'!I100+'2'!I100+'3'!I100</f>
        <v>0</v>
      </c>
      <c r="J100" s="43">
        <f t="shared" si="10"/>
        <v>0</v>
      </c>
      <c r="K100" s="44">
        <f>+'31.'!K100+'1'!K100+'2'!K100+'3'!K100</f>
        <v>0</v>
      </c>
      <c r="L100" s="20">
        <v>35</v>
      </c>
      <c r="M100" s="44">
        <f>+'31.'!M100+'1'!M100+'2'!M100+'3'!M100</f>
        <v>0</v>
      </c>
      <c r="N100" s="19"/>
      <c r="O100" s="90"/>
      <c r="P100" s="79">
        <f t="shared" si="11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46">
        <f>+ยกมา!J101</f>
        <v>0</v>
      </c>
      <c r="F101" s="44">
        <f>+'31.'!F101+'1'!F101+'2'!F101+'3'!F101</f>
        <v>0</v>
      </c>
      <c r="G101" s="43">
        <f t="shared" si="9"/>
        <v>0</v>
      </c>
      <c r="H101" s="78">
        <f>+'31.'!H101+'1'!H101+'2'!H101+'3'!H101</f>
        <v>0</v>
      </c>
      <c r="I101" s="76">
        <f>+'31.'!I101+'1'!I101+'2'!I101+'3'!I101</f>
        <v>0</v>
      </c>
      <c r="J101" s="43">
        <f t="shared" si="10"/>
        <v>0</v>
      </c>
      <c r="K101" s="44">
        <f>+'31.'!K101+'1'!K101+'2'!K101+'3'!K101</f>
        <v>0</v>
      </c>
      <c r="L101" s="20">
        <v>100</v>
      </c>
      <c r="M101" s="44">
        <f>+'31.'!M101+'1'!M101+'2'!M101+'3'!M101</f>
        <v>0</v>
      </c>
      <c r="N101" s="19"/>
      <c r="O101" s="90"/>
      <c r="P101" s="79">
        <f t="shared" si="11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46">
        <f>+ยกมา!J102</f>
        <v>0</v>
      </c>
      <c r="F102" s="44">
        <f>+'31.'!F102+'1'!F102+'2'!F102+'3'!F102</f>
        <v>0</v>
      </c>
      <c r="G102" s="43">
        <f t="shared" si="9"/>
        <v>0</v>
      </c>
      <c r="H102" s="78">
        <f>+'31.'!H102+'1'!H102+'2'!H102+'3'!H102</f>
        <v>0</v>
      </c>
      <c r="I102" s="76">
        <f>+'31.'!I102+'1'!I102+'2'!I102+'3'!I102</f>
        <v>0</v>
      </c>
      <c r="J102" s="43">
        <f t="shared" si="10"/>
        <v>0</v>
      </c>
      <c r="K102" s="44">
        <f>+'31.'!K102+'1'!K102+'2'!K102+'3'!K102</f>
        <v>0</v>
      </c>
      <c r="L102" s="20">
        <v>250</v>
      </c>
      <c r="M102" s="44">
        <f>+'31.'!M102+'1'!M102+'2'!M102+'3'!M102</f>
        <v>0</v>
      </c>
      <c r="N102" s="19"/>
      <c r="O102" s="90"/>
      <c r="P102" s="79">
        <f t="shared" si="11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46">
        <f>+ยกมา!J103</f>
        <v>0</v>
      </c>
      <c r="F103" s="44">
        <f>+'31.'!F103+'1'!F103+'2'!F103+'3'!F103</f>
        <v>0</v>
      </c>
      <c r="G103" s="43">
        <f t="shared" si="9"/>
        <v>0</v>
      </c>
      <c r="H103" s="78">
        <f>+'31.'!H103+'1'!H103+'2'!H103+'3'!H103</f>
        <v>0</v>
      </c>
      <c r="I103" s="76">
        <f>+'31.'!I103+'1'!I103+'2'!I103+'3'!I103</f>
        <v>0</v>
      </c>
      <c r="J103" s="43">
        <f t="shared" si="10"/>
        <v>0</v>
      </c>
      <c r="K103" s="44">
        <f>+'31.'!K103+'1'!K103+'2'!K103+'3'!K103</f>
        <v>0</v>
      </c>
      <c r="L103" s="22">
        <v>120</v>
      </c>
      <c r="M103" s="44">
        <f>+'31.'!M103+'1'!M103+'2'!M103+'3'!M103</f>
        <v>0</v>
      </c>
      <c r="N103" s="19"/>
      <c r="O103" s="90"/>
      <c r="P103" s="79">
        <f t="shared" si="11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46">
        <f>+ยกมา!J104</f>
        <v>0</v>
      </c>
      <c r="F104" s="44">
        <f>+'31.'!F104+'1'!F104+'2'!F104+'3'!F104</f>
        <v>0</v>
      </c>
      <c r="G104" s="43">
        <f t="shared" si="9"/>
        <v>0</v>
      </c>
      <c r="H104" s="78">
        <f>+'31.'!H104+'1'!H104+'2'!H104+'3'!H104</f>
        <v>0</v>
      </c>
      <c r="I104" s="76">
        <f>+'31.'!I104+'1'!I104+'2'!I104+'3'!I104</f>
        <v>0</v>
      </c>
      <c r="J104" s="43">
        <f t="shared" si="10"/>
        <v>0</v>
      </c>
      <c r="K104" s="44">
        <f>+'31.'!K104+'1'!K104+'2'!K104+'3'!K104</f>
        <v>0</v>
      </c>
      <c r="L104" s="20">
        <v>250</v>
      </c>
      <c r="M104" s="44">
        <f>+'31.'!M104+'1'!M104+'2'!M104+'3'!M104</f>
        <v>0</v>
      </c>
      <c r="N104" s="19"/>
      <c r="O104" s="90"/>
      <c r="P104" s="79">
        <f t="shared" si="11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46">
        <f>+ยกมา!J105</f>
        <v>0</v>
      </c>
      <c r="F105" s="44">
        <f>+'31.'!F105+'1'!F105+'2'!F105+'3'!F105</f>
        <v>0</v>
      </c>
      <c r="G105" s="43">
        <f t="shared" si="9"/>
        <v>0</v>
      </c>
      <c r="H105" s="78">
        <f>+'31.'!H105+'1'!H105+'2'!H105+'3'!H105</f>
        <v>0</v>
      </c>
      <c r="I105" s="76">
        <f>+'31.'!I105+'1'!I105+'2'!I105+'3'!I105</f>
        <v>0</v>
      </c>
      <c r="J105" s="43">
        <f t="shared" si="10"/>
        <v>0</v>
      </c>
      <c r="K105" s="44">
        <f>+'31.'!K105+'1'!K105+'2'!K105+'3'!K105</f>
        <v>0</v>
      </c>
      <c r="L105" s="20">
        <v>80</v>
      </c>
      <c r="M105" s="44">
        <f>+'31.'!M105+'1'!M105+'2'!M105+'3'!M105</f>
        <v>0</v>
      </c>
      <c r="N105" s="19"/>
      <c r="O105" s="90"/>
      <c r="P105" s="79">
        <f t="shared" si="11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46">
        <f>+ยกมา!J106</f>
        <v>0</v>
      </c>
      <c r="F106" s="44">
        <f>+'31.'!F106+'1'!F106+'2'!F106+'3'!F106</f>
        <v>10</v>
      </c>
      <c r="G106" s="43">
        <f t="shared" si="9"/>
        <v>10</v>
      </c>
      <c r="H106" s="78">
        <f>+'31.'!H106+'1'!H106+'2'!H106+'3'!H106</f>
        <v>0</v>
      </c>
      <c r="I106" s="76">
        <f>+'31.'!I106+'1'!I106+'2'!I106+'3'!I106</f>
        <v>0</v>
      </c>
      <c r="J106" s="43">
        <f t="shared" si="10"/>
        <v>9</v>
      </c>
      <c r="K106" s="44">
        <f>+'31.'!K106+'1'!K106+'2'!K106+'3'!K106</f>
        <v>1</v>
      </c>
      <c r="L106" s="20">
        <v>55</v>
      </c>
      <c r="M106" s="44">
        <f>+'31.'!M106+'1'!M106+'2'!M106+'3'!M106</f>
        <v>55</v>
      </c>
      <c r="N106" s="19"/>
      <c r="O106" s="90"/>
      <c r="P106" s="79">
        <f t="shared" si="11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46">
        <f>+ยกมา!J107</f>
        <v>0</v>
      </c>
      <c r="F107" s="44">
        <f>+'31.'!F107+'1'!F107+'2'!F107+'3'!F107</f>
        <v>0</v>
      </c>
      <c r="G107" s="43">
        <f t="shared" si="9"/>
        <v>0</v>
      </c>
      <c r="H107" s="78">
        <f>+'31.'!H107+'1'!H107+'2'!H107+'3'!H107</f>
        <v>0</v>
      </c>
      <c r="I107" s="76">
        <f>+'31.'!I107+'1'!I107+'2'!I107+'3'!I107</f>
        <v>0</v>
      </c>
      <c r="J107" s="43">
        <f t="shared" si="10"/>
        <v>0</v>
      </c>
      <c r="K107" s="44">
        <f>+'31.'!K107+'1'!K107+'2'!K107+'3'!K107</f>
        <v>0</v>
      </c>
      <c r="L107" s="20">
        <v>200</v>
      </c>
      <c r="M107" s="44">
        <f>+'31.'!M107+'1'!M107+'2'!M107+'3'!M107</f>
        <v>0</v>
      </c>
      <c r="N107" s="19"/>
      <c r="O107" s="90">
        <v>185</v>
      </c>
      <c r="P107" s="79">
        <f t="shared" si="11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46">
        <f>+ยกมา!J108</f>
        <v>0</v>
      </c>
      <c r="F108" s="44">
        <f>+'31.'!F108+'1'!F108+'2'!F108+'3'!F108</f>
        <v>10</v>
      </c>
      <c r="G108" s="43">
        <f t="shared" si="9"/>
        <v>10</v>
      </c>
      <c r="H108" s="78">
        <f>+'31.'!H108+'1'!H108+'2'!H108+'3'!H108</f>
        <v>0</v>
      </c>
      <c r="I108" s="76">
        <f>+'31.'!I108+'1'!I108+'2'!I108+'3'!I108</f>
        <v>0</v>
      </c>
      <c r="J108" s="43">
        <f t="shared" si="10"/>
        <v>3</v>
      </c>
      <c r="K108" s="44">
        <f>+'31.'!K108+'1'!K108+'2'!K108+'3'!K108</f>
        <v>7</v>
      </c>
      <c r="L108" s="22">
        <v>60</v>
      </c>
      <c r="M108" s="44">
        <f>+'31.'!M108+'1'!M108+'2'!M108+'3'!M108</f>
        <v>420</v>
      </c>
      <c r="N108" s="19"/>
      <c r="O108" s="90"/>
      <c r="P108" s="79">
        <f t="shared" si="11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46">
        <f>+ยกมา!J109</f>
        <v>0</v>
      </c>
      <c r="F109" s="44">
        <f>+'31.'!F109+'1'!F109+'2'!F109+'3'!F109</f>
        <v>10</v>
      </c>
      <c r="G109" s="43">
        <f t="shared" si="9"/>
        <v>10</v>
      </c>
      <c r="H109" s="78">
        <f>+'31.'!H109+'1'!H109+'2'!H109+'3'!H109</f>
        <v>0</v>
      </c>
      <c r="I109" s="76">
        <f>+'31.'!I109+'1'!I109+'2'!I109+'3'!I109</f>
        <v>0</v>
      </c>
      <c r="J109" s="43">
        <f t="shared" si="10"/>
        <v>3</v>
      </c>
      <c r="K109" s="44">
        <f>+'31.'!K109+'1'!K109+'2'!K109+'3'!K109</f>
        <v>7</v>
      </c>
      <c r="L109" s="22">
        <v>100</v>
      </c>
      <c r="M109" s="44">
        <f>+'31.'!M109+'1'!M109+'2'!M109+'3'!M109</f>
        <v>700</v>
      </c>
      <c r="N109" s="19"/>
      <c r="O109" s="90">
        <v>13.03</v>
      </c>
      <c r="P109" s="79">
        <f t="shared" si="11"/>
        <v>91.21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46">
        <f>+ยกมา!J110</f>
        <v>0</v>
      </c>
      <c r="F110" s="44">
        <f>+'31.'!F110+'1'!F110+'2'!F110+'3'!F110</f>
        <v>0</v>
      </c>
      <c r="G110" s="43">
        <f t="shared" si="9"/>
        <v>0</v>
      </c>
      <c r="H110" s="78">
        <f>+'31.'!H110+'1'!H110+'2'!H110+'3'!H110</f>
        <v>0</v>
      </c>
      <c r="I110" s="76">
        <f>+'31.'!I110+'1'!I110+'2'!I110+'3'!I110</f>
        <v>0</v>
      </c>
      <c r="J110" s="43">
        <f t="shared" si="10"/>
        <v>0</v>
      </c>
      <c r="K110" s="44">
        <f>+'31.'!K110+'1'!K110+'2'!K110+'3'!K110</f>
        <v>0</v>
      </c>
      <c r="L110" s="22">
        <v>55</v>
      </c>
      <c r="M110" s="44">
        <f>+'31.'!M110+'1'!M110+'2'!M110+'3'!M110</f>
        <v>0</v>
      </c>
      <c r="N110" s="19"/>
      <c r="O110" s="90">
        <v>11.91</v>
      </c>
      <c r="P110" s="79">
        <f t="shared" si="11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46">
        <f>+ยกมา!J111</f>
        <v>0</v>
      </c>
      <c r="F111" s="44">
        <f>+'31.'!F111+'1'!F111+'2'!F111+'3'!F111</f>
        <v>0</v>
      </c>
      <c r="G111" s="43">
        <f t="shared" si="9"/>
        <v>0</v>
      </c>
      <c r="H111" s="78">
        <f>+'31.'!H111+'1'!H111+'2'!H111+'3'!H111</f>
        <v>0</v>
      </c>
      <c r="I111" s="76">
        <f>+'31.'!I111+'1'!I111+'2'!I111+'3'!I111</f>
        <v>0</v>
      </c>
      <c r="J111" s="43">
        <f t="shared" si="10"/>
        <v>0</v>
      </c>
      <c r="K111" s="44">
        <f>+'31.'!K111+'1'!K111+'2'!K111+'3'!K111</f>
        <v>0</v>
      </c>
      <c r="L111" s="15">
        <v>40</v>
      </c>
      <c r="M111" s="44">
        <f>+'31.'!M111+'1'!M111+'2'!M111+'3'!M111</f>
        <v>0</v>
      </c>
      <c r="N111" s="19"/>
      <c r="O111" s="90">
        <v>30</v>
      </c>
      <c r="P111" s="79">
        <f t="shared" si="11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46">
        <f>+ยกมา!J112</f>
        <v>0</v>
      </c>
      <c r="F112" s="44">
        <f>+'31.'!F112+'1'!F112+'2'!F112+'3'!F112</f>
        <v>0</v>
      </c>
      <c r="G112" s="43">
        <f t="shared" si="9"/>
        <v>0</v>
      </c>
      <c r="H112" s="78">
        <f>+'31.'!H112+'1'!H112+'2'!H112+'3'!H112</f>
        <v>0</v>
      </c>
      <c r="I112" s="76">
        <f>+'31.'!I112+'1'!I112+'2'!I112+'3'!I112</f>
        <v>0</v>
      </c>
      <c r="J112" s="43">
        <f t="shared" si="10"/>
        <v>0</v>
      </c>
      <c r="K112" s="44">
        <f>+'31.'!K112+'1'!K112+'2'!K112+'3'!K112</f>
        <v>0</v>
      </c>
      <c r="L112" s="22">
        <v>40</v>
      </c>
      <c r="M112" s="44">
        <f>+'31.'!M112+'1'!M112+'2'!M112+'3'!M112</f>
        <v>0</v>
      </c>
      <c r="N112" s="19"/>
      <c r="O112" s="90">
        <v>30</v>
      </c>
      <c r="P112" s="79">
        <f t="shared" si="11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46">
        <f>+ยกมา!J113</f>
        <v>0</v>
      </c>
      <c r="F113" s="44">
        <f>+'31.'!F113+'1'!F113+'2'!F113+'3'!F113</f>
        <v>0</v>
      </c>
      <c r="G113" s="43">
        <f t="shared" si="9"/>
        <v>0</v>
      </c>
      <c r="H113" s="78">
        <f>+'31.'!H113+'1'!H113+'2'!H113+'3'!H113</f>
        <v>0</v>
      </c>
      <c r="I113" s="76">
        <f>+'31.'!I113+'1'!I113+'2'!I113+'3'!I113</f>
        <v>0</v>
      </c>
      <c r="J113" s="43">
        <f t="shared" si="10"/>
        <v>0</v>
      </c>
      <c r="K113" s="44">
        <f>+'31.'!K113+'1'!K113+'2'!K113+'3'!K113</f>
        <v>0</v>
      </c>
      <c r="L113" s="22">
        <v>40</v>
      </c>
      <c r="M113" s="44">
        <f>+'31.'!M113+'1'!M113+'2'!M113+'3'!M113</f>
        <v>0</v>
      </c>
      <c r="N113" s="19"/>
      <c r="O113" s="90">
        <v>30</v>
      </c>
      <c r="P113" s="79">
        <f t="shared" si="11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46">
        <f>+ยกมา!J114</f>
        <v>0</v>
      </c>
      <c r="F114" s="44">
        <f>+'31.'!F114+'1'!F114+'2'!F114+'3'!F114</f>
        <v>0</v>
      </c>
      <c r="G114" s="43">
        <f t="shared" si="9"/>
        <v>0</v>
      </c>
      <c r="H114" s="78">
        <f>+'31.'!H114+'1'!H114+'2'!H114+'3'!H114</f>
        <v>0</v>
      </c>
      <c r="I114" s="76">
        <f>+'31.'!I114+'1'!I114+'2'!I114+'3'!I114</f>
        <v>0</v>
      </c>
      <c r="J114" s="43">
        <f t="shared" si="10"/>
        <v>0</v>
      </c>
      <c r="K114" s="44">
        <f>+'31.'!K114+'1'!K114+'2'!K114+'3'!K114</f>
        <v>0</v>
      </c>
      <c r="L114" s="20">
        <v>40</v>
      </c>
      <c r="M114" s="44">
        <f>+'31.'!M114+'1'!M114+'2'!M114+'3'!M114</f>
        <v>0</v>
      </c>
      <c r="N114" s="19"/>
      <c r="O114" s="90">
        <v>30</v>
      </c>
      <c r="P114" s="79">
        <f t="shared" si="11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46">
        <f>+ยกมา!J115</f>
        <v>0</v>
      </c>
      <c r="F115" s="44">
        <f>+'31.'!F115+'1'!F115+'2'!F115+'3'!F115</f>
        <v>0</v>
      </c>
      <c r="G115" s="43">
        <f t="shared" si="9"/>
        <v>0</v>
      </c>
      <c r="H115" s="78">
        <f>+'31.'!H115+'1'!H115+'2'!H115+'3'!H115</f>
        <v>0</v>
      </c>
      <c r="I115" s="76">
        <f>+'31.'!I115+'1'!I115+'2'!I115+'3'!I115</f>
        <v>0</v>
      </c>
      <c r="J115" s="43">
        <f t="shared" si="10"/>
        <v>0</v>
      </c>
      <c r="K115" s="44">
        <f>+'31.'!K115+'1'!K115+'2'!K115+'3'!K115</f>
        <v>0</v>
      </c>
      <c r="L115" s="20">
        <v>55</v>
      </c>
      <c r="M115" s="44">
        <f>+'31.'!M115+'1'!M115+'2'!M115+'3'!M115</f>
        <v>0</v>
      </c>
      <c r="N115" s="19"/>
      <c r="O115" s="90">
        <v>30</v>
      </c>
      <c r="P115" s="79">
        <f t="shared" si="11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46">
        <f>+ยกมา!J116</f>
        <v>0</v>
      </c>
      <c r="F116" s="44">
        <f>+'31.'!F116+'1'!F116+'2'!F116+'3'!F116</f>
        <v>0</v>
      </c>
      <c r="G116" s="43">
        <f t="shared" si="9"/>
        <v>0</v>
      </c>
      <c r="H116" s="78">
        <f>+'31.'!H116+'1'!H116+'2'!H116+'3'!H116</f>
        <v>0</v>
      </c>
      <c r="I116" s="76">
        <f>+'31.'!I116+'1'!I116+'2'!I116+'3'!I116</f>
        <v>0</v>
      </c>
      <c r="J116" s="43">
        <f t="shared" si="10"/>
        <v>0</v>
      </c>
      <c r="K116" s="44">
        <f>+'31.'!K116+'1'!K116+'2'!K116+'3'!K116</f>
        <v>0</v>
      </c>
      <c r="L116" s="22">
        <v>60</v>
      </c>
      <c r="M116" s="44">
        <f>+'31.'!M116+'1'!M116+'2'!M116+'3'!M116</f>
        <v>0</v>
      </c>
      <c r="N116" s="19"/>
      <c r="O116" s="90">
        <v>30</v>
      </c>
      <c r="P116" s="79">
        <f t="shared" si="11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65">
      <c r="A117" s="10">
        <v>113</v>
      </c>
      <c r="B117" s="19"/>
      <c r="C117" s="19" t="s">
        <v>725</v>
      </c>
      <c r="D117" s="10" t="s">
        <v>434</v>
      </c>
      <c r="E117" s="46">
        <f>+ยกมา!J117</f>
        <v>0</v>
      </c>
      <c r="F117" s="44">
        <f>+'31.'!F117+'1'!F117+'2'!F117+'3'!F117</f>
        <v>0</v>
      </c>
      <c r="G117" s="43">
        <f t="shared" si="9"/>
        <v>0</v>
      </c>
      <c r="H117" s="78">
        <f>+'31.'!H117+'1'!H117+'2'!H117+'3'!H117</f>
        <v>0</v>
      </c>
      <c r="I117" s="76">
        <f>+'31.'!I117+'1'!I117+'2'!I117+'3'!I117</f>
        <v>0</v>
      </c>
      <c r="J117" s="43">
        <f t="shared" si="10"/>
        <v>0</v>
      </c>
      <c r="K117" s="44">
        <f>+'31.'!K117+'1'!K117+'2'!K117+'3'!K117</f>
        <v>0</v>
      </c>
      <c r="L117" s="20">
        <v>40</v>
      </c>
      <c r="M117" s="44">
        <f>+'31.'!M117+'1'!M117+'2'!M117+'3'!M117</f>
        <v>0</v>
      </c>
      <c r="N117" s="19"/>
      <c r="O117" s="73"/>
      <c r="P117" s="79">
        <f>+K117*O117</f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46">
        <f>+ยกมา!J118</f>
        <v>0</v>
      </c>
      <c r="F118" s="44">
        <f>+'31.'!F118+'1'!F118+'2'!F118+'3'!F118</f>
        <v>0</v>
      </c>
      <c r="G118" s="43">
        <f t="shared" si="9"/>
        <v>0</v>
      </c>
      <c r="H118" s="78">
        <f>+'31.'!H118+'1'!H118+'2'!H118+'3'!H118</f>
        <v>0</v>
      </c>
      <c r="I118" s="76">
        <f>+'31.'!I118+'1'!I118+'2'!I118+'3'!I118</f>
        <v>0</v>
      </c>
      <c r="J118" s="43">
        <f t="shared" si="10"/>
        <v>0</v>
      </c>
      <c r="K118" s="44">
        <f>+'31.'!K118+'1'!K118+'2'!K118+'3'!K118</f>
        <v>0</v>
      </c>
      <c r="L118" s="22">
        <v>50</v>
      </c>
      <c r="M118" s="44">
        <f>+'31.'!M118+'1'!M118+'2'!M118+'3'!M118</f>
        <v>0</v>
      </c>
      <c r="N118" s="19"/>
      <c r="O118" s="90">
        <v>33</v>
      </c>
      <c r="P118" s="79">
        <f t="shared" si="11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46">
        <f>+ยกมา!J119</f>
        <v>0</v>
      </c>
      <c r="F119" s="44">
        <f>+'31.'!F119+'1'!F119+'2'!F119+'3'!F119</f>
        <v>0</v>
      </c>
      <c r="G119" s="43">
        <f t="shared" si="9"/>
        <v>0</v>
      </c>
      <c r="H119" s="78">
        <f>+'31.'!H119+'1'!H119+'2'!H119+'3'!H119</f>
        <v>0</v>
      </c>
      <c r="I119" s="76">
        <f>+'31.'!I119+'1'!I119+'2'!I119+'3'!I119</f>
        <v>0</v>
      </c>
      <c r="J119" s="43">
        <f t="shared" si="10"/>
        <v>0</v>
      </c>
      <c r="K119" s="44">
        <f>+'31.'!K119+'1'!K119+'2'!K119+'3'!K119</f>
        <v>0</v>
      </c>
      <c r="L119" s="22">
        <v>100</v>
      </c>
      <c r="M119" s="44">
        <f>+'31.'!M119+'1'!M119+'2'!M119+'3'!M119</f>
        <v>0</v>
      </c>
      <c r="N119" s="19"/>
      <c r="O119" s="90">
        <v>68</v>
      </c>
      <c r="P119" s="79">
        <f t="shared" si="11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46">
        <f>+ยกมา!J120</f>
        <v>0</v>
      </c>
      <c r="F120" s="44">
        <f>+'31.'!F120+'1'!F120+'2'!F120+'3'!F120</f>
        <v>0</v>
      </c>
      <c r="G120" s="43">
        <f t="shared" si="9"/>
        <v>0</v>
      </c>
      <c r="H120" s="78">
        <f>+'31.'!H120+'1'!H120+'2'!H120+'3'!H120</f>
        <v>0</v>
      </c>
      <c r="I120" s="76">
        <f>+'31.'!I120+'1'!I120+'2'!I120+'3'!I120</f>
        <v>0</v>
      </c>
      <c r="J120" s="43">
        <f t="shared" si="10"/>
        <v>0</v>
      </c>
      <c r="K120" s="44">
        <f>+'31.'!K120+'1'!K120+'2'!K120+'3'!K120</f>
        <v>0</v>
      </c>
      <c r="L120" s="22">
        <v>39</v>
      </c>
      <c r="M120" s="44">
        <f>+'31.'!M120+'1'!M120+'2'!M120+'3'!M120</f>
        <v>0</v>
      </c>
      <c r="N120" s="19"/>
      <c r="O120" s="90"/>
      <c r="P120" s="79">
        <f t="shared" si="11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46">
        <f>+ยกมา!J121</f>
        <v>0</v>
      </c>
      <c r="F121" s="44">
        <f>+'31.'!F121+'1'!F121+'2'!F121+'3'!F121</f>
        <v>0</v>
      </c>
      <c r="G121" s="43">
        <f t="shared" si="9"/>
        <v>0</v>
      </c>
      <c r="H121" s="78">
        <f>+'31.'!H121+'1'!H121+'2'!H121+'3'!H121</f>
        <v>0</v>
      </c>
      <c r="I121" s="76">
        <f>+'31.'!I121+'1'!I121+'2'!I121+'3'!I121</f>
        <v>0</v>
      </c>
      <c r="J121" s="43">
        <f t="shared" si="10"/>
        <v>0</v>
      </c>
      <c r="K121" s="44">
        <f>+'31.'!K121+'1'!K121+'2'!K121+'3'!K121</f>
        <v>0</v>
      </c>
      <c r="L121" s="22">
        <v>35</v>
      </c>
      <c r="M121" s="44">
        <f>+'31.'!M121+'1'!M121+'2'!M121+'3'!M121</f>
        <v>0</v>
      </c>
      <c r="N121" s="19"/>
      <c r="O121" s="90"/>
      <c r="P121" s="79">
        <f t="shared" si="11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46">
        <f>+ยกมา!J122</f>
        <v>0</v>
      </c>
      <c r="F122" s="44">
        <f>+'31.'!F122+'1'!F122+'2'!F122+'3'!F122</f>
        <v>0</v>
      </c>
      <c r="G122" s="43">
        <f t="shared" si="9"/>
        <v>0</v>
      </c>
      <c r="H122" s="78">
        <f>+'31.'!H122+'1'!H122+'2'!H122+'3'!H122</f>
        <v>0</v>
      </c>
      <c r="I122" s="76">
        <f>+'31.'!I122+'1'!I122+'2'!I122+'3'!I122</f>
        <v>0</v>
      </c>
      <c r="J122" s="43">
        <f t="shared" si="10"/>
        <v>0</v>
      </c>
      <c r="K122" s="44">
        <f>+'31.'!K122+'1'!K122+'2'!K122+'3'!K122</f>
        <v>0</v>
      </c>
      <c r="L122" s="22">
        <v>25</v>
      </c>
      <c r="M122" s="44">
        <f>+'31.'!M122+'1'!M122+'2'!M122+'3'!M122</f>
        <v>0</v>
      </c>
      <c r="N122" s="19"/>
      <c r="O122" s="90"/>
      <c r="P122" s="79">
        <f t="shared" si="11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46">
        <f>+ยกมา!J123</f>
        <v>0</v>
      </c>
      <c r="F123" s="44">
        <f>+'31.'!F123+'1'!F123+'2'!F123+'3'!F123</f>
        <v>0</v>
      </c>
      <c r="G123" s="43">
        <f t="shared" si="9"/>
        <v>0</v>
      </c>
      <c r="H123" s="78">
        <f>+'31.'!H123+'1'!H123+'2'!H123+'3'!H123</f>
        <v>0</v>
      </c>
      <c r="I123" s="76">
        <f>+'31.'!I123+'1'!I123+'2'!I123+'3'!I123</f>
        <v>0</v>
      </c>
      <c r="J123" s="43">
        <f t="shared" si="10"/>
        <v>0</v>
      </c>
      <c r="K123" s="44">
        <f>+'31.'!K123+'1'!K123+'2'!K123+'3'!K123</f>
        <v>0</v>
      </c>
      <c r="L123" s="22">
        <v>40</v>
      </c>
      <c r="M123" s="44">
        <f>+'31.'!M123+'1'!M123+'2'!M123+'3'!M123</f>
        <v>0</v>
      </c>
      <c r="N123" s="19"/>
      <c r="O123" s="90">
        <v>11.12</v>
      </c>
      <c r="P123" s="79">
        <f t="shared" si="11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46">
        <f>+ยกมา!J124</f>
        <v>0</v>
      </c>
      <c r="F124" s="44">
        <f>+'31.'!F124+'1'!F124+'2'!F124+'3'!F124</f>
        <v>10</v>
      </c>
      <c r="G124" s="43">
        <f t="shared" si="9"/>
        <v>10</v>
      </c>
      <c r="H124" s="78">
        <f>+'31.'!H124+'1'!H124+'2'!H124+'3'!H124</f>
        <v>0</v>
      </c>
      <c r="I124" s="76">
        <f>+'31.'!I124+'1'!I124+'2'!I124+'3'!I124</f>
        <v>0</v>
      </c>
      <c r="J124" s="43">
        <f t="shared" si="10"/>
        <v>1</v>
      </c>
      <c r="K124" s="44">
        <f>+'31.'!K124+'1'!K124+'2'!K124+'3'!K124</f>
        <v>9</v>
      </c>
      <c r="L124" s="22">
        <v>50</v>
      </c>
      <c r="M124" s="44">
        <f>+'31.'!M124+'1'!M124+'2'!M124+'3'!M124</f>
        <v>450</v>
      </c>
      <c r="N124" s="19"/>
      <c r="O124" s="90">
        <v>9.91</v>
      </c>
      <c r="P124" s="79">
        <f t="shared" si="11"/>
        <v>89.19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46">
        <f>+ยกมา!J125</f>
        <v>0</v>
      </c>
      <c r="F125" s="44">
        <f>+'31.'!F125+'1'!F125+'2'!F125+'3'!F125</f>
        <v>0</v>
      </c>
      <c r="G125" s="43">
        <f t="shared" si="9"/>
        <v>0</v>
      </c>
      <c r="H125" s="78">
        <f>+'31.'!H125+'1'!H125+'2'!H125+'3'!H125</f>
        <v>0</v>
      </c>
      <c r="I125" s="76">
        <f>+'31.'!I125+'1'!I125+'2'!I125+'3'!I125</f>
        <v>0</v>
      </c>
      <c r="J125" s="43">
        <f t="shared" si="10"/>
        <v>0</v>
      </c>
      <c r="K125" s="44">
        <f>+'31.'!K125+'1'!K125+'2'!K125+'3'!K125</f>
        <v>0</v>
      </c>
      <c r="L125" s="22">
        <v>60</v>
      </c>
      <c r="M125" s="44">
        <f>+'31.'!M125+'1'!M125+'2'!M125+'3'!M125</f>
        <v>0</v>
      </c>
      <c r="N125" s="19"/>
      <c r="O125" s="90">
        <v>16.690000000000001</v>
      </c>
      <c r="P125" s="79">
        <f t="shared" si="11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46">
        <f>+ยกมา!J126</f>
        <v>0</v>
      </c>
      <c r="F126" s="44">
        <f>+'31.'!F126+'1'!F126+'2'!F126+'3'!F126</f>
        <v>15</v>
      </c>
      <c r="G126" s="43">
        <f t="shared" si="9"/>
        <v>15</v>
      </c>
      <c r="H126" s="78">
        <f>+'31.'!H126+'1'!H126+'2'!H126+'3'!H126</f>
        <v>0</v>
      </c>
      <c r="I126" s="76">
        <f>+'31.'!I126+'1'!I126+'2'!I126+'3'!I126</f>
        <v>0</v>
      </c>
      <c r="J126" s="43">
        <f t="shared" si="10"/>
        <v>5</v>
      </c>
      <c r="K126" s="44">
        <f>+'31.'!K126+'1'!K126+'2'!K126+'3'!K126</f>
        <v>10</v>
      </c>
      <c r="L126" s="20">
        <v>50</v>
      </c>
      <c r="M126" s="44">
        <f>+'31.'!M126+'1'!M126+'2'!M126+'3'!M126</f>
        <v>500</v>
      </c>
      <c r="N126" s="19"/>
      <c r="O126" s="90">
        <v>24.21</v>
      </c>
      <c r="P126" s="79">
        <f t="shared" si="11"/>
        <v>242.10000000000002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65">
      <c r="A127" s="10">
        <v>123</v>
      </c>
      <c r="B127" s="19"/>
      <c r="C127" s="19" t="s">
        <v>1389</v>
      </c>
      <c r="D127" s="10" t="s">
        <v>434</v>
      </c>
      <c r="E127" s="46">
        <f>+ยกมา!J127</f>
        <v>0</v>
      </c>
      <c r="F127" s="44">
        <f>+'31.'!F127+'1'!F127+'2'!F127+'3'!F127</f>
        <v>0</v>
      </c>
      <c r="G127" s="43">
        <f t="shared" si="9"/>
        <v>0</v>
      </c>
      <c r="H127" s="78">
        <f>+'31.'!H127+'1'!H127+'2'!H127+'3'!H127</f>
        <v>0</v>
      </c>
      <c r="I127" s="76">
        <f>+'31.'!I127+'1'!I127+'2'!I127+'3'!I127</f>
        <v>0</v>
      </c>
      <c r="J127" s="43">
        <f t="shared" si="10"/>
        <v>0</v>
      </c>
      <c r="K127" s="44">
        <f>+'31.'!K127+'1'!K127+'2'!K127+'3'!K127</f>
        <v>0</v>
      </c>
      <c r="L127" s="20">
        <v>35</v>
      </c>
      <c r="M127" s="44">
        <f>+'31.'!M127+'1'!M127+'2'!M127+'3'!M127</f>
        <v>0</v>
      </c>
      <c r="N127" s="19"/>
      <c r="O127" s="73"/>
      <c r="P127" s="79">
        <f t="shared" si="11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65">
      <c r="A128" s="10">
        <v>124</v>
      </c>
      <c r="B128" s="19"/>
      <c r="C128" s="19" t="s">
        <v>1390</v>
      </c>
      <c r="D128" s="10" t="s">
        <v>434</v>
      </c>
      <c r="E128" s="46">
        <f>+ยกมา!J128</f>
        <v>0</v>
      </c>
      <c r="F128" s="44">
        <f>+'31.'!F128+'1'!F128+'2'!F128+'3'!F128</f>
        <v>0</v>
      </c>
      <c r="G128" s="43">
        <f t="shared" si="9"/>
        <v>0</v>
      </c>
      <c r="H128" s="78">
        <f>+'31.'!H128+'1'!H128+'2'!H128+'3'!H128</f>
        <v>0</v>
      </c>
      <c r="I128" s="76">
        <f>+'31.'!I128+'1'!I128+'2'!I128+'3'!I128</f>
        <v>0</v>
      </c>
      <c r="J128" s="43">
        <f t="shared" si="10"/>
        <v>0</v>
      </c>
      <c r="K128" s="44">
        <f>+'31.'!K128+'1'!K128+'2'!K128+'3'!K128</f>
        <v>0</v>
      </c>
      <c r="L128" s="20">
        <v>35</v>
      </c>
      <c r="M128" s="44">
        <f>+'31.'!M128+'1'!M128+'2'!M128+'3'!M128</f>
        <v>0</v>
      </c>
      <c r="N128" s="19"/>
      <c r="O128" s="73"/>
      <c r="P128" s="79">
        <f t="shared" si="11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65">
      <c r="A129" s="10">
        <v>125</v>
      </c>
      <c r="B129" s="19"/>
      <c r="C129" s="19" t="s">
        <v>1391</v>
      </c>
      <c r="D129" s="10" t="s">
        <v>434</v>
      </c>
      <c r="E129" s="46">
        <f>+ยกมา!J129</f>
        <v>0</v>
      </c>
      <c r="F129" s="44">
        <f>+'31.'!F129+'1'!F129+'2'!F129+'3'!F129</f>
        <v>0</v>
      </c>
      <c r="G129" s="43">
        <f t="shared" si="9"/>
        <v>0</v>
      </c>
      <c r="H129" s="78">
        <f>+'31.'!H129+'1'!H129+'2'!H129+'3'!H129</f>
        <v>0</v>
      </c>
      <c r="I129" s="76">
        <f>+'31.'!I129+'1'!I129+'2'!I129+'3'!I129</f>
        <v>0</v>
      </c>
      <c r="J129" s="43">
        <f t="shared" si="10"/>
        <v>0</v>
      </c>
      <c r="K129" s="44">
        <f>+'31.'!K129+'1'!K129+'2'!K129+'3'!K129</f>
        <v>0</v>
      </c>
      <c r="L129" s="20">
        <v>35</v>
      </c>
      <c r="M129" s="44">
        <f>+'31.'!M129+'1'!M129+'2'!M129+'3'!M129</f>
        <v>0</v>
      </c>
      <c r="N129" s="19"/>
      <c r="O129" s="73"/>
      <c r="P129" s="79">
        <f t="shared" si="11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65">
      <c r="A130" s="10">
        <v>126</v>
      </c>
      <c r="B130" s="19"/>
      <c r="C130" s="19" t="s">
        <v>1392</v>
      </c>
      <c r="D130" s="10" t="s">
        <v>434</v>
      </c>
      <c r="E130" s="46">
        <f>+ยกมา!J130</f>
        <v>0</v>
      </c>
      <c r="F130" s="44">
        <f>+'31.'!F130+'1'!F130+'2'!F130+'3'!F130</f>
        <v>0</v>
      </c>
      <c r="G130" s="43">
        <f t="shared" si="9"/>
        <v>0</v>
      </c>
      <c r="H130" s="78">
        <f>+'31.'!H130+'1'!H130+'2'!H130+'3'!H130</f>
        <v>0</v>
      </c>
      <c r="I130" s="76">
        <f>+'31.'!I130+'1'!I130+'2'!I130+'3'!I130</f>
        <v>0</v>
      </c>
      <c r="J130" s="43">
        <f t="shared" si="10"/>
        <v>0</v>
      </c>
      <c r="K130" s="44">
        <f>+'31.'!K130+'1'!K130+'2'!K130+'3'!K130</f>
        <v>0</v>
      </c>
      <c r="L130" s="20">
        <v>35</v>
      </c>
      <c r="M130" s="44">
        <f>+'31.'!M130+'1'!M130+'2'!M130+'3'!M130</f>
        <v>0</v>
      </c>
      <c r="N130" s="19"/>
      <c r="O130" s="73"/>
      <c r="P130" s="79">
        <f>+K130*O130</f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46">
        <f>+ยกมา!J131</f>
        <v>0</v>
      </c>
      <c r="F131" s="44">
        <f>+'31.'!F131+'1'!F131+'2'!F131+'3'!F131</f>
        <v>0</v>
      </c>
      <c r="G131" s="43">
        <f t="shared" si="9"/>
        <v>0</v>
      </c>
      <c r="H131" s="78">
        <f>+'31.'!H131+'1'!H131+'2'!H131+'3'!H131</f>
        <v>0</v>
      </c>
      <c r="I131" s="76">
        <f>+'31.'!I131+'1'!I131+'2'!I131+'3'!I131</f>
        <v>0</v>
      </c>
      <c r="J131" s="43">
        <f t="shared" si="10"/>
        <v>0</v>
      </c>
      <c r="K131" s="44">
        <f>+'31.'!K131+'1'!K131+'2'!K131+'3'!K131</f>
        <v>0</v>
      </c>
      <c r="L131" s="20">
        <v>50</v>
      </c>
      <c r="M131" s="44">
        <f>+'31.'!M131+'1'!M131+'2'!M131+'3'!M131</f>
        <v>0</v>
      </c>
      <c r="N131" s="19"/>
      <c r="O131" s="90">
        <v>22.91</v>
      </c>
      <c r="P131" s="79">
        <f t="shared" si="11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46">
        <f>+ยกมา!J132</f>
        <v>0</v>
      </c>
      <c r="F132" s="44">
        <f>+'31.'!F132+'1'!F132+'2'!F132+'3'!F132</f>
        <v>5</v>
      </c>
      <c r="G132" s="43">
        <f t="shared" si="9"/>
        <v>5</v>
      </c>
      <c r="H132" s="78">
        <f>+'31.'!H132+'1'!H132+'2'!H132+'3'!H132</f>
        <v>0</v>
      </c>
      <c r="I132" s="76">
        <f>+'31.'!I132+'1'!I132+'2'!I132+'3'!I132</f>
        <v>0</v>
      </c>
      <c r="J132" s="43">
        <f t="shared" si="10"/>
        <v>0</v>
      </c>
      <c r="K132" s="44">
        <f>+'31.'!K132+'1'!K132+'2'!K132+'3'!K132</f>
        <v>5</v>
      </c>
      <c r="L132" s="20">
        <v>25</v>
      </c>
      <c r="M132" s="44">
        <f>+'31.'!M132+'1'!M132+'2'!M132+'3'!M132</f>
        <v>125</v>
      </c>
      <c r="N132" s="19"/>
      <c r="O132" s="90"/>
      <c r="P132" s="79">
        <f t="shared" si="11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46">
        <f>+ยกมา!J133</f>
        <v>0</v>
      </c>
      <c r="F133" s="44">
        <f>+'31.'!F133+'1'!F133+'2'!F133+'3'!F133</f>
        <v>0</v>
      </c>
      <c r="G133" s="43">
        <f t="shared" si="9"/>
        <v>0</v>
      </c>
      <c r="H133" s="78">
        <f>+'31.'!H133+'1'!H133+'2'!H133+'3'!H133</f>
        <v>0</v>
      </c>
      <c r="I133" s="76">
        <f>+'31.'!I133+'1'!I133+'2'!I133+'3'!I133</f>
        <v>0</v>
      </c>
      <c r="J133" s="43">
        <f t="shared" si="10"/>
        <v>0</v>
      </c>
      <c r="K133" s="44">
        <f>+'31.'!K133+'1'!K133+'2'!K133+'3'!K133</f>
        <v>0</v>
      </c>
      <c r="L133" s="20">
        <v>10</v>
      </c>
      <c r="M133" s="44">
        <f>+'31.'!M133+'1'!M133+'2'!M133+'3'!M133</f>
        <v>0</v>
      </c>
      <c r="N133" s="19"/>
      <c r="O133" s="90"/>
      <c r="P133" s="79">
        <f t="shared" si="11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46">
        <f>+ยกมา!J134</f>
        <v>0</v>
      </c>
      <c r="F134" s="44">
        <f>+'31.'!F134+'1'!F134+'2'!F134+'3'!F134</f>
        <v>0</v>
      </c>
      <c r="G134" s="43">
        <f t="shared" ref="G134:G197" si="12">+E134+F134</f>
        <v>0</v>
      </c>
      <c r="H134" s="78">
        <f>+'31.'!H134+'1'!H134+'2'!H134+'3'!H134</f>
        <v>0</v>
      </c>
      <c r="I134" s="76">
        <f>+'31.'!I134+'1'!I134+'2'!I134+'3'!I134</f>
        <v>0</v>
      </c>
      <c r="J134" s="43">
        <f t="shared" ref="J134:J197" si="13">E134+F134-H134-K134-I134</f>
        <v>0</v>
      </c>
      <c r="K134" s="44">
        <f>+'31.'!K134+'1'!K134+'2'!K134+'3'!K134</f>
        <v>0</v>
      </c>
      <c r="L134" s="20">
        <v>10</v>
      </c>
      <c r="M134" s="44">
        <f>+'31.'!M134+'1'!M134+'2'!M134+'3'!M134</f>
        <v>0</v>
      </c>
      <c r="N134" s="19"/>
      <c r="O134" s="90"/>
      <c r="P134" s="79">
        <f t="shared" si="11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46">
        <f>+ยกมา!J135</f>
        <v>0</v>
      </c>
      <c r="F135" s="44">
        <f>+'31.'!F135+'1'!F135+'2'!F135+'3'!F135</f>
        <v>0</v>
      </c>
      <c r="G135" s="43">
        <f t="shared" si="12"/>
        <v>0</v>
      </c>
      <c r="H135" s="78">
        <f>+'31.'!H135+'1'!H135+'2'!H135+'3'!H135</f>
        <v>0</v>
      </c>
      <c r="I135" s="76">
        <f>+'31.'!I135+'1'!I135+'2'!I135+'3'!I135</f>
        <v>0</v>
      </c>
      <c r="J135" s="43">
        <f t="shared" si="13"/>
        <v>0</v>
      </c>
      <c r="K135" s="44">
        <f>+'31.'!K135+'1'!K135+'2'!K135+'3'!K135</f>
        <v>0</v>
      </c>
      <c r="L135" s="20">
        <v>10</v>
      </c>
      <c r="M135" s="44">
        <f>+'31.'!M135+'1'!M135+'2'!M135+'3'!M135</f>
        <v>0</v>
      </c>
      <c r="N135" s="19"/>
      <c r="O135" s="90">
        <v>2.17</v>
      </c>
      <c r="P135" s="79">
        <f t="shared" si="11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46">
        <f>+ยกมา!J136</f>
        <v>0</v>
      </c>
      <c r="F136" s="44">
        <f>+'31.'!F136+'1'!F136+'2'!F136+'3'!F136</f>
        <v>0</v>
      </c>
      <c r="G136" s="43">
        <f t="shared" si="12"/>
        <v>0</v>
      </c>
      <c r="H136" s="78">
        <f>+'31.'!H136+'1'!H136+'2'!H136+'3'!H136</f>
        <v>0</v>
      </c>
      <c r="I136" s="76">
        <f>+'31.'!I136+'1'!I136+'2'!I136+'3'!I136</f>
        <v>0</v>
      </c>
      <c r="J136" s="43">
        <f t="shared" si="13"/>
        <v>0</v>
      </c>
      <c r="K136" s="44">
        <f>+'31.'!K136+'1'!K136+'2'!K136+'3'!K136</f>
        <v>0</v>
      </c>
      <c r="L136" s="22">
        <v>10</v>
      </c>
      <c r="M136" s="44">
        <f>+'31.'!M136+'1'!M136+'2'!M136+'3'!M136</f>
        <v>0</v>
      </c>
      <c r="N136" s="19"/>
      <c r="O136" s="90">
        <v>2.35</v>
      </c>
      <c r="P136" s="79">
        <f t="shared" si="11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46">
        <f>+ยกมา!J137</f>
        <v>0</v>
      </c>
      <c r="F137" s="44">
        <f>+'31.'!F137+'1'!F137+'2'!F137+'3'!F137</f>
        <v>0</v>
      </c>
      <c r="G137" s="43">
        <f t="shared" si="12"/>
        <v>0</v>
      </c>
      <c r="H137" s="78">
        <f>+'31.'!H137+'1'!H137+'2'!H137+'3'!H137</f>
        <v>0</v>
      </c>
      <c r="I137" s="76">
        <f>+'31.'!I137+'1'!I137+'2'!I137+'3'!I137</f>
        <v>0</v>
      </c>
      <c r="J137" s="43">
        <f t="shared" si="13"/>
        <v>0</v>
      </c>
      <c r="K137" s="44">
        <f>+'31.'!K137+'1'!K137+'2'!K137+'3'!K137</f>
        <v>0</v>
      </c>
      <c r="L137" s="22">
        <v>10</v>
      </c>
      <c r="M137" s="44">
        <f>+'31.'!M137+'1'!M137+'2'!M137+'3'!M137</f>
        <v>0</v>
      </c>
      <c r="N137" s="19"/>
      <c r="O137" s="90">
        <v>2.12</v>
      </c>
      <c r="P137" s="79">
        <f t="shared" si="11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46">
        <f>+ยกมา!J138</f>
        <v>0</v>
      </c>
      <c r="F138" s="44">
        <f>+'31.'!F138+'1'!F138+'2'!F138+'3'!F138</f>
        <v>0</v>
      </c>
      <c r="G138" s="43">
        <f t="shared" si="12"/>
        <v>0</v>
      </c>
      <c r="H138" s="78">
        <f>+'31.'!H138+'1'!H138+'2'!H138+'3'!H138</f>
        <v>0</v>
      </c>
      <c r="I138" s="76">
        <f>+'31.'!I138+'1'!I138+'2'!I138+'3'!I138</f>
        <v>0</v>
      </c>
      <c r="J138" s="43">
        <f t="shared" si="13"/>
        <v>0</v>
      </c>
      <c r="K138" s="44">
        <f>+'31.'!K138+'1'!K138+'2'!K138+'3'!K138</f>
        <v>0</v>
      </c>
      <c r="L138" s="20">
        <v>10</v>
      </c>
      <c r="M138" s="44">
        <f>+'31.'!M138+'1'!M138+'2'!M138+'3'!M138</f>
        <v>0</v>
      </c>
      <c r="N138" s="19"/>
      <c r="O138" s="90">
        <v>2.17</v>
      </c>
      <c r="P138" s="79">
        <f t="shared" si="11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46">
        <f>+ยกมา!J139</f>
        <v>0</v>
      </c>
      <c r="F139" s="44">
        <f>+'31.'!F139+'1'!F139+'2'!F139+'3'!F139</f>
        <v>0</v>
      </c>
      <c r="G139" s="43">
        <f t="shared" si="12"/>
        <v>0</v>
      </c>
      <c r="H139" s="78">
        <f>+'31.'!H139+'1'!H139+'2'!H139+'3'!H139</f>
        <v>0</v>
      </c>
      <c r="I139" s="76">
        <f>+'31.'!I139+'1'!I139+'2'!I139+'3'!I139</f>
        <v>0</v>
      </c>
      <c r="J139" s="43">
        <f t="shared" si="13"/>
        <v>0</v>
      </c>
      <c r="K139" s="44">
        <f>+'31.'!K139+'1'!K139+'2'!K139+'3'!K139</f>
        <v>0</v>
      </c>
      <c r="L139" s="20">
        <v>10</v>
      </c>
      <c r="M139" s="44">
        <f>+'31.'!M139+'1'!M139+'2'!M139+'3'!M139</f>
        <v>0</v>
      </c>
      <c r="N139" s="19"/>
      <c r="O139" s="90">
        <v>2.17</v>
      </c>
      <c r="P139" s="79">
        <f t="shared" si="11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46">
        <f>+ยกมา!J140</f>
        <v>0</v>
      </c>
      <c r="F140" s="44">
        <f>+'31.'!F140+'1'!F140+'2'!F140+'3'!F140</f>
        <v>0</v>
      </c>
      <c r="G140" s="43">
        <f t="shared" si="12"/>
        <v>0</v>
      </c>
      <c r="H140" s="78">
        <f>+'31.'!H140+'1'!H140+'2'!H140+'3'!H140</f>
        <v>0</v>
      </c>
      <c r="I140" s="76">
        <f>+'31.'!I140+'1'!I140+'2'!I140+'3'!I140</f>
        <v>0</v>
      </c>
      <c r="J140" s="43">
        <f t="shared" si="13"/>
        <v>0</v>
      </c>
      <c r="K140" s="44">
        <f>+'31.'!K140+'1'!K140+'2'!K140+'3'!K140</f>
        <v>0</v>
      </c>
      <c r="L140" s="20">
        <v>10</v>
      </c>
      <c r="M140" s="44">
        <f>+'31.'!M140+'1'!M140+'2'!M140+'3'!M140</f>
        <v>0</v>
      </c>
      <c r="N140" s="19"/>
      <c r="O140" s="90"/>
      <c r="P140" s="79">
        <f t="shared" si="11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46">
        <f>+ยกมา!J141</f>
        <v>0</v>
      </c>
      <c r="F141" s="44">
        <f>+'31.'!F141+'1'!F141+'2'!F141+'3'!F141</f>
        <v>0</v>
      </c>
      <c r="G141" s="43">
        <f t="shared" si="12"/>
        <v>0</v>
      </c>
      <c r="H141" s="78">
        <f>+'31.'!H141+'1'!H141+'2'!H141+'3'!H141</f>
        <v>0</v>
      </c>
      <c r="I141" s="76">
        <f>+'31.'!I141+'1'!I141+'2'!I141+'3'!I141</f>
        <v>0</v>
      </c>
      <c r="J141" s="43">
        <f t="shared" si="13"/>
        <v>0</v>
      </c>
      <c r="K141" s="44">
        <f>+'31.'!K141+'1'!K141+'2'!K141+'3'!K141</f>
        <v>0</v>
      </c>
      <c r="L141" s="20">
        <v>40</v>
      </c>
      <c r="M141" s="44">
        <f>+'31.'!M141+'1'!M141+'2'!M141+'3'!M141</f>
        <v>0</v>
      </c>
      <c r="N141" s="19"/>
      <c r="O141" s="90"/>
      <c r="P141" s="79">
        <f t="shared" si="11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46">
        <f>+ยกมา!J142</f>
        <v>0</v>
      </c>
      <c r="F142" s="44">
        <f>+'31.'!F142+'1'!F142+'2'!F142+'3'!F142</f>
        <v>0</v>
      </c>
      <c r="G142" s="43">
        <f t="shared" si="12"/>
        <v>0</v>
      </c>
      <c r="H142" s="78">
        <f>+'31.'!H142+'1'!H142+'2'!H142+'3'!H142</f>
        <v>0</v>
      </c>
      <c r="I142" s="76">
        <f>+'31.'!I142+'1'!I142+'2'!I142+'3'!I142</f>
        <v>0</v>
      </c>
      <c r="J142" s="43">
        <f t="shared" si="13"/>
        <v>0</v>
      </c>
      <c r="K142" s="44">
        <f>+'31.'!K142+'1'!K142+'2'!K142+'3'!K142</f>
        <v>0</v>
      </c>
      <c r="L142" s="20">
        <v>50</v>
      </c>
      <c r="M142" s="44">
        <f>+'31.'!M142+'1'!M142+'2'!M142+'3'!M142</f>
        <v>0</v>
      </c>
      <c r="N142" s="19"/>
      <c r="O142" s="90">
        <v>10.48</v>
      </c>
      <c r="P142" s="79">
        <f t="shared" si="11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46">
        <f>+ยกมา!J143</f>
        <v>0</v>
      </c>
      <c r="F143" s="44">
        <f>+'31.'!F143+'1'!F143+'2'!F143+'3'!F143</f>
        <v>0</v>
      </c>
      <c r="G143" s="43">
        <f t="shared" si="12"/>
        <v>0</v>
      </c>
      <c r="H143" s="78">
        <f>+'31.'!H143+'1'!H143+'2'!H143+'3'!H143</f>
        <v>0</v>
      </c>
      <c r="I143" s="76">
        <f>+'31.'!I143+'1'!I143+'2'!I143+'3'!I143</f>
        <v>0</v>
      </c>
      <c r="J143" s="43">
        <f t="shared" si="13"/>
        <v>0</v>
      </c>
      <c r="K143" s="44">
        <f>+'31.'!K143+'1'!K143+'2'!K143+'3'!K143</f>
        <v>0</v>
      </c>
      <c r="L143" s="20">
        <v>55</v>
      </c>
      <c r="M143" s="44">
        <f>+'31.'!M143+'1'!M143+'2'!M143+'3'!M143</f>
        <v>0</v>
      </c>
      <c r="N143" s="19"/>
      <c r="O143" s="90">
        <v>15.28</v>
      </c>
      <c r="P143" s="79">
        <f t="shared" si="11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46">
        <f>+ยกมา!J144</f>
        <v>0</v>
      </c>
      <c r="F144" s="44">
        <f>+'31.'!F144+'1'!F144+'2'!F144+'3'!F144</f>
        <v>0</v>
      </c>
      <c r="G144" s="43">
        <f t="shared" si="12"/>
        <v>0</v>
      </c>
      <c r="H144" s="78">
        <f>+'31.'!H144+'1'!H144+'2'!H144+'3'!H144</f>
        <v>0</v>
      </c>
      <c r="I144" s="76">
        <f>+'31.'!I144+'1'!I144+'2'!I144+'3'!I144</f>
        <v>0</v>
      </c>
      <c r="J144" s="43">
        <f t="shared" si="13"/>
        <v>0</v>
      </c>
      <c r="K144" s="44">
        <f>+'31.'!K144+'1'!K144+'2'!K144+'3'!K144</f>
        <v>0</v>
      </c>
      <c r="L144" s="20">
        <v>55</v>
      </c>
      <c r="M144" s="44">
        <f>+'31.'!M144+'1'!M144+'2'!M144+'3'!M144</f>
        <v>0</v>
      </c>
      <c r="N144" s="19"/>
      <c r="O144" s="90"/>
      <c r="P144" s="79">
        <f t="shared" si="11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46">
        <f>+ยกมา!J145</f>
        <v>0</v>
      </c>
      <c r="F145" s="44">
        <f>+'31.'!F145+'1'!F145+'2'!F145+'3'!F145</f>
        <v>0</v>
      </c>
      <c r="G145" s="43">
        <f t="shared" si="12"/>
        <v>0</v>
      </c>
      <c r="H145" s="78">
        <f>+'31.'!H145+'1'!H145+'2'!H145+'3'!H145</f>
        <v>0</v>
      </c>
      <c r="I145" s="76">
        <f>+'31.'!I145+'1'!I145+'2'!I145+'3'!I145</f>
        <v>0</v>
      </c>
      <c r="J145" s="43">
        <f t="shared" si="13"/>
        <v>0</v>
      </c>
      <c r="K145" s="44">
        <f>+'31.'!K145+'1'!K145+'2'!K145+'3'!K145</f>
        <v>0</v>
      </c>
      <c r="L145" s="20">
        <v>55</v>
      </c>
      <c r="M145" s="44">
        <f>+'31.'!M145+'1'!M145+'2'!M145+'3'!M145</f>
        <v>0</v>
      </c>
      <c r="N145" s="19"/>
      <c r="O145" s="90">
        <v>10.55</v>
      </c>
      <c r="P145" s="79">
        <f t="shared" si="11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46">
        <f>+ยกมา!J146</f>
        <v>0</v>
      </c>
      <c r="F146" s="44">
        <f>+'31.'!F146+'1'!F146+'2'!F146+'3'!F146</f>
        <v>0</v>
      </c>
      <c r="G146" s="43">
        <f t="shared" si="12"/>
        <v>0</v>
      </c>
      <c r="H146" s="78">
        <f>+'31.'!H146+'1'!H146+'2'!H146+'3'!H146</f>
        <v>0</v>
      </c>
      <c r="I146" s="76">
        <f>+'31.'!I146+'1'!I146+'2'!I146+'3'!I146</f>
        <v>0</v>
      </c>
      <c r="J146" s="43">
        <f t="shared" si="13"/>
        <v>0</v>
      </c>
      <c r="K146" s="44">
        <f>+'31.'!K146+'1'!K146+'2'!K146+'3'!K146</f>
        <v>0</v>
      </c>
      <c r="L146" s="20">
        <v>30</v>
      </c>
      <c r="M146" s="44">
        <f>+'31.'!M146+'1'!M146+'2'!M146+'3'!M146</f>
        <v>0</v>
      </c>
      <c r="N146" s="19"/>
      <c r="O146" s="90">
        <v>18.5</v>
      </c>
      <c r="P146" s="79">
        <f t="shared" ref="P146:P212" si="14">+K146*O146</f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46">
        <f>+ยกมา!J147</f>
        <v>0</v>
      </c>
      <c r="F147" s="44">
        <f>+'31.'!F147+'1'!F147+'2'!F147+'3'!F147</f>
        <v>5</v>
      </c>
      <c r="G147" s="43">
        <f t="shared" si="12"/>
        <v>5</v>
      </c>
      <c r="H147" s="78">
        <f>+'31.'!H147+'1'!H147+'2'!H147+'3'!H147</f>
        <v>0</v>
      </c>
      <c r="I147" s="76">
        <f>+'31.'!I147+'1'!I147+'2'!I147+'3'!I147</f>
        <v>0</v>
      </c>
      <c r="J147" s="43">
        <f t="shared" si="13"/>
        <v>0</v>
      </c>
      <c r="K147" s="44">
        <f>+'31.'!K147+'1'!K147+'2'!K147+'3'!K147</f>
        <v>5</v>
      </c>
      <c r="L147" s="20">
        <v>25</v>
      </c>
      <c r="M147" s="44">
        <f>+'31.'!M147+'1'!M147+'2'!M147+'3'!M147</f>
        <v>125</v>
      </c>
      <c r="N147" s="19"/>
      <c r="O147" s="90">
        <v>16.16</v>
      </c>
      <c r="P147" s="79">
        <f t="shared" si="14"/>
        <v>80.8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46">
        <f>+ยกมา!J148</f>
        <v>0</v>
      </c>
      <c r="F148" s="44">
        <f>+'31.'!F148+'1'!F148+'2'!F148+'3'!F148</f>
        <v>5</v>
      </c>
      <c r="G148" s="43">
        <f t="shared" si="12"/>
        <v>5</v>
      </c>
      <c r="H148" s="78">
        <f>+'31.'!H148+'1'!H148+'2'!H148+'3'!H148</f>
        <v>0</v>
      </c>
      <c r="I148" s="76">
        <f>+'31.'!I148+'1'!I148+'2'!I148+'3'!I148</f>
        <v>0</v>
      </c>
      <c r="J148" s="43">
        <f t="shared" si="13"/>
        <v>0</v>
      </c>
      <c r="K148" s="44">
        <f>+'31.'!K148+'1'!K148+'2'!K148+'3'!K148</f>
        <v>5</v>
      </c>
      <c r="L148" s="20">
        <v>25</v>
      </c>
      <c r="M148" s="44">
        <f>+'31.'!M148+'1'!M148+'2'!M148+'3'!M148</f>
        <v>125</v>
      </c>
      <c r="N148" s="19"/>
      <c r="O148" s="90">
        <v>18.63</v>
      </c>
      <c r="P148" s="79">
        <f t="shared" si="14"/>
        <v>93.149999999999991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46">
        <f>+ยกมา!J149</f>
        <v>0</v>
      </c>
      <c r="F149" s="44">
        <f>+'31.'!F149+'1'!F149+'2'!F149+'3'!F149</f>
        <v>0</v>
      </c>
      <c r="G149" s="43">
        <f t="shared" si="12"/>
        <v>0</v>
      </c>
      <c r="H149" s="78">
        <f>+'31.'!H149+'1'!H149+'2'!H149+'3'!H149</f>
        <v>0</v>
      </c>
      <c r="I149" s="76">
        <f>+'31.'!I149+'1'!I149+'2'!I149+'3'!I149</f>
        <v>0</v>
      </c>
      <c r="J149" s="43">
        <f t="shared" si="13"/>
        <v>0</v>
      </c>
      <c r="K149" s="44">
        <f>+'31.'!K149+'1'!K149+'2'!K149+'3'!K149</f>
        <v>0</v>
      </c>
      <c r="L149" s="20">
        <v>55</v>
      </c>
      <c r="M149" s="44">
        <f>+'31.'!M149+'1'!M149+'2'!M149+'3'!M149</f>
        <v>0</v>
      </c>
      <c r="N149" s="19"/>
      <c r="O149" s="90">
        <v>11.39</v>
      </c>
      <c r="P149" s="79">
        <f t="shared" si="14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46">
        <f>+ยกมา!J150</f>
        <v>0</v>
      </c>
      <c r="F150" s="44">
        <f>+'31.'!F150+'1'!F150+'2'!F150+'3'!F150</f>
        <v>0</v>
      </c>
      <c r="G150" s="43">
        <f t="shared" si="12"/>
        <v>0</v>
      </c>
      <c r="H150" s="78">
        <f>+'31.'!H150+'1'!H150+'2'!H150+'3'!H150</f>
        <v>0</v>
      </c>
      <c r="I150" s="76">
        <f>+'31.'!I150+'1'!I150+'2'!I150+'3'!I150</f>
        <v>0</v>
      </c>
      <c r="J150" s="43">
        <f t="shared" si="13"/>
        <v>0</v>
      </c>
      <c r="K150" s="44">
        <f>+'31.'!K150+'1'!K150+'2'!K150+'3'!K150</f>
        <v>0</v>
      </c>
      <c r="L150" s="20">
        <v>50</v>
      </c>
      <c r="M150" s="44">
        <f>+'31.'!M150+'1'!M150+'2'!M150+'3'!M150</f>
        <v>0</v>
      </c>
      <c r="N150" s="19"/>
      <c r="O150" s="90">
        <v>15.6</v>
      </c>
      <c r="P150" s="79">
        <f t="shared" si="14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46">
        <f>+ยกมา!J151</f>
        <v>0</v>
      </c>
      <c r="F151" s="44">
        <f>+'31.'!F151+'1'!F151+'2'!F151+'3'!F151</f>
        <v>0</v>
      </c>
      <c r="G151" s="43">
        <f t="shared" si="12"/>
        <v>0</v>
      </c>
      <c r="H151" s="78">
        <f>+'31.'!H151+'1'!H151+'2'!H151+'3'!H151</f>
        <v>0</v>
      </c>
      <c r="I151" s="76">
        <f>+'31.'!I151+'1'!I151+'2'!I151+'3'!I151</f>
        <v>0</v>
      </c>
      <c r="J151" s="43">
        <f t="shared" si="13"/>
        <v>0</v>
      </c>
      <c r="K151" s="44">
        <f>+'31.'!K151+'1'!K151+'2'!K151+'3'!K151</f>
        <v>0</v>
      </c>
      <c r="L151" s="20">
        <v>65</v>
      </c>
      <c r="M151" s="44">
        <f>+'31.'!M151+'1'!M151+'2'!M151+'3'!M151</f>
        <v>0</v>
      </c>
      <c r="N151" s="19"/>
      <c r="O151" s="90"/>
      <c r="P151" s="79">
        <f t="shared" si="14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46">
        <f>+ยกมา!J152</f>
        <v>0</v>
      </c>
      <c r="F152" s="44">
        <f>+'31.'!F152+'1'!F152+'2'!F152+'3'!F152</f>
        <v>0</v>
      </c>
      <c r="G152" s="43">
        <f t="shared" si="12"/>
        <v>0</v>
      </c>
      <c r="H152" s="78">
        <f>+'31.'!H152+'1'!H152+'2'!H152+'3'!H152</f>
        <v>0</v>
      </c>
      <c r="I152" s="76">
        <f>+'31.'!I152+'1'!I152+'2'!I152+'3'!I152</f>
        <v>0</v>
      </c>
      <c r="J152" s="43">
        <f t="shared" si="13"/>
        <v>0</v>
      </c>
      <c r="K152" s="44">
        <f>+'31.'!K152+'1'!K152+'2'!K152+'3'!K152</f>
        <v>0</v>
      </c>
      <c r="L152" s="20">
        <v>50</v>
      </c>
      <c r="M152" s="44">
        <f>+'31.'!M152+'1'!M152+'2'!M152+'3'!M152</f>
        <v>0</v>
      </c>
      <c r="N152" s="19"/>
      <c r="O152" s="90"/>
      <c r="P152" s="79">
        <f t="shared" si="14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46">
        <f>+ยกมา!J153</f>
        <v>0</v>
      </c>
      <c r="F153" s="44">
        <f>+'31.'!F153+'1'!F153+'2'!F153+'3'!F153</f>
        <v>0</v>
      </c>
      <c r="G153" s="43">
        <f t="shared" si="12"/>
        <v>0</v>
      </c>
      <c r="H153" s="78">
        <f>+'31.'!H153+'1'!H153+'2'!H153+'3'!H153</f>
        <v>0</v>
      </c>
      <c r="I153" s="76">
        <f>+'31.'!I153+'1'!I153+'2'!I153+'3'!I153</f>
        <v>0</v>
      </c>
      <c r="J153" s="43">
        <f t="shared" si="13"/>
        <v>0</v>
      </c>
      <c r="K153" s="44">
        <f>+'31.'!K153+'1'!K153+'2'!K153+'3'!K153</f>
        <v>0</v>
      </c>
      <c r="L153" s="20">
        <v>50</v>
      </c>
      <c r="M153" s="44">
        <f>+'31.'!M153+'1'!M153+'2'!M153+'3'!M153</f>
        <v>0</v>
      </c>
      <c r="N153" s="19"/>
      <c r="O153" s="90"/>
      <c r="P153" s="79">
        <f t="shared" si="14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46">
        <f>+ยกมา!J154</f>
        <v>0</v>
      </c>
      <c r="F154" s="44">
        <f>+'31.'!F154+'1'!F154+'2'!F154+'3'!F154</f>
        <v>0</v>
      </c>
      <c r="G154" s="43">
        <f t="shared" si="12"/>
        <v>0</v>
      </c>
      <c r="H154" s="78">
        <f>+'31.'!H154+'1'!H154+'2'!H154+'3'!H154</f>
        <v>0</v>
      </c>
      <c r="I154" s="76">
        <f>+'31.'!I154+'1'!I154+'2'!I154+'3'!I154</f>
        <v>0</v>
      </c>
      <c r="J154" s="43">
        <f t="shared" si="13"/>
        <v>0</v>
      </c>
      <c r="K154" s="44">
        <f>+'31.'!K154+'1'!K154+'2'!K154+'3'!K154</f>
        <v>0</v>
      </c>
      <c r="L154" s="20">
        <v>60</v>
      </c>
      <c r="M154" s="44">
        <f>+'31.'!M154+'1'!M154+'2'!M154+'3'!M154</f>
        <v>0</v>
      </c>
      <c r="N154" s="19"/>
      <c r="O154" s="90"/>
      <c r="P154" s="79">
        <f t="shared" si="14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46">
        <f>+ยกมา!J155</f>
        <v>0</v>
      </c>
      <c r="F155" s="44">
        <f>+'31.'!F155+'1'!F155+'2'!F155+'3'!F155</f>
        <v>0</v>
      </c>
      <c r="G155" s="43">
        <f t="shared" si="12"/>
        <v>0</v>
      </c>
      <c r="H155" s="78">
        <f>+'31.'!H155+'1'!H155+'2'!H155+'3'!H155</f>
        <v>0</v>
      </c>
      <c r="I155" s="76">
        <f>+'31.'!I155+'1'!I155+'2'!I155+'3'!I155</f>
        <v>0</v>
      </c>
      <c r="J155" s="43">
        <f t="shared" si="13"/>
        <v>0</v>
      </c>
      <c r="K155" s="44">
        <f>+'31.'!K155+'1'!K155+'2'!K155+'3'!K155</f>
        <v>0</v>
      </c>
      <c r="L155" s="20">
        <v>60</v>
      </c>
      <c r="M155" s="44">
        <f>+'31.'!M155+'1'!M155+'2'!M155+'3'!M155</f>
        <v>0</v>
      </c>
      <c r="N155" s="19"/>
      <c r="O155" s="90"/>
      <c r="P155" s="79">
        <f t="shared" si="14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46">
        <f>+ยกมา!J156</f>
        <v>0</v>
      </c>
      <c r="F156" s="44">
        <f>+'31.'!F156+'1'!F156+'2'!F156+'3'!F156</f>
        <v>0</v>
      </c>
      <c r="G156" s="43">
        <f t="shared" si="12"/>
        <v>0</v>
      </c>
      <c r="H156" s="78">
        <f>+'31.'!H156+'1'!H156+'2'!H156+'3'!H156</f>
        <v>0</v>
      </c>
      <c r="I156" s="76">
        <f>+'31.'!I156+'1'!I156+'2'!I156+'3'!I156</f>
        <v>0</v>
      </c>
      <c r="J156" s="43">
        <f t="shared" si="13"/>
        <v>0</v>
      </c>
      <c r="K156" s="44">
        <f>+'31.'!K156+'1'!K156+'2'!K156+'3'!K156</f>
        <v>0</v>
      </c>
      <c r="L156" s="20">
        <v>25</v>
      </c>
      <c r="M156" s="44">
        <f>+'31.'!M156+'1'!M156+'2'!M156+'3'!M156</f>
        <v>0</v>
      </c>
      <c r="N156" s="19"/>
      <c r="O156" s="90"/>
      <c r="P156" s="79">
        <f t="shared" si="14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46">
        <f>+ยกมา!J157</f>
        <v>0</v>
      </c>
      <c r="F157" s="44">
        <f>+'31.'!F157+'1'!F157+'2'!F157+'3'!F157</f>
        <v>0</v>
      </c>
      <c r="G157" s="43">
        <f t="shared" si="12"/>
        <v>0</v>
      </c>
      <c r="H157" s="78">
        <f>+'31.'!H157+'1'!H157+'2'!H157+'3'!H157</f>
        <v>0</v>
      </c>
      <c r="I157" s="76">
        <f>+'31.'!I157+'1'!I157+'2'!I157+'3'!I157</f>
        <v>0</v>
      </c>
      <c r="J157" s="43">
        <f t="shared" si="13"/>
        <v>0</v>
      </c>
      <c r="K157" s="44">
        <f>+'31.'!K157+'1'!K157+'2'!K157+'3'!K157</f>
        <v>0</v>
      </c>
      <c r="L157" s="20">
        <v>45</v>
      </c>
      <c r="M157" s="44">
        <f>+'31.'!M157+'1'!M157+'2'!M157+'3'!M157</f>
        <v>0</v>
      </c>
      <c r="N157" s="19"/>
      <c r="O157" s="90">
        <v>12.95</v>
      </c>
      <c r="P157" s="79">
        <f t="shared" si="14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46">
        <f>+ยกมา!J158</f>
        <v>0</v>
      </c>
      <c r="F158" s="44">
        <f>+'31.'!F158+'1'!F158+'2'!F158+'3'!F158</f>
        <v>0</v>
      </c>
      <c r="G158" s="43">
        <f t="shared" si="12"/>
        <v>0</v>
      </c>
      <c r="H158" s="78">
        <f>+'31.'!H158+'1'!H158+'2'!H158+'3'!H158</f>
        <v>0</v>
      </c>
      <c r="I158" s="76">
        <f>+'31.'!I158+'1'!I158+'2'!I158+'3'!I158</f>
        <v>0</v>
      </c>
      <c r="J158" s="43">
        <f t="shared" si="13"/>
        <v>0</v>
      </c>
      <c r="K158" s="44">
        <f>+'31.'!K158+'1'!K158+'2'!K158+'3'!K158</f>
        <v>0</v>
      </c>
      <c r="L158" s="20">
        <v>45</v>
      </c>
      <c r="M158" s="44">
        <f>+'31.'!M158+'1'!M158+'2'!M158+'3'!M158</f>
        <v>0</v>
      </c>
      <c r="N158" s="19"/>
      <c r="O158" s="90">
        <v>10.61</v>
      </c>
      <c r="P158" s="79">
        <f t="shared" si="14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46">
        <f>+ยกมา!J159</f>
        <v>0</v>
      </c>
      <c r="F159" s="44">
        <f>+'31.'!F159+'1'!F159+'2'!F159+'3'!F159</f>
        <v>0</v>
      </c>
      <c r="G159" s="43">
        <f t="shared" si="12"/>
        <v>0</v>
      </c>
      <c r="H159" s="78">
        <f>+'31.'!H159+'1'!H159+'2'!H159+'3'!H159</f>
        <v>0</v>
      </c>
      <c r="I159" s="76">
        <f>+'31.'!I159+'1'!I159+'2'!I159+'3'!I159</f>
        <v>0</v>
      </c>
      <c r="J159" s="43">
        <f t="shared" si="13"/>
        <v>0</v>
      </c>
      <c r="K159" s="44">
        <f>+'31.'!K159+'1'!K159+'2'!K159+'3'!K159</f>
        <v>0</v>
      </c>
      <c r="L159" s="20">
        <v>45</v>
      </c>
      <c r="M159" s="44">
        <f>+'31.'!M159+'1'!M159+'2'!M159+'3'!M159</f>
        <v>0</v>
      </c>
      <c r="N159" s="19"/>
      <c r="O159" s="90">
        <v>11.97</v>
      </c>
      <c r="P159" s="79">
        <f t="shared" si="14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24" customHeight="1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46">
        <f>+ยกมา!J160</f>
        <v>0</v>
      </c>
      <c r="F160" s="44">
        <f>+'31.'!F160+'1'!F160+'2'!F160+'3'!F160</f>
        <v>0</v>
      </c>
      <c r="G160" s="43">
        <f t="shared" si="12"/>
        <v>0</v>
      </c>
      <c r="H160" s="78">
        <f>+'31.'!H160+'1'!H160+'2'!H160+'3'!H160</f>
        <v>0</v>
      </c>
      <c r="I160" s="76">
        <f>+'31.'!I160+'1'!I160+'2'!I160+'3'!I160</f>
        <v>0</v>
      </c>
      <c r="J160" s="43">
        <f t="shared" si="13"/>
        <v>0</v>
      </c>
      <c r="K160" s="44">
        <f>+'31.'!K160+'1'!K160+'2'!K160+'3'!K160</f>
        <v>0</v>
      </c>
      <c r="L160" s="20">
        <v>45</v>
      </c>
      <c r="M160" s="44">
        <f>+'31.'!M160+'1'!M160+'2'!M160+'3'!M160</f>
        <v>0</v>
      </c>
      <c r="N160" s="19"/>
      <c r="O160" s="90">
        <v>12.21</v>
      </c>
      <c r="P160" s="79">
        <f t="shared" si="14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46">
        <f>+ยกมา!J161</f>
        <v>0</v>
      </c>
      <c r="F161" s="44">
        <f>+'31.'!F161+'1'!F161+'2'!F161+'3'!F161</f>
        <v>0</v>
      </c>
      <c r="G161" s="43">
        <f t="shared" si="12"/>
        <v>0</v>
      </c>
      <c r="H161" s="78">
        <f>+'31.'!H161+'1'!H161+'2'!H161+'3'!H161</f>
        <v>0</v>
      </c>
      <c r="I161" s="76">
        <f>+'31.'!I161+'1'!I161+'2'!I161+'3'!I161</f>
        <v>0</v>
      </c>
      <c r="J161" s="43">
        <f t="shared" si="13"/>
        <v>0</v>
      </c>
      <c r="K161" s="44">
        <f>+'31.'!K161+'1'!K161+'2'!K161+'3'!K161</f>
        <v>0</v>
      </c>
      <c r="L161" s="20">
        <v>45</v>
      </c>
      <c r="M161" s="44">
        <f>+'31.'!M161+'1'!M161+'2'!M161+'3'!M161</f>
        <v>0</v>
      </c>
      <c r="N161" s="19"/>
      <c r="O161" s="90">
        <v>14.27</v>
      </c>
      <c r="P161" s="79">
        <f t="shared" si="14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65">
      <c r="A162" s="10">
        <v>158</v>
      </c>
      <c r="B162" s="10"/>
      <c r="C162" s="19" t="s">
        <v>1068</v>
      </c>
      <c r="D162" s="10" t="s">
        <v>566</v>
      </c>
      <c r="E162" s="46">
        <f>+ยกมา!J162</f>
        <v>0</v>
      </c>
      <c r="F162" s="44">
        <f>+'31.'!F162+'1'!F162+'2'!F162+'3'!F162</f>
        <v>0</v>
      </c>
      <c r="G162" s="43">
        <f t="shared" si="12"/>
        <v>0</v>
      </c>
      <c r="H162" s="78">
        <f>+'31.'!H162+'1'!H162+'2'!H162+'3'!H162</f>
        <v>0</v>
      </c>
      <c r="I162" s="76">
        <f>+'31.'!I162+'1'!I162+'2'!I162+'3'!I162</f>
        <v>0</v>
      </c>
      <c r="J162" s="43">
        <f t="shared" si="13"/>
        <v>0</v>
      </c>
      <c r="K162" s="44">
        <f>+'31.'!K162+'1'!K162+'2'!K162+'3'!K162</f>
        <v>0</v>
      </c>
      <c r="L162" s="20">
        <v>45</v>
      </c>
      <c r="M162" s="44">
        <f>+'31.'!M162+'1'!M162+'2'!M162+'3'!M162</f>
        <v>0</v>
      </c>
      <c r="N162" s="19"/>
      <c r="O162" s="90">
        <v>14.95</v>
      </c>
      <c r="P162" s="79">
        <f t="shared" si="14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24.75" customHeight="1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46">
        <f>+ยกมา!J163</f>
        <v>0</v>
      </c>
      <c r="F163" s="44">
        <f>+'31.'!F163+'1'!F163+'2'!F163+'3'!F163</f>
        <v>0</v>
      </c>
      <c r="G163" s="43">
        <f t="shared" si="12"/>
        <v>0</v>
      </c>
      <c r="H163" s="78">
        <f>+'31.'!H163+'1'!H163+'2'!H163+'3'!H163</f>
        <v>0</v>
      </c>
      <c r="I163" s="76">
        <f>+'31.'!I163+'1'!I163+'2'!I163+'3'!I163</f>
        <v>0</v>
      </c>
      <c r="J163" s="43">
        <f t="shared" si="13"/>
        <v>0</v>
      </c>
      <c r="K163" s="44">
        <f>+'31.'!K163+'1'!K163+'2'!K163+'3'!K163</f>
        <v>0</v>
      </c>
      <c r="L163" s="22">
        <v>35</v>
      </c>
      <c r="M163" s="44">
        <f>+'31.'!M163+'1'!M163+'2'!M163+'3'!M163</f>
        <v>0</v>
      </c>
      <c r="N163" s="19"/>
      <c r="O163" s="90"/>
      <c r="P163" s="79">
        <f t="shared" si="14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24.75" customHeight="1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46">
        <f>+ยกมา!J164</f>
        <v>0</v>
      </c>
      <c r="F164" s="44">
        <f>+'31.'!F164+'1'!F164+'2'!F164+'3'!F164</f>
        <v>0</v>
      </c>
      <c r="G164" s="43">
        <f t="shared" si="12"/>
        <v>0</v>
      </c>
      <c r="H164" s="78">
        <f>+'31.'!H164+'1'!H164+'2'!H164+'3'!H164</f>
        <v>0</v>
      </c>
      <c r="I164" s="76">
        <f>+'31.'!I164+'1'!I164+'2'!I164+'3'!I164</f>
        <v>0</v>
      </c>
      <c r="J164" s="43">
        <f t="shared" si="13"/>
        <v>0</v>
      </c>
      <c r="K164" s="44">
        <f>+'31.'!K164+'1'!K164+'2'!K164+'3'!K164</f>
        <v>0</v>
      </c>
      <c r="L164" s="22">
        <v>25</v>
      </c>
      <c r="M164" s="44">
        <f>+'31.'!M164+'1'!M164+'2'!M164+'3'!M164</f>
        <v>0</v>
      </c>
      <c r="N164" s="19"/>
      <c r="O164" s="90"/>
      <c r="P164" s="79">
        <f t="shared" si="14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24.75" customHeight="1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46">
        <f>+ยกมา!J165</f>
        <v>0</v>
      </c>
      <c r="F165" s="44">
        <f>+'31.'!F165+'1'!F165+'2'!F165+'3'!F165</f>
        <v>0</v>
      </c>
      <c r="G165" s="43">
        <f t="shared" si="12"/>
        <v>0</v>
      </c>
      <c r="H165" s="78">
        <f>+'31.'!H165+'1'!H165+'2'!H165+'3'!H165</f>
        <v>0</v>
      </c>
      <c r="I165" s="76">
        <f>+'31.'!I165+'1'!I165+'2'!I165+'3'!I165</f>
        <v>0</v>
      </c>
      <c r="J165" s="43">
        <f t="shared" si="13"/>
        <v>0</v>
      </c>
      <c r="K165" s="44">
        <f>+'31.'!K165+'1'!K165+'2'!K165+'3'!K165</f>
        <v>0</v>
      </c>
      <c r="L165" s="20">
        <v>100</v>
      </c>
      <c r="M165" s="44">
        <f>+'31.'!M165+'1'!M165+'2'!M165+'3'!M165</f>
        <v>0</v>
      </c>
      <c r="N165" s="19"/>
      <c r="O165" s="92"/>
      <c r="P165" s="79">
        <f t="shared" si="14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24.75" customHeight="1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46">
        <f>+ยกมา!J166</f>
        <v>0</v>
      </c>
      <c r="F166" s="44">
        <f>+'31.'!F166+'1'!F166+'2'!F166+'3'!F166</f>
        <v>10</v>
      </c>
      <c r="G166" s="43">
        <f t="shared" si="12"/>
        <v>10</v>
      </c>
      <c r="H166" s="78">
        <f>+'31.'!H166+'1'!H166+'2'!H166+'3'!H166</f>
        <v>0</v>
      </c>
      <c r="I166" s="76">
        <f>+'31.'!I166+'1'!I166+'2'!I166+'3'!I166</f>
        <v>0</v>
      </c>
      <c r="J166" s="43">
        <f t="shared" si="13"/>
        <v>9</v>
      </c>
      <c r="K166" s="44">
        <f>+'31.'!K166+'1'!K166+'2'!K166+'3'!K166</f>
        <v>1</v>
      </c>
      <c r="L166" s="15">
        <v>50</v>
      </c>
      <c r="M166" s="44">
        <f>+'31.'!M166+'1'!M166+'2'!M166+'3'!M166</f>
        <v>50</v>
      </c>
      <c r="N166" s="19"/>
      <c r="O166" s="90">
        <v>29.96</v>
      </c>
      <c r="P166" s="79">
        <f t="shared" si="14"/>
        <v>29.96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x14ac:dyDescent="0.65">
      <c r="A167" s="10">
        <v>163</v>
      </c>
      <c r="B167" s="19"/>
      <c r="C167" s="19" t="s">
        <v>1375</v>
      </c>
      <c r="D167" s="10" t="s">
        <v>434</v>
      </c>
      <c r="E167" s="46">
        <f>+ยกมา!J167</f>
        <v>0</v>
      </c>
      <c r="F167" s="44">
        <f>+'31.'!F167+'1'!F167+'2'!F167+'3'!F167</f>
        <v>0</v>
      </c>
      <c r="G167" s="43">
        <f t="shared" si="12"/>
        <v>0</v>
      </c>
      <c r="H167" s="78">
        <f>+'31.'!H167+'1'!H167+'2'!H167+'3'!H167</f>
        <v>0</v>
      </c>
      <c r="I167" s="76">
        <f>+'31.'!I167+'1'!I167+'2'!I167+'3'!I167</f>
        <v>0</v>
      </c>
      <c r="J167" s="43">
        <f t="shared" si="13"/>
        <v>0</v>
      </c>
      <c r="K167" s="44">
        <f>+'31.'!K167+'1'!K167+'2'!K167+'3'!K167</f>
        <v>0</v>
      </c>
      <c r="L167" s="20">
        <v>35</v>
      </c>
      <c r="M167" s="44">
        <f>+'31.'!M167+'1'!M167+'2'!M167+'3'!M167</f>
        <v>0</v>
      </c>
      <c r="N167" s="19"/>
      <c r="O167" s="73"/>
      <c r="P167" s="79">
        <f>+K167*O167</f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24.75" customHeight="1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46">
        <f>+ยกมา!J168</f>
        <v>0</v>
      </c>
      <c r="F168" s="44">
        <f>+'31.'!F168+'1'!F168+'2'!F168+'3'!F168</f>
        <v>0</v>
      </c>
      <c r="G168" s="43">
        <f t="shared" si="12"/>
        <v>0</v>
      </c>
      <c r="H168" s="78">
        <f>+'31.'!H168+'1'!H168+'2'!H168+'3'!H168</f>
        <v>0</v>
      </c>
      <c r="I168" s="76">
        <f>+'31.'!I168+'1'!I168+'2'!I168+'3'!I168</f>
        <v>0</v>
      </c>
      <c r="J168" s="43">
        <f t="shared" si="13"/>
        <v>0</v>
      </c>
      <c r="K168" s="44">
        <f>+'31.'!K168+'1'!K168+'2'!K168+'3'!K168</f>
        <v>0</v>
      </c>
      <c r="L168" s="20">
        <v>40</v>
      </c>
      <c r="M168" s="44">
        <f>+'31.'!M168+'1'!M168+'2'!M168+'3'!M168</f>
        <v>0</v>
      </c>
      <c r="N168" s="19"/>
      <c r="O168" s="92"/>
      <c r="P168" s="79">
        <f t="shared" si="14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46">
        <f>+ยกมา!J169</f>
        <v>0</v>
      </c>
      <c r="F169" s="44">
        <f>+'31.'!F169+'1'!F169+'2'!F169+'3'!F169</f>
        <v>0</v>
      </c>
      <c r="G169" s="43">
        <f t="shared" si="12"/>
        <v>0</v>
      </c>
      <c r="H169" s="78">
        <f>+'31.'!H169+'1'!H169+'2'!H169+'3'!H169</f>
        <v>0</v>
      </c>
      <c r="I169" s="76">
        <f>+'31.'!I169+'1'!I169+'2'!I169+'3'!I169</f>
        <v>0</v>
      </c>
      <c r="J169" s="43">
        <f t="shared" si="13"/>
        <v>0</v>
      </c>
      <c r="K169" s="44">
        <f>+'31.'!K169+'1'!K169+'2'!K169+'3'!K169</f>
        <v>0</v>
      </c>
      <c r="L169" s="20">
        <v>55</v>
      </c>
      <c r="M169" s="44">
        <f>+'31.'!M169+'1'!M169+'2'!M169+'3'!M169</f>
        <v>0</v>
      </c>
      <c r="N169" s="19"/>
      <c r="O169" s="90"/>
      <c r="P169" s="79">
        <f t="shared" si="14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46">
        <f>+ยกมา!J170</f>
        <v>0</v>
      </c>
      <c r="F170" s="44">
        <f>+'31.'!F170+'1'!F170+'2'!F170+'3'!F170</f>
        <v>0</v>
      </c>
      <c r="G170" s="43">
        <f t="shared" si="12"/>
        <v>0</v>
      </c>
      <c r="H170" s="78">
        <f>+'31.'!H170+'1'!H170+'2'!H170+'3'!H170</f>
        <v>0</v>
      </c>
      <c r="I170" s="76">
        <f>+'31.'!I170+'1'!I170+'2'!I170+'3'!I170</f>
        <v>0</v>
      </c>
      <c r="J170" s="43">
        <f t="shared" si="13"/>
        <v>0</v>
      </c>
      <c r="K170" s="44">
        <f>+'31.'!K170+'1'!K170+'2'!K170+'3'!K170</f>
        <v>0</v>
      </c>
      <c r="L170" s="20">
        <v>55</v>
      </c>
      <c r="M170" s="44">
        <f>+'31.'!M170+'1'!M170+'2'!M170+'3'!M170</f>
        <v>0</v>
      </c>
      <c r="N170" s="19"/>
      <c r="O170" s="90"/>
      <c r="P170" s="79">
        <f t="shared" si="14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46">
        <f>+ยกมา!J171</f>
        <v>0</v>
      </c>
      <c r="F171" s="44">
        <f>+'31.'!F171+'1'!F171+'2'!F171+'3'!F171</f>
        <v>0</v>
      </c>
      <c r="G171" s="43">
        <f t="shared" si="12"/>
        <v>0</v>
      </c>
      <c r="H171" s="78">
        <f>+'31.'!H171+'1'!H171+'2'!H171+'3'!H171</f>
        <v>0</v>
      </c>
      <c r="I171" s="76">
        <f>+'31.'!I171+'1'!I171+'2'!I171+'3'!I171</f>
        <v>0</v>
      </c>
      <c r="J171" s="43">
        <f t="shared" si="13"/>
        <v>0</v>
      </c>
      <c r="K171" s="44">
        <f>+'31.'!K171+'1'!K171+'2'!K171+'3'!K171</f>
        <v>0</v>
      </c>
      <c r="L171" s="20">
        <v>10</v>
      </c>
      <c r="M171" s="44">
        <f>+'31.'!M171+'1'!M171+'2'!M171+'3'!M171</f>
        <v>0</v>
      </c>
      <c r="N171" s="19"/>
      <c r="O171" s="90"/>
      <c r="P171" s="79">
        <f t="shared" si="14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46">
        <f>+ยกมา!J172</f>
        <v>0</v>
      </c>
      <c r="F172" s="44">
        <f>+'31.'!F172+'1'!F172+'2'!F172+'3'!F172</f>
        <v>10</v>
      </c>
      <c r="G172" s="43">
        <f t="shared" si="12"/>
        <v>10</v>
      </c>
      <c r="H172" s="78">
        <f>+'31.'!H172+'1'!H172+'2'!H172+'3'!H172</f>
        <v>0</v>
      </c>
      <c r="I172" s="76">
        <f>+'31.'!I172+'1'!I172+'2'!I172+'3'!I172</f>
        <v>0</v>
      </c>
      <c r="J172" s="43">
        <f t="shared" si="13"/>
        <v>5</v>
      </c>
      <c r="K172" s="44">
        <f>+'31.'!K172+'1'!K172+'2'!K172+'3'!K172</f>
        <v>5</v>
      </c>
      <c r="L172" s="20">
        <v>35</v>
      </c>
      <c r="M172" s="44">
        <f>+'31.'!M172+'1'!M172+'2'!M172+'3'!M172</f>
        <v>175</v>
      </c>
      <c r="N172" s="19"/>
      <c r="O172" s="90"/>
      <c r="P172" s="79">
        <f t="shared" si="14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46">
        <f>+ยกมา!J173</f>
        <v>0</v>
      </c>
      <c r="F173" s="44">
        <f>+'31.'!F173+'1'!F173+'2'!F173+'3'!F173</f>
        <v>0</v>
      </c>
      <c r="G173" s="43">
        <f t="shared" si="12"/>
        <v>0</v>
      </c>
      <c r="H173" s="78">
        <f>+'31.'!H173+'1'!H173+'2'!H173+'3'!H173</f>
        <v>0</v>
      </c>
      <c r="I173" s="76">
        <f>+'31.'!I173+'1'!I173+'2'!I173+'3'!I173</f>
        <v>0</v>
      </c>
      <c r="J173" s="43">
        <f t="shared" si="13"/>
        <v>0</v>
      </c>
      <c r="K173" s="44">
        <f>+'31.'!K173+'1'!K173+'2'!K173+'3'!K173</f>
        <v>0</v>
      </c>
      <c r="L173" s="20">
        <v>50</v>
      </c>
      <c r="M173" s="44">
        <f>+'31.'!M173+'1'!M173+'2'!M173+'3'!M173</f>
        <v>0</v>
      </c>
      <c r="N173" s="19"/>
      <c r="O173" s="90">
        <v>28.14</v>
      </c>
      <c r="P173" s="79">
        <f t="shared" si="14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46">
        <f>+ยกมา!J174</f>
        <v>0</v>
      </c>
      <c r="F174" s="44">
        <f>+'31.'!F174+'1'!F174+'2'!F174+'3'!F174</f>
        <v>0</v>
      </c>
      <c r="G174" s="43">
        <f t="shared" si="12"/>
        <v>0</v>
      </c>
      <c r="H174" s="78">
        <f>+'31.'!H174+'1'!H174+'2'!H174+'3'!H174</f>
        <v>0</v>
      </c>
      <c r="I174" s="76">
        <f>+'31.'!I174+'1'!I174+'2'!I174+'3'!I174</f>
        <v>0</v>
      </c>
      <c r="J174" s="43">
        <f t="shared" si="13"/>
        <v>0</v>
      </c>
      <c r="K174" s="44">
        <f>+'31.'!K174+'1'!K174+'2'!K174+'3'!K174</f>
        <v>0</v>
      </c>
      <c r="L174" s="20">
        <v>40</v>
      </c>
      <c r="M174" s="44">
        <f>+'31.'!M174+'1'!M174+'2'!M174+'3'!M174</f>
        <v>0</v>
      </c>
      <c r="N174" s="19"/>
      <c r="O174" s="90"/>
      <c r="P174" s="79">
        <f t="shared" si="14"/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46">
        <f>+ยกมา!J175</f>
        <v>0</v>
      </c>
      <c r="F175" s="44">
        <f>+'31.'!F175+'1'!F175+'2'!F175+'3'!F175</f>
        <v>0</v>
      </c>
      <c r="G175" s="43">
        <f t="shared" si="12"/>
        <v>0</v>
      </c>
      <c r="H175" s="78">
        <f>+'31.'!H175+'1'!H175+'2'!H175+'3'!H175</f>
        <v>0</v>
      </c>
      <c r="I175" s="76">
        <f>+'31.'!I175+'1'!I175+'2'!I175+'3'!I175</f>
        <v>0</v>
      </c>
      <c r="J175" s="43">
        <f t="shared" si="13"/>
        <v>0</v>
      </c>
      <c r="K175" s="44">
        <f>+'31.'!K175+'1'!K175+'2'!K175+'3'!K175</f>
        <v>0</v>
      </c>
      <c r="L175" s="20">
        <v>65</v>
      </c>
      <c r="M175" s="44">
        <f>+'31.'!M175+'1'!M175+'2'!M175+'3'!M175</f>
        <v>0</v>
      </c>
      <c r="N175" s="19"/>
      <c r="O175" s="92"/>
      <c r="P175" s="79">
        <f t="shared" si="14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46">
        <f>+ยกมา!J176</f>
        <v>0</v>
      </c>
      <c r="F176" s="44">
        <f>+'31.'!F176+'1'!F176+'2'!F176+'3'!F176</f>
        <v>0</v>
      </c>
      <c r="G176" s="43">
        <f t="shared" si="12"/>
        <v>0</v>
      </c>
      <c r="H176" s="78">
        <f>+'31.'!H176+'1'!H176+'2'!H176+'3'!H176</f>
        <v>0</v>
      </c>
      <c r="I176" s="76">
        <f>+'31.'!I176+'1'!I176+'2'!I176+'3'!I176</f>
        <v>0</v>
      </c>
      <c r="J176" s="43">
        <f t="shared" si="13"/>
        <v>0</v>
      </c>
      <c r="K176" s="44">
        <f>+'31.'!K176+'1'!K176+'2'!K176+'3'!K176</f>
        <v>0</v>
      </c>
      <c r="L176" s="20">
        <v>50</v>
      </c>
      <c r="M176" s="44">
        <f>+'31.'!M176+'1'!M176+'2'!M176+'3'!M176</f>
        <v>0</v>
      </c>
      <c r="N176" s="19"/>
      <c r="O176" s="90">
        <v>24.99</v>
      </c>
      <c r="P176" s="79">
        <f t="shared" si="14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46">
        <f>+ยกมา!J177</f>
        <v>0</v>
      </c>
      <c r="F177" s="44">
        <f>+'31.'!F177+'1'!F177+'2'!F177+'3'!F177</f>
        <v>0</v>
      </c>
      <c r="G177" s="43">
        <f t="shared" si="12"/>
        <v>0</v>
      </c>
      <c r="H177" s="78">
        <f>+'31.'!H177+'1'!H177+'2'!H177+'3'!H177</f>
        <v>0</v>
      </c>
      <c r="I177" s="76">
        <f>+'31.'!I177+'1'!I177+'2'!I177+'3'!I177</f>
        <v>0</v>
      </c>
      <c r="J177" s="43">
        <f t="shared" si="13"/>
        <v>0</v>
      </c>
      <c r="K177" s="44">
        <f>+'31.'!K177+'1'!K177+'2'!K177+'3'!K177</f>
        <v>0</v>
      </c>
      <c r="L177" s="20">
        <v>80</v>
      </c>
      <c r="M177" s="44">
        <f>+'31.'!M177+'1'!M177+'2'!M177+'3'!M177</f>
        <v>0</v>
      </c>
      <c r="N177" s="19"/>
      <c r="O177" s="92"/>
      <c r="P177" s="79">
        <f t="shared" si="14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65">
      <c r="A178" s="10">
        <v>174</v>
      </c>
      <c r="B178" s="10"/>
      <c r="C178" s="19" t="s">
        <v>1394</v>
      </c>
      <c r="D178" s="10" t="s">
        <v>566</v>
      </c>
      <c r="E178" s="46">
        <f>+ยกมา!J178</f>
        <v>0</v>
      </c>
      <c r="F178" s="44">
        <f>+'31.'!F178+'1'!F178+'2'!F178+'3'!F178</f>
        <v>0</v>
      </c>
      <c r="G178" s="43">
        <f t="shared" si="12"/>
        <v>0</v>
      </c>
      <c r="H178" s="78">
        <f>+'31.'!H178+'1'!H178+'2'!H178+'3'!H178</f>
        <v>0</v>
      </c>
      <c r="I178" s="76">
        <f>+'31.'!I178+'1'!I178+'2'!I178+'3'!I178</f>
        <v>0</v>
      </c>
      <c r="J178" s="43">
        <f t="shared" si="13"/>
        <v>0</v>
      </c>
      <c r="K178" s="44">
        <f>+'31.'!K178+'1'!K178+'2'!K178+'3'!K178</f>
        <v>0</v>
      </c>
      <c r="L178" s="20">
        <v>15</v>
      </c>
      <c r="M178" s="44">
        <f>+'31.'!M178+'1'!M178+'2'!M178+'3'!M178</f>
        <v>0</v>
      </c>
      <c r="N178" s="19"/>
      <c r="O178" s="92"/>
      <c r="P178" s="79">
        <f t="shared" ref="P178" si="15">+K178*O178</f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65">
      <c r="A179" s="10">
        <v>175</v>
      </c>
      <c r="B179" s="10"/>
      <c r="C179" s="19" t="s">
        <v>1393</v>
      </c>
      <c r="D179" s="10" t="s">
        <v>606</v>
      </c>
      <c r="E179" s="46">
        <f>+ยกมา!J179</f>
        <v>0</v>
      </c>
      <c r="F179" s="44">
        <f>+'31.'!F179+'1'!F179+'2'!F179+'3'!F179</f>
        <v>0</v>
      </c>
      <c r="G179" s="43">
        <f t="shared" si="12"/>
        <v>0</v>
      </c>
      <c r="H179" s="78">
        <f>+'31.'!H179+'1'!H179+'2'!H179+'3'!H179</f>
        <v>0</v>
      </c>
      <c r="I179" s="76">
        <f>+'31.'!I179+'1'!I179+'2'!I179+'3'!I179</f>
        <v>0</v>
      </c>
      <c r="J179" s="43">
        <f t="shared" si="13"/>
        <v>0</v>
      </c>
      <c r="K179" s="44">
        <f>+'31.'!K179+'1'!K179+'2'!K179+'3'!K179</f>
        <v>0</v>
      </c>
      <c r="L179" s="20">
        <v>80</v>
      </c>
      <c r="M179" s="44">
        <f>+'31.'!M179+'1'!M179+'2'!M179+'3'!M179</f>
        <v>0</v>
      </c>
      <c r="N179" s="19"/>
      <c r="O179" s="92"/>
      <c r="P179" s="79">
        <f t="shared" ref="P179" si="16">+K179*O179</f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46">
        <f>+ยกมา!J180</f>
        <v>0</v>
      </c>
      <c r="F180" s="44">
        <f>+'31.'!F180+'1'!F180+'2'!F180+'3'!F180</f>
        <v>0</v>
      </c>
      <c r="G180" s="43">
        <f t="shared" si="12"/>
        <v>0</v>
      </c>
      <c r="H180" s="78">
        <f>+'31.'!H180+'1'!H180+'2'!H180+'3'!H180</f>
        <v>0</v>
      </c>
      <c r="I180" s="76">
        <f>+'31.'!I180+'1'!I180+'2'!I180+'3'!I180</f>
        <v>0</v>
      </c>
      <c r="J180" s="43">
        <f t="shared" si="13"/>
        <v>0</v>
      </c>
      <c r="K180" s="44">
        <f>+'31.'!K180+'1'!K180+'2'!K180+'3'!K180</f>
        <v>0</v>
      </c>
      <c r="L180" s="20">
        <v>35</v>
      </c>
      <c r="M180" s="44">
        <f>+'31.'!M180+'1'!M180+'2'!M180+'3'!M180</f>
        <v>0</v>
      </c>
      <c r="N180" s="19"/>
      <c r="O180" s="90">
        <v>40.28</v>
      </c>
      <c r="P180" s="79">
        <f t="shared" si="14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46">
        <f>+ยกมา!J181</f>
        <v>0</v>
      </c>
      <c r="F181" s="44">
        <f>+'31.'!F181+'1'!F181+'2'!F181+'3'!F181</f>
        <v>0</v>
      </c>
      <c r="G181" s="43">
        <f t="shared" si="12"/>
        <v>0</v>
      </c>
      <c r="H181" s="78">
        <f>+'31.'!H181+'1'!H181+'2'!H181+'3'!H181</f>
        <v>0</v>
      </c>
      <c r="I181" s="76">
        <f>+'31.'!I181+'1'!I181+'2'!I181+'3'!I181</f>
        <v>0</v>
      </c>
      <c r="J181" s="43">
        <f t="shared" si="13"/>
        <v>0</v>
      </c>
      <c r="K181" s="44">
        <f>+'31.'!K181+'1'!K181+'2'!K181+'3'!K181</f>
        <v>0</v>
      </c>
      <c r="L181" s="20">
        <v>35</v>
      </c>
      <c r="M181" s="44">
        <f>+'31.'!M181+'1'!M181+'2'!M181+'3'!M181</f>
        <v>0</v>
      </c>
      <c r="N181" s="19"/>
      <c r="O181" s="92"/>
      <c r="P181" s="79">
        <f t="shared" si="14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46">
        <f>+ยกมา!J182</f>
        <v>0</v>
      </c>
      <c r="F182" s="44">
        <f>+'31.'!F182+'1'!F182+'2'!F182+'3'!F182</f>
        <v>0</v>
      </c>
      <c r="G182" s="43">
        <f t="shared" si="12"/>
        <v>0</v>
      </c>
      <c r="H182" s="78">
        <f>+'31.'!H182+'1'!H182+'2'!H182+'3'!H182</f>
        <v>0</v>
      </c>
      <c r="I182" s="76">
        <f>+'31.'!I182+'1'!I182+'2'!I182+'3'!I182</f>
        <v>0</v>
      </c>
      <c r="J182" s="43">
        <f t="shared" si="13"/>
        <v>0</v>
      </c>
      <c r="K182" s="44">
        <f>+'31.'!K182+'1'!K182+'2'!K182+'3'!K182</f>
        <v>0</v>
      </c>
      <c r="L182" s="20">
        <v>60</v>
      </c>
      <c r="M182" s="44">
        <f>+'31.'!M182+'1'!M182+'2'!M182+'3'!M182</f>
        <v>0</v>
      </c>
      <c r="N182" s="19"/>
      <c r="O182" s="90">
        <v>38</v>
      </c>
      <c r="P182" s="79">
        <f t="shared" si="14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46">
        <f>+ยกมา!J183</f>
        <v>0</v>
      </c>
      <c r="F183" s="44">
        <f>+'31.'!F183+'1'!F183+'2'!F183+'3'!F183</f>
        <v>0</v>
      </c>
      <c r="G183" s="43">
        <f t="shared" si="12"/>
        <v>0</v>
      </c>
      <c r="H183" s="78">
        <f>+'31.'!H183+'1'!H183+'2'!H183+'3'!H183</f>
        <v>0</v>
      </c>
      <c r="I183" s="76">
        <f>+'31.'!I183+'1'!I183+'2'!I183+'3'!I183</f>
        <v>0</v>
      </c>
      <c r="J183" s="43">
        <f t="shared" si="13"/>
        <v>0</v>
      </c>
      <c r="K183" s="44">
        <f>+'31.'!K183+'1'!K183+'2'!K183+'3'!K183</f>
        <v>0</v>
      </c>
      <c r="L183" s="20">
        <v>120</v>
      </c>
      <c r="M183" s="44">
        <f>+'31.'!M183+'1'!M183+'2'!M183+'3'!M183</f>
        <v>0</v>
      </c>
      <c r="N183" s="19"/>
      <c r="O183" s="90">
        <v>73</v>
      </c>
      <c r="P183" s="79">
        <f t="shared" si="14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46">
        <f>+ยกมา!J184</f>
        <v>0</v>
      </c>
      <c r="F184" s="44">
        <f>+'31.'!F184+'1'!F184+'2'!F184+'3'!F184</f>
        <v>0</v>
      </c>
      <c r="G184" s="43">
        <f t="shared" si="12"/>
        <v>0</v>
      </c>
      <c r="H184" s="78">
        <f>+'31.'!H184+'1'!H184+'2'!H184+'3'!H184</f>
        <v>0</v>
      </c>
      <c r="I184" s="76">
        <f>+'31.'!I184+'1'!I184+'2'!I184+'3'!I184</f>
        <v>0</v>
      </c>
      <c r="J184" s="43">
        <f t="shared" si="13"/>
        <v>0</v>
      </c>
      <c r="K184" s="44">
        <f>+'31.'!K184+'1'!K184+'2'!K184+'3'!K184</f>
        <v>0</v>
      </c>
      <c r="L184" s="20">
        <v>60</v>
      </c>
      <c r="M184" s="44">
        <f>+'31.'!M184+'1'!M184+'2'!M184+'3'!M184</f>
        <v>0</v>
      </c>
      <c r="N184" s="19"/>
      <c r="O184" s="90">
        <v>38</v>
      </c>
      <c r="P184" s="79">
        <f t="shared" si="14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46">
        <f>+ยกมา!J185</f>
        <v>0</v>
      </c>
      <c r="F185" s="44">
        <f>+'31.'!F185+'1'!F185+'2'!F185+'3'!F185</f>
        <v>0</v>
      </c>
      <c r="G185" s="43">
        <f t="shared" si="12"/>
        <v>0</v>
      </c>
      <c r="H185" s="78">
        <f>+'31.'!H185+'1'!H185+'2'!H185+'3'!H185</f>
        <v>0</v>
      </c>
      <c r="I185" s="76">
        <f>+'31.'!I185+'1'!I185+'2'!I185+'3'!I185</f>
        <v>0</v>
      </c>
      <c r="J185" s="43">
        <f t="shared" si="13"/>
        <v>0</v>
      </c>
      <c r="K185" s="44">
        <f>+'31.'!K185+'1'!K185+'2'!K185+'3'!K185</f>
        <v>0</v>
      </c>
      <c r="L185" s="20">
        <v>120</v>
      </c>
      <c r="M185" s="44">
        <f>+'31.'!M185+'1'!M185+'2'!M185+'3'!M185</f>
        <v>0</v>
      </c>
      <c r="N185" s="19"/>
      <c r="O185" s="90">
        <v>73</v>
      </c>
      <c r="P185" s="79">
        <f t="shared" si="14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46">
        <f>+ยกมา!J186</f>
        <v>0</v>
      </c>
      <c r="F186" s="44">
        <f>+'31.'!F186+'1'!F186+'2'!F186+'3'!F186</f>
        <v>0</v>
      </c>
      <c r="G186" s="43">
        <f t="shared" si="12"/>
        <v>0</v>
      </c>
      <c r="H186" s="78">
        <f>+'31.'!H186+'1'!H186+'2'!H186+'3'!H186</f>
        <v>0</v>
      </c>
      <c r="I186" s="76">
        <f>+'31.'!I186+'1'!I186+'2'!I186+'3'!I186</f>
        <v>0</v>
      </c>
      <c r="J186" s="43">
        <f t="shared" si="13"/>
        <v>0</v>
      </c>
      <c r="K186" s="44">
        <f>+'31.'!K186+'1'!K186+'2'!K186+'3'!K186</f>
        <v>0</v>
      </c>
      <c r="L186" s="20">
        <v>50</v>
      </c>
      <c r="M186" s="44">
        <f>+'31.'!M186+'1'!M186+'2'!M186+'3'!M186</f>
        <v>0</v>
      </c>
      <c r="N186" s="19"/>
      <c r="O186" s="90">
        <v>23.74</v>
      </c>
      <c r="P186" s="79">
        <f t="shared" si="14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46">
        <f>+ยกมา!J187</f>
        <v>0</v>
      </c>
      <c r="F187" s="44">
        <f>+'31.'!F187+'1'!F187+'2'!F187+'3'!F187</f>
        <v>0</v>
      </c>
      <c r="G187" s="43">
        <f t="shared" si="12"/>
        <v>0</v>
      </c>
      <c r="H187" s="78">
        <f>+'31.'!H187+'1'!H187+'2'!H187+'3'!H187</f>
        <v>0</v>
      </c>
      <c r="I187" s="76">
        <f>+'31.'!I187+'1'!I187+'2'!I187+'3'!I187</f>
        <v>0</v>
      </c>
      <c r="J187" s="43">
        <f t="shared" si="13"/>
        <v>0</v>
      </c>
      <c r="K187" s="44">
        <f>+'31.'!K187+'1'!K187+'2'!K187+'3'!K187</f>
        <v>0</v>
      </c>
      <c r="L187" s="20">
        <v>150</v>
      </c>
      <c r="M187" s="44">
        <f>+'31.'!M187+'1'!M187+'2'!M187+'3'!M187</f>
        <v>0</v>
      </c>
      <c r="N187" s="19"/>
      <c r="O187" s="90">
        <v>64.38</v>
      </c>
      <c r="P187" s="79">
        <f t="shared" si="14"/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46">
        <f>+ยกมา!J188</f>
        <v>0</v>
      </c>
      <c r="F188" s="44">
        <f>+'31.'!F188+'1'!F188+'2'!F188+'3'!F188</f>
        <v>0</v>
      </c>
      <c r="G188" s="43">
        <f t="shared" si="12"/>
        <v>0</v>
      </c>
      <c r="H188" s="78">
        <f>+'31.'!H188+'1'!H188+'2'!H188+'3'!H188</f>
        <v>0</v>
      </c>
      <c r="I188" s="76">
        <f>+'31.'!I188+'1'!I188+'2'!I188+'3'!I188</f>
        <v>0</v>
      </c>
      <c r="J188" s="43">
        <f t="shared" si="13"/>
        <v>0</v>
      </c>
      <c r="K188" s="44">
        <f>+'31.'!K188+'1'!K188+'2'!K188+'3'!K188</f>
        <v>0</v>
      </c>
      <c r="L188" s="20">
        <v>135</v>
      </c>
      <c r="M188" s="44">
        <f>+'31.'!M188+'1'!M188+'2'!M188+'3'!M188</f>
        <v>0</v>
      </c>
      <c r="N188" s="19"/>
      <c r="O188" s="92"/>
      <c r="P188" s="79">
        <f t="shared" si="14"/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46">
        <f>+ยกมา!J189</f>
        <v>0</v>
      </c>
      <c r="F189" s="44">
        <f>+'31.'!F189+'1'!F189+'2'!F189+'3'!F189</f>
        <v>0</v>
      </c>
      <c r="G189" s="43">
        <f t="shared" si="12"/>
        <v>0</v>
      </c>
      <c r="H189" s="78">
        <f>+'31.'!H189+'1'!H189+'2'!H189+'3'!H189</f>
        <v>0</v>
      </c>
      <c r="I189" s="76">
        <f>+'31.'!I189+'1'!I189+'2'!I189+'3'!I189</f>
        <v>0</v>
      </c>
      <c r="J189" s="43">
        <f t="shared" si="13"/>
        <v>0</v>
      </c>
      <c r="K189" s="44">
        <f>+'31.'!K189+'1'!K189+'2'!K189+'3'!K189</f>
        <v>0</v>
      </c>
      <c r="L189" s="20">
        <v>100</v>
      </c>
      <c r="M189" s="44">
        <f>+'31.'!M189+'1'!M189+'2'!M189+'3'!M189</f>
        <v>0</v>
      </c>
      <c r="N189" s="19"/>
      <c r="O189" s="92"/>
      <c r="P189" s="79">
        <f t="shared" si="14"/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46">
        <f>+ยกมา!J190</f>
        <v>0</v>
      </c>
      <c r="F190" s="44">
        <f>+'31.'!F190+'1'!F190+'2'!F190+'3'!F190</f>
        <v>0</v>
      </c>
      <c r="G190" s="43">
        <f t="shared" si="12"/>
        <v>0</v>
      </c>
      <c r="H190" s="78">
        <f>+'31.'!H190+'1'!H190+'2'!H190+'3'!H190</f>
        <v>0</v>
      </c>
      <c r="I190" s="76">
        <f>+'31.'!I190+'1'!I190+'2'!I190+'3'!I190</f>
        <v>0</v>
      </c>
      <c r="J190" s="43">
        <f t="shared" si="13"/>
        <v>0</v>
      </c>
      <c r="K190" s="44">
        <f>+'31.'!K190+'1'!K190+'2'!K190+'3'!K190</f>
        <v>0</v>
      </c>
      <c r="L190" s="20">
        <v>90</v>
      </c>
      <c r="M190" s="44">
        <f>+'31.'!M190+'1'!M190+'2'!M190+'3'!M190</f>
        <v>0</v>
      </c>
      <c r="N190" s="19"/>
      <c r="O190" s="92"/>
      <c r="P190" s="79">
        <f t="shared" si="14"/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46">
        <f>+ยกมา!J191</f>
        <v>0</v>
      </c>
      <c r="F191" s="44">
        <f>+'31.'!F191+'1'!F191+'2'!F191+'3'!F191</f>
        <v>0</v>
      </c>
      <c r="G191" s="43">
        <f t="shared" si="12"/>
        <v>0</v>
      </c>
      <c r="H191" s="78">
        <f>+'31.'!H191+'1'!H191+'2'!H191+'3'!H191</f>
        <v>0</v>
      </c>
      <c r="I191" s="76">
        <f>+'31.'!I191+'1'!I191+'2'!I191+'3'!I191</f>
        <v>0</v>
      </c>
      <c r="J191" s="43">
        <f t="shared" si="13"/>
        <v>0</v>
      </c>
      <c r="K191" s="44">
        <f>+'31.'!K191+'1'!K191+'2'!K191+'3'!K191</f>
        <v>0</v>
      </c>
      <c r="L191" s="20">
        <v>90</v>
      </c>
      <c r="M191" s="44">
        <f>+'31.'!M191+'1'!M191+'2'!M191+'3'!M191</f>
        <v>0</v>
      </c>
      <c r="N191" s="19"/>
      <c r="O191" s="92"/>
      <c r="P191" s="79">
        <f t="shared" si="14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46">
        <f>+ยกมา!J192</f>
        <v>0</v>
      </c>
      <c r="F192" s="44">
        <f>+'31.'!F192+'1'!F192+'2'!F192+'3'!F192</f>
        <v>0</v>
      </c>
      <c r="G192" s="43">
        <f t="shared" si="12"/>
        <v>0</v>
      </c>
      <c r="H192" s="78">
        <f>+'31.'!H192+'1'!H192+'2'!H192+'3'!H192</f>
        <v>0</v>
      </c>
      <c r="I192" s="76">
        <f>+'31.'!I192+'1'!I192+'2'!I192+'3'!I192</f>
        <v>0</v>
      </c>
      <c r="J192" s="43">
        <f t="shared" si="13"/>
        <v>0</v>
      </c>
      <c r="K192" s="44">
        <f>+'31.'!K192+'1'!K192+'2'!K192+'3'!K192</f>
        <v>0</v>
      </c>
      <c r="L192" s="20">
        <v>90</v>
      </c>
      <c r="M192" s="44">
        <f>+'31.'!M192+'1'!M192+'2'!M192+'3'!M192</f>
        <v>0</v>
      </c>
      <c r="N192" s="19"/>
      <c r="O192" s="92"/>
      <c r="P192" s="79">
        <f t="shared" si="14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46">
        <f>+ยกมา!J193</f>
        <v>0</v>
      </c>
      <c r="F193" s="44">
        <f>+'31.'!F193+'1'!F193+'2'!F193+'3'!F193</f>
        <v>0</v>
      </c>
      <c r="G193" s="43">
        <f t="shared" si="12"/>
        <v>0</v>
      </c>
      <c r="H193" s="78">
        <f>+'31.'!H193+'1'!H193+'2'!H193+'3'!H193</f>
        <v>0</v>
      </c>
      <c r="I193" s="76">
        <f>+'31.'!I193+'1'!I193+'2'!I193+'3'!I193</f>
        <v>0</v>
      </c>
      <c r="J193" s="43">
        <f t="shared" si="13"/>
        <v>0</v>
      </c>
      <c r="K193" s="44">
        <f>+'31.'!K193+'1'!K193+'2'!K193+'3'!K193</f>
        <v>0</v>
      </c>
      <c r="L193" s="20">
        <v>90</v>
      </c>
      <c r="M193" s="44">
        <f>+'31.'!M193+'1'!M193+'2'!M193+'3'!M193</f>
        <v>0</v>
      </c>
      <c r="N193" s="19"/>
      <c r="O193" s="92"/>
      <c r="P193" s="79">
        <f t="shared" si="14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46">
        <f>+ยกมา!J194</f>
        <v>0</v>
      </c>
      <c r="F194" s="44">
        <f>+'31.'!F194+'1'!F194+'2'!F194+'3'!F194</f>
        <v>0</v>
      </c>
      <c r="G194" s="43">
        <f t="shared" si="12"/>
        <v>0</v>
      </c>
      <c r="H194" s="78">
        <f>+'31.'!H194+'1'!H194+'2'!H194+'3'!H194</f>
        <v>0</v>
      </c>
      <c r="I194" s="76">
        <f>+'31.'!I194+'1'!I194+'2'!I194+'3'!I194</f>
        <v>0</v>
      </c>
      <c r="J194" s="43">
        <f t="shared" si="13"/>
        <v>0</v>
      </c>
      <c r="K194" s="44">
        <f>+'31.'!K194+'1'!K194+'2'!K194+'3'!K194</f>
        <v>0</v>
      </c>
      <c r="L194" s="20">
        <v>55</v>
      </c>
      <c r="M194" s="44">
        <f>+'31.'!M194+'1'!M194+'2'!M194+'3'!M194</f>
        <v>0</v>
      </c>
      <c r="N194" s="19"/>
      <c r="O194" s="92"/>
      <c r="P194" s="79">
        <f t="shared" si="14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46">
        <f>+ยกมา!J195</f>
        <v>0</v>
      </c>
      <c r="F195" s="44">
        <f>+'31.'!F195+'1'!F195+'2'!F195+'3'!F195</f>
        <v>0</v>
      </c>
      <c r="G195" s="43">
        <f t="shared" si="12"/>
        <v>0</v>
      </c>
      <c r="H195" s="78">
        <f>+'31.'!H195+'1'!H195+'2'!H195+'3'!H195</f>
        <v>0</v>
      </c>
      <c r="I195" s="76">
        <f>+'31.'!I195+'1'!I195+'2'!I195+'3'!I195</f>
        <v>0</v>
      </c>
      <c r="J195" s="43">
        <f t="shared" si="13"/>
        <v>0</v>
      </c>
      <c r="K195" s="44">
        <f>+'31.'!K195+'1'!K195+'2'!K195+'3'!K195</f>
        <v>0</v>
      </c>
      <c r="L195" s="20">
        <v>85</v>
      </c>
      <c r="M195" s="44">
        <f>+'31.'!M195+'1'!M195+'2'!M195+'3'!M195</f>
        <v>0</v>
      </c>
      <c r="N195" s="19"/>
      <c r="O195" s="92"/>
      <c r="P195" s="79">
        <f t="shared" si="14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46">
        <f>+ยกมา!J196</f>
        <v>0</v>
      </c>
      <c r="F196" s="44">
        <f>+'31.'!F196+'1'!F196+'2'!F196+'3'!F196</f>
        <v>0</v>
      </c>
      <c r="G196" s="43">
        <f t="shared" si="12"/>
        <v>0</v>
      </c>
      <c r="H196" s="78">
        <f>+'31.'!H196+'1'!H196+'2'!H196+'3'!H196</f>
        <v>0</v>
      </c>
      <c r="I196" s="76">
        <f>+'31.'!I196+'1'!I196+'2'!I196+'3'!I196</f>
        <v>0</v>
      </c>
      <c r="J196" s="43">
        <f t="shared" si="13"/>
        <v>0</v>
      </c>
      <c r="K196" s="44">
        <f>+'31.'!K196+'1'!K196+'2'!K196+'3'!K196</f>
        <v>0</v>
      </c>
      <c r="L196" s="20">
        <v>50</v>
      </c>
      <c r="M196" s="44">
        <f>+'31.'!M196+'1'!M196+'2'!M196+'3'!M196</f>
        <v>0</v>
      </c>
      <c r="N196" s="19"/>
      <c r="O196" s="90">
        <v>33</v>
      </c>
      <c r="P196" s="79">
        <f t="shared" si="14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46">
        <f>+ยกมา!J197</f>
        <v>0</v>
      </c>
      <c r="F197" s="44">
        <f>+'31.'!F197+'1'!F197+'2'!F197+'3'!F197</f>
        <v>0</v>
      </c>
      <c r="G197" s="43">
        <f t="shared" si="12"/>
        <v>0</v>
      </c>
      <c r="H197" s="78">
        <f>+'31.'!H197+'1'!H197+'2'!H197+'3'!H197</f>
        <v>0</v>
      </c>
      <c r="I197" s="76">
        <f>+'31.'!I197+'1'!I197+'2'!I197+'3'!I197</f>
        <v>0</v>
      </c>
      <c r="J197" s="43">
        <f t="shared" si="13"/>
        <v>0</v>
      </c>
      <c r="K197" s="44">
        <f>+'31.'!K197+'1'!K197+'2'!K197+'3'!K197</f>
        <v>0</v>
      </c>
      <c r="L197" s="20">
        <v>120</v>
      </c>
      <c r="M197" s="44">
        <f>+'31.'!M197+'1'!M197+'2'!M197+'3'!M197</f>
        <v>0</v>
      </c>
      <c r="N197" s="19"/>
      <c r="O197" s="90">
        <v>83</v>
      </c>
      <c r="P197" s="79">
        <f t="shared" si="14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46">
        <f>+ยกมา!J198</f>
        <v>0</v>
      </c>
      <c r="F198" s="44">
        <f>+'31.'!F198+'1'!F198+'2'!F198+'3'!F198</f>
        <v>0</v>
      </c>
      <c r="G198" s="43">
        <f t="shared" ref="G198:G239" si="17">+E198+F198</f>
        <v>0</v>
      </c>
      <c r="H198" s="78">
        <f>+'31.'!H198+'1'!H198+'2'!H198+'3'!H198</f>
        <v>0</v>
      </c>
      <c r="I198" s="76">
        <f>+'31.'!I198+'1'!I198+'2'!I198+'3'!I198</f>
        <v>0</v>
      </c>
      <c r="J198" s="43">
        <f t="shared" ref="J198:J239" si="18">E198+F198-H198-K198-I198</f>
        <v>0</v>
      </c>
      <c r="K198" s="44">
        <f>+'31.'!K198+'1'!K198+'2'!K198+'3'!K198</f>
        <v>0</v>
      </c>
      <c r="L198" s="20">
        <v>25</v>
      </c>
      <c r="M198" s="44">
        <f>+'31.'!M198+'1'!M198+'2'!M198+'3'!M198</f>
        <v>0</v>
      </c>
      <c r="N198" s="19"/>
      <c r="O198" s="90">
        <v>15</v>
      </c>
      <c r="P198" s="79">
        <f t="shared" si="14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46">
        <f>+ยกมา!J199</f>
        <v>0</v>
      </c>
      <c r="F199" s="44">
        <f>+'31.'!F199+'1'!F199+'2'!F199+'3'!F199</f>
        <v>0</v>
      </c>
      <c r="G199" s="43">
        <f t="shared" si="17"/>
        <v>0</v>
      </c>
      <c r="H199" s="78">
        <f>+'31.'!H199+'1'!H199+'2'!H199+'3'!H199</f>
        <v>0</v>
      </c>
      <c r="I199" s="76">
        <f>+'31.'!I199+'1'!I199+'2'!I199+'3'!I199</f>
        <v>0</v>
      </c>
      <c r="J199" s="43">
        <f t="shared" si="18"/>
        <v>0</v>
      </c>
      <c r="K199" s="44">
        <f>+'31.'!K199+'1'!K199+'2'!K199+'3'!K199</f>
        <v>0</v>
      </c>
      <c r="L199" s="20">
        <v>25</v>
      </c>
      <c r="M199" s="44">
        <f>+'31.'!M199+'1'!M199+'2'!M199+'3'!M199</f>
        <v>0</v>
      </c>
      <c r="N199" s="19"/>
      <c r="O199" s="90">
        <v>15</v>
      </c>
      <c r="P199" s="79">
        <f t="shared" si="14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46">
        <f>+ยกมา!J200</f>
        <v>0</v>
      </c>
      <c r="F200" s="44">
        <f>+'31.'!F200+'1'!F200+'2'!F200+'3'!F200</f>
        <v>0</v>
      </c>
      <c r="G200" s="43">
        <f t="shared" si="17"/>
        <v>0</v>
      </c>
      <c r="H200" s="78">
        <f>+'31.'!H200+'1'!H200+'2'!H200+'3'!H200</f>
        <v>0</v>
      </c>
      <c r="I200" s="76">
        <f>+'31.'!I200+'1'!I200+'2'!I200+'3'!I200</f>
        <v>0</v>
      </c>
      <c r="J200" s="43">
        <f t="shared" si="18"/>
        <v>0</v>
      </c>
      <c r="K200" s="44">
        <f>+'31.'!K200+'1'!K200+'2'!K200+'3'!K200</f>
        <v>0</v>
      </c>
      <c r="L200" s="20">
        <v>25</v>
      </c>
      <c r="M200" s="44">
        <f>+'31.'!M200+'1'!M200+'2'!M200+'3'!M200</f>
        <v>0</v>
      </c>
      <c r="N200" s="19"/>
      <c r="O200" s="90">
        <v>15</v>
      </c>
      <c r="P200" s="79">
        <f t="shared" si="14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46">
        <f>+ยกมา!J201</f>
        <v>0</v>
      </c>
      <c r="F201" s="44">
        <f>+'31.'!F201+'1'!F201+'2'!F201+'3'!F201</f>
        <v>0</v>
      </c>
      <c r="G201" s="43">
        <f t="shared" si="17"/>
        <v>0</v>
      </c>
      <c r="H201" s="78">
        <f>+'31.'!H201+'1'!H201+'2'!H201+'3'!H201</f>
        <v>0</v>
      </c>
      <c r="I201" s="76">
        <f>+'31.'!I201+'1'!I201+'2'!I201+'3'!I201</f>
        <v>0</v>
      </c>
      <c r="J201" s="43">
        <f t="shared" si="18"/>
        <v>0</v>
      </c>
      <c r="K201" s="44">
        <f>+'31.'!K201+'1'!K201+'2'!K201+'3'!K201</f>
        <v>0</v>
      </c>
      <c r="L201" s="20">
        <v>25</v>
      </c>
      <c r="M201" s="44">
        <f>+'31.'!M201+'1'!M201+'2'!M201+'3'!M201</f>
        <v>0</v>
      </c>
      <c r="N201" s="19"/>
      <c r="O201" s="90">
        <v>15</v>
      </c>
      <c r="P201" s="79">
        <f t="shared" si="14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46">
        <f>+ยกมา!J202</f>
        <v>0</v>
      </c>
      <c r="F202" s="44">
        <f>+'31.'!F202+'1'!F202+'2'!F202+'3'!F202</f>
        <v>0</v>
      </c>
      <c r="G202" s="43">
        <f t="shared" si="17"/>
        <v>0</v>
      </c>
      <c r="H202" s="78">
        <f>+'31.'!H202+'1'!H202+'2'!H202+'3'!H202</f>
        <v>0</v>
      </c>
      <c r="I202" s="76">
        <f>+'31.'!I202+'1'!I202+'2'!I202+'3'!I202</f>
        <v>0</v>
      </c>
      <c r="J202" s="43">
        <f t="shared" si="18"/>
        <v>0</v>
      </c>
      <c r="K202" s="44">
        <f>+'31.'!K202+'1'!K202+'2'!K202+'3'!K202</f>
        <v>0</v>
      </c>
      <c r="L202" s="20">
        <v>25</v>
      </c>
      <c r="M202" s="44">
        <f>+'31.'!M202+'1'!M202+'2'!M202+'3'!M202</f>
        <v>0</v>
      </c>
      <c r="N202" s="19"/>
      <c r="O202" s="90">
        <v>15</v>
      </c>
      <c r="P202" s="79">
        <f t="shared" si="14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46">
        <f>+ยกมา!J203</f>
        <v>0</v>
      </c>
      <c r="F203" s="44">
        <f>+'31.'!F203+'1'!F203+'2'!F203+'3'!F203</f>
        <v>0</v>
      </c>
      <c r="G203" s="43">
        <f t="shared" si="17"/>
        <v>0</v>
      </c>
      <c r="H203" s="78">
        <f>+'31.'!H203+'1'!H203+'2'!H203+'3'!H203</f>
        <v>0</v>
      </c>
      <c r="I203" s="76">
        <f>+'31.'!I203+'1'!I203+'2'!I203+'3'!I203</f>
        <v>0</v>
      </c>
      <c r="J203" s="43">
        <f t="shared" si="18"/>
        <v>0</v>
      </c>
      <c r="K203" s="44">
        <f>+'31.'!K203+'1'!K203+'2'!K203+'3'!K203</f>
        <v>0</v>
      </c>
      <c r="L203" s="20">
        <v>10</v>
      </c>
      <c r="M203" s="44">
        <f>+'31.'!M203+'1'!M203+'2'!M203+'3'!M203</f>
        <v>0</v>
      </c>
      <c r="N203" s="19"/>
      <c r="O203" s="92"/>
      <c r="P203" s="79">
        <f t="shared" si="14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46">
        <f>+ยกมา!J204</f>
        <v>0</v>
      </c>
      <c r="F204" s="44">
        <f>+'31.'!F204+'1'!F204+'2'!F204+'3'!F204</f>
        <v>0</v>
      </c>
      <c r="G204" s="43">
        <f t="shared" si="17"/>
        <v>0</v>
      </c>
      <c r="H204" s="78">
        <f>+'31.'!H204+'1'!H204+'2'!H204+'3'!H204</f>
        <v>0</v>
      </c>
      <c r="I204" s="76">
        <f>+'31.'!I204+'1'!I204+'2'!I204+'3'!I204</f>
        <v>0</v>
      </c>
      <c r="J204" s="43">
        <f t="shared" si="18"/>
        <v>0</v>
      </c>
      <c r="K204" s="44">
        <f>+'31.'!K204+'1'!K204+'2'!K204+'3'!K204</f>
        <v>0</v>
      </c>
      <c r="L204" s="20">
        <v>10</v>
      </c>
      <c r="M204" s="44">
        <f>+'31.'!M204+'1'!M204+'2'!M204+'3'!M204</f>
        <v>0</v>
      </c>
      <c r="N204" s="19"/>
      <c r="O204" s="92"/>
      <c r="P204" s="79">
        <f t="shared" si="14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46">
        <f>+ยกมา!J205</f>
        <v>0</v>
      </c>
      <c r="F205" s="44">
        <f>+'31.'!F205+'1'!F205+'2'!F205+'3'!F205</f>
        <v>0</v>
      </c>
      <c r="G205" s="43">
        <f t="shared" si="17"/>
        <v>0</v>
      </c>
      <c r="H205" s="78">
        <f>+'31.'!H205+'1'!H205+'2'!H205+'3'!H205</f>
        <v>0</v>
      </c>
      <c r="I205" s="76">
        <f>+'31.'!I205+'1'!I205+'2'!I205+'3'!I205</f>
        <v>0</v>
      </c>
      <c r="J205" s="43">
        <f t="shared" si="18"/>
        <v>0</v>
      </c>
      <c r="K205" s="44">
        <f>+'31.'!K205+'1'!K205+'2'!K205+'3'!K205</f>
        <v>0</v>
      </c>
      <c r="L205" s="20">
        <v>10</v>
      </c>
      <c r="M205" s="44">
        <f>+'31.'!M205+'1'!M205+'2'!M205+'3'!M205</f>
        <v>0</v>
      </c>
      <c r="N205" s="19"/>
      <c r="O205" s="92"/>
      <c r="P205" s="79">
        <f t="shared" si="14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46">
        <f>+ยกมา!J206</f>
        <v>0</v>
      </c>
      <c r="F206" s="44">
        <f>+'31.'!F206+'1'!F206+'2'!F206+'3'!F206</f>
        <v>0</v>
      </c>
      <c r="G206" s="43">
        <f t="shared" si="17"/>
        <v>0</v>
      </c>
      <c r="H206" s="78">
        <f>+'31.'!H206+'1'!H206+'2'!H206+'3'!H206</f>
        <v>0</v>
      </c>
      <c r="I206" s="76">
        <f>+'31.'!I206+'1'!I206+'2'!I206+'3'!I206</f>
        <v>0</v>
      </c>
      <c r="J206" s="43">
        <f t="shared" si="18"/>
        <v>0</v>
      </c>
      <c r="K206" s="44">
        <f>+'31.'!K206+'1'!K206+'2'!K206+'3'!K206</f>
        <v>0</v>
      </c>
      <c r="L206" s="20">
        <v>20</v>
      </c>
      <c r="M206" s="44">
        <f>+'31.'!M206+'1'!M206+'2'!M206+'3'!M206</f>
        <v>0</v>
      </c>
      <c r="N206" s="19"/>
      <c r="O206" s="92"/>
      <c r="P206" s="79">
        <f t="shared" si="14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65">
      <c r="A207" s="10">
        <v>203</v>
      </c>
      <c r="B207" s="10"/>
      <c r="C207" s="19" t="s">
        <v>283</v>
      </c>
      <c r="D207" s="10" t="s">
        <v>441</v>
      </c>
      <c r="E207" s="46">
        <f>+ยกมา!J207</f>
        <v>0</v>
      </c>
      <c r="F207" s="44">
        <f>+'31.'!F207+'1'!F207+'2'!F207+'3'!F207</f>
        <v>0</v>
      </c>
      <c r="G207" s="43">
        <f t="shared" si="17"/>
        <v>0</v>
      </c>
      <c r="H207" s="78">
        <f>+'31.'!H207+'1'!H207+'2'!H207+'3'!H207</f>
        <v>0</v>
      </c>
      <c r="I207" s="76">
        <f>+'31.'!I207+'1'!I207+'2'!I207+'3'!I207</f>
        <v>0</v>
      </c>
      <c r="J207" s="43">
        <f t="shared" si="18"/>
        <v>0</v>
      </c>
      <c r="K207" s="44">
        <f>+'31.'!K207+'1'!K207+'2'!K207+'3'!K207</f>
        <v>0</v>
      </c>
      <c r="L207" s="20">
        <v>800</v>
      </c>
      <c r="M207" s="44">
        <f>+'31.'!M207+'1'!M207+'2'!M207+'3'!M207</f>
        <v>0</v>
      </c>
      <c r="N207" s="19"/>
      <c r="O207" s="92"/>
      <c r="P207" s="79">
        <f t="shared" si="14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46">
        <f>+ยกมา!J208</f>
        <v>0</v>
      </c>
      <c r="F208" s="44">
        <f>+'31.'!F208+'1'!F208+'2'!F208+'3'!F208</f>
        <v>0</v>
      </c>
      <c r="G208" s="43">
        <f t="shared" si="17"/>
        <v>0</v>
      </c>
      <c r="H208" s="78">
        <f>+'31.'!H208+'1'!H208+'2'!H208+'3'!H208</f>
        <v>0</v>
      </c>
      <c r="I208" s="76">
        <f>+'31.'!I208+'1'!I208+'2'!I208+'3'!I208</f>
        <v>0</v>
      </c>
      <c r="J208" s="43">
        <f t="shared" si="18"/>
        <v>0</v>
      </c>
      <c r="K208" s="44">
        <f>+'31.'!K208+'1'!K208+'2'!K208+'3'!K208</f>
        <v>0</v>
      </c>
      <c r="L208" s="20">
        <v>150</v>
      </c>
      <c r="M208" s="44">
        <f>+'31.'!M208+'1'!M208+'2'!M208+'3'!M208</f>
        <v>0</v>
      </c>
      <c r="N208" s="19"/>
      <c r="O208" s="92"/>
      <c r="P208" s="79">
        <f t="shared" si="14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9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46">
        <f>+ยกมา!J209</f>
        <v>0</v>
      </c>
      <c r="F209" s="44">
        <f>+'31.'!F209+'1'!F209+'2'!F209+'3'!F209</f>
        <v>0</v>
      </c>
      <c r="G209" s="43">
        <f t="shared" si="17"/>
        <v>0</v>
      </c>
      <c r="H209" s="78">
        <f>+'31.'!H209+'1'!H209+'2'!H209+'3'!H209</f>
        <v>0</v>
      </c>
      <c r="I209" s="76">
        <f>+'31.'!I209+'1'!I209+'2'!I209+'3'!I209</f>
        <v>0</v>
      </c>
      <c r="J209" s="43">
        <f t="shared" si="18"/>
        <v>0</v>
      </c>
      <c r="K209" s="44">
        <f>+'31.'!K209+'1'!K209+'2'!K209+'3'!K209</f>
        <v>0</v>
      </c>
      <c r="L209" s="20">
        <v>200</v>
      </c>
      <c r="M209" s="44">
        <f>+'31.'!M209+'1'!M209+'2'!M209+'3'!M209</f>
        <v>0</v>
      </c>
      <c r="N209" s="19"/>
      <c r="O209" s="92"/>
      <c r="P209" s="79">
        <f t="shared" si="14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9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46">
        <f>+ยกมา!J210</f>
        <v>0</v>
      </c>
      <c r="F210" s="44">
        <f>+'31.'!F210+'1'!F210+'2'!F210+'3'!F210</f>
        <v>0</v>
      </c>
      <c r="G210" s="43">
        <f t="shared" si="17"/>
        <v>0</v>
      </c>
      <c r="H210" s="78">
        <f>+'31.'!H210+'1'!H210+'2'!H210+'3'!H210</f>
        <v>0</v>
      </c>
      <c r="I210" s="76">
        <f>+'31.'!I210+'1'!I210+'2'!I210+'3'!I210</f>
        <v>0</v>
      </c>
      <c r="J210" s="43">
        <f t="shared" si="18"/>
        <v>0</v>
      </c>
      <c r="K210" s="44">
        <f>+'31.'!K210+'1'!K210+'2'!K210+'3'!K210</f>
        <v>0</v>
      </c>
      <c r="L210" s="20">
        <v>250</v>
      </c>
      <c r="M210" s="44">
        <f>+'31.'!M210+'1'!M210+'2'!M210+'3'!M210</f>
        <v>0</v>
      </c>
      <c r="N210" s="19"/>
      <c r="O210" s="92"/>
      <c r="P210" s="79">
        <f t="shared" si="14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9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46">
        <f>+ยกมา!J211</f>
        <v>0</v>
      </c>
      <c r="F211" s="44">
        <f>+'31.'!F211+'1'!F211+'2'!F211+'3'!F211</f>
        <v>0</v>
      </c>
      <c r="G211" s="43">
        <f t="shared" si="17"/>
        <v>0</v>
      </c>
      <c r="H211" s="78">
        <f>+'31.'!H211+'1'!H211+'2'!H211+'3'!H211</f>
        <v>0</v>
      </c>
      <c r="I211" s="76">
        <f>+'31.'!I211+'1'!I211+'2'!I211+'3'!I211</f>
        <v>0</v>
      </c>
      <c r="J211" s="43">
        <f t="shared" si="18"/>
        <v>0</v>
      </c>
      <c r="K211" s="44">
        <f>+'31.'!K211+'1'!K211+'2'!K211+'3'!K211</f>
        <v>0</v>
      </c>
      <c r="L211" s="20">
        <v>50</v>
      </c>
      <c r="M211" s="44">
        <f>+'31.'!M211+'1'!M211+'2'!M211+'3'!M211</f>
        <v>0</v>
      </c>
      <c r="N211" s="19"/>
      <c r="O211" s="92"/>
      <c r="P211" s="79">
        <f t="shared" si="14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9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46">
        <f>+ยกมา!J212</f>
        <v>0</v>
      </c>
      <c r="F212" s="44">
        <f>+'31.'!F212+'1'!F212+'2'!F212+'3'!F212</f>
        <v>0</v>
      </c>
      <c r="G212" s="43">
        <f t="shared" si="17"/>
        <v>0</v>
      </c>
      <c r="H212" s="78">
        <f>+'31.'!H212+'1'!H212+'2'!H212+'3'!H212</f>
        <v>0</v>
      </c>
      <c r="I212" s="76">
        <f>+'31.'!I212+'1'!I212+'2'!I212+'3'!I212</f>
        <v>0</v>
      </c>
      <c r="J212" s="43">
        <f t="shared" si="18"/>
        <v>0</v>
      </c>
      <c r="K212" s="44">
        <f>+'31.'!K212+'1'!K212+'2'!K212+'3'!K212</f>
        <v>0</v>
      </c>
      <c r="L212" s="20">
        <v>0</v>
      </c>
      <c r="M212" s="44">
        <f>+'31.'!M212+'1'!M212+'2'!M212+'3'!M212</f>
        <v>0</v>
      </c>
      <c r="N212" s="19"/>
      <c r="O212" s="92"/>
      <c r="P212" s="79">
        <f t="shared" si="14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9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46">
        <f>+ยกมา!J213</f>
        <v>0</v>
      </c>
      <c r="F213" s="44">
        <f>+'31.'!F213+'1'!F213+'2'!F213+'3'!F213</f>
        <v>0</v>
      </c>
      <c r="G213" s="43">
        <f t="shared" si="17"/>
        <v>0</v>
      </c>
      <c r="H213" s="78">
        <f>+'31.'!H213+'1'!H213+'2'!H213+'3'!H213</f>
        <v>0</v>
      </c>
      <c r="I213" s="76">
        <f>+'31.'!I213+'1'!I213+'2'!I213+'3'!I213</f>
        <v>0</v>
      </c>
      <c r="J213" s="43">
        <f t="shared" si="18"/>
        <v>0</v>
      </c>
      <c r="K213" s="44">
        <f>+'31.'!K213+'1'!K213+'2'!K213+'3'!K213</f>
        <v>0</v>
      </c>
      <c r="L213" s="20">
        <v>45</v>
      </c>
      <c r="M213" s="44">
        <f>+'31.'!M213+'1'!M213+'2'!M213+'3'!M213</f>
        <v>0</v>
      </c>
      <c r="N213" s="19"/>
      <c r="O213" s="90"/>
      <c r="P213" s="79">
        <f t="shared" ref="P213:P239" si="19">+K213*O213</f>
        <v>0</v>
      </c>
      <c r="Q213" s="50"/>
      <c r="R213" s="57"/>
      <c r="S213" s="5"/>
      <c r="T213" s="5"/>
      <c r="U213" s="5"/>
      <c r="V213" s="5"/>
      <c r="W213" s="5"/>
      <c r="X213" s="5"/>
      <c r="Y213" s="5"/>
      <c r="AC213" s="50"/>
    </row>
    <row r="214" spans="1:29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46">
        <f>+ยกมา!J214</f>
        <v>0</v>
      </c>
      <c r="F214" s="44">
        <f>+'31.'!F214+'1'!F214+'2'!F214+'3'!F214</f>
        <v>0</v>
      </c>
      <c r="G214" s="43">
        <f t="shared" si="17"/>
        <v>0</v>
      </c>
      <c r="H214" s="78">
        <f>+'31.'!H214+'1'!H214+'2'!H214+'3'!H214</f>
        <v>0</v>
      </c>
      <c r="I214" s="76">
        <f>+'31.'!I214+'1'!I214+'2'!I214+'3'!I214</f>
        <v>0</v>
      </c>
      <c r="J214" s="43">
        <f t="shared" si="18"/>
        <v>0</v>
      </c>
      <c r="K214" s="44">
        <f>+'31.'!K214+'1'!K214+'2'!K214+'3'!K214</f>
        <v>0</v>
      </c>
      <c r="L214" s="20">
        <v>35</v>
      </c>
      <c r="M214" s="44">
        <f>+'31.'!M214+'1'!M214+'2'!M214+'3'!M214</f>
        <v>0</v>
      </c>
      <c r="N214" s="19"/>
      <c r="O214" s="90"/>
      <c r="P214" s="79">
        <f t="shared" si="19"/>
        <v>0</v>
      </c>
      <c r="AC214" s="50"/>
    </row>
    <row r="215" spans="1:29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46">
        <f>+ยกมา!J215</f>
        <v>0</v>
      </c>
      <c r="F215" s="44">
        <f>+'31.'!F215+'1'!F215+'2'!F215+'3'!F215</f>
        <v>0</v>
      </c>
      <c r="G215" s="43">
        <f t="shared" si="17"/>
        <v>0</v>
      </c>
      <c r="H215" s="78">
        <f>+'31.'!H215+'1'!H215+'2'!H215+'3'!H215</f>
        <v>0</v>
      </c>
      <c r="I215" s="76">
        <f>+'31.'!I215+'1'!I215+'2'!I215+'3'!I215</f>
        <v>0</v>
      </c>
      <c r="J215" s="43">
        <f t="shared" si="18"/>
        <v>0</v>
      </c>
      <c r="K215" s="44">
        <f>+'31.'!K215+'1'!K215+'2'!K215+'3'!K215</f>
        <v>0</v>
      </c>
      <c r="L215" s="20">
        <v>25</v>
      </c>
      <c r="M215" s="44">
        <f>+'31.'!M215+'1'!M215+'2'!M215+'3'!M215</f>
        <v>0</v>
      </c>
      <c r="N215" s="19"/>
      <c r="O215" s="90"/>
      <c r="P215" s="79">
        <f t="shared" si="19"/>
        <v>0</v>
      </c>
      <c r="AC215" s="50"/>
    </row>
    <row r="216" spans="1:29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46">
        <f>+ยกมา!J216</f>
        <v>0</v>
      </c>
      <c r="F216" s="44">
        <f>+'31.'!F216+'1'!F216+'2'!F216+'3'!F216</f>
        <v>0</v>
      </c>
      <c r="G216" s="43">
        <f t="shared" si="17"/>
        <v>0</v>
      </c>
      <c r="H216" s="78">
        <f>+'31.'!H216+'1'!H216+'2'!H216+'3'!H216</f>
        <v>0</v>
      </c>
      <c r="I216" s="76">
        <f>+'31.'!I216+'1'!I216+'2'!I216+'3'!I216</f>
        <v>0</v>
      </c>
      <c r="J216" s="43">
        <f t="shared" si="18"/>
        <v>0</v>
      </c>
      <c r="K216" s="44">
        <f>+'31.'!K216+'1'!K216+'2'!K216+'3'!K216</f>
        <v>0</v>
      </c>
      <c r="L216" s="20">
        <v>50</v>
      </c>
      <c r="M216" s="44">
        <f>+'31.'!M216+'1'!M216+'2'!M216+'3'!M216</f>
        <v>0</v>
      </c>
      <c r="N216" s="19"/>
      <c r="O216" s="92"/>
      <c r="P216" s="79">
        <f t="shared" si="19"/>
        <v>0</v>
      </c>
      <c r="AC216" s="50"/>
    </row>
    <row r="217" spans="1:29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46">
        <f>+ยกมา!J217</f>
        <v>0</v>
      </c>
      <c r="F217" s="44">
        <f>+'31.'!F217+'1'!F217+'2'!F217+'3'!F217</f>
        <v>0</v>
      </c>
      <c r="G217" s="43">
        <f t="shared" si="17"/>
        <v>0</v>
      </c>
      <c r="H217" s="78">
        <f>+'31.'!H217+'1'!H217+'2'!H217+'3'!H217</f>
        <v>0</v>
      </c>
      <c r="I217" s="76">
        <f>+'31.'!I217+'1'!I217+'2'!I217+'3'!I217</f>
        <v>0</v>
      </c>
      <c r="J217" s="43">
        <f t="shared" si="18"/>
        <v>0</v>
      </c>
      <c r="K217" s="44">
        <f>+'31.'!K217+'1'!K217+'2'!K217+'3'!K217</f>
        <v>0</v>
      </c>
      <c r="L217" s="20">
        <v>60</v>
      </c>
      <c r="M217" s="44">
        <f>+'31.'!M217+'1'!M217+'2'!M217+'3'!M217</f>
        <v>0</v>
      </c>
      <c r="N217" s="19"/>
      <c r="O217" s="92"/>
      <c r="P217" s="79">
        <f t="shared" si="19"/>
        <v>0</v>
      </c>
      <c r="AC217" s="50"/>
    </row>
    <row r="218" spans="1:29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46">
        <f>+ยกมา!J218</f>
        <v>0</v>
      </c>
      <c r="F218" s="44">
        <f>+'31.'!F218+'1'!F218+'2'!F218+'3'!F218</f>
        <v>0</v>
      </c>
      <c r="G218" s="43">
        <f t="shared" si="17"/>
        <v>0</v>
      </c>
      <c r="H218" s="78">
        <f>+'31.'!H218+'1'!H218+'2'!H218+'3'!H218</f>
        <v>0</v>
      </c>
      <c r="I218" s="76">
        <f>+'31.'!I218+'1'!I218+'2'!I218+'3'!I218</f>
        <v>0</v>
      </c>
      <c r="J218" s="43">
        <f t="shared" si="18"/>
        <v>0</v>
      </c>
      <c r="K218" s="44">
        <f>+'31.'!K218+'1'!K218+'2'!K218+'3'!K218</f>
        <v>0</v>
      </c>
      <c r="L218" s="20">
        <v>250</v>
      </c>
      <c r="M218" s="44">
        <f>+'31.'!M218+'1'!M218+'2'!M218+'3'!M218</f>
        <v>0</v>
      </c>
      <c r="N218" s="19"/>
      <c r="O218" s="92"/>
      <c r="P218" s="79">
        <f t="shared" si="19"/>
        <v>0</v>
      </c>
      <c r="AC218" s="50"/>
    </row>
    <row r="219" spans="1:29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46">
        <f>+ยกมา!J219</f>
        <v>0</v>
      </c>
      <c r="F219" s="44">
        <f>+'31.'!F219+'1'!F219+'2'!F219+'3'!F219</f>
        <v>0</v>
      </c>
      <c r="G219" s="43">
        <f t="shared" si="17"/>
        <v>0</v>
      </c>
      <c r="H219" s="78">
        <f>+'31.'!H219+'1'!H219+'2'!H219+'3'!H219</f>
        <v>0</v>
      </c>
      <c r="I219" s="76">
        <f>+'31.'!I219+'1'!I219+'2'!I219+'3'!I219</f>
        <v>0</v>
      </c>
      <c r="J219" s="43">
        <f t="shared" si="18"/>
        <v>0</v>
      </c>
      <c r="K219" s="44">
        <f>+'31.'!K219+'1'!K219+'2'!K219+'3'!K219</f>
        <v>0</v>
      </c>
      <c r="L219" s="20">
        <v>100</v>
      </c>
      <c r="M219" s="44">
        <f>+'31.'!M219+'1'!M219+'2'!M219+'3'!M219</f>
        <v>0</v>
      </c>
      <c r="N219" s="19"/>
      <c r="O219" s="92"/>
      <c r="P219" s="79">
        <f t="shared" si="19"/>
        <v>0</v>
      </c>
    </row>
    <row r="220" spans="1:29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46">
        <f>+ยกมา!J220</f>
        <v>0</v>
      </c>
      <c r="F220" s="44">
        <f>+'31.'!F220+'1'!F220+'2'!F220+'3'!F220</f>
        <v>0</v>
      </c>
      <c r="G220" s="43">
        <f t="shared" si="17"/>
        <v>0</v>
      </c>
      <c r="H220" s="78">
        <f>+'31.'!H220+'1'!H220+'2'!H220+'3'!H220</f>
        <v>0</v>
      </c>
      <c r="I220" s="76">
        <f>+'31.'!I220+'1'!I220+'2'!I220+'3'!I220</f>
        <v>0</v>
      </c>
      <c r="J220" s="43">
        <f t="shared" si="18"/>
        <v>0</v>
      </c>
      <c r="K220" s="44">
        <f>+'31.'!K220+'1'!K220+'2'!K220+'3'!K220</f>
        <v>0</v>
      </c>
      <c r="L220" s="20">
        <v>350</v>
      </c>
      <c r="M220" s="44">
        <f>+'31.'!M220+'1'!M220+'2'!M220+'3'!M220</f>
        <v>0</v>
      </c>
      <c r="N220" s="19"/>
      <c r="O220" s="92"/>
      <c r="P220" s="79">
        <f t="shared" si="19"/>
        <v>0</v>
      </c>
    </row>
    <row r="221" spans="1:29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46">
        <f>+ยกมา!J221</f>
        <v>0</v>
      </c>
      <c r="F221" s="44">
        <f>+'31.'!F221+'1'!F221+'2'!F221+'3'!F221</f>
        <v>0</v>
      </c>
      <c r="G221" s="43">
        <f t="shared" si="17"/>
        <v>0</v>
      </c>
      <c r="H221" s="78">
        <f>+'31.'!H221+'1'!H221+'2'!H221+'3'!H221</f>
        <v>0</v>
      </c>
      <c r="I221" s="76">
        <f>+'31.'!I221+'1'!I221+'2'!I221+'3'!I221</f>
        <v>0</v>
      </c>
      <c r="J221" s="43">
        <f t="shared" si="18"/>
        <v>0</v>
      </c>
      <c r="K221" s="44">
        <f>+'31.'!K221+'1'!K221+'2'!K221+'3'!K221</f>
        <v>0</v>
      </c>
      <c r="L221" s="20">
        <v>60</v>
      </c>
      <c r="M221" s="44">
        <f>+'31.'!M221+'1'!M221+'2'!M221+'3'!M221</f>
        <v>0</v>
      </c>
      <c r="N221" s="19"/>
      <c r="O221" s="92"/>
      <c r="P221" s="79">
        <f t="shared" si="19"/>
        <v>0</v>
      </c>
    </row>
    <row r="222" spans="1:29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46">
        <f>+ยกมา!J222</f>
        <v>0</v>
      </c>
      <c r="F222" s="44">
        <f>+'31.'!F222+'1'!F222+'2'!F222+'3'!F222</f>
        <v>0</v>
      </c>
      <c r="G222" s="43">
        <f t="shared" si="17"/>
        <v>0</v>
      </c>
      <c r="H222" s="78">
        <f>+'31.'!H222+'1'!H222+'2'!H222+'3'!H222</f>
        <v>0</v>
      </c>
      <c r="I222" s="76">
        <f>+'31.'!I222+'1'!I222+'2'!I222+'3'!I222</f>
        <v>0</v>
      </c>
      <c r="J222" s="43">
        <f t="shared" si="18"/>
        <v>0</v>
      </c>
      <c r="K222" s="44">
        <f>+'31.'!K222+'1'!K222+'2'!K222+'3'!K222</f>
        <v>0</v>
      </c>
      <c r="L222" s="20">
        <v>50</v>
      </c>
      <c r="M222" s="44">
        <f>+'31.'!M222+'1'!M222+'2'!M222+'3'!M222</f>
        <v>0</v>
      </c>
      <c r="N222" s="19"/>
      <c r="O222" s="92"/>
      <c r="P222" s="79">
        <f t="shared" si="19"/>
        <v>0</v>
      </c>
    </row>
    <row r="223" spans="1:29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46">
        <f>+ยกมา!J223</f>
        <v>0</v>
      </c>
      <c r="F223" s="44">
        <f>+'31.'!F223+'1'!F223+'2'!F223+'3'!F223</f>
        <v>0</v>
      </c>
      <c r="G223" s="43">
        <f t="shared" si="17"/>
        <v>0</v>
      </c>
      <c r="H223" s="78">
        <f>+'31.'!H223+'1'!H223+'2'!H223+'3'!H223</f>
        <v>0</v>
      </c>
      <c r="I223" s="76">
        <f>+'31.'!I223+'1'!I223+'2'!I223+'3'!I223</f>
        <v>0</v>
      </c>
      <c r="J223" s="43">
        <f t="shared" si="18"/>
        <v>0</v>
      </c>
      <c r="K223" s="44">
        <f>+'31.'!K223+'1'!K223+'2'!K223+'3'!K223</f>
        <v>0</v>
      </c>
      <c r="L223" s="20">
        <v>100</v>
      </c>
      <c r="M223" s="44">
        <f>+'31.'!M223+'1'!M223+'2'!M223+'3'!M223</f>
        <v>0</v>
      </c>
      <c r="N223" s="19"/>
      <c r="O223" s="92"/>
      <c r="P223" s="79">
        <f t="shared" si="19"/>
        <v>0</v>
      </c>
    </row>
    <row r="224" spans="1:29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46">
        <f>+ยกมา!J224</f>
        <v>0</v>
      </c>
      <c r="F224" s="44">
        <f>+'31.'!F224+'1'!F224+'2'!F224+'3'!F224</f>
        <v>0</v>
      </c>
      <c r="G224" s="43">
        <f t="shared" si="17"/>
        <v>0</v>
      </c>
      <c r="H224" s="78">
        <f>+'31.'!H224+'1'!H224+'2'!H224+'3'!H224</f>
        <v>0</v>
      </c>
      <c r="I224" s="76">
        <f>+'31.'!I224+'1'!I224+'2'!I224+'3'!I224</f>
        <v>0</v>
      </c>
      <c r="J224" s="43">
        <f t="shared" si="18"/>
        <v>0</v>
      </c>
      <c r="K224" s="44">
        <f>+'31.'!K224+'1'!K224+'2'!K224+'3'!K224</f>
        <v>0</v>
      </c>
      <c r="L224" s="20">
        <v>120</v>
      </c>
      <c r="M224" s="44">
        <f>+'31.'!M224+'1'!M224+'2'!M224+'3'!M224</f>
        <v>0</v>
      </c>
      <c r="N224" s="19"/>
      <c r="O224" s="92"/>
      <c r="P224" s="79">
        <f t="shared" si="19"/>
        <v>0</v>
      </c>
    </row>
    <row r="225" spans="1:29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46">
        <f>+ยกมา!J225</f>
        <v>0</v>
      </c>
      <c r="F225" s="44">
        <f>+'31.'!F225+'1'!F225+'2'!F225+'3'!F225</f>
        <v>0</v>
      </c>
      <c r="G225" s="43">
        <f t="shared" si="17"/>
        <v>0</v>
      </c>
      <c r="H225" s="78">
        <f>+'31.'!H225+'1'!H225+'2'!H225+'3'!H225</f>
        <v>0</v>
      </c>
      <c r="I225" s="76">
        <f>+'31.'!I225+'1'!I225+'2'!I225+'3'!I225</f>
        <v>0</v>
      </c>
      <c r="J225" s="43">
        <f t="shared" si="18"/>
        <v>0</v>
      </c>
      <c r="K225" s="44">
        <f>+'31.'!K225+'1'!K225+'2'!K225+'3'!K225</f>
        <v>0</v>
      </c>
      <c r="L225" s="20">
        <v>60</v>
      </c>
      <c r="M225" s="44">
        <f>+'31.'!M225+'1'!M225+'2'!M225+'3'!M225</f>
        <v>0</v>
      </c>
      <c r="N225" s="19"/>
      <c r="O225" s="92"/>
      <c r="P225" s="79">
        <f t="shared" si="19"/>
        <v>0</v>
      </c>
    </row>
    <row r="226" spans="1:29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46">
        <f>+ยกมา!J226</f>
        <v>0</v>
      </c>
      <c r="F226" s="44">
        <f>+'31.'!F226+'1'!F226+'2'!F226+'3'!F226</f>
        <v>0</v>
      </c>
      <c r="G226" s="43">
        <f t="shared" si="17"/>
        <v>0</v>
      </c>
      <c r="H226" s="78">
        <f>+'31.'!H226+'1'!H226+'2'!H226+'3'!H226</f>
        <v>0</v>
      </c>
      <c r="I226" s="76">
        <f>+'31.'!I226+'1'!I226+'2'!I226+'3'!I226</f>
        <v>0</v>
      </c>
      <c r="J226" s="43">
        <f t="shared" si="18"/>
        <v>0</v>
      </c>
      <c r="K226" s="44">
        <f>+'31.'!K226+'1'!K226+'2'!K226+'3'!K226</f>
        <v>0</v>
      </c>
      <c r="L226" s="20">
        <v>150</v>
      </c>
      <c r="M226" s="44">
        <f>+'31.'!M226+'1'!M226+'2'!M226+'3'!M226</f>
        <v>0</v>
      </c>
      <c r="N226" s="19"/>
      <c r="O226" s="92"/>
      <c r="P226" s="79">
        <f t="shared" si="19"/>
        <v>0</v>
      </c>
    </row>
    <row r="227" spans="1:29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46">
        <f>+ยกมา!J227</f>
        <v>0</v>
      </c>
      <c r="F227" s="44">
        <f>+'31.'!F227+'1'!F227+'2'!F227+'3'!F227</f>
        <v>0</v>
      </c>
      <c r="G227" s="43">
        <f t="shared" si="17"/>
        <v>0</v>
      </c>
      <c r="H227" s="78">
        <f>+'31.'!H227+'1'!H227+'2'!H227+'3'!H227</f>
        <v>0</v>
      </c>
      <c r="I227" s="76">
        <f>+'31.'!I227+'1'!I227+'2'!I227+'3'!I227</f>
        <v>0</v>
      </c>
      <c r="J227" s="43">
        <f t="shared" si="18"/>
        <v>0</v>
      </c>
      <c r="K227" s="44">
        <f>+'31.'!K227+'1'!K227+'2'!K227+'3'!K227</f>
        <v>0</v>
      </c>
      <c r="L227" s="20">
        <v>150</v>
      </c>
      <c r="M227" s="44">
        <f>+'31.'!M227+'1'!M227+'2'!M227+'3'!M227</f>
        <v>0</v>
      </c>
      <c r="N227" s="19"/>
      <c r="O227" s="92"/>
      <c r="P227" s="79">
        <f t="shared" si="19"/>
        <v>0</v>
      </c>
    </row>
    <row r="228" spans="1:2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46">
        <f>+ยกมา!J228</f>
        <v>0</v>
      </c>
      <c r="F228" s="44">
        <f>+'31.'!F228+'1'!F228+'2'!F228+'3'!F228</f>
        <v>0</v>
      </c>
      <c r="G228" s="43">
        <f t="shared" si="17"/>
        <v>0</v>
      </c>
      <c r="H228" s="78">
        <f>+'31.'!H228+'1'!H228+'2'!H228+'3'!H228</f>
        <v>0</v>
      </c>
      <c r="I228" s="76">
        <f>+'31.'!I228+'1'!I228+'2'!I228+'3'!I228</f>
        <v>0</v>
      </c>
      <c r="J228" s="43">
        <f t="shared" si="18"/>
        <v>0</v>
      </c>
      <c r="K228" s="44">
        <f>+'31.'!K228+'1'!K228+'2'!K228+'3'!K228</f>
        <v>0</v>
      </c>
      <c r="L228" s="20">
        <v>200</v>
      </c>
      <c r="M228" s="44">
        <f>+'31.'!M228+'1'!M228+'2'!M228+'3'!M228</f>
        <v>0</v>
      </c>
      <c r="N228" s="19"/>
      <c r="O228" s="92"/>
      <c r="P228" s="79">
        <f t="shared" si="19"/>
        <v>0</v>
      </c>
    </row>
    <row r="229" spans="1:29" ht="24" customHeight="1" x14ac:dyDescent="0.65">
      <c r="A229" s="10">
        <v>225</v>
      </c>
      <c r="B229" s="10"/>
      <c r="C229" s="19" t="s">
        <v>271</v>
      </c>
      <c r="D229" s="10"/>
      <c r="E229" s="46">
        <f>+ยกมา!J229</f>
        <v>0</v>
      </c>
      <c r="F229" s="44">
        <f>+'31.'!F229+'1'!F229+'2'!F229+'3'!F229</f>
        <v>0</v>
      </c>
      <c r="G229" s="43">
        <f t="shared" si="17"/>
        <v>0</v>
      </c>
      <c r="H229" s="78">
        <f>+'31.'!H229+'1'!H229+'2'!H229+'3'!H229</f>
        <v>0</v>
      </c>
      <c r="I229" s="76">
        <f>+'31.'!I229+'1'!I229+'2'!I229+'3'!I229</f>
        <v>0</v>
      </c>
      <c r="J229" s="43">
        <f t="shared" si="18"/>
        <v>0</v>
      </c>
      <c r="K229" s="44">
        <f>+'31.'!K229+'1'!K229+'2'!K229+'3'!K229</f>
        <v>0</v>
      </c>
      <c r="L229" s="20"/>
      <c r="M229" s="44">
        <f>+'31.'!M229+'1'!M229+'2'!M229+'3'!M229</f>
        <v>0</v>
      </c>
      <c r="N229" s="19"/>
      <c r="O229" s="92"/>
      <c r="P229" s="79">
        <f t="shared" ref="P229:P236" si="20">+K229*O229</f>
        <v>0</v>
      </c>
    </row>
    <row r="230" spans="1:2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46">
        <f>+ยกมา!J230</f>
        <v>0</v>
      </c>
      <c r="F230" s="44">
        <f>+'31.'!F230+'1'!F230+'2'!F230+'3'!F230</f>
        <v>31</v>
      </c>
      <c r="G230" s="43">
        <f t="shared" si="17"/>
        <v>31</v>
      </c>
      <c r="H230" s="78">
        <f>+'31.'!H230+'1'!H230+'2'!H230+'3'!H230</f>
        <v>0</v>
      </c>
      <c r="I230" s="76">
        <f>+'31.'!I230+'1'!I230+'2'!I230+'3'!I230</f>
        <v>0</v>
      </c>
      <c r="J230" s="43">
        <f t="shared" si="18"/>
        <v>11</v>
      </c>
      <c r="K230" s="44">
        <f>+'31.'!K230+'1'!K230+'2'!K230+'3'!K230</f>
        <v>20</v>
      </c>
      <c r="L230" s="20">
        <v>35</v>
      </c>
      <c r="M230" s="44">
        <f>+'31.'!M230+'1'!M230+'2'!M230+'3'!M230</f>
        <v>700</v>
      </c>
      <c r="N230" s="19"/>
      <c r="O230" s="92"/>
      <c r="P230" s="79">
        <f t="shared" si="20"/>
        <v>0</v>
      </c>
    </row>
    <row r="231" spans="1:29" ht="24" customHeight="1" x14ac:dyDescent="0.65">
      <c r="A231" s="10">
        <v>227</v>
      </c>
      <c r="B231" s="10"/>
      <c r="C231" s="19" t="s">
        <v>1398</v>
      </c>
      <c r="D231" s="10" t="s">
        <v>566</v>
      </c>
      <c r="E231" s="46">
        <f>+ยกมา!J231</f>
        <v>0</v>
      </c>
      <c r="F231" s="44">
        <f>+'31.'!F231+'1'!F231+'2'!F231+'3'!F231</f>
        <v>9</v>
      </c>
      <c r="G231" s="43">
        <f t="shared" si="17"/>
        <v>9</v>
      </c>
      <c r="H231" s="78">
        <f>+'31.'!H231+'1'!H231+'2'!H231+'3'!H231</f>
        <v>0</v>
      </c>
      <c r="I231" s="76">
        <f>+'31.'!I231+'1'!I231+'2'!I231+'3'!I231</f>
        <v>0</v>
      </c>
      <c r="J231" s="43">
        <f t="shared" si="18"/>
        <v>4</v>
      </c>
      <c r="K231" s="44">
        <f>+'31.'!K231+'1'!K231+'2'!K231+'3'!K231</f>
        <v>5</v>
      </c>
      <c r="L231" s="20">
        <v>25</v>
      </c>
      <c r="M231" s="44">
        <f>+'31.'!M231+'1'!M231+'2'!M231+'3'!M231</f>
        <v>125</v>
      </c>
      <c r="N231" s="19"/>
      <c r="O231" s="92"/>
      <c r="P231" s="79">
        <f t="shared" si="20"/>
        <v>0</v>
      </c>
    </row>
    <row r="232" spans="1:29" ht="24" customHeight="1" x14ac:dyDescent="0.65">
      <c r="A232" s="10">
        <v>228</v>
      </c>
      <c r="B232" s="10"/>
      <c r="C232" s="19" t="s">
        <v>312</v>
      </c>
      <c r="D232" s="10" t="s">
        <v>434</v>
      </c>
      <c r="E232" s="46">
        <f>+ยกมา!J232</f>
        <v>0</v>
      </c>
      <c r="F232" s="44">
        <f>+'31.'!F232+'1'!F232+'2'!F232+'3'!F232</f>
        <v>40</v>
      </c>
      <c r="G232" s="43">
        <f t="shared" si="17"/>
        <v>40</v>
      </c>
      <c r="H232" s="78">
        <f>+'31.'!H232+'1'!H232+'2'!H232+'3'!H232</f>
        <v>0</v>
      </c>
      <c r="I232" s="76">
        <f>+'31.'!I232+'1'!I232+'2'!I232+'3'!I232</f>
        <v>0</v>
      </c>
      <c r="J232" s="43">
        <f t="shared" si="18"/>
        <v>22</v>
      </c>
      <c r="K232" s="44">
        <f>+'31.'!K232+'1'!K232+'2'!K232+'3'!K232</f>
        <v>18</v>
      </c>
      <c r="L232" s="20">
        <v>35</v>
      </c>
      <c r="M232" s="44">
        <f>+'31.'!M232+'1'!M232+'2'!M232+'3'!M232</f>
        <v>630</v>
      </c>
      <c r="N232" s="19"/>
      <c r="O232" s="92"/>
      <c r="P232" s="79">
        <f t="shared" si="20"/>
        <v>0</v>
      </c>
    </row>
    <row r="233" spans="1:29" ht="24" customHeight="1" x14ac:dyDescent="0.65">
      <c r="A233" s="10">
        <v>229</v>
      </c>
      <c r="B233" s="10"/>
      <c r="C233" s="19"/>
      <c r="D233" s="10"/>
      <c r="E233" s="46">
        <f>+ยกมา!J233</f>
        <v>0</v>
      </c>
      <c r="F233" s="44">
        <f>+'31.'!F233+'1'!F233+'2'!F233+'3'!F233</f>
        <v>0</v>
      </c>
      <c r="G233" s="43">
        <f t="shared" si="17"/>
        <v>0</v>
      </c>
      <c r="H233" s="78">
        <f>+'31.'!H233+'1'!H233+'2'!H233+'3'!H233</f>
        <v>0</v>
      </c>
      <c r="I233" s="76">
        <f>+'31.'!I233+'1'!I233+'2'!I233+'3'!I233</f>
        <v>0</v>
      </c>
      <c r="J233" s="43">
        <f t="shared" si="18"/>
        <v>0</v>
      </c>
      <c r="K233" s="44">
        <f>+'31.'!K233+'1'!K233+'2'!K233+'3'!K233</f>
        <v>0</v>
      </c>
      <c r="L233" s="20"/>
      <c r="M233" s="44">
        <f>+'31.'!M233+'1'!M233+'2'!M233+'3'!M233</f>
        <v>0</v>
      </c>
      <c r="N233" s="19"/>
      <c r="O233" s="92"/>
      <c r="P233" s="79">
        <f t="shared" si="20"/>
        <v>0</v>
      </c>
    </row>
    <row r="234" spans="1:29" ht="24" customHeight="1" x14ac:dyDescent="0.65">
      <c r="A234" s="10">
        <v>230</v>
      </c>
      <c r="B234" s="10"/>
      <c r="C234" s="19"/>
      <c r="D234" s="10"/>
      <c r="E234" s="46">
        <f>+ยกมา!J234</f>
        <v>0</v>
      </c>
      <c r="F234" s="44">
        <f>+'31.'!F234+'1'!F234+'2'!F234+'3'!F234</f>
        <v>0</v>
      </c>
      <c r="G234" s="43">
        <f t="shared" si="17"/>
        <v>0</v>
      </c>
      <c r="H234" s="78">
        <f>+'31.'!H234+'1'!H234+'2'!H234+'3'!H234</f>
        <v>0</v>
      </c>
      <c r="I234" s="76">
        <f>+'31.'!I234+'1'!I234+'2'!I234+'3'!I234</f>
        <v>0</v>
      </c>
      <c r="J234" s="43">
        <f t="shared" si="18"/>
        <v>0</v>
      </c>
      <c r="K234" s="44">
        <f>+'31.'!K234+'1'!K234+'2'!K234+'3'!K234</f>
        <v>0</v>
      </c>
      <c r="L234" s="20"/>
      <c r="M234" s="44">
        <f>+'31.'!M234+'1'!M234+'2'!M234+'3'!M234</f>
        <v>0</v>
      </c>
      <c r="N234" s="19"/>
      <c r="O234" s="92"/>
      <c r="P234" s="79">
        <f t="shared" si="20"/>
        <v>0</v>
      </c>
    </row>
    <row r="235" spans="1:29" ht="24" customHeight="1" x14ac:dyDescent="0.65">
      <c r="A235" s="10">
        <v>231</v>
      </c>
      <c r="B235" s="10"/>
      <c r="C235" s="19"/>
      <c r="D235" s="10"/>
      <c r="E235" s="46">
        <f>+ยกมา!J235</f>
        <v>0</v>
      </c>
      <c r="F235" s="44">
        <f>+'31.'!F235+'1'!F235+'2'!F235+'3'!F235</f>
        <v>0</v>
      </c>
      <c r="G235" s="43">
        <f t="shared" si="17"/>
        <v>0</v>
      </c>
      <c r="H235" s="78">
        <f>+'31.'!H235+'1'!H235+'2'!H235+'3'!H235</f>
        <v>0</v>
      </c>
      <c r="I235" s="76">
        <f>+'31.'!I235+'1'!I235+'2'!I235+'3'!I235</f>
        <v>0</v>
      </c>
      <c r="J235" s="43">
        <f t="shared" si="18"/>
        <v>0</v>
      </c>
      <c r="K235" s="44">
        <f>+'31.'!K235+'1'!K235+'2'!K235+'3'!K235</f>
        <v>0</v>
      </c>
      <c r="L235" s="20"/>
      <c r="M235" s="44">
        <f>+'31.'!M235+'1'!M235+'2'!M235+'3'!M235</f>
        <v>0</v>
      </c>
      <c r="N235" s="19"/>
      <c r="O235" s="92"/>
      <c r="P235" s="79">
        <f t="shared" si="20"/>
        <v>0</v>
      </c>
    </row>
    <row r="236" spans="1:29" ht="23.4" customHeight="1" x14ac:dyDescent="0.65">
      <c r="A236" s="10">
        <v>232</v>
      </c>
      <c r="B236" s="10"/>
      <c r="C236" s="19"/>
      <c r="D236" s="10"/>
      <c r="E236" s="46">
        <f>+ยกมา!J236</f>
        <v>0</v>
      </c>
      <c r="F236" s="44">
        <f>+'31.'!F236+'1'!F236+'2'!F236+'3'!F236</f>
        <v>0</v>
      </c>
      <c r="G236" s="43">
        <f t="shared" si="17"/>
        <v>0</v>
      </c>
      <c r="H236" s="78">
        <f>+'31.'!H236+'1'!H236+'2'!H236+'3'!H236</f>
        <v>0</v>
      </c>
      <c r="I236" s="76">
        <f>+'31.'!I236+'1'!I236+'2'!I236+'3'!I236</f>
        <v>0</v>
      </c>
      <c r="J236" s="43">
        <f t="shared" si="18"/>
        <v>0</v>
      </c>
      <c r="K236" s="44">
        <f>+'31.'!K236+'1'!K236+'2'!K236+'3'!K236</f>
        <v>0</v>
      </c>
      <c r="L236" s="20"/>
      <c r="M236" s="44">
        <f>+'31.'!M236+'1'!M236+'2'!M236+'3'!M236</f>
        <v>0</v>
      </c>
      <c r="N236" s="19"/>
      <c r="O236" s="92"/>
      <c r="P236" s="79">
        <f t="shared" si="20"/>
        <v>0</v>
      </c>
    </row>
    <row r="237" spans="1:29" ht="23.4" customHeight="1" x14ac:dyDescent="0.65">
      <c r="A237" s="10">
        <v>233</v>
      </c>
      <c r="B237" s="10"/>
      <c r="C237" s="19"/>
      <c r="D237" s="10"/>
      <c r="E237" s="46">
        <f>+ยกมา!J237</f>
        <v>0</v>
      </c>
      <c r="F237" s="44">
        <f>+'31.'!F237+'1'!F237+'2'!F237+'3'!F237</f>
        <v>0</v>
      </c>
      <c r="G237" s="43">
        <f t="shared" si="17"/>
        <v>0</v>
      </c>
      <c r="H237" s="78">
        <f>+'31.'!H237+'1'!H237+'2'!H237+'3'!H237</f>
        <v>0</v>
      </c>
      <c r="I237" s="76">
        <f>+'31.'!I237+'1'!I237+'2'!I237+'3'!I237</f>
        <v>0</v>
      </c>
      <c r="J237" s="43">
        <f t="shared" si="18"/>
        <v>0</v>
      </c>
      <c r="K237" s="44">
        <f>+'31.'!K237+'1'!K237+'2'!K237+'3'!K237</f>
        <v>0</v>
      </c>
      <c r="L237" s="20"/>
      <c r="M237" s="44">
        <f>+'31.'!M237+'1'!M237+'2'!M237+'3'!M237</f>
        <v>0</v>
      </c>
      <c r="N237" s="19"/>
      <c r="O237" s="92"/>
      <c r="P237" s="79">
        <f t="shared" ref="P237:P238" si="21">+K237*O237</f>
        <v>0</v>
      </c>
    </row>
    <row r="238" spans="1:29" ht="23.4" customHeight="1" x14ac:dyDescent="0.65">
      <c r="A238" s="10">
        <v>234</v>
      </c>
      <c r="B238" s="10"/>
      <c r="C238" s="19"/>
      <c r="D238" s="10"/>
      <c r="E238" s="46">
        <f>+ยกมา!J230</f>
        <v>0</v>
      </c>
      <c r="F238" s="44">
        <f>+'31.'!F238+'1'!F238+'2'!F238+'3'!F238</f>
        <v>0</v>
      </c>
      <c r="G238" s="43">
        <f t="shared" si="17"/>
        <v>0</v>
      </c>
      <c r="H238" s="78">
        <f>+'31.'!H238+'1'!H238+'2'!H238+'3'!H238</f>
        <v>0</v>
      </c>
      <c r="I238" s="76">
        <f>+'31.'!I238+'1'!I238+'2'!I238+'3'!I238</f>
        <v>0</v>
      </c>
      <c r="J238" s="43">
        <f t="shared" si="18"/>
        <v>0</v>
      </c>
      <c r="K238" s="44">
        <f>+'31.'!K238+'1'!K238+'2'!K238+'3'!K238</f>
        <v>0</v>
      </c>
      <c r="L238" s="20"/>
      <c r="M238" s="44">
        <f>+'31.'!M238+'1'!M238+'2'!M238+'3'!M238</f>
        <v>0</v>
      </c>
      <c r="N238" s="19"/>
      <c r="O238" s="92"/>
      <c r="P238" s="79">
        <f t="shared" si="21"/>
        <v>0</v>
      </c>
    </row>
    <row r="239" spans="1:29" ht="24" customHeight="1" x14ac:dyDescent="0.65">
      <c r="A239" s="10">
        <v>235</v>
      </c>
      <c r="B239" s="10"/>
      <c r="C239" s="19"/>
      <c r="D239" s="10"/>
      <c r="E239" s="46">
        <f>+ยกมา!J239</f>
        <v>0</v>
      </c>
      <c r="F239" s="44">
        <f>+'31.'!F239+'1'!F239+'2'!F239+'3'!F239</f>
        <v>0</v>
      </c>
      <c r="G239" s="43">
        <f t="shared" si="17"/>
        <v>0</v>
      </c>
      <c r="H239" s="78">
        <f>+'31.'!H239+'1'!H239+'2'!H239+'3'!H239</f>
        <v>0</v>
      </c>
      <c r="I239" s="76">
        <f>+'31.'!I239+'1'!I239+'2'!I239+'3'!I239</f>
        <v>0</v>
      </c>
      <c r="J239" s="43">
        <f t="shared" si="18"/>
        <v>0</v>
      </c>
      <c r="K239" s="44">
        <f>+'31.'!K239+'1'!K239+'2'!K239+'3'!K239</f>
        <v>0</v>
      </c>
      <c r="L239" s="20"/>
      <c r="M239" s="44">
        <f>+'31.'!M239+'1'!M239+'2'!M239+'3'!M239</f>
        <v>0</v>
      </c>
      <c r="N239" s="19"/>
      <c r="O239" s="92"/>
      <c r="P239" s="79">
        <f t="shared" si="19"/>
        <v>0</v>
      </c>
    </row>
    <row r="240" spans="1:29" s="49" customFormat="1" ht="25.5" customHeight="1" x14ac:dyDescent="0.7">
      <c r="A240" s="124" t="s">
        <v>223</v>
      </c>
      <c r="B240" s="125"/>
      <c r="C240" s="125"/>
      <c r="D240" s="126"/>
      <c r="E240" s="130" t="s">
        <v>239</v>
      </c>
      <c r="F240" s="131"/>
      <c r="G240" s="127" t="s">
        <v>224</v>
      </c>
      <c r="H240" s="128"/>
      <c r="I240" s="129"/>
      <c r="J240" s="132" t="s">
        <v>225</v>
      </c>
      <c r="K240" s="132"/>
      <c r="L240" s="132"/>
      <c r="M240" s="56">
        <f>SUM(M5:M239)</f>
        <v>15735</v>
      </c>
      <c r="N240" s="51" t="s">
        <v>219</v>
      </c>
      <c r="O240" s="2"/>
      <c r="P240" s="2"/>
      <c r="Q240" s="2"/>
      <c r="R240" s="1"/>
      <c r="S240" s="1"/>
      <c r="T240" s="1"/>
      <c r="U240" s="1"/>
      <c r="V240" s="1"/>
      <c r="W240" s="1"/>
      <c r="X240" s="1"/>
      <c r="Y240" s="1"/>
      <c r="Z240" s="2"/>
      <c r="AA240" s="2"/>
      <c r="AB240" s="2"/>
      <c r="AC240" s="2"/>
    </row>
    <row r="241" spans="1:29" s="50" customFormat="1" ht="24.75" customHeight="1" x14ac:dyDescent="0.65">
      <c r="A241" s="133" t="s">
        <v>226</v>
      </c>
      <c r="B241" s="134"/>
      <c r="C241" s="139">
        <f>+M240</f>
        <v>15735</v>
      </c>
      <c r="D241" s="140"/>
      <c r="E241" s="52" t="s">
        <v>227</v>
      </c>
      <c r="F241" s="53">
        <f>+M240</f>
        <v>15735</v>
      </c>
      <c r="G241" s="54" t="s">
        <v>217</v>
      </c>
      <c r="H241" s="121">
        <f>SUM(U9)</f>
        <v>0</v>
      </c>
      <c r="I241" s="122"/>
      <c r="J241" s="114"/>
      <c r="K241" s="114"/>
      <c r="L241" s="114"/>
      <c r="M241" s="56"/>
      <c r="N241" s="56">
        <f>+W9</f>
        <v>10370</v>
      </c>
      <c r="O241" s="2"/>
      <c r="P241" s="2"/>
      <c r="Q241" s="2"/>
      <c r="R241" s="1"/>
      <c r="S241" s="1"/>
      <c r="T241" s="1"/>
      <c r="U241" s="1"/>
      <c r="V241" s="1"/>
      <c r="W241" s="1"/>
      <c r="X241" s="1"/>
      <c r="Y241" s="1"/>
      <c r="Z241" s="2"/>
      <c r="AA241" s="2"/>
      <c r="AB241" s="2"/>
      <c r="AC241" s="2"/>
    </row>
    <row r="242" spans="1:29" s="50" customFormat="1" ht="24.75" customHeight="1" x14ac:dyDescent="0.65">
      <c r="A242" s="133"/>
      <c r="B242" s="134"/>
      <c r="C242" s="139"/>
      <c r="D242" s="140"/>
      <c r="E242" s="52" t="s">
        <v>228</v>
      </c>
      <c r="F242" s="53">
        <f>N243</f>
        <v>1850</v>
      </c>
      <c r="G242" s="54"/>
      <c r="H242" s="121">
        <v>0</v>
      </c>
      <c r="I242" s="122"/>
      <c r="J242" s="114" t="s">
        <v>229</v>
      </c>
      <c r="K242" s="114"/>
      <c r="L242" s="114"/>
      <c r="M242" s="56">
        <f>-T9</f>
        <v>0</v>
      </c>
      <c r="N242" s="56" t="s">
        <v>228</v>
      </c>
      <c r="O242" s="2"/>
      <c r="P242" s="2"/>
      <c r="Q242" s="2"/>
      <c r="R242" s="1"/>
      <c r="S242" s="1"/>
      <c r="T242" s="1"/>
      <c r="U242" s="1"/>
      <c r="V242" s="1"/>
      <c r="W242" s="1"/>
      <c r="X242" s="1"/>
      <c r="Y242" s="1"/>
      <c r="Z242" s="2"/>
      <c r="AA242" s="2"/>
      <c r="AB242" s="2"/>
      <c r="AC242" s="2"/>
    </row>
    <row r="243" spans="1:29" s="50" customFormat="1" ht="24.75" customHeight="1" x14ac:dyDescent="0.65">
      <c r="A243" s="135" t="s">
        <v>10</v>
      </c>
      <c r="B243" s="136"/>
      <c r="C243" s="139">
        <f>+F242</f>
        <v>1850</v>
      </c>
      <c r="D243" s="140"/>
      <c r="E243" s="52"/>
      <c r="F243" s="53"/>
      <c r="G243" s="54" t="s">
        <v>230</v>
      </c>
      <c r="H243" s="121">
        <f>+V9</f>
        <v>0</v>
      </c>
      <c r="I243" s="122"/>
      <c r="J243" s="115" t="s">
        <v>231</v>
      </c>
      <c r="K243" s="116"/>
      <c r="L243" s="117"/>
      <c r="M243" s="56">
        <f>+M240-M241</f>
        <v>15735</v>
      </c>
      <c r="N243" s="58">
        <f>+S9</f>
        <v>1850</v>
      </c>
      <c r="O243" s="2"/>
      <c r="P243" s="2"/>
      <c r="Q243" s="2"/>
      <c r="R243" s="1"/>
      <c r="S243" s="1"/>
      <c r="T243" s="1"/>
      <c r="U243" s="1"/>
      <c r="V243" s="1"/>
      <c r="W243" s="1"/>
      <c r="X243" s="1"/>
      <c r="Y243" s="1"/>
      <c r="Z243" s="2"/>
      <c r="AA243" s="2"/>
      <c r="AB243" s="2"/>
      <c r="AC243" s="2"/>
    </row>
    <row r="244" spans="1:29" s="50" customFormat="1" ht="24.75" customHeight="1" x14ac:dyDescent="0.65">
      <c r="A244" s="137" t="s">
        <v>232</v>
      </c>
      <c r="B244" s="138"/>
      <c r="C244" s="139">
        <f>+C241-C243</f>
        <v>13885</v>
      </c>
      <c r="D244" s="140"/>
      <c r="E244" s="52" t="s">
        <v>232</v>
      </c>
      <c r="F244" s="53">
        <f>+F241-F242</f>
        <v>13885</v>
      </c>
      <c r="G244" s="54" t="s">
        <v>233</v>
      </c>
      <c r="H244" s="121">
        <f>SUM(H241:H243)</f>
        <v>0</v>
      </c>
      <c r="I244" s="122"/>
      <c r="J244" s="114" t="s">
        <v>206</v>
      </c>
      <c r="K244" s="114"/>
      <c r="L244" s="114"/>
      <c r="M244" s="56">
        <f>H244</f>
        <v>0</v>
      </c>
      <c r="N244" s="55"/>
      <c r="O244" s="2"/>
      <c r="P244" s="2"/>
      <c r="Q244" s="2"/>
      <c r="R244" s="1"/>
      <c r="S244" s="1"/>
      <c r="T244" s="1"/>
      <c r="U244" s="1"/>
      <c r="V244" s="1"/>
      <c r="W244" s="1"/>
      <c r="X244" s="1"/>
      <c r="Y244" s="1"/>
      <c r="Z244" s="2"/>
      <c r="AA244" s="2"/>
      <c r="AB244" s="2"/>
      <c r="AC244" s="2"/>
    </row>
    <row r="245" spans="1:29" s="50" customFormat="1" ht="24.75" customHeight="1" x14ac:dyDescent="0.65">
      <c r="A245" s="59"/>
      <c r="B245" s="59"/>
      <c r="C245" s="59"/>
      <c r="D245" s="59"/>
      <c r="E245" s="52" t="s">
        <v>234</v>
      </c>
      <c r="F245" s="53">
        <v>100000</v>
      </c>
      <c r="J245" s="118" t="s">
        <v>208</v>
      </c>
      <c r="K245" s="119"/>
      <c r="L245" s="120"/>
      <c r="M245" s="56">
        <f>M243-M244-N241-N243</f>
        <v>3515</v>
      </c>
      <c r="N245" s="55"/>
      <c r="O245" s="2"/>
      <c r="P245" s="2"/>
      <c r="Q245" s="2"/>
      <c r="R245" s="1"/>
      <c r="S245" s="1"/>
      <c r="T245" s="1"/>
      <c r="U245" s="1"/>
      <c r="V245" s="1"/>
      <c r="W245" s="1"/>
      <c r="X245" s="1"/>
      <c r="Y245" s="1"/>
      <c r="Z245" s="2"/>
      <c r="AA245" s="2"/>
      <c r="AB245" s="2"/>
      <c r="AC245" s="2"/>
    </row>
    <row r="246" spans="1:29" s="50" customFormat="1" ht="25.8" customHeight="1" x14ac:dyDescent="0.65">
      <c r="A246" s="59"/>
      <c r="B246" s="59"/>
      <c r="C246" s="59"/>
      <c r="D246" s="59"/>
      <c r="E246" s="52" t="s">
        <v>235</v>
      </c>
      <c r="F246" s="53">
        <f>F244-F245</f>
        <v>-86115</v>
      </c>
      <c r="J246" s="118" t="s">
        <v>209</v>
      </c>
      <c r="K246" s="119"/>
      <c r="L246" s="120"/>
      <c r="M246" s="56">
        <v>3515</v>
      </c>
      <c r="N246" s="55"/>
      <c r="O246" s="2"/>
      <c r="P246" s="2"/>
      <c r="Q246" s="2"/>
      <c r="R246" s="1"/>
      <c r="S246" s="1"/>
      <c r="T246" s="1"/>
      <c r="U246" s="1"/>
      <c r="V246" s="1"/>
      <c r="W246" s="1"/>
      <c r="X246" s="1"/>
      <c r="Y246" s="1"/>
      <c r="Z246" s="2"/>
      <c r="AA246" s="2"/>
      <c r="AB246" s="2"/>
      <c r="AC246" s="2"/>
    </row>
    <row r="247" spans="1:29" s="50" customFormat="1" ht="24.75" customHeight="1" x14ac:dyDescent="0.65">
      <c r="A247" s="59"/>
      <c r="B247" s="59"/>
      <c r="C247" s="59"/>
      <c r="D247" s="59"/>
      <c r="E247" s="52" t="s">
        <v>236</v>
      </c>
      <c r="F247" s="53">
        <v>0</v>
      </c>
      <c r="J247" s="118" t="s">
        <v>210</v>
      </c>
      <c r="K247" s="119"/>
      <c r="L247" s="120"/>
      <c r="M247" s="56">
        <v>0</v>
      </c>
      <c r="N247" s="55"/>
      <c r="O247" s="2"/>
      <c r="P247" s="2"/>
      <c r="Q247" s="2"/>
      <c r="R247" s="1"/>
      <c r="S247" s="1"/>
      <c r="T247" s="1"/>
      <c r="U247" s="1"/>
      <c r="V247" s="1"/>
      <c r="W247" s="1"/>
      <c r="X247" s="1"/>
      <c r="Y247" s="1"/>
      <c r="Z247" s="2"/>
      <c r="AA247" s="2"/>
      <c r="AB247" s="2"/>
      <c r="AC247" s="2"/>
    </row>
    <row r="248" spans="1:29" ht="25.8" customHeight="1" thickBot="1" x14ac:dyDescent="0.7">
      <c r="A248" s="59"/>
      <c r="B248" s="59"/>
      <c r="C248" s="59"/>
      <c r="D248" s="59"/>
      <c r="E248" s="99" t="s">
        <v>1386</v>
      </c>
      <c r="F248" s="100">
        <v>0</v>
      </c>
      <c r="J248" s="123" t="s">
        <v>211</v>
      </c>
      <c r="K248" s="123"/>
      <c r="L248" s="123"/>
      <c r="M248" s="60">
        <f>+M246-M245</f>
        <v>0</v>
      </c>
      <c r="N248" s="65"/>
    </row>
    <row r="249" spans="1:29" ht="25.8" customHeight="1" thickBot="1" x14ac:dyDescent="0.7">
      <c r="H249" s="111" t="s">
        <v>237</v>
      </c>
      <c r="I249" s="112"/>
      <c r="J249" s="112"/>
      <c r="K249" s="112"/>
      <c r="L249" s="112"/>
      <c r="M249" s="112"/>
      <c r="N249" s="113"/>
    </row>
    <row r="250" spans="1:29" x14ac:dyDescent="0.65">
      <c r="F250" s="23"/>
      <c r="P250" s="2">
        <f>3515-3273</f>
        <v>242</v>
      </c>
    </row>
  </sheetData>
  <autoFilter ref="A4:AC249" xr:uid="{C258BCB2-AD6B-4EC8-A3B2-59814A6857B7}"/>
  <mergeCells count="53">
    <mergeCell ref="AA3:AA4"/>
    <mergeCell ref="AB3:AB4"/>
    <mergeCell ref="R12:R13"/>
    <mergeCell ref="J3:J4"/>
    <mergeCell ref="K3:M3"/>
    <mergeCell ref="N3:N4"/>
    <mergeCell ref="O3:O4"/>
    <mergeCell ref="P3:P4"/>
    <mergeCell ref="A240:D240"/>
    <mergeCell ref="G240:I240"/>
    <mergeCell ref="J247:L247"/>
    <mergeCell ref="E240:F240"/>
    <mergeCell ref="J240:L240"/>
    <mergeCell ref="A241:B241"/>
    <mergeCell ref="A243:B243"/>
    <mergeCell ref="A244:B244"/>
    <mergeCell ref="C241:D241"/>
    <mergeCell ref="C242:D242"/>
    <mergeCell ref="C243:D243"/>
    <mergeCell ref="C244:D244"/>
    <mergeCell ref="A242:B242"/>
    <mergeCell ref="H249:N249"/>
    <mergeCell ref="J241:L241"/>
    <mergeCell ref="J242:L242"/>
    <mergeCell ref="J243:L243"/>
    <mergeCell ref="J244:L244"/>
    <mergeCell ref="J245:L245"/>
    <mergeCell ref="J246:L246"/>
    <mergeCell ref="H244:I244"/>
    <mergeCell ref="H241:I241"/>
    <mergeCell ref="H242:I242"/>
    <mergeCell ref="H243:I243"/>
    <mergeCell ref="J248:L24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ageMargins left="0.25" right="0.25" top="0.45" bottom="0.75" header="0.3" footer="0.3"/>
  <pageSetup paperSize="9" scale="23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26"/>
  <sheetViews>
    <sheetView zoomScale="85" zoomScaleNormal="85" workbookViewId="0">
      <pane xSplit="10" ySplit="4" topLeftCell="K5" activePane="bottomRight" state="frozen"/>
      <selection activeCell="L234" sqref="L234"/>
      <selection pane="topRight" activeCell="L234" sqref="L234"/>
      <selection pane="bottomLeft" activeCell="L234" sqref="L234"/>
      <selection pane="bottomRight" activeCell="E240" sqref="E24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2" t="s">
        <v>1397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Q2" s="89"/>
    </row>
    <row r="3" spans="1:18" s="5" customFormat="1" ht="26.4" x14ac:dyDescent="0.7">
      <c r="A3" s="150" t="s">
        <v>1</v>
      </c>
      <c r="B3" s="150" t="s">
        <v>1368</v>
      </c>
      <c r="C3" s="150" t="s">
        <v>2</v>
      </c>
      <c r="D3" s="150" t="s">
        <v>1369</v>
      </c>
      <c r="E3" s="152" t="s">
        <v>3</v>
      </c>
      <c r="F3" s="152" t="s">
        <v>4</v>
      </c>
      <c r="G3" s="152" t="s">
        <v>5</v>
      </c>
      <c r="H3" s="77" t="s">
        <v>6</v>
      </c>
      <c r="I3" s="109" t="s">
        <v>273</v>
      </c>
      <c r="J3" s="152" t="s">
        <v>7</v>
      </c>
      <c r="K3" s="153" t="s">
        <v>8</v>
      </c>
      <c r="L3" s="153"/>
      <c r="M3" s="153"/>
      <c r="N3" s="152" t="s">
        <v>9</v>
      </c>
      <c r="O3" s="160" t="s">
        <v>10</v>
      </c>
      <c r="Q3" s="154" t="s">
        <v>274</v>
      </c>
      <c r="R3" s="156" t="s">
        <v>275</v>
      </c>
    </row>
    <row r="4" spans="1:18" s="5" customFormat="1" ht="26.4" x14ac:dyDescent="0.7">
      <c r="A4" s="151"/>
      <c r="B4" s="151"/>
      <c r="C4" s="151"/>
      <c r="D4" s="151"/>
      <c r="E4" s="152"/>
      <c r="F4" s="152"/>
      <c r="G4" s="152"/>
      <c r="H4" s="77" t="s">
        <v>11</v>
      </c>
      <c r="I4" s="110"/>
      <c r="J4" s="152"/>
      <c r="K4" s="68" t="s">
        <v>12</v>
      </c>
      <c r="L4" s="69" t="s">
        <v>13</v>
      </c>
      <c r="M4" s="68" t="s">
        <v>14</v>
      </c>
      <c r="N4" s="152"/>
      <c r="O4" s="160"/>
      <c r="Q4" s="155"/>
      <c r="R4" s="15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3"/>
      <c r="F5" s="70">
        <v>0</v>
      </c>
      <c r="G5" s="46">
        <f t="shared" ref="G5" si="0">E5+F5</f>
        <v>0</v>
      </c>
      <c r="H5" s="78">
        <v>0</v>
      </c>
      <c r="I5" s="76">
        <v>0</v>
      </c>
      <c r="J5" s="46">
        <f t="shared" ref="J5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3"/>
      <c r="F6" s="70">
        <v>0</v>
      </c>
      <c r="G6" s="46">
        <f t="shared" ref="G6:G69" si="2">E6+F6</f>
        <v>0</v>
      </c>
      <c r="H6" s="78">
        <v>0</v>
      </c>
      <c r="I6" s="76">
        <v>0</v>
      </c>
      <c r="J6" s="46">
        <f t="shared" ref="J6:J69" si="3">+G6-H6-K6-I6</f>
        <v>0</v>
      </c>
      <c r="K6" s="71"/>
      <c r="L6" s="15">
        <v>100</v>
      </c>
      <c r="M6" s="64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0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3"/>
      <c r="F7" s="70">
        <v>0</v>
      </c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1"/>
      <c r="L7" s="15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3"/>
      <c r="F8" s="70">
        <v>0</v>
      </c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1"/>
      <c r="L8" s="15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3"/>
      <c r="F9" s="70">
        <v>0</v>
      </c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1"/>
      <c r="L9" s="15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3"/>
      <c r="F10" s="70">
        <v>0</v>
      </c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1"/>
      <c r="L10" s="15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3"/>
      <c r="F11" s="70">
        <v>0</v>
      </c>
      <c r="G11" s="46">
        <f t="shared" si="2"/>
        <v>0</v>
      </c>
      <c r="H11" s="78">
        <v>0</v>
      </c>
      <c r="I11" s="76">
        <v>0</v>
      </c>
      <c r="J11" s="46">
        <f t="shared" si="3"/>
        <v>0</v>
      </c>
      <c r="K11" s="71"/>
      <c r="L11" s="15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3"/>
      <c r="F12" s="70">
        <v>0</v>
      </c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1"/>
      <c r="L12" s="15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3"/>
      <c r="F13" s="70">
        <v>0</v>
      </c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1"/>
      <c r="L13" s="15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3"/>
      <c r="F14" s="70">
        <v>0</v>
      </c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1"/>
      <c r="L14" s="15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3"/>
      <c r="F15" s="70">
        <v>0</v>
      </c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1"/>
      <c r="L15" s="15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3"/>
      <c r="F16" s="70">
        <v>0</v>
      </c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1"/>
      <c r="L16" s="15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3"/>
      <c r="F17" s="70">
        <v>0</v>
      </c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1"/>
      <c r="L17" s="15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3"/>
      <c r="F18" s="70">
        <v>0</v>
      </c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1"/>
      <c r="L18" s="15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3"/>
      <c r="F19" s="70">
        <v>0</v>
      </c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1"/>
      <c r="L19" s="15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3"/>
      <c r="F20" s="70">
        <v>0</v>
      </c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1"/>
      <c r="L20" s="15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3"/>
      <c r="F21" s="70">
        <v>0</v>
      </c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1"/>
      <c r="L21" s="15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3"/>
      <c r="F22" s="70">
        <v>0</v>
      </c>
      <c r="G22" s="46">
        <f t="shared" si="2"/>
        <v>0</v>
      </c>
      <c r="H22" s="78">
        <v>0</v>
      </c>
      <c r="I22" s="76">
        <v>0</v>
      </c>
      <c r="J22" s="46">
        <f t="shared" si="3"/>
        <v>0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3"/>
      <c r="F23" s="70">
        <v>0</v>
      </c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1"/>
      <c r="L23" s="15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3"/>
      <c r="F24" s="70">
        <v>0</v>
      </c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1"/>
      <c r="L24" s="15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3"/>
      <c r="F25" s="70">
        <v>0</v>
      </c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1"/>
      <c r="L25" s="15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3"/>
      <c r="F26" s="70">
        <v>0</v>
      </c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1"/>
      <c r="L26" s="15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3"/>
      <c r="F27" s="70">
        <v>0</v>
      </c>
      <c r="G27" s="46">
        <f t="shared" si="2"/>
        <v>0</v>
      </c>
      <c r="H27" s="78">
        <v>0</v>
      </c>
      <c r="I27" s="76">
        <v>0</v>
      </c>
      <c r="J27" s="46">
        <f t="shared" si="3"/>
        <v>0</v>
      </c>
      <c r="K27" s="71"/>
      <c r="L27" s="15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3"/>
      <c r="F28" s="70">
        <v>0</v>
      </c>
      <c r="G28" s="46">
        <f t="shared" si="2"/>
        <v>0</v>
      </c>
      <c r="H28" s="78">
        <v>0</v>
      </c>
      <c r="I28" s="76">
        <v>0</v>
      </c>
      <c r="J28" s="46">
        <f t="shared" si="3"/>
        <v>0</v>
      </c>
      <c r="K28" s="71"/>
      <c r="L28" s="15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3"/>
      <c r="F29" s="70">
        <v>0</v>
      </c>
      <c r="G29" s="46">
        <f t="shared" si="2"/>
        <v>0</v>
      </c>
      <c r="H29" s="78">
        <v>0</v>
      </c>
      <c r="I29" s="76">
        <v>0</v>
      </c>
      <c r="J29" s="46">
        <f t="shared" si="3"/>
        <v>0</v>
      </c>
      <c r="K29" s="71"/>
      <c r="L29" s="15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3"/>
      <c r="F30" s="70">
        <v>0</v>
      </c>
      <c r="G30" s="46">
        <f t="shared" si="2"/>
        <v>0</v>
      </c>
      <c r="H30" s="78">
        <v>0</v>
      </c>
      <c r="I30" s="76">
        <v>0</v>
      </c>
      <c r="J30" s="46">
        <f t="shared" si="3"/>
        <v>0</v>
      </c>
      <c r="K30" s="71"/>
      <c r="L30" s="15">
        <v>100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3"/>
      <c r="F31" s="70">
        <v>0</v>
      </c>
      <c r="G31" s="46">
        <f t="shared" si="2"/>
        <v>0</v>
      </c>
      <c r="H31" s="78">
        <v>0</v>
      </c>
      <c r="I31" s="76">
        <v>0</v>
      </c>
      <c r="J31" s="46">
        <f t="shared" si="3"/>
        <v>0</v>
      </c>
      <c r="K31" s="71"/>
      <c r="L31" s="15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3"/>
      <c r="F32" s="70">
        <v>0</v>
      </c>
      <c r="G32" s="46">
        <f t="shared" si="2"/>
        <v>0</v>
      </c>
      <c r="H32" s="78">
        <v>0</v>
      </c>
      <c r="I32" s="76">
        <v>0</v>
      </c>
      <c r="J32" s="46">
        <f t="shared" si="3"/>
        <v>0</v>
      </c>
      <c r="K32" s="71"/>
      <c r="L32" s="15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3"/>
      <c r="F33" s="70">
        <v>0</v>
      </c>
      <c r="G33" s="46">
        <f t="shared" si="2"/>
        <v>0</v>
      </c>
      <c r="H33" s="78">
        <v>0</v>
      </c>
      <c r="I33" s="76">
        <v>0</v>
      </c>
      <c r="J33" s="46">
        <f t="shared" si="3"/>
        <v>0</v>
      </c>
      <c r="K33" s="71"/>
      <c r="L33" s="15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3"/>
      <c r="F34" s="70">
        <v>0</v>
      </c>
      <c r="G34" s="46">
        <f t="shared" si="2"/>
        <v>0</v>
      </c>
      <c r="H34" s="78">
        <v>0</v>
      </c>
      <c r="I34" s="76">
        <v>0</v>
      </c>
      <c r="J34" s="46">
        <f t="shared" si="3"/>
        <v>0</v>
      </c>
      <c r="K34" s="71"/>
      <c r="L34" s="15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3"/>
      <c r="F35" s="70">
        <v>0</v>
      </c>
      <c r="G35" s="46">
        <f t="shared" si="2"/>
        <v>0</v>
      </c>
      <c r="H35" s="78">
        <v>0</v>
      </c>
      <c r="I35" s="76">
        <v>0</v>
      </c>
      <c r="J35" s="46">
        <f t="shared" si="3"/>
        <v>0</v>
      </c>
      <c r="K35" s="71"/>
      <c r="L35" s="15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3"/>
      <c r="F36" s="70">
        <v>0</v>
      </c>
      <c r="G36" s="46">
        <f t="shared" si="2"/>
        <v>0</v>
      </c>
      <c r="H36" s="78">
        <v>0</v>
      </c>
      <c r="I36" s="76">
        <v>0</v>
      </c>
      <c r="J36" s="46">
        <f t="shared" si="3"/>
        <v>0</v>
      </c>
      <c r="K36" s="71"/>
      <c r="L36" s="15">
        <v>35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3"/>
      <c r="F37" s="70">
        <v>0</v>
      </c>
      <c r="G37" s="46">
        <f t="shared" si="2"/>
        <v>0</v>
      </c>
      <c r="H37" s="78">
        <v>0</v>
      </c>
      <c r="I37" s="76">
        <v>0</v>
      </c>
      <c r="J37" s="46">
        <f t="shared" si="3"/>
        <v>0</v>
      </c>
      <c r="K37" s="71"/>
      <c r="L37" s="15">
        <v>35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3"/>
      <c r="F38" s="70">
        <v>0</v>
      </c>
      <c r="G38" s="46">
        <f t="shared" si="2"/>
        <v>0</v>
      </c>
      <c r="H38" s="78">
        <v>0</v>
      </c>
      <c r="I38" s="76">
        <v>0</v>
      </c>
      <c r="J38" s="46">
        <f t="shared" si="3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3"/>
      <c r="F39" s="70">
        <v>0</v>
      </c>
      <c r="G39" s="46">
        <f t="shared" si="2"/>
        <v>0</v>
      </c>
      <c r="H39" s="78">
        <v>0</v>
      </c>
      <c r="I39" s="76">
        <v>0</v>
      </c>
      <c r="J39" s="46">
        <f t="shared" si="3"/>
        <v>0</v>
      </c>
      <c r="K39" s="71"/>
      <c r="L39" s="15">
        <v>50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3"/>
      <c r="F40" s="70">
        <v>0</v>
      </c>
      <c r="G40" s="46">
        <f t="shared" si="2"/>
        <v>0</v>
      </c>
      <c r="H40" s="78">
        <v>0</v>
      </c>
      <c r="I40" s="76">
        <v>0</v>
      </c>
      <c r="J40" s="46">
        <f t="shared" si="3"/>
        <v>0</v>
      </c>
      <c r="K40" s="71"/>
      <c r="L40" s="15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3"/>
      <c r="F41" s="70">
        <v>0</v>
      </c>
      <c r="G41" s="46">
        <f t="shared" si="2"/>
        <v>0</v>
      </c>
      <c r="H41" s="78">
        <v>0</v>
      </c>
      <c r="I41" s="76">
        <v>0</v>
      </c>
      <c r="J41" s="46">
        <f t="shared" si="3"/>
        <v>0</v>
      </c>
      <c r="K41" s="71"/>
      <c r="L41" s="15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3"/>
      <c r="F42" s="70">
        <v>0</v>
      </c>
      <c r="G42" s="46">
        <f t="shared" si="2"/>
        <v>0</v>
      </c>
      <c r="H42" s="78">
        <v>0</v>
      </c>
      <c r="I42" s="76">
        <v>0</v>
      </c>
      <c r="J42" s="46">
        <f t="shared" si="3"/>
        <v>0</v>
      </c>
      <c r="K42" s="71"/>
      <c r="L42" s="15">
        <v>25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3"/>
      <c r="F43" s="70">
        <v>0</v>
      </c>
      <c r="G43" s="46">
        <f t="shared" si="2"/>
        <v>0</v>
      </c>
      <c r="H43" s="78">
        <v>0</v>
      </c>
      <c r="I43" s="76">
        <v>0</v>
      </c>
      <c r="J43" s="46">
        <f t="shared" si="3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3"/>
      <c r="F44" s="70">
        <v>0</v>
      </c>
      <c r="G44" s="46">
        <f t="shared" si="2"/>
        <v>0</v>
      </c>
      <c r="H44" s="78">
        <v>0</v>
      </c>
      <c r="I44" s="76">
        <v>0</v>
      </c>
      <c r="J44" s="46">
        <f t="shared" si="3"/>
        <v>0</v>
      </c>
      <c r="K44" s="71"/>
      <c r="L44" s="15">
        <v>25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3"/>
      <c r="F45" s="70">
        <v>0</v>
      </c>
      <c r="G45" s="46">
        <f t="shared" si="2"/>
        <v>0</v>
      </c>
      <c r="H45" s="78">
        <v>0</v>
      </c>
      <c r="I45" s="76">
        <v>0</v>
      </c>
      <c r="J45" s="46">
        <f t="shared" si="3"/>
        <v>0</v>
      </c>
      <c r="K45" s="71"/>
      <c r="L45" s="15">
        <v>35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3"/>
      <c r="F46" s="70">
        <v>0</v>
      </c>
      <c r="G46" s="46">
        <f t="shared" si="2"/>
        <v>0</v>
      </c>
      <c r="H46" s="78">
        <v>0</v>
      </c>
      <c r="I46" s="76">
        <v>0</v>
      </c>
      <c r="J46" s="46">
        <f t="shared" si="3"/>
        <v>0</v>
      </c>
      <c r="K46" s="71"/>
      <c r="L46" s="15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3"/>
      <c r="F47" s="70">
        <v>0</v>
      </c>
      <c r="G47" s="46">
        <f t="shared" si="2"/>
        <v>0</v>
      </c>
      <c r="H47" s="78">
        <v>0</v>
      </c>
      <c r="I47" s="76">
        <v>0</v>
      </c>
      <c r="J47" s="46">
        <f t="shared" si="3"/>
        <v>0</v>
      </c>
      <c r="K47" s="71"/>
      <c r="L47" s="15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3"/>
      <c r="F48" s="70">
        <v>0</v>
      </c>
      <c r="G48" s="46">
        <f t="shared" si="2"/>
        <v>0</v>
      </c>
      <c r="H48" s="78">
        <v>0</v>
      </c>
      <c r="I48" s="76">
        <v>0</v>
      </c>
      <c r="J48" s="46">
        <f t="shared" si="3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3"/>
      <c r="F49" s="70">
        <v>0</v>
      </c>
      <c r="G49" s="46">
        <f t="shared" si="2"/>
        <v>0</v>
      </c>
      <c r="H49" s="78">
        <v>0</v>
      </c>
      <c r="I49" s="76">
        <v>0</v>
      </c>
      <c r="J49" s="46">
        <f t="shared" si="3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3"/>
      <c r="F50" s="70">
        <v>0</v>
      </c>
      <c r="G50" s="46">
        <f t="shared" si="2"/>
        <v>0</v>
      </c>
      <c r="H50" s="78">
        <v>0</v>
      </c>
      <c r="I50" s="76">
        <v>0</v>
      </c>
      <c r="J50" s="46">
        <f t="shared" si="3"/>
        <v>0</v>
      </c>
      <c r="K50" s="71"/>
      <c r="L50" s="15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3"/>
      <c r="F51" s="70">
        <v>0</v>
      </c>
      <c r="G51" s="46">
        <f t="shared" si="2"/>
        <v>0</v>
      </c>
      <c r="H51" s="78">
        <v>0</v>
      </c>
      <c r="I51" s="76">
        <v>0</v>
      </c>
      <c r="J51" s="46">
        <f t="shared" si="3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3"/>
      <c r="F52" s="70">
        <v>0</v>
      </c>
      <c r="G52" s="46">
        <f t="shared" si="2"/>
        <v>0</v>
      </c>
      <c r="H52" s="78">
        <v>0</v>
      </c>
      <c r="I52" s="76">
        <v>0</v>
      </c>
      <c r="J52" s="46">
        <f t="shared" si="3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3"/>
      <c r="F53" s="70">
        <v>0</v>
      </c>
      <c r="G53" s="46">
        <f t="shared" si="2"/>
        <v>0</v>
      </c>
      <c r="H53" s="78">
        <v>0</v>
      </c>
      <c r="I53" s="76">
        <v>0</v>
      </c>
      <c r="J53" s="46">
        <f t="shared" si="3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3"/>
      <c r="F54" s="70">
        <v>0</v>
      </c>
      <c r="G54" s="46">
        <f t="shared" si="2"/>
        <v>0</v>
      </c>
      <c r="H54" s="78">
        <v>0</v>
      </c>
      <c r="I54" s="76">
        <v>0</v>
      </c>
      <c r="J54" s="46">
        <f t="shared" si="3"/>
        <v>0</v>
      </c>
      <c r="K54" s="71"/>
      <c r="L54" s="15">
        <v>50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3"/>
      <c r="F55" s="70">
        <v>0</v>
      </c>
      <c r="G55" s="46">
        <f t="shared" si="2"/>
        <v>0</v>
      </c>
      <c r="H55" s="78">
        <v>0</v>
      </c>
      <c r="I55" s="76">
        <v>0</v>
      </c>
      <c r="J55" s="46">
        <f t="shared" si="3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3"/>
      <c r="F56" s="70">
        <v>0</v>
      </c>
      <c r="G56" s="46">
        <f t="shared" si="2"/>
        <v>0</v>
      </c>
      <c r="H56" s="78">
        <v>0</v>
      </c>
      <c r="I56" s="76">
        <v>0</v>
      </c>
      <c r="J56" s="46">
        <f t="shared" si="3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3"/>
      <c r="F57" s="70">
        <v>0</v>
      </c>
      <c r="G57" s="46">
        <f t="shared" si="2"/>
        <v>0</v>
      </c>
      <c r="H57" s="78">
        <v>0</v>
      </c>
      <c r="I57" s="76">
        <v>0</v>
      </c>
      <c r="J57" s="46">
        <f t="shared" si="3"/>
        <v>0</v>
      </c>
      <c r="K57" s="71"/>
      <c r="L57" s="15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3"/>
      <c r="F58" s="70">
        <v>0</v>
      </c>
      <c r="G58" s="46">
        <f t="shared" si="2"/>
        <v>0</v>
      </c>
      <c r="H58" s="78">
        <v>0</v>
      </c>
      <c r="I58" s="76">
        <v>0</v>
      </c>
      <c r="J58" s="46">
        <f t="shared" si="3"/>
        <v>0</v>
      </c>
      <c r="K58" s="71"/>
      <c r="L58" s="15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3"/>
      <c r="F59" s="70">
        <v>0</v>
      </c>
      <c r="G59" s="46">
        <f t="shared" si="2"/>
        <v>0</v>
      </c>
      <c r="H59" s="78">
        <v>0</v>
      </c>
      <c r="I59" s="76">
        <v>0</v>
      </c>
      <c r="J59" s="46">
        <f t="shared" si="3"/>
        <v>0</v>
      </c>
      <c r="K59" s="71"/>
      <c r="L59" s="15">
        <v>120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3"/>
      <c r="F60" s="70">
        <v>0</v>
      </c>
      <c r="G60" s="46">
        <f t="shared" si="2"/>
        <v>0</v>
      </c>
      <c r="H60" s="78">
        <v>0</v>
      </c>
      <c r="I60" s="76">
        <v>0</v>
      </c>
      <c r="J60" s="46">
        <f t="shared" si="3"/>
        <v>0</v>
      </c>
      <c r="K60" s="71"/>
      <c r="L60" s="15">
        <v>120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3"/>
      <c r="F61" s="70">
        <v>0</v>
      </c>
      <c r="G61" s="46">
        <f t="shared" si="2"/>
        <v>0</v>
      </c>
      <c r="H61" s="78">
        <v>0</v>
      </c>
      <c r="I61" s="76">
        <v>0</v>
      </c>
      <c r="J61" s="46">
        <f t="shared" si="3"/>
        <v>0</v>
      </c>
      <c r="K61" s="71"/>
      <c r="L61" s="15">
        <v>120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3"/>
      <c r="F62" s="70">
        <v>0</v>
      </c>
      <c r="G62" s="46">
        <f t="shared" si="2"/>
        <v>0</v>
      </c>
      <c r="H62" s="78">
        <v>0</v>
      </c>
      <c r="I62" s="76">
        <v>0</v>
      </c>
      <c r="J62" s="46">
        <f t="shared" si="3"/>
        <v>0</v>
      </c>
      <c r="K62" s="71"/>
      <c r="L62" s="15">
        <v>120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3"/>
      <c r="F63" s="70"/>
      <c r="G63" s="46">
        <f t="shared" si="2"/>
        <v>0</v>
      </c>
      <c r="H63" s="78">
        <v>0</v>
      </c>
      <c r="I63" s="76">
        <v>0</v>
      </c>
      <c r="J63" s="46">
        <f t="shared" si="3"/>
        <v>0</v>
      </c>
      <c r="K63" s="71"/>
      <c r="L63" s="15">
        <v>120</v>
      </c>
      <c r="M63" s="64">
        <f t="shared" si="4"/>
        <v>0</v>
      </c>
      <c r="N63" s="17"/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3"/>
      <c r="F64" s="70">
        <v>0</v>
      </c>
      <c r="G64" s="46">
        <f t="shared" si="2"/>
        <v>0</v>
      </c>
      <c r="H64" s="78">
        <v>0</v>
      </c>
      <c r="I64" s="76">
        <v>0</v>
      </c>
      <c r="J64" s="46">
        <f t="shared" si="3"/>
        <v>0</v>
      </c>
      <c r="K64" s="71"/>
      <c r="L64" s="15">
        <v>50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3"/>
      <c r="F65" s="70">
        <v>0</v>
      </c>
      <c r="G65" s="46">
        <f t="shared" si="2"/>
        <v>0</v>
      </c>
      <c r="H65" s="78">
        <v>0</v>
      </c>
      <c r="I65" s="76">
        <v>0</v>
      </c>
      <c r="J65" s="46">
        <f t="shared" si="3"/>
        <v>0</v>
      </c>
      <c r="K65" s="71"/>
      <c r="L65" s="15">
        <v>50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3"/>
      <c r="F66" s="70">
        <v>0</v>
      </c>
      <c r="G66" s="46">
        <f t="shared" si="2"/>
        <v>0</v>
      </c>
      <c r="H66" s="78">
        <v>0</v>
      </c>
      <c r="I66" s="76">
        <v>0</v>
      </c>
      <c r="J66" s="46">
        <f t="shared" si="3"/>
        <v>0</v>
      </c>
      <c r="K66" s="71"/>
      <c r="L66" s="15">
        <v>50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3"/>
      <c r="F67" s="70">
        <v>0</v>
      </c>
      <c r="G67" s="46">
        <f t="shared" si="2"/>
        <v>0</v>
      </c>
      <c r="H67" s="78">
        <v>0</v>
      </c>
      <c r="I67" s="76">
        <v>0</v>
      </c>
      <c r="J67" s="46">
        <f t="shared" si="3"/>
        <v>0</v>
      </c>
      <c r="K67" s="71"/>
      <c r="L67" s="15">
        <v>70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92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3"/>
      <c r="F68" s="70">
        <v>0</v>
      </c>
      <c r="G68" s="46">
        <f t="shared" si="2"/>
        <v>0</v>
      </c>
      <c r="H68" s="78">
        <v>0</v>
      </c>
      <c r="I68" s="76">
        <v>0</v>
      </c>
      <c r="J68" s="46">
        <f t="shared" si="3"/>
        <v>0</v>
      </c>
      <c r="K68" s="71"/>
      <c r="L68" s="15">
        <v>80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92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3"/>
      <c r="F69" s="70">
        <v>0</v>
      </c>
      <c r="G69" s="46">
        <f t="shared" si="2"/>
        <v>0</v>
      </c>
      <c r="H69" s="78">
        <v>0</v>
      </c>
      <c r="I69" s="76">
        <v>0</v>
      </c>
      <c r="J69" s="46">
        <f t="shared" si="3"/>
        <v>0</v>
      </c>
      <c r="K69" s="71"/>
      <c r="L69" s="15">
        <v>150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3"/>
      <c r="F70" s="70">
        <v>0</v>
      </c>
      <c r="G70" s="46">
        <f t="shared" ref="G70:G133" si="7">E70+F70</f>
        <v>0</v>
      </c>
      <c r="H70" s="78">
        <v>0</v>
      </c>
      <c r="I70" s="76">
        <v>0</v>
      </c>
      <c r="J70" s="46">
        <f t="shared" ref="J70:J133" si="8">+G70-H70-K70-I70</f>
        <v>0</v>
      </c>
      <c r="K70" s="71"/>
      <c r="L70" s="15">
        <v>150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3"/>
      <c r="F71" s="70">
        <v>0</v>
      </c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1"/>
      <c r="L71" s="15">
        <v>150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3"/>
      <c r="F72" s="70">
        <v>0</v>
      </c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1"/>
      <c r="L72" s="21">
        <v>50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3"/>
      <c r="F73" s="70">
        <v>0</v>
      </c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1"/>
      <c r="L73" s="21">
        <v>120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3"/>
      <c r="F74" s="70">
        <v>0</v>
      </c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1"/>
      <c r="L74" s="21">
        <v>50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3"/>
      <c r="F75" s="70">
        <v>0</v>
      </c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1"/>
      <c r="L75" s="21">
        <v>120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3"/>
      <c r="F76" s="70">
        <v>0</v>
      </c>
      <c r="G76" s="46">
        <f t="shared" si="7"/>
        <v>0</v>
      </c>
      <c r="H76" s="78">
        <v>0</v>
      </c>
      <c r="I76" s="76">
        <v>0</v>
      </c>
      <c r="J76" s="46">
        <f t="shared" si="8"/>
        <v>0</v>
      </c>
      <c r="K76" s="71"/>
      <c r="L76" s="21">
        <v>50</v>
      </c>
      <c r="M76" s="64">
        <f t="shared" si="4"/>
        <v>0</v>
      </c>
      <c r="N76" s="17" t="s">
        <v>16</v>
      </c>
      <c r="O76" s="18"/>
      <c r="P76" s="23">
        <f t="shared" si="5"/>
        <v>0</v>
      </c>
      <c r="Q76" s="90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3"/>
      <c r="F77" s="70">
        <v>0</v>
      </c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1"/>
      <c r="L77" s="15">
        <v>45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90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3"/>
      <c r="F78" s="70">
        <v>0</v>
      </c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1"/>
      <c r="L78" s="21">
        <v>35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3"/>
      <c r="F79" s="70">
        <v>0</v>
      </c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1"/>
      <c r="L79" s="15">
        <v>55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90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3"/>
      <c r="F80" s="70">
        <v>0</v>
      </c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1"/>
      <c r="L80" s="20">
        <v>55</v>
      </c>
      <c r="M80" s="64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0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3"/>
      <c r="F81" s="70">
        <v>0</v>
      </c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1"/>
      <c r="L81" s="22">
        <v>50</v>
      </c>
      <c r="M81" s="64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0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3"/>
      <c r="F82" s="70">
        <v>0</v>
      </c>
      <c r="G82" s="46">
        <f t="shared" si="7"/>
        <v>0</v>
      </c>
      <c r="H82" s="78">
        <v>0</v>
      </c>
      <c r="I82" s="76">
        <v>0</v>
      </c>
      <c r="J82" s="46">
        <f t="shared" si="8"/>
        <v>0</v>
      </c>
      <c r="K82" s="71"/>
      <c r="L82" s="22">
        <v>50</v>
      </c>
      <c r="M82" s="64">
        <f t="shared" si="12"/>
        <v>0</v>
      </c>
      <c r="N82" s="17" t="s">
        <v>16</v>
      </c>
      <c r="O82" s="18"/>
      <c r="P82" s="23">
        <f t="shared" si="13"/>
        <v>0</v>
      </c>
      <c r="Q82" s="90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3"/>
      <c r="F83" s="70">
        <v>0</v>
      </c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1"/>
      <c r="L83" s="20">
        <v>35</v>
      </c>
      <c r="M83" s="64">
        <f t="shared" si="12"/>
        <v>0</v>
      </c>
      <c r="N83" s="17" t="s">
        <v>16</v>
      </c>
      <c r="O83" s="18"/>
      <c r="P83" s="23">
        <f t="shared" si="13"/>
        <v>0</v>
      </c>
      <c r="Q83" s="90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3"/>
      <c r="F84" s="70">
        <v>0</v>
      </c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1"/>
      <c r="L84" s="20">
        <v>35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90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3"/>
      <c r="F85" s="70">
        <v>0</v>
      </c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1"/>
      <c r="L85" s="20">
        <v>45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3"/>
      <c r="F86" s="70">
        <v>0</v>
      </c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3"/>
      <c r="F87" s="70">
        <v>0</v>
      </c>
      <c r="G87" s="46">
        <f t="shared" si="7"/>
        <v>0</v>
      </c>
      <c r="H87" s="78">
        <v>0</v>
      </c>
      <c r="I87" s="76">
        <v>0</v>
      </c>
      <c r="J87" s="46">
        <f t="shared" si="8"/>
        <v>0</v>
      </c>
      <c r="K87" s="71"/>
      <c r="L87" s="20">
        <v>35</v>
      </c>
      <c r="M87" s="64">
        <f t="shared" si="12"/>
        <v>0</v>
      </c>
      <c r="N87" s="17" t="s">
        <v>16</v>
      </c>
      <c r="O87" s="18"/>
      <c r="P87" s="23">
        <f t="shared" si="13"/>
        <v>0</v>
      </c>
      <c r="Q87" s="90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3"/>
      <c r="F88" s="70">
        <v>0</v>
      </c>
      <c r="G88" s="46">
        <f t="shared" si="7"/>
        <v>0</v>
      </c>
      <c r="H88" s="78">
        <v>0</v>
      </c>
      <c r="I88" s="76">
        <v>0</v>
      </c>
      <c r="J88" s="46">
        <f t="shared" si="8"/>
        <v>0</v>
      </c>
      <c r="K88" s="71"/>
      <c r="L88" s="22">
        <v>45</v>
      </c>
      <c r="M88" s="64">
        <f t="shared" si="12"/>
        <v>0</v>
      </c>
      <c r="N88" s="17" t="s">
        <v>16</v>
      </c>
      <c r="O88" s="18"/>
      <c r="P88" s="23">
        <f t="shared" si="13"/>
        <v>0</v>
      </c>
      <c r="Q88" s="90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3"/>
      <c r="F89" s="70">
        <v>0</v>
      </c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1"/>
      <c r="L89" s="20">
        <v>45</v>
      </c>
      <c r="M89" s="64">
        <f t="shared" si="9"/>
        <v>0</v>
      </c>
      <c r="N89" s="17" t="s">
        <v>16</v>
      </c>
      <c r="O89" s="18"/>
      <c r="P89" s="23">
        <f t="shared" si="10"/>
        <v>0</v>
      </c>
      <c r="Q89" s="90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3"/>
      <c r="F90" s="70">
        <v>0</v>
      </c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1"/>
      <c r="L90" s="21">
        <v>35</v>
      </c>
      <c r="M90" s="64">
        <f t="shared" si="9"/>
        <v>0</v>
      </c>
      <c r="N90" s="17" t="s">
        <v>16</v>
      </c>
      <c r="O90" s="18"/>
      <c r="P90" s="23">
        <f t="shared" si="10"/>
        <v>0</v>
      </c>
      <c r="Q90" s="90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3"/>
      <c r="F91" s="70">
        <v>0</v>
      </c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1"/>
      <c r="L91" s="21"/>
      <c r="M91" s="64"/>
      <c r="N91" s="17" t="s">
        <v>16</v>
      </c>
      <c r="O91" s="18"/>
      <c r="P91" s="23"/>
      <c r="Q91" s="90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3"/>
      <c r="F92" s="70">
        <v>0</v>
      </c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1"/>
      <c r="L92" s="21">
        <v>120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3"/>
      <c r="F93" s="70">
        <v>0</v>
      </c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1"/>
      <c r="L93" s="20">
        <v>45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3"/>
      <c r="F94" s="70">
        <v>0</v>
      </c>
      <c r="G94" s="46">
        <f t="shared" si="7"/>
        <v>0</v>
      </c>
      <c r="H94" s="78">
        <v>0</v>
      </c>
      <c r="I94" s="76">
        <v>0</v>
      </c>
      <c r="J94" s="46">
        <f t="shared" si="8"/>
        <v>0</v>
      </c>
      <c r="K94" s="71"/>
      <c r="L94" s="20">
        <v>35</v>
      </c>
      <c r="M94" s="64">
        <f t="shared" si="9"/>
        <v>0</v>
      </c>
      <c r="N94" s="17" t="s">
        <v>16</v>
      </c>
      <c r="O94" s="18"/>
      <c r="P94" s="23">
        <f t="shared" si="10"/>
        <v>0</v>
      </c>
      <c r="Q94" s="90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3"/>
      <c r="F95" s="70">
        <v>0</v>
      </c>
      <c r="G95" s="46">
        <f t="shared" si="7"/>
        <v>0</v>
      </c>
      <c r="H95" s="78">
        <v>0</v>
      </c>
      <c r="I95" s="76">
        <v>0</v>
      </c>
      <c r="J95" s="46">
        <f t="shared" si="8"/>
        <v>0</v>
      </c>
      <c r="K95" s="71"/>
      <c r="L95" s="20">
        <v>35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90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3"/>
      <c r="F96" s="70">
        <v>0</v>
      </c>
      <c r="G96" s="46">
        <f t="shared" si="7"/>
        <v>0</v>
      </c>
      <c r="H96" s="78">
        <v>0</v>
      </c>
      <c r="I96" s="76">
        <v>0</v>
      </c>
      <c r="J96" s="46">
        <f t="shared" si="8"/>
        <v>0</v>
      </c>
      <c r="K96" s="71"/>
      <c r="L96" s="20">
        <v>35</v>
      </c>
      <c r="M96" s="64">
        <f>+L96*K96</f>
        <v>0</v>
      </c>
      <c r="N96" s="17" t="s">
        <v>16</v>
      </c>
      <c r="O96" s="18"/>
      <c r="P96" s="23">
        <f>SUM(M96-O96)</f>
        <v>0</v>
      </c>
      <c r="Q96" s="90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1387</v>
      </c>
      <c r="D97" s="10" t="s">
        <v>434</v>
      </c>
      <c r="E97" s="63"/>
      <c r="F97" s="70">
        <v>0</v>
      </c>
      <c r="G97" s="46">
        <f t="shared" si="7"/>
        <v>0</v>
      </c>
      <c r="H97" s="78">
        <v>0</v>
      </c>
      <c r="I97" s="76">
        <v>0</v>
      </c>
      <c r="J97" s="46">
        <f t="shared" si="8"/>
        <v>0</v>
      </c>
      <c r="K97" s="71"/>
      <c r="L97" s="20">
        <v>35</v>
      </c>
      <c r="M97" s="64">
        <f>+L97*K97</f>
        <v>0</v>
      </c>
      <c r="N97" s="17" t="s">
        <v>16</v>
      </c>
      <c r="O97" s="18"/>
      <c r="P97" s="23">
        <f>SUM(M97-O97)</f>
        <v>0</v>
      </c>
      <c r="Q97" s="90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1388</v>
      </c>
      <c r="D98" s="10" t="s">
        <v>434</v>
      </c>
      <c r="E98" s="63"/>
      <c r="F98" s="70">
        <v>0</v>
      </c>
      <c r="G98" s="46">
        <f t="shared" si="7"/>
        <v>0</v>
      </c>
      <c r="H98" s="78">
        <v>0</v>
      </c>
      <c r="I98" s="76">
        <v>0</v>
      </c>
      <c r="J98" s="46">
        <f t="shared" si="8"/>
        <v>0</v>
      </c>
      <c r="K98" s="71"/>
      <c r="L98" s="20">
        <v>35</v>
      </c>
      <c r="M98" s="64">
        <f>+L98*K98</f>
        <v>0</v>
      </c>
      <c r="N98" s="17" t="s">
        <v>16</v>
      </c>
      <c r="O98" s="18"/>
      <c r="P98" s="23">
        <f>SUM(M98-O98)</f>
        <v>0</v>
      </c>
      <c r="Q98" s="90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3"/>
      <c r="F99" s="70">
        <v>0</v>
      </c>
      <c r="G99" s="46">
        <f t="shared" si="7"/>
        <v>0</v>
      </c>
      <c r="H99" s="78">
        <v>0</v>
      </c>
      <c r="I99" s="76">
        <v>0</v>
      </c>
      <c r="J99" s="46">
        <f t="shared" si="8"/>
        <v>0</v>
      </c>
      <c r="K99" s="71"/>
      <c r="L99" s="20">
        <v>35</v>
      </c>
      <c r="M99" s="64">
        <f t="shared" si="9"/>
        <v>0</v>
      </c>
      <c r="N99" s="17" t="s">
        <v>16</v>
      </c>
      <c r="O99" s="18"/>
      <c r="P99" s="23">
        <f t="shared" si="10"/>
        <v>0</v>
      </c>
      <c r="Q99" s="90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3"/>
      <c r="F100" s="70">
        <v>0</v>
      </c>
      <c r="G100" s="46">
        <f t="shared" si="7"/>
        <v>0</v>
      </c>
      <c r="H100" s="78">
        <v>0</v>
      </c>
      <c r="I100" s="76">
        <v>0</v>
      </c>
      <c r="J100" s="46">
        <f t="shared" si="8"/>
        <v>0</v>
      </c>
      <c r="K100" s="71"/>
      <c r="L100" s="20">
        <v>35</v>
      </c>
      <c r="M100" s="64">
        <f t="shared" si="9"/>
        <v>0</v>
      </c>
      <c r="N100" s="17" t="s">
        <v>16</v>
      </c>
      <c r="O100" s="18"/>
      <c r="P100" s="23">
        <f t="shared" si="10"/>
        <v>0</v>
      </c>
      <c r="Q100" s="90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3"/>
      <c r="F101" s="70">
        <v>0</v>
      </c>
      <c r="G101" s="46">
        <f t="shared" si="7"/>
        <v>0</v>
      </c>
      <c r="H101" s="78">
        <v>0</v>
      </c>
      <c r="I101" s="76">
        <v>0</v>
      </c>
      <c r="J101" s="46">
        <f t="shared" si="8"/>
        <v>0</v>
      </c>
      <c r="K101" s="71"/>
      <c r="L101" s="20">
        <v>100</v>
      </c>
      <c r="M101" s="64">
        <f>+L101*K101</f>
        <v>0</v>
      </c>
      <c r="N101" s="17" t="s">
        <v>16</v>
      </c>
      <c r="O101" s="18"/>
      <c r="P101" s="23">
        <f>SUM(M101-O101)</f>
        <v>0</v>
      </c>
      <c r="Q101" s="90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3"/>
      <c r="F102" s="70">
        <v>0</v>
      </c>
      <c r="G102" s="46">
        <f t="shared" si="7"/>
        <v>0</v>
      </c>
      <c r="H102" s="78">
        <v>0</v>
      </c>
      <c r="I102" s="76">
        <v>0</v>
      </c>
      <c r="J102" s="46">
        <f t="shared" si="8"/>
        <v>0</v>
      </c>
      <c r="K102" s="71"/>
      <c r="L102" s="20">
        <v>250</v>
      </c>
      <c r="M102" s="64">
        <f>+L102*K102</f>
        <v>0</v>
      </c>
      <c r="N102" s="17" t="s">
        <v>16</v>
      </c>
      <c r="O102" s="18"/>
      <c r="P102" s="23">
        <f>SUM(M102-O102)</f>
        <v>0</v>
      </c>
      <c r="Q102" s="90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3"/>
      <c r="F103" s="70">
        <v>0</v>
      </c>
      <c r="G103" s="46">
        <f t="shared" si="7"/>
        <v>0</v>
      </c>
      <c r="H103" s="78">
        <v>0</v>
      </c>
      <c r="I103" s="76">
        <v>0</v>
      </c>
      <c r="J103" s="46">
        <f t="shared" si="8"/>
        <v>0</v>
      </c>
      <c r="K103" s="71"/>
      <c r="L103" s="22">
        <v>120</v>
      </c>
      <c r="M103" s="64">
        <f t="shared" si="9"/>
        <v>0</v>
      </c>
      <c r="N103" s="17" t="s">
        <v>16</v>
      </c>
      <c r="O103" s="18"/>
      <c r="P103" s="23">
        <f t="shared" si="10"/>
        <v>0</v>
      </c>
      <c r="Q103" s="90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3"/>
      <c r="F104" s="70">
        <v>0</v>
      </c>
      <c r="G104" s="46">
        <f t="shared" si="7"/>
        <v>0</v>
      </c>
      <c r="H104" s="78">
        <v>0</v>
      </c>
      <c r="I104" s="76">
        <v>0</v>
      </c>
      <c r="J104" s="46">
        <f t="shared" si="8"/>
        <v>0</v>
      </c>
      <c r="K104" s="71"/>
      <c r="L104" s="20">
        <v>250</v>
      </c>
      <c r="M104" s="64">
        <f t="shared" si="9"/>
        <v>0</v>
      </c>
      <c r="N104" s="17" t="s">
        <v>16</v>
      </c>
      <c r="O104" s="18"/>
      <c r="P104" s="23">
        <f t="shared" si="10"/>
        <v>0</v>
      </c>
      <c r="Q104" s="90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3"/>
      <c r="F105" s="70">
        <v>0</v>
      </c>
      <c r="G105" s="46">
        <f t="shared" si="7"/>
        <v>0</v>
      </c>
      <c r="H105" s="78">
        <v>0</v>
      </c>
      <c r="I105" s="76">
        <v>0</v>
      </c>
      <c r="J105" s="46">
        <f t="shared" si="8"/>
        <v>0</v>
      </c>
      <c r="K105" s="71"/>
      <c r="L105" s="20">
        <v>80</v>
      </c>
      <c r="M105" s="64">
        <f>+L105*K105</f>
        <v>0</v>
      </c>
      <c r="N105" s="17" t="s">
        <v>16</v>
      </c>
      <c r="O105" s="18"/>
      <c r="P105" s="23">
        <f>SUM(M105-O105)</f>
        <v>0</v>
      </c>
      <c r="Q105" s="90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3"/>
      <c r="F106" s="70">
        <v>0</v>
      </c>
      <c r="G106" s="46">
        <f t="shared" si="7"/>
        <v>0</v>
      </c>
      <c r="H106" s="78">
        <v>0</v>
      </c>
      <c r="I106" s="76">
        <v>0</v>
      </c>
      <c r="J106" s="46">
        <f t="shared" si="8"/>
        <v>0</v>
      </c>
      <c r="K106" s="71"/>
      <c r="L106" s="20">
        <v>55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90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3"/>
      <c r="F107" s="70">
        <v>0</v>
      </c>
      <c r="G107" s="46">
        <f t="shared" si="7"/>
        <v>0</v>
      </c>
      <c r="H107" s="78">
        <v>0</v>
      </c>
      <c r="I107" s="76">
        <v>0</v>
      </c>
      <c r="J107" s="46">
        <f t="shared" si="8"/>
        <v>0</v>
      </c>
      <c r="K107" s="71"/>
      <c r="L107" s="20">
        <v>200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90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3"/>
      <c r="F108" s="70">
        <v>0</v>
      </c>
      <c r="G108" s="46">
        <f t="shared" si="7"/>
        <v>0</v>
      </c>
      <c r="H108" s="78">
        <v>0</v>
      </c>
      <c r="I108" s="76">
        <v>0</v>
      </c>
      <c r="J108" s="46">
        <f t="shared" si="8"/>
        <v>0</v>
      </c>
      <c r="K108" s="71"/>
      <c r="L108" s="22">
        <v>60</v>
      </c>
      <c r="M108" s="64">
        <f t="shared" si="9"/>
        <v>0</v>
      </c>
      <c r="N108" s="17" t="s">
        <v>16</v>
      </c>
      <c r="O108" s="18"/>
      <c r="P108" s="23">
        <f t="shared" si="10"/>
        <v>0</v>
      </c>
      <c r="Q108" s="90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3"/>
      <c r="F109" s="70">
        <v>0</v>
      </c>
      <c r="G109" s="46">
        <f t="shared" si="7"/>
        <v>0</v>
      </c>
      <c r="H109" s="78">
        <v>0</v>
      </c>
      <c r="I109" s="76">
        <v>0</v>
      </c>
      <c r="J109" s="46">
        <f t="shared" si="8"/>
        <v>0</v>
      </c>
      <c r="K109" s="71"/>
      <c r="L109" s="22">
        <v>100</v>
      </c>
      <c r="M109" s="64">
        <f t="shared" si="9"/>
        <v>0</v>
      </c>
      <c r="N109" s="17" t="s">
        <v>16</v>
      </c>
      <c r="O109" s="18"/>
      <c r="P109" s="23">
        <f t="shared" si="10"/>
        <v>0</v>
      </c>
      <c r="Q109" s="90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3"/>
      <c r="F110" s="70">
        <v>0</v>
      </c>
      <c r="G110" s="46">
        <f t="shared" si="7"/>
        <v>0</v>
      </c>
      <c r="H110" s="78">
        <v>0</v>
      </c>
      <c r="I110" s="76">
        <v>0</v>
      </c>
      <c r="J110" s="46">
        <f t="shared" si="8"/>
        <v>0</v>
      </c>
      <c r="K110" s="71"/>
      <c r="L110" s="22">
        <v>55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90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3"/>
      <c r="F111" s="70">
        <v>0</v>
      </c>
      <c r="G111" s="46">
        <f t="shared" si="7"/>
        <v>0</v>
      </c>
      <c r="H111" s="78">
        <v>0</v>
      </c>
      <c r="I111" s="76">
        <v>0</v>
      </c>
      <c r="J111" s="46">
        <f t="shared" si="8"/>
        <v>0</v>
      </c>
      <c r="K111" s="71"/>
      <c r="L111" s="15">
        <v>40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90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3"/>
      <c r="F112" s="70">
        <v>0</v>
      </c>
      <c r="G112" s="46">
        <f t="shared" si="7"/>
        <v>0</v>
      </c>
      <c r="H112" s="78">
        <v>0</v>
      </c>
      <c r="I112" s="76">
        <v>0</v>
      </c>
      <c r="J112" s="46">
        <f t="shared" si="8"/>
        <v>0</v>
      </c>
      <c r="K112" s="71"/>
      <c r="L112" s="22">
        <v>40</v>
      </c>
      <c r="M112" s="64">
        <f t="shared" si="9"/>
        <v>0</v>
      </c>
      <c r="N112" s="17" t="s">
        <v>16</v>
      </c>
      <c r="O112" s="18"/>
      <c r="P112" s="23">
        <f t="shared" si="10"/>
        <v>0</v>
      </c>
      <c r="Q112" s="90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3"/>
      <c r="F113" s="70">
        <v>0</v>
      </c>
      <c r="G113" s="46">
        <f t="shared" si="7"/>
        <v>0</v>
      </c>
      <c r="H113" s="78">
        <v>0</v>
      </c>
      <c r="I113" s="76">
        <v>0</v>
      </c>
      <c r="J113" s="46">
        <f t="shared" si="8"/>
        <v>0</v>
      </c>
      <c r="K113" s="71"/>
      <c r="L113" s="22">
        <v>40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90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3"/>
      <c r="F114" s="70">
        <v>0</v>
      </c>
      <c r="G114" s="46">
        <f t="shared" si="7"/>
        <v>0</v>
      </c>
      <c r="H114" s="78">
        <v>0</v>
      </c>
      <c r="I114" s="76">
        <v>0</v>
      </c>
      <c r="J114" s="46">
        <f t="shared" si="8"/>
        <v>0</v>
      </c>
      <c r="K114" s="71"/>
      <c r="L114" s="20">
        <v>40</v>
      </c>
      <c r="M114" s="64">
        <f>+L114*K114</f>
        <v>0</v>
      </c>
      <c r="N114" s="17" t="s">
        <v>16</v>
      </c>
      <c r="O114" s="18"/>
      <c r="P114" s="23">
        <f>SUM(M114-O114)</f>
        <v>0</v>
      </c>
      <c r="Q114" s="90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3"/>
      <c r="F115" s="70">
        <v>0</v>
      </c>
      <c r="G115" s="46">
        <f t="shared" si="7"/>
        <v>0</v>
      </c>
      <c r="H115" s="78">
        <v>0</v>
      </c>
      <c r="I115" s="76">
        <v>0</v>
      </c>
      <c r="J115" s="46">
        <f t="shared" si="8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92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3"/>
      <c r="F116" s="70">
        <v>0</v>
      </c>
      <c r="G116" s="46">
        <f t="shared" si="7"/>
        <v>0</v>
      </c>
      <c r="H116" s="78">
        <v>0</v>
      </c>
      <c r="I116" s="76">
        <v>0</v>
      </c>
      <c r="J116" s="46">
        <f t="shared" si="8"/>
        <v>0</v>
      </c>
      <c r="K116" s="71"/>
      <c r="L116" s="22">
        <v>60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92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3"/>
      <c r="F117" s="70">
        <v>0</v>
      </c>
      <c r="G117" s="46">
        <f t="shared" si="7"/>
        <v>0</v>
      </c>
      <c r="H117" s="78">
        <v>0</v>
      </c>
      <c r="I117" s="76">
        <v>0</v>
      </c>
      <c r="J117" s="46">
        <f t="shared" si="8"/>
        <v>0</v>
      </c>
      <c r="K117" s="71"/>
      <c r="L117" s="20">
        <v>40</v>
      </c>
      <c r="M117" s="64">
        <f>+L117*K117</f>
        <v>0</v>
      </c>
      <c r="N117" s="17" t="s">
        <v>16</v>
      </c>
      <c r="O117" s="18"/>
      <c r="P117" s="23">
        <f>SUM(M117-O117)</f>
        <v>0</v>
      </c>
      <c r="Q117" s="90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3"/>
      <c r="F118" s="70">
        <v>0</v>
      </c>
      <c r="G118" s="46">
        <f t="shared" si="7"/>
        <v>0</v>
      </c>
      <c r="H118" s="78">
        <v>0</v>
      </c>
      <c r="I118" s="76">
        <v>0</v>
      </c>
      <c r="J118" s="46">
        <f t="shared" si="8"/>
        <v>0</v>
      </c>
      <c r="K118" s="71"/>
      <c r="L118" s="22">
        <v>50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90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3"/>
      <c r="F119" s="70">
        <v>0</v>
      </c>
      <c r="G119" s="46">
        <f t="shared" si="7"/>
        <v>0</v>
      </c>
      <c r="H119" s="78">
        <v>0</v>
      </c>
      <c r="I119" s="76">
        <v>0</v>
      </c>
      <c r="J119" s="46">
        <f t="shared" si="8"/>
        <v>0</v>
      </c>
      <c r="K119" s="71"/>
      <c r="L119" s="22">
        <v>100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90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3"/>
      <c r="F120" s="70">
        <v>0</v>
      </c>
      <c r="G120" s="46">
        <f t="shared" si="7"/>
        <v>0</v>
      </c>
      <c r="H120" s="78">
        <v>0</v>
      </c>
      <c r="I120" s="76">
        <v>0</v>
      </c>
      <c r="J120" s="46">
        <f t="shared" si="8"/>
        <v>0</v>
      </c>
      <c r="K120" s="71"/>
      <c r="L120" s="22">
        <v>39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90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3"/>
      <c r="F121" s="70">
        <v>0</v>
      </c>
      <c r="G121" s="46">
        <f t="shared" si="7"/>
        <v>0</v>
      </c>
      <c r="H121" s="78">
        <v>0</v>
      </c>
      <c r="I121" s="76">
        <v>0</v>
      </c>
      <c r="J121" s="46">
        <f t="shared" si="8"/>
        <v>0</v>
      </c>
      <c r="K121" s="71"/>
      <c r="L121" s="22">
        <v>35</v>
      </c>
      <c r="M121" s="64">
        <f t="shared" si="9"/>
        <v>0</v>
      </c>
      <c r="N121" s="17" t="s">
        <v>16</v>
      </c>
      <c r="O121" s="18"/>
      <c r="P121" s="23">
        <f t="shared" si="10"/>
        <v>0</v>
      </c>
      <c r="Q121" s="90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3"/>
      <c r="F122" s="70">
        <v>0</v>
      </c>
      <c r="G122" s="46">
        <f t="shared" si="7"/>
        <v>0</v>
      </c>
      <c r="H122" s="78">
        <v>0</v>
      </c>
      <c r="I122" s="76">
        <v>0</v>
      </c>
      <c r="J122" s="46">
        <f t="shared" si="8"/>
        <v>0</v>
      </c>
      <c r="K122" s="71"/>
      <c r="L122" s="22">
        <v>25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90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3"/>
      <c r="F123" s="70">
        <v>0</v>
      </c>
      <c r="G123" s="46">
        <f t="shared" si="7"/>
        <v>0</v>
      </c>
      <c r="H123" s="78">
        <v>0</v>
      </c>
      <c r="I123" s="76">
        <v>0</v>
      </c>
      <c r="J123" s="46">
        <f t="shared" si="8"/>
        <v>0</v>
      </c>
      <c r="K123" s="71"/>
      <c r="L123" s="22">
        <v>40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90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3"/>
      <c r="F124" s="70">
        <v>0</v>
      </c>
      <c r="G124" s="46">
        <f t="shared" si="7"/>
        <v>0</v>
      </c>
      <c r="H124" s="78">
        <v>0</v>
      </c>
      <c r="I124" s="76">
        <v>0</v>
      </c>
      <c r="J124" s="46">
        <f t="shared" si="8"/>
        <v>0</v>
      </c>
      <c r="K124" s="71"/>
      <c r="L124" s="22">
        <v>50</v>
      </c>
      <c r="M124" s="64">
        <f t="shared" si="9"/>
        <v>0</v>
      </c>
      <c r="N124" s="17" t="s">
        <v>16</v>
      </c>
      <c r="O124" s="18"/>
      <c r="P124" s="23">
        <f t="shared" si="10"/>
        <v>0</v>
      </c>
      <c r="Q124" s="90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3"/>
      <c r="F125" s="70">
        <v>0</v>
      </c>
      <c r="G125" s="46">
        <f t="shared" si="7"/>
        <v>0</v>
      </c>
      <c r="H125" s="78">
        <v>0</v>
      </c>
      <c r="I125" s="76">
        <v>0</v>
      </c>
      <c r="J125" s="46">
        <f t="shared" si="8"/>
        <v>0</v>
      </c>
      <c r="K125" s="71"/>
      <c r="L125" s="22">
        <v>60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90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3"/>
      <c r="F126" s="70">
        <v>0</v>
      </c>
      <c r="G126" s="46">
        <f t="shared" si="7"/>
        <v>0</v>
      </c>
      <c r="H126" s="78">
        <v>0</v>
      </c>
      <c r="I126" s="76">
        <v>0</v>
      </c>
      <c r="J126" s="46">
        <f t="shared" si="8"/>
        <v>0</v>
      </c>
      <c r="K126" s="71"/>
      <c r="L126" s="20">
        <v>50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90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1389</v>
      </c>
      <c r="D127" s="10" t="s">
        <v>434</v>
      </c>
      <c r="E127" s="63"/>
      <c r="F127" s="70">
        <v>0</v>
      </c>
      <c r="G127" s="46">
        <f t="shared" si="7"/>
        <v>0</v>
      </c>
      <c r="H127" s="78">
        <v>0</v>
      </c>
      <c r="I127" s="76">
        <v>0</v>
      </c>
      <c r="J127" s="46">
        <f t="shared" si="8"/>
        <v>0</v>
      </c>
      <c r="K127" s="71"/>
      <c r="L127" s="20">
        <v>35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1390</v>
      </c>
      <c r="D128" s="10" t="s">
        <v>434</v>
      </c>
      <c r="E128" s="63"/>
      <c r="F128" s="70">
        <v>0</v>
      </c>
      <c r="G128" s="46">
        <f t="shared" si="7"/>
        <v>0</v>
      </c>
      <c r="H128" s="78">
        <v>0</v>
      </c>
      <c r="I128" s="76">
        <v>0</v>
      </c>
      <c r="J128" s="46">
        <f t="shared" si="8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1391</v>
      </c>
      <c r="D129" s="10" t="s">
        <v>434</v>
      </c>
      <c r="E129" s="63"/>
      <c r="F129" s="70">
        <v>0</v>
      </c>
      <c r="G129" s="46">
        <f t="shared" si="7"/>
        <v>0</v>
      </c>
      <c r="H129" s="78">
        <v>0</v>
      </c>
      <c r="I129" s="76">
        <v>0</v>
      </c>
      <c r="J129" s="46">
        <f t="shared" si="8"/>
        <v>0</v>
      </c>
      <c r="K129" s="71"/>
      <c r="L129" s="20">
        <v>35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1392</v>
      </c>
      <c r="D130" s="10" t="s">
        <v>434</v>
      </c>
      <c r="E130" s="63"/>
      <c r="F130" s="70">
        <v>0</v>
      </c>
      <c r="G130" s="46">
        <f t="shared" si="7"/>
        <v>0</v>
      </c>
      <c r="H130" s="78">
        <v>0</v>
      </c>
      <c r="I130" s="76">
        <v>0</v>
      </c>
      <c r="J130" s="46">
        <f t="shared" si="8"/>
        <v>0</v>
      </c>
      <c r="K130" s="71"/>
      <c r="L130" s="20">
        <v>35</v>
      </c>
      <c r="M130" s="64">
        <f>+L130*K130</f>
        <v>0</v>
      </c>
      <c r="N130" s="17" t="s">
        <v>16</v>
      </c>
      <c r="O130" s="18"/>
      <c r="P130" s="23">
        <f>SUM(M130-O130)</f>
        <v>0</v>
      </c>
      <c r="Q130" s="90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3"/>
      <c r="F131" s="70">
        <v>0</v>
      </c>
      <c r="G131" s="46">
        <f t="shared" si="7"/>
        <v>0</v>
      </c>
      <c r="H131" s="78">
        <v>0</v>
      </c>
      <c r="I131" s="76">
        <v>0</v>
      </c>
      <c r="J131" s="46">
        <f t="shared" si="8"/>
        <v>0</v>
      </c>
      <c r="K131" s="71"/>
      <c r="L131" s="20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90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3"/>
      <c r="F132" s="70">
        <v>0</v>
      </c>
      <c r="G132" s="46">
        <f t="shared" si="7"/>
        <v>0</v>
      </c>
      <c r="H132" s="78">
        <v>0</v>
      </c>
      <c r="I132" s="76">
        <v>0</v>
      </c>
      <c r="J132" s="46">
        <f t="shared" si="8"/>
        <v>0</v>
      </c>
      <c r="K132" s="71"/>
      <c r="L132" s="20">
        <v>35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3"/>
      <c r="F133" s="70">
        <v>0</v>
      </c>
      <c r="G133" s="46">
        <f t="shared" si="7"/>
        <v>0</v>
      </c>
      <c r="H133" s="78">
        <v>0</v>
      </c>
      <c r="I133" s="76">
        <v>0</v>
      </c>
      <c r="J133" s="46">
        <f t="shared" si="8"/>
        <v>0</v>
      </c>
      <c r="K133" s="71"/>
      <c r="L133" s="20">
        <v>10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90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3"/>
      <c r="F134" s="70">
        <v>0</v>
      </c>
      <c r="G134" s="46">
        <f t="shared" ref="G134:G197" si="15">E134+F134</f>
        <v>0</v>
      </c>
      <c r="H134" s="78">
        <v>0</v>
      </c>
      <c r="I134" s="76">
        <v>0</v>
      </c>
      <c r="J134" s="46">
        <f t="shared" ref="J134:J197" si="16">+G134-H134-K134-I134</f>
        <v>0</v>
      </c>
      <c r="K134" s="71"/>
      <c r="L134" s="20">
        <v>10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3"/>
      <c r="F135" s="70">
        <v>0</v>
      </c>
      <c r="G135" s="46">
        <f t="shared" si="15"/>
        <v>0</v>
      </c>
      <c r="H135" s="78">
        <v>0</v>
      </c>
      <c r="I135" s="76">
        <v>0</v>
      </c>
      <c r="J135" s="46">
        <f t="shared" si="16"/>
        <v>0</v>
      </c>
      <c r="K135" s="71"/>
      <c r="L135" s="20">
        <v>10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90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3"/>
      <c r="F136" s="70">
        <v>0</v>
      </c>
      <c r="G136" s="46">
        <f t="shared" si="15"/>
        <v>0</v>
      </c>
      <c r="H136" s="78">
        <v>0</v>
      </c>
      <c r="I136" s="76">
        <v>0</v>
      </c>
      <c r="J136" s="46">
        <f t="shared" si="16"/>
        <v>0</v>
      </c>
      <c r="K136" s="71"/>
      <c r="L136" s="22">
        <v>10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90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3"/>
      <c r="F137" s="70">
        <v>0</v>
      </c>
      <c r="G137" s="46">
        <f t="shared" si="15"/>
        <v>0</v>
      </c>
      <c r="H137" s="78">
        <v>0</v>
      </c>
      <c r="I137" s="76">
        <v>0</v>
      </c>
      <c r="J137" s="46">
        <f t="shared" si="16"/>
        <v>0</v>
      </c>
      <c r="K137" s="71"/>
      <c r="L137" s="22">
        <v>10</v>
      </c>
      <c r="M137" s="64">
        <f t="shared" si="9"/>
        <v>0</v>
      </c>
      <c r="N137" s="17" t="s">
        <v>16</v>
      </c>
      <c r="O137" s="18"/>
      <c r="P137" s="23">
        <f t="shared" si="10"/>
        <v>0</v>
      </c>
      <c r="Q137" s="90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3"/>
      <c r="F138" s="70">
        <v>0</v>
      </c>
      <c r="G138" s="46">
        <f t="shared" si="15"/>
        <v>0</v>
      </c>
      <c r="H138" s="78">
        <v>0</v>
      </c>
      <c r="I138" s="76">
        <v>0</v>
      </c>
      <c r="J138" s="46">
        <f t="shared" si="16"/>
        <v>0</v>
      </c>
      <c r="K138" s="71"/>
      <c r="L138" s="20">
        <v>10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90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3"/>
      <c r="F139" s="70">
        <v>0</v>
      </c>
      <c r="G139" s="46">
        <f t="shared" si="15"/>
        <v>0</v>
      </c>
      <c r="H139" s="78">
        <v>0</v>
      </c>
      <c r="I139" s="76">
        <v>0</v>
      </c>
      <c r="J139" s="46">
        <f t="shared" si="16"/>
        <v>0</v>
      </c>
      <c r="K139" s="71"/>
      <c r="L139" s="20">
        <v>10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90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3"/>
      <c r="F140" s="70">
        <v>0</v>
      </c>
      <c r="G140" s="46">
        <f t="shared" si="15"/>
        <v>0</v>
      </c>
      <c r="H140" s="78">
        <v>0</v>
      </c>
      <c r="I140" s="76">
        <v>0</v>
      </c>
      <c r="J140" s="46">
        <f t="shared" si="1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3"/>
      <c r="F141" s="70">
        <v>0</v>
      </c>
      <c r="G141" s="46">
        <f t="shared" si="15"/>
        <v>0</v>
      </c>
      <c r="H141" s="78">
        <v>0</v>
      </c>
      <c r="I141" s="76">
        <v>0</v>
      </c>
      <c r="J141" s="46">
        <f t="shared" si="16"/>
        <v>0</v>
      </c>
      <c r="K141" s="71"/>
      <c r="L141" s="20">
        <v>40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3"/>
      <c r="F142" s="70">
        <v>0</v>
      </c>
      <c r="G142" s="46">
        <f t="shared" si="15"/>
        <v>0</v>
      </c>
      <c r="H142" s="78">
        <v>0</v>
      </c>
      <c r="I142" s="76">
        <v>0</v>
      </c>
      <c r="J142" s="46">
        <f t="shared" si="16"/>
        <v>0</v>
      </c>
      <c r="K142" s="71"/>
      <c r="L142" s="20">
        <v>50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90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3"/>
      <c r="F143" s="70">
        <v>0</v>
      </c>
      <c r="G143" s="46">
        <f t="shared" si="15"/>
        <v>0</v>
      </c>
      <c r="H143" s="78">
        <v>0</v>
      </c>
      <c r="I143" s="76">
        <v>0</v>
      </c>
      <c r="J143" s="46">
        <f t="shared" si="16"/>
        <v>0</v>
      </c>
      <c r="K143" s="71"/>
      <c r="L143" s="20">
        <v>55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90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3"/>
      <c r="F144" s="70">
        <v>0</v>
      </c>
      <c r="G144" s="46">
        <f t="shared" si="15"/>
        <v>0</v>
      </c>
      <c r="H144" s="78">
        <v>0</v>
      </c>
      <c r="I144" s="76">
        <v>0</v>
      </c>
      <c r="J144" s="46">
        <f t="shared" si="16"/>
        <v>0</v>
      </c>
      <c r="K144" s="71"/>
      <c r="L144" s="20">
        <v>55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90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3"/>
      <c r="F145" s="70">
        <v>0</v>
      </c>
      <c r="G145" s="46">
        <f t="shared" si="15"/>
        <v>0</v>
      </c>
      <c r="H145" s="78">
        <v>0</v>
      </c>
      <c r="I145" s="76">
        <v>0</v>
      </c>
      <c r="J145" s="46">
        <f t="shared" si="16"/>
        <v>0</v>
      </c>
      <c r="K145" s="71"/>
      <c r="L145" s="20">
        <v>55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90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3"/>
      <c r="F146" s="70">
        <v>0</v>
      </c>
      <c r="G146" s="46">
        <f t="shared" si="15"/>
        <v>0</v>
      </c>
      <c r="H146" s="78">
        <v>0</v>
      </c>
      <c r="I146" s="76">
        <v>0</v>
      </c>
      <c r="J146" s="46">
        <f t="shared" si="16"/>
        <v>0</v>
      </c>
      <c r="K146" s="71"/>
      <c r="L146" s="20">
        <v>30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90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3"/>
      <c r="F147" s="70">
        <v>0</v>
      </c>
      <c r="G147" s="46">
        <f t="shared" si="15"/>
        <v>0</v>
      </c>
      <c r="H147" s="78">
        <v>0</v>
      </c>
      <c r="I147" s="76">
        <v>0</v>
      </c>
      <c r="J147" s="46">
        <f t="shared" si="16"/>
        <v>0</v>
      </c>
      <c r="K147" s="71"/>
      <c r="L147" s="20">
        <v>25</v>
      </c>
      <c r="M147" s="64">
        <f>+L147*K147</f>
        <v>0</v>
      </c>
      <c r="N147" s="17" t="s">
        <v>16</v>
      </c>
      <c r="O147" s="18"/>
      <c r="P147" s="23">
        <f>SUM(M147-O147)</f>
        <v>0</v>
      </c>
      <c r="Q147" s="90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3"/>
      <c r="F148" s="70">
        <v>0</v>
      </c>
      <c r="G148" s="46">
        <f t="shared" si="15"/>
        <v>0</v>
      </c>
      <c r="H148" s="78">
        <v>0</v>
      </c>
      <c r="I148" s="76">
        <v>0</v>
      </c>
      <c r="J148" s="46">
        <f t="shared" si="16"/>
        <v>0</v>
      </c>
      <c r="K148" s="71"/>
      <c r="L148" s="20">
        <v>25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90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3"/>
      <c r="F149" s="70">
        <v>0</v>
      </c>
      <c r="G149" s="46">
        <f t="shared" si="15"/>
        <v>0</v>
      </c>
      <c r="H149" s="78">
        <v>0</v>
      </c>
      <c r="I149" s="76">
        <v>0</v>
      </c>
      <c r="J149" s="46">
        <f t="shared" si="16"/>
        <v>0</v>
      </c>
      <c r="K149" s="71"/>
      <c r="L149" s="20">
        <v>55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90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3"/>
      <c r="F150" s="70">
        <v>0</v>
      </c>
      <c r="G150" s="46">
        <f t="shared" si="15"/>
        <v>0</v>
      </c>
      <c r="H150" s="78">
        <v>0</v>
      </c>
      <c r="I150" s="76">
        <v>0</v>
      </c>
      <c r="J150" s="46">
        <f t="shared" si="16"/>
        <v>0</v>
      </c>
      <c r="K150" s="71"/>
      <c r="L150" s="20">
        <v>50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90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3"/>
      <c r="F151" s="70">
        <v>0</v>
      </c>
      <c r="G151" s="46">
        <f t="shared" si="15"/>
        <v>0</v>
      </c>
      <c r="H151" s="78">
        <v>0</v>
      </c>
      <c r="I151" s="76">
        <v>0</v>
      </c>
      <c r="J151" s="46">
        <f t="shared" si="16"/>
        <v>0</v>
      </c>
      <c r="K151" s="71"/>
      <c r="L151" s="20">
        <v>65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3"/>
      <c r="F152" s="70">
        <v>0</v>
      </c>
      <c r="G152" s="46">
        <f t="shared" si="15"/>
        <v>0</v>
      </c>
      <c r="H152" s="78">
        <v>0</v>
      </c>
      <c r="I152" s="76">
        <v>0</v>
      </c>
      <c r="J152" s="46">
        <f t="shared" si="16"/>
        <v>0</v>
      </c>
      <c r="K152" s="71"/>
      <c r="L152" s="20">
        <v>50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90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3"/>
      <c r="F153" s="70">
        <v>0</v>
      </c>
      <c r="G153" s="46">
        <f t="shared" si="15"/>
        <v>0</v>
      </c>
      <c r="H153" s="78">
        <v>0</v>
      </c>
      <c r="I153" s="76">
        <v>0</v>
      </c>
      <c r="J153" s="46">
        <f t="shared" si="16"/>
        <v>0</v>
      </c>
      <c r="K153" s="71"/>
      <c r="L153" s="20">
        <v>50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90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3"/>
      <c r="F154" s="70">
        <v>0</v>
      </c>
      <c r="G154" s="46">
        <f t="shared" si="15"/>
        <v>0</v>
      </c>
      <c r="H154" s="78">
        <v>0</v>
      </c>
      <c r="I154" s="76">
        <v>0</v>
      </c>
      <c r="J154" s="46">
        <f t="shared" si="16"/>
        <v>0</v>
      </c>
      <c r="K154" s="71"/>
      <c r="L154" s="20">
        <v>60</v>
      </c>
      <c r="M154" s="64">
        <f t="shared" si="9"/>
        <v>0</v>
      </c>
      <c r="N154" s="17" t="s">
        <v>16</v>
      </c>
      <c r="O154" s="18"/>
      <c r="P154" s="23">
        <f t="shared" si="10"/>
        <v>0</v>
      </c>
      <c r="Q154" s="90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3"/>
      <c r="F155" s="70">
        <v>0</v>
      </c>
      <c r="G155" s="46">
        <f t="shared" si="15"/>
        <v>0</v>
      </c>
      <c r="H155" s="78">
        <v>0</v>
      </c>
      <c r="I155" s="76">
        <v>0</v>
      </c>
      <c r="J155" s="46">
        <f t="shared" si="16"/>
        <v>0</v>
      </c>
      <c r="K155" s="71"/>
      <c r="L155" s="20">
        <v>60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90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3"/>
      <c r="F156" s="70">
        <v>0</v>
      </c>
      <c r="G156" s="46">
        <f t="shared" si="15"/>
        <v>0</v>
      </c>
      <c r="H156" s="78">
        <v>0</v>
      </c>
      <c r="I156" s="76">
        <v>0</v>
      </c>
      <c r="J156" s="46">
        <f t="shared" si="16"/>
        <v>0</v>
      </c>
      <c r="K156" s="71"/>
      <c r="L156" s="20">
        <v>25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90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3"/>
      <c r="F157" s="70">
        <v>0</v>
      </c>
      <c r="G157" s="46">
        <f t="shared" si="15"/>
        <v>0</v>
      </c>
      <c r="H157" s="78">
        <v>0</v>
      </c>
      <c r="I157" s="76">
        <v>0</v>
      </c>
      <c r="J157" s="46">
        <f t="shared" si="16"/>
        <v>0</v>
      </c>
      <c r="K157" s="71"/>
      <c r="L157" s="20">
        <v>45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90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3"/>
      <c r="F158" s="70">
        <v>0</v>
      </c>
      <c r="G158" s="46">
        <f t="shared" si="15"/>
        <v>0</v>
      </c>
      <c r="H158" s="78">
        <v>0</v>
      </c>
      <c r="I158" s="76">
        <v>0</v>
      </c>
      <c r="J158" s="46">
        <f t="shared" si="16"/>
        <v>0</v>
      </c>
      <c r="K158" s="71"/>
      <c r="L158" s="20">
        <v>45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90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3"/>
      <c r="F159" s="70">
        <v>0</v>
      </c>
      <c r="G159" s="46">
        <f t="shared" si="15"/>
        <v>0</v>
      </c>
      <c r="H159" s="78">
        <v>0</v>
      </c>
      <c r="I159" s="76">
        <v>0</v>
      </c>
      <c r="J159" s="46">
        <f t="shared" si="16"/>
        <v>0</v>
      </c>
      <c r="K159" s="71"/>
      <c r="L159" s="20">
        <v>45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90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3"/>
      <c r="F160" s="70">
        <v>0</v>
      </c>
      <c r="G160" s="46">
        <f t="shared" si="15"/>
        <v>0</v>
      </c>
      <c r="H160" s="78">
        <v>0</v>
      </c>
      <c r="I160" s="76">
        <v>0</v>
      </c>
      <c r="J160" s="46">
        <f t="shared" si="16"/>
        <v>0</v>
      </c>
      <c r="K160" s="71"/>
      <c r="L160" s="20">
        <v>45</v>
      </c>
      <c r="M160" s="64">
        <f>+L160*K160</f>
        <v>0</v>
      </c>
      <c r="N160" s="17" t="s">
        <v>16</v>
      </c>
      <c r="O160" s="18"/>
      <c r="P160" s="23">
        <f>SUM(M160-O160)</f>
        <v>0</v>
      </c>
      <c r="Q160" s="90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3"/>
      <c r="F161" s="70">
        <v>0</v>
      </c>
      <c r="G161" s="46">
        <f t="shared" si="15"/>
        <v>0</v>
      </c>
      <c r="H161" s="78">
        <v>0</v>
      </c>
      <c r="I161" s="76">
        <v>0</v>
      </c>
      <c r="J161" s="46">
        <f t="shared" si="16"/>
        <v>0</v>
      </c>
      <c r="K161" s="71"/>
      <c r="L161" s="20">
        <v>45</v>
      </c>
      <c r="M161" s="64">
        <f>+L161*K161</f>
        <v>0</v>
      </c>
      <c r="N161" s="17" t="s">
        <v>16</v>
      </c>
      <c r="O161" s="18"/>
      <c r="P161" s="23">
        <f>SUM(M161-O161)</f>
        <v>0</v>
      </c>
      <c r="Q161" s="90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3"/>
      <c r="F162" s="70">
        <v>0</v>
      </c>
      <c r="G162" s="46">
        <f t="shared" si="15"/>
        <v>0</v>
      </c>
      <c r="H162" s="78">
        <v>0</v>
      </c>
      <c r="I162" s="76">
        <v>0</v>
      </c>
      <c r="J162" s="46">
        <f t="shared" si="16"/>
        <v>0</v>
      </c>
      <c r="K162" s="71"/>
      <c r="L162" s="20">
        <v>45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90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3"/>
      <c r="F163" s="70">
        <v>0</v>
      </c>
      <c r="G163" s="46">
        <f t="shared" si="15"/>
        <v>0</v>
      </c>
      <c r="H163" s="78">
        <v>0</v>
      </c>
      <c r="I163" s="76">
        <v>0</v>
      </c>
      <c r="J163" s="46">
        <f t="shared" si="16"/>
        <v>0</v>
      </c>
      <c r="K163" s="71"/>
      <c r="L163" s="22">
        <v>35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3"/>
      <c r="F164" s="70">
        <v>0</v>
      </c>
      <c r="G164" s="46">
        <f t="shared" si="15"/>
        <v>0</v>
      </c>
      <c r="H164" s="78">
        <v>0</v>
      </c>
      <c r="I164" s="76">
        <v>0</v>
      </c>
      <c r="J164" s="46">
        <f t="shared" si="16"/>
        <v>0</v>
      </c>
      <c r="K164" s="71"/>
      <c r="L164" s="22">
        <v>25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90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3"/>
      <c r="F165" s="70">
        <v>0</v>
      </c>
      <c r="G165" s="46">
        <f t="shared" si="15"/>
        <v>0</v>
      </c>
      <c r="H165" s="78">
        <v>0</v>
      </c>
      <c r="I165" s="76">
        <v>0</v>
      </c>
      <c r="J165" s="46">
        <f t="shared" si="16"/>
        <v>0</v>
      </c>
      <c r="K165" s="71"/>
      <c r="L165" s="20">
        <v>100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92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3"/>
      <c r="F166" s="70">
        <v>0</v>
      </c>
      <c r="G166" s="46">
        <f t="shared" si="15"/>
        <v>0</v>
      </c>
      <c r="H166" s="78">
        <v>0</v>
      </c>
      <c r="I166" s="76">
        <v>0</v>
      </c>
      <c r="J166" s="46">
        <f t="shared" si="16"/>
        <v>0</v>
      </c>
      <c r="K166" s="71"/>
      <c r="L166" s="15">
        <v>50</v>
      </c>
      <c r="M166" s="64">
        <f>+L166*K166</f>
        <v>0</v>
      </c>
      <c r="N166" s="17" t="s">
        <v>16</v>
      </c>
      <c r="O166" s="18"/>
      <c r="P166" s="23">
        <f>SUM(M166-O166)</f>
        <v>0</v>
      </c>
      <c r="Q166" s="90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3"/>
      <c r="F167" s="70">
        <v>0</v>
      </c>
      <c r="G167" s="46">
        <f t="shared" si="15"/>
        <v>0</v>
      </c>
      <c r="H167" s="78">
        <v>0</v>
      </c>
      <c r="I167" s="76">
        <v>0</v>
      </c>
      <c r="J167" s="46">
        <f t="shared" si="16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90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3"/>
      <c r="F168" s="70">
        <v>0</v>
      </c>
      <c r="G168" s="46">
        <f t="shared" si="15"/>
        <v>0</v>
      </c>
      <c r="H168" s="78">
        <v>0</v>
      </c>
      <c r="I168" s="76">
        <v>0</v>
      </c>
      <c r="J168" s="46">
        <f t="shared" si="16"/>
        <v>0</v>
      </c>
      <c r="K168" s="71"/>
      <c r="L168" s="20">
        <v>40</v>
      </c>
      <c r="M168" s="64">
        <f t="shared" ref="M168" si="17">+L168*K168</f>
        <v>0</v>
      </c>
      <c r="N168" s="17" t="s">
        <v>16</v>
      </c>
      <c r="O168" s="18"/>
      <c r="P168" s="23">
        <f t="shared" ref="P168" si="18">SUM(M168-O168)</f>
        <v>0</v>
      </c>
      <c r="Q168" s="92"/>
      <c r="R168" s="43">
        <f t="shared" ref="R168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3"/>
      <c r="F169" s="70">
        <v>0</v>
      </c>
      <c r="G169" s="46">
        <f t="shared" si="15"/>
        <v>0</v>
      </c>
      <c r="H169" s="78">
        <v>0</v>
      </c>
      <c r="I169" s="76">
        <v>0</v>
      </c>
      <c r="J169" s="46">
        <f t="shared" si="16"/>
        <v>0</v>
      </c>
      <c r="K169" s="71"/>
      <c r="L169" s="20">
        <v>55</v>
      </c>
      <c r="M169" s="64">
        <f t="shared" ref="M169:M239" si="20">+L169*K169</f>
        <v>0</v>
      </c>
      <c r="N169" s="17" t="s">
        <v>16</v>
      </c>
      <c r="O169" s="18"/>
      <c r="P169" s="23">
        <f t="shared" ref="P169:P239" si="21">SUM(M169-O169)</f>
        <v>0</v>
      </c>
      <c r="Q169" s="90"/>
      <c r="R169" s="43">
        <f t="shared" ref="R169:R239" si="22">+K169*Q169</f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3"/>
      <c r="F170" s="70">
        <v>0</v>
      </c>
      <c r="G170" s="46">
        <f t="shared" si="15"/>
        <v>0</v>
      </c>
      <c r="H170" s="78">
        <v>0</v>
      </c>
      <c r="I170" s="76">
        <v>0</v>
      </c>
      <c r="J170" s="46">
        <f t="shared" si="16"/>
        <v>0</v>
      </c>
      <c r="K170" s="71"/>
      <c r="L170" s="20">
        <v>55</v>
      </c>
      <c r="M170" s="64">
        <f t="shared" si="20"/>
        <v>0</v>
      </c>
      <c r="N170" s="17" t="s">
        <v>16</v>
      </c>
      <c r="O170" s="18"/>
      <c r="P170" s="23">
        <f t="shared" si="21"/>
        <v>0</v>
      </c>
      <c r="Q170" s="90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3"/>
      <c r="F171" s="70">
        <v>0</v>
      </c>
      <c r="G171" s="46">
        <f t="shared" si="15"/>
        <v>0</v>
      </c>
      <c r="H171" s="78">
        <v>0</v>
      </c>
      <c r="I171" s="76">
        <v>0</v>
      </c>
      <c r="J171" s="46">
        <f t="shared" si="16"/>
        <v>0</v>
      </c>
      <c r="K171" s="71"/>
      <c r="L171" s="20">
        <v>10</v>
      </c>
      <c r="M171" s="64">
        <f t="shared" si="20"/>
        <v>0</v>
      </c>
      <c r="N171" s="17" t="s">
        <v>16</v>
      </c>
      <c r="O171" s="18"/>
      <c r="P171" s="23">
        <f t="shared" si="21"/>
        <v>0</v>
      </c>
      <c r="Q171" s="90"/>
      <c r="R171" s="43">
        <f t="shared" si="22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3"/>
      <c r="F172" s="70">
        <v>0</v>
      </c>
      <c r="G172" s="46">
        <f t="shared" si="15"/>
        <v>0</v>
      </c>
      <c r="H172" s="78">
        <v>0</v>
      </c>
      <c r="I172" s="76">
        <v>0</v>
      </c>
      <c r="J172" s="46">
        <f t="shared" si="16"/>
        <v>0</v>
      </c>
      <c r="K172" s="71"/>
      <c r="L172" s="20">
        <v>35</v>
      </c>
      <c r="M172" s="64">
        <f t="shared" si="20"/>
        <v>0</v>
      </c>
      <c r="N172" s="17" t="s">
        <v>16</v>
      </c>
      <c r="O172" s="18"/>
      <c r="P172" s="23">
        <f t="shared" si="21"/>
        <v>0</v>
      </c>
      <c r="Q172" s="90"/>
      <c r="R172" s="43">
        <f t="shared" si="22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3"/>
      <c r="F173" s="70">
        <v>0</v>
      </c>
      <c r="G173" s="46">
        <f t="shared" si="15"/>
        <v>0</v>
      </c>
      <c r="H173" s="78">
        <v>0</v>
      </c>
      <c r="I173" s="76">
        <v>0</v>
      </c>
      <c r="J173" s="46">
        <f t="shared" si="16"/>
        <v>0</v>
      </c>
      <c r="K173" s="71"/>
      <c r="L173" s="20">
        <v>50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90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3"/>
      <c r="F174" s="70">
        <v>0</v>
      </c>
      <c r="G174" s="46">
        <f t="shared" si="15"/>
        <v>0</v>
      </c>
      <c r="H174" s="78">
        <v>0</v>
      </c>
      <c r="I174" s="76">
        <v>0</v>
      </c>
      <c r="J174" s="46">
        <f t="shared" si="16"/>
        <v>0</v>
      </c>
      <c r="K174" s="71"/>
      <c r="L174" s="20">
        <v>40</v>
      </c>
      <c r="M174" s="64">
        <f t="shared" si="20"/>
        <v>0</v>
      </c>
      <c r="N174" s="17" t="s">
        <v>16</v>
      </c>
      <c r="O174" s="18"/>
      <c r="P174" s="23">
        <f t="shared" si="21"/>
        <v>0</v>
      </c>
      <c r="Q174" s="90"/>
      <c r="R174" s="43">
        <f t="shared" si="22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3"/>
      <c r="F175" s="70">
        <v>0</v>
      </c>
      <c r="G175" s="46">
        <f t="shared" si="15"/>
        <v>0</v>
      </c>
      <c r="H175" s="78">
        <v>0</v>
      </c>
      <c r="I175" s="76">
        <v>0</v>
      </c>
      <c r="J175" s="46">
        <f t="shared" si="16"/>
        <v>0</v>
      </c>
      <c r="K175" s="71"/>
      <c r="L175" s="20">
        <v>65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92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3"/>
      <c r="F176" s="70">
        <v>0</v>
      </c>
      <c r="G176" s="46">
        <f t="shared" si="15"/>
        <v>0</v>
      </c>
      <c r="H176" s="78">
        <v>0</v>
      </c>
      <c r="I176" s="76">
        <v>0</v>
      </c>
      <c r="J176" s="46">
        <f t="shared" si="16"/>
        <v>0</v>
      </c>
      <c r="K176" s="71"/>
      <c r="L176" s="20">
        <v>50</v>
      </c>
      <c r="M176" s="64">
        <f t="shared" si="20"/>
        <v>0</v>
      </c>
      <c r="N176" s="17" t="s">
        <v>16</v>
      </c>
      <c r="O176" s="18"/>
      <c r="P176" s="23">
        <f t="shared" si="21"/>
        <v>0</v>
      </c>
      <c r="Q176" s="90">
        <v>24.99</v>
      </c>
      <c r="R176" s="43">
        <f t="shared" si="22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3"/>
      <c r="F177" s="70">
        <v>0</v>
      </c>
      <c r="G177" s="46">
        <f t="shared" si="15"/>
        <v>0</v>
      </c>
      <c r="H177" s="78">
        <v>0</v>
      </c>
      <c r="I177" s="76">
        <v>0</v>
      </c>
      <c r="J177" s="46">
        <f t="shared" si="16"/>
        <v>0</v>
      </c>
      <c r="K177" s="71"/>
      <c r="L177" s="20">
        <v>80</v>
      </c>
      <c r="M177" s="64">
        <f t="shared" si="20"/>
        <v>0</v>
      </c>
      <c r="N177" s="17" t="s">
        <v>16</v>
      </c>
      <c r="O177" s="18"/>
      <c r="P177" s="23">
        <f t="shared" si="21"/>
        <v>0</v>
      </c>
      <c r="Q177" s="92"/>
      <c r="R177" s="43">
        <f t="shared" si="22"/>
        <v>0</v>
      </c>
    </row>
    <row r="178" spans="1:18" ht="24.6" x14ac:dyDescent="0.65">
      <c r="A178" s="10">
        <v>174</v>
      </c>
      <c r="B178" s="10"/>
      <c r="C178" s="19" t="s">
        <v>1394</v>
      </c>
      <c r="D178" s="10" t="s">
        <v>566</v>
      </c>
      <c r="E178" s="63"/>
      <c r="F178" s="70">
        <v>0</v>
      </c>
      <c r="G178" s="46">
        <f t="shared" si="15"/>
        <v>0</v>
      </c>
      <c r="H178" s="78">
        <v>0</v>
      </c>
      <c r="I178" s="76">
        <v>0</v>
      </c>
      <c r="J178" s="46">
        <f t="shared" si="16"/>
        <v>0</v>
      </c>
      <c r="K178" s="71"/>
      <c r="L178" s="20">
        <v>15</v>
      </c>
      <c r="M178" s="64">
        <f t="shared" ref="M178" si="23">+L178*K178</f>
        <v>0</v>
      </c>
      <c r="N178" s="17" t="s">
        <v>16</v>
      </c>
      <c r="O178" s="18"/>
      <c r="P178" s="23">
        <f t="shared" ref="P178" si="24">SUM(M178-O178)</f>
        <v>0</v>
      </c>
      <c r="Q178" s="92"/>
      <c r="R178" s="43">
        <f t="shared" ref="R178" si="25">+K178*Q178</f>
        <v>0</v>
      </c>
    </row>
    <row r="179" spans="1:18" ht="24.6" x14ac:dyDescent="0.65">
      <c r="A179" s="10">
        <v>175</v>
      </c>
      <c r="B179" s="10"/>
      <c r="C179" s="19" t="s">
        <v>1393</v>
      </c>
      <c r="D179" s="10" t="s">
        <v>606</v>
      </c>
      <c r="E179" s="63"/>
      <c r="F179" s="70">
        <v>0</v>
      </c>
      <c r="G179" s="46">
        <f t="shared" si="15"/>
        <v>0</v>
      </c>
      <c r="H179" s="78">
        <v>0</v>
      </c>
      <c r="I179" s="76">
        <v>0</v>
      </c>
      <c r="J179" s="46">
        <f t="shared" si="16"/>
        <v>0</v>
      </c>
      <c r="K179" s="71"/>
      <c r="L179" s="20">
        <v>80</v>
      </c>
      <c r="M179" s="64">
        <f t="shared" ref="M179" si="26">+L179*K179</f>
        <v>0</v>
      </c>
      <c r="N179" s="17" t="s">
        <v>16</v>
      </c>
      <c r="O179" s="18"/>
      <c r="P179" s="23">
        <f t="shared" ref="P179" si="27">SUM(M179-O179)</f>
        <v>0</v>
      </c>
      <c r="Q179" s="92"/>
      <c r="R179" s="43">
        <f t="shared" ref="R179" si="28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3"/>
      <c r="F180" s="70">
        <v>0</v>
      </c>
      <c r="G180" s="46">
        <f t="shared" si="15"/>
        <v>0</v>
      </c>
      <c r="H180" s="78">
        <v>0</v>
      </c>
      <c r="I180" s="76">
        <v>0</v>
      </c>
      <c r="J180" s="46">
        <f t="shared" si="16"/>
        <v>0</v>
      </c>
      <c r="K180" s="71"/>
      <c r="L180" s="20">
        <v>35</v>
      </c>
      <c r="M180" s="64">
        <f t="shared" si="20"/>
        <v>0</v>
      </c>
      <c r="N180" s="17" t="s">
        <v>16</v>
      </c>
      <c r="O180" s="18"/>
      <c r="P180" s="23">
        <f t="shared" si="21"/>
        <v>0</v>
      </c>
      <c r="Q180" s="90">
        <v>40.28</v>
      </c>
      <c r="R180" s="43">
        <f t="shared" si="22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3"/>
      <c r="F181" s="70">
        <v>0</v>
      </c>
      <c r="G181" s="46">
        <f t="shared" si="15"/>
        <v>0</v>
      </c>
      <c r="H181" s="78">
        <v>0</v>
      </c>
      <c r="I181" s="76">
        <v>0</v>
      </c>
      <c r="J181" s="46">
        <f t="shared" si="16"/>
        <v>0</v>
      </c>
      <c r="K181" s="71"/>
      <c r="L181" s="20">
        <v>35</v>
      </c>
      <c r="M181" s="64">
        <f t="shared" si="20"/>
        <v>0</v>
      </c>
      <c r="N181" s="17" t="s">
        <v>16</v>
      </c>
      <c r="O181" s="18"/>
      <c r="P181" s="23">
        <f t="shared" si="21"/>
        <v>0</v>
      </c>
      <c r="Q181" s="92"/>
      <c r="R181" s="43">
        <f t="shared" si="22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3"/>
      <c r="F182" s="70">
        <v>0</v>
      </c>
      <c r="G182" s="46">
        <f t="shared" si="15"/>
        <v>0</v>
      </c>
      <c r="H182" s="78">
        <v>0</v>
      </c>
      <c r="I182" s="76">
        <v>0</v>
      </c>
      <c r="J182" s="46">
        <f t="shared" si="16"/>
        <v>0</v>
      </c>
      <c r="K182" s="71"/>
      <c r="L182" s="20">
        <v>60</v>
      </c>
      <c r="M182" s="64">
        <f t="shared" si="20"/>
        <v>0</v>
      </c>
      <c r="N182" s="17" t="s">
        <v>16</v>
      </c>
      <c r="O182" s="18"/>
      <c r="P182" s="23">
        <f t="shared" si="21"/>
        <v>0</v>
      </c>
      <c r="Q182" s="90">
        <v>38</v>
      </c>
      <c r="R182" s="43">
        <f t="shared" si="22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3"/>
      <c r="F183" s="70">
        <v>0</v>
      </c>
      <c r="G183" s="46">
        <f t="shared" si="15"/>
        <v>0</v>
      </c>
      <c r="H183" s="78">
        <v>0</v>
      </c>
      <c r="I183" s="76">
        <v>0</v>
      </c>
      <c r="J183" s="46">
        <f t="shared" si="16"/>
        <v>0</v>
      </c>
      <c r="K183" s="71"/>
      <c r="L183" s="20">
        <v>120</v>
      </c>
      <c r="M183" s="64">
        <f t="shared" si="20"/>
        <v>0</v>
      </c>
      <c r="N183" s="17" t="s">
        <v>16</v>
      </c>
      <c r="O183" s="18"/>
      <c r="P183" s="23">
        <f t="shared" si="21"/>
        <v>0</v>
      </c>
      <c r="Q183" s="90">
        <v>73</v>
      </c>
      <c r="R183" s="43">
        <f t="shared" si="22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3"/>
      <c r="F184" s="70">
        <v>0</v>
      </c>
      <c r="G184" s="46">
        <f t="shared" si="15"/>
        <v>0</v>
      </c>
      <c r="H184" s="78">
        <v>0</v>
      </c>
      <c r="I184" s="76">
        <v>0</v>
      </c>
      <c r="J184" s="46">
        <f t="shared" si="16"/>
        <v>0</v>
      </c>
      <c r="K184" s="71"/>
      <c r="L184" s="20">
        <v>60</v>
      </c>
      <c r="M184" s="64">
        <f t="shared" si="20"/>
        <v>0</v>
      </c>
      <c r="N184" s="17" t="s">
        <v>16</v>
      </c>
      <c r="O184" s="18"/>
      <c r="P184" s="23">
        <f t="shared" si="21"/>
        <v>0</v>
      </c>
      <c r="Q184" s="90">
        <v>38</v>
      </c>
      <c r="R184" s="43">
        <f t="shared" si="22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3"/>
      <c r="F185" s="70">
        <v>0</v>
      </c>
      <c r="G185" s="46">
        <f t="shared" si="15"/>
        <v>0</v>
      </c>
      <c r="H185" s="78">
        <v>0</v>
      </c>
      <c r="I185" s="76">
        <v>0</v>
      </c>
      <c r="J185" s="46">
        <f t="shared" si="16"/>
        <v>0</v>
      </c>
      <c r="K185" s="71"/>
      <c r="L185" s="20">
        <v>120</v>
      </c>
      <c r="M185" s="64">
        <f t="shared" si="20"/>
        <v>0</v>
      </c>
      <c r="N185" s="17" t="s">
        <v>16</v>
      </c>
      <c r="O185" s="18"/>
      <c r="P185" s="23">
        <f t="shared" si="21"/>
        <v>0</v>
      </c>
      <c r="Q185" s="90">
        <v>73</v>
      </c>
      <c r="R185" s="43">
        <f t="shared" si="22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3"/>
      <c r="F186" s="70">
        <v>0</v>
      </c>
      <c r="G186" s="46">
        <f t="shared" si="15"/>
        <v>0</v>
      </c>
      <c r="H186" s="78">
        <v>0</v>
      </c>
      <c r="I186" s="76">
        <v>0</v>
      </c>
      <c r="J186" s="46">
        <f t="shared" si="16"/>
        <v>0</v>
      </c>
      <c r="K186" s="71"/>
      <c r="L186" s="20">
        <v>50</v>
      </c>
      <c r="M186" s="64">
        <f t="shared" si="20"/>
        <v>0</v>
      </c>
      <c r="N186" s="17" t="s">
        <v>16</v>
      </c>
      <c r="O186" s="18"/>
      <c r="P186" s="23">
        <f t="shared" si="21"/>
        <v>0</v>
      </c>
      <c r="Q186" s="90">
        <v>23.74</v>
      </c>
      <c r="R186" s="43">
        <f t="shared" si="22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3"/>
      <c r="F187" s="70">
        <v>0</v>
      </c>
      <c r="G187" s="46">
        <f t="shared" si="15"/>
        <v>0</v>
      </c>
      <c r="H187" s="78">
        <v>0</v>
      </c>
      <c r="I187" s="76">
        <v>0</v>
      </c>
      <c r="J187" s="46">
        <f t="shared" si="16"/>
        <v>0</v>
      </c>
      <c r="K187" s="71"/>
      <c r="L187" s="20">
        <v>150</v>
      </c>
      <c r="M187" s="64">
        <f t="shared" si="20"/>
        <v>0</v>
      </c>
      <c r="N187" s="17" t="s">
        <v>16</v>
      </c>
      <c r="O187" s="18"/>
      <c r="P187" s="23">
        <f t="shared" si="21"/>
        <v>0</v>
      </c>
      <c r="Q187" s="90">
        <v>64.38</v>
      </c>
      <c r="R187" s="43">
        <f t="shared" si="22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3"/>
      <c r="F188" s="70">
        <v>0</v>
      </c>
      <c r="G188" s="46">
        <f t="shared" si="15"/>
        <v>0</v>
      </c>
      <c r="H188" s="78">
        <v>0</v>
      </c>
      <c r="I188" s="76">
        <v>0</v>
      </c>
      <c r="J188" s="46">
        <f t="shared" si="16"/>
        <v>0</v>
      </c>
      <c r="K188" s="71"/>
      <c r="L188" s="20">
        <v>135</v>
      </c>
      <c r="M188" s="64">
        <f t="shared" si="20"/>
        <v>0</v>
      </c>
      <c r="N188" s="17" t="s">
        <v>16</v>
      </c>
      <c r="O188" s="18"/>
      <c r="P188" s="23">
        <f t="shared" si="21"/>
        <v>0</v>
      </c>
      <c r="Q188" s="92"/>
      <c r="R188" s="43">
        <f t="shared" si="22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3"/>
      <c r="F189" s="70">
        <v>0</v>
      </c>
      <c r="G189" s="46">
        <f t="shared" si="15"/>
        <v>0</v>
      </c>
      <c r="H189" s="78">
        <v>0</v>
      </c>
      <c r="I189" s="76">
        <v>0</v>
      </c>
      <c r="J189" s="46">
        <f t="shared" si="16"/>
        <v>0</v>
      </c>
      <c r="K189" s="71"/>
      <c r="L189" s="20">
        <v>100</v>
      </c>
      <c r="M189" s="64">
        <f t="shared" si="20"/>
        <v>0</v>
      </c>
      <c r="N189" s="17" t="s">
        <v>16</v>
      </c>
      <c r="O189" s="18"/>
      <c r="P189" s="23">
        <f t="shared" si="21"/>
        <v>0</v>
      </c>
      <c r="Q189" s="92"/>
      <c r="R189" s="43">
        <f t="shared" si="22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3"/>
      <c r="F190" s="70">
        <v>0</v>
      </c>
      <c r="G190" s="46">
        <f t="shared" si="15"/>
        <v>0</v>
      </c>
      <c r="H190" s="78">
        <v>0</v>
      </c>
      <c r="I190" s="76">
        <v>0</v>
      </c>
      <c r="J190" s="46">
        <f t="shared" si="16"/>
        <v>0</v>
      </c>
      <c r="K190" s="71"/>
      <c r="L190" s="20">
        <v>90</v>
      </c>
      <c r="M190" s="64">
        <f t="shared" si="20"/>
        <v>0</v>
      </c>
      <c r="N190" s="17" t="s">
        <v>16</v>
      </c>
      <c r="O190" s="18"/>
      <c r="P190" s="23">
        <f t="shared" si="21"/>
        <v>0</v>
      </c>
      <c r="Q190" s="92"/>
      <c r="R190" s="43">
        <f t="shared" si="22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3"/>
      <c r="F191" s="70">
        <v>0</v>
      </c>
      <c r="G191" s="46">
        <f t="shared" si="15"/>
        <v>0</v>
      </c>
      <c r="H191" s="78">
        <v>0</v>
      </c>
      <c r="I191" s="76">
        <v>0</v>
      </c>
      <c r="J191" s="46">
        <f t="shared" si="16"/>
        <v>0</v>
      </c>
      <c r="K191" s="71"/>
      <c r="L191" s="20">
        <v>90</v>
      </c>
      <c r="M191" s="64">
        <f t="shared" si="20"/>
        <v>0</v>
      </c>
      <c r="N191" s="17" t="s">
        <v>16</v>
      </c>
      <c r="O191" s="18"/>
      <c r="P191" s="23">
        <f t="shared" si="21"/>
        <v>0</v>
      </c>
      <c r="Q191" s="92"/>
      <c r="R191" s="43">
        <f t="shared" si="22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3"/>
      <c r="F192" s="70">
        <v>0</v>
      </c>
      <c r="G192" s="46">
        <f t="shared" si="15"/>
        <v>0</v>
      </c>
      <c r="H192" s="78">
        <v>0</v>
      </c>
      <c r="I192" s="76">
        <v>0</v>
      </c>
      <c r="J192" s="46">
        <f t="shared" si="16"/>
        <v>0</v>
      </c>
      <c r="K192" s="71"/>
      <c r="L192" s="20">
        <v>90</v>
      </c>
      <c r="M192" s="64">
        <f t="shared" si="20"/>
        <v>0</v>
      </c>
      <c r="N192" s="17" t="s">
        <v>16</v>
      </c>
      <c r="O192" s="18"/>
      <c r="P192" s="23">
        <f t="shared" si="21"/>
        <v>0</v>
      </c>
      <c r="Q192" s="92"/>
      <c r="R192" s="43">
        <f t="shared" si="22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3"/>
      <c r="F193" s="70">
        <v>0</v>
      </c>
      <c r="G193" s="46">
        <f t="shared" si="15"/>
        <v>0</v>
      </c>
      <c r="H193" s="78">
        <v>0</v>
      </c>
      <c r="I193" s="76">
        <v>0</v>
      </c>
      <c r="J193" s="46">
        <f t="shared" si="16"/>
        <v>0</v>
      </c>
      <c r="K193" s="71"/>
      <c r="L193" s="20">
        <v>90</v>
      </c>
      <c r="M193" s="64">
        <f t="shared" si="20"/>
        <v>0</v>
      </c>
      <c r="N193" s="17" t="s">
        <v>16</v>
      </c>
      <c r="O193" s="18"/>
      <c r="P193" s="23">
        <f t="shared" si="21"/>
        <v>0</v>
      </c>
      <c r="Q193" s="92"/>
      <c r="R193" s="43">
        <f t="shared" si="22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3"/>
      <c r="F194" s="70">
        <v>0</v>
      </c>
      <c r="G194" s="46">
        <f t="shared" si="15"/>
        <v>0</v>
      </c>
      <c r="H194" s="78">
        <v>0</v>
      </c>
      <c r="I194" s="76">
        <v>0</v>
      </c>
      <c r="J194" s="46">
        <f t="shared" si="16"/>
        <v>0</v>
      </c>
      <c r="K194" s="71"/>
      <c r="L194" s="20">
        <v>55</v>
      </c>
      <c r="M194" s="64">
        <f t="shared" si="20"/>
        <v>0</v>
      </c>
      <c r="N194" s="17" t="s">
        <v>16</v>
      </c>
      <c r="O194" s="18"/>
      <c r="P194" s="23">
        <f t="shared" si="21"/>
        <v>0</v>
      </c>
      <c r="Q194" s="92"/>
      <c r="R194" s="43">
        <f t="shared" si="22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3"/>
      <c r="F195" s="70">
        <v>0</v>
      </c>
      <c r="G195" s="46">
        <f t="shared" si="15"/>
        <v>0</v>
      </c>
      <c r="H195" s="78">
        <v>0</v>
      </c>
      <c r="I195" s="76">
        <v>0</v>
      </c>
      <c r="J195" s="46">
        <f t="shared" si="16"/>
        <v>0</v>
      </c>
      <c r="K195" s="71"/>
      <c r="L195" s="20">
        <v>85</v>
      </c>
      <c r="M195" s="64">
        <f t="shared" si="20"/>
        <v>0</v>
      </c>
      <c r="N195" s="17" t="s">
        <v>16</v>
      </c>
      <c r="O195" s="18"/>
      <c r="P195" s="23">
        <f t="shared" si="21"/>
        <v>0</v>
      </c>
      <c r="Q195" s="92"/>
      <c r="R195" s="43">
        <f t="shared" si="22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3"/>
      <c r="F196" s="70">
        <v>0</v>
      </c>
      <c r="G196" s="46">
        <f t="shared" si="15"/>
        <v>0</v>
      </c>
      <c r="H196" s="78">
        <v>0</v>
      </c>
      <c r="I196" s="76">
        <v>0</v>
      </c>
      <c r="J196" s="46">
        <f t="shared" si="16"/>
        <v>0</v>
      </c>
      <c r="K196" s="71"/>
      <c r="L196" s="20">
        <v>50</v>
      </c>
      <c r="M196" s="64">
        <f t="shared" si="20"/>
        <v>0</v>
      </c>
      <c r="N196" s="17" t="s">
        <v>16</v>
      </c>
      <c r="O196" s="18"/>
      <c r="P196" s="23">
        <f t="shared" si="21"/>
        <v>0</v>
      </c>
      <c r="Q196" s="90">
        <v>33</v>
      </c>
      <c r="R196" s="43">
        <f t="shared" si="22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3"/>
      <c r="F197" s="70">
        <v>0</v>
      </c>
      <c r="G197" s="46">
        <f t="shared" si="15"/>
        <v>0</v>
      </c>
      <c r="H197" s="78">
        <v>0</v>
      </c>
      <c r="I197" s="76">
        <v>0</v>
      </c>
      <c r="J197" s="46">
        <f t="shared" si="16"/>
        <v>0</v>
      </c>
      <c r="K197" s="71"/>
      <c r="L197" s="20">
        <v>120</v>
      </c>
      <c r="M197" s="64">
        <f t="shared" si="20"/>
        <v>0</v>
      </c>
      <c r="N197" s="17" t="s">
        <v>16</v>
      </c>
      <c r="O197" s="18"/>
      <c r="P197" s="23">
        <f t="shared" si="21"/>
        <v>0</v>
      </c>
      <c r="Q197" s="90">
        <v>83</v>
      </c>
      <c r="R197" s="43">
        <f t="shared" si="22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3"/>
      <c r="F198" s="70">
        <v>0</v>
      </c>
      <c r="G198" s="46">
        <f t="shared" ref="G198:G239" si="29">E198+F198</f>
        <v>0</v>
      </c>
      <c r="H198" s="78">
        <v>0</v>
      </c>
      <c r="I198" s="76">
        <v>0</v>
      </c>
      <c r="J198" s="46">
        <f t="shared" ref="J198:J239" si="30">+G198-H198-K198-I198</f>
        <v>0</v>
      </c>
      <c r="K198" s="71"/>
      <c r="L198" s="20">
        <v>25</v>
      </c>
      <c r="M198" s="64">
        <f>+L198*K198</f>
        <v>0</v>
      </c>
      <c r="N198" s="17" t="s">
        <v>16</v>
      </c>
      <c r="O198" s="18"/>
      <c r="P198" s="23">
        <f>SUM(M198-O198)</f>
        <v>0</v>
      </c>
      <c r="Q198" s="90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3"/>
      <c r="F199" s="70">
        <v>0</v>
      </c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1"/>
      <c r="L199" s="20">
        <v>25</v>
      </c>
      <c r="M199" s="64">
        <f t="shared" si="20"/>
        <v>0</v>
      </c>
      <c r="N199" s="17" t="s">
        <v>16</v>
      </c>
      <c r="O199" s="18"/>
      <c r="P199" s="23">
        <f t="shared" si="21"/>
        <v>0</v>
      </c>
      <c r="Q199" s="90">
        <v>15</v>
      </c>
      <c r="R199" s="43">
        <f t="shared" si="22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3"/>
      <c r="F200" s="70">
        <v>0</v>
      </c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1"/>
      <c r="L200" s="20">
        <v>25</v>
      </c>
      <c r="M200" s="64">
        <f t="shared" si="20"/>
        <v>0</v>
      </c>
      <c r="N200" s="17" t="s">
        <v>16</v>
      </c>
      <c r="O200" s="18"/>
      <c r="P200" s="23">
        <f t="shared" si="21"/>
        <v>0</v>
      </c>
      <c r="Q200" s="90">
        <v>15</v>
      </c>
      <c r="R200" s="43">
        <f t="shared" si="22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3"/>
      <c r="F201" s="70">
        <v>0</v>
      </c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1"/>
      <c r="L201" s="20">
        <v>25</v>
      </c>
      <c r="M201" s="64">
        <f t="shared" si="20"/>
        <v>0</v>
      </c>
      <c r="N201" s="17" t="s">
        <v>16</v>
      </c>
      <c r="O201" s="18"/>
      <c r="P201" s="23">
        <f t="shared" si="21"/>
        <v>0</v>
      </c>
      <c r="Q201" s="90">
        <v>15</v>
      </c>
      <c r="R201" s="43">
        <f t="shared" si="22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3"/>
      <c r="F202" s="70">
        <v>0</v>
      </c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1"/>
      <c r="L202" s="20">
        <v>25</v>
      </c>
      <c r="M202" s="64">
        <f>+L202*K202</f>
        <v>0</v>
      </c>
      <c r="N202" s="17" t="s">
        <v>16</v>
      </c>
      <c r="O202" s="18"/>
      <c r="P202" s="23">
        <f>SUM(M202-O202)</f>
        <v>0</v>
      </c>
      <c r="Q202" s="90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3"/>
      <c r="F203" s="70">
        <v>0</v>
      </c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1"/>
      <c r="L203" s="20">
        <v>10</v>
      </c>
      <c r="M203" s="64">
        <f>+L203*K203</f>
        <v>0</v>
      </c>
      <c r="N203" s="17" t="s">
        <v>16</v>
      </c>
      <c r="O203" s="18"/>
      <c r="P203" s="23">
        <f>SUM(M203-O203)</f>
        <v>0</v>
      </c>
      <c r="Q203" s="92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3"/>
      <c r="F204" s="70">
        <v>0</v>
      </c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1"/>
      <c r="L204" s="20">
        <v>10</v>
      </c>
      <c r="M204" s="64">
        <f t="shared" si="20"/>
        <v>0</v>
      </c>
      <c r="N204" s="17" t="s">
        <v>16</v>
      </c>
      <c r="O204" s="18"/>
      <c r="P204" s="23">
        <f t="shared" si="21"/>
        <v>0</v>
      </c>
      <c r="Q204" s="92"/>
      <c r="R204" s="43">
        <f t="shared" si="22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3"/>
      <c r="F205" s="70">
        <v>0</v>
      </c>
      <c r="G205" s="46">
        <f t="shared" si="29"/>
        <v>0</v>
      </c>
      <c r="H205" s="78">
        <v>0</v>
      </c>
      <c r="I205" s="76">
        <v>0</v>
      </c>
      <c r="J205" s="46">
        <f t="shared" si="30"/>
        <v>0</v>
      </c>
      <c r="K205" s="71"/>
      <c r="L205" s="20">
        <v>10</v>
      </c>
      <c r="M205" s="64">
        <f t="shared" si="20"/>
        <v>0</v>
      </c>
      <c r="N205" s="17" t="s">
        <v>16</v>
      </c>
      <c r="O205" s="18"/>
      <c r="P205" s="23">
        <f t="shared" si="21"/>
        <v>0</v>
      </c>
      <c r="Q205" s="92"/>
      <c r="R205" s="43">
        <f t="shared" si="22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3"/>
      <c r="F206" s="70">
        <v>0</v>
      </c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1"/>
      <c r="L206" s="20">
        <v>20</v>
      </c>
      <c r="M206" s="64">
        <f t="shared" si="20"/>
        <v>0</v>
      </c>
      <c r="N206" s="17" t="s">
        <v>16</v>
      </c>
      <c r="O206" s="18"/>
      <c r="P206" s="23">
        <f t="shared" si="21"/>
        <v>0</v>
      </c>
      <c r="Q206" s="92"/>
      <c r="R206" s="43">
        <f t="shared" si="22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3"/>
      <c r="F207" s="70">
        <v>0</v>
      </c>
      <c r="G207" s="46">
        <f t="shared" si="29"/>
        <v>0</v>
      </c>
      <c r="H207" s="78">
        <v>0</v>
      </c>
      <c r="I207" s="76">
        <v>0</v>
      </c>
      <c r="J207" s="46">
        <f t="shared" si="30"/>
        <v>0</v>
      </c>
      <c r="K207" s="71"/>
      <c r="L207" s="20">
        <v>800</v>
      </c>
      <c r="M207" s="64">
        <f t="shared" si="20"/>
        <v>0</v>
      </c>
      <c r="N207" s="17" t="s">
        <v>16</v>
      </c>
      <c r="O207" s="18"/>
      <c r="P207" s="23">
        <f t="shared" si="21"/>
        <v>0</v>
      </c>
      <c r="Q207" s="92"/>
      <c r="R207" s="43">
        <f t="shared" si="22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3"/>
      <c r="F208" s="70">
        <v>0</v>
      </c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1"/>
      <c r="L208" s="20">
        <v>150</v>
      </c>
      <c r="M208" s="64">
        <f t="shared" si="20"/>
        <v>0</v>
      </c>
      <c r="N208" s="17" t="s">
        <v>16</v>
      </c>
      <c r="O208" s="18"/>
      <c r="P208" s="23">
        <f t="shared" si="21"/>
        <v>0</v>
      </c>
      <c r="Q208" s="92"/>
      <c r="R208" s="43">
        <f t="shared" si="22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3"/>
      <c r="F209" s="70">
        <v>0</v>
      </c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1"/>
      <c r="L209" s="20">
        <v>200</v>
      </c>
      <c r="M209" s="64">
        <f t="shared" si="20"/>
        <v>0</v>
      </c>
      <c r="N209" s="17" t="s">
        <v>16</v>
      </c>
      <c r="O209" s="18"/>
      <c r="P209" s="23">
        <f t="shared" si="21"/>
        <v>0</v>
      </c>
      <c r="Q209" s="92"/>
      <c r="R209" s="43">
        <f t="shared" si="22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3"/>
      <c r="F210" s="70">
        <v>0</v>
      </c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1"/>
      <c r="L210" s="20">
        <v>250</v>
      </c>
      <c r="M210" s="64">
        <f t="shared" si="20"/>
        <v>0</v>
      </c>
      <c r="N210" s="17" t="s">
        <v>16</v>
      </c>
      <c r="O210" s="18"/>
      <c r="P210" s="23">
        <f t="shared" si="21"/>
        <v>0</v>
      </c>
      <c r="Q210" s="92"/>
      <c r="R210" s="43">
        <f t="shared" si="22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3"/>
      <c r="F211" s="70">
        <v>0</v>
      </c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1"/>
      <c r="L211" s="20">
        <v>50</v>
      </c>
      <c r="M211" s="64">
        <f t="shared" si="20"/>
        <v>0</v>
      </c>
      <c r="N211" s="17" t="s">
        <v>16</v>
      </c>
      <c r="O211" s="18"/>
      <c r="P211" s="23">
        <f t="shared" si="21"/>
        <v>0</v>
      </c>
      <c r="Q211" s="92"/>
      <c r="R211" s="43">
        <f t="shared" si="22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3"/>
      <c r="F212" s="70">
        <v>0</v>
      </c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1"/>
      <c r="L212" s="20">
        <v>0</v>
      </c>
      <c r="M212" s="64">
        <f t="shared" si="20"/>
        <v>0</v>
      </c>
      <c r="N212" s="17" t="s">
        <v>16</v>
      </c>
      <c r="O212" s="18"/>
      <c r="P212" s="23">
        <f t="shared" si="21"/>
        <v>0</v>
      </c>
      <c r="Q212" s="92"/>
      <c r="R212" s="43">
        <f t="shared" si="22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3"/>
      <c r="F213" s="70">
        <v>0</v>
      </c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1"/>
      <c r="L213" s="20">
        <v>45</v>
      </c>
      <c r="M213" s="64">
        <f t="shared" si="20"/>
        <v>0</v>
      </c>
      <c r="N213" s="17" t="s">
        <v>16</v>
      </c>
      <c r="O213" s="18"/>
      <c r="P213" s="23">
        <f t="shared" si="21"/>
        <v>0</v>
      </c>
      <c r="Q213" s="90"/>
      <c r="R213" s="43">
        <f t="shared" si="22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3"/>
      <c r="F214" s="70">
        <v>0</v>
      </c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1"/>
      <c r="L214" s="20">
        <v>35</v>
      </c>
      <c r="M214" s="64">
        <f t="shared" si="20"/>
        <v>0</v>
      </c>
      <c r="N214" s="17" t="s">
        <v>16</v>
      </c>
      <c r="O214" s="18"/>
      <c r="P214" s="23">
        <f t="shared" si="21"/>
        <v>0</v>
      </c>
      <c r="Q214" s="90"/>
      <c r="R214" s="43">
        <f t="shared" si="22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3"/>
      <c r="F215" s="70">
        <v>0</v>
      </c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1"/>
      <c r="L215" s="20">
        <v>25</v>
      </c>
      <c r="M215" s="64">
        <f t="shared" si="20"/>
        <v>0</v>
      </c>
      <c r="N215" s="17" t="s">
        <v>16</v>
      </c>
      <c r="O215" s="18"/>
      <c r="P215" s="23">
        <f t="shared" si="21"/>
        <v>0</v>
      </c>
      <c r="Q215" s="90"/>
      <c r="R215" s="43">
        <f t="shared" si="22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3"/>
      <c r="F216" s="70">
        <v>0</v>
      </c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1"/>
      <c r="L216" s="20">
        <v>50</v>
      </c>
      <c r="M216" s="64">
        <f>+L216*K216</f>
        <v>0</v>
      </c>
      <c r="N216" s="17" t="s">
        <v>16</v>
      </c>
      <c r="O216" s="18"/>
      <c r="P216" s="23">
        <f>SUM(M216-O216)</f>
        <v>0</v>
      </c>
      <c r="Q216" s="92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3"/>
      <c r="F217" s="70">
        <v>0</v>
      </c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1"/>
      <c r="L217" s="20">
        <v>60</v>
      </c>
      <c r="M217" s="64">
        <f t="shared" si="20"/>
        <v>0</v>
      </c>
      <c r="N217" s="17" t="s">
        <v>16</v>
      </c>
      <c r="O217" s="18"/>
      <c r="P217" s="23">
        <f t="shared" si="21"/>
        <v>0</v>
      </c>
      <c r="Q217" s="92"/>
      <c r="R217" s="43">
        <f t="shared" si="22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3"/>
      <c r="F218" s="70">
        <v>0</v>
      </c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1"/>
      <c r="L218" s="20">
        <v>250</v>
      </c>
      <c r="M218" s="64">
        <f t="shared" si="20"/>
        <v>0</v>
      </c>
      <c r="N218" s="17" t="s">
        <v>16</v>
      </c>
      <c r="O218" s="18"/>
      <c r="P218" s="23">
        <f t="shared" si="21"/>
        <v>0</v>
      </c>
      <c r="Q218" s="92"/>
      <c r="R218" s="43">
        <f t="shared" si="22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3"/>
      <c r="F219" s="70">
        <v>0</v>
      </c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1"/>
      <c r="L219" s="20">
        <v>100</v>
      </c>
      <c r="M219" s="64">
        <f t="shared" si="20"/>
        <v>0</v>
      </c>
      <c r="N219" s="17" t="s">
        <v>16</v>
      </c>
      <c r="O219" s="18"/>
      <c r="P219" s="23">
        <f t="shared" si="21"/>
        <v>0</v>
      </c>
      <c r="Q219" s="92"/>
      <c r="R219" s="43">
        <f t="shared" si="22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3"/>
      <c r="F220" s="70">
        <v>0</v>
      </c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1"/>
      <c r="L220" s="20">
        <v>350</v>
      </c>
      <c r="M220" s="64">
        <f t="shared" si="20"/>
        <v>0</v>
      </c>
      <c r="N220" s="17" t="s">
        <v>16</v>
      </c>
      <c r="O220" s="18"/>
      <c r="P220" s="23">
        <f t="shared" si="21"/>
        <v>0</v>
      </c>
      <c r="Q220" s="92"/>
      <c r="R220" s="43">
        <f t="shared" si="22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3"/>
      <c r="F221" s="70">
        <v>0</v>
      </c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1"/>
      <c r="L221" s="20">
        <v>60</v>
      </c>
      <c r="M221" s="64">
        <f t="shared" si="20"/>
        <v>0</v>
      </c>
      <c r="N221" s="17" t="s">
        <v>16</v>
      </c>
      <c r="O221" s="18"/>
      <c r="P221" s="23">
        <f t="shared" si="21"/>
        <v>0</v>
      </c>
      <c r="Q221" s="92"/>
      <c r="R221" s="43">
        <f t="shared" si="22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3"/>
      <c r="F222" s="70">
        <v>0</v>
      </c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1"/>
      <c r="L222" s="20">
        <v>50</v>
      </c>
      <c r="M222" s="64">
        <f t="shared" si="20"/>
        <v>0</v>
      </c>
      <c r="N222" s="17" t="s">
        <v>16</v>
      </c>
      <c r="O222" s="18"/>
      <c r="P222" s="23">
        <f t="shared" si="21"/>
        <v>0</v>
      </c>
      <c r="Q222" s="92"/>
      <c r="R222" s="43">
        <f t="shared" si="22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3"/>
      <c r="F223" s="70">
        <v>0</v>
      </c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1"/>
      <c r="L223" s="20">
        <v>100</v>
      </c>
      <c r="M223" s="64">
        <f t="shared" si="20"/>
        <v>0</v>
      </c>
      <c r="N223" s="17" t="s">
        <v>16</v>
      </c>
      <c r="O223" s="18"/>
      <c r="P223" s="23">
        <f t="shared" si="21"/>
        <v>0</v>
      </c>
      <c r="Q223" s="92"/>
      <c r="R223" s="43">
        <f t="shared" si="22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3"/>
      <c r="F224" s="70">
        <v>0</v>
      </c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1"/>
      <c r="L224" s="20">
        <v>120</v>
      </c>
      <c r="M224" s="64">
        <f t="shared" si="20"/>
        <v>0</v>
      </c>
      <c r="N224" s="17" t="s">
        <v>16</v>
      </c>
      <c r="O224" s="18"/>
      <c r="P224" s="23">
        <f t="shared" si="21"/>
        <v>0</v>
      </c>
      <c r="Q224" s="92"/>
      <c r="R224" s="43">
        <f t="shared" si="22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3"/>
      <c r="F225" s="70">
        <v>0</v>
      </c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1"/>
      <c r="L225" s="20">
        <v>60</v>
      </c>
      <c r="M225" s="64">
        <f t="shared" si="20"/>
        <v>0</v>
      </c>
      <c r="N225" s="17" t="s">
        <v>16</v>
      </c>
      <c r="O225" s="18"/>
      <c r="P225" s="23">
        <f t="shared" si="21"/>
        <v>0</v>
      </c>
      <c r="Q225" s="92"/>
      <c r="R225" s="43">
        <f t="shared" si="22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3"/>
      <c r="F226" s="70">
        <v>0</v>
      </c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1"/>
      <c r="L226" s="20">
        <v>150</v>
      </c>
      <c r="M226" s="64">
        <f t="shared" si="20"/>
        <v>0</v>
      </c>
      <c r="N226" s="17" t="s">
        <v>16</v>
      </c>
      <c r="O226" s="18"/>
      <c r="P226" s="23">
        <f t="shared" si="21"/>
        <v>0</v>
      </c>
      <c r="Q226" s="92"/>
      <c r="R226" s="43">
        <f t="shared" si="22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3"/>
      <c r="F227" s="70">
        <v>0</v>
      </c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1"/>
      <c r="L227" s="20">
        <v>150</v>
      </c>
      <c r="M227" s="64">
        <f t="shared" si="20"/>
        <v>0</v>
      </c>
      <c r="N227" s="17" t="s">
        <v>16</v>
      </c>
      <c r="O227" s="18"/>
      <c r="P227" s="23">
        <f t="shared" si="21"/>
        <v>0</v>
      </c>
      <c r="Q227" s="92"/>
      <c r="R227" s="43">
        <f t="shared" si="22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3"/>
      <c r="F228" s="70">
        <v>0</v>
      </c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1"/>
      <c r="L228" s="20">
        <v>200</v>
      </c>
      <c r="M228" s="64">
        <f t="shared" si="20"/>
        <v>0</v>
      </c>
      <c r="N228" s="17" t="s">
        <v>16</v>
      </c>
      <c r="O228" s="18"/>
      <c r="P228" s="23">
        <f t="shared" si="21"/>
        <v>0</v>
      </c>
      <c r="Q228" s="92"/>
      <c r="R228" s="43">
        <f t="shared" si="22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3"/>
      <c r="F229" s="70">
        <v>0</v>
      </c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1"/>
      <c r="L229" s="20"/>
      <c r="M229" s="64">
        <f t="shared" ref="M229:M236" si="31">+L229*K229</f>
        <v>0</v>
      </c>
      <c r="N229" s="17" t="s">
        <v>16</v>
      </c>
      <c r="O229" s="18"/>
      <c r="P229" s="23">
        <f t="shared" ref="P229:P236" si="32">SUM(M229-O229)</f>
        <v>0</v>
      </c>
      <c r="Q229" s="92"/>
      <c r="R229" s="43">
        <f t="shared" ref="R229:R236" si="33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3"/>
      <c r="F230" s="70">
        <v>0</v>
      </c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 t="shared" si="32"/>
        <v>0</v>
      </c>
      <c r="Q230" s="92"/>
      <c r="R230" s="43">
        <f t="shared" si="33"/>
        <v>0</v>
      </c>
    </row>
    <row r="231" spans="1:19" ht="24" customHeight="1" x14ac:dyDescent="0.65">
      <c r="A231" s="10">
        <v>227</v>
      </c>
      <c r="B231" s="10"/>
      <c r="C231" s="19" t="s">
        <v>1398</v>
      </c>
      <c r="D231" s="10" t="s">
        <v>566</v>
      </c>
      <c r="E231" s="63"/>
      <c r="F231" s="70">
        <v>0</v>
      </c>
      <c r="G231" s="46">
        <f t="shared" si="29"/>
        <v>0</v>
      </c>
      <c r="H231" s="78">
        <v>0</v>
      </c>
      <c r="I231" s="76">
        <v>0</v>
      </c>
      <c r="J231" s="46">
        <f t="shared" si="30"/>
        <v>0</v>
      </c>
      <c r="K231" s="71"/>
      <c r="L231" s="20">
        <v>25</v>
      </c>
      <c r="M231" s="64">
        <f t="shared" si="31"/>
        <v>0</v>
      </c>
      <c r="N231" s="17" t="s">
        <v>16</v>
      </c>
      <c r="O231" s="18"/>
      <c r="P231" s="23">
        <f t="shared" si="32"/>
        <v>0</v>
      </c>
      <c r="Q231" s="92"/>
      <c r="R231" s="43">
        <f t="shared" si="33"/>
        <v>0</v>
      </c>
    </row>
    <row r="232" spans="1:19" ht="24" customHeight="1" x14ac:dyDescent="0.65">
      <c r="A232" s="10">
        <v>228</v>
      </c>
      <c r="B232" s="10"/>
      <c r="C232" s="19" t="s">
        <v>312</v>
      </c>
      <c r="D232" s="10" t="s">
        <v>434</v>
      </c>
      <c r="E232" s="63"/>
      <c r="F232" s="70">
        <v>0</v>
      </c>
      <c r="G232" s="46">
        <f t="shared" si="29"/>
        <v>0</v>
      </c>
      <c r="H232" s="78">
        <v>0</v>
      </c>
      <c r="I232" s="76">
        <v>0</v>
      </c>
      <c r="J232" s="46">
        <f t="shared" si="30"/>
        <v>0</v>
      </c>
      <c r="K232" s="71"/>
      <c r="L232" s="20">
        <v>35</v>
      </c>
      <c r="M232" s="64">
        <f t="shared" si="31"/>
        <v>0</v>
      </c>
      <c r="N232" s="17" t="s">
        <v>16</v>
      </c>
      <c r="O232" s="18"/>
      <c r="P232" s="23">
        <f t="shared" si="32"/>
        <v>0</v>
      </c>
      <c r="Q232" s="92"/>
      <c r="R232" s="43">
        <f t="shared" si="33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3"/>
      <c r="F233" s="70">
        <v>0</v>
      </c>
      <c r="G233" s="46">
        <f t="shared" si="29"/>
        <v>0</v>
      </c>
      <c r="H233" s="78">
        <v>0</v>
      </c>
      <c r="I233" s="76">
        <v>0</v>
      </c>
      <c r="J233" s="46">
        <f t="shared" si="30"/>
        <v>0</v>
      </c>
      <c r="K233" s="71"/>
      <c r="L233" s="20"/>
      <c r="M233" s="64">
        <f t="shared" si="31"/>
        <v>0</v>
      </c>
      <c r="N233" s="17" t="s">
        <v>16</v>
      </c>
      <c r="O233" s="18"/>
      <c r="P233" s="23">
        <f t="shared" si="32"/>
        <v>0</v>
      </c>
      <c r="Q233" s="92"/>
      <c r="R233" s="43">
        <f t="shared" si="33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3"/>
      <c r="F234" s="70">
        <v>0</v>
      </c>
      <c r="G234" s="46">
        <f t="shared" si="29"/>
        <v>0</v>
      </c>
      <c r="H234" s="78">
        <v>0</v>
      </c>
      <c r="I234" s="76">
        <v>0</v>
      </c>
      <c r="J234" s="46">
        <f t="shared" si="30"/>
        <v>0</v>
      </c>
      <c r="K234" s="71"/>
      <c r="L234" s="20"/>
      <c r="M234" s="64">
        <f t="shared" si="31"/>
        <v>0</v>
      </c>
      <c r="N234" s="17" t="s">
        <v>16</v>
      </c>
      <c r="O234" s="18"/>
      <c r="P234" s="23">
        <f t="shared" si="32"/>
        <v>0</v>
      </c>
      <c r="Q234" s="92"/>
      <c r="R234" s="43">
        <f t="shared" si="33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3"/>
      <c r="F235" s="70">
        <v>0</v>
      </c>
      <c r="G235" s="46">
        <f t="shared" si="29"/>
        <v>0</v>
      </c>
      <c r="H235" s="78">
        <v>0</v>
      </c>
      <c r="I235" s="76">
        <v>0</v>
      </c>
      <c r="J235" s="46">
        <f t="shared" si="30"/>
        <v>0</v>
      </c>
      <c r="K235" s="71"/>
      <c r="L235" s="20"/>
      <c r="M235" s="64">
        <f t="shared" si="31"/>
        <v>0</v>
      </c>
      <c r="N235" s="17" t="s">
        <v>16</v>
      </c>
      <c r="O235" s="18"/>
      <c r="P235" s="23">
        <f t="shared" si="32"/>
        <v>0</v>
      </c>
      <c r="Q235" s="92"/>
      <c r="R235" s="43">
        <f t="shared" si="33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3"/>
      <c r="F236" s="70">
        <v>0</v>
      </c>
      <c r="G236" s="46">
        <f t="shared" si="29"/>
        <v>0</v>
      </c>
      <c r="H236" s="78">
        <v>0</v>
      </c>
      <c r="I236" s="76">
        <v>0</v>
      </c>
      <c r="J236" s="46">
        <f t="shared" si="30"/>
        <v>0</v>
      </c>
      <c r="K236" s="71"/>
      <c r="L236" s="20"/>
      <c r="M236" s="64">
        <f t="shared" si="31"/>
        <v>0</v>
      </c>
      <c r="N236" s="17" t="s">
        <v>16</v>
      </c>
      <c r="O236" s="18"/>
      <c r="P236" s="23">
        <f t="shared" si="32"/>
        <v>0</v>
      </c>
      <c r="Q236" s="92"/>
      <c r="R236" s="43">
        <f t="shared" si="33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3"/>
      <c r="F237" s="70">
        <v>0</v>
      </c>
      <c r="G237" s="46">
        <f t="shared" si="29"/>
        <v>0</v>
      </c>
      <c r="H237" s="78">
        <v>0</v>
      </c>
      <c r="I237" s="76">
        <v>0</v>
      </c>
      <c r="J237" s="46">
        <f t="shared" si="30"/>
        <v>0</v>
      </c>
      <c r="K237" s="71"/>
      <c r="L237" s="20"/>
      <c r="M237" s="64">
        <f t="shared" ref="M237:M238" si="34">+L237*K237</f>
        <v>0</v>
      </c>
      <c r="N237" s="17" t="s">
        <v>16</v>
      </c>
      <c r="O237" s="18"/>
      <c r="P237" s="23">
        <f t="shared" ref="P237:P238" si="35">SUM(M237-O237)</f>
        <v>0</v>
      </c>
      <c r="Q237" s="92"/>
      <c r="R237" s="43">
        <f t="shared" ref="R237:R238" si="36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3">
        <f>+ยกมา!J230</f>
        <v>0</v>
      </c>
      <c r="F238" s="70">
        <v>0</v>
      </c>
      <c r="G238" s="46">
        <f t="shared" si="29"/>
        <v>0</v>
      </c>
      <c r="H238" s="78">
        <v>0</v>
      </c>
      <c r="I238" s="76">
        <v>0</v>
      </c>
      <c r="J238" s="46">
        <f t="shared" si="30"/>
        <v>0</v>
      </c>
      <c r="K238" s="71"/>
      <c r="L238" s="20"/>
      <c r="M238" s="64">
        <f t="shared" si="34"/>
        <v>0</v>
      </c>
      <c r="N238" s="17" t="s">
        <v>16</v>
      </c>
      <c r="O238" s="18"/>
      <c r="P238" s="23">
        <f t="shared" si="35"/>
        <v>0</v>
      </c>
      <c r="Q238" s="92"/>
      <c r="R238" s="43">
        <f t="shared" si="36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3"/>
      <c r="F239" s="70">
        <v>0</v>
      </c>
      <c r="G239" s="46">
        <f t="shared" si="29"/>
        <v>0</v>
      </c>
      <c r="H239" s="78">
        <v>0</v>
      </c>
      <c r="I239" s="76">
        <v>0</v>
      </c>
      <c r="J239" s="46">
        <f t="shared" si="30"/>
        <v>0</v>
      </c>
      <c r="K239" s="71"/>
      <c r="L239" s="20"/>
      <c r="M239" s="64">
        <f t="shared" si="20"/>
        <v>0</v>
      </c>
      <c r="N239" s="17" t="s">
        <v>16</v>
      </c>
      <c r="O239" s="18"/>
      <c r="P239" s="23">
        <f t="shared" si="21"/>
        <v>0</v>
      </c>
      <c r="Q239" s="92"/>
      <c r="R239" s="43">
        <f t="shared" si="22"/>
        <v>0</v>
      </c>
    </row>
    <row r="240" spans="1:19" ht="24.6" x14ac:dyDescent="0.65">
      <c r="A240" s="1"/>
      <c r="B240" s="1"/>
      <c r="E240" s="24"/>
      <c r="F240" s="25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4" t="s">
        <v>213</v>
      </c>
      <c r="Q240" s="91"/>
      <c r="R240" s="75">
        <f>SUM(R5:R239)</f>
        <v>0</v>
      </c>
      <c r="S240" s="75"/>
    </row>
    <row r="241" spans="1:15" ht="25.5" customHeight="1" x14ac:dyDescent="0.6">
      <c r="A241" s="1"/>
      <c r="B241" s="1"/>
      <c r="E241" s="24"/>
      <c r="F241" s="25"/>
      <c r="G241" s="24"/>
      <c r="H241" s="25"/>
      <c r="I241" s="25"/>
      <c r="J241" s="24"/>
      <c r="K241" s="161" t="s">
        <v>212</v>
      </c>
      <c r="L241" s="16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31"/>
      <c r="G242" s="31"/>
      <c r="J242" s="31"/>
      <c r="K242" s="32"/>
      <c r="L242" s="163" t="s">
        <v>202</v>
      </c>
      <c r="M242" s="163"/>
      <c r="N242" s="33">
        <f>SUM(M5:M241)</f>
        <v>0</v>
      </c>
    </row>
    <row r="243" spans="1:15" ht="24.6" x14ac:dyDescent="0.65">
      <c r="A243" s="1"/>
      <c r="B243" s="1"/>
      <c r="E243" s="31"/>
      <c r="G243" s="31"/>
      <c r="J243" s="31"/>
      <c r="L243" s="158" t="s">
        <v>203</v>
      </c>
      <c r="M243" s="159"/>
      <c r="N243" s="36">
        <v>0</v>
      </c>
    </row>
    <row r="244" spans="1:15" ht="24.6" x14ac:dyDescent="0.65">
      <c r="A244" s="1"/>
      <c r="B244" s="1"/>
      <c r="E244" s="3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31"/>
      <c r="G245" s="31"/>
      <c r="J245" s="31"/>
      <c r="L245" s="158" t="s">
        <v>205</v>
      </c>
      <c r="M245" s="159"/>
      <c r="N245" s="36">
        <v>0</v>
      </c>
    </row>
    <row r="246" spans="1:15" ht="24.6" x14ac:dyDescent="0.65">
      <c r="A246" s="1"/>
      <c r="B246" s="1"/>
      <c r="E246" s="31"/>
      <c r="G246" s="31"/>
      <c r="J246" s="31"/>
      <c r="L246" s="158" t="s">
        <v>206</v>
      </c>
      <c r="M246" s="159"/>
      <c r="N246" s="36">
        <v>0</v>
      </c>
    </row>
    <row r="247" spans="1:15" ht="24.6" x14ac:dyDescent="0.65">
      <c r="A247" s="1"/>
      <c r="B247" s="1"/>
      <c r="E247" s="31"/>
      <c r="G247" s="31"/>
      <c r="J247" s="31"/>
      <c r="L247" s="158" t="s">
        <v>207</v>
      </c>
      <c r="M247" s="159"/>
      <c r="N247" s="37">
        <f>SUM(O5:O240)</f>
        <v>0</v>
      </c>
    </row>
    <row r="248" spans="1:15" ht="24.6" x14ac:dyDescent="0.65">
      <c r="A248" s="1"/>
      <c r="B248" s="1"/>
      <c r="E248" s="31"/>
      <c r="G248" s="31"/>
      <c r="J248" s="31"/>
      <c r="L248" s="158" t="s">
        <v>208</v>
      </c>
      <c r="M248" s="159"/>
      <c r="N248" s="33">
        <f>N242-N243-N244-N246-N247</f>
        <v>0</v>
      </c>
    </row>
    <row r="249" spans="1:15" ht="24.6" x14ac:dyDescent="0.65">
      <c r="A249" s="1"/>
      <c r="B249" s="1"/>
      <c r="E249" s="31"/>
      <c r="G249" s="31"/>
      <c r="J249" s="31"/>
      <c r="L249" s="158" t="s">
        <v>209</v>
      </c>
      <c r="M249" s="159"/>
      <c r="N249" s="37">
        <v>0</v>
      </c>
    </row>
    <row r="250" spans="1:15" ht="24.6" x14ac:dyDescent="0.65">
      <c r="A250" s="1"/>
      <c r="B250" s="1"/>
      <c r="E250" s="31"/>
      <c r="G250" s="31"/>
      <c r="J250" s="31"/>
      <c r="L250" s="158" t="s">
        <v>210</v>
      </c>
      <c r="M250" s="159"/>
      <c r="N250" s="33">
        <f>+N249-N248</f>
        <v>0</v>
      </c>
    </row>
    <row r="251" spans="1:15" ht="24.6" x14ac:dyDescent="0.65">
      <c r="J251" s="2"/>
      <c r="L251" s="158" t="s">
        <v>211</v>
      </c>
      <c r="M251" s="159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2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25">
    <mergeCell ref="L250:M250"/>
    <mergeCell ref="L251:M251"/>
    <mergeCell ref="K241:L241"/>
    <mergeCell ref="L242:M242"/>
    <mergeCell ref="L243:M243"/>
    <mergeCell ref="L245:M245"/>
    <mergeCell ref="L246:M246"/>
    <mergeCell ref="L247:M247"/>
    <mergeCell ref="Q3:Q4"/>
    <mergeCell ref="R3:R4"/>
    <mergeCell ref="L248:M248"/>
    <mergeCell ref="O3:O4"/>
    <mergeCell ref="L249:M249"/>
    <mergeCell ref="B3:B4"/>
    <mergeCell ref="D3:D4"/>
    <mergeCell ref="A2:O2"/>
    <mergeCell ref="A3:A4"/>
    <mergeCell ref="C3:C4"/>
    <mergeCell ref="E3:E4"/>
    <mergeCell ref="F3:F4"/>
    <mergeCell ref="G3:G4"/>
    <mergeCell ref="J3:J4"/>
    <mergeCell ref="K3:M3"/>
    <mergeCell ref="N3:N4"/>
    <mergeCell ref="I3:I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CK326"/>
  <sheetViews>
    <sheetView zoomScale="85" zoomScaleNormal="85" workbookViewId="0">
      <pane xSplit="10" ySplit="4" topLeftCell="O240" activePane="bottomRight" state="frozen"/>
      <selection activeCell="L234" sqref="L234"/>
      <selection pane="topRight" activeCell="L234" sqref="L234"/>
      <selection pane="bottomLeft" activeCell="L234" sqref="L234"/>
      <selection pane="bottomRight" activeCell="S245" sqref="S245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2" t="s">
        <v>1397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Q2" s="89"/>
    </row>
    <row r="3" spans="1:18" s="5" customFormat="1" ht="26.4" customHeight="1" x14ac:dyDescent="0.7">
      <c r="A3" s="150" t="s">
        <v>1</v>
      </c>
      <c r="B3" s="150" t="s">
        <v>1368</v>
      </c>
      <c r="C3" s="150" t="s">
        <v>2</v>
      </c>
      <c r="D3" s="150" t="s">
        <v>1369</v>
      </c>
      <c r="E3" s="152" t="s">
        <v>3</v>
      </c>
      <c r="F3" s="152" t="s">
        <v>4</v>
      </c>
      <c r="G3" s="152" t="s">
        <v>5</v>
      </c>
      <c r="H3" s="77" t="s">
        <v>6</v>
      </c>
      <c r="I3" s="109" t="s">
        <v>273</v>
      </c>
      <c r="J3" s="152" t="s">
        <v>7</v>
      </c>
      <c r="K3" s="153" t="s">
        <v>8</v>
      </c>
      <c r="L3" s="153"/>
      <c r="M3" s="153"/>
      <c r="N3" s="152" t="s">
        <v>9</v>
      </c>
      <c r="O3" s="160" t="s">
        <v>10</v>
      </c>
      <c r="Q3" s="154" t="s">
        <v>274</v>
      </c>
      <c r="R3" s="156" t="s">
        <v>275</v>
      </c>
    </row>
    <row r="4" spans="1:18" s="5" customFormat="1" ht="26.4" x14ac:dyDescent="0.7">
      <c r="A4" s="151"/>
      <c r="B4" s="151"/>
      <c r="C4" s="151"/>
      <c r="D4" s="151"/>
      <c r="E4" s="152"/>
      <c r="F4" s="152"/>
      <c r="G4" s="152"/>
      <c r="H4" s="77" t="s">
        <v>11</v>
      </c>
      <c r="I4" s="110"/>
      <c r="J4" s="152"/>
      <c r="K4" s="68" t="s">
        <v>12</v>
      </c>
      <c r="L4" s="69" t="s">
        <v>13</v>
      </c>
      <c r="M4" s="68" t="s">
        <v>14</v>
      </c>
      <c r="N4" s="152"/>
      <c r="O4" s="160"/>
      <c r="Q4" s="155"/>
      <c r="R4" s="15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3">
        <f>+ยกมา!J5</f>
        <v>0</v>
      </c>
      <c r="F5" s="70">
        <v>15</v>
      </c>
      <c r="G5" s="46">
        <f t="shared" ref="G5" si="0">E5+F5</f>
        <v>15</v>
      </c>
      <c r="H5" s="78">
        <v>0</v>
      </c>
      <c r="I5" s="76">
        <v>0</v>
      </c>
      <c r="J5" s="46">
        <f t="shared" ref="J5" si="1">+G5-H5-K5-I5</f>
        <v>0</v>
      </c>
      <c r="K5" s="71">
        <v>15</v>
      </c>
      <c r="L5" s="15">
        <v>50</v>
      </c>
      <c r="M5" s="64">
        <f>+L5*K5</f>
        <v>750</v>
      </c>
      <c r="N5" s="17" t="s">
        <v>16</v>
      </c>
      <c r="O5" s="18"/>
      <c r="P5" s="180">
        <f>SUM(M5-O5)</f>
        <v>750</v>
      </c>
      <c r="Q5" s="90">
        <v>22.48</v>
      </c>
      <c r="R5" s="43">
        <f>+K5*Q5</f>
        <v>337.2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3">
        <f>+ยกมา!J6</f>
        <v>0</v>
      </c>
      <c r="F6" s="70">
        <v>15</v>
      </c>
      <c r="G6" s="46">
        <f t="shared" ref="G6:G69" si="2">E6+F6</f>
        <v>15</v>
      </c>
      <c r="H6" s="78">
        <v>0</v>
      </c>
      <c r="I6" s="76">
        <v>0</v>
      </c>
      <c r="J6" s="46">
        <f t="shared" ref="J6:J69" si="3">+G6-H6-K6-I6</f>
        <v>5</v>
      </c>
      <c r="K6" s="71">
        <v>10</v>
      </c>
      <c r="L6" s="15">
        <v>100</v>
      </c>
      <c r="M6" s="64">
        <f t="shared" ref="M6:M79" si="4">+L6*K6</f>
        <v>1000</v>
      </c>
      <c r="N6" s="17" t="s">
        <v>1407</v>
      </c>
      <c r="O6" s="18">
        <v>400</v>
      </c>
      <c r="P6" s="180">
        <f>SUM(M6-O6)</f>
        <v>600</v>
      </c>
      <c r="Q6" s="90">
        <v>39.29</v>
      </c>
      <c r="R6" s="43">
        <f t="shared" ref="R6:R79" si="5">+K6*Q6</f>
        <v>392.9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3">
        <f>+ยกมา!J7</f>
        <v>0</v>
      </c>
      <c r="F7" s="70">
        <v>5</v>
      </c>
      <c r="G7" s="46">
        <f t="shared" si="2"/>
        <v>5</v>
      </c>
      <c r="H7" s="78">
        <v>0</v>
      </c>
      <c r="I7" s="76">
        <v>0</v>
      </c>
      <c r="J7" s="46">
        <f t="shared" si="3"/>
        <v>1</v>
      </c>
      <c r="K7" s="71">
        <v>4</v>
      </c>
      <c r="L7" s="15">
        <v>50</v>
      </c>
      <c r="M7" s="64">
        <f t="shared" si="4"/>
        <v>200</v>
      </c>
      <c r="N7" s="17" t="s">
        <v>16</v>
      </c>
      <c r="O7" s="18"/>
      <c r="P7" s="180">
        <f t="shared" ref="P7:P79" si="6">SUM(M7-O7)</f>
        <v>200</v>
      </c>
      <c r="Q7" s="90">
        <v>26.11</v>
      </c>
      <c r="R7" s="43">
        <f t="shared" si="5"/>
        <v>104.44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3">
        <f>+ยกมา!J8</f>
        <v>0</v>
      </c>
      <c r="F8" s="70">
        <v>0</v>
      </c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1"/>
      <c r="L8" s="15">
        <v>100</v>
      </c>
      <c r="M8" s="64">
        <f t="shared" si="4"/>
        <v>0</v>
      </c>
      <c r="N8" s="17" t="s">
        <v>16</v>
      </c>
      <c r="O8" s="18"/>
      <c r="P8" s="23">
        <f t="shared" si="6"/>
        <v>0</v>
      </c>
      <c r="Q8" s="90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3">
        <f>+ยกมา!J9</f>
        <v>0</v>
      </c>
      <c r="F9" s="70">
        <v>0</v>
      </c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1"/>
      <c r="L9" s="15">
        <v>10</v>
      </c>
      <c r="M9" s="64">
        <f t="shared" si="4"/>
        <v>0</v>
      </c>
      <c r="N9" s="17" t="s">
        <v>16</v>
      </c>
      <c r="O9" s="18"/>
      <c r="P9" s="23">
        <f t="shared" si="6"/>
        <v>0</v>
      </c>
      <c r="Q9" s="90"/>
      <c r="R9" s="43">
        <f t="shared" si="5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3">
        <f>+ยกมา!J10</f>
        <v>0</v>
      </c>
      <c r="F10" s="70">
        <v>0</v>
      </c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1"/>
      <c r="L10" s="15">
        <v>15</v>
      </c>
      <c r="M10" s="64">
        <f t="shared" si="4"/>
        <v>0</v>
      </c>
      <c r="N10" s="17" t="s">
        <v>16</v>
      </c>
      <c r="O10" s="18"/>
      <c r="P10" s="23">
        <f t="shared" si="6"/>
        <v>0</v>
      </c>
      <c r="Q10" s="90"/>
      <c r="R10" s="43">
        <f t="shared" si="5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3">
        <f>+ยกมา!J11</f>
        <v>0</v>
      </c>
      <c r="F11" s="70">
        <v>10</v>
      </c>
      <c r="G11" s="46">
        <f t="shared" si="2"/>
        <v>10</v>
      </c>
      <c r="H11" s="78">
        <v>0</v>
      </c>
      <c r="I11" s="76">
        <v>0</v>
      </c>
      <c r="J11" s="46">
        <f t="shared" si="3"/>
        <v>4</v>
      </c>
      <c r="K11" s="71">
        <v>6</v>
      </c>
      <c r="L11" s="15">
        <v>50</v>
      </c>
      <c r="M11" s="64">
        <f t="shared" si="4"/>
        <v>300</v>
      </c>
      <c r="N11" s="17" t="s">
        <v>16</v>
      </c>
      <c r="O11" s="18"/>
      <c r="P11" s="180">
        <f t="shared" si="6"/>
        <v>300</v>
      </c>
      <c r="Q11" s="90">
        <v>16.940000000000001</v>
      </c>
      <c r="R11" s="43">
        <f t="shared" si="5"/>
        <v>101.64000000000001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3">
        <f>+ยกมา!J12</f>
        <v>0</v>
      </c>
      <c r="F12" s="70">
        <v>0</v>
      </c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1"/>
      <c r="L12" s="15">
        <v>50</v>
      </c>
      <c r="M12" s="64">
        <f t="shared" si="4"/>
        <v>0</v>
      </c>
      <c r="N12" s="17" t="s">
        <v>16</v>
      </c>
      <c r="O12" s="18"/>
      <c r="P12" s="23">
        <f t="shared" si="6"/>
        <v>0</v>
      </c>
      <c r="Q12" s="90"/>
      <c r="R12" s="43">
        <f t="shared" si="5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3">
        <f>+ยกมา!J13</f>
        <v>0</v>
      </c>
      <c r="F13" s="70">
        <v>0</v>
      </c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1"/>
      <c r="L13" s="15">
        <v>50</v>
      </c>
      <c r="M13" s="64">
        <f t="shared" si="4"/>
        <v>0</v>
      </c>
      <c r="N13" s="17" t="s">
        <v>16</v>
      </c>
      <c r="O13" s="18"/>
      <c r="P13" s="23">
        <f t="shared" si="6"/>
        <v>0</v>
      </c>
      <c r="Q13" s="90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3">
        <f>+ยกมา!J14</f>
        <v>0</v>
      </c>
      <c r="F14" s="70">
        <v>5</v>
      </c>
      <c r="G14" s="46">
        <f t="shared" si="2"/>
        <v>5</v>
      </c>
      <c r="H14" s="78">
        <v>0</v>
      </c>
      <c r="I14" s="76">
        <v>0</v>
      </c>
      <c r="J14" s="46">
        <f t="shared" si="3"/>
        <v>2</v>
      </c>
      <c r="K14" s="71">
        <v>3</v>
      </c>
      <c r="L14" s="15">
        <v>50</v>
      </c>
      <c r="M14" s="64">
        <f t="shared" si="4"/>
        <v>150</v>
      </c>
      <c r="N14" s="17" t="s">
        <v>16</v>
      </c>
      <c r="O14" s="18"/>
      <c r="P14" s="180">
        <f t="shared" si="6"/>
        <v>150</v>
      </c>
      <c r="Q14" s="90">
        <v>21.22</v>
      </c>
      <c r="R14" s="43">
        <f t="shared" si="5"/>
        <v>63.66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3">
        <f>+ยกมา!J15</f>
        <v>0</v>
      </c>
      <c r="F15" s="70">
        <v>0</v>
      </c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1"/>
      <c r="L15" s="15">
        <v>50</v>
      </c>
      <c r="M15" s="64">
        <f t="shared" si="4"/>
        <v>0</v>
      </c>
      <c r="N15" s="17" t="s">
        <v>16</v>
      </c>
      <c r="O15" s="18"/>
      <c r="P15" s="23">
        <f t="shared" si="6"/>
        <v>0</v>
      </c>
      <c r="Q15" s="90">
        <v>24.37</v>
      </c>
      <c r="R15" s="43">
        <f t="shared" si="5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3">
        <f>+ยกมา!J16</f>
        <v>0</v>
      </c>
      <c r="F16" s="70">
        <v>0</v>
      </c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1"/>
      <c r="L16" s="15">
        <v>50</v>
      </c>
      <c r="M16" s="64">
        <f t="shared" si="4"/>
        <v>0</v>
      </c>
      <c r="N16" s="17" t="s">
        <v>16</v>
      </c>
      <c r="O16" s="18"/>
      <c r="P16" s="23">
        <f t="shared" si="6"/>
        <v>0</v>
      </c>
      <c r="Q16" s="90"/>
      <c r="R16" s="43">
        <f t="shared" si="5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3">
        <f>+ยกมา!J17</f>
        <v>0</v>
      </c>
      <c r="F17" s="70">
        <v>0</v>
      </c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1"/>
      <c r="L17" s="15">
        <v>50</v>
      </c>
      <c r="M17" s="64">
        <f t="shared" si="4"/>
        <v>0</v>
      </c>
      <c r="N17" s="17" t="s">
        <v>16</v>
      </c>
      <c r="O17" s="18"/>
      <c r="P17" s="23">
        <f t="shared" si="6"/>
        <v>0</v>
      </c>
      <c r="Q17" s="90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3">
        <f>+ยกมา!J18</f>
        <v>0</v>
      </c>
      <c r="F18" s="70">
        <v>5</v>
      </c>
      <c r="G18" s="46">
        <f t="shared" si="2"/>
        <v>5</v>
      </c>
      <c r="H18" s="78">
        <v>0</v>
      </c>
      <c r="I18" s="76">
        <v>0</v>
      </c>
      <c r="J18" s="46">
        <f t="shared" si="3"/>
        <v>4</v>
      </c>
      <c r="K18" s="71">
        <v>1</v>
      </c>
      <c r="L18" s="15">
        <v>50</v>
      </c>
      <c r="M18" s="64">
        <f t="shared" si="4"/>
        <v>50</v>
      </c>
      <c r="N18" s="17" t="s">
        <v>16</v>
      </c>
      <c r="O18" s="18"/>
      <c r="P18" s="180">
        <f t="shared" si="6"/>
        <v>50</v>
      </c>
      <c r="Q18" s="90">
        <v>18.77</v>
      </c>
      <c r="R18" s="43">
        <f t="shared" si="5"/>
        <v>18.77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3">
        <f>+ยกมา!J19</f>
        <v>0</v>
      </c>
      <c r="F19" s="70">
        <v>0</v>
      </c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1"/>
      <c r="L19" s="15">
        <v>50</v>
      </c>
      <c r="M19" s="64">
        <f t="shared" si="4"/>
        <v>0</v>
      </c>
      <c r="N19" s="17" t="s">
        <v>16</v>
      </c>
      <c r="O19" s="18"/>
      <c r="P19" s="23">
        <f t="shared" si="6"/>
        <v>0</v>
      </c>
      <c r="Q19" s="90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3">
        <f>+ยกมา!J20</f>
        <v>0</v>
      </c>
      <c r="F20" s="70">
        <v>5</v>
      </c>
      <c r="G20" s="46">
        <f t="shared" si="2"/>
        <v>5</v>
      </c>
      <c r="H20" s="78">
        <v>0</v>
      </c>
      <c r="I20" s="76">
        <v>0</v>
      </c>
      <c r="J20" s="46">
        <f t="shared" si="3"/>
        <v>0</v>
      </c>
      <c r="K20" s="71">
        <v>5</v>
      </c>
      <c r="L20" s="15">
        <v>65</v>
      </c>
      <c r="M20" s="64">
        <f t="shared" si="4"/>
        <v>325</v>
      </c>
      <c r="N20" s="17" t="s">
        <v>16</v>
      </c>
      <c r="O20" s="18"/>
      <c r="P20" s="180">
        <f t="shared" si="6"/>
        <v>325</v>
      </c>
      <c r="Q20" s="90">
        <v>22.25</v>
      </c>
      <c r="R20" s="43">
        <f t="shared" si="5"/>
        <v>111.25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3">
        <f>+ยกมา!J21</f>
        <v>0</v>
      </c>
      <c r="F21" s="70">
        <v>0</v>
      </c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1"/>
      <c r="L21" s="15">
        <v>85</v>
      </c>
      <c r="M21" s="64">
        <f t="shared" si="4"/>
        <v>0</v>
      </c>
      <c r="N21" s="17" t="s">
        <v>16</v>
      </c>
      <c r="O21" s="18"/>
      <c r="P21" s="23">
        <f t="shared" si="6"/>
        <v>0</v>
      </c>
      <c r="Q21" s="90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3">
        <f>+ยกมา!J22</f>
        <v>0</v>
      </c>
      <c r="F22" s="70">
        <v>10</v>
      </c>
      <c r="G22" s="46">
        <f t="shared" si="2"/>
        <v>10</v>
      </c>
      <c r="H22" s="78">
        <v>0</v>
      </c>
      <c r="I22" s="76">
        <v>0</v>
      </c>
      <c r="J22" s="46">
        <f t="shared" si="3"/>
        <v>4</v>
      </c>
      <c r="K22" s="71">
        <v>6</v>
      </c>
      <c r="L22" s="20">
        <v>100</v>
      </c>
      <c r="M22" s="64">
        <f t="shared" si="4"/>
        <v>600</v>
      </c>
      <c r="N22" s="17" t="s">
        <v>1408</v>
      </c>
      <c r="O22" s="18">
        <v>100</v>
      </c>
      <c r="P22" s="180">
        <f t="shared" si="6"/>
        <v>500</v>
      </c>
      <c r="Q22" s="90">
        <v>26.6</v>
      </c>
      <c r="R22" s="43">
        <f t="shared" si="5"/>
        <v>159.60000000000002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3">
        <f>+ยกมา!J23</f>
        <v>0</v>
      </c>
      <c r="F23" s="70">
        <v>0</v>
      </c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1"/>
      <c r="L23" s="15">
        <v>100</v>
      </c>
      <c r="M23" s="64">
        <f t="shared" si="4"/>
        <v>0</v>
      </c>
      <c r="N23" s="17" t="s">
        <v>16</v>
      </c>
      <c r="O23" s="18"/>
      <c r="P23" s="23">
        <f t="shared" si="6"/>
        <v>0</v>
      </c>
      <c r="Q23" s="90">
        <v>42.24</v>
      </c>
      <c r="R23" s="43">
        <f t="shared" si="5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181">
        <f>+ยกมา!J24</f>
        <v>0</v>
      </c>
      <c r="F24" s="182">
        <v>5</v>
      </c>
      <c r="G24" s="181">
        <f t="shared" si="2"/>
        <v>5</v>
      </c>
      <c r="H24" s="182">
        <v>0</v>
      </c>
      <c r="I24" s="182">
        <v>0</v>
      </c>
      <c r="J24" s="181">
        <f t="shared" si="3"/>
        <v>5</v>
      </c>
      <c r="K24" s="71"/>
      <c r="L24" s="15">
        <v>100</v>
      </c>
      <c r="M24" s="64">
        <f t="shared" si="4"/>
        <v>0</v>
      </c>
      <c r="N24" s="17" t="s">
        <v>16</v>
      </c>
      <c r="O24" s="18"/>
      <c r="P24" s="183">
        <f t="shared" si="6"/>
        <v>0</v>
      </c>
      <c r="Q24" s="90">
        <v>40.51</v>
      </c>
      <c r="R24" s="43">
        <f t="shared" si="5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181">
        <f>+ยกมา!J25</f>
        <v>0</v>
      </c>
      <c r="F25" s="182">
        <v>5</v>
      </c>
      <c r="G25" s="181">
        <f t="shared" si="2"/>
        <v>5</v>
      </c>
      <c r="H25" s="182">
        <v>0</v>
      </c>
      <c r="I25" s="182">
        <v>0</v>
      </c>
      <c r="J25" s="181">
        <f t="shared" si="3"/>
        <v>5</v>
      </c>
      <c r="K25" s="71"/>
      <c r="L25" s="15">
        <v>100</v>
      </c>
      <c r="M25" s="64">
        <f t="shared" si="4"/>
        <v>0</v>
      </c>
      <c r="N25" s="17" t="s">
        <v>16</v>
      </c>
      <c r="O25" s="18"/>
      <c r="P25" s="23">
        <f t="shared" si="6"/>
        <v>0</v>
      </c>
      <c r="Q25" s="90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3">
        <f>+ยกมา!J26</f>
        <v>0</v>
      </c>
      <c r="F26" s="70">
        <v>0</v>
      </c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1"/>
      <c r="L26" s="15">
        <v>100</v>
      </c>
      <c r="M26" s="64">
        <f t="shared" si="4"/>
        <v>0</v>
      </c>
      <c r="N26" s="17" t="s">
        <v>16</v>
      </c>
      <c r="O26" s="18"/>
      <c r="P26" s="23">
        <f t="shared" si="6"/>
        <v>0</v>
      </c>
      <c r="Q26" s="90">
        <v>35.39</v>
      </c>
      <c r="R26" s="43">
        <f t="shared" si="5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3">
        <f>+ยกมา!J27</f>
        <v>0</v>
      </c>
      <c r="F27" s="70">
        <v>0</v>
      </c>
      <c r="G27" s="46">
        <f t="shared" si="2"/>
        <v>0</v>
      </c>
      <c r="H27" s="78">
        <v>0</v>
      </c>
      <c r="I27" s="76">
        <v>0</v>
      </c>
      <c r="J27" s="46">
        <f t="shared" si="3"/>
        <v>0</v>
      </c>
      <c r="K27" s="71"/>
      <c r="L27" s="15">
        <v>100</v>
      </c>
      <c r="M27" s="64">
        <f t="shared" si="4"/>
        <v>0</v>
      </c>
      <c r="N27" s="17" t="s">
        <v>16</v>
      </c>
      <c r="O27" s="18"/>
      <c r="P27" s="23">
        <f t="shared" si="6"/>
        <v>0</v>
      </c>
      <c r="Q27" s="90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3">
        <f>+ยกมา!J28</f>
        <v>0</v>
      </c>
      <c r="F28" s="70">
        <v>5</v>
      </c>
      <c r="G28" s="46">
        <f t="shared" si="2"/>
        <v>5</v>
      </c>
      <c r="H28" s="78">
        <v>0</v>
      </c>
      <c r="I28" s="76">
        <v>0</v>
      </c>
      <c r="J28" s="46">
        <f t="shared" si="3"/>
        <v>5</v>
      </c>
      <c r="K28" s="71"/>
      <c r="L28" s="15">
        <v>100</v>
      </c>
      <c r="M28" s="64">
        <f t="shared" si="4"/>
        <v>0</v>
      </c>
      <c r="N28" s="17" t="s">
        <v>16</v>
      </c>
      <c r="O28" s="18"/>
      <c r="P28" s="23">
        <f t="shared" si="6"/>
        <v>0</v>
      </c>
      <c r="Q28" s="90">
        <v>31.97</v>
      </c>
      <c r="R28" s="43">
        <f t="shared" si="5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3">
        <f>+ยกมา!J29</f>
        <v>0</v>
      </c>
      <c r="F29" s="70">
        <v>0</v>
      </c>
      <c r="G29" s="46">
        <f t="shared" si="2"/>
        <v>0</v>
      </c>
      <c r="H29" s="78">
        <v>0</v>
      </c>
      <c r="I29" s="76">
        <v>0</v>
      </c>
      <c r="J29" s="46">
        <f t="shared" si="3"/>
        <v>0</v>
      </c>
      <c r="K29" s="71"/>
      <c r="L29" s="15">
        <v>100</v>
      </c>
      <c r="M29" s="64">
        <f t="shared" si="4"/>
        <v>0</v>
      </c>
      <c r="N29" s="17" t="s">
        <v>16</v>
      </c>
      <c r="O29" s="18"/>
      <c r="P29" s="23">
        <f t="shared" si="6"/>
        <v>0</v>
      </c>
      <c r="Q29" s="90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3">
        <f>+ยกมา!J30</f>
        <v>0</v>
      </c>
      <c r="F30" s="70">
        <v>0</v>
      </c>
      <c r="G30" s="46">
        <f t="shared" si="2"/>
        <v>0</v>
      </c>
      <c r="H30" s="78">
        <v>0</v>
      </c>
      <c r="I30" s="76">
        <v>0</v>
      </c>
      <c r="J30" s="46">
        <f t="shared" si="3"/>
        <v>0</v>
      </c>
      <c r="K30" s="71"/>
      <c r="L30" s="15">
        <v>100</v>
      </c>
      <c r="M30" s="64">
        <f t="shared" si="4"/>
        <v>0</v>
      </c>
      <c r="N30" s="17" t="s">
        <v>16</v>
      </c>
      <c r="O30" s="18"/>
      <c r="P30" s="23">
        <f t="shared" si="6"/>
        <v>0</v>
      </c>
      <c r="Q30" s="90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3">
        <f>+ยกมา!J31</f>
        <v>0</v>
      </c>
      <c r="F31" s="70">
        <v>10</v>
      </c>
      <c r="G31" s="46">
        <f t="shared" si="2"/>
        <v>10</v>
      </c>
      <c r="H31" s="78">
        <v>0</v>
      </c>
      <c r="I31" s="76">
        <v>0</v>
      </c>
      <c r="J31" s="46">
        <f t="shared" si="3"/>
        <v>4</v>
      </c>
      <c r="K31" s="71">
        <v>6</v>
      </c>
      <c r="L31" s="15">
        <v>100</v>
      </c>
      <c r="M31" s="64">
        <f t="shared" si="4"/>
        <v>600</v>
      </c>
      <c r="N31" s="17" t="s">
        <v>1408</v>
      </c>
      <c r="O31" s="18">
        <v>100</v>
      </c>
      <c r="P31" s="180">
        <f t="shared" si="6"/>
        <v>500</v>
      </c>
      <c r="Q31" s="90">
        <v>38.46</v>
      </c>
      <c r="R31" s="43">
        <f t="shared" si="5"/>
        <v>230.76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3">
        <f>+ยกมา!J32</f>
        <v>0</v>
      </c>
      <c r="F32" s="70">
        <v>0</v>
      </c>
      <c r="G32" s="46">
        <f t="shared" si="2"/>
        <v>0</v>
      </c>
      <c r="H32" s="78">
        <v>0</v>
      </c>
      <c r="I32" s="76">
        <v>0</v>
      </c>
      <c r="J32" s="46">
        <f t="shared" si="3"/>
        <v>0</v>
      </c>
      <c r="K32" s="71"/>
      <c r="L32" s="15">
        <v>130</v>
      </c>
      <c r="M32" s="64">
        <f t="shared" si="4"/>
        <v>0</v>
      </c>
      <c r="N32" s="17" t="s">
        <v>16</v>
      </c>
      <c r="O32" s="18"/>
      <c r="P32" s="23">
        <f t="shared" si="6"/>
        <v>0</v>
      </c>
      <c r="Q32" s="90">
        <v>46.37</v>
      </c>
      <c r="R32" s="43">
        <f t="shared" si="5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3">
        <f>+ยกมา!J33</f>
        <v>0</v>
      </c>
      <c r="F33" s="70">
        <v>0</v>
      </c>
      <c r="G33" s="46">
        <f t="shared" si="2"/>
        <v>0</v>
      </c>
      <c r="H33" s="78">
        <v>0</v>
      </c>
      <c r="I33" s="76">
        <v>0</v>
      </c>
      <c r="J33" s="46">
        <f t="shared" si="3"/>
        <v>0</v>
      </c>
      <c r="K33" s="71"/>
      <c r="L33" s="15">
        <v>130</v>
      </c>
      <c r="M33" s="64">
        <f t="shared" si="4"/>
        <v>0</v>
      </c>
      <c r="N33" s="17" t="s">
        <v>16</v>
      </c>
      <c r="O33" s="18"/>
      <c r="P33" s="23">
        <f t="shared" si="6"/>
        <v>0</v>
      </c>
      <c r="Q33" s="90">
        <v>38.9</v>
      </c>
      <c r="R33" s="43">
        <f t="shared" si="5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3">
        <f>+ยกมา!J34</f>
        <v>0</v>
      </c>
      <c r="F34" s="70">
        <v>0</v>
      </c>
      <c r="G34" s="46">
        <f t="shared" si="2"/>
        <v>0</v>
      </c>
      <c r="H34" s="78">
        <v>0</v>
      </c>
      <c r="I34" s="76">
        <v>0</v>
      </c>
      <c r="J34" s="46">
        <f t="shared" si="3"/>
        <v>0</v>
      </c>
      <c r="K34" s="71"/>
      <c r="L34" s="15">
        <v>130</v>
      </c>
      <c r="M34" s="64">
        <f t="shared" si="4"/>
        <v>0</v>
      </c>
      <c r="N34" s="17" t="s">
        <v>16</v>
      </c>
      <c r="O34" s="18"/>
      <c r="P34" s="23">
        <f t="shared" si="6"/>
        <v>0</v>
      </c>
      <c r="Q34" s="90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3">
        <f>+ยกมา!J35</f>
        <v>0</v>
      </c>
      <c r="F35" s="70">
        <v>0</v>
      </c>
      <c r="G35" s="46">
        <f t="shared" si="2"/>
        <v>0</v>
      </c>
      <c r="H35" s="78">
        <v>0</v>
      </c>
      <c r="I35" s="76">
        <v>0</v>
      </c>
      <c r="J35" s="46">
        <f t="shared" si="3"/>
        <v>0</v>
      </c>
      <c r="K35" s="71"/>
      <c r="L35" s="15">
        <v>130</v>
      </c>
      <c r="M35" s="64">
        <f t="shared" si="4"/>
        <v>0</v>
      </c>
      <c r="N35" s="17" t="s">
        <v>16</v>
      </c>
      <c r="O35" s="18"/>
      <c r="P35" s="23">
        <f t="shared" si="6"/>
        <v>0</v>
      </c>
      <c r="Q35" s="90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3">
        <f>+ยกมา!J36</f>
        <v>0</v>
      </c>
      <c r="F36" s="70">
        <v>0</v>
      </c>
      <c r="G36" s="46">
        <f t="shared" si="2"/>
        <v>0</v>
      </c>
      <c r="H36" s="78">
        <v>0</v>
      </c>
      <c r="I36" s="76">
        <v>0</v>
      </c>
      <c r="J36" s="46">
        <f t="shared" si="3"/>
        <v>0</v>
      </c>
      <c r="K36" s="71"/>
      <c r="L36" s="15">
        <v>35</v>
      </c>
      <c r="M36" s="64">
        <f t="shared" si="4"/>
        <v>0</v>
      </c>
      <c r="N36" s="17" t="s">
        <v>16</v>
      </c>
      <c r="O36" s="18"/>
      <c r="P36" s="23">
        <f t="shared" si="6"/>
        <v>0</v>
      </c>
      <c r="Q36" s="90"/>
      <c r="R36" s="43">
        <f t="shared" si="5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3">
        <f>+ยกมา!J37</f>
        <v>0</v>
      </c>
      <c r="F37" s="70">
        <v>0</v>
      </c>
      <c r="G37" s="46">
        <f t="shared" si="2"/>
        <v>0</v>
      </c>
      <c r="H37" s="78">
        <v>0</v>
      </c>
      <c r="I37" s="76">
        <v>0</v>
      </c>
      <c r="J37" s="46">
        <f t="shared" si="3"/>
        <v>0</v>
      </c>
      <c r="K37" s="71"/>
      <c r="L37" s="15">
        <v>35</v>
      </c>
      <c r="M37" s="64">
        <f t="shared" si="4"/>
        <v>0</v>
      </c>
      <c r="N37" s="17" t="s">
        <v>16</v>
      </c>
      <c r="O37" s="18"/>
      <c r="P37" s="23">
        <f t="shared" si="6"/>
        <v>0</v>
      </c>
      <c r="Q37" s="90"/>
      <c r="R37" s="43">
        <f t="shared" si="5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3">
        <f>+ยกมา!J38</f>
        <v>0</v>
      </c>
      <c r="F38" s="70">
        <v>0</v>
      </c>
      <c r="G38" s="46">
        <f t="shared" si="2"/>
        <v>0</v>
      </c>
      <c r="H38" s="78">
        <v>0</v>
      </c>
      <c r="I38" s="76">
        <v>0</v>
      </c>
      <c r="J38" s="46">
        <f t="shared" si="3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3">
        <f>+ยกมา!J39</f>
        <v>0</v>
      </c>
      <c r="F39" s="70">
        <v>5</v>
      </c>
      <c r="G39" s="46">
        <f t="shared" si="2"/>
        <v>5</v>
      </c>
      <c r="H39" s="78">
        <v>3</v>
      </c>
      <c r="I39" s="76">
        <v>0</v>
      </c>
      <c r="J39" s="46">
        <f t="shared" si="3"/>
        <v>0</v>
      </c>
      <c r="K39" s="71">
        <v>2</v>
      </c>
      <c r="L39" s="15">
        <v>50</v>
      </c>
      <c r="M39" s="64">
        <f t="shared" si="4"/>
        <v>100</v>
      </c>
      <c r="N39" s="17" t="s">
        <v>1409</v>
      </c>
      <c r="O39" s="18"/>
      <c r="P39" s="180">
        <f t="shared" si="6"/>
        <v>100</v>
      </c>
      <c r="Q39" s="90">
        <v>27.84</v>
      </c>
      <c r="R39" s="43">
        <f t="shared" si="5"/>
        <v>55.68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3">
        <f>+ยกมา!J40</f>
        <v>0</v>
      </c>
      <c r="F40" s="70">
        <v>5</v>
      </c>
      <c r="G40" s="46">
        <f t="shared" si="2"/>
        <v>5</v>
      </c>
      <c r="H40" s="78">
        <v>4</v>
      </c>
      <c r="I40" s="76">
        <v>0</v>
      </c>
      <c r="J40" s="46">
        <f t="shared" si="3"/>
        <v>0</v>
      </c>
      <c r="K40" s="71">
        <v>1</v>
      </c>
      <c r="L40" s="15">
        <v>50</v>
      </c>
      <c r="M40" s="64">
        <f t="shared" si="4"/>
        <v>50</v>
      </c>
      <c r="N40" s="17" t="s">
        <v>1410</v>
      </c>
      <c r="O40" s="18"/>
      <c r="P40" s="180">
        <f t="shared" si="6"/>
        <v>50</v>
      </c>
      <c r="Q40" s="90">
        <v>27.12</v>
      </c>
      <c r="R40" s="43">
        <f t="shared" si="5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3">
        <f>+ยกมา!J41</f>
        <v>0</v>
      </c>
      <c r="F41" s="70">
        <v>5</v>
      </c>
      <c r="G41" s="46">
        <f t="shared" si="2"/>
        <v>5</v>
      </c>
      <c r="H41" s="78">
        <v>4</v>
      </c>
      <c r="I41" s="76">
        <v>0</v>
      </c>
      <c r="J41" s="46">
        <f t="shared" si="3"/>
        <v>0</v>
      </c>
      <c r="K41" s="71">
        <v>1</v>
      </c>
      <c r="L41" s="15">
        <v>50</v>
      </c>
      <c r="M41" s="64">
        <f t="shared" si="4"/>
        <v>50</v>
      </c>
      <c r="N41" s="17" t="s">
        <v>1410</v>
      </c>
      <c r="O41" s="18"/>
      <c r="P41" s="180">
        <f t="shared" si="6"/>
        <v>50</v>
      </c>
      <c r="Q41" s="90">
        <v>15.42</v>
      </c>
      <c r="R41" s="43">
        <f t="shared" si="5"/>
        <v>15.42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3">
        <f>+ยกมา!J42</f>
        <v>0</v>
      </c>
      <c r="F42" s="70">
        <v>0</v>
      </c>
      <c r="G42" s="46">
        <f t="shared" si="2"/>
        <v>0</v>
      </c>
      <c r="H42" s="78">
        <v>0</v>
      </c>
      <c r="I42" s="76">
        <v>0</v>
      </c>
      <c r="J42" s="46">
        <f t="shared" si="3"/>
        <v>0</v>
      </c>
      <c r="K42" s="71"/>
      <c r="L42" s="15">
        <v>25</v>
      </c>
      <c r="M42" s="64">
        <f t="shared" si="4"/>
        <v>0</v>
      </c>
      <c r="N42" s="17" t="s">
        <v>16</v>
      </c>
      <c r="O42" s="18"/>
      <c r="P42" s="23">
        <f t="shared" si="6"/>
        <v>0</v>
      </c>
      <c r="Q42" s="90">
        <v>15.55</v>
      </c>
      <c r="R42" s="43">
        <f t="shared" si="5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3">
        <f>+ยกมา!J43</f>
        <v>0</v>
      </c>
      <c r="F43" s="70">
        <v>0</v>
      </c>
      <c r="G43" s="46">
        <f t="shared" si="2"/>
        <v>0</v>
      </c>
      <c r="H43" s="78">
        <v>0</v>
      </c>
      <c r="I43" s="76">
        <v>0</v>
      </c>
      <c r="J43" s="46">
        <f t="shared" si="3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3">
        <f>+ยกมา!J44</f>
        <v>0</v>
      </c>
      <c r="F44" s="70">
        <v>0</v>
      </c>
      <c r="G44" s="46">
        <f t="shared" si="2"/>
        <v>0</v>
      </c>
      <c r="H44" s="78">
        <v>0</v>
      </c>
      <c r="I44" s="76">
        <v>0</v>
      </c>
      <c r="J44" s="46">
        <f t="shared" si="3"/>
        <v>0</v>
      </c>
      <c r="K44" s="71"/>
      <c r="L44" s="15">
        <v>25</v>
      </c>
      <c r="M44" s="64">
        <f t="shared" si="4"/>
        <v>0</v>
      </c>
      <c r="N44" s="17" t="s">
        <v>16</v>
      </c>
      <c r="O44" s="18"/>
      <c r="P44" s="23">
        <f t="shared" si="6"/>
        <v>0</v>
      </c>
      <c r="Q44" s="90"/>
      <c r="R44" s="43">
        <f t="shared" si="5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3">
        <f>+ยกมา!J45</f>
        <v>0</v>
      </c>
      <c r="F45" s="70">
        <v>0</v>
      </c>
      <c r="G45" s="46">
        <f t="shared" si="2"/>
        <v>0</v>
      </c>
      <c r="H45" s="78">
        <v>0</v>
      </c>
      <c r="I45" s="76">
        <v>0</v>
      </c>
      <c r="J45" s="46">
        <f t="shared" si="3"/>
        <v>0</v>
      </c>
      <c r="K45" s="71"/>
      <c r="L45" s="15">
        <v>35</v>
      </c>
      <c r="M45" s="64">
        <f t="shared" si="4"/>
        <v>0</v>
      </c>
      <c r="N45" s="17" t="s">
        <v>16</v>
      </c>
      <c r="O45" s="18"/>
      <c r="P45" s="23">
        <f t="shared" si="6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3">
        <f>+ยกมา!J46</f>
        <v>0</v>
      </c>
      <c r="F46" s="70">
        <v>5</v>
      </c>
      <c r="G46" s="46">
        <f t="shared" si="2"/>
        <v>5</v>
      </c>
      <c r="H46" s="78">
        <v>0</v>
      </c>
      <c r="I46" s="76">
        <v>0</v>
      </c>
      <c r="J46" s="46">
        <f t="shared" si="3"/>
        <v>2</v>
      </c>
      <c r="K46" s="71">
        <v>3</v>
      </c>
      <c r="L46" s="15">
        <v>50</v>
      </c>
      <c r="M46" s="64">
        <f t="shared" si="4"/>
        <v>150</v>
      </c>
      <c r="N46" s="17" t="s">
        <v>1399</v>
      </c>
      <c r="O46" s="18">
        <v>150</v>
      </c>
      <c r="P46" s="23">
        <f t="shared" si="6"/>
        <v>0</v>
      </c>
      <c r="Q46" s="90">
        <v>19.05</v>
      </c>
      <c r="R46" s="43">
        <f t="shared" si="5"/>
        <v>57.150000000000006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3">
        <f>+ยกมา!J47</f>
        <v>0</v>
      </c>
      <c r="F47" s="70">
        <v>5</v>
      </c>
      <c r="G47" s="46">
        <f t="shared" si="2"/>
        <v>5</v>
      </c>
      <c r="H47" s="78">
        <v>0</v>
      </c>
      <c r="I47" s="76">
        <v>0</v>
      </c>
      <c r="J47" s="46">
        <f t="shared" si="3"/>
        <v>5</v>
      </c>
      <c r="K47" s="71"/>
      <c r="L47" s="15">
        <v>50</v>
      </c>
      <c r="M47" s="64">
        <f t="shared" si="4"/>
        <v>0</v>
      </c>
      <c r="N47" s="17" t="s">
        <v>16</v>
      </c>
      <c r="O47" s="18"/>
      <c r="P47" s="23">
        <f t="shared" si="6"/>
        <v>0</v>
      </c>
      <c r="Q47" s="90">
        <v>19.21</v>
      </c>
      <c r="R47" s="43">
        <f t="shared" si="5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3">
        <f>+ยกมา!J48</f>
        <v>0</v>
      </c>
      <c r="F48" s="70">
        <v>5</v>
      </c>
      <c r="G48" s="46">
        <f t="shared" si="2"/>
        <v>5</v>
      </c>
      <c r="H48" s="78">
        <v>0</v>
      </c>
      <c r="I48" s="76">
        <v>0</v>
      </c>
      <c r="J48" s="46">
        <f t="shared" si="3"/>
        <v>2</v>
      </c>
      <c r="K48" s="71">
        <v>3</v>
      </c>
      <c r="L48" s="20">
        <v>50</v>
      </c>
      <c r="M48" s="64">
        <f>+L48*K48</f>
        <v>150</v>
      </c>
      <c r="N48" s="17" t="s">
        <v>1399</v>
      </c>
      <c r="O48" s="18">
        <v>150</v>
      </c>
      <c r="P48" s="23">
        <f>SUM(M48-O48)</f>
        <v>0</v>
      </c>
      <c r="Q48" s="90">
        <v>18.88</v>
      </c>
      <c r="R48" s="43">
        <f>+K48*Q48</f>
        <v>56.64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3">
        <f>+ยกมา!J49</f>
        <v>0</v>
      </c>
      <c r="F49" s="70">
        <v>5</v>
      </c>
      <c r="G49" s="46">
        <f t="shared" si="2"/>
        <v>5</v>
      </c>
      <c r="H49" s="78">
        <v>0</v>
      </c>
      <c r="I49" s="76">
        <v>0</v>
      </c>
      <c r="J49" s="46">
        <f t="shared" si="3"/>
        <v>3</v>
      </c>
      <c r="K49" s="71">
        <v>2</v>
      </c>
      <c r="L49" s="20">
        <v>50</v>
      </c>
      <c r="M49" s="64">
        <f>+L49*K49</f>
        <v>100</v>
      </c>
      <c r="N49" s="17" t="s">
        <v>1405</v>
      </c>
      <c r="O49" s="18">
        <v>100</v>
      </c>
      <c r="P49" s="23">
        <f>SUM(M49-O49)</f>
        <v>0</v>
      </c>
      <c r="Q49" s="90">
        <v>20.43</v>
      </c>
      <c r="R49" s="43">
        <f>+K49*Q49</f>
        <v>40.86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3">
        <f>+ยกมา!J50</f>
        <v>0</v>
      </c>
      <c r="F50" s="70">
        <v>5</v>
      </c>
      <c r="G50" s="46">
        <f t="shared" si="2"/>
        <v>5</v>
      </c>
      <c r="H50" s="78">
        <v>0</v>
      </c>
      <c r="I50" s="76">
        <v>0</v>
      </c>
      <c r="J50" s="46">
        <f t="shared" si="3"/>
        <v>1</v>
      </c>
      <c r="K50" s="71">
        <v>4</v>
      </c>
      <c r="L50" s="15">
        <v>50</v>
      </c>
      <c r="M50" s="64">
        <f t="shared" si="4"/>
        <v>200</v>
      </c>
      <c r="N50" s="17" t="s">
        <v>16</v>
      </c>
      <c r="O50" s="18"/>
      <c r="P50" s="180">
        <f t="shared" si="6"/>
        <v>200</v>
      </c>
      <c r="Q50" s="90">
        <v>21.81</v>
      </c>
      <c r="R50" s="43">
        <f t="shared" si="5"/>
        <v>87.24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3">
        <f>+ยกมา!J51</f>
        <v>0</v>
      </c>
      <c r="F51" s="70">
        <v>5</v>
      </c>
      <c r="G51" s="46">
        <f t="shared" si="2"/>
        <v>5</v>
      </c>
      <c r="H51" s="78">
        <v>0</v>
      </c>
      <c r="I51" s="76">
        <v>0</v>
      </c>
      <c r="J51" s="46">
        <f t="shared" si="3"/>
        <v>4</v>
      </c>
      <c r="K51" s="71">
        <v>1</v>
      </c>
      <c r="L51" s="15">
        <v>50</v>
      </c>
      <c r="M51" s="64">
        <f>+L51*K51</f>
        <v>50</v>
      </c>
      <c r="N51" s="17" t="s">
        <v>16</v>
      </c>
      <c r="O51" s="18"/>
      <c r="P51" s="180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3">
        <f>+ยกมา!J52</f>
        <v>0</v>
      </c>
      <c r="F52" s="70">
        <v>0</v>
      </c>
      <c r="G52" s="46">
        <f t="shared" si="2"/>
        <v>0</v>
      </c>
      <c r="H52" s="78">
        <v>0</v>
      </c>
      <c r="I52" s="76">
        <v>0</v>
      </c>
      <c r="J52" s="46">
        <f t="shared" si="3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3">
        <f>+ยกมา!J53</f>
        <v>0</v>
      </c>
      <c r="F53" s="70">
        <v>5</v>
      </c>
      <c r="G53" s="46">
        <f t="shared" si="2"/>
        <v>5</v>
      </c>
      <c r="H53" s="78">
        <v>0</v>
      </c>
      <c r="I53" s="76">
        <v>0</v>
      </c>
      <c r="J53" s="46">
        <f t="shared" si="3"/>
        <v>3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80">
        <f>SUM(M53-O53)</f>
        <v>100</v>
      </c>
      <c r="Q53" s="90">
        <v>17.53</v>
      </c>
      <c r="R53" s="43">
        <f>+K53*Q53</f>
        <v>35.06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3">
        <f>+ยกมา!J54</f>
        <v>0</v>
      </c>
      <c r="F54" s="70">
        <v>5</v>
      </c>
      <c r="G54" s="46">
        <f t="shared" si="2"/>
        <v>5</v>
      </c>
      <c r="H54" s="78">
        <v>0</v>
      </c>
      <c r="I54" s="76">
        <v>0</v>
      </c>
      <c r="J54" s="46">
        <f t="shared" si="3"/>
        <v>5</v>
      </c>
      <c r="K54" s="71"/>
      <c r="L54" s="15">
        <v>50</v>
      </c>
      <c r="M54" s="64">
        <f t="shared" si="4"/>
        <v>0</v>
      </c>
      <c r="N54" s="17" t="s">
        <v>16</v>
      </c>
      <c r="O54" s="18"/>
      <c r="P54" s="23">
        <f t="shared" si="6"/>
        <v>0</v>
      </c>
      <c r="Q54" s="90">
        <v>14.38</v>
      </c>
      <c r="R54" s="43">
        <f t="shared" si="5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3">
        <f>+ยกมา!J55</f>
        <v>0</v>
      </c>
      <c r="F55" s="70">
        <v>3</v>
      </c>
      <c r="G55" s="46">
        <f t="shared" si="2"/>
        <v>3</v>
      </c>
      <c r="H55" s="78">
        <v>0</v>
      </c>
      <c r="I55" s="76">
        <v>0</v>
      </c>
      <c r="J55" s="46">
        <f t="shared" si="3"/>
        <v>0</v>
      </c>
      <c r="K55" s="71">
        <v>3</v>
      </c>
      <c r="L55" s="15">
        <v>120</v>
      </c>
      <c r="M55" s="64">
        <f>+L55*K55</f>
        <v>360</v>
      </c>
      <c r="N55" s="17" t="s">
        <v>1400</v>
      </c>
      <c r="O55" s="18">
        <v>105</v>
      </c>
      <c r="P55" s="180">
        <f>SUM(M55-O55)</f>
        <v>255</v>
      </c>
      <c r="Q55" s="90">
        <v>29.34</v>
      </c>
      <c r="R55" s="43">
        <f>+K55*Q55</f>
        <v>88.02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3">
        <f>+ยกมา!J56</f>
        <v>0</v>
      </c>
      <c r="F56" s="70">
        <v>3</v>
      </c>
      <c r="G56" s="46">
        <f t="shared" si="2"/>
        <v>3</v>
      </c>
      <c r="H56" s="78">
        <v>0</v>
      </c>
      <c r="I56" s="76">
        <v>0</v>
      </c>
      <c r="J56" s="46">
        <f t="shared" si="3"/>
        <v>0</v>
      </c>
      <c r="K56" s="71">
        <v>3</v>
      </c>
      <c r="L56" s="15">
        <v>120</v>
      </c>
      <c r="M56" s="64">
        <f>+L56*K56</f>
        <v>360</v>
      </c>
      <c r="N56" s="17" t="s">
        <v>1400</v>
      </c>
      <c r="O56" s="18">
        <v>105</v>
      </c>
      <c r="P56" s="180">
        <f>SUM(M56-O56)</f>
        <v>255</v>
      </c>
      <c r="Q56" s="90">
        <v>33.409999999999997</v>
      </c>
      <c r="R56" s="43">
        <f>+K56*Q56</f>
        <v>100.22999999999999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3">
        <f>+ยกมา!J57</f>
        <v>0</v>
      </c>
      <c r="F57" s="70">
        <v>3</v>
      </c>
      <c r="G57" s="46">
        <f t="shared" si="2"/>
        <v>3</v>
      </c>
      <c r="H57" s="78">
        <v>0</v>
      </c>
      <c r="I57" s="76">
        <v>0</v>
      </c>
      <c r="J57" s="46">
        <f t="shared" si="3"/>
        <v>0</v>
      </c>
      <c r="K57" s="71">
        <v>3</v>
      </c>
      <c r="L57" s="15">
        <v>120</v>
      </c>
      <c r="M57" s="64">
        <f t="shared" si="4"/>
        <v>360</v>
      </c>
      <c r="N57" s="17" t="s">
        <v>1400</v>
      </c>
      <c r="O57" s="18">
        <v>105</v>
      </c>
      <c r="P57" s="180">
        <f t="shared" si="6"/>
        <v>255</v>
      </c>
      <c r="Q57" s="90">
        <v>31.46</v>
      </c>
      <c r="R57" s="43">
        <f t="shared" si="5"/>
        <v>94.38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3">
        <f>+ยกมา!J58</f>
        <v>0</v>
      </c>
      <c r="F58" s="70">
        <v>3</v>
      </c>
      <c r="G58" s="46">
        <f t="shared" si="2"/>
        <v>3</v>
      </c>
      <c r="H58" s="78">
        <v>0</v>
      </c>
      <c r="I58" s="76">
        <v>0</v>
      </c>
      <c r="J58" s="46">
        <f t="shared" si="3"/>
        <v>0</v>
      </c>
      <c r="K58" s="71">
        <v>3</v>
      </c>
      <c r="L58" s="15">
        <v>120</v>
      </c>
      <c r="M58" s="64">
        <f t="shared" si="4"/>
        <v>360</v>
      </c>
      <c r="N58" s="17" t="s">
        <v>1400</v>
      </c>
      <c r="O58" s="18">
        <v>105</v>
      </c>
      <c r="P58" s="180">
        <f t="shared" si="6"/>
        <v>255</v>
      </c>
      <c r="Q58" s="90">
        <v>34.56</v>
      </c>
      <c r="R58" s="43">
        <f t="shared" si="5"/>
        <v>103.68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3">
        <f>+ยกมา!J59</f>
        <v>0</v>
      </c>
      <c r="F59" s="70">
        <v>3</v>
      </c>
      <c r="G59" s="46">
        <f t="shared" si="2"/>
        <v>3</v>
      </c>
      <c r="H59" s="78">
        <v>0</v>
      </c>
      <c r="I59" s="76">
        <v>0</v>
      </c>
      <c r="J59" s="46">
        <f t="shared" si="3"/>
        <v>0</v>
      </c>
      <c r="K59" s="71">
        <v>3</v>
      </c>
      <c r="L59" s="15">
        <v>120</v>
      </c>
      <c r="M59" s="64">
        <f t="shared" si="4"/>
        <v>360</v>
      </c>
      <c r="N59" s="17" t="s">
        <v>1400</v>
      </c>
      <c r="O59" s="18">
        <v>105</v>
      </c>
      <c r="P59" s="180">
        <f t="shared" si="6"/>
        <v>255</v>
      </c>
      <c r="Q59" s="90">
        <v>32.96</v>
      </c>
      <c r="R59" s="43">
        <f t="shared" si="5"/>
        <v>98.88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3">
        <f>+ยกมา!J60</f>
        <v>0</v>
      </c>
      <c r="F60" s="70">
        <v>0</v>
      </c>
      <c r="G60" s="46">
        <f t="shared" si="2"/>
        <v>0</v>
      </c>
      <c r="H60" s="78">
        <v>0</v>
      </c>
      <c r="I60" s="76">
        <v>0</v>
      </c>
      <c r="J60" s="46">
        <f t="shared" si="3"/>
        <v>0</v>
      </c>
      <c r="K60" s="71"/>
      <c r="L60" s="15">
        <v>120</v>
      </c>
      <c r="M60" s="64">
        <f t="shared" si="4"/>
        <v>0</v>
      </c>
      <c r="N60" s="17" t="s">
        <v>16</v>
      </c>
      <c r="O60" s="18"/>
      <c r="P60" s="23">
        <f t="shared" si="6"/>
        <v>0</v>
      </c>
      <c r="Q60" s="90">
        <v>27.25</v>
      </c>
      <c r="R60" s="43">
        <f t="shared" si="5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3">
        <f>+ยกมา!J61</f>
        <v>0</v>
      </c>
      <c r="F61" s="70">
        <v>0</v>
      </c>
      <c r="G61" s="46">
        <f t="shared" si="2"/>
        <v>0</v>
      </c>
      <c r="H61" s="78">
        <v>0</v>
      </c>
      <c r="I61" s="76">
        <v>0</v>
      </c>
      <c r="J61" s="46">
        <f t="shared" si="3"/>
        <v>0</v>
      </c>
      <c r="K61" s="71"/>
      <c r="L61" s="15">
        <v>120</v>
      </c>
      <c r="M61" s="64">
        <f t="shared" si="4"/>
        <v>0</v>
      </c>
      <c r="N61" s="17" t="s">
        <v>16</v>
      </c>
      <c r="O61" s="18"/>
      <c r="P61" s="23">
        <f t="shared" si="6"/>
        <v>0</v>
      </c>
      <c r="Q61" s="90">
        <v>24.82</v>
      </c>
      <c r="R61" s="43">
        <f t="shared" si="5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3">
        <f>+ยกมา!J62</f>
        <v>0</v>
      </c>
      <c r="F62" s="70">
        <v>3</v>
      </c>
      <c r="G62" s="46">
        <f t="shared" si="2"/>
        <v>3</v>
      </c>
      <c r="H62" s="78">
        <v>0</v>
      </c>
      <c r="I62" s="76">
        <v>0</v>
      </c>
      <c r="J62" s="46">
        <f t="shared" si="3"/>
        <v>0</v>
      </c>
      <c r="K62" s="71">
        <v>3</v>
      </c>
      <c r="L62" s="15">
        <v>120</v>
      </c>
      <c r="M62" s="64">
        <f t="shared" si="4"/>
        <v>360</v>
      </c>
      <c r="N62" s="17" t="s">
        <v>1400</v>
      </c>
      <c r="O62" s="18">
        <v>105</v>
      </c>
      <c r="P62" s="180">
        <f t="shared" si="6"/>
        <v>255</v>
      </c>
      <c r="Q62" s="90">
        <v>29.82</v>
      </c>
      <c r="R62" s="43">
        <f t="shared" si="5"/>
        <v>89.460000000000008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3">
        <f>+ยกมา!J63</f>
        <v>0</v>
      </c>
      <c r="F63" s="70"/>
      <c r="G63" s="46">
        <f t="shared" si="2"/>
        <v>0</v>
      </c>
      <c r="H63" s="78">
        <v>0</v>
      </c>
      <c r="I63" s="76">
        <v>0</v>
      </c>
      <c r="J63" s="46">
        <f t="shared" si="3"/>
        <v>0</v>
      </c>
      <c r="K63" s="71"/>
      <c r="L63" s="15">
        <v>120</v>
      </c>
      <c r="M63" s="64">
        <f t="shared" si="4"/>
        <v>0</v>
      </c>
      <c r="N63" s="17" t="s">
        <v>16</v>
      </c>
      <c r="O63" s="18"/>
      <c r="P63" s="23">
        <f t="shared" si="6"/>
        <v>0</v>
      </c>
      <c r="Q63" s="90">
        <v>27.72</v>
      </c>
      <c r="R63" s="43">
        <f t="shared" si="5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3">
        <f>+ยกมา!J64</f>
        <v>0</v>
      </c>
      <c r="F64" s="70">
        <v>0</v>
      </c>
      <c r="G64" s="46">
        <f t="shared" si="2"/>
        <v>0</v>
      </c>
      <c r="H64" s="78">
        <v>0</v>
      </c>
      <c r="I64" s="76">
        <v>0</v>
      </c>
      <c r="J64" s="46">
        <f t="shared" si="3"/>
        <v>0</v>
      </c>
      <c r="K64" s="71"/>
      <c r="L64" s="15">
        <v>50</v>
      </c>
      <c r="M64" s="64">
        <f t="shared" si="4"/>
        <v>0</v>
      </c>
      <c r="N64" s="17" t="s">
        <v>16</v>
      </c>
      <c r="O64" s="18"/>
      <c r="P64" s="23">
        <f t="shared" si="6"/>
        <v>0</v>
      </c>
      <c r="Q64" s="90">
        <v>23.69</v>
      </c>
      <c r="R64" s="43">
        <f t="shared" si="5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3">
        <f>+ยกมา!J65</f>
        <v>0</v>
      </c>
      <c r="F65" s="70">
        <v>0</v>
      </c>
      <c r="G65" s="46">
        <f t="shared" si="2"/>
        <v>0</v>
      </c>
      <c r="H65" s="78">
        <v>0</v>
      </c>
      <c r="I65" s="76">
        <v>0</v>
      </c>
      <c r="J65" s="46">
        <f t="shared" si="3"/>
        <v>0</v>
      </c>
      <c r="K65" s="71"/>
      <c r="L65" s="15">
        <v>50</v>
      </c>
      <c r="M65" s="64">
        <f t="shared" si="4"/>
        <v>0</v>
      </c>
      <c r="N65" s="17" t="s">
        <v>16</v>
      </c>
      <c r="O65" s="18"/>
      <c r="P65" s="23">
        <f t="shared" si="6"/>
        <v>0</v>
      </c>
      <c r="Q65" s="90">
        <v>22.49</v>
      </c>
      <c r="R65" s="43">
        <f t="shared" si="5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3">
        <f>+ยกมา!J66</f>
        <v>0</v>
      </c>
      <c r="F66" s="70">
        <v>0</v>
      </c>
      <c r="G66" s="46">
        <f t="shared" si="2"/>
        <v>0</v>
      </c>
      <c r="H66" s="78">
        <v>0</v>
      </c>
      <c r="I66" s="76">
        <v>0</v>
      </c>
      <c r="J66" s="46">
        <f t="shared" si="3"/>
        <v>0</v>
      </c>
      <c r="K66" s="71"/>
      <c r="L66" s="15">
        <v>50</v>
      </c>
      <c r="M66" s="64">
        <f t="shared" si="4"/>
        <v>0</v>
      </c>
      <c r="N66" s="17" t="s">
        <v>16</v>
      </c>
      <c r="O66" s="18"/>
      <c r="P66" s="23">
        <f t="shared" si="6"/>
        <v>0</v>
      </c>
      <c r="Q66" s="90">
        <v>23.12</v>
      </c>
      <c r="R66" s="43">
        <f t="shared" si="5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3">
        <f>+ยกมา!J67</f>
        <v>0</v>
      </c>
      <c r="F67" s="70">
        <v>0</v>
      </c>
      <c r="G67" s="46">
        <f t="shared" si="2"/>
        <v>0</v>
      </c>
      <c r="H67" s="78">
        <v>0</v>
      </c>
      <c r="I67" s="76">
        <v>0</v>
      </c>
      <c r="J67" s="46">
        <f t="shared" si="3"/>
        <v>0</v>
      </c>
      <c r="K67" s="71"/>
      <c r="L67" s="15">
        <v>70</v>
      </c>
      <c r="M67" s="64">
        <f t="shared" si="4"/>
        <v>0</v>
      </c>
      <c r="N67" s="17" t="s">
        <v>16</v>
      </c>
      <c r="O67" s="18"/>
      <c r="P67" s="23">
        <f t="shared" si="6"/>
        <v>0</v>
      </c>
      <c r="Q67" s="92"/>
      <c r="R67" s="43">
        <f t="shared" si="5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3">
        <f>+ยกมา!J68</f>
        <v>0</v>
      </c>
      <c r="F68" s="70">
        <v>0</v>
      </c>
      <c r="G68" s="46">
        <f t="shared" si="2"/>
        <v>0</v>
      </c>
      <c r="H68" s="78">
        <v>0</v>
      </c>
      <c r="I68" s="76">
        <v>0</v>
      </c>
      <c r="J68" s="46">
        <f t="shared" si="3"/>
        <v>0</v>
      </c>
      <c r="K68" s="71"/>
      <c r="L68" s="15">
        <v>80</v>
      </c>
      <c r="M68" s="64">
        <f t="shared" si="4"/>
        <v>0</v>
      </c>
      <c r="N68" s="17" t="s">
        <v>16</v>
      </c>
      <c r="O68" s="18"/>
      <c r="P68" s="23">
        <f t="shared" si="6"/>
        <v>0</v>
      </c>
      <c r="Q68" s="92"/>
      <c r="R68" s="43">
        <f t="shared" si="5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3">
        <f>+ยกมา!J69</f>
        <v>0</v>
      </c>
      <c r="F69" s="70">
        <v>0</v>
      </c>
      <c r="G69" s="46">
        <f t="shared" si="2"/>
        <v>0</v>
      </c>
      <c r="H69" s="78">
        <v>0</v>
      </c>
      <c r="I69" s="76">
        <v>0</v>
      </c>
      <c r="J69" s="46">
        <f t="shared" si="3"/>
        <v>0</v>
      </c>
      <c r="K69" s="71"/>
      <c r="L69" s="15">
        <v>150</v>
      </c>
      <c r="M69" s="64">
        <f t="shared" si="4"/>
        <v>0</v>
      </c>
      <c r="N69" s="17" t="s">
        <v>16</v>
      </c>
      <c r="O69" s="18"/>
      <c r="P69" s="23">
        <f t="shared" si="6"/>
        <v>0</v>
      </c>
      <c r="Q69" s="90">
        <v>67.790000000000006</v>
      </c>
      <c r="R69" s="43">
        <f t="shared" si="5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3">
        <f>+ยกมา!J70</f>
        <v>0</v>
      </c>
      <c r="F70" s="70">
        <v>0</v>
      </c>
      <c r="G70" s="46">
        <f t="shared" ref="G70:G133" si="7">E70+F70</f>
        <v>0</v>
      </c>
      <c r="H70" s="78">
        <v>0</v>
      </c>
      <c r="I70" s="76">
        <v>0</v>
      </c>
      <c r="J70" s="46">
        <f t="shared" ref="J70:J133" si="8">+G70-H70-K70-I70</f>
        <v>0</v>
      </c>
      <c r="K70" s="71"/>
      <c r="L70" s="15">
        <v>150</v>
      </c>
      <c r="M70" s="64">
        <f t="shared" si="4"/>
        <v>0</v>
      </c>
      <c r="N70" s="17" t="s">
        <v>16</v>
      </c>
      <c r="O70" s="18"/>
      <c r="P70" s="23">
        <f t="shared" si="6"/>
        <v>0</v>
      </c>
      <c r="Q70" s="90">
        <v>68.37</v>
      </c>
      <c r="R70" s="43">
        <f t="shared" si="5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3">
        <f>+ยกมา!J71</f>
        <v>0</v>
      </c>
      <c r="F71" s="70">
        <v>0</v>
      </c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1"/>
      <c r="L71" s="15">
        <v>150</v>
      </c>
      <c r="M71" s="64">
        <f t="shared" si="4"/>
        <v>0</v>
      </c>
      <c r="N71" s="17" t="s">
        <v>16</v>
      </c>
      <c r="O71" s="18"/>
      <c r="P71" s="23">
        <f t="shared" si="6"/>
        <v>0</v>
      </c>
      <c r="Q71" s="90">
        <v>67.17</v>
      </c>
      <c r="R71" s="43">
        <f t="shared" si="5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3">
        <f>+ยกมา!J72</f>
        <v>0</v>
      </c>
      <c r="F72" s="70">
        <v>0</v>
      </c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1"/>
      <c r="L72" s="21">
        <v>50</v>
      </c>
      <c r="M72" s="64">
        <f t="shared" si="4"/>
        <v>0</v>
      </c>
      <c r="N72" s="17" t="s">
        <v>16</v>
      </c>
      <c r="O72" s="18"/>
      <c r="P72" s="23">
        <f t="shared" si="6"/>
        <v>0</v>
      </c>
      <c r="Q72" s="90"/>
      <c r="R72" s="43">
        <f t="shared" si="5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3">
        <f>+ยกมา!J73</f>
        <v>0</v>
      </c>
      <c r="F73" s="70">
        <v>0</v>
      </c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1"/>
      <c r="L73" s="21">
        <v>120</v>
      </c>
      <c r="M73" s="64">
        <f t="shared" si="4"/>
        <v>0</v>
      </c>
      <c r="N73" s="17" t="s">
        <v>16</v>
      </c>
      <c r="O73" s="18"/>
      <c r="P73" s="23">
        <f t="shared" si="6"/>
        <v>0</v>
      </c>
      <c r="Q73" s="90"/>
      <c r="R73" s="43">
        <f t="shared" si="5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3">
        <f>+ยกมา!J74</f>
        <v>0</v>
      </c>
      <c r="F74" s="70">
        <v>5</v>
      </c>
      <c r="G74" s="46">
        <f t="shared" si="7"/>
        <v>5</v>
      </c>
      <c r="H74" s="78">
        <v>0</v>
      </c>
      <c r="I74" s="76">
        <v>0</v>
      </c>
      <c r="J74" s="46">
        <f t="shared" si="8"/>
        <v>0</v>
      </c>
      <c r="K74" s="71">
        <v>5</v>
      </c>
      <c r="L74" s="21">
        <v>50</v>
      </c>
      <c r="M74" s="64">
        <f t="shared" si="4"/>
        <v>250</v>
      </c>
      <c r="N74" s="17" t="s">
        <v>16</v>
      </c>
      <c r="O74" s="18"/>
      <c r="P74" s="180">
        <f t="shared" si="6"/>
        <v>250</v>
      </c>
      <c r="Q74" s="90">
        <v>17.09</v>
      </c>
      <c r="R74" s="43">
        <f t="shared" si="5"/>
        <v>85.45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3">
        <f>+ยกมา!J75</f>
        <v>0</v>
      </c>
      <c r="F75" s="70">
        <v>0</v>
      </c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1"/>
      <c r="L75" s="21">
        <v>120</v>
      </c>
      <c r="M75" s="64">
        <f t="shared" si="4"/>
        <v>0</v>
      </c>
      <c r="N75" s="17" t="s">
        <v>16</v>
      </c>
      <c r="O75" s="18"/>
      <c r="P75" s="23">
        <f t="shared" si="6"/>
        <v>0</v>
      </c>
      <c r="Q75" s="90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3">
        <f>+ยกมา!J76</f>
        <v>0</v>
      </c>
      <c r="F76" s="70">
        <v>10</v>
      </c>
      <c r="G76" s="46">
        <f t="shared" si="7"/>
        <v>10</v>
      </c>
      <c r="H76" s="78">
        <v>0</v>
      </c>
      <c r="I76" s="76">
        <v>0</v>
      </c>
      <c r="J76" s="46">
        <f t="shared" si="8"/>
        <v>0</v>
      </c>
      <c r="K76" s="71">
        <v>10</v>
      </c>
      <c r="L76" s="21">
        <v>50</v>
      </c>
      <c r="M76" s="64">
        <f t="shared" si="4"/>
        <v>500</v>
      </c>
      <c r="N76" s="17" t="s">
        <v>16</v>
      </c>
      <c r="O76" s="18"/>
      <c r="P76" s="180">
        <f t="shared" si="6"/>
        <v>500</v>
      </c>
      <c r="Q76" s="90">
        <v>17.329999999999998</v>
      </c>
      <c r="R76" s="43">
        <f t="shared" si="5"/>
        <v>173.29999999999998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3">
        <f>+ยกมา!J77</f>
        <v>0</v>
      </c>
      <c r="F77" s="70">
        <v>0</v>
      </c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1"/>
      <c r="L77" s="15">
        <v>45</v>
      </c>
      <c r="M77" s="64">
        <f t="shared" si="4"/>
        <v>0</v>
      </c>
      <c r="N77" s="17" t="s">
        <v>16</v>
      </c>
      <c r="O77" s="18"/>
      <c r="P77" s="23">
        <f t="shared" si="6"/>
        <v>0</v>
      </c>
      <c r="Q77" s="90"/>
      <c r="R77" s="43">
        <f t="shared" si="5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3">
        <f>+ยกมา!J78</f>
        <v>0</v>
      </c>
      <c r="F78" s="70">
        <v>0</v>
      </c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1"/>
      <c r="L78" s="21">
        <v>35</v>
      </c>
      <c r="M78" s="64">
        <f t="shared" si="4"/>
        <v>0</v>
      </c>
      <c r="N78" s="17" t="s">
        <v>16</v>
      </c>
      <c r="O78" s="18"/>
      <c r="P78" s="23">
        <f t="shared" si="6"/>
        <v>0</v>
      </c>
      <c r="Q78" s="90"/>
      <c r="R78" s="43">
        <f t="shared" si="5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3">
        <f>+ยกมา!J79</f>
        <v>0</v>
      </c>
      <c r="F79" s="70">
        <v>5</v>
      </c>
      <c r="G79" s="46">
        <f t="shared" si="7"/>
        <v>5</v>
      </c>
      <c r="H79" s="78">
        <v>0</v>
      </c>
      <c r="I79" s="76">
        <v>0</v>
      </c>
      <c r="J79" s="46">
        <f t="shared" si="8"/>
        <v>2</v>
      </c>
      <c r="K79" s="71">
        <v>3</v>
      </c>
      <c r="L79" s="15">
        <v>55</v>
      </c>
      <c r="M79" s="64">
        <f t="shared" si="4"/>
        <v>165</v>
      </c>
      <c r="N79" s="17" t="s">
        <v>16</v>
      </c>
      <c r="O79" s="18"/>
      <c r="P79" s="180">
        <f t="shared" si="6"/>
        <v>165</v>
      </c>
      <c r="Q79" s="90">
        <v>14.35</v>
      </c>
      <c r="R79" s="43">
        <f t="shared" si="5"/>
        <v>43.05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3">
        <f>+ยกมา!J80</f>
        <v>0</v>
      </c>
      <c r="F80" s="70">
        <v>5</v>
      </c>
      <c r="G80" s="46">
        <f t="shared" si="7"/>
        <v>5</v>
      </c>
      <c r="H80" s="78">
        <v>0</v>
      </c>
      <c r="I80" s="76">
        <v>0</v>
      </c>
      <c r="J80" s="46">
        <f t="shared" si="8"/>
        <v>1</v>
      </c>
      <c r="K80" s="71">
        <v>4</v>
      </c>
      <c r="L80" s="20">
        <v>55</v>
      </c>
      <c r="M80" s="64">
        <f t="shared" ref="M80:M165" si="9">+L80*K80</f>
        <v>220</v>
      </c>
      <c r="N80" s="17" t="s">
        <v>1406</v>
      </c>
      <c r="O80" s="18">
        <v>5</v>
      </c>
      <c r="P80" s="180">
        <f t="shared" ref="P80:P165" si="10">SUM(M80-O80)</f>
        <v>215</v>
      </c>
      <c r="Q80" s="90">
        <v>11.58</v>
      </c>
      <c r="R80" s="43">
        <f t="shared" ref="R80:R165" si="11">+K80*Q80</f>
        <v>46.32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3">
        <f>+ยกมา!J81</f>
        <v>0</v>
      </c>
      <c r="F81" s="70">
        <v>0</v>
      </c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1"/>
      <c r="L81" s="22">
        <v>50</v>
      </c>
      <c r="M81" s="64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0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3">
        <f>+ยกมา!J82</f>
        <v>0</v>
      </c>
      <c r="F82" s="70">
        <v>0</v>
      </c>
      <c r="G82" s="46">
        <f t="shared" si="7"/>
        <v>0</v>
      </c>
      <c r="H82" s="78">
        <v>0</v>
      </c>
      <c r="I82" s="76">
        <v>0</v>
      </c>
      <c r="J82" s="46">
        <f t="shared" si="8"/>
        <v>0</v>
      </c>
      <c r="K82" s="71"/>
      <c r="L82" s="22">
        <v>50</v>
      </c>
      <c r="M82" s="64">
        <f t="shared" si="12"/>
        <v>0</v>
      </c>
      <c r="N82" s="17" t="s">
        <v>16</v>
      </c>
      <c r="O82" s="18"/>
      <c r="P82" s="23">
        <f t="shared" si="13"/>
        <v>0</v>
      </c>
      <c r="Q82" s="90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3">
        <f>+ยกมา!J83</f>
        <v>0</v>
      </c>
      <c r="F83" s="70">
        <v>0</v>
      </c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1"/>
      <c r="L83" s="20">
        <v>35</v>
      </c>
      <c r="M83" s="64">
        <f t="shared" si="12"/>
        <v>0</v>
      </c>
      <c r="N83" s="17" t="s">
        <v>16</v>
      </c>
      <c r="O83" s="18"/>
      <c r="P83" s="23">
        <f t="shared" si="13"/>
        <v>0</v>
      </c>
      <c r="Q83" s="90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3">
        <f>+ยกมา!J84</f>
        <v>0</v>
      </c>
      <c r="F84" s="70">
        <v>0</v>
      </c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1"/>
      <c r="L84" s="20">
        <v>35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90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3">
        <f>+ยกมา!J85</f>
        <v>0</v>
      </c>
      <c r="F85" s="70">
        <v>0</v>
      </c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1"/>
      <c r="L85" s="20">
        <v>45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3">
        <f>+ยกมา!J86</f>
        <v>0</v>
      </c>
      <c r="F86" s="70">
        <v>0</v>
      </c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3">
        <f>+ยกมา!J87</f>
        <v>0</v>
      </c>
      <c r="F87" s="70">
        <v>0</v>
      </c>
      <c r="G87" s="46">
        <f t="shared" si="7"/>
        <v>0</v>
      </c>
      <c r="H87" s="78">
        <v>0</v>
      </c>
      <c r="I87" s="76">
        <v>0</v>
      </c>
      <c r="J87" s="46">
        <f t="shared" si="8"/>
        <v>0</v>
      </c>
      <c r="K87" s="71"/>
      <c r="L87" s="20">
        <v>35</v>
      </c>
      <c r="M87" s="64">
        <f t="shared" si="12"/>
        <v>0</v>
      </c>
      <c r="N87" s="17" t="s">
        <v>16</v>
      </c>
      <c r="O87" s="18"/>
      <c r="P87" s="23">
        <f t="shared" si="13"/>
        <v>0</v>
      </c>
      <c r="Q87" s="90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3">
        <f>+ยกมา!J88</f>
        <v>0</v>
      </c>
      <c r="F88" s="70">
        <v>0</v>
      </c>
      <c r="G88" s="46">
        <f t="shared" si="7"/>
        <v>0</v>
      </c>
      <c r="H88" s="78">
        <v>0</v>
      </c>
      <c r="I88" s="76">
        <v>0</v>
      </c>
      <c r="J88" s="46">
        <f t="shared" si="8"/>
        <v>0</v>
      </c>
      <c r="K88" s="71"/>
      <c r="L88" s="22">
        <v>45</v>
      </c>
      <c r="M88" s="64">
        <f t="shared" si="12"/>
        <v>0</v>
      </c>
      <c r="N88" s="17" t="s">
        <v>16</v>
      </c>
      <c r="O88" s="18"/>
      <c r="P88" s="23">
        <f t="shared" si="13"/>
        <v>0</v>
      </c>
      <c r="Q88" s="90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3">
        <f>+ยกมา!J89</f>
        <v>0</v>
      </c>
      <c r="F89" s="70">
        <v>0</v>
      </c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1"/>
      <c r="L89" s="20">
        <v>45</v>
      </c>
      <c r="M89" s="64">
        <f t="shared" si="9"/>
        <v>0</v>
      </c>
      <c r="N89" s="17" t="s">
        <v>16</v>
      </c>
      <c r="O89" s="18"/>
      <c r="P89" s="23">
        <f t="shared" si="10"/>
        <v>0</v>
      </c>
      <c r="Q89" s="90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3">
        <f>+ยกมา!J90</f>
        <v>0</v>
      </c>
      <c r="F90" s="70">
        <v>40</v>
      </c>
      <c r="G90" s="46">
        <f t="shared" si="7"/>
        <v>40</v>
      </c>
      <c r="H90" s="78">
        <v>0</v>
      </c>
      <c r="I90" s="76">
        <v>0</v>
      </c>
      <c r="J90" s="46">
        <f t="shared" si="8"/>
        <v>9</v>
      </c>
      <c r="K90" s="71">
        <v>31</v>
      </c>
      <c r="L90" s="21">
        <v>35</v>
      </c>
      <c r="M90" s="64">
        <f t="shared" si="9"/>
        <v>1085</v>
      </c>
      <c r="N90" s="17" t="s">
        <v>1401</v>
      </c>
      <c r="O90" s="18">
        <f>1085-935</f>
        <v>150</v>
      </c>
      <c r="P90" s="180">
        <f t="shared" si="10"/>
        <v>935</v>
      </c>
      <c r="Q90" s="90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3">
        <f>+ยกมา!J91</f>
        <v>0</v>
      </c>
      <c r="F91" s="70">
        <v>0</v>
      </c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1"/>
      <c r="L91" s="21"/>
      <c r="M91" s="64"/>
      <c r="N91" s="17" t="s">
        <v>16</v>
      </c>
      <c r="O91" s="18"/>
      <c r="P91" s="23"/>
      <c r="Q91" s="90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3">
        <f>+ยกมา!J92</f>
        <v>0</v>
      </c>
      <c r="F92" s="70">
        <v>0</v>
      </c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1"/>
      <c r="L92" s="21">
        <v>120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3">
        <f>+ยกมา!J93</f>
        <v>0</v>
      </c>
      <c r="F93" s="70">
        <v>0</v>
      </c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1"/>
      <c r="L93" s="20">
        <v>45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3">
        <f>+ยกมา!J94</f>
        <v>0</v>
      </c>
      <c r="F94" s="70">
        <v>0</v>
      </c>
      <c r="G94" s="46">
        <f t="shared" si="7"/>
        <v>0</v>
      </c>
      <c r="H94" s="78">
        <v>0</v>
      </c>
      <c r="I94" s="76">
        <v>0</v>
      </c>
      <c r="J94" s="46">
        <f t="shared" si="8"/>
        <v>0</v>
      </c>
      <c r="K94" s="71"/>
      <c r="L94" s="20">
        <v>35</v>
      </c>
      <c r="M94" s="64">
        <f t="shared" si="9"/>
        <v>0</v>
      </c>
      <c r="N94" s="17" t="s">
        <v>16</v>
      </c>
      <c r="O94" s="18"/>
      <c r="P94" s="23">
        <f t="shared" si="10"/>
        <v>0</v>
      </c>
      <c r="Q94" s="90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3">
        <f>+ยกมา!J95</f>
        <v>0</v>
      </c>
      <c r="F95" s="70">
        <v>0</v>
      </c>
      <c r="G95" s="46">
        <f t="shared" si="7"/>
        <v>0</v>
      </c>
      <c r="H95" s="78">
        <v>0</v>
      </c>
      <c r="I95" s="76">
        <v>0</v>
      </c>
      <c r="J95" s="46">
        <f t="shared" si="8"/>
        <v>0</v>
      </c>
      <c r="K95" s="71"/>
      <c r="L95" s="20">
        <v>35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90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3">
        <f>+ยกมา!J96</f>
        <v>0</v>
      </c>
      <c r="F96" s="70">
        <v>50</v>
      </c>
      <c r="G96" s="46">
        <f t="shared" si="7"/>
        <v>50</v>
      </c>
      <c r="H96" s="78">
        <v>0</v>
      </c>
      <c r="I96" s="76">
        <v>0</v>
      </c>
      <c r="J96" s="46">
        <f t="shared" si="8"/>
        <v>0</v>
      </c>
      <c r="K96" s="71">
        <v>50</v>
      </c>
      <c r="L96" s="20">
        <v>45</v>
      </c>
      <c r="M96" s="64">
        <f>+L96*K96</f>
        <v>2250</v>
      </c>
      <c r="N96" s="17" t="s">
        <v>16</v>
      </c>
      <c r="O96" s="18"/>
      <c r="P96" s="180">
        <f>SUM(M96-O96)</f>
        <v>2250</v>
      </c>
      <c r="Q96" s="90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1387</v>
      </c>
      <c r="D97" s="10" t="s">
        <v>434</v>
      </c>
      <c r="E97" s="63">
        <f>+ยกมา!J97</f>
        <v>0</v>
      </c>
      <c r="F97" s="70">
        <v>0</v>
      </c>
      <c r="G97" s="46">
        <f t="shared" si="7"/>
        <v>0</v>
      </c>
      <c r="H97" s="78">
        <v>0</v>
      </c>
      <c r="I97" s="76">
        <v>0</v>
      </c>
      <c r="J97" s="46">
        <f t="shared" si="8"/>
        <v>0</v>
      </c>
      <c r="K97" s="71"/>
      <c r="L97" s="20">
        <v>35</v>
      </c>
      <c r="M97" s="64">
        <f>+L97*K97</f>
        <v>0</v>
      </c>
      <c r="N97" s="17" t="s">
        <v>16</v>
      </c>
      <c r="O97" s="18"/>
      <c r="P97" s="23">
        <f>SUM(M97-O97)</f>
        <v>0</v>
      </c>
      <c r="Q97" s="90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1388</v>
      </c>
      <c r="D98" s="10" t="s">
        <v>434</v>
      </c>
      <c r="E98" s="63">
        <f>+ยกมา!J98</f>
        <v>0</v>
      </c>
      <c r="F98" s="70">
        <v>0</v>
      </c>
      <c r="G98" s="46">
        <f t="shared" si="7"/>
        <v>0</v>
      </c>
      <c r="H98" s="78">
        <v>0</v>
      </c>
      <c r="I98" s="76">
        <v>0</v>
      </c>
      <c r="J98" s="46">
        <f t="shared" si="8"/>
        <v>0</v>
      </c>
      <c r="K98" s="71"/>
      <c r="L98" s="20">
        <v>35</v>
      </c>
      <c r="M98" s="64">
        <f>+L98*K98</f>
        <v>0</v>
      </c>
      <c r="N98" s="17" t="s">
        <v>16</v>
      </c>
      <c r="O98" s="18"/>
      <c r="P98" s="23">
        <f>SUM(M98-O98)</f>
        <v>0</v>
      </c>
      <c r="Q98" s="90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3">
        <f>+ยกมา!J99</f>
        <v>0</v>
      </c>
      <c r="F99" s="70">
        <v>0</v>
      </c>
      <c r="G99" s="46">
        <f t="shared" si="7"/>
        <v>0</v>
      </c>
      <c r="H99" s="78">
        <v>0</v>
      </c>
      <c r="I99" s="76">
        <v>0</v>
      </c>
      <c r="J99" s="46">
        <f t="shared" si="8"/>
        <v>0</v>
      </c>
      <c r="K99" s="71"/>
      <c r="L99" s="20">
        <v>35</v>
      </c>
      <c r="M99" s="64">
        <f t="shared" si="9"/>
        <v>0</v>
      </c>
      <c r="N99" s="17" t="s">
        <v>16</v>
      </c>
      <c r="O99" s="18"/>
      <c r="P99" s="23">
        <f t="shared" si="10"/>
        <v>0</v>
      </c>
      <c r="Q99" s="90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3">
        <f>+ยกมา!J100</f>
        <v>0</v>
      </c>
      <c r="F100" s="70">
        <v>0</v>
      </c>
      <c r="G100" s="46">
        <f t="shared" si="7"/>
        <v>0</v>
      </c>
      <c r="H100" s="78">
        <v>0</v>
      </c>
      <c r="I100" s="76">
        <v>0</v>
      </c>
      <c r="J100" s="46">
        <f t="shared" si="8"/>
        <v>0</v>
      </c>
      <c r="K100" s="71"/>
      <c r="L100" s="20">
        <v>35</v>
      </c>
      <c r="M100" s="64">
        <f t="shared" si="9"/>
        <v>0</v>
      </c>
      <c r="N100" s="17" t="s">
        <v>16</v>
      </c>
      <c r="O100" s="18"/>
      <c r="P100" s="23">
        <f t="shared" si="10"/>
        <v>0</v>
      </c>
      <c r="Q100" s="90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3">
        <f>+ยกมา!J101</f>
        <v>0</v>
      </c>
      <c r="F101" s="70">
        <v>0</v>
      </c>
      <c r="G101" s="46">
        <f t="shared" si="7"/>
        <v>0</v>
      </c>
      <c r="H101" s="78">
        <v>0</v>
      </c>
      <c r="I101" s="76">
        <v>0</v>
      </c>
      <c r="J101" s="46">
        <f t="shared" si="8"/>
        <v>0</v>
      </c>
      <c r="K101" s="71"/>
      <c r="L101" s="20">
        <v>100</v>
      </c>
      <c r="M101" s="64">
        <f>+L101*K101</f>
        <v>0</v>
      </c>
      <c r="N101" s="17" t="s">
        <v>16</v>
      </c>
      <c r="O101" s="18"/>
      <c r="P101" s="23">
        <f>SUM(M101-O101)</f>
        <v>0</v>
      </c>
      <c r="Q101" s="90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3">
        <f>+ยกมา!J102</f>
        <v>0</v>
      </c>
      <c r="F102" s="70">
        <v>0</v>
      </c>
      <c r="G102" s="46">
        <f t="shared" si="7"/>
        <v>0</v>
      </c>
      <c r="H102" s="78">
        <v>0</v>
      </c>
      <c r="I102" s="76">
        <v>0</v>
      </c>
      <c r="J102" s="46">
        <f t="shared" si="8"/>
        <v>0</v>
      </c>
      <c r="K102" s="71"/>
      <c r="L102" s="20">
        <v>250</v>
      </c>
      <c r="M102" s="64">
        <f>+L102*K102</f>
        <v>0</v>
      </c>
      <c r="N102" s="17" t="s">
        <v>16</v>
      </c>
      <c r="O102" s="18"/>
      <c r="P102" s="23">
        <f>SUM(M102-O102)</f>
        <v>0</v>
      </c>
      <c r="Q102" s="90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3">
        <f>+ยกมา!J103</f>
        <v>0</v>
      </c>
      <c r="F103" s="70">
        <v>0</v>
      </c>
      <c r="G103" s="46">
        <f t="shared" si="7"/>
        <v>0</v>
      </c>
      <c r="H103" s="78">
        <v>0</v>
      </c>
      <c r="I103" s="76">
        <v>0</v>
      </c>
      <c r="J103" s="46">
        <f t="shared" si="8"/>
        <v>0</v>
      </c>
      <c r="K103" s="71"/>
      <c r="L103" s="22">
        <v>120</v>
      </c>
      <c r="M103" s="64">
        <f t="shared" si="9"/>
        <v>0</v>
      </c>
      <c r="N103" s="17" t="s">
        <v>16</v>
      </c>
      <c r="O103" s="18"/>
      <c r="P103" s="23">
        <f t="shared" si="10"/>
        <v>0</v>
      </c>
      <c r="Q103" s="90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3">
        <f>+ยกมา!J104</f>
        <v>0</v>
      </c>
      <c r="F104" s="70">
        <v>0</v>
      </c>
      <c r="G104" s="46">
        <f t="shared" si="7"/>
        <v>0</v>
      </c>
      <c r="H104" s="78">
        <v>0</v>
      </c>
      <c r="I104" s="76">
        <v>0</v>
      </c>
      <c r="J104" s="46">
        <f t="shared" si="8"/>
        <v>0</v>
      </c>
      <c r="K104" s="71"/>
      <c r="L104" s="20">
        <v>250</v>
      </c>
      <c r="M104" s="64">
        <f t="shared" si="9"/>
        <v>0</v>
      </c>
      <c r="N104" s="17" t="s">
        <v>16</v>
      </c>
      <c r="O104" s="18"/>
      <c r="P104" s="23">
        <f t="shared" si="10"/>
        <v>0</v>
      </c>
      <c r="Q104" s="90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3">
        <f>+ยกมา!J105</f>
        <v>0</v>
      </c>
      <c r="F105" s="70">
        <v>0</v>
      </c>
      <c r="G105" s="46">
        <f t="shared" si="7"/>
        <v>0</v>
      </c>
      <c r="H105" s="78">
        <v>0</v>
      </c>
      <c r="I105" s="76">
        <v>0</v>
      </c>
      <c r="J105" s="46">
        <f t="shared" si="8"/>
        <v>0</v>
      </c>
      <c r="K105" s="71"/>
      <c r="L105" s="20">
        <v>80</v>
      </c>
      <c r="M105" s="64">
        <f>+L105*K105</f>
        <v>0</v>
      </c>
      <c r="N105" s="17" t="s">
        <v>16</v>
      </c>
      <c r="O105" s="18"/>
      <c r="P105" s="23">
        <f>SUM(M105-O105)</f>
        <v>0</v>
      </c>
      <c r="Q105" s="90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3">
        <f>+ยกมา!J106</f>
        <v>0</v>
      </c>
      <c r="F106" s="70">
        <v>10</v>
      </c>
      <c r="G106" s="46">
        <f t="shared" si="7"/>
        <v>10</v>
      </c>
      <c r="H106" s="78">
        <v>0</v>
      </c>
      <c r="I106" s="76">
        <v>0</v>
      </c>
      <c r="J106" s="46">
        <f t="shared" si="8"/>
        <v>9</v>
      </c>
      <c r="K106" s="71">
        <v>1</v>
      </c>
      <c r="L106" s="20">
        <v>55</v>
      </c>
      <c r="M106" s="64">
        <f t="shared" si="9"/>
        <v>55</v>
      </c>
      <c r="N106" s="17" t="s">
        <v>16</v>
      </c>
      <c r="O106" s="18"/>
      <c r="P106" s="180">
        <f t="shared" si="10"/>
        <v>55</v>
      </c>
      <c r="Q106" s="90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3">
        <f>+ยกมา!J107</f>
        <v>0</v>
      </c>
      <c r="F107" s="70">
        <v>0</v>
      </c>
      <c r="G107" s="46">
        <f t="shared" si="7"/>
        <v>0</v>
      </c>
      <c r="H107" s="78">
        <v>0</v>
      </c>
      <c r="I107" s="76">
        <v>0</v>
      </c>
      <c r="J107" s="46">
        <f t="shared" si="8"/>
        <v>0</v>
      </c>
      <c r="K107" s="71"/>
      <c r="L107" s="20">
        <v>200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90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3">
        <f>+ยกมา!J108</f>
        <v>0</v>
      </c>
      <c r="F108" s="70">
        <v>10</v>
      </c>
      <c r="G108" s="46">
        <f t="shared" si="7"/>
        <v>10</v>
      </c>
      <c r="H108" s="78">
        <v>0</v>
      </c>
      <c r="I108" s="76">
        <v>0</v>
      </c>
      <c r="J108" s="46">
        <f t="shared" si="8"/>
        <v>3</v>
      </c>
      <c r="K108" s="71">
        <v>7</v>
      </c>
      <c r="L108" s="22">
        <v>60</v>
      </c>
      <c r="M108" s="64">
        <f t="shared" si="9"/>
        <v>420</v>
      </c>
      <c r="N108" s="17" t="s">
        <v>16</v>
      </c>
      <c r="O108" s="18"/>
      <c r="P108" s="180">
        <f t="shared" si="10"/>
        <v>420</v>
      </c>
      <c r="Q108" s="90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3">
        <f>+ยกมา!J109</f>
        <v>0</v>
      </c>
      <c r="F109" s="70">
        <v>10</v>
      </c>
      <c r="G109" s="46">
        <f t="shared" si="7"/>
        <v>10</v>
      </c>
      <c r="H109" s="78">
        <v>0</v>
      </c>
      <c r="I109" s="76">
        <v>0</v>
      </c>
      <c r="J109" s="46">
        <f t="shared" si="8"/>
        <v>3</v>
      </c>
      <c r="K109" s="71">
        <v>7</v>
      </c>
      <c r="L109" s="22">
        <v>100</v>
      </c>
      <c r="M109" s="64">
        <f t="shared" si="9"/>
        <v>700</v>
      </c>
      <c r="N109" s="17" t="s">
        <v>16</v>
      </c>
      <c r="O109" s="18"/>
      <c r="P109" s="180">
        <f t="shared" si="10"/>
        <v>700</v>
      </c>
      <c r="Q109" s="90">
        <v>13.03</v>
      </c>
      <c r="R109" s="43">
        <f t="shared" si="11"/>
        <v>91.21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3">
        <f>+ยกมา!J110</f>
        <v>0</v>
      </c>
      <c r="F110" s="70">
        <v>0</v>
      </c>
      <c r="G110" s="46">
        <f t="shared" si="7"/>
        <v>0</v>
      </c>
      <c r="H110" s="78">
        <v>0</v>
      </c>
      <c r="I110" s="76">
        <v>0</v>
      </c>
      <c r="J110" s="46">
        <f t="shared" si="8"/>
        <v>0</v>
      </c>
      <c r="K110" s="71"/>
      <c r="L110" s="22">
        <v>55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90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3">
        <f>+ยกมา!J111</f>
        <v>0</v>
      </c>
      <c r="F111" s="70">
        <v>0</v>
      </c>
      <c r="G111" s="46">
        <f t="shared" si="7"/>
        <v>0</v>
      </c>
      <c r="H111" s="78">
        <v>0</v>
      </c>
      <c r="I111" s="76">
        <v>0</v>
      </c>
      <c r="J111" s="46">
        <f t="shared" si="8"/>
        <v>0</v>
      </c>
      <c r="K111" s="71"/>
      <c r="L111" s="15">
        <v>40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90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3">
        <f>+ยกมา!J112</f>
        <v>0</v>
      </c>
      <c r="F112" s="70">
        <v>0</v>
      </c>
      <c r="G112" s="46">
        <f t="shared" si="7"/>
        <v>0</v>
      </c>
      <c r="H112" s="78">
        <v>0</v>
      </c>
      <c r="I112" s="76">
        <v>0</v>
      </c>
      <c r="J112" s="46">
        <f t="shared" si="8"/>
        <v>0</v>
      </c>
      <c r="K112" s="71"/>
      <c r="L112" s="22">
        <v>40</v>
      </c>
      <c r="M112" s="64">
        <f t="shared" si="9"/>
        <v>0</v>
      </c>
      <c r="N112" s="17" t="s">
        <v>16</v>
      </c>
      <c r="O112" s="18"/>
      <c r="P112" s="23">
        <f t="shared" si="10"/>
        <v>0</v>
      </c>
      <c r="Q112" s="90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3">
        <f>+ยกมา!J113</f>
        <v>0</v>
      </c>
      <c r="F113" s="70">
        <v>0</v>
      </c>
      <c r="G113" s="46">
        <f t="shared" si="7"/>
        <v>0</v>
      </c>
      <c r="H113" s="78">
        <v>0</v>
      </c>
      <c r="I113" s="76">
        <v>0</v>
      </c>
      <c r="J113" s="46">
        <f t="shared" si="8"/>
        <v>0</v>
      </c>
      <c r="K113" s="71"/>
      <c r="L113" s="22">
        <v>40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90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3">
        <f>+ยกมา!J114</f>
        <v>0</v>
      </c>
      <c r="F114" s="70">
        <v>0</v>
      </c>
      <c r="G114" s="46">
        <f t="shared" si="7"/>
        <v>0</v>
      </c>
      <c r="H114" s="78">
        <v>0</v>
      </c>
      <c r="I114" s="76">
        <v>0</v>
      </c>
      <c r="J114" s="46">
        <f t="shared" si="8"/>
        <v>0</v>
      </c>
      <c r="K114" s="71"/>
      <c r="L114" s="20">
        <v>40</v>
      </c>
      <c r="M114" s="64">
        <f>+L114*K114</f>
        <v>0</v>
      </c>
      <c r="N114" s="17" t="s">
        <v>16</v>
      </c>
      <c r="O114" s="18"/>
      <c r="P114" s="23">
        <f>SUM(M114-O114)</f>
        <v>0</v>
      </c>
      <c r="Q114" s="90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3">
        <f>+ยกมา!J115</f>
        <v>0</v>
      </c>
      <c r="F115" s="70">
        <v>0</v>
      </c>
      <c r="G115" s="46">
        <f t="shared" si="7"/>
        <v>0</v>
      </c>
      <c r="H115" s="78">
        <v>0</v>
      </c>
      <c r="I115" s="76">
        <v>0</v>
      </c>
      <c r="J115" s="46">
        <f t="shared" si="8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92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3">
        <f>+ยกมา!J116</f>
        <v>0</v>
      </c>
      <c r="F116" s="70">
        <v>0</v>
      </c>
      <c r="G116" s="46">
        <f t="shared" si="7"/>
        <v>0</v>
      </c>
      <c r="H116" s="78">
        <v>0</v>
      </c>
      <c r="I116" s="76">
        <v>0</v>
      </c>
      <c r="J116" s="46">
        <f t="shared" si="8"/>
        <v>0</v>
      </c>
      <c r="K116" s="71"/>
      <c r="L116" s="22">
        <v>60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92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3">
        <f>+ยกมา!J117</f>
        <v>0</v>
      </c>
      <c r="F117" s="70">
        <v>0</v>
      </c>
      <c r="G117" s="46">
        <f t="shared" si="7"/>
        <v>0</v>
      </c>
      <c r="H117" s="78">
        <v>0</v>
      </c>
      <c r="I117" s="76">
        <v>0</v>
      </c>
      <c r="J117" s="46">
        <f t="shared" si="8"/>
        <v>0</v>
      </c>
      <c r="K117" s="71"/>
      <c r="L117" s="20">
        <v>40</v>
      </c>
      <c r="M117" s="64">
        <f>+L117*K117</f>
        <v>0</v>
      </c>
      <c r="N117" s="17" t="s">
        <v>16</v>
      </c>
      <c r="O117" s="18"/>
      <c r="P117" s="23">
        <f>SUM(M117-O117)</f>
        <v>0</v>
      </c>
      <c r="Q117" s="90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3">
        <f>+ยกมา!J118</f>
        <v>0</v>
      </c>
      <c r="F118" s="70">
        <v>0</v>
      </c>
      <c r="G118" s="46">
        <f t="shared" si="7"/>
        <v>0</v>
      </c>
      <c r="H118" s="78">
        <v>0</v>
      </c>
      <c r="I118" s="76">
        <v>0</v>
      </c>
      <c r="J118" s="46">
        <f t="shared" si="8"/>
        <v>0</v>
      </c>
      <c r="K118" s="71"/>
      <c r="L118" s="22">
        <v>50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90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3">
        <f>+ยกมา!J119</f>
        <v>0</v>
      </c>
      <c r="F119" s="70">
        <v>0</v>
      </c>
      <c r="G119" s="46">
        <f t="shared" si="7"/>
        <v>0</v>
      </c>
      <c r="H119" s="78">
        <v>0</v>
      </c>
      <c r="I119" s="76">
        <v>0</v>
      </c>
      <c r="J119" s="46">
        <f t="shared" si="8"/>
        <v>0</v>
      </c>
      <c r="K119" s="71"/>
      <c r="L119" s="22">
        <v>100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90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3">
        <f>+ยกมา!J120</f>
        <v>0</v>
      </c>
      <c r="F120" s="70">
        <v>0</v>
      </c>
      <c r="G120" s="46">
        <f t="shared" si="7"/>
        <v>0</v>
      </c>
      <c r="H120" s="78">
        <v>0</v>
      </c>
      <c r="I120" s="76">
        <v>0</v>
      </c>
      <c r="J120" s="46">
        <f t="shared" si="8"/>
        <v>0</v>
      </c>
      <c r="K120" s="71"/>
      <c r="L120" s="22">
        <v>39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90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3">
        <f>+ยกมา!J121</f>
        <v>0</v>
      </c>
      <c r="F121" s="70">
        <v>0</v>
      </c>
      <c r="G121" s="46">
        <f t="shared" si="7"/>
        <v>0</v>
      </c>
      <c r="H121" s="78">
        <v>0</v>
      </c>
      <c r="I121" s="76">
        <v>0</v>
      </c>
      <c r="J121" s="46">
        <f t="shared" si="8"/>
        <v>0</v>
      </c>
      <c r="K121" s="71"/>
      <c r="L121" s="22">
        <v>35</v>
      </c>
      <c r="M121" s="64">
        <f t="shared" si="9"/>
        <v>0</v>
      </c>
      <c r="N121" s="17" t="s">
        <v>16</v>
      </c>
      <c r="O121" s="18"/>
      <c r="P121" s="23">
        <f t="shared" si="10"/>
        <v>0</v>
      </c>
      <c r="Q121" s="90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3">
        <f>+ยกมา!J122</f>
        <v>0</v>
      </c>
      <c r="F122" s="70">
        <v>0</v>
      </c>
      <c r="G122" s="46">
        <f t="shared" si="7"/>
        <v>0</v>
      </c>
      <c r="H122" s="78">
        <v>0</v>
      </c>
      <c r="I122" s="76">
        <v>0</v>
      </c>
      <c r="J122" s="46">
        <f t="shared" si="8"/>
        <v>0</v>
      </c>
      <c r="K122" s="71"/>
      <c r="L122" s="22">
        <v>25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90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3">
        <f>+ยกมา!J123</f>
        <v>0</v>
      </c>
      <c r="F123" s="70">
        <v>0</v>
      </c>
      <c r="G123" s="46">
        <f t="shared" si="7"/>
        <v>0</v>
      </c>
      <c r="H123" s="78">
        <v>0</v>
      </c>
      <c r="I123" s="76">
        <v>0</v>
      </c>
      <c r="J123" s="46">
        <f t="shared" si="8"/>
        <v>0</v>
      </c>
      <c r="K123" s="71"/>
      <c r="L123" s="22">
        <v>40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90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3">
        <f>+ยกมา!J124</f>
        <v>0</v>
      </c>
      <c r="F124" s="70">
        <v>10</v>
      </c>
      <c r="G124" s="46">
        <f t="shared" si="7"/>
        <v>10</v>
      </c>
      <c r="H124" s="78">
        <v>0</v>
      </c>
      <c r="I124" s="76">
        <v>0</v>
      </c>
      <c r="J124" s="46">
        <f t="shared" si="8"/>
        <v>1</v>
      </c>
      <c r="K124" s="71">
        <v>9</v>
      </c>
      <c r="L124" s="22">
        <v>50</v>
      </c>
      <c r="M124" s="64">
        <f t="shared" si="9"/>
        <v>450</v>
      </c>
      <c r="N124" s="17" t="s">
        <v>16</v>
      </c>
      <c r="O124" s="18"/>
      <c r="P124" s="180">
        <f t="shared" si="10"/>
        <v>450</v>
      </c>
      <c r="Q124" s="90">
        <v>9.91</v>
      </c>
      <c r="R124" s="43">
        <f t="shared" si="11"/>
        <v>89.19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3">
        <f>+ยกมา!J125</f>
        <v>0</v>
      </c>
      <c r="F125" s="70">
        <v>0</v>
      </c>
      <c r="G125" s="46">
        <f t="shared" si="7"/>
        <v>0</v>
      </c>
      <c r="H125" s="78">
        <v>0</v>
      </c>
      <c r="I125" s="76">
        <v>0</v>
      </c>
      <c r="J125" s="46">
        <f t="shared" si="8"/>
        <v>0</v>
      </c>
      <c r="K125" s="71"/>
      <c r="L125" s="22">
        <v>60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90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3">
        <f>+ยกมา!J126</f>
        <v>0</v>
      </c>
      <c r="F126" s="70">
        <v>10</v>
      </c>
      <c r="G126" s="46">
        <f t="shared" si="7"/>
        <v>10</v>
      </c>
      <c r="H126" s="78">
        <v>0</v>
      </c>
      <c r="I126" s="76">
        <v>0</v>
      </c>
      <c r="J126" s="46">
        <f t="shared" si="8"/>
        <v>0</v>
      </c>
      <c r="K126" s="71">
        <v>10</v>
      </c>
      <c r="L126" s="20">
        <v>50</v>
      </c>
      <c r="M126" s="64">
        <f t="shared" si="9"/>
        <v>500</v>
      </c>
      <c r="N126" s="17" t="s">
        <v>16</v>
      </c>
      <c r="O126" s="18"/>
      <c r="P126" s="180">
        <f t="shared" si="10"/>
        <v>500</v>
      </c>
      <c r="Q126" s="90">
        <v>21.75</v>
      </c>
      <c r="R126" s="43">
        <f t="shared" si="11"/>
        <v>217.5</v>
      </c>
    </row>
    <row r="127" spans="1:18" ht="24.6" x14ac:dyDescent="0.65">
      <c r="A127" s="10">
        <v>123</v>
      </c>
      <c r="B127" s="10"/>
      <c r="C127" s="19" t="s">
        <v>1389</v>
      </c>
      <c r="D127" s="10" t="s">
        <v>434</v>
      </c>
      <c r="E127" s="63">
        <f>+ยกมา!J124</f>
        <v>0</v>
      </c>
      <c r="F127" s="70">
        <v>0</v>
      </c>
      <c r="G127" s="46">
        <f t="shared" si="7"/>
        <v>0</v>
      </c>
      <c r="H127" s="78">
        <v>0</v>
      </c>
      <c r="I127" s="76">
        <v>0</v>
      </c>
      <c r="J127" s="46">
        <f t="shared" si="8"/>
        <v>0</v>
      </c>
      <c r="K127" s="71"/>
      <c r="L127" s="20">
        <v>35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1390</v>
      </c>
      <c r="D128" s="10" t="s">
        <v>434</v>
      </c>
      <c r="E128" s="63">
        <f>+ยกมา!J125</f>
        <v>0</v>
      </c>
      <c r="F128" s="70">
        <v>0</v>
      </c>
      <c r="G128" s="46">
        <f t="shared" si="7"/>
        <v>0</v>
      </c>
      <c r="H128" s="78">
        <v>0</v>
      </c>
      <c r="I128" s="76">
        <v>0</v>
      </c>
      <c r="J128" s="46">
        <f t="shared" si="8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1391</v>
      </c>
      <c r="D129" s="10" t="s">
        <v>434</v>
      </c>
      <c r="E129" s="63">
        <f>+ยกมา!J126</f>
        <v>0</v>
      </c>
      <c r="F129" s="70">
        <v>0</v>
      </c>
      <c r="G129" s="46">
        <f t="shared" si="7"/>
        <v>0</v>
      </c>
      <c r="H129" s="78">
        <v>0</v>
      </c>
      <c r="I129" s="76">
        <v>0</v>
      </c>
      <c r="J129" s="46">
        <f t="shared" si="8"/>
        <v>0</v>
      </c>
      <c r="K129" s="71"/>
      <c r="L129" s="20">
        <v>35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1392</v>
      </c>
      <c r="D130" s="10" t="s">
        <v>434</v>
      </c>
      <c r="E130" s="63">
        <f>+ยกมา!J130</f>
        <v>0</v>
      </c>
      <c r="F130" s="70">
        <v>0</v>
      </c>
      <c r="G130" s="46">
        <f t="shared" si="7"/>
        <v>0</v>
      </c>
      <c r="H130" s="78">
        <v>0</v>
      </c>
      <c r="I130" s="76">
        <v>0</v>
      </c>
      <c r="J130" s="46">
        <f t="shared" si="8"/>
        <v>0</v>
      </c>
      <c r="K130" s="71"/>
      <c r="L130" s="20">
        <v>35</v>
      </c>
      <c r="M130" s="64">
        <f>+L130*K130</f>
        <v>0</v>
      </c>
      <c r="N130" s="17" t="s">
        <v>16</v>
      </c>
      <c r="O130" s="18"/>
      <c r="P130" s="23">
        <f>SUM(M130-O130)</f>
        <v>0</v>
      </c>
      <c r="Q130" s="90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3">
        <f>+ยกมา!J131</f>
        <v>0</v>
      </c>
      <c r="F131" s="70">
        <v>0</v>
      </c>
      <c r="G131" s="46">
        <f t="shared" si="7"/>
        <v>0</v>
      </c>
      <c r="H131" s="78">
        <v>0</v>
      </c>
      <c r="I131" s="76">
        <v>0</v>
      </c>
      <c r="J131" s="46">
        <f t="shared" si="8"/>
        <v>0</v>
      </c>
      <c r="K131" s="71"/>
      <c r="L131" s="20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90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3">
        <f>+ยกมา!J132</f>
        <v>0</v>
      </c>
      <c r="F132" s="70">
        <v>5</v>
      </c>
      <c r="G132" s="46">
        <f t="shared" si="7"/>
        <v>5</v>
      </c>
      <c r="H132" s="78">
        <v>0</v>
      </c>
      <c r="I132" s="76">
        <v>0</v>
      </c>
      <c r="J132" s="46">
        <f t="shared" si="8"/>
        <v>0</v>
      </c>
      <c r="K132" s="71">
        <v>5</v>
      </c>
      <c r="L132" s="20">
        <v>25</v>
      </c>
      <c r="M132" s="64">
        <f t="shared" si="9"/>
        <v>125</v>
      </c>
      <c r="N132" s="17" t="s">
        <v>16</v>
      </c>
      <c r="O132" s="18"/>
      <c r="P132" s="180">
        <f t="shared" si="10"/>
        <v>125</v>
      </c>
      <c r="Q132" s="90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3">
        <f>+ยกมา!J133</f>
        <v>0</v>
      </c>
      <c r="F133" s="70">
        <v>0</v>
      </c>
      <c r="G133" s="46">
        <f t="shared" si="7"/>
        <v>0</v>
      </c>
      <c r="H133" s="78">
        <v>0</v>
      </c>
      <c r="I133" s="76">
        <v>0</v>
      </c>
      <c r="J133" s="46">
        <f t="shared" si="8"/>
        <v>0</v>
      </c>
      <c r="K133" s="71"/>
      <c r="L133" s="20">
        <v>10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90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3">
        <f>+ยกมา!J134</f>
        <v>0</v>
      </c>
      <c r="F134" s="70">
        <v>0</v>
      </c>
      <c r="G134" s="46">
        <f t="shared" ref="G134:G197" si="15">E134+F134</f>
        <v>0</v>
      </c>
      <c r="H134" s="78">
        <v>0</v>
      </c>
      <c r="I134" s="76">
        <v>0</v>
      </c>
      <c r="J134" s="46">
        <f t="shared" ref="J134:J197" si="16">+G134-H134-K134-I134</f>
        <v>0</v>
      </c>
      <c r="K134" s="71"/>
      <c r="L134" s="20">
        <v>10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3">
        <f>+ยกมา!J135</f>
        <v>0</v>
      </c>
      <c r="F135" s="70">
        <v>0</v>
      </c>
      <c r="G135" s="46">
        <f t="shared" si="15"/>
        <v>0</v>
      </c>
      <c r="H135" s="78">
        <v>0</v>
      </c>
      <c r="I135" s="76">
        <v>0</v>
      </c>
      <c r="J135" s="46">
        <f t="shared" si="16"/>
        <v>0</v>
      </c>
      <c r="K135" s="71"/>
      <c r="L135" s="20">
        <v>10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90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3">
        <f>+ยกมา!J136</f>
        <v>0</v>
      </c>
      <c r="F136" s="70">
        <v>0</v>
      </c>
      <c r="G136" s="46">
        <f t="shared" si="15"/>
        <v>0</v>
      </c>
      <c r="H136" s="78">
        <v>0</v>
      </c>
      <c r="I136" s="76">
        <v>0</v>
      </c>
      <c r="J136" s="46">
        <f t="shared" si="16"/>
        <v>0</v>
      </c>
      <c r="K136" s="71"/>
      <c r="L136" s="22">
        <v>10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90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3">
        <f>+ยกมา!J137</f>
        <v>0</v>
      </c>
      <c r="F137" s="70">
        <v>0</v>
      </c>
      <c r="G137" s="46">
        <f t="shared" si="15"/>
        <v>0</v>
      </c>
      <c r="H137" s="78">
        <v>0</v>
      </c>
      <c r="I137" s="76">
        <v>0</v>
      </c>
      <c r="J137" s="46">
        <f t="shared" si="16"/>
        <v>0</v>
      </c>
      <c r="K137" s="71"/>
      <c r="L137" s="22">
        <v>10</v>
      </c>
      <c r="M137" s="64">
        <f t="shared" si="9"/>
        <v>0</v>
      </c>
      <c r="N137" s="17" t="s">
        <v>16</v>
      </c>
      <c r="O137" s="18"/>
      <c r="P137" s="23">
        <f t="shared" si="10"/>
        <v>0</v>
      </c>
      <c r="Q137" s="90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3">
        <f>+ยกมา!J138</f>
        <v>0</v>
      </c>
      <c r="F138" s="70">
        <v>0</v>
      </c>
      <c r="G138" s="46">
        <f t="shared" si="15"/>
        <v>0</v>
      </c>
      <c r="H138" s="78">
        <v>0</v>
      </c>
      <c r="I138" s="76">
        <v>0</v>
      </c>
      <c r="J138" s="46">
        <f t="shared" si="16"/>
        <v>0</v>
      </c>
      <c r="K138" s="71"/>
      <c r="L138" s="20">
        <v>10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90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3">
        <f>+ยกมา!J139</f>
        <v>0</v>
      </c>
      <c r="F139" s="70">
        <v>0</v>
      </c>
      <c r="G139" s="46">
        <f t="shared" si="15"/>
        <v>0</v>
      </c>
      <c r="H139" s="78">
        <v>0</v>
      </c>
      <c r="I139" s="76">
        <v>0</v>
      </c>
      <c r="J139" s="46">
        <f t="shared" si="16"/>
        <v>0</v>
      </c>
      <c r="K139" s="71"/>
      <c r="L139" s="20">
        <v>10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90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3">
        <f>+ยกมา!J140</f>
        <v>0</v>
      </c>
      <c r="F140" s="70">
        <v>0</v>
      </c>
      <c r="G140" s="46">
        <f t="shared" si="15"/>
        <v>0</v>
      </c>
      <c r="H140" s="78">
        <v>0</v>
      </c>
      <c r="I140" s="76">
        <v>0</v>
      </c>
      <c r="J140" s="46">
        <f t="shared" si="1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3">
        <f>+ยกมา!J141</f>
        <v>0</v>
      </c>
      <c r="F141" s="70">
        <v>0</v>
      </c>
      <c r="G141" s="46">
        <f t="shared" si="15"/>
        <v>0</v>
      </c>
      <c r="H141" s="78">
        <v>0</v>
      </c>
      <c r="I141" s="76">
        <v>0</v>
      </c>
      <c r="J141" s="46">
        <f t="shared" si="16"/>
        <v>0</v>
      </c>
      <c r="K141" s="71"/>
      <c r="L141" s="20">
        <v>40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3">
        <f>+ยกมา!J142</f>
        <v>0</v>
      </c>
      <c r="F142" s="70">
        <v>0</v>
      </c>
      <c r="G142" s="46">
        <f t="shared" si="15"/>
        <v>0</v>
      </c>
      <c r="H142" s="78">
        <v>0</v>
      </c>
      <c r="I142" s="76">
        <v>0</v>
      </c>
      <c r="J142" s="46">
        <f t="shared" si="16"/>
        <v>0</v>
      </c>
      <c r="K142" s="71"/>
      <c r="L142" s="20">
        <v>50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90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3">
        <f>+ยกมา!J143</f>
        <v>0</v>
      </c>
      <c r="F143" s="70">
        <v>0</v>
      </c>
      <c r="G143" s="46">
        <f t="shared" si="15"/>
        <v>0</v>
      </c>
      <c r="H143" s="78">
        <v>0</v>
      </c>
      <c r="I143" s="76">
        <v>0</v>
      </c>
      <c r="J143" s="46">
        <f t="shared" si="16"/>
        <v>0</v>
      </c>
      <c r="K143" s="71"/>
      <c r="L143" s="20">
        <v>55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90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3">
        <f>+ยกมา!J144</f>
        <v>0</v>
      </c>
      <c r="F144" s="70">
        <v>0</v>
      </c>
      <c r="G144" s="46">
        <f t="shared" si="15"/>
        <v>0</v>
      </c>
      <c r="H144" s="78">
        <v>0</v>
      </c>
      <c r="I144" s="76">
        <v>0</v>
      </c>
      <c r="J144" s="46">
        <f t="shared" si="16"/>
        <v>0</v>
      </c>
      <c r="K144" s="71"/>
      <c r="L144" s="20">
        <v>55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90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3">
        <f>+ยกมา!J145</f>
        <v>0</v>
      </c>
      <c r="F145" s="70">
        <v>0</v>
      </c>
      <c r="G145" s="46">
        <f t="shared" si="15"/>
        <v>0</v>
      </c>
      <c r="H145" s="78">
        <v>0</v>
      </c>
      <c r="I145" s="76">
        <v>0</v>
      </c>
      <c r="J145" s="46">
        <f t="shared" si="16"/>
        <v>0</v>
      </c>
      <c r="K145" s="71"/>
      <c r="L145" s="20">
        <v>55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90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3">
        <f>+ยกมา!J146</f>
        <v>0</v>
      </c>
      <c r="F146" s="70">
        <v>0</v>
      </c>
      <c r="G146" s="46">
        <f t="shared" si="15"/>
        <v>0</v>
      </c>
      <c r="H146" s="78">
        <v>0</v>
      </c>
      <c r="I146" s="76">
        <v>0</v>
      </c>
      <c r="J146" s="46">
        <f t="shared" si="16"/>
        <v>0</v>
      </c>
      <c r="K146" s="71"/>
      <c r="L146" s="20">
        <v>30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90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3">
        <f>+ยกมา!J147</f>
        <v>0</v>
      </c>
      <c r="F147" s="70">
        <v>5</v>
      </c>
      <c r="G147" s="46">
        <f t="shared" si="15"/>
        <v>5</v>
      </c>
      <c r="H147" s="78">
        <v>0</v>
      </c>
      <c r="I147" s="76">
        <v>0</v>
      </c>
      <c r="J147" s="46">
        <f t="shared" si="16"/>
        <v>0</v>
      </c>
      <c r="K147" s="71">
        <v>5</v>
      </c>
      <c r="L147" s="20">
        <v>25</v>
      </c>
      <c r="M147" s="64">
        <f>+L147*K147</f>
        <v>125</v>
      </c>
      <c r="N147" s="17" t="s">
        <v>16</v>
      </c>
      <c r="O147" s="18"/>
      <c r="P147" s="180">
        <f>SUM(M147-O147)</f>
        <v>125</v>
      </c>
      <c r="Q147" s="90">
        <v>16.16</v>
      </c>
      <c r="R147" s="43">
        <f>+K147*Q147</f>
        <v>80.8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3">
        <f>+ยกมา!J148</f>
        <v>0</v>
      </c>
      <c r="F148" s="70">
        <v>5</v>
      </c>
      <c r="G148" s="46">
        <f t="shared" si="15"/>
        <v>5</v>
      </c>
      <c r="H148" s="78">
        <v>0</v>
      </c>
      <c r="I148" s="76">
        <v>0</v>
      </c>
      <c r="J148" s="46">
        <f t="shared" si="16"/>
        <v>0</v>
      </c>
      <c r="K148" s="71">
        <v>5</v>
      </c>
      <c r="L148" s="20">
        <v>25</v>
      </c>
      <c r="M148" s="64">
        <f t="shared" si="9"/>
        <v>125</v>
      </c>
      <c r="N148" s="17" t="s">
        <v>16</v>
      </c>
      <c r="O148" s="18"/>
      <c r="P148" s="180">
        <f t="shared" si="10"/>
        <v>125</v>
      </c>
      <c r="Q148" s="90">
        <v>18.63</v>
      </c>
      <c r="R148" s="43">
        <f t="shared" si="11"/>
        <v>93.149999999999991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3">
        <f>+ยกมา!J149</f>
        <v>0</v>
      </c>
      <c r="F149" s="70">
        <v>0</v>
      </c>
      <c r="G149" s="46">
        <f t="shared" si="15"/>
        <v>0</v>
      </c>
      <c r="H149" s="78">
        <v>0</v>
      </c>
      <c r="I149" s="76">
        <v>0</v>
      </c>
      <c r="J149" s="46">
        <f t="shared" si="16"/>
        <v>0</v>
      </c>
      <c r="K149" s="71"/>
      <c r="L149" s="20">
        <v>55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90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3">
        <f>+ยกมา!J150</f>
        <v>0</v>
      </c>
      <c r="F150" s="70">
        <v>0</v>
      </c>
      <c r="G150" s="46">
        <f t="shared" si="15"/>
        <v>0</v>
      </c>
      <c r="H150" s="78">
        <v>0</v>
      </c>
      <c r="I150" s="76">
        <v>0</v>
      </c>
      <c r="J150" s="46">
        <f t="shared" si="16"/>
        <v>0</v>
      </c>
      <c r="K150" s="71"/>
      <c r="L150" s="20">
        <v>50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90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3">
        <f>+ยกมา!J151</f>
        <v>0</v>
      </c>
      <c r="F151" s="70">
        <v>0</v>
      </c>
      <c r="G151" s="46">
        <f t="shared" si="15"/>
        <v>0</v>
      </c>
      <c r="H151" s="78">
        <v>0</v>
      </c>
      <c r="I151" s="76">
        <v>0</v>
      </c>
      <c r="J151" s="46">
        <f t="shared" si="16"/>
        <v>0</v>
      </c>
      <c r="K151" s="71"/>
      <c r="L151" s="20">
        <v>65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3">
        <f>+ยกมา!J152</f>
        <v>0</v>
      </c>
      <c r="F152" s="70">
        <v>0</v>
      </c>
      <c r="G152" s="46">
        <f t="shared" si="15"/>
        <v>0</v>
      </c>
      <c r="H152" s="78">
        <v>0</v>
      </c>
      <c r="I152" s="76">
        <v>0</v>
      </c>
      <c r="J152" s="46">
        <f t="shared" si="16"/>
        <v>0</v>
      </c>
      <c r="K152" s="71"/>
      <c r="L152" s="20">
        <v>50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90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3">
        <f>+ยกมา!J153</f>
        <v>0</v>
      </c>
      <c r="F153" s="70">
        <v>0</v>
      </c>
      <c r="G153" s="46">
        <f t="shared" si="15"/>
        <v>0</v>
      </c>
      <c r="H153" s="78">
        <v>0</v>
      </c>
      <c r="I153" s="76">
        <v>0</v>
      </c>
      <c r="J153" s="46">
        <f t="shared" si="16"/>
        <v>0</v>
      </c>
      <c r="K153" s="71"/>
      <c r="L153" s="20">
        <v>50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90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3">
        <f>+ยกมา!J154</f>
        <v>0</v>
      </c>
      <c r="F154" s="70">
        <v>0</v>
      </c>
      <c r="G154" s="46">
        <f t="shared" si="15"/>
        <v>0</v>
      </c>
      <c r="H154" s="78">
        <v>0</v>
      </c>
      <c r="I154" s="76">
        <v>0</v>
      </c>
      <c r="J154" s="46">
        <f t="shared" si="16"/>
        <v>0</v>
      </c>
      <c r="K154" s="71"/>
      <c r="L154" s="20">
        <v>60</v>
      </c>
      <c r="M154" s="64">
        <f t="shared" si="9"/>
        <v>0</v>
      </c>
      <c r="N154" s="17" t="s">
        <v>16</v>
      </c>
      <c r="O154" s="18"/>
      <c r="P154" s="23">
        <f t="shared" si="10"/>
        <v>0</v>
      </c>
      <c r="Q154" s="90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3">
        <f>+ยกมา!J155</f>
        <v>0</v>
      </c>
      <c r="F155" s="70">
        <v>0</v>
      </c>
      <c r="G155" s="46">
        <f t="shared" si="15"/>
        <v>0</v>
      </c>
      <c r="H155" s="78">
        <v>0</v>
      </c>
      <c r="I155" s="76">
        <v>0</v>
      </c>
      <c r="J155" s="46">
        <f t="shared" si="16"/>
        <v>0</v>
      </c>
      <c r="K155" s="71"/>
      <c r="L155" s="20">
        <v>60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90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3">
        <f>+ยกมา!J156</f>
        <v>0</v>
      </c>
      <c r="F156" s="70">
        <v>0</v>
      </c>
      <c r="G156" s="46">
        <f t="shared" si="15"/>
        <v>0</v>
      </c>
      <c r="H156" s="78">
        <v>0</v>
      </c>
      <c r="I156" s="76">
        <v>0</v>
      </c>
      <c r="J156" s="46">
        <f t="shared" si="16"/>
        <v>0</v>
      </c>
      <c r="K156" s="71"/>
      <c r="L156" s="20">
        <v>25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90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3">
        <f>+ยกมา!J157</f>
        <v>0</v>
      </c>
      <c r="F157" s="70">
        <v>0</v>
      </c>
      <c r="G157" s="46">
        <f t="shared" si="15"/>
        <v>0</v>
      </c>
      <c r="H157" s="78">
        <v>0</v>
      </c>
      <c r="I157" s="76">
        <v>0</v>
      </c>
      <c r="J157" s="46">
        <f t="shared" si="16"/>
        <v>0</v>
      </c>
      <c r="K157" s="71"/>
      <c r="L157" s="20">
        <v>45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90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3">
        <f>+ยกมา!J158</f>
        <v>0</v>
      </c>
      <c r="F158" s="70">
        <v>0</v>
      </c>
      <c r="G158" s="46">
        <f t="shared" si="15"/>
        <v>0</v>
      </c>
      <c r="H158" s="78">
        <v>0</v>
      </c>
      <c r="I158" s="76">
        <v>0</v>
      </c>
      <c r="J158" s="46">
        <f t="shared" si="16"/>
        <v>0</v>
      </c>
      <c r="K158" s="71"/>
      <c r="L158" s="20">
        <v>45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90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3">
        <f>+ยกมา!J159</f>
        <v>0</v>
      </c>
      <c r="F159" s="70">
        <v>0</v>
      </c>
      <c r="G159" s="46">
        <f t="shared" si="15"/>
        <v>0</v>
      </c>
      <c r="H159" s="78">
        <v>0</v>
      </c>
      <c r="I159" s="76">
        <v>0</v>
      </c>
      <c r="J159" s="46">
        <f t="shared" si="16"/>
        <v>0</v>
      </c>
      <c r="K159" s="71"/>
      <c r="L159" s="20">
        <v>45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90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3">
        <f>+ยกมา!J160</f>
        <v>0</v>
      </c>
      <c r="F160" s="70">
        <v>0</v>
      </c>
      <c r="G160" s="46">
        <f t="shared" si="15"/>
        <v>0</v>
      </c>
      <c r="H160" s="78">
        <v>0</v>
      </c>
      <c r="I160" s="76">
        <v>0</v>
      </c>
      <c r="J160" s="46">
        <f t="shared" si="16"/>
        <v>0</v>
      </c>
      <c r="K160" s="71"/>
      <c r="L160" s="20">
        <v>45</v>
      </c>
      <c r="M160" s="64">
        <f>+L160*K160</f>
        <v>0</v>
      </c>
      <c r="N160" s="17" t="s">
        <v>16</v>
      </c>
      <c r="O160" s="18"/>
      <c r="P160" s="23">
        <f>SUM(M160-O160)</f>
        <v>0</v>
      </c>
      <c r="Q160" s="90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3">
        <f>+ยกมา!J161</f>
        <v>0</v>
      </c>
      <c r="F161" s="70">
        <v>0</v>
      </c>
      <c r="G161" s="46">
        <f t="shared" si="15"/>
        <v>0</v>
      </c>
      <c r="H161" s="78">
        <v>0</v>
      </c>
      <c r="I161" s="76">
        <v>0</v>
      </c>
      <c r="J161" s="46">
        <f t="shared" si="16"/>
        <v>0</v>
      </c>
      <c r="K161" s="71"/>
      <c r="L161" s="20">
        <v>45</v>
      </c>
      <c r="M161" s="64">
        <f>+L161*K161</f>
        <v>0</v>
      </c>
      <c r="N161" s="17" t="s">
        <v>16</v>
      </c>
      <c r="O161" s="18"/>
      <c r="P161" s="23">
        <f>SUM(M161-O161)</f>
        <v>0</v>
      </c>
      <c r="Q161" s="90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3">
        <f>+ยกมา!J162</f>
        <v>0</v>
      </c>
      <c r="F162" s="70">
        <v>0</v>
      </c>
      <c r="G162" s="46">
        <f t="shared" si="15"/>
        <v>0</v>
      </c>
      <c r="H162" s="78">
        <v>0</v>
      </c>
      <c r="I162" s="76">
        <v>0</v>
      </c>
      <c r="J162" s="46">
        <f t="shared" si="16"/>
        <v>0</v>
      </c>
      <c r="K162" s="71"/>
      <c r="L162" s="20">
        <v>45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90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3">
        <f>+ยกมา!J163</f>
        <v>0</v>
      </c>
      <c r="F163" s="70">
        <v>0</v>
      </c>
      <c r="G163" s="46">
        <f t="shared" si="15"/>
        <v>0</v>
      </c>
      <c r="H163" s="78">
        <v>0</v>
      </c>
      <c r="I163" s="76">
        <v>0</v>
      </c>
      <c r="J163" s="46">
        <f t="shared" si="16"/>
        <v>0</v>
      </c>
      <c r="K163" s="71"/>
      <c r="L163" s="22">
        <v>35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3">
        <f>+ยกมา!J164</f>
        <v>0</v>
      </c>
      <c r="F164" s="70">
        <v>0</v>
      </c>
      <c r="G164" s="46">
        <f t="shared" si="15"/>
        <v>0</v>
      </c>
      <c r="H164" s="78">
        <v>0</v>
      </c>
      <c r="I164" s="76">
        <v>0</v>
      </c>
      <c r="J164" s="46">
        <f t="shared" si="16"/>
        <v>0</v>
      </c>
      <c r="K164" s="71"/>
      <c r="L164" s="22">
        <v>25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90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3">
        <f>+ยกมา!J165</f>
        <v>0</v>
      </c>
      <c r="F165" s="70">
        <v>0</v>
      </c>
      <c r="G165" s="46">
        <f t="shared" si="15"/>
        <v>0</v>
      </c>
      <c r="H165" s="78">
        <v>0</v>
      </c>
      <c r="I165" s="76">
        <v>0</v>
      </c>
      <c r="J165" s="46">
        <f t="shared" si="16"/>
        <v>0</v>
      </c>
      <c r="K165" s="71"/>
      <c r="L165" s="20">
        <v>100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92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3">
        <f>+ยกมา!J166</f>
        <v>0</v>
      </c>
      <c r="F166" s="70">
        <v>10</v>
      </c>
      <c r="G166" s="46">
        <f t="shared" si="15"/>
        <v>10</v>
      </c>
      <c r="H166" s="78">
        <v>0</v>
      </c>
      <c r="I166" s="76">
        <v>0</v>
      </c>
      <c r="J166" s="46">
        <f t="shared" si="16"/>
        <v>9</v>
      </c>
      <c r="K166" s="71">
        <v>1</v>
      </c>
      <c r="L166" s="15">
        <v>50</v>
      </c>
      <c r="M166" s="64">
        <f>+L166*K166</f>
        <v>50</v>
      </c>
      <c r="N166" s="17" t="s">
        <v>16</v>
      </c>
      <c r="O166" s="18"/>
      <c r="P166" s="180">
        <f>SUM(M166-O166)</f>
        <v>50</v>
      </c>
      <c r="Q166" s="90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3">
        <f>+ยกมา!J167</f>
        <v>0</v>
      </c>
      <c r="F167" s="70">
        <v>0</v>
      </c>
      <c r="G167" s="46">
        <f t="shared" si="15"/>
        <v>0</v>
      </c>
      <c r="H167" s="78">
        <v>0</v>
      </c>
      <c r="I167" s="76">
        <v>0</v>
      </c>
      <c r="J167" s="46">
        <f t="shared" si="16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90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3">
        <f>+ยกมา!J168</f>
        <v>0</v>
      </c>
      <c r="F168" s="70">
        <v>0</v>
      </c>
      <c r="G168" s="46">
        <f t="shared" si="15"/>
        <v>0</v>
      </c>
      <c r="H168" s="78">
        <v>0</v>
      </c>
      <c r="I168" s="76">
        <v>0</v>
      </c>
      <c r="J168" s="46">
        <f t="shared" si="16"/>
        <v>0</v>
      </c>
      <c r="K168" s="71"/>
      <c r="L168" s="20">
        <v>40</v>
      </c>
      <c r="M168" s="64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2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3">
        <f>+ยกมา!J169</f>
        <v>0</v>
      </c>
      <c r="F169" s="70">
        <v>0</v>
      </c>
      <c r="G169" s="46">
        <f t="shared" si="15"/>
        <v>0</v>
      </c>
      <c r="H169" s="78">
        <v>0</v>
      </c>
      <c r="I169" s="76">
        <v>0</v>
      </c>
      <c r="J169" s="46">
        <f t="shared" si="16"/>
        <v>0</v>
      </c>
      <c r="K169" s="71"/>
      <c r="L169" s="20">
        <v>55</v>
      </c>
      <c r="M169" s="64">
        <f t="shared" si="17"/>
        <v>0</v>
      </c>
      <c r="N169" s="17" t="s">
        <v>16</v>
      </c>
      <c r="O169" s="18"/>
      <c r="P169" s="23">
        <f t="shared" si="18"/>
        <v>0</v>
      </c>
      <c r="Q169" s="90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3">
        <f>+ยกมา!J170</f>
        <v>0</v>
      </c>
      <c r="F170" s="70">
        <v>0</v>
      </c>
      <c r="G170" s="46">
        <f t="shared" si="15"/>
        <v>0</v>
      </c>
      <c r="H170" s="78">
        <v>0</v>
      </c>
      <c r="I170" s="76">
        <v>0</v>
      </c>
      <c r="J170" s="46">
        <f t="shared" si="16"/>
        <v>0</v>
      </c>
      <c r="K170" s="71"/>
      <c r="L170" s="20">
        <v>55</v>
      </c>
      <c r="M170" s="64">
        <f t="shared" si="17"/>
        <v>0</v>
      </c>
      <c r="N170" s="17" t="s">
        <v>16</v>
      </c>
      <c r="O170" s="18"/>
      <c r="P170" s="23">
        <f t="shared" si="18"/>
        <v>0</v>
      </c>
      <c r="Q170" s="90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3">
        <f>+ยกมา!J171</f>
        <v>0</v>
      </c>
      <c r="F171" s="70">
        <v>0</v>
      </c>
      <c r="G171" s="46">
        <f t="shared" si="15"/>
        <v>0</v>
      </c>
      <c r="H171" s="78">
        <v>0</v>
      </c>
      <c r="I171" s="76">
        <v>0</v>
      </c>
      <c r="J171" s="46">
        <f t="shared" si="16"/>
        <v>0</v>
      </c>
      <c r="K171" s="71"/>
      <c r="L171" s="20">
        <v>10</v>
      </c>
      <c r="M171" s="64">
        <f t="shared" si="17"/>
        <v>0</v>
      </c>
      <c r="N171" s="17" t="s">
        <v>16</v>
      </c>
      <c r="O171" s="18"/>
      <c r="P171" s="23">
        <f t="shared" si="18"/>
        <v>0</v>
      </c>
      <c r="Q171" s="90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3">
        <f>+ยกมา!J172</f>
        <v>0</v>
      </c>
      <c r="F172" s="70">
        <v>10</v>
      </c>
      <c r="G172" s="46">
        <f t="shared" si="15"/>
        <v>10</v>
      </c>
      <c r="H172" s="78">
        <v>0</v>
      </c>
      <c r="I172" s="76">
        <v>0</v>
      </c>
      <c r="J172" s="46">
        <f t="shared" si="16"/>
        <v>5</v>
      </c>
      <c r="K172" s="71">
        <v>5</v>
      </c>
      <c r="L172" s="20">
        <v>35</v>
      </c>
      <c r="M172" s="64">
        <f t="shared" si="17"/>
        <v>175</v>
      </c>
      <c r="N172" s="17" t="s">
        <v>1402</v>
      </c>
      <c r="O172" s="18">
        <v>5</v>
      </c>
      <c r="P172" s="180">
        <f t="shared" si="18"/>
        <v>170</v>
      </c>
      <c r="Q172" s="90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3">
        <f>+ยกมา!J173</f>
        <v>0</v>
      </c>
      <c r="F173" s="70">
        <v>0</v>
      </c>
      <c r="G173" s="46">
        <f t="shared" si="15"/>
        <v>0</v>
      </c>
      <c r="H173" s="78">
        <v>0</v>
      </c>
      <c r="I173" s="76">
        <v>0</v>
      </c>
      <c r="J173" s="46">
        <f t="shared" si="16"/>
        <v>0</v>
      </c>
      <c r="K173" s="71"/>
      <c r="L173" s="20">
        <v>50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90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3">
        <f>+ยกมา!J174</f>
        <v>0</v>
      </c>
      <c r="F174" s="70">
        <v>0</v>
      </c>
      <c r="G174" s="46">
        <f t="shared" si="15"/>
        <v>0</v>
      </c>
      <c r="H174" s="78">
        <v>0</v>
      </c>
      <c r="I174" s="76">
        <v>0</v>
      </c>
      <c r="J174" s="46">
        <f t="shared" si="16"/>
        <v>0</v>
      </c>
      <c r="K174" s="71"/>
      <c r="L174" s="20">
        <v>40</v>
      </c>
      <c r="M174" s="64">
        <f t="shared" si="17"/>
        <v>0</v>
      </c>
      <c r="N174" s="17" t="s">
        <v>16</v>
      </c>
      <c r="O174" s="18"/>
      <c r="P174" s="23">
        <f t="shared" si="18"/>
        <v>0</v>
      </c>
      <c r="Q174" s="90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3">
        <f>+ยกมา!J175</f>
        <v>0</v>
      </c>
      <c r="F175" s="70">
        <v>0</v>
      </c>
      <c r="G175" s="46">
        <f t="shared" si="15"/>
        <v>0</v>
      </c>
      <c r="H175" s="78">
        <v>0</v>
      </c>
      <c r="I175" s="76">
        <v>0</v>
      </c>
      <c r="J175" s="46">
        <f t="shared" si="16"/>
        <v>0</v>
      </c>
      <c r="K175" s="71"/>
      <c r="L175" s="20">
        <v>65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92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3">
        <f>+ยกมา!J176</f>
        <v>0</v>
      </c>
      <c r="F176" s="70">
        <v>0</v>
      </c>
      <c r="G176" s="46">
        <f t="shared" si="15"/>
        <v>0</v>
      </c>
      <c r="H176" s="78">
        <v>0</v>
      </c>
      <c r="I176" s="76">
        <v>0</v>
      </c>
      <c r="J176" s="46">
        <f t="shared" si="16"/>
        <v>0</v>
      </c>
      <c r="K176" s="71"/>
      <c r="L176" s="20">
        <v>50</v>
      </c>
      <c r="M176" s="64">
        <f t="shared" si="17"/>
        <v>0</v>
      </c>
      <c r="N176" s="17" t="s">
        <v>16</v>
      </c>
      <c r="O176" s="18"/>
      <c r="P176" s="23">
        <f t="shared" si="18"/>
        <v>0</v>
      </c>
      <c r="Q176" s="90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3">
        <f>+ยกมา!J177</f>
        <v>0</v>
      </c>
      <c r="F177" s="70">
        <v>0</v>
      </c>
      <c r="G177" s="46">
        <f t="shared" si="15"/>
        <v>0</v>
      </c>
      <c r="H177" s="78">
        <v>0</v>
      </c>
      <c r="I177" s="76">
        <v>0</v>
      </c>
      <c r="J177" s="46">
        <f t="shared" si="16"/>
        <v>0</v>
      </c>
      <c r="K177" s="71"/>
      <c r="L177" s="20">
        <v>80</v>
      </c>
      <c r="M177" s="64">
        <f t="shared" si="17"/>
        <v>0</v>
      </c>
      <c r="N177" s="17" t="s">
        <v>16</v>
      </c>
      <c r="O177" s="18"/>
      <c r="P177" s="23">
        <f t="shared" si="18"/>
        <v>0</v>
      </c>
      <c r="Q177" s="92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1394</v>
      </c>
      <c r="D178" s="10" t="s">
        <v>566</v>
      </c>
      <c r="E178" s="63">
        <f>+ยกมา!J179</f>
        <v>0</v>
      </c>
      <c r="F178" s="70">
        <v>0</v>
      </c>
      <c r="G178" s="46">
        <f t="shared" si="15"/>
        <v>0</v>
      </c>
      <c r="H178" s="78">
        <v>0</v>
      </c>
      <c r="I178" s="76">
        <v>0</v>
      </c>
      <c r="J178" s="46">
        <f t="shared" si="16"/>
        <v>0</v>
      </c>
      <c r="K178" s="71"/>
      <c r="L178" s="20">
        <v>15</v>
      </c>
      <c r="M178" s="64">
        <f t="shared" ref="M178" si="20">+L178*K178</f>
        <v>0</v>
      </c>
      <c r="N178" s="17" t="s">
        <v>16</v>
      </c>
      <c r="O178" s="18"/>
      <c r="P178" s="23">
        <f t="shared" ref="P178" si="21">SUM(M178-O178)</f>
        <v>0</v>
      </c>
      <c r="Q178" s="92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1393</v>
      </c>
      <c r="D179" s="10" t="s">
        <v>606</v>
      </c>
      <c r="E179" s="63">
        <f>+ยกมา!J180</f>
        <v>0</v>
      </c>
      <c r="F179" s="70">
        <v>0</v>
      </c>
      <c r="G179" s="46">
        <f t="shared" si="15"/>
        <v>0</v>
      </c>
      <c r="H179" s="78">
        <v>0</v>
      </c>
      <c r="I179" s="76">
        <v>0</v>
      </c>
      <c r="J179" s="46">
        <f t="shared" si="16"/>
        <v>0</v>
      </c>
      <c r="K179" s="71"/>
      <c r="L179" s="20">
        <v>80</v>
      </c>
      <c r="M179" s="64">
        <f t="shared" ref="M179" si="23">+L179*K179</f>
        <v>0</v>
      </c>
      <c r="N179" s="17" t="s">
        <v>16</v>
      </c>
      <c r="O179" s="18"/>
      <c r="P179" s="23">
        <f t="shared" ref="P179" si="24">SUM(M179-O179)</f>
        <v>0</v>
      </c>
      <c r="Q179" s="92"/>
      <c r="R179" s="43">
        <f t="shared" ref="R179" si="25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3">
        <f>+ยกมา!J180</f>
        <v>0</v>
      </c>
      <c r="F180" s="70">
        <v>0</v>
      </c>
      <c r="G180" s="46">
        <f t="shared" si="15"/>
        <v>0</v>
      </c>
      <c r="H180" s="78">
        <v>0</v>
      </c>
      <c r="I180" s="76">
        <v>0</v>
      </c>
      <c r="J180" s="46">
        <f t="shared" si="16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90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3">
        <f>+ยกมา!J181</f>
        <v>0</v>
      </c>
      <c r="F181" s="70">
        <v>0</v>
      </c>
      <c r="G181" s="46">
        <f t="shared" si="15"/>
        <v>0</v>
      </c>
      <c r="H181" s="78">
        <v>0</v>
      </c>
      <c r="I181" s="76">
        <v>0</v>
      </c>
      <c r="J181" s="46">
        <f t="shared" si="16"/>
        <v>0</v>
      </c>
      <c r="K181" s="71"/>
      <c r="L181" s="20">
        <v>35</v>
      </c>
      <c r="M181" s="64">
        <f t="shared" si="17"/>
        <v>0</v>
      </c>
      <c r="N181" s="17" t="s">
        <v>16</v>
      </c>
      <c r="O181" s="18"/>
      <c r="P181" s="23">
        <f t="shared" si="18"/>
        <v>0</v>
      </c>
      <c r="Q181" s="92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3">
        <f>+ยกมา!J182</f>
        <v>0</v>
      </c>
      <c r="F182" s="70">
        <v>0</v>
      </c>
      <c r="G182" s="46">
        <f t="shared" si="15"/>
        <v>0</v>
      </c>
      <c r="H182" s="78">
        <v>0</v>
      </c>
      <c r="I182" s="76">
        <v>0</v>
      </c>
      <c r="J182" s="46">
        <f t="shared" si="16"/>
        <v>0</v>
      </c>
      <c r="K182" s="71"/>
      <c r="L182" s="20">
        <v>60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90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3">
        <f>+ยกมา!J183</f>
        <v>0</v>
      </c>
      <c r="F183" s="70">
        <v>0</v>
      </c>
      <c r="G183" s="46">
        <f t="shared" si="15"/>
        <v>0</v>
      </c>
      <c r="H183" s="78">
        <v>0</v>
      </c>
      <c r="I183" s="76">
        <v>0</v>
      </c>
      <c r="J183" s="46">
        <f t="shared" si="16"/>
        <v>0</v>
      </c>
      <c r="K183" s="71"/>
      <c r="L183" s="20">
        <v>120</v>
      </c>
      <c r="M183" s="64">
        <f t="shared" si="17"/>
        <v>0</v>
      </c>
      <c r="N183" s="17" t="s">
        <v>16</v>
      </c>
      <c r="O183" s="18"/>
      <c r="P183" s="23">
        <f t="shared" si="18"/>
        <v>0</v>
      </c>
      <c r="Q183" s="90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3">
        <f>+ยกมา!J184</f>
        <v>0</v>
      </c>
      <c r="F184" s="70">
        <v>0</v>
      </c>
      <c r="G184" s="46">
        <f t="shared" si="15"/>
        <v>0</v>
      </c>
      <c r="H184" s="78">
        <v>0</v>
      </c>
      <c r="I184" s="76">
        <v>0</v>
      </c>
      <c r="J184" s="46">
        <f t="shared" si="16"/>
        <v>0</v>
      </c>
      <c r="K184" s="71"/>
      <c r="L184" s="20">
        <v>60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90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3">
        <f>+ยกมา!J185</f>
        <v>0</v>
      </c>
      <c r="F185" s="70">
        <v>0</v>
      </c>
      <c r="G185" s="46">
        <f t="shared" si="15"/>
        <v>0</v>
      </c>
      <c r="H185" s="78">
        <v>0</v>
      </c>
      <c r="I185" s="76">
        <v>0</v>
      </c>
      <c r="J185" s="46">
        <f t="shared" si="16"/>
        <v>0</v>
      </c>
      <c r="K185" s="71"/>
      <c r="L185" s="20">
        <v>120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90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3">
        <f>+ยกมา!J186</f>
        <v>0</v>
      </c>
      <c r="F186" s="70">
        <v>0</v>
      </c>
      <c r="G186" s="46">
        <f t="shared" si="15"/>
        <v>0</v>
      </c>
      <c r="H186" s="78">
        <v>0</v>
      </c>
      <c r="I186" s="76">
        <v>0</v>
      </c>
      <c r="J186" s="46">
        <f t="shared" si="16"/>
        <v>0</v>
      </c>
      <c r="K186" s="71"/>
      <c r="L186" s="20">
        <v>50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90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3">
        <f>+ยกมา!J187</f>
        <v>0</v>
      </c>
      <c r="F187" s="70">
        <v>0</v>
      </c>
      <c r="G187" s="46">
        <f t="shared" si="15"/>
        <v>0</v>
      </c>
      <c r="H187" s="78">
        <v>0</v>
      </c>
      <c r="I187" s="76">
        <v>0</v>
      </c>
      <c r="J187" s="46">
        <f t="shared" si="16"/>
        <v>0</v>
      </c>
      <c r="K187" s="71"/>
      <c r="L187" s="20">
        <v>150</v>
      </c>
      <c r="M187" s="64">
        <f t="shared" si="17"/>
        <v>0</v>
      </c>
      <c r="N187" s="17" t="s">
        <v>16</v>
      </c>
      <c r="O187" s="18"/>
      <c r="P187" s="23">
        <f t="shared" si="18"/>
        <v>0</v>
      </c>
      <c r="Q187" s="90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3">
        <f>+ยกมา!J188</f>
        <v>0</v>
      </c>
      <c r="F188" s="70">
        <v>0</v>
      </c>
      <c r="G188" s="46">
        <f t="shared" si="15"/>
        <v>0</v>
      </c>
      <c r="H188" s="78">
        <v>0</v>
      </c>
      <c r="I188" s="76">
        <v>0</v>
      </c>
      <c r="J188" s="46">
        <f t="shared" si="16"/>
        <v>0</v>
      </c>
      <c r="K188" s="71"/>
      <c r="L188" s="20">
        <v>135</v>
      </c>
      <c r="M188" s="64">
        <f t="shared" si="17"/>
        <v>0</v>
      </c>
      <c r="N188" s="17" t="s">
        <v>16</v>
      </c>
      <c r="O188" s="18"/>
      <c r="P188" s="23">
        <f t="shared" si="18"/>
        <v>0</v>
      </c>
      <c r="Q188" s="92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3">
        <f>+ยกมา!J189</f>
        <v>0</v>
      </c>
      <c r="F189" s="70">
        <v>0</v>
      </c>
      <c r="G189" s="46">
        <f t="shared" si="15"/>
        <v>0</v>
      </c>
      <c r="H189" s="78">
        <v>0</v>
      </c>
      <c r="I189" s="76">
        <v>0</v>
      </c>
      <c r="J189" s="46">
        <f t="shared" si="16"/>
        <v>0</v>
      </c>
      <c r="K189" s="71"/>
      <c r="L189" s="20">
        <v>100</v>
      </c>
      <c r="M189" s="64">
        <f t="shared" si="17"/>
        <v>0</v>
      </c>
      <c r="N189" s="17" t="s">
        <v>16</v>
      </c>
      <c r="O189" s="18"/>
      <c r="P189" s="23">
        <f t="shared" si="18"/>
        <v>0</v>
      </c>
      <c r="Q189" s="92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3">
        <f>+ยกมา!J190</f>
        <v>0</v>
      </c>
      <c r="F190" s="70">
        <v>0</v>
      </c>
      <c r="G190" s="46">
        <f t="shared" si="15"/>
        <v>0</v>
      </c>
      <c r="H190" s="78">
        <v>0</v>
      </c>
      <c r="I190" s="76">
        <v>0</v>
      </c>
      <c r="J190" s="46">
        <f t="shared" si="16"/>
        <v>0</v>
      </c>
      <c r="K190" s="71"/>
      <c r="L190" s="20">
        <v>90</v>
      </c>
      <c r="M190" s="64">
        <f t="shared" si="17"/>
        <v>0</v>
      </c>
      <c r="N190" s="17" t="s">
        <v>16</v>
      </c>
      <c r="O190" s="18"/>
      <c r="P190" s="23">
        <f t="shared" si="18"/>
        <v>0</v>
      </c>
      <c r="Q190" s="92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3">
        <f>+ยกมา!J191</f>
        <v>0</v>
      </c>
      <c r="F191" s="70">
        <v>0</v>
      </c>
      <c r="G191" s="46">
        <f t="shared" si="15"/>
        <v>0</v>
      </c>
      <c r="H191" s="78">
        <v>0</v>
      </c>
      <c r="I191" s="76">
        <v>0</v>
      </c>
      <c r="J191" s="46">
        <f t="shared" si="16"/>
        <v>0</v>
      </c>
      <c r="K191" s="71"/>
      <c r="L191" s="20">
        <v>90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92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3">
        <f>+ยกมา!J192</f>
        <v>0</v>
      </c>
      <c r="F192" s="70">
        <v>0</v>
      </c>
      <c r="G192" s="46">
        <f t="shared" si="15"/>
        <v>0</v>
      </c>
      <c r="H192" s="78">
        <v>0</v>
      </c>
      <c r="I192" s="76">
        <v>0</v>
      </c>
      <c r="J192" s="46">
        <f t="shared" si="16"/>
        <v>0</v>
      </c>
      <c r="K192" s="71"/>
      <c r="L192" s="20">
        <v>90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92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3">
        <f>+ยกมา!J193</f>
        <v>0</v>
      </c>
      <c r="F193" s="70">
        <v>0</v>
      </c>
      <c r="G193" s="46">
        <f t="shared" si="15"/>
        <v>0</v>
      </c>
      <c r="H193" s="78">
        <v>0</v>
      </c>
      <c r="I193" s="76">
        <v>0</v>
      </c>
      <c r="J193" s="46">
        <f t="shared" si="16"/>
        <v>0</v>
      </c>
      <c r="K193" s="71"/>
      <c r="L193" s="20">
        <v>90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92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3">
        <f>+ยกมา!J194</f>
        <v>0</v>
      </c>
      <c r="F194" s="70">
        <v>0</v>
      </c>
      <c r="G194" s="46">
        <f t="shared" si="15"/>
        <v>0</v>
      </c>
      <c r="H194" s="78">
        <v>0</v>
      </c>
      <c r="I194" s="76">
        <v>0</v>
      </c>
      <c r="J194" s="46">
        <f t="shared" si="16"/>
        <v>0</v>
      </c>
      <c r="K194" s="71"/>
      <c r="L194" s="20">
        <v>55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92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3">
        <f>+ยกมา!J195</f>
        <v>0</v>
      </c>
      <c r="F195" s="70">
        <v>0</v>
      </c>
      <c r="G195" s="46">
        <f t="shared" si="15"/>
        <v>0</v>
      </c>
      <c r="H195" s="78">
        <v>0</v>
      </c>
      <c r="I195" s="76">
        <v>0</v>
      </c>
      <c r="J195" s="46">
        <f t="shared" si="16"/>
        <v>0</v>
      </c>
      <c r="K195" s="71"/>
      <c r="L195" s="20">
        <v>85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92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3">
        <f>+ยกมา!J196</f>
        <v>0</v>
      </c>
      <c r="F196" s="70">
        <v>0</v>
      </c>
      <c r="G196" s="46">
        <f t="shared" si="15"/>
        <v>0</v>
      </c>
      <c r="H196" s="78">
        <v>0</v>
      </c>
      <c r="I196" s="76">
        <v>0</v>
      </c>
      <c r="J196" s="46">
        <f t="shared" si="16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90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3">
        <f>+ยกมา!J197</f>
        <v>0</v>
      </c>
      <c r="F197" s="70">
        <v>0</v>
      </c>
      <c r="G197" s="46">
        <f t="shared" si="15"/>
        <v>0</v>
      </c>
      <c r="H197" s="78">
        <v>0</v>
      </c>
      <c r="I197" s="76">
        <v>0</v>
      </c>
      <c r="J197" s="46">
        <f t="shared" si="16"/>
        <v>0</v>
      </c>
      <c r="K197" s="71"/>
      <c r="L197" s="20">
        <v>120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90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3">
        <f>+ยกมา!J198</f>
        <v>0</v>
      </c>
      <c r="F198" s="70">
        <v>0</v>
      </c>
      <c r="G198" s="46">
        <f t="shared" ref="G198:G239" si="26">E198+F198</f>
        <v>0</v>
      </c>
      <c r="H198" s="78">
        <v>0</v>
      </c>
      <c r="I198" s="76">
        <v>0</v>
      </c>
      <c r="J198" s="46">
        <f t="shared" ref="J198:J239" si="27">+G198-H198-K198-I198</f>
        <v>0</v>
      </c>
      <c r="K198" s="71"/>
      <c r="L198" s="20">
        <v>25</v>
      </c>
      <c r="M198" s="64">
        <f>+L198*K198</f>
        <v>0</v>
      </c>
      <c r="N198" s="17" t="s">
        <v>16</v>
      </c>
      <c r="O198" s="18"/>
      <c r="P198" s="23">
        <f>SUM(M198-O198)</f>
        <v>0</v>
      </c>
      <c r="Q198" s="90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3">
        <f>+ยกมา!J199</f>
        <v>0</v>
      </c>
      <c r="F199" s="70">
        <v>0</v>
      </c>
      <c r="G199" s="46">
        <f t="shared" si="26"/>
        <v>0</v>
      </c>
      <c r="H199" s="78">
        <v>0</v>
      </c>
      <c r="I199" s="76">
        <v>0</v>
      </c>
      <c r="J199" s="46">
        <f t="shared" si="27"/>
        <v>0</v>
      </c>
      <c r="K199" s="71"/>
      <c r="L199" s="20">
        <v>25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90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3">
        <f>+ยกมา!J200</f>
        <v>0</v>
      </c>
      <c r="F200" s="70">
        <v>0</v>
      </c>
      <c r="G200" s="46">
        <f t="shared" si="26"/>
        <v>0</v>
      </c>
      <c r="H200" s="78">
        <v>0</v>
      </c>
      <c r="I200" s="76">
        <v>0</v>
      </c>
      <c r="J200" s="46">
        <f t="shared" si="27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90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3">
        <f>+ยกมา!J201</f>
        <v>0</v>
      </c>
      <c r="F201" s="70">
        <v>0</v>
      </c>
      <c r="G201" s="46">
        <f t="shared" si="26"/>
        <v>0</v>
      </c>
      <c r="H201" s="78">
        <v>0</v>
      </c>
      <c r="I201" s="76">
        <v>0</v>
      </c>
      <c r="J201" s="46">
        <f t="shared" si="27"/>
        <v>0</v>
      </c>
      <c r="K201" s="71"/>
      <c r="L201" s="20">
        <v>25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90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3">
        <f>+ยกมา!J202</f>
        <v>0</v>
      </c>
      <c r="F202" s="70">
        <v>0</v>
      </c>
      <c r="G202" s="46">
        <f t="shared" si="26"/>
        <v>0</v>
      </c>
      <c r="H202" s="78">
        <v>0</v>
      </c>
      <c r="I202" s="76">
        <v>0</v>
      </c>
      <c r="J202" s="46">
        <f t="shared" si="27"/>
        <v>0</v>
      </c>
      <c r="K202" s="71"/>
      <c r="L202" s="20">
        <v>25</v>
      </c>
      <c r="M202" s="64">
        <f>+L202*K202</f>
        <v>0</v>
      </c>
      <c r="N202" s="17" t="s">
        <v>16</v>
      </c>
      <c r="O202" s="18"/>
      <c r="P202" s="23">
        <f>SUM(M202-O202)</f>
        <v>0</v>
      </c>
      <c r="Q202" s="90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3">
        <f>+ยกมา!J203</f>
        <v>0</v>
      </c>
      <c r="F203" s="70">
        <v>0</v>
      </c>
      <c r="G203" s="46">
        <f t="shared" si="26"/>
        <v>0</v>
      </c>
      <c r="H203" s="78">
        <v>0</v>
      </c>
      <c r="I203" s="76">
        <v>0</v>
      </c>
      <c r="J203" s="46">
        <f t="shared" si="27"/>
        <v>0</v>
      </c>
      <c r="K203" s="71"/>
      <c r="L203" s="20">
        <v>10</v>
      </c>
      <c r="M203" s="64">
        <f>+L203*K203</f>
        <v>0</v>
      </c>
      <c r="N203" s="17" t="s">
        <v>16</v>
      </c>
      <c r="O203" s="18"/>
      <c r="P203" s="23">
        <f>SUM(M203-O203)</f>
        <v>0</v>
      </c>
      <c r="Q203" s="92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3">
        <f>+ยกมา!J204</f>
        <v>0</v>
      </c>
      <c r="F204" s="70">
        <v>0</v>
      </c>
      <c r="G204" s="46">
        <f t="shared" si="26"/>
        <v>0</v>
      </c>
      <c r="H204" s="78">
        <v>0</v>
      </c>
      <c r="I204" s="76">
        <v>0</v>
      </c>
      <c r="J204" s="46">
        <f t="shared" si="27"/>
        <v>0</v>
      </c>
      <c r="K204" s="71"/>
      <c r="L204" s="20">
        <v>10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92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3">
        <f>+ยกมา!J205</f>
        <v>0</v>
      </c>
      <c r="F205" s="70">
        <v>0</v>
      </c>
      <c r="G205" s="46">
        <f t="shared" si="26"/>
        <v>0</v>
      </c>
      <c r="H205" s="78">
        <v>0</v>
      </c>
      <c r="I205" s="76">
        <v>0</v>
      </c>
      <c r="J205" s="46">
        <f t="shared" si="27"/>
        <v>0</v>
      </c>
      <c r="K205" s="71"/>
      <c r="L205" s="20">
        <v>10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92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3">
        <f>+ยกมา!J206</f>
        <v>0</v>
      </c>
      <c r="F206" s="70">
        <v>0</v>
      </c>
      <c r="G206" s="46">
        <f t="shared" si="26"/>
        <v>0</v>
      </c>
      <c r="H206" s="78">
        <v>0</v>
      </c>
      <c r="I206" s="76">
        <v>0</v>
      </c>
      <c r="J206" s="46">
        <f t="shared" si="27"/>
        <v>0</v>
      </c>
      <c r="K206" s="71"/>
      <c r="L206" s="20">
        <v>20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92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3">
        <f>+ยกมา!J207</f>
        <v>0</v>
      </c>
      <c r="F207" s="70">
        <v>0</v>
      </c>
      <c r="G207" s="46">
        <f t="shared" si="26"/>
        <v>0</v>
      </c>
      <c r="H207" s="78">
        <v>0</v>
      </c>
      <c r="I207" s="76">
        <v>0</v>
      </c>
      <c r="J207" s="46">
        <f t="shared" si="27"/>
        <v>0</v>
      </c>
      <c r="K207" s="71"/>
      <c r="L207" s="20">
        <v>800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92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3">
        <f>+ยกมา!J208</f>
        <v>0</v>
      </c>
      <c r="F208" s="70">
        <v>0</v>
      </c>
      <c r="G208" s="46">
        <f t="shared" si="26"/>
        <v>0</v>
      </c>
      <c r="H208" s="78">
        <v>0</v>
      </c>
      <c r="I208" s="76">
        <v>0</v>
      </c>
      <c r="J208" s="46">
        <f t="shared" si="27"/>
        <v>0</v>
      </c>
      <c r="K208" s="71"/>
      <c r="L208" s="20">
        <v>150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92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3">
        <f>+ยกมา!J209</f>
        <v>0</v>
      </c>
      <c r="F209" s="70">
        <v>0</v>
      </c>
      <c r="G209" s="46">
        <f t="shared" si="26"/>
        <v>0</v>
      </c>
      <c r="H209" s="78">
        <v>0</v>
      </c>
      <c r="I209" s="76">
        <v>0</v>
      </c>
      <c r="J209" s="46">
        <f t="shared" si="27"/>
        <v>0</v>
      </c>
      <c r="K209" s="71"/>
      <c r="L209" s="20">
        <v>200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92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3">
        <f>+ยกมา!J210</f>
        <v>0</v>
      </c>
      <c r="F210" s="70">
        <v>0</v>
      </c>
      <c r="G210" s="46">
        <f t="shared" si="26"/>
        <v>0</v>
      </c>
      <c r="H210" s="78">
        <v>0</v>
      </c>
      <c r="I210" s="76">
        <v>0</v>
      </c>
      <c r="J210" s="46">
        <f t="shared" si="27"/>
        <v>0</v>
      </c>
      <c r="K210" s="71"/>
      <c r="L210" s="20">
        <v>250</v>
      </c>
      <c r="M210" s="64">
        <f t="shared" si="17"/>
        <v>0</v>
      </c>
      <c r="N210" s="17" t="s">
        <v>16</v>
      </c>
      <c r="O210" s="18"/>
      <c r="P210" s="23">
        <f t="shared" si="18"/>
        <v>0</v>
      </c>
      <c r="Q210" s="92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3">
        <f>+ยกมา!J211</f>
        <v>0</v>
      </c>
      <c r="F211" s="70">
        <v>0</v>
      </c>
      <c r="G211" s="46">
        <f t="shared" si="26"/>
        <v>0</v>
      </c>
      <c r="H211" s="78">
        <v>0</v>
      </c>
      <c r="I211" s="76">
        <v>0</v>
      </c>
      <c r="J211" s="46">
        <f t="shared" si="27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92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3">
        <f>+ยกมา!J212</f>
        <v>0</v>
      </c>
      <c r="F212" s="70">
        <v>0</v>
      </c>
      <c r="G212" s="46">
        <f t="shared" si="26"/>
        <v>0</v>
      </c>
      <c r="H212" s="78">
        <v>0</v>
      </c>
      <c r="I212" s="76">
        <v>0</v>
      </c>
      <c r="J212" s="46">
        <f t="shared" si="27"/>
        <v>0</v>
      </c>
      <c r="K212" s="71"/>
      <c r="L212" s="20">
        <v>0</v>
      </c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92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3">
        <f>+ยกมา!J213</f>
        <v>0</v>
      </c>
      <c r="F213" s="70">
        <v>0</v>
      </c>
      <c r="G213" s="46">
        <f t="shared" si="26"/>
        <v>0</v>
      </c>
      <c r="H213" s="78">
        <v>0</v>
      </c>
      <c r="I213" s="76">
        <v>0</v>
      </c>
      <c r="J213" s="46">
        <f t="shared" si="27"/>
        <v>0</v>
      </c>
      <c r="K213" s="71"/>
      <c r="L213" s="20">
        <v>45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90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3">
        <f>+ยกมา!J214</f>
        <v>0</v>
      </c>
      <c r="F214" s="70">
        <v>0</v>
      </c>
      <c r="G214" s="46">
        <f t="shared" si="26"/>
        <v>0</v>
      </c>
      <c r="H214" s="78">
        <v>0</v>
      </c>
      <c r="I214" s="76">
        <v>0</v>
      </c>
      <c r="J214" s="46">
        <f t="shared" si="27"/>
        <v>0</v>
      </c>
      <c r="K214" s="71"/>
      <c r="L214" s="20">
        <v>35</v>
      </c>
      <c r="M214" s="64">
        <f t="shared" si="17"/>
        <v>0</v>
      </c>
      <c r="N214" s="17" t="s">
        <v>16</v>
      </c>
      <c r="O214" s="18"/>
      <c r="P214" s="23">
        <f t="shared" si="18"/>
        <v>0</v>
      </c>
      <c r="Q214" s="90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3">
        <f>+ยกมา!J215</f>
        <v>0</v>
      </c>
      <c r="F215" s="70">
        <v>0</v>
      </c>
      <c r="G215" s="46">
        <f t="shared" si="26"/>
        <v>0</v>
      </c>
      <c r="H215" s="78">
        <v>0</v>
      </c>
      <c r="I215" s="76">
        <v>0</v>
      </c>
      <c r="J215" s="46">
        <f t="shared" si="27"/>
        <v>0</v>
      </c>
      <c r="K215" s="71"/>
      <c r="L215" s="20">
        <v>25</v>
      </c>
      <c r="M215" s="64">
        <f t="shared" si="17"/>
        <v>0</v>
      </c>
      <c r="N215" s="17" t="s">
        <v>16</v>
      </c>
      <c r="O215" s="18"/>
      <c r="P215" s="23">
        <f t="shared" si="18"/>
        <v>0</v>
      </c>
      <c r="Q215" s="90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3">
        <f>+ยกมา!J216</f>
        <v>0</v>
      </c>
      <c r="F216" s="70">
        <v>0</v>
      </c>
      <c r="G216" s="46">
        <f t="shared" si="26"/>
        <v>0</v>
      </c>
      <c r="H216" s="78">
        <v>0</v>
      </c>
      <c r="I216" s="76">
        <v>0</v>
      </c>
      <c r="J216" s="46">
        <f t="shared" si="27"/>
        <v>0</v>
      </c>
      <c r="K216" s="71"/>
      <c r="L216" s="20">
        <v>50</v>
      </c>
      <c r="M216" s="64">
        <f>+L216*K216</f>
        <v>0</v>
      </c>
      <c r="N216" s="17" t="s">
        <v>16</v>
      </c>
      <c r="O216" s="18"/>
      <c r="P216" s="23">
        <f>SUM(M216-O216)</f>
        <v>0</v>
      </c>
      <c r="Q216" s="92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3">
        <f>+ยกมา!J217</f>
        <v>0</v>
      </c>
      <c r="F217" s="70">
        <v>0</v>
      </c>
      <c r="G217" s="46">
        <f t="shared" si="26"/>
        <v>0</v>
      </c>
      <c r="H217" s="78">
        <v>0</v>
      </c>
      <c r="I217" s="76">
        <v>0</v>
      </c>
      <c r="J217" s="46">
        <f t="shared" si="27"/>
        <v>0</v>
      </c>
      <c r="K217" s="71"/>
      <c r="L217" s="20">
        <v>60</v>
      </c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92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3">
        <f>+ยกมา!J218</f>
        <v>0</v>
      </c>
      <c r="F218" s="70">
        <v>0</v>
      </c>
      <c r="G218" s="46">
        <f t="shared" si="26"/>
        <v>0</v>
      </c>
      <c r="H218" s="78">
        <v>0</v>
      </c>
      <c r="I218" s="76">
        <v>0</v>
      </c>
      <c r="J218" s="46">
        <f t="shared" si="27"/>
        <v>0</v>
      </c>
      <c r="K218" s="71"/>
      <c r="L218" s="20">
        <v>250</v>
      </c>
      <c r="M218" s="64">
        <f t="shared" si="17"/>
        <v>0</v>
      </c>
      <c r="N218" s="17" t="s">
        <v>16</v>
      </c>
      <c r="O218" s="18"/>
      <c r="P218" s="23">
        <f t="shared" si="18"/>
        <v>0</v>
      </c>
      <c r="Q218" s="92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3">
        <f>+ยกมา!J219</f>
        <v>0</v>
      </c>
      <c r="F219" s="70">
        <v>0</v>
      </c>
      <c r="G219" s="46">
        <f t="shared" si="26"/>
        <v>0</v>
      </c>
      <c r="H219" s="78">
        <v>0</v>
      </c>
      <c r="I219" s="76">
        <v>0</v>
      </c>
      <c r="J219" s="46">
        <f t="shared" si="27"/>
        <v>0</v>
      </c>
      <c r="K219" s="71"/>
      <c r="L219" s="20">
        <v>100</v>
      </c>
      <c r="M219" s="64">
        <f t="shared" si="17"/>
        <v>0</v>
      </c>
      <c r="N219" s="17" t="s">
        <v>16</v>
      </c>
      <c r="O219" s="18"/>
      <c r="P219" s="23">
        <f t="shared" si="18"/>
        <v>0</v>
      </c>
      <c r="Q219" s="92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3">
        <f>+ยกมา!J220</f>
        <v>0</v>
      </c>
      <c r="F220" s="70">
        <v>0</v>
      </c>
      <c r="G220" s="46">
        <f t="shared" si="26"/>
        <v>0</v>
      </c>
      <c r="H220" s="78">
        <v>0</v>
      </c>
      <c r="I220" s="76">
        <v>0</v>
      </c>
      <c r="J220" s="46">
        <f t="shared" si="27"/>
        <v>0</v>
      </c>
      <c r="K220" s="71"/>
      <c r="L220" s="20">
        <v>350</v>
      </c>
      <c r="M220" s="64">
        <f t="shared" si="17"/>
        <v>0</v>
      </c>
      <c r="N220" s="17" t="s">
        <v>16</v>
      </c>
      <c r="O220" s="18"/>
      <c r="P220" s="23">
        <f t="shared" si="18"/>
        <v>0</v>
      </c>
      <c r="Q220" s="92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3">
        <f>+ยกมา!J221</f>
        <v>0</v>
      </c>
      <c r="F221" s="70">
        <v>0</v>
      </c>
      <c r="G221" s="46">
        <f t="shared" si="26"/>
        <v>0</v>
      </c>
      <c r="H221" s="78">
        <v>0</v>
      </c>
      <c r="I221" s="76">
        <v>0</v>
      </c>
      <c r="J221" s="46">
        <f t="shared" si="27"/>
        <v>0</v>
      </c>
      <c r="K221" s="71"/>
      <c r="L221" s="20">
        <v>60</v>
      </c>
      <c r="M221" s="64">
        <f t="shared" si="17"/>
        <v>0</v>
      </c>
      <c r="N221" s="17" t="s">
        <v>16</v>
      </c>
      <c r="O221" s="18"/>
      <c r="P221" s="23">
        <f t="shared" si="18"/>
        <v>0</v>
      </c>
      <c r="Q221" s="92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3">
        <f>+ยกมา!J222</f>
        <v>0</v>
      </c>
      <c r="F222" s="70">
        <v>0</v>
      </c>
      <c r="G222" s="46">
        <f t="shared" si="26"/>
        <v>0</v>
      </c>
      <c r="H222" s="78">
        <v>0</v>
      </c>
      <c r="I222" s="76">
        <v>0</v>
      </c>
      <c r="J222" s="46">
        <f t="shared" si="27"/>
        <v>0</v>
      </c>
      <c r="K222" s="71"/>
      <c r="L222" s="20">
        <v>50</v>
      </c>
      <c r="M222" s="64">
        <f t="shared" si="17"/>
        <v>0</v>
      </c>
      <c r="N222" s="17" t="s">
        <v>16</v>
      </c>
      <c r="O222" s="18"/>
      <c r="P222" s="23">
        <f t="shared" si="18"/>
        <v>0</v>
      </c>
      <c r="Q222" s="92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3">
        <f>+ยกมา!J223</f>
        <v>0</v>
      </c>
      <c r="F223" s="70">
        <v>0</v>
      </c>
      <c r="G223" s="46">
        <f t="shared" si="26"/>
        <v>0</v>
      </c>
      <c r="H223" s="78">
        <v>0</v>
      </c>
      <c r="I223" s="76">
        <v>0</v>
      </c>
      <c r="J223" s="46">
        <f t="shared" si="27"/>
        <v>0</v>
      </c>
      <c r="K223" s="71"/>
      <c r="L223" s="20">
        <v>100</v>
      </c>
      <c r="M223" s="64">
        <f t="shared" si="17"/>
        <v>0</v>
      </c>
      <c r="N223" s="17" t="s">
        <v>16</v>
      </c>
      <c r="O223" s="18"/>
      <c r="P223" s="23">
        <f t="shared" si="18"/>
        <v>0</v>
      </c>
      <c r="Q223" s="92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3">
        <f>+ยกมา!J224</f>
        <v>0</v>
      </c>
      <c r="F224" s="70">
        <v>0</v>
      </c>
      <c r="G224" s="46">
        <f t="shared" si="26"/>
        <v>0</v>
      </c>
      <c r="H224" s="78">
        <v>0</v>
      </c>
      <c r="I224" s="76">
        <v>0</v>
      </c>
      <c r="J224" s="46">
        <f t="shared" si="27"/>
        <v>0</v>
      </c>
      <c r="K224" s="71"/>
      <c r="L224" s="20">
        <v>120</v>
      </c>
      <c r="M224" s="64">
        <f t="shared" si="17"/>
        <v>0</v>
      </c>
      <c r="N224" s="17" t="s">
        <v>16</v>
      </c>
      <c r="O224" s="18"/>
      <c r="P224" s="23">
        <f t="shared" si="18"/>
        <v>0</v>
      </c>
      <c r="Q224" s="92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3">
        <f>+ยกมา!J225</f>
        <v>0</v>
      </c>
      <c r="F225" s="70">
        <v>0</v>
      </c>
      <c r="G225" s="46">
        <f t="shared" si="26"/>
        <v>0</v>
      </c>
      <c r="H225" s="78">
        <v>0</v>
      </c>
      <c r="I225" s="76">
        <v>0</v>
      </c>
      <c r="J225" s="46">
        <f t="shared" si="27"/>
        <v>0</v>
      </c>
      <c r="K225" s="71"/>
      <c r="L225" s="20">
        <v>60</v>
      </c>
      <c r="M225" s="64">
        <f t="shared" si="17"/>
        <v>0</v>
      </c>
      <c r="N225" s="17" t="s">
        <v>16</v>
      </c>
      <c r="O225" s="18"/>
      <c r="P225" s="23">
        <f t="shared" si="18"/>
        <v>0</v>
      </c>
      <c r="Q225" s="92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3">
        <f>+ยกมา!J226</f>
        <v>0</v>
      </c>
      <c r="F226" s="70">
        <v>0</v>
      </c>
      <c r="G226" s="46">
        <f t="shared" si="26"/>
        <v>0</v>
      </c>
      <c r="H226" s="78">
        <v>0</v>
      </c>
      <c r="I226" s="76">
        <v>0</v>
      </c>
      <c r="J226" s="46">
        <f t="shared" si="27"/>
        <v>0</v>
      </c>
      <c r="K226" s="71"/>
      <c r="L226" s="20">
        <v>150</v>
      </c>
      <c r="M226" s="64">
        <f t="shared" si="17"/>
        <v>0</v>
      </c>
      <c r="N226" s="17" t="s">
        <v>16</v>
      </c>
      <c r="O226" s="18"/>
      <c r="P226" s="23">
        <f t="shared" si="18"/>
        <v>0</v>
      </c>
      <c r="Q226" s="92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3">
        <f>+ยกมา!J227</f>
        <v>0</v>
      </c>
      <c r="F227" s="70">
        <v>0</v>
      </c>
      <c r="G227" s="46">
        <f t="shared" si="26"/>
        <v>0</v>
      </c>
      <c r="H227" s="78">
        <v>0</v>
      </c>
      <c r="I227" s="76">
        <v>0</v>
      </c>
      <c r="J227" s="46">
        <f t="shared" si="27"/>
        <v>0</v>
      </c>
      <c r="K227" s="71"/>
      <c r="L227" s="20">
        <v>150</v>
      </c>
      <c r="M227" s="64">
        <f t="shared" si="17"/>
        <v>0</v>
      </c>
      <c r="N227" s="17" t="s">
        <v>16</v>
      </c>
      <c r="O227" s="18"/>
      <c r="P227" s="23">
        <f t="shared" si="18"/>
        <v>0</v>
      </c>
      <c r="Q227" s="92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3">
        <f>+ยกมา!J228</f>
        <v>0</v>
      </c>
      <c r="F228" s="70">
        <v>0</v>
      </c>
      <c r="G228" s="46">
        <f t="shared" si="26"/>
        <v>0</v>
      </c>
      <c r="H228" s="78">
        <v>0</v>
      </c>
      <c r="I228" s="76">
        <v>0</v>
      </c>
      <c r="J228" s="46">
        <f t="shared" si="27"/>
        <v>0</v>
      </c>
      <c r="K228" s="71"/>
      <c r="L228" s="20">
        <v>200</v>
      </c>
      <c r="M228" s="64">
        <f t="shared" si="17"/>
        <v>0</v>
      </c>
      <c r="N228" s="17" t="s">
        <v>16</v>
      </c>
      <c r="O228" s="18"/>
      <c r="P228" s="23">
        <f t="shared" si="18"/>
        <v>0</v>
      </c>
      <c r="Q228" s="92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3">
        <f>+ยกมา!J221</f>
        <v>0</v>
      </c>
      <c r="F229" s="70">
        <v>0</v>
      </c>
      <c r="G229" s="46">
        <f t="shared" si="26"/>
        <v>0</v>
      </c>
      <c r="H229" s="78">
        <v>0</v>
      </c>
      <c r="I229" s="76">
        <v>0</v>
      </c>
      <c r="J229" s="46">
        <f t="shared" si="27"/>
        <v>0</v>
      </c>
      <c r="K229" s="71"/>
      <c r="L229" s="20"/>
      <c r="M229" s="64">
        <f t="shared" ref="M229:M236" si="28">+L229*K229</f>
        <v>0</v>
      </c>
      <c r="N229" s="17" t="s">
        <v>16</v>
      </c>
      <c r="O229" s="18"/>
      <c r="P229" s="23">
        <f t="shared" ref="P229:P236" si="29">SUM(M229-O229)</f>
        <v>0</v>
      </c>
      <c r="Q229" s="92"/>
      <c r="R229" s="43">
        <f t="shared" ref="R229:R236" si="30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3">
        <f>+ยกมา!J222</f>
        <v>0</v>
      </c>
      <c r="F230" s="70">
        <v>20</v>
      </c>
      <c r="G230" s="46">
        <f t="shared" si="26"/>
        <v>20</v>
      </c>
      <c r="H230" s="78">
        <v>0</v>
      </c>
      <c r="I230" s="76">
        <v>0</v>
      </c>
      <c r="J230" s="46">
        <f t="shared" si="27"/>
        <v>0</v>
      </c>
      <c r="K230" s="71">
        <v>20</v>
      </c>
      <c r="L230" s="20">
        <v>35</v>
      </c>
      <c r="M230" s="64">
        <f t="shared" si="28"/>
        <v>700</v>
      </c>
      <c r="N230" s="17" t="s">
        <v>16</v>
      </c>
      <c r="O230" s="18"/>
      <c r="P230" s="180">
        <f t="shared" si="29"/>
        <v>700</v>
      </c>
      <c r="Q230" s="92"/>
      <c r="R230" s="43">
        <f t="shared" si="30"/>
        <v>0</v>
      </c>
    </row>
    <row r="231" spans="1:19" ht="24" customHeight="1" x14ac:dyDescent="0.65">
      <c r="A231" s="10">
        <v>227</v>
      </c>
      <c r="B231" s="10"/>
      <c r="C231" s="19" t="s">
        <v>1398</v>
      </c>
      <c r="D231" s="10" t="s">
        <v>566</v>
      </c>
      <c r="E231" s="63">
        <f>+ยกมา!J223</f>
        <v>0</v>
      </c>
      <c r="F231" s="70">
        <v>5</v>
      </c>
      <c r="G231" s="46">
        <f t="shared" si="26"/>
        <v>5</v>
      </c>
      <c r="H231" s="78">
        <v>0</v>
      </c>
      <c r="I231" s="76">
        <v>0</v>
      </c>
      <c r="J231" s="46">
        <f t="shared" si="27"/>
        <v>0</v>
      </c>
      <c r="K231" s="71">
        <v>5</v>
      </c>
      <c r="L231" s="20">
        <v>25</v>
      </c>
      <c r="M231" s="64">
        <f t="shared" si="28"/>
        <v>125</v>
      </c>
      <c r="N231" s="17" t="s">
        <v>16</v>
      </c>
      <c r="O231" s="18"/>
      <c r="P231" s="180">
        <f t="shared" si="29"/>
        <v>125</v>
      </c>
      <c r="Q231" s="92"/>
      <c r="R231" s="43">
        <f t="shared" si="30"/>
        <v>0</v>
      </c>
    </row>
    <row r="232" spans="1:19" ht="24" customHeight="1" x14ac:dyDescent="0.65">
      <c r="A232" s="10">
        <v>228</v>
      </c>
      <c r="B232" s="10"/>
      <c r="C232" s="19" t="s">
        <v>312</v>
      </c>
      <c r="D232" s="10" t="s">
        <v>434</v>
      </c>
      <c r="E232" s="63">
        <f>+ยกมา!J224</f>
        <v>0</v>
      </c>
      <c r="F232" s="70">
        <v>20</v>
      </c>
      <c r="G232" s="46">
        <f t="shared" si="26"/>
        <v>20</v>
      </c>
      <c r="H232" s="78">
        <v>0</v>
      </c>
      <c r="I232" s="76">
        <v>0</v>
      </c>
      <c r="J232" s="46">
        <f t="shared" si="27"/>
        <v>2</v>
      </c>
      <c r="K232" s="71">
        <v>18</v>
      </c>
      <c r="L232" s="20">
        <v>35</v>
      </c>
      <c r="M232" s="64">
        <f t="shared" si="28"/>
        <v>630</v>
      </c>
      <c r="N232" s="17" t="s">
        <v>1403</v>
      </c>
      <c r="O232" s="18">
        <v>60</v>
      </c>
      <c r="P232" s="180">
        <f t="shared" si="29"/>
        <v>570</v>
      </c>
      <c r="Q232" s="92"/>
      <c r="R232" s="43">
        <f t="shared" si="30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3">
        <f>+ยกมา!J225</f>
        <v>0</v>
      </c>
      <c r="F233" s="70">
        <v>0</v>
      </c>
      <c r="G233" s="46">
        <f t="shared" si="26"/>
        <v>0</v>
      </c>
      <c r="H233" s="78">
        <v>0</v>
      </c>
      <c r="I233" s="76">
        <v>0</v>
      </c>
      <c r="J233" s="46">
        <f t="shared" si="27"/>
        <v>0</v>
      </c>
      <c r="K233" s="71"/>
      <c r="L233" s="20"/>
      <c r="M233" s="64">
        <f t="shared" si="28"/>
        <v>0</v>
      </c>
      <c r="N233" s="17" t="s">
        <v>16</v>
      </c>
      <c r="O233" s="18"/>
      <c r="P233" s="23">
        <f t="shared" si="29"/>
        <v>0</v>
      </c>
      <c r="Q233" s="92"/>
      <c r="R233" s="43">
        <f t="shared" si="30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3">
        <f>+ยกมา!J226</f>
        <v>0</v>
      </c>
      <c r="F234" s="70">
        <v>0</v>
      </c>
      <c r="G234" s="46">
        <f t="shared" si="26"/>
        <v>0</v>
      </c>
      <c r="H234" s="78">
        <v>0</v>
      </c>
      <c r="I234" s="76">
        <v>0</v>
      </c>
      <c r="J234" s="46">
        <f t="shared" si="27"/>
        <v>0</v>
      </c>
      <c r="K234" s="71"/>
      <c r="L234" s="20"/>
      <c r="M234" s="64">
        <f t="shared" si="28"/>
        <v>0</v>
      </c>
      <c r="N234" s="17" t="s">
        <v>16</v>
      </c>
      <c r="O234" s="18"/>
      <c r="P234" s="23">
        <f t="shared" si="29"/>
        <v>0</v>
      </c>
      <c r="Q234" s="92"/>
      <c r="R234" s="43">
        <f t="shared" si="30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3">
        <f>+ยกมา!J227</f>
        <v>0</v>
      </c>
      <c r="F235" s="70">
        <v>0</v>
      </c>
      <c r="G235" s="46">
        <f t="shared" si="26"/>
        <v>0</v>
      </c>
      <c r="H235" s="78">
        <v>0</v>
      </c>
      <c r="I235" s="76">
        <v>0</v>
      </c>
      <c r="J235" s="46">
        <f t="shared" si="27"/>
        <v>0</v>
      </c>
      <c r="K235" s="71"/>
      <c r="L235" s="20"/>
      <c r="M235" s="64">
        <f t="shared" si="28"/>
        <v>0</v>
      </c>
      <c r="N235" s="17" t="s">
        <v>16</v>
      </c>
      <c r="O235" s="18"/>
      <c r="P235" s="23">
        <f t="shared" si="29"/>
        <v>0</v>
      </c>
      <c r="Q235" s="92"/>
      <c r="R235" s="43">
        <f t="shared" si="30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3">
        <f>+ยกมา!J228</f>
        <v>0</v>
      </c>
      <c r="F236" s="70">
        <v>0</v>
      </c>
      <c r="G236" s="46">
        <f t="shared" si="26"/>
        <v>0</v>
      </c>
      <c r="H236" s="78">
        <v>0</v>
      </c>
      <c r="I236" s="76">
        <v>0</v>
      </c>
      <c r="J236" s="46">
        <f t="shared" si="27"/>
        <v>0</v>
      </c>
      <c r="K236" s="71"/>
      <c r="L236" s="20"/>
      <c r="M236" s="64">
        <f t="shared" si="28"/>
        <v>0</v>
      </c>
      <c r="N236" s="17" t="s">
        <v>16</v>
      </c>
      <c r="O236" s="18"/>
      <c r="P236" s="23">
        <f t="shared" si="29"/>
        <v>0</v>
      </c>
      <c r="Q236" s="92"/>
      <c r="R236" s="43">
        <f t="shared" si="30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3">
        <f>+ยกมา!J229</f>
        <v>0</v>
      </c>
      <c r="F237" s="70">
        <v>0</v>
      </c>
      <c r="G237" s="46">
        <f t="shared" si="26"/>
        <v>0</v>
      </c>
      <c r="H237" s="78">
        <v>0</v>
      </c>
      <c r="I237" s="76">
        <v>0</v>
      </c>
      <c r="J237" s="46">
        <f t="shared" si="27"/>
        <v>0</v>
      </c>
      <c r="K237" s="71"/>
      <c r="L237" s="20"/>
      <c r="M237" s="64">
        <f t="shared" ref="M237:M238" si="31">+L237*K237</f>
        <v>0</v>
      </c>
      <c r="N237" s="17" t="s">
        <v>16</v>
      </c>
      <c r="O237" s="18"/>
      <c r="P237" s="23">
        <f t="shared" ref="P237:P238" si="32">SUM(M237-O237)</f>
        <v>0</v>
      </c>
      <c r="Q237" s="92"/>
      <c r="R237" s="43">
        <f t="shared" ref="R237:R238" si="33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3">
        <f>+ยกมา!J230</f>
        <v>0</v>
      </c>
      <c r="F238" s="70">
        <v>0</v>
      </c>
      <c r="G238" s="46">
        <f t="shared" si="26"/>
        <v>0</v>
      </c>
      <c r="H238" s="78">
        <v>0</v>
      </c>
      <c r="I238" s="76">
        <v>0</v>
      </c>
      <c r="J238" s="46">
        <f t="shared" si="27"/>
        <v>0</v>
      </c>
      <c r="K238" s="71"/>
      <c r="L238" s="20"/>
      <c r="M238" s="64">
        <f t="shared" si="31"/>
        <v>0</v>
      </c>
      <c r="N238" s="17" t="s">
        <v>16</v>
      </c>
      <c r="O238" s="18"/>
      <c r="P238" s="23">
        <f t="shared" si="32"/>
        <v>0</v>
      </c>
      <c r="Q238" s="92"/>
      <c r="R238" s="43">
        <f t="shared" si="33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3">
        <f>+ยกมา!J239</f>
        <v>0</v>
      </c>
      <c r="F239" s="70">
        <v>0</v>
      </c>
      <c r="G239" s="46">
        <f t="shared" si="26"/>
        <v>0</v>
      </c>
      <c r="H239" s="78">
        <v>0</v>
      </c>
      <c r="I239" s="76">
        <v>0</v>
      </c>
      <c r="J239" s="46">
        <f t="shared" si="27"/>
        <v>0</v>
      </c>
      <c r="K239" s="71"/>
      <c r="L239" s="20"/>
      <c r="M239" s="64">
        <f t="shared" si="17"/>
        <v>0</v>
      </c>
      <c r="N239" s="17" t="s">
        <v>16</v>
      </c>
      <c r="O239" s="18"/>
      <c r="P239" s="23">
        <f t="shared" si="18"/>
        <v>0</v>
      </c>
      <c r="Q239" s="92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4" t="s">
        <v>213</v>
      </c>
      <c r="Q240" s="91"/>
      <c r="R240" s="75">
        <f>SUM(R5:R239)</f>
        <v>3434.6200000000008</v>
      </c>
      <c r="S240" s="75"/>
    </row>
    <row r="241" spans="1:89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1" t="s">
        <v>212</v>
      </c>
      <c r="L241" s="162"/>
      <c r="M241" s="30">
        <f>+O240</f>
        <v>0</v>
      </c>
      <c r="N241" s="27"/>
      <c r="O241" s="29"/>
    </row>
    <row r="242" spans="1:89" ht="24.6" x14ac:dyDescent="0.65">
      <c r="A242" s="1"/>
      <c r="B242" s="1"/>
      <c r="E242" s="1"/>
      <c r="F242" s="1"/>
      <c r="G242" s="31"/>
      <c r="J242" s="31"/>
      <c r="K242" s="32"/>
      <c r="L242" s="34" t="s">
        <v>202</v>
      </c>
      <c r="M242" s="35"/>
      <c r="N242" s="33">
        <f>SUM(M5:M241)</f>
        <v>15735</v>
      </c>
    </row>
    <row r="243" spans="1:89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  <c r="AB243" s="101"/>
      <c r="AY243" s="101"/>
      <c r="CI243" s="101"/>
    </row>
    <row r="244" spans="1:89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SUM(O244:EG244)</f>
        <v>10370</v>
      </c>
      <c r="O244" s="2">
        <v>2270</v>
      </c>
      <c r="P244" s="2">
        <v>1405</v>
      </c>
      <c r="Q244" s="88">
        <v>3640</v>
      </c>
      <c r="R244" s="2">
        <v>3055</v>
      </c>
      <c r="AM244" s="88"/>
      <c r="BA244" s="88"/>
      <c r="CK244" s="88"/>
    </row>
    <row r="245" spans="1:89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89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89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1850</v>
      </c>
    </row>
    <row r="248" spans="1:89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3515</v>
      </c>
    </row>
    <row r="249" spans="1:89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3273</v>
      </c>
    </row>
    <row r="250" spans="1:89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-242</v>
      </c>
    </row>
    <row r="251" spans="1:89" ht="24.6" x14ac:dyDescent="0.65">
      <c r="E251" s="1"/>
      <c r="F251" s="1"/>
      <c r="J251" s="2"/>
      <c r="L251" s="34" t="s">
        <v>211</v>
      </c>
      <c r="M251" s="35"/>
      <c r="N251" s="33">
        <f>+N249-N248</f>
        <v>-242</v>
      </c>
    </row>
    <row r="252" spans="1:89" x14ac:dyDescent="0.6">
      <c r="J252" s="2"/>
      <c r="L252" s="2"/>
    </row>
    <row r="253" spans="1:89" ht="24.6" x14ac:dyDescent="0.65">
      <c r="J253" s="2"/>
      <c r="L253" s="72" t="s">
        <v>272</v>
      </c>
      <c r="M253" s="2" t="s">
        <v>307</v>
      </c>
    </row>
    <row r="254" spans="1:89" x14ac:dyDescent="0.6">
      <c r="J254" s="2"/>
      <c r="L254" s="2"/>
    </row>
    <row r="255" spans="1:89" x14ac:dyDescent="0.6">
      <c r="J255" s="2"/>
      <c r="L255" s="2"/>
    </row>
    <row r="256" spans="1:89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L234" sqref="L234"/>
      <selection pane="topRight" activeCell="L234" sqref="L234"/>
      <selection pane="bottomLeft" activeCell="L234" sqref="L234"/>
      <selection pane="bottomRight" activeCell="H7" sqref="H7:N9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2" t="s">
        <v>1397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Q2" s="89"/>
    </row>
    <row r="3" spans="1:18" s="5" customFormat="1" ht="26.4" customHeight="1" x14ac:dyDescent="0.7">
      <c r="A3" s="150" t="s">
        <v>1</v>
      </c>
      <c r="B3" s="150" t="s">
        <v>1368</v>
      </c>
      <c r="C3" s="150" t="s">
        <v>2</v>
      </c>
      <c r="D3" s="150" t="s">
        <v>1369</v>
      </c>
      <c r="E3" s="152" t="s">
        <v>3</v>
      </c>
      <c r="F3" s="152" t="s">
        <v>4</v>
      </c>
      <c r="G3" s="152" t="s">
        <v>5</v>
      </c>
      <c r="H3" s="77" t="s">
        <v>6</v>
      </c>
      <c r="I3" s="109" t="s">
        <v>273</v>
      </c>
      <c r="J3" s="152" t="s">
        <v>7</v>
      </c>
      <c r="K3" s="153" t="s">
        <v>8</v>
      </c>
      <c r="L3" s="153"/>
      <c r="M3" s="153"/>
      <c r="N3" s="152" t="s">
        <v>9</v>
      </c>
      <c r="O3" s="160" t="s">
        <v>10</v>
      </c>
      <c r="Q3" s="154" t="s">
        <v>274</v>
      </c>
      <c r="R3" s="156" t="s">
        <v>275</v>
      </c>
    </row>
    <row r="4" spans="1:18" s="5" customFormat="1" ht="26.4" x14ac:dyDescent="0.7">
      <c r="A4" s="151"/>
      <c r="B4" s="151"/>
      <c r="C4" s="151"/>
      <c r="D4" s="151"/>
      <c r="E4" s="152"/>
      <c r="F4" s="152"/>
      <c r="G4" s="152"/>
      <c r="H4" s="77" t="s">
        <v>11</v>
      </c>
      <c r="I4" s="110"/>
      <c r="J4" s="152"/>
      <c r="K4" s="68" t="s">
        <v>12</v>
      </c>
      <c r="L4" s="69" t="s">
        <v>13</v>
      </c>
      <c r="M4" s="68" t="s">
        <v>14</v>
      </c>
      <c r="N4" s="152"/>
      <c r="O4" s="160"/>
      <c r="Q4" s="155"/>
      <c r="R4" s="15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3">
        <f>+'31.'!J5</f>
        <v>0</v>
      </c>
      <c r="F5" s="70">
        <v>0</v>
      </c>
      <c r="G5" s="46">
        <f t="shared" ref="G5" si="0">E5+F5</f>
        <v>0</v>
      </c>
      <c r="H5" s="78">
        <v>0</v>
      </c>
      <c r="I5" s="76">
        <v>0</v>
      </c>
      <c r="J5" s="46">
        <f t="shared" ref="J5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3">
        <f>+'31.'!J6</f>
        <v>5</v>
      </c>
      <c r="F6" s="70">
        <v>0</v>
      </c>
      <c r="G6" s="46">
        <f t="shared" ref="G6:G69" si="2">E6+F6</f>
        <v>5</v>
      </c>
      <c r="H6" s="78">
        <v>0</v>
      </c>
      <c r="I6" s="76">
        <v>0</v>
      </c>
      <c r="J6" s="46">
        <f t="shared" ref="J6:J69" si="3">+G6-H6-K6-I6</f>
        <v>5</v>
      </c>
      <c r="K6" s="71"/>
      <c r="L6" s="15">
        <v>100</v>
      </c>
      <c r="M6" s="64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0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3">
        <f>+'31.'!J7</f>
        <v>1</v>
      </c>
      <c r="F7" s="70">
        <v>0</v>
      </c>
      <c r="G7" s="46">
        <f t="shared" si="2"/>
        <v>1</v>
      </c>
      <c r="H7" s="78">
        <v>0</v>
      </c>
      <c r="I7" s="76">
        <v>0</v>
      </c>
      <c r="J7" s="46">
        <f t="shared" si="3"/>
        <v>1</v>
      </c>
      <c r="K7" s="71"/>
      <c r="L7" s="15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3">
        <f>+'31.'!J8</f>
        <v>0</v>
      </c>
      <c r="F8" s="70">
        <v>0</v>
      </c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1"/>
      <c r="L8" s="15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3">
        <f>+'31.'!J9</f>
        <v>0</v>
      </c>
      <c r="F9" s="70">
        <v>0</v>
      </c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1"/>
      <c r="L9" s="15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3">
        <f>+'31.'!J10</f>
        <v>0</v>
      </c>
      <c r="F10" s="70">
        <v>0</v>
      </c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1"/>
      <c r="L10" s="15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3">
        <f>+'31.'!J11</f>
        <v>4</v>
      </c>
      <c r="F11" s="70">
        <v>0</v>
      </c>
      <c r="G11" s="46">
        <f t="shared" si="2"/>
        <v>4</v>
      </c>
      <c r="H11" s="78">
        <v>0</v>
      </c>
      <c r="I11" s="76">
        <v>0</v>
      </c>
      <c r="J11" s="46">
        <f t="shared" si="3"/>
        <v>4</v>
      </c>
      <c r="K11" s="71"/>
      <c r="L11" s="15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3">
        <f>+'31.'!J12</f>
        <v>0</v>
      </c>
      <c r="F12" s="70">
        <v>0</v>
      </c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1"/>
      <c r="L12" s="15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3">
        <f>+'31.'!J13</f>
        <v>0</v>
      </c>
      <c r="F13" s="70">
        <v>0</v>
      </c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1"/>
      <c r="L13" s="15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3">
        <f>+'31.'!J14</f>
        <v>2</v>
      </c>
      <c r="F14" s="70">
        <v>0</v>
      </c>
      <c r="G14" s="46">
        <f t="shared" si="2"/>
        <v>2</v>
      </c>
      <c r="H14" s="78">
        <v>0</v>
      </c>
      <c r="I14" s="76">
        <v>0</v>
      </c>
      <c r="J14" s="46">
        <f t="shared" si="3"/>
        <v>2</v>
      </c>
      <c r="K14" s="71"/>
      <c r="L14" s="15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3">
        <f>+'31.'!J15</f>
        <v>0</v>
      </c>
      <c r="F15" s="70">
        <v>0</v>
      </c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1"/>
      <c r="L15" s="15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3">
        <f>+'31.'!J16</f>
        <v>0</v>
      </c>
      <c r="F16" s="70">
        <v>0</v>
      </c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1"/>
      <c r="L16" s="15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3">
        <f>+'31.'!J17</f>
        <v>0</v>
      </c>
      <c r="F17" s="70">
        <v>0</v>
      </c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1"/>
      <c r="L17" s="15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3">
        <f>+'31.'!J18</f>
        <v>4</v>
      </c>
      <c r="F18" s="70">
        <v>0</v>
      </c>
      <c r="G18" s="46">
        <f t="shared" si="2"/>
        <v>4</v>
      </c>
      <c r="H18" s="78">
        <v>0</v>
      </c>
      <c r="I18" s="76">
        <v>0</v>
      </c>
      <c r="J18" s="46">
        <f t="shared" si="3"/>
        <v>4</v>
      </c>
      <c r="K18" s="71"/>
      <c r="L18" s="15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3">
        <f>+'31.'!J19</f>
        <v>0</v>
      </c>
      <c r="F19" s="70">
        <v>0</v>
      </c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1"/>
      <c r="L19" s="15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3">
        <f>+'31.'!J20</f>
        <v>0</v>
      </c>
      <c r="F20" s="70">
        <v>0</v>
      </c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1"/>
      <c r="L20" s="15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3">
        <f>+'31.'!J21</f>
        <v>0</v>
      </c>
      <c r="F21" s="70">
        <v>0</v>
      </c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1"/>
      <c r="L21" s="15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3">
        <f>+'31.'!J22</f>
        <v>4</v>
      </c>
      <c r="F22" s="70">
        <v>0</v>
      </c>
      <c r="G22" s="46">
        <f t="shared" si="2"/>
        <v>4</v>
      </c>
      <c r="H22" s="78">
        <v>0</v>
      </c>
      <c r="I22" s="76">
        <v>0</v>
      </c>
      <c r="J22" s="46">
        <f t="shared" si="3"/>
        <v>4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3">
        <f>+'31.'!J23</f>
        <v>0</v>
      </c>
      <c r="F23" s="70">
        <v>0</v>
      </c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1"/>
      <c r="L23" s="15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3">
        <f>+'31.'!J24</f>
        <v>5</v>
      </c>
      <c r="F24" s="70">
        <v>0</v>
      </c>
      <c r="G24" s="46">
        <f t="shared" si="2"/>
        <v>5</v>
      </c>
      <c r="H24" s="78">
        <v>0</v>
      </c>
      <c r="I24" s="76">
        <v>0</v>
      </c>
      <c r="J24" s="46">
        <f t="shared" si="3"/>
        <v>5</v>
      </c>
      <c r="K24" s="71"/>
      <c r="L24" s="15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3">
        <f>+'31.'!J25</f>
        <v>5</v>
      </c>
      <c r="F25" s="70">
        <v>0</v>
      </c>
      <c r="G25" s="46">
        <f t="shared" si="2"/>
        <v>5</v>
      </c>
      <c r="H25" s="78">
        <v>0</v>
      </c>
      <c r="I25" s="76">
        <v>0</v>
      </c>
      <c r="J25" s="46">
        <f t="shared" si="3"/>
        <v>5</v>
      </c>
      <c r="K25" s="71"/>
      <c r="L25" s="15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3">
        <f>+'31.'!J26</f>
        <v>0</v>
      </c>
      <c r="F26" s="70">
        <v>0</v>
      </c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1"/>
      <c r="L26" s="15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3">
        <f>+'31.'!J27</f>
        <v>0</v>
      </c>
      <c r="F27" s="70">
        <v>0</v>
      </c>
      <c r="G27" s="46">
        <f t="shared" si="2"/>
        <v>0</v>
      </c>
      <c r="H27" s="78">
        <v>0</v>
      </c>
      <c r="I27" s="76">
        <v>0</v>
      </c>
      <c r="J27" s="46">
        <f t="shared" si="3"/>
        <v>0</v>
      </c>
      <c r="K27" s="71"/>
      <c r="L27" s="15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3">
        <f>+'31.'!J28</f>
        <v>5</v>
      </c>
      <c r="F28" s="70">
        <v>0</v>
      </c>
      <c r="G28" s="46">
        <f t="shared" si="2"/>
        <v>5</v>
      </c>
      <c r="H28" s="78">
        <v>0</v>
      </c>
      <c r="I28" s="76">
        <v>0</v>
      </c>
      <c r="J28" s="46">
        <f t="shared" si="3"/>
        <v>5</v>
      </c>
      <c r="K28" s="71"/>
      <c r="L28" s="15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3">
        <f>+'31.'!J29</f>
        <v>0</v>
      </c>
      <c r="F29" s="70">
        <v>0</v>
      </c>
      <c r="G29" s="46">
        <f t="shared" si="2"/>
        <v>0</v>
      </c>
      <c r="H29" s="78">
        <v>0</v>
      </c>
      <c r="I29" s="76">
        <v>0</v>
      </c>
      <c r="J29" s="46">
        <f t="shared" si="3"/>
        <v>0</v>
      </c>
      <c r="K29" s="71"/>
      <c r="L29" s="15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3">
        <f>+'31.'!J30</f>
        <v>0</v>
      </c>
      <c r="F30" s="70">
        <v>0</v>
      </c>
      <c r="G30" s="46">
        <f t="shared" si="2"/>
        <v>0</v>
      </c>
      <c r="H30" s="78">
        <v>0</v>
      </c>
      <c r="I30" s="76">
        <v>0</v>
      </c>
      <c r="J30" s="46">
        <f t="shared" si="3"/>
        <v>0</v>
      </c>
      <c r="K30" s="71"/>
      <c r="L30" s="15">
        <v>100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3">
        <f>+'31.'!J31</f>
        <v>4</v>
      </c>
      <c r="F31" s="70">
        <v>0</v>
      </c>
      <c r="G31" s="46">
        <f t="shared" si="2"/>
        <v>4</v>
      </c>
      <c r="H31" s="78">
        <v>0</v>
      </c>
      <c r="I31" s="76">
        <v>0</v>
      </c>
      <c r="J31" s="46">
        <f t="shared" si="3"/>
        <v>4</v>
      </c>
      <c r="K31" s="71"/>
      <c r="L31" s="15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3">
        <f>+'31.'!J32</f>
        <v>0</v>
      </c>
      <c r="F32" s="70">
        <v>0</v>
      </c>
      <c r="G32" s="46">
        <f t="shared" si="2"/>
        <v>0</v>
      </c>
      <c r="H32" s="78">
        <v>0</v>
      </c>
      <c r="I32" s="76">
        <v>0</v>
      </c>
      <c r="J32" s="46">
        <f t="shared" si="3"/>
        <v>0</v>
      </c>
      <c r="K32" s="71"/>
      <c r="L32" s="15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3">
        <f>+'31.'!J33</f>
        <v>0</v>
      </c>
      <c r="F33" s="70">
        <v>0</v>
      </c>
      <c r="G33" s="46">
        <f t="shared" si="2"/>
        <v>0</v>
      </c>
      <c r="H33" s="78">
        <v>0</v>
      </c>
      <c r="I33" s="76">
        <v>0</v>
      </c>
      <c r="J33" s="46">
        <f t="shared" si="3"/>
        <v>0</v>
      </c>
      <c r="K33" s="71"/>
      <c r="L33" s="15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3">
        <f>+'31.'!J34</f>
        <v>0</v>
      </c>
      <c r="F34" s="70">
        <v>0</v>
      </c>
      <c r="G34" s="46">
        <f t="shared" si="2"/>
        <v>0</v>
      </c>
      <c r="H34" s="78">
        <v>0</v>
      </c>
      <c r="I34" s="76">
        <v>0</v>
      </c>
      <c r="J34" s="46">
        <f t="shared" si="3"/>
        <v>0</v>
      </c>
      <c r="K34" s="71"/>
      <c r="L34" s="15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3">
        <f>+'31.'!J35</f>
        <v>0</v>
      </c>
      <c r="F35" s="70">
        <v>0</v>
      </c>
      <c r="G35" s="46">
        <f t="shared" si="2"/>
        <v>0</v>
      </c>
      <c r="H35" s="78">
        <v>0</v>
      </c>
      <c r="I35" s="76">
        <v>0</v>
      </c>
      <c r="J35" s="46">
        <f t="shared" si="3"/>
        <v>0</v>
      </c>
      <c r="K35" s="71"/>
      <c r="L35" s="15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3">
        <f>+'31.'!J36</f>
        <v>0</v>
      </c>
      <c r="F36" s="70">
        <v>0</v>
      </c>
      <c r="G36" s="46">
        <f t="shared" si="2"/>
        <v>0</v>
      </c>
      <c r="H36" s="78">
        <v>0</v>
      </c>
      <c r="I36" s="76">
        <v>0</v>
      </c>
      <c r="J36" s="46">
        <f t="shared" si="3"/>
        <v>0</v>
      </c>
      <c r="K36" s="71"/>
      <c r="L36" s="15">
        <v>35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3">
        <f>+'31.'!J37</f>
        <v>0</v>
      </c>
      <c r="F37" s="70">
        <v>0</v>
      </c>
      <c r="G37" s="46">
        <f t="shared" si="2"/>
        <v>0</v>
      </c>
      <c r="H37" s="78">
        <v>0</v>
      </c>
      <c r="I37" s="76">
        <v>0</v>
      </c>
      <c r="J37" s="46">
        <f t="shared" si="3"/>
        <v>0</v>
      </c>
      <c r="K37" s="71"/>
      <c r="L37" s="15">
        <v>35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3">
        <f>+'31.'!J38</f>
        <v>0</v>
      </c>
      <c r="F38" s="70">
        <v>0</v>
      </c>
      <c r="G38" s="46">
        <f t="shared" si="2"/>
        <v>0</v>
      </c>
      <c r="H38" s="78">
        <v>0</v>
      </c>
      <c r="I38" s="76">
        <v>0</v>
      </c>
      <c r="J38" s="46">
        <f t="shared" si="3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3">
        <f>+'31.'!J39</f>
        <v>0</v>
      </c>
      <c r="F39" s="70">
        <v>0</v>
      </c>
      <c r="G39" s="46">
        <f t="shared" si="2"/>
        <v>0</v>
      </c>
      <c r="H39" s="78">
        <v>0</v>
      </c>
      <c r="I39" s="76">
        <v>0</v>
      </c>
      <c r="J39" s="46">
        <f t="shared" si="3"/>
        <v>0</v>
      </c>
      <c r="K39" s="71"/>
      <c r="L39" s="15">
        <v>50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3">
        <f>+'31.'!J40</f>
        <v>0</v>
      </c>
      <c r="F40" s="70">
        <v>0</v>
      </c>
      <c r="G40" s="46">
        <f t="shared" si="2"/>
        <v>0</v>
      </c>
      <c r="H40" s="78">
        <v>0</v>
      </c>
      <c r="I40" s="76">
        <v>0</v>
      </c>
      <c r="J40" s="46">
        <f t="shared" si="3"/>
        <v>0</v>
      </c>
      <c r="K40" s="71"/>
      <c r="L40" s="15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3">
        <f>+'31.'!J41</f>
        <v>0</v>
      </c>
      <c r="F41" s="70">
        <v>0</v>
      </c>
      <c r="G41" s="46">
        <f t="shared" si="2"/>
        <v>0</v>
      </c>
      <c r="H41" s="78">
        <v>0</v>
      </c>
      <c r="I41" s="76">
        <v>0</v>
      </c>
      <c r="J41" s="46">
        <f t="shared" si="3"/>
        <v>0</v>
      </c>
      <c r="K41" s="71"/>
      <c r="L41" s="15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3">
        <f>+'31.'!J42</f>
        <v>0</v>
      </c>
      <c r="F42" s="70">
        <v>0</v>
      </c>
      <c r="G42" s="46">
        <f t="shared" si="2"/>
        <v>0</v>
      </c>
      <c r="H42" s="78">
        <v>0</v>
      </c>
      <c r="I42" s="76">
        <v>0</v>
      </c>
      <c r="J42" s="46">
        <f t="shared" si="3"/>
        <v>0</v>
      </c>
      <c r="K42" s="71"/>
      <c r="L42" s="15">
        <v>25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3">
        <f>+'31.'!J43</f>
        <v>0</v>
      </c>
      <c r="F43" s="70">
        <v>0</v>
      </c>
      <c r="G43" s="46">
        <f t="shared" si="2"/>
        <v>0</v>
      </c>
      <c r="H43" s="78">
        <v>0</v>
      </c>
      <c r="I43" s="76">
        <v>0</v>
      </c>
      <c r="J43" s="46">
        <f t="shared" si="3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3">
        <f>+'31.'!J44</f>
        <v>0</v>
      </c>
      <c r="F44" s="70">
        <v>0</v>
      </c>
      <c r="G44" s="46">
        <f t="shared" si="2"/>
        <v>0</v>
      </c>
      <c r="H44" s="78">
        <v>0</v>
      </c>
      <c r="I44" s="76">
        <v>0</v>
      </c>
      <c r="J44" s="46">
        <f t="shared" si="3"/>
        <v>0</v>
      </c>
      <c r="K44" s="71"/>
      <c r="L44" s="15">
        <v>25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3">
        <f>+'31.'!J45</f>
        <v>0</v>
      </c>
      <c r="F45" s="70">
        <v>0</v>
      </c>
      <c r="G45" s="46">
        <f t="shared" si="2"/>
        <v>0</v>
      </c>
      <c r="H45" s="78">
        <v>0</v>
      </c>
      <c r="I45" s="76">
        <v>0</v>
      </c>
      <c r="J45" s="46">
        <f t="shared" si="3"/>
        <v>0</v>
      </c>
      <c r="K45" s="71"/>
      <c r="L45" s="15">
        <v>35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3">
        <f>+'31.'!J46</f>
        <v>2</v>
      </c>
      <c r="F46" s="70">
        <v>0</v>
      </c>
      <c r="G46" s="46">
        <f t="shared" si="2"/>
        <v>2</v>
      </c>
      <c r="H46" s="78">
        <v>0</v>
      </c>
      <c r="I46" s="76">
        <v>0</v>
      </c>
      <c r="J46" s="46">
        <f t="shared" si="3"/>
        <v>2</v>
      </c>
      <c r="K46" s="71"/>
      <c r="L46" s="15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3">
        <f>+'31.'!J47</f>
        <v>5</v>
      </c>
      <c r="F47" s="70">
        <v>0</v>
      </c>
      <c r="G47" s="46">
        <f t="shared" si="2"/>
        <v>5</v>
      </c>
      <c r="H47" s="78">
        <v>0</v>
      </c>
      <c r="I47" s="76">
        <v>0</v>
      </c>
      <c r="J47" s="46">
        <f t="shared" si="3"/>
        <v>5</v>
      </c>
      <c r="K47" s="71"/>
      <c r="L47" s="15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3">
        <f>+'31.'!J48</f>
        <v>2</v>
      </c>
      <c r="F48" s="70">
        <v>0</v>
      </c>
      <c r="G48" s="46">
        <f t="shared" si="2"/>
        <v>2</v>
      </c>
      <c r="H48" s="78">
        <v>0</v>
      </c>
      <c r="I48" s="76">
        <v>0</v>
      </c>
      <c r="J48" s="46">
        <f t="shared" si="3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3">
        <f>+'31.'!J49</f>
        <v>3</v>
      </c>
      <c r="F49" s="70">
        <v>0</v>
      </c>
      <c r="G49" s="46">
        <f t="shared" si="2"/>
        <v>3</v>
      </c>
      <c r="H49" s="78">
        <v>0</v>
      </c>
      <c r="I49" s="76">
        <v>0</v>
      </c>
      <c r="J49" s="46">
        <f t="shared" si="3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3">
        <f>+'31.'!J50</f>
        <v>1</v>
      </c>
      <c r="F50" s="70">
        <v>0</v>
      </c>
      <c r="G50" s="46">
        <f t="shared" si="2"/>
        <v>1</v>
      </c>
      <c r="H50" s="78">
        <v>0</v>
      </c>
      <c r="I50" s="76">
        <v>0</v>
      </c>
      <c r="J50" s="46">
        <f t="shared" si="3"/>
        <v>1</v>
      </c>
      <c r="K50" s="71"/>
      <c r="L50" s="15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3">
        <f>+'31.'!J51</f>
        <v>4</v>
      </c>
      <c r="F51" s="70">
        <v>0</v>
      </c>
      <c r="G51" s="46">
        <f t="shared" si="2"/>
        <v>4</v>
      </c>
      <c r="H51" s="78">
        <v>0</v>
      </c>
      <c r="I51" s="76">
        <v>0</v>
      </c>
      <c r="J51" s="46">
        <f t="shared" si="3"/>
        <v>4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3">
        <f>+'31.'!J52</f>
        <v>0</v>
      </c>
      <c r="F52" s="70">
        <v>0</v>
      </c>
      <c r="G52" s="46">
        <f t="shared" si="2"/>
        <v>0</v>
      </c>
      <c r="H52" s="78">
        <v>0</v>
      </c>
      <c r="I52" s="76">
        <v>0</v>
      </c>
      <c r="J52" s="46">
        <f t="shared" si="3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3">
        <f>+'31.'!J53</f>
        <v>3</v>
      </c>
      <c r="F53" s="70">
        <v>0</v>
      </c>
      <c r="G53" s="46">
        <f t="shared" si="2"/>
        <v>3</v>
      </c>
      <c r="H53" s="78">
        <v>0</v>
      </c>
      <c r="I53" s="76">
        <v>0</v>
      </c>
      <c r="J53" s="46">
        <f t="shared" si="3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3">
        <f>+'31.'!J54</f>
        <v>5</v>
      </c>
      <c r="F54" s="70">
        <v>0</v>
      </c>
      <c r="G54" s="46">
        <f t="shared" si="2"/>
        <v>5</v>
      </c>
      <c r="H54" s="78">
        <v>0</v>
      </c>
      <c r="I54" s="76">
        <v>0</v>
      </c>
      <c r="J54" s="46">
        <f t="shared" si="3"/>
        <v>5</v>
      </c>
      <c r="K54" s="71"/>
      <c r="L54" s="15">
        <v>50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3">
        <f>+'31.'!J55</f>
        <v>0</v>
      </c>
      <c r="F55" s="70">
        <v>0</v>
      </c>
      <c r="G55" s="46">
        <f t="shared" si="2"/>
        <v>0</v>
      </c>
      <c r="H55" s="78">
        <v>0</v>
      </c>
      <c r="I55" s="76">
        <v>0</v>
      </c>
      <c r="J55" s="46">
        <f t="shared" si="3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3">
        <f>+'31.'!J56</f>
        <v>0</v>
      </c>
      <c r="F56" s="70">
        <v>0</v>
      </c>
      <c r="G56" s="46">
        <f t="shared" si="2"/>
        <v>0</v>
      </c>
      <c r="H56" s="78">
        <v>0</v>
      </c>
      <c r="I56" s="76">
        <v>0</v>
      </c>
      <c r="J56" s="46">
        <f t="shared" si="3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3">
        <f>+'31.'!J57</f>
        <v>0</v>
      </c>
      <c r="F57" s="70">
        <v>0</v>
      </c>
      <c r="G57" s="46">
        <f t="shared" si="2"/>
        <v>0</v>
      </c>
      <c r="H57" s="78">
        <v>0</v>
      </c>
      <c r="I57" s="76">
        <v>0</v>
      </c>
      <c r="J57" s="46">
        <f t="shared" si="3"/>
        <v>0</v>
      </c>
      <c r="K57" s="71"/>
      <c r="L57" s="15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3">
        <f>+'31.'!J58</f>
        <v>0</v>
      </c>
      <c r="F58" s="70">
        <v>0</v>
      </c>
      <c r="G58" s="46">
        <f t="shared" si="2"/>
        <v>0</v>
      </c>
      <c r="H58" s="78">
        <v>0</v>
      </c>
      <c r="I58" s="76">
        <v>0</v>
      </c>
      <c r="J58" s="46">
        <f t="shared" si="3"/>
        <v>0</v>
      </c>
      <c r="K58" s="71"/>
      <c r="L58" s="15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3">
        <f>+'31.'!J59</f>
        <v>0</v>
      </c>
      <c r="F59" s="70">
        <v>0</v>
      </c>
      <c r="G59" s="46">
        <f t="shared" si="2"/>
        <v>0</v>
      </c>
      <c r="H59" s="78">
        <v>0</v>
      </c>
      <c r="I59" s="76">
        <v>0</v>
      </c>
      <c r="J59" s="46">
        <f t="shared" si="3"/>
        <v>0</v>
      </c>
      <c r="K59" s="71"/>
      <c r="L59" s="15">
        <v>120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3">
        <f>+'31.'!J60</f>
        <v>0</v>
      </c>
      <c r="F60" s="70">
        <v>0</v>
      </c>
      <c r="G60" s="46">
        <f t="shared" si="2"/>
        <v>0</v>
      </c>
      <c r="H60" s="78">
        <v>0</v>
      </c>
      <c r="I60" s="76">
        <v>0</v>
      </c>
      <c r="J60" s="46">
        <f t="shared" si="3"/>
        <v>0</v>
      </c>
      <c r="K60" s="71"/>
      <c r="L60" s="15">
        <v>120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3">
        <f>+'31.'!J61</f>
        <v>0</v>
      </c>
      <c r="F61" s="70">
        <v>0</v>
      </c>
      <c r="G61" s="46">
        <f t="shared" si="2"/>
        <v>0</v>
      </c>
      <c r="H61" s="78">
        <v>0</v>
      </c>
      <c r="I61" s="76">
        <v>0</v>
      </c>
      <c r="J61" s="46">
        <f t="shared" si="3"/>
        <v>0</v>
      </c>
      <c r="K61" s="71"/>
      <c r="L61" s="15">
        <v>120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3">
        <f>+'31.'!J62</f>
        <v>0</v>
      </c>
      <c r="F62" s="70">
        <v>0</v>
      </c>
      <c r="G62" s="46">
        <f t="shared" si="2"/>
        <v>0</v>
      </c>
      <c r="H62" s="78">
        <v>0</v>
      </c>
      <c r="I62" s="76">
        <v>0</v>
      </c>
      <c r="J62" s="46">
        <f t="shared" si="3"/>
        <v>0</v>
      </c>
      <c r="K62" s="71"/>
      <c r="L62" s="15">
        <v>120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3">
        <f>+'31.'!J63</f>
        <v>0</v>
      </c>
      <c r="F63" s="70"/>
      <c r="G63" s="46">
        <f t="shared" si="2"/>
        <v>0</v>
      </c>
      <c r="H63" s="78">
        <v>0</v>
      </c>
      <c r="I63" s="76">
        <v>0</v>
      </c>
      <c r="J63" s="46">
        <f t="shared" si="3"/>
        <v>0</v>
      </c>
      <c r="K63" s="71"/>
      <c r="L63" s="15">
        <v>120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3">
        <f>+'31.'!J64</f>
        <v>0</v>
      </c>
      <c r="F64" s="70">
        <v>0</v>
      </c>
      <c r="G64" s="46">
        <f t="shared" si="2"/>
        <v>0</v>
      </c>
      <c r="H64" s="78">
        <v>0</v>
      </c>
      <c r="I64" s="76">
        <v>0</v>
      </c>
      <c r="J64" s="46">
        <f t="shared" si="3"/>
        <v>0</v>
      </c>
      <c r="K64" s="71"/>
      <c r="L64" s="15">
        <v>50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3">
        <f>+'31.'!J65</f>
        <v>0</v>
      </c>
      <c r="F65" s="70">
        <v>0</v>
      </c>
      <c r="G65" s="46">
        <f t="shared" si="2"/>
        <v>0</v>
      </c>
      <c r="H65" s="78">
        <v>0</v>
      </c>
      <c r="I65" s="76">
        <v>0</v>
      </c>
      <c r="J65" s="46">
        <f t="shared" si="3"/>
        <v>0</v>
      </c>
      <c r="K65" s="71"/>
      <c r="L65" s="15">
        <v>50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3">
        <f>+'31.'!J66</f>
        <v>0</v>
      </c>
      <c r="F66" s="70">
        <v>0</v>
      </c>
      <c r="G66" s="46">
        <f t="shared" si="2"/>
        <v>0</v>
      </c>
      <c r="H66" s="78">
        <v>0</v>
      </c>
      <c r="I66" s="76">
        <v>0</v>
      </c>
      <c r="J66" s="46">
        <f t="shared" si="3"/>
        <v>0</v>
      </c>
      <c r="K66" s="71"/>
      <c r="L66" s="15">
        <v>50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3">
        <f>+'31.'!J67</f>
        <v>0</v>
      </c>
      <c r="F67" s="70">
        <v>0</v>
      </c>
      <c r="G67" s="46">
        <f t="shared" si="2"/>
        <v>0</v>
      </c>
      <c r="H67" s="78">
        <v>0</v>
      </c>
      <c r="I67" s="76">
        <v>0</v>
      </c>
      <c r="J67" s="46">
        <f t="shared" si="3"/>
        <v>0</v>
      </c>
      <c r="K67" s="71"/>
      <c r="L67" s="15">
        <v>70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92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3">
        <f>+'31.'!J68</f>
        <v>0</v>
      </c>
      <c r="F68" s="70">
        <v>0</v>
      </c>
      <c r="G68" s="46">
        <f t="shared" si="2"/>
        <v>0</v>
      </c>
      <c r="H68" s="78">
        <v>0</v>
      </c>
      <c r="I68" s="76">
        <v>0</v>
      </c>
      <c r="J68" s="46">
        <f t="shared" si="3"/>
        <v>0</v>
      </c>
      <c r="K68" s="71"/>
      <c r="L68" s="15">
        <v>80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92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3">
        <f>+'31.'!J69</f>
        <v>0</v>
      </c>
      <c r="F69" s="70">
        <v>0</v>
      </c>
      <c r="G69" s="46">
        <f t="shared" si="2"/>
        <v>0</v>
      </c>
      <c r="H69" s="78">
        <v>0</v>
      </c>
      <c r="I69" s="76">
        <v>0</v>
      </c>
      <c r="J69" s="46">
        <f t="shared" si="3"/>
        <v>0</v>
      </c>
      <c r="K69" s="71"/>
      <c r="L69" s="15">
        <v>150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3">
        <f>+'31.'!J70</f>
        <v>0</v>
      </c>
      <c r="F70" s="70">
        <v>0</v>
      </c>
      <c r="G70" s="46">
        <f t="shared" ref="G70:G133" si="7">E70+F70</f>
        <v>0</v>
      </c>
      <c r="H70" s="78">
        <v>0</v>
      </c>
      <c r="I70" s="76">
        <v>0</v>
      </c>
      <c r="J70" s="46">
        <f t="shared" ref="J70:J133" si="8">+G70-H70-K70-I70</f>
        <v>0</v>
      </c>
      <c r="K70" s="71"/>
      <c r="L70" s="15">
        <v>150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3">
        <f>+'31.'!J71</f>
        <v>0</v>
      </c>
      <c r="F71" s="70">
        <v>0</v>
      </c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1"/>
      <c r="L71" s="15">
        <v>150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3">
        <f>+'31.'!J72</f>
        <v>0</v>
      </c>
      <c r="F72" s="70">
        <v>0</v>
      </c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1"/>
      <c r="L72" s="21">
        <v>50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3">
        <f>+'31.'!J73</f>
        <v>0</v>
      </c>
      <c r="F73" s="70">
        <v>0</v>
      </c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1"/>
      <c r="L73" s="21">
        <v>120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3">
        <f>+'31.'!J74</f>
        <v>0</v>
      </c>
      <c r="F74" s="70">
        <v>0</v>
      </c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1"/>
      <c r="L74" s="21">
        <v>50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3">
        <f>+'31.'!J75</f>
        <v>0</v>
      </c>
      <c r="F75" s="70">
        <v>0</v>
      </c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1"/>
      <c r="L75" s="21">
        <v>120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3">
        <f>+'31.'!J76</f>
        <v>0</v>
      </c>
      <c r="F76" s="70">
        <v>0</v>
      </c>
      <c r="G76" s="46">
        <f t="shared" si="7"/>
        <v>0</v>
      </c>
      <c r="H76" s="78">
        <v>0</v>
      </c>
      <c r="I76" s="76">
        <v>0</v>
      </c>
      <c r="J76" s="46">
        <f t="shared" si="8"/>
        <v>0</v>
      </c>
      <c r="K76" s="71"/>
      <c r="L76" s="21">
        <v>50</v>
      </c>
      <c r="M76" s="64">
        <f t="shared" si="4"/>
        <v>0</v>
      </c>
      <c r="N76" s="17" t="s">
        <v>16</v>
      </c>
      <c r="O76" s="18"/>
      <c r="P76" s="23">
        <f t="shared" si="5"/>
        <v>0</v>
      </c>
      <c r="Q76" s="90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3">
        <f>+'31.'!J77</f>
        <v>0</v>
      </c>
      <c r="F77" s="70">
        <v>0</v>
      </c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1"/>
      <c r="L77" s="15">
        <v>45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90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3">
        <f>+'31.'!J78</f>
        <v>0</v>
      </c>
      <c r="F78" s="70">
        <v>0</v>
      </c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1"/>
      <c r="L78" s="21">
        <v>35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3">
        <f>+'31.'!J79</f>
        <v>2</v>
      </c>
      <c r="F79" s="70">
        <v>0</v>
      </c>
      <c r="G79" s="46">
        <f t="shared" si="7"/>
        <v>2</v>
      </c>
      <c r="H79" s="78">
        <v>0</v>
      </c>
      <c r="I79" s="76">
        <v>0</v>
      </c>
      <c r="J79" s="46">
        <f t="shared" si="8"/>
        <v>2</v>
      </c>
      <c r="K79" s="71"/>
      <c r="L79" s="15">
        <v>55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90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3">
        <f>+'31.'!J80</f>
        <v>1</v>
      </c>
      <c r="F80" s="70">
        <v>0</v>
      </c>
      <c r="G80" s="46">
        <f t="shared" si="7"/>
        <v>1</v>
      </c>
      <c r="H80" s="78">
        <v>0</v>
      </c>
      <c r="I80" s="76">
        <v>0</v>
      </c>
      <c r="J80" s="46">
        <f t="shared" si="8"/>
        <v>1</v>
      </c>
      <c r="K80" s="71"/>
      <c r="L80" s="20">
        <v>55</v>
      </c>
      <c r="M80" s="64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0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3">
        <f>+'31.'!J81</f>
        <v>0</v>
      </c>
      <c r="F81" s="70">
        <v>0</v>
      </c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1"/>
      <c r="L81" s="22">
        <v>50</v>
      </c>
      <c r="M81" s="64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0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3">
        <f>+'31.'!J82</f>
        <v>0</v>
      </c>
      <c r="F82" s="70">
        <v>0</v>
      </c>
      <c r="G82" s="46">
        <f t="shared" si="7"/>
        <v>0</v>
      </c>
      <c r="H82" s="78">
        <v>0</v>
      </c>
      <c r="I82" s="76">
        <v>0</v>
      </c>
      <c r="J82" s="46">
        <f t="shared" si="8"/>
        <v>0</v>
      </c>
      <c r="K82" s="71"/>
      <c r="L82" s="22">
        <v>50</v>
      </c>
      <c r="M82" s="64">
        <f t="shared" si="12"/>
        <v>0</v>
      </c>
      <c r="N82" s="17" t="s">
        <v>16</v>
      </c>
      <c r="O82" s="18"/>
      <c r="P82" s="23">
        <f t="shared" si="13"/>
        <v>0</v>
      </c>
      <c r="Q82" s="90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3">
        <f>+'31.'!J83</f>
        <v>0</v>
      </c>
      <c r="F83" s="70">
        <v>0</v>
      </c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1"/>
      <c r="L83" s="20">
        <v>35</v>
      </c>
      <c r="M83" s="64">
        <f t="shared" si="12"/>
        <v>0</v>
      </c>
      <c r="N83" s="17" t="s">
        <v>16</v>
      </c>
      <c r="O83" s="18"/>
      <c r="P83" s="23">
        <f t="shared" si="13"/>
        <v>0</v>
      </c>
      <c r="Q83" s="90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3">
        <f>+'31.'!J84</f>
        <v>0</v>
      </c>
      <c r="F84" s="70">
        <v>0</v>
      </c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1"/>
      <c r="L84" s="20">
        <v>35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90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3">
        <f>+'31.'!J85</f>
        <v>0</v>
      </c>
      <c r="F85" s="70">
        <v>0</v>
      </c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1"/>
      <c r="L85" s="20">
        <v>45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3">
        <f>+'31.'!J86</f>
        <v>0</v>
      </c>
      <c r="F86" s="70">
        <v>0</v>
      </c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3">
        <f>+'31.'!J87</f>
        <v>0</v>
      </c>
      <c r="F87" s="70">
        <v>0</v>
      </c>
      <c r="G87" s="46">
        <f t="shared" si="7"/>
        <v>0</v>
      </c>
      <c r="H87" s="78">
        <v>0</v>
      </c>
      <c r="I87" s="76">
        <v>0</v>
      </c>
      <c r="J87" s="46">
        <f t="shared" si="8"/>
        <v>0</v>
      </c>
      <c r="K87" s="71"/>
      <c r="L87" s="20">
        <v>35</v>
      </c>
      <c r="M87" s="64">
        <f t="shared" si="12"/>
        <v>0</v>
      </c>
      <c r="N87" s="17" t="s">
        <v>16</v>
      </c>
      <c r="O87" s="18"/>
      <c r="P87" s="23">
        <f t="shared" si="13"/>
        <v>0</v>
      </c>
      <c r="Q87" s="90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3">
        <f>+'31.'!J88</f>
        <v>0</v>
      </c>
      <c r="F88" s="70">
        <v>0</v>
      </c>
      <c r="G88" s="46">
        <f t="shared" si="7"/>
        <v>0</v>
      </c>
      <c r="H88" s="78">
        <v>0</v>
      </c>
      <c r="I88" s="76">
        <v>0</v>
      </c>
      <c r="J88" s="46">
        <f t="shared" si="8"/>
        <v>0</v>
      </c>
      <c r="K88" s="71"/>
      <c r="L88" s="22">
        <v>45</v>
      </c>
      <c r="M88" s="64">
        <f t="shared" si="12"/>
        <v>0</v>
      </c>
      <c r="N88" s="17" t="s">
        <v>16</v>
      </c>
      <c r="O88" s="18"/>
      <c r="P88" s="23">
        <f t="shared" si="13"/>
        <v>0</v>
      </c>
      <c r="Q88" s="90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3">
        <f>+'31.'!J89</f>
        <v>0</v>
      </c>
      <c r="F89" s="70">
        <v>0</v>
      </c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1"/>
      <c r="L89" s="20">
        <v>45</v>
      </c>
      <c r="M89" s="64">
        <f t="shared" si="9"/>
        <v>0</v>
      </c>
      <c r="N89" s="17" t="s">
        <v>16</v>
      </c>
      <c r="O89" s="18"/>
      <c r="P89" s="23">
        <f t="shared" si="10"/>
        <v>0</v>
      </c>
      <c r="Q89" s="90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3">
        <f>+'31.'!J90</f>
        <v>9</v>
      </c>
      <c r="F90" s="70">
        <v>20</v>
      </c>
      <c r="G90" s="46">
        <f t="shared" si="7"/>
        <v>29</v>
      </c>
      <c r="H90" s="78">
        <v>0</v>
      </c>
      <c r="I90" s="76">
        <v>0</v>
      </c>
      <c r="J90" s="46">
        <f t="shared" si="8"/>
        <v>29</v>
      </c>
      <c r="K90" s="71"/>
      <c r="L90" s="21">
        <v>35</v>
      </c>
      <c r="M90" s="64">
        <f t="shared" si="9"/>
        <v>0</v>
      </c>
      <c r="N90" s="17" t="s">
        <v>16</v>
      </c>
      <c r="O90" s="18"/>
      <c r="P90" s="23">
        <f t="shared" si="10"/>
        <v>0</v>
      </c>
      <c r="Q90" s="90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3">
        <f>+'31.'!J91</f>
        <v>0</v>
      </c>
      <c r="F91" s="70">
        <v>0</v>
      </c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1"/>
      <c r="L91" s="21"/>
      <c r="M91" s="64"/>
      <c r="N91" s="17" t="s">
        <v>16</v>
      </c>
      <c r="O91" s="18"/>
      <c r="P91" s="23"/>
      <c r="Q91" s="90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3">
        <f>+'31.'!J92</f>
        <v>0</v>
      </c>
      <c r="F92" s="70">
        <v>0</v>
      </c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1"/>
      <c r="L92" s="21">
        <v>120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3">
        <f>+'31.'!J93</f>
        <v>0</v>
      </c>
      <c r="F93" s="70">
        <v>0</v>
      </c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1"/>
      <c r="L93" s="20">
        <v>45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3">
        <f>+'31.'!J94</f>
        <v>0</v>
      </c>
      <c r="F94" s="70">
        <v>0</v>
      </c>
      <c r="G94" s="46">
        <f t="shared" si="7"/>
        <v>0</v>
      </c>
      <c r="H94" s="78">
        <v>0</v>
      </c>
      <c r="I94" s="76">
        <v>0</v>
      </c>
      <c r="J94" s="46">
        <f t="shared" si="8"/>
        <v>0</v>
      </c>
      <c r="K94" s="71"/>
      <c r="L94" s="20">
        <v>35</v>
      </c>
      <c r="M94" s="64">
        <f t="shared" si="9"/>
        <v>0</v>
      </c>
      <c r="N94" s="17" t="s">
        <v>16</v>
      </c>
      <c r="O94" s="18"/>
      <c r="P94" s="23">
        <f t="shared" si="10"/>
        <v>0</v>
      </c>
      <c r="Q94" s="90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3">
        <f>+'31.'!J95</f>
        <v>0</v>
      </c>
      <c r="F95" s="70">
        <v>0</v>
      </c>
      <c r="G95" s="46">
        <f t="shared" si="7"/>
        <v>0</v>
      </c>
      <c r="H95" s="78">
        <v>0</v>
      </c>
      <c r="I95" s="76">
        <v>0</v>
      </c>
      <c r="J95" s="46">
        <f t="shared" si="8"/>
        <v>0</v>
      </c>
      <c r="K95" s="71"/>
      <c r="L95" s="20">
        <v>35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90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3">
        <f>+'31.'!J96</f>
        <v>0</v>
      </c>
      <c r="F96" s="70">
        <v>41</v>
      </c>
      <c r="G96" s="46">
        <f t="shared" si="7"/>
        <v>41</v>
      </c>
      <c r="H96" s="78">
        <v>0</v>
      </c>
      <c r="I96" s="76">
        <v>0</v>
      </c>
      <c r="J96" s="46">
        <f t="shared" si="8"/>
        <v>41</v>
      </c>
      <c r="K96" s="71"/>
      <c r="L96" s="20">
        <v>35</v>
      </c>
      <c r="M96" s="64">
        <f>+L96*K96</f>
        <v>0</v>
      </c>
      <c r="N96" s="17" t="s">
        <v>16</v>
      </c>
      <c r="O96" s="18"/>
      <c r="P96" s="23">
        <f>SUM(M96-O96)</f>
        <v>0</v>
      </c>
      <c r="Q96" s="90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1387</v>
      </c>
      <c r="D97" s="10" t="s">
        <v>434</v>
      </c>
      <c r="E97" s="63">
        <f>+'31.'!J97</f>
        <v>0</v>
      </c>
      <c r="F97" s="70">
        <v>0</v>
      </c>
      <c r="G97" s="46">
        <f t="shared" si="7"/>
        <v>0</v>
      </c>
      <c r="H97" s="78">
        <v>0</v>
      </c>
      <c r="I97" s="76">
        <v>0</v>
      </c>
      <c r="J97" s="46">
        <f t="shared" si="8"/>
        <v>0</v>
      </c>
      <c r="K97" s="71"/>
      <c r="L97" s="20">
        <v>35</v>
      </c>
      <c r="M97" s="64">
        <f>+L97*K97</f>
        <v>0</v>
      </c>
      <c r="N97" s="17" t="s">
        <v>16</v>
      </c>
      <c r="O97" s="18"/>
      <c r="P97" s="23">
        <f>SUM(M97-O97)</f>
        <v>0</v>
      </c>
      <c r="Q97" s="90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1388</v>
      </c>
      <c r="D98" s="10" t="s">
        <v>434</v>
      </c>
      <c r="E98" s="63">
        <f>+'31.'!J98</f>
        <v>0</v>
      </c>
      <c r="F98" s="70">
        <v>0</v>
      </c>
      <c r="G98" s="46">
        <f t="shared" si="7"/>
        <v>0</v>
      </c>
      <c r="H98" s="78">
        <v>0</v>
      </c>
      <c r="I98" s="76">
        <v>0</v>
      </c>
      <c r="J98" s="46">
        <f t="shared" si="8"/>
        <v>0</v>
      </c>
      <c r="K98" s="71"/>
      <c r="L98" s="20">
        <v>35</v>
      </c>
      <c r="M98" s="64">
        <f>+L98*K98</f>
        <v>0</v>
      </c>
      <c r="N98" s="17" t="s">
        <v>16</v>
      </c>
      <c r="O98" s="18"/>
      <c r="P98" s="23">
        <f>SUM(M98-O98)</f>
        <v>0</v>
      </c>
      <c r="Q98" s="90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3">
        <f>+'31.'!J99</f>
        <v>0</v>
      </c>
      <c r="F99" s="70">
        <v>0</v>
      </c>
      <c r="G99" s="46">
        <f t="shared" si="7"/>
        <v>0</v>
      </c>
      <c r="H99" s="78">
        <v>0</v>
      </c>
      <c r="I99" s="76">
        <v>0</v>
      </c>
      <c r="J99" s="46">
        <f t="shared" si="8"/>
        <v>0</v>
      </c>
      <c r="K99" s="71"/>
      <c r="L99" s="20">
        <v>35</v>
      </c>
      <c r="M99" s="64">
        <f t="shared" si="9"/>
        <v>0</v>
      </c>
      <c r="N99" s="17" t="s">
        <v>16</v>
      </c>
      <c r="O99" s="18"/>
      <c r="P99" s="23">
        <f t="shared" si="10"/>
        <v>0</v>
      </c>
      <c r="Q99" s="90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3">
        <f>+'31.'!J100</f>
        <v>0</v>
      </c>
      <c r="F100" s="70">
        <v>0</v>
      </c>
      <c r="G100" s="46">
        <f t="shared" si="7"/>
        <v>0</v>
      </c>
      <c r="H100" s="78">
        <v>0</v>
      </c>
      <c r="I100" s="76">
        <v>0</v>
      </c>
      <c r="J100" s="46">
        <f t="shared" si="8"/>
        <v>0</v>
      </c>
      <c r="K100" s="71"/>
      <c r="L100" s="20">
        <v>35</v>
      </c>
      <c r="M100" s="64">
        <f t="shared" si="9"/>
        <v>0</v>
      </c>
      <c r="N100" s="17" t="s">
        <v>16</v>
      </c>
      <c r="O100" s="18"/>
      <c r="P100" s="23">
        <f t="shared" si="10"/>
        <v>0</v>
      </c>
      <c r="Q100" s="90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3">
        <f>+'31.'!J101</f>
        <v>0</v>
      </c>
      <c r="F101" s="70">
        <v>0</v>
      </c>
      <c r="G101" s="46">
        <f t="shared" si="7"/>
        <v>0</v>
      </c>
      <c r="H101" s="78">
        <v>0</v>
      </c>
      <c r="I101" s="76">
        <v>0</v>
      </c>
      <c r="J101" s="46">
        <f t="shared" si="8"/>
        <v>0</v>
      </c>
      <c r="K101" s="71"/>
      <c r="L101" s="20">
        <v>100</v>
      </c>
      <c r="M101" s="64">
        <f>+L101*K101</f>
        <v>0</v>
      </c>
      <c r="N101" s="17" t="s">
        <v>16</v>
      </c>
      <c r="O101" s="18"/>
      <c r="P101" s="23">
        <f>SUM(M101-O101)</f>
        <v>0</v>
      </c>
      <c r="Q101" s="90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3">
        <f>+'31.'!J102</f>
        <v>0</v>
      </c>
      <c r="F102" s="70">
        <v>0</v>
      </c>
      <c r="G102" s="46">
        <f t="shared" si="7"/>
        <v>0</v>
      </c>
      <c r="H102" s="78">
        <v>0</v>
      </c>
      <c r="I102" s="76">
        <v>0</v>
      </c>
      <c r="J102" s="46">
        <f t="shared" si="8"/>
        <v>0</v>
      </c>
      <c r="K102" s="71"/>
      <c r="L102" s="20">
        <v>250</v>
      </c>
      <c r="M102" s="64">
        <f>+L102*K102</f>
        <v>0</v>
      </c>
      <c r="N102" s="17" t="s">
        <v>16</v>
      </c>
      <c r="O102" s="18"/>
      <c r="P102" s="23">
        <f>SUM(M102-O102)</f>
        <v>0</v>
      </c>
      <c r="Q102" s="90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3">
        <f>+'31.'!J103</f>
        <v>0</v>
      </c>
      <c r="F103" s="70">
        <v>0</v>
      </c>
      <c r="G103" s="46">
        <f t="shared" si="7"/>
        <v>0</v>
      </c>
      <c r="H103" s="78">
        <v>0</v>
      </c>
      <c r="I103" s="76">
        <v>0</v>
      </c>
      <c r="J103" s="46">
        <f t="shared" si="8"/>
        <v>0</v>
      </c>
      <c r="K103" s="71"/>
      <c r="L103" s="22">
        <v>120</v>
      </c>
      <c r="M103" s="64">
        <f t="shared" si="9"/>
        <v>0</v>
      </c>
      <c r="N103" s="17" t="s">
        <v>16</v>
      </c>
      <c r="O103" s="18"/>
      <c r="P103" s="23">
        <f t="shared" si="10"/>
        <v>0</v>
      </c>
      <c r="Q103" s="90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3">
        <f>+'31.'!J104</f>
        <v>0</v>
      </c>
      <c r="F104" s="70">
        <v>0</v>
      </c>
      <c r="G104" s="46">
        <f t="shared" si="7"/>
        <v>0</v>
      </c>
      <c r="H104" s="78">
        <v>0</v>
      </c>
      <c r="I104" s="76">
        <v>0</v>
      </c>
      <c r="J104" s="46">
        <f t="shared" si="8"/>
        <v>0</v>
      </c>
      <c r="K104" s="71"/>
      <c r="L104" s="20">
        <v>250</v>
      </c>
      <c r="M104" s="64">
        <f t="shared" si="9"/>
        <v>0</v>
      </c>
      <c r="N104" s="17" t="s">
        <v>16</v>
      </c>
      <c r="O104" s="18"/>
      <c r="P104" s="23">
        <f t="shared" si="10"/>
        <v>0</v>
      </c>
      <c r="Q104" s="90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3">
        <f>+'31.'!J105</f>
        <v>0</v>
      </c>
      <c r="F105" s="70">
        <v>0</v>
      </c>
      <c r="G105" s="46">
        <f t="shared" si="7"/>
        <v>0</v>
      </c>
      <c r="H105" s="78">
        <v>0</v>
      </c>
      <c r="I105" s="76">
        <v>0</v>
      </c>
      <c r="J105" s="46">
        <f t="shared" si="8"/>
        <v>0</v>
      </c>
      <c r="K105" s="71"/>
      <c r="L105" s="20">
        <v>80</v>
      </c>
      <c r="M105" s="64">
        <f>+L105*K105</f>
        <v>0</v>
      </c>
      <c r="N105" s="17" t="s">
        <v>16</v>
      </c>
      <c r="O105" s="18"/>
      <c r="P105" s="23">
        <f>SUM(M105-O105)</f>
        <v>0</v>
      </c>
      <c r="Q105" s="90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3">
        <f>+'31.'!J106</f>
        <v>9</v>
      </c>
      <c r="F106" s="70">
        <v>0</v>
      </c>
      <c r="G106" s="46">
        <f t="shared" si="7"/>
        <v>9</v>
      </c>
      <c r="H106" s="78">
        <v>0</v>
      </c>
      <c r="I106" s="76">
        <v>0</v>
      </c>
      <c r="J106" s="46">
        <f t="shared" si="8"/>
        <v>9</v>
      </c>
      <c r="K106" s="71"/>
      <c r="L106" s="20">
        <v>55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90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3">
        <f>+'31.'!J107</f>
        <v>0</v>
      </c>
      <c r="F107" s="70">
        <v>0</v>
      </c>
      <c r="G107" s="46">
        <f t="shared" si="7"/>
        <v>0</v>
      </c>
      <c r="H107" s="78">
        <v>0</v>
      </c>
      <c r="I107" s="76">
        <v>0</v>
      </c>
      <c r="J107" s="46">
        <f t="shared" si="8"/>
        <v>0</v>
      </c>
      <c r="K107" s="71"/>
      <c r="L107" s="20">
        <v>200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90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3">
        <f>+'31.'!J108</f>
        <v>3</v>
      </c>
      <c r="F108" s="70">
        <v>0</v>
      </c>
      <c r="G108" s="46">
        <f t="shared" si="7"/>
        <v>3</v>
      </c>
      <c r="H108" s="78">
        <v>0</v>
      </c>
      <c r="I108" s="76">
        <v>0</v>
      </c>
      <c r="J108" s="46">
        <f t="shared" si="8"/>
        <v>3</v>
      </c>
      <c r="K108" s="71"/>
      <c r="L108" s="22">
        <v>60</v>
      </c>
      <c r="M108" s="64">
        <f t="shared" si="9"/>
        <v>0</v>
      </c>
      <c r="N108" s="17" t="s">
        <v>16</v>
      </c>
      <c r="O108" s="18"/>
      <c r="P108" s="23">
        <f t="shared" si="10"/>
        <v>0</v>
      </c>
      <c r="Q108" s="90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3">
        <f>+'31.'!J109</f>
        <v>3</v>
      </c>
      <c r="F109" s="70">
        <v>0</v>
      </c>
      <c r="G109" s="46">
        <f t="shared" si="7"/>
        <v>3</v>
      </c>
      <c r="H109" s="78">
        <v>0</v>
      </c>
      <c r="I109" s="76">
        <v>0</v>
      </c>
      <c r="J109" s="46">
        <f t="shared" si="8"/>
        <v>3</v>
      </c>
      <c r="K109" s="71"/>
      <c r="L109" s="22">
        <v>100</v>
      </c>
      <c r="M109" s="64">
        <f t="shared" si="9"/>
        <v>0</v>
      </c>
      <c r="N109" s="17" t="s">
        <v>16</v>
      </c>
      <c r="O109" s="18"/>
      <c r="P109" s="23">
        <f t="shared" si="10"/>
        <v>0</v>
      </c>
      <c r="Q109" s="90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3">
        <f>+'31.'!J110</f>
        <v>0</v>
      </c>
      <c r="F110" s="70">
        <v>0</v>
      </c>
      <c r="G110" s="46">
        <f t="shared" si="7"/>
        <v>0</v>
      </c>
      <c r="H110" s="78">
        <v>0</v>
      </c>
      <c r="I110" s="76">
        <v>0</v>
      </c>
      <c r="J110" s="46">
        <f t="shared" si="8"/>
        <v>0</v>
      </c>
      <c r="K110" s="71"/>
      <c r="L110" s="22">
        <v>55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90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3">
        <f>+'31.'!J111</f>
        <v>0</v>
      </c>
      <c r="F111" s="70">
        <v>0</v>
      </c>
      <c r="G111" s="46">
        <f t="shared" si="7"/>
        <v>0</v>
      </c>
      <c r="H111" s="78">
        <v>0</v>
      </c>
      <c r="I111" s="76">
        <v>0</v>
      </c>
      <c r="J111" s="46">
        <f t="shared" si="8"/>
        <v>0</v>
      </c>
      <c r="K111" s="71"/>
      <c r="L111" s="15">
        <v>40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90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3">
        <f>+'31.'!J112</f>
        <v>0</v>
      </c>
      <c r="F112" s="70">
        <v>0</v>
      </c>
      <c r="G112" s="46">
        <f t="shared" si="7"/>
        <v>0</v>
      </c>
      <c r="H112" s="78">
        <v>0</v>
      </c>
      <c r="I112" s="76">
        <v>0</v>
      </c>
      <c r="J112" s="46">
        <f t="shared" si="8"/>
        <v>0</v>
      </c>
      <c r="K112" s="71"/>
      <c r="L112" s="22">
        <v>40</v>
      </c>
      <c r="M112" s="64">
        <f t="shared" si="9"/>
        <v>0</v>
      </c>
      <c r="N112" s="17" t="s">
        <v>16</v>
      </c>
      <c r="O112" s="18"/>
      <c r="P112" s="23">
        <f t="shared" si="10"/>
        <v>0</v>
      </c>
      <c r="Q112" s="90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3">
        <f>+'31.'!J113</f>
        <v>0</v>
      </c>
      <c r="F113" s="70">
        <v>0</v>
      </c>
      <c r="G113" s="46">
        <f t="shared" si="7"/>
        <v>0</v>
      </c>
      <c r="H113" s="78">
        <v>0</v>
      </c>
      <c r="I113" s="76">
        <v>0</v>
      </c>
      <c r="J113" s="46">
        <f t="shared" si="8"/>
        <v>0</v>
      </c>
      <c r="K113" s="71"/>
      <c r="L113" s="22">
        <v>40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90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3">
        <f>+'31.'!J114</f>
        <v>0</v>
      </c>
      <c r="F114" s="70">
        <v>0</v>
      </c>
      <c r="G114" s="46">
        <f t="shared" si="7"/>
        <v>0</v>
      </c>
      <c r="H114" s="78">
        <v>0</v>
      </c>
      <c r="I114" s="76">
        <v>0</v>
      </c>
      <c r="J114" s="46">
        <f t="shared" si="8"/>
        <v>0</v>
      </c>
      <c r="K114" s="71"/>
      <c r="L114" s="20">
        <v>40</v>
      </c>
      <c r="M114" s="64">
        <f>+L114*K114</f>
        <v>0</v>
      </c>
      <c r="N114" s="17" t="s">
        <v>16</v>
      </c>
      <c r="O114" s="18"/>
      <c r="P114" s="23">
        <f>SUM(M114-O114)</f>
        <v>0</v>
      </c>
      <c r="Q114" s="90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3">
        <f>+'31.'!J115</f>
        <v>0</v>
      </c>
      <c r="F115" s="70">
        <v>0</v>
      </c>
      <c r="G115" s="46">
        <f t="shared" si="7"/>
        <v>0</v>
      </c>
      <c r="H115" s="78">
        <v>0</v>
      </c>
      <c r="I115" s="76">
        <v>0</v>
      </c>
      <c r="J115" s="46">
        <f t="shared" si="8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92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3">
        <f>+'31.'!J116</f>
        <v>0</v>
      </c>
      <c r="F116" s="70">
        <v>0</v>
      </c>
      <c r="G116" s="46">
        <f t="shared" si="7"/>
        <v>0</v>
      </c>
      <c r="H116" s="78">
        <v>0</v>
      </c>
      <c r="I116" s="76">
        <v>0</v>
      </c>
      <c r="J116" s="46">
        <f t="shared" si="8"/>
        <v>0</v>
      </c>
      <c r="K116" s="71"/>
      <c r="L116" s="22">
        <v>60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92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3">
        <f>+'31.'!J117</f>
        <v>0</v>
      </c>
      <c r="F117" s="70">
        <v>0</v>
      </c>
      <c r="G117" s="46">
        <f t="shared" si="7"/>
        <v>0</v>
      </c>
      <c r="H117" s="78">
        <v>0</v>
      </c>
      <c r="I117" s="76">
        <v>0</v>
      </c>
      <c r="J117" s="46">
        <f t="shared" si="8"/>
        <v>0</v>
      </c>
      <c r="K117" s="71"/>
      <c r="L117" s="20">
        <v>40</v>
      </c>
      <c r="M117" s="64">
        <f>+L117*K117</f>
        <v>0</v>
      </c>
      <c r="N117" s="17" t="s">
        <v>16</v>
      </c>
      <c r="O117" s="18"/>
      <c r="P117" s="23">
        <f>SUM(M117-O117)</f>
        <v>0</v>
      </c>
      <c r="Q117" s="90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3">
        <f>+'31.'!J118</f>
        <v>0</v>
      </c>
      <c r="F118" s="70">
        <v>0</v>
      </c>
      <c r="G118" s="46">
        <f t="shared" si="7"/>
        <v>0</v>
      </c>
      <c r="H118" s="78">
        <v>0</v>
      </c>
      <c r="I118" s="76">
        <v>0</v>
      </c>
      <c r="J118" s="46">
        <f t="shared" si="8"/>
        <v>0</v>
      </c>
      <c r="K118" s="71"/>
      <c r="L118" s="22">
        <v>50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90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3">
        <f>+'31.'!J119</f>
        <v>0</v>
      </c>
      <c r="F119" s="70">
        <v>0</v>
      </c>
      <c r="G119" s="46">
        <f t="shared" si="7"/>
        <v>0</v>
      </c>
      <c r="H119" s="78">
        <v>0</v>
      </c>
      <c r="I119" s="76">
        <v>0</v>
      </c>
      <c r="J119" s="46">
        <f t="shared" si="8"/>
        <v>0</v>
      </c>
      <c r="K119" s="71"/>
      <c r="L119" s="22">
        <v>100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90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3">
        <f>+'31.'!J120</f>
        <v>0</v>
      </c>
      <c r="F120" s="70">
        <v>0</v>
      </c>
      <c r="G120" s="46">
        <f t="shared" si="7"/>
        <v>0</v>
      </c>
      <c r="H120" s="78">
        <v>0</v>
      </c>
      <c r="I120" s="76">
        <v>0</v>
      </c>
      <c r="J120" s="46">
        <f t="shared" si="8"/>
        <v>0</v>
      </c>
      <c r="K120" s="71"/>
      <c r="L120" s="22">
        <v>39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90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3">
        <f>+'31.'!J121</f>
        <v>0</v>
      </c>
      <c r="F121" s="70">
        <v>0</v>
      </c>
      <c r="G121" s="46">
        <f t="shared" si="7"/>
        <v>0</v>
      </c>
      <c r="H121" s="78">
        <v>0</v>
      </c>
      <c r="I121" s="76">
        <v>0</v>
      </c>
      <c r="J121" s="46">
        <f t="shared" si="8"/>
        <v>0</v>
      </c>
      <c r="K121" s="71"/>
      <c r="L121" s="22">
        <v>35</v>
      </c>
      <c r="M121" s="64">
        <f t="shared" si="9"/>
        <v>0</v>
      </c>
      <c r="N121" s="17" t="s">
        <v>16</v>
      </c>
      <c r="O121" s="18"/>
      <c r="P121" s="23">
        <f t="shared" si="10"/>
        <v>0</v>
      </c>
      <c r="Q121" s="90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3">
        <f>+'31.'!J122</f>
        <v>0</v>
      </c>
      <c r="F122" s="70">
        <v>0</v>
      </c>
      <c r="G122" s="46">
        <f t="shared" si="7"/>
        <v>0</v>
      </c>
      <c r="H122" s="78">
        <v>0</v>
      </c>
      <c r="I122" s="76">
        <v>0</v>
      </c>
      <c r="J122" s="46">
        <f t="shared" si="8"/>
        <v>0</v>
      </c>
      <c r="K122" s="71"/>
      <c r="L122" s="22">
        <v>25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90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3">
        <f>+'31.'!J123</f>
        <v>0</v>
      </c>
      <c r="F123" s="70">
        <v>0</v>
      </c>
      <c r="G123" s="46">
        <f t="shared" si="7"/>
        <v>0</v>
      </c>
      <c r="H123" s="78">
        <v>0</v>
      </c>
      <c r="I123" s="76">
        <v>0</v>
      </c>
      <c r="J123" s="46">
        <f t="shared" si="8"/>
        <v>0</v>
      </c>
      <c r="K123" s="71"/>
      <c r="L123" s="22">
        <v>40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90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3">
        <f>+'31.'!J124</f>
        <v>1</v>
      </c>
      <c r="F124" s="70">
        <v>0</v>
      </c>
      <c r="G124" s="46">
        <f t="shared" si="7"/>
        <v>1</v>
      </c>
      <c r="H124" s="78">
        <v>0</v>
      </c>
      <c r="I124" s="76">
        <v>0</v>
      </c>
      <c r="J124" s="46">
        <f t="shared" si="8"/>
        <v>1</v>
      </c>
      <c r="K124" s="71"/>
      <c r="L124" s="22">
        <v>50</v>
      </c>
      <c r="M124" s="64">
        <f t="shared" si="9"/>
        <v>0</v>
      </c>
      <c r="N124" s="17" t="s">
        <v>16</v>
      </c>
      <c r="O124" s="18"/>
      <c r="P124" s="23">
        <f t="shared" si="10"/>
        <v>0</v>
      </c>
      <c r="Q124" s="90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3">
        <f>+'31.'!J125</f>
        <v>0</v>
      </c>
      <c r="F125" s="70">
        <v>0</v>
      </c>
      <c r="G125" s="46">
        <f t="shared" si="7"/>
        <v>0</v>
      </c>
      <c r="H125" s="78">
        <v>0</v>
      </c>
      <c r="I125" s="76">
        <v>0</v>
      </c>
      <c r="J125" s="46">
        <f t="shared" si="8"/>
        <v>0</v>
      </c>
      <c r="K125" s="71"/>
      <c r="L125" s="22">
        <v>60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90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3">
        <f>+'31.'!J126</f>
        <v>0</v>
      </c>
      <c r="F126" s="70">
        <v>5</v>
      </c>
      <c r="G126" s="46">
        <f t="shared" si="7"/>
        <v>5</v>
      </c>
      <c r="H126" s="78">
        <v>0</v>
      </c>
      <c r="I126" s="76">
        <v>0</v>
      </c>
      <c r="J126" s="46">
        <f t="shared" si="8"/>
        <v>5</v>
      </c>
      <c r="K126" s="71"/>
      <c r="L126" s="20">
        <v>50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90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1389</v>
      </c>
      <c r="D127" s="10" t="s">
        <v>434</v>
      </c>
      <c r="E127" s="63">
        <f>+'31.'!J127</f>
        <v>0</v>
      </c>
      <c r="F127" s="70">
        <v>0</v>
      </c>
      <c r="G127" s="46">
        <f t="shared" si="7"/>
        <v>0</v>
      </c>
      <c r="H127" s="78">
        <v>0</v>
      </c>
      <c r="I127" s="76">
        <v>0</v>
      </c>
      <c r="J127" s="46">
        <f t="shared" si="8"/>
        <v>0</v>
      </c>
      <c r="K127" s="71"/>
      <c r="L127" s="20">
        <v>35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1390</v>
      </c>
      <c r="D128" s="10" t="s">
        <v>434</v>
      </c>
      <c r="E128" s="63">
        <f>+'31.'!J128</f>
        <v>0</v>
      </c>
      <c r="F128" s="70">
        <v>0</v>
      </c>
      <c r="G128" s="46">
        <f t="shared" si="7"/>
        <v>0</v>
      </c>
      <c r="H128" s="78">
        <v>0</v>
      </c>
      <c r="I128" s="76">
        <v>0</v>
      </c>
      <c r="J128" s="46">
        <f t="shared" si="8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1391</v>
      </c>
      <c r="D129" s="10" t="s">
        <v>434</v>
      </c>
      <c r="E129" s="63">
        <f>+'31.'!J129</f>
        <v>0</v>
      </c>
      <c r="F129" s="70">
        <v>0</v>
      </c>
      <c r="G129" s="46">
        <f t="shared" si="7"/>
        <v>0</v>
      </c>
      <c r="H129" s="78">
        <v>0</v>
      </c>
      <c r="I129" s="76">
        <v>0</v>
      </c>
      <c r="J129" s="46">
        <f t="shared" si="8"/>
        <v>0</v>
      </c>
      <c r="K129" s="71"/>
      <c r="L129" s="20">
        <v>35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1392</v>
      </c>
      <c r="D130" s="10" t="s">
        <v>434</v>
      </c>
      <c r="E130" s="63">
        <f>+'31.'!J130</f>
        <v>0</v>
      </c>
      <c r="F130" s="70">
        <v>0</v>
      </c>
      <c r="G130" s="46">
        <f t="shared" si="7"/>
        <v>0</v>
      </c>
      <c r="H130" s="78">
        <v>0</v>
      </c>
      <c r="I130" s="76">
        <v>0</v>
      </c>
      <c r="J130" s="46">
        <f t="shared" si="8"/>
        <v>0</v>
      </c>
      <c r="K130" s="71"/>
      <c r="L130" s="20">
        <v>35</v>
      </c>
      <c r="M130" s="64">
        <f>+L130*K130</f>
        <v>0</v>
      </c>
      <c r="N130" s="17" t="s">
        <v>16</v>
      </c>
      <c r="O130" s="18"/>
      <c r="P130" s="23">
        <f>SUM(M130-O130)</f>
        <v>0</v>
      </c>
      <c r="Q130" s="90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3">
        <f>+'31.'!J131</f>
        <v>0</v>
      </c>
      <c r="F131" s="70">
        <v>0</v>
      </c>
      <c r="G131" s="46">
        <f t="shared" si="7"/>
        <v>0</v>
      </c>
      <c r="H131" s="78">
        <v>0</v>
      </c>
      <c r="I131" s="76">
        <v>0</v>
      </c>
      <c r="J131" s="46">
        <f t="shared" si="8"/>
        <v>0</v>
      </c>
      <c r="K131" s="71"/>
      <c r="L131" s="20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90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3">
        <f>+'31.'!J132</f>
        <v>0</v>
      </c>
      <c r="F132" s="70">
        <v>0</v>
      </c>
      <c r="G132" s="46">
        <f t="shared" si="7"/>
        <v>0</v>
      </c>
      <c r="H132" s="78">
        <v>0</v>
      </c>
      <c r="I132" s="76">
        <v>0</v>
      </c>
      <c r="J132" s="46">
        <f t="shared" si="8"/>
        <v>0</v>
      </c>
      <c r="K132" s="71"/>
      <c r="L132" s="20">
        <v>35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3">
        <f>+'31.'!J133</f>
        <v>0</v>
      </c>
      <c r="F133" s="70">
        <v>0</v>
      </c>
      <c r="G133" s="46">
        <f t="shared" si="7"/>
        <v>0</v>
      </c>
      <c r="H133" s="78">
        <v>0</v>
      </c>
      <c r="I133" s="76">
        <v>0</v>
      </c>
      <c r="J133" s="46">
        <f t="shared" si="8"/>
        <v>0</v>
      </c>
      <c r="K133" s="71"/>
      <c r="L133" s="20">
        <v>10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90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3">
        <f>+'31.'!J134</f>
        <v>0</v>
      </c>
      <c r="F134" s="70">
        <v>0</v>
      </c>
      <c r="G134" s="46">
        <f t="shared" ref="G134:G197" si="15">E134+F134</f>
        <v>0</v>
      </c>
      <c r="H134" s="78">
        <v>0</v>
      </c>
      <c r="I134" s="76">
        <v>0</v>
      </c>
      <c r="J134" s="46">
        <f t="shared" ref="J134:J197" si="16">+G134-H134-K134-I134</f>
        <v>0</v>
      </c>
      <c r="K134" s="71"/>
      <c r="L134" s="20">
        <v>10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3">
        <f>+'31.'!J135</f>
        <v>0</v>
      </c>
      <c r="F135" s="70">
        <v>0</v>
      </c>
      <c r="G135" s="46">
        <f t="shared" si="15"/>
        <v>0</v>
      </c>
      <c r="H135" s="78">
        <v>0</v>
      </c>
      <c r="I135" s="76">
        <v>0</v>
      </c>
      <c r="J135" s="46">
        <f t="shared" si="16"/>
        <v>0</v>
      </c>
      <c r="K135" s="71"/>
      <c r="L135" s="20">
        <v>10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90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3">
        <f>+'31.'!J136</f>
        <v>0</v>
      </c>
      <c r="F136" s="70">
        <v>0</v>
      </c>
      <c r="G136" s="46">
        <f t="shared" si="15"/>
        <v>0</v>
      </c>
      <c r="H136" s="78">
        <v>0</v>
      </c>
      <c r="I136" s="76">
        <v>0</v>
      </c>
      <c r="J136" s="46">
        <f t="shared" si="16"/>
        <v>0</v>
      </c>
      <c r="K136" s="71"/>
      <c r="L136" s="22">
        <v>10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90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3">
        <f>+'31.'!J137</f>
        <v>0</v>
      </c>
      <c r="F137" s="70">
        <v>0</v>
      </c>
      <c r="G137" s="46">
        <f t="shared" si="15"/>
        <v>0</v>
      </c>
      <c r="H137" s="78">
        <v>0</v>
      </c>
      <c r="I137" s="76">
        <v>0</v>
      </c>
      <c r="J137" s="46">
        <f t="shared" si="16"/>
        <v>0</v>
      </c>
      <c r="K137" s="71"/>
      <c r="L137" s="22">
        <v>10</v>
      </c>
      <c r="M137" s="64">
        <f t="shared" si="9"/>
        <v>0</v>
      </c>
      <c r="N137" s="17" t="s">
        <v>16</v>
      </c>
      <c r="O137" s="18"/>
      <c r="P137" s="23">
        <f t="shared" si="10"/>
        <v>0</v>
      </c>
      <c r="Q137" s="90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3">
        <f>+'31.'!J138</f>
        <v>0</v>
      </c>
      <c r="F138" s="70">
        <v>0</v>
      </c>
      <c r="G138" s="46">
        <f t="shared" si="15"/>
        <v>0</v>
      </c>
      <c r="H138" s="78">
        <v>0</v>
      </c>
      <c r="I138" s="76">
        <v>0</v>
      </c>
      <c r="J138" s="46">
        <f t="shared" si="16"/>
        <v>0</v>
      </c>
      <c r="K138" s="71"/>
      <c r="L138" s="20">
        <v>10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90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3">
        <f>+'31.'!J139</f>
        <v>0</v>
      </c>
      <c r="F139" s="70">
        <v>0</v>
      </c>
      <c r="G139" s="46">
        <f t="shared" si="15"/>
        <v>0</v>
      </c>
      <c r="H139" s="78">
        <v>0</v>
      </c>
      <c r="I139" s="76">
        <v>0</v>
      </c>
      <c r="J139" s="46">
        <f t="shared" si="16"/>
        <v>0</v>
      </c>
      <c r="K139" s="71"/>
      <c r="L139" s="20">
        <v>10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90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3">
        <f>+'31.'!J140</f>
        <v>0</v>
      </c>
      <c r="F140" s="70">
        <v>0</v>
      </c>
      <c r="G140" s="46">
        <f t="shared" si="15"/>
        <v>0</v>
      </c>
      <c r="H140" s="78">
        <v>0</v>
      </c>
      <c r="I140" s="76">
        <v>0</v>
      </c>
      <c r="J140" s="46">
        <f t="shared" si="1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3">
        <f>+'31.'!J141</f>
        <v>0</v>
      </c>
      <c r="F141" s="70">
        <v>0</v>
      </c>
      <c r="G141" s="46">
        <f t="shared" si="15"/>
        <v>0</v>
      </c>
      <c r="H141" s="78">
        <v>0</v>
      </c>
      <c r="I141" s="76">
        <v>0</v>
      </c>
      <c r="J141" s="46">
        <f t="shared" si="16"/>
        <v>0</v>
      </c>
      <c r="K141" s="71"/>
      <c r="L141" s="20">
        <v>40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3">
        <f>+'31.'!J142</f>
        <v>0</v>
      </c>
      <c r="F142" s="70">
        <v>0</v>
      </c>
      <c r="G142" s="46">
        <f t="shared" si="15"/>
        <v>0</v>
      </c>
      <c r="H142" s="78">
        <v>0</v>
      </c>
      <c r="I142" s="76">
        <v>0</v>
      </c>
      <c r="J142" s="46">
        <f t="shared" si="16"/>
        <v>0</v>
      </c>
      <c r="K142" s="71"/>
      <c r="L142" s="20">
        <v>50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90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3">
        <f>+'31.'!J143</f>
        <v>0</v>
      </c>
      <c r="F143" s="70">
        <v>0</v>
      </c>
      <c r="G143" s="46">
        <f t="shared" si="15"/>
        <v>0</v>
      </c>
      <c r="H143" s="78">
        <v>0</v>
      </c>
      <c r="I143" s="76">
        <v>0</v>
      </c>
      <c r="J143" s="46">
        <f t="shared" si="16"/>
        <v>0</v>
      </c>
      <c r="K143" s="71"/>
      <c r="L143" s="20">
        <v>55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90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3">
        <f>+'31.'!J144</f>
        <v>0</v>
      </c>
      <c r="F144" s="70">
        <v>0</v>
      </c>
      <c r="G144" s="46">
        <f t="shared" si="15"/>
        <v>0</v>
      </c>
      <c r="H144" s="78">
        <v>0</v>
      </c>
      <c r="I144" s="76">
        <v>0</v>
      </c>
      <c r="J144" s="46">
        <f t="shared" si="16"/>
        <v>0</v>
      </c>
      <c r="K144" s="71"/>
      <c r="L144" s="20">
        <v>55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90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3">
        <f>+'31.'!J145</f>
        <v>0</v>
      </c>
      <c r="F145" s="70">
        <v>0</v>
      </c>
      <c r="G145" s="46">
        <f t="shared" si="15"/>
        <v>0</v>
      </c>
      <c r="H145" s="78">
        <v>0</v>
      </c>
      <c r="I145" s="76">
        <v>0</v>
      </c>
      <c r="J145" s="46">
        <f t="shared" si="16"/>
        <v>0</v>
      </c>
      <c r="K145" s="71"/>
      <c r="L145" s="20">
        <v>55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90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3">
        <f>+'31.'!J146</f>
        <v>0</v>
      </c>
      <c r="F146" s="70">
        <v>0</v>
      </c>
      <c r="G146" s="46">
        <f t="shared" si="15"/>
        <v>0</v>
      </c>
      <c r="H146" s="78">
        <v>0</v>
      </c>
      <c r="I146" s="76">
        <v>0</v>
      </c>
      <c r="J146" s="46">
        <f t="shared" si="16"/>
        <v>0</v>
      </c>
      <c r="K146" s="71"/>
      <c r="L146" s="20">
        <v>30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90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3">
        <f>+'31.'!J147</f>
        <v>0</v>
      </c>
      <c r="F147" s="70">
        <v>0</v>
      </c>
      <c r="G147" s="46">
        <f t="shared" si="15"/>
        <v>0</v>
      </c>
      <c r="H147" s="78">
        <v>0</v>
      </c>
      <c r="I147" s="76">
        <v>0</v>
      </c>
      <c r="J147" s="46">
        <f t="shared" si="16"/>
        <v>0</v>
      </c>
      <c r="K147" s="71"/>
      <c r="L147" s="20">
        <v>25</v>
      </c>
      <c r="M147" s="64">
        <f>+L147*K147</f>
        <v>0</v>
      </c>
      <c r="N147" s="17" t="s">
        <v>16</v>
      </c>
      <c r="O147" s="18"/>
      <c r="P147" s="23">
        <f>SUM(M147-O147)</f>
        <v>0</v>
      </c>
      <c r="Q147" s="90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3">
        <f>+'31.'!J148</f>
        <v>0</v>
      </c>
      <c r="F148" s="70">
        <v>0</v>
      </c>
      <c r="G148" s="46">
        <f t="shared" si="15"/>
        <v>0</v>
      </c>
      <c r="H148" s="78">
        <v>0</v>
      </c>
      <c r="I148" s="76">
        <v>0</v>
      </c>
      <c r="J148" s="46">
        <f t="shared" si="16"/>
        <v>0</v>
      </c>
      <c r="K148" s="71"/>
      <c r="L148" s="20">
        <v>25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90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3">
        <f>+'31.'!J149</f>
        <v>0</v>
      </c>
      <c r="F149" s="70">
        <v>0</v>
      </c>
      <c r="G149" s="46">
        <f t="shared" si="15"/>
        <v>0</v>
      </c>
      <c r="H149" s="78">
        <v>0</v>
      </c>
      <c r="I149" s="76">
        <v>0</v>
      </c>
      <c r="J149" s="46">
        <f t="shared" si="16"/>
        <v>0</v>
      </c>
      <c r="K149" s="71"/>
      <c r="L149" s="20">
        <v>55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90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3">
        <f>+'31.'!J150</f>
        <v>0</v>
      </c>
      <c r="F150" s="70">
        <v>0</v>
      </c>
      <c r="G150" s="46">
        <f t="shared" si="15"/>
        <v>0</v>
      </c>
      <c r="H150" s="78">
        <v>0</v>
      </c>
      <c r="I150" s="76">
        <v>0</v>
      </c>
      <c r="J150" s="46">
        <f t="shared" si="16"/>
        <v>0</v>
      </c>
      <c r="K150" s="71"/>
      <c r="L150" s="20">
        <v>50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90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3">
        <f>+'31.'!J151</f>
        <v>0</v>
      </c>
      <c r="F151" s="70">
        <v>0</v>
      </c>
      <c r="G151" s="46">
        <f t="shared" si="15"/>
        <v>0</v>
      </c>
      <c r="H151" s="78">
        <v>0</v>
      </c>
      <c r="I151" s="76">
        <v>0</v>
      </c>
      <c r="J151" s="46">
        <f t="shared" si="16"/>
        <v>0</v>
      </c>
      <c r="K151" s="71"/>
      <c r="L151" s="20">
        <v>65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3">
        <f>+'31.'!J152</f>
        <v>0</v>
      </c>
      <c r="F152" s="70">
        <v>0</v>
      </c>
      <c r="G152" s="46">
        <f t="shared" si="15"/>
        <v>0</v>
      </c>
      <c r="H152" s="78">
        <v>0</v>
      </c>
      <c r="I152" s="76">
        <v>0</v>
      </c>
      <c r="J152" s="46">
        <f t="shared" si="16"/>
        <v>0</v>
      </c>
      <c r="K152" s="71"/>
      <c r="L152" s="20">
        <v>50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90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3">
        <f>+'31.'!J153</f>
        <v>0</v>
      </c>
      <c r="F153" s="70">
        <v>0</v>
      </c>
      <c r="G153" s="46">
        <f t="shared" si="15"/>
        <v>0</v>
      </c>
      <c r="H153" s="78">
        <v>0</v>
      </c>
      <c r="I153" s="76">
        <v>0</v>
      </c>
      <c r="J153" s="46">
        <f t="shared" si="16"/>
        <v>0</v>
      </c>
      <c r="K153" s="71"/>
      <c r="L153" s="20">
        <v>50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90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3">
        <f>+'31.'!J154</f>
        <v>0</v>
      </c>
      <c r="F154" s="70">
        <v>0</v>
      </c>
      <c r="G154" s="46">
        <f t="shared" si="15"/>
        <v>0</v>
      </c>
      <c r="H154" s="78">
        <v>0</v>
      </c>
      <c r="I154" s="76">
        <v>0</v>
      </c>
      <c r="J154" s="46">
        <f t="shared" si="16"/>
        <v>0</v>
      </c>
      <c r="K154" s="71"/>
      <c r="L154" s="20">
        <v>60</v>
      </c>
      <c r="M154" s="64">
        <f t="shared" si="9"/>
        <v>0</v>
      </c>
      <c r="N154" s="17" t="s">
        <v>16</v>
      </c>
      <c r="O154" s="18"/>
      <c r="P154" s="23">
        <f t="shared" si="10"/>
        <v>0</v>
      </c>
      <c r="Q154" s="90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3">
        <f>+'31.'!J155</f>
        <v>0</v>
      </c>
      <c r="F155" s="70">
        <v>0</v>
      </c>
      <c r="G155" s="46">
        <f t="shared" si="15"/>
        <v>0</v>
      </c>
      <c r="H155" s="78">
        <v>0</v>
      </c>
      <c r="I155" s="76">
        <v>0</v>
      </c>
      <c r="J155" s="46">
        <f t="shared" si="16"/>
        <v>0</v>
      </c>
      <c r="K155" s="71"/>
      <c r="L155" s="20">
        <v>60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90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3">
        <f>+'31.'!J156</f>
        <v>0</v>
      </c>
      <c r="F156" s="70">
        <v>0</v>
      </c>
      <c r="G156" s="46">
        <f t="shared" si="15"/>
        <v>0</v>
      </c>
      <c r="H156" s="78">
        <v>0</v>
      </c>
      <c r="I156" s="76">
        <v>0</v>
      </c>
      <c r="J156" s="46">
        <f t="shared" si="16"/>
        <v>0</v>
      </c>
      <c r="K156" s="71"/>
      <c r="L156" s="20">
        <v>25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90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3">
        <f>+'31.'!J157</f>
        <v>0</v>
      </c>
      <c r="F157" s="70">
        <v>0</v>
      </c>
      <c r="G157" s="46">
        <f t="shared" si="15"/>
        <v>0</v>
      </c>
      <c r="H157" s="78">
        <v>0</v>
      </c>
      <c r="I157" s="76">
        <v>0</v>
      </c>
      <c r="J157" s="46">
        <f t="shared" si="16"/>
        <v>0</v>
      </c>
      <c r="K157" s="71"/>
      <c r="L157" s="20">
        <v>45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90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3">
        <f>+'31.'!J158</f>
        <v>0</v>
      </c>
      <c r="F158" s="70">
        <v>0</v>
      </c>
      <c r="G158" s="46">
        <f t="shared" si="15"/>
        <v>0</v>
      </c>
      <c r="H158" s="78">
        <v>0</v>
      </c>
      <c r="I158" s="76">
        <v>0</v>
      </c>
      <c r="J158" s="46">
        <f t="shared" si="16"/>
        <v>0</v>
      </c>
      <c r="K158" s="71"/>
      <c r="L158" s="20">
        <v>45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90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3">
        <f>+'31.'!J159</f>
        <v>0</v>
      </c>
      <c r="F159" s="70">
        <v>0</v>
      </c>
      <c r="G159" s="46">
        <f t="shared" si="15"/>
        <v>0</v>
      </c>
      <c r="H159" s="78">
        <v>0</v>
      </c>
      <c r="I159" s="76">
        <v>0</v>
      </c>
      <c r="J159" s="46">
        <f t="shared" si="16"/>
        <v>0</v>
      </c>
      <c r="K159" s="71"/>
      <c r="L159" s="20">
        <v>45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90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3">
        <f>+'31.'!J160</f>
        <v>0</v>
      </c>
      <c r="F160" s="70">
        <v>0</v>
      </c>
      <c r="G160" s="46">
        <f t="shared" si="15"/>
        <v>0</v>
      </c>
      <c r="H160" s="78">
        <v>0</v>
      </c>
      <c r="I160" s="76">
        <v>0</v>
      </c>
      <c r="J160" s="46">
        <f t="shared" si="16"/>
        <v>0</v>
      </c>
      <c r="K160" s="71"/>
      <c r="L160" s="20">
        <v>45</v>
      </c>
      <c r="M160" s="64">
        <f>+L160*K160</f>
        <v>0</v>
      </c>
      <c r="N160" s="17" t="s">
        <v>16</v>
      </c>
      <c r="O160" s="18"/>
      <c r="P160" s="23">
        <f>SUM(M160-O160)</f>
        <v>0</v>
      </c>
      <c r="Q160" s="90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3">
        <f>+'31.'!J161</f>
        <v>0</v>
      </c>
      <c r="F161" s="70">
        <v>0</v>
      </c>
      <c r="G161" s="46">
        <f t="shared" si="15"/>
        <v>0</v>
      </c>
      <c r="H161" s="78">
        <v>0</v>
      </c>
      <c r="I161" s="76">
        <v>0</v>
      </c>
      <c r="J161" s="46">
        <f t="shared" si="16"/>
        <v>0</v>
      </c>
      <c r="K161" s="71"/>
      <c r="L161" s="20">
        <v>45</v>
      </c>
      <c r="M161" s="64">
        <f>+L161*K161</f>
        <v>0</v>
      </c>
      <c r="N161" s="17" t="s">
        <v>16</v>
      </c>
      <c r="O161" s="18"/>
      <c r="P161" s="23">
        <f>SUM(M161-O161)</f>
        <v>0</v>
      </c>
      <c r="Q161" s="90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3">
        <f>+'31.'!J162</f>
        <v>0</v>
      </c>
      <c r="F162" s="70">
        <v>0</v>
      </c>
      <c r="G162" s="46">
        <f t="shared" si="15"/>
        <v>0</v>
      </c>
      <c r="H162" s="78">
        <v>0</v>
      </c>
      <c r="I162" s="76">
        <v>0</v>
      </c>
      <c r="J162" s="46">
        <f t="shared" si="16"/>
        <v>0</v>
      </c>
      <c r="K162" s="71"/>
      <c r="L162" s="20">
        <v>45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90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3">
        <f>+'31.'!J163</f>
        <v>0</v>
      </c>
      <c r="F163" s="70">
        <v>0</v>
      </c>
      <c r="G163" s="46">
        <f t="shared" si="15"/>
        <v>0</v>
      </c>
      <c r="H163" s="78">
        <v>0</v>
      </c>
      <c r="I163" s="76">
        <v>0</v>
      </c>
      <c r="J163" s="46">
        <f t="shared" si="16"/>
        <v>0</v>
      </c>
      <c r="K163" s="71"/>
      <c r="L163" s="22">
        <v>35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3">
        <f>+'31.'!J164</f>
        <v>0</v>
      </c>
      <c r="F164" s="70">
        <v>0</v>
      </c>
      <c r="G164" s="46">
        <f t="shared" si="15"/>
        <v>0</v>
      </c>
      <c r="H164" s="78">
        <v>0</v>
      </c>
      <c r="I164" s="76">
        <v>0</v>
      </c>
      <c r="J164" s="46">
        <f t="shared" si="16"/>
        <v>0</v>
      </c>
      <c r="K164" s="71"/>
      <c r="L164" s="22">
        <v>25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90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3">
        <f>+'31.'!J165</f>
        <v>0</v>
      </c>
      <c r="F165" s="70">
        <v>0</v>
      </c>
      <c r="G165" s="46">
        <f t="shared" si="15"/>
        <v>0</v>
      </c>
      <c r="H165" s="78">
        <v>0</v>
      </c>
      <c r="I165" s="76">
        <v>0</v>
      </c>
      <c r="J165" s="46">
        <f t="shared" si="16"/>
        <v>0</v>
      </c>
      <c r="K165" s="71"/>
      <c r="L165" s="20">
        <v>100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92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3">
        <f>+'31.'!J166</f>
        <v>9</v>
      </c>
      <c r="F166" s="70">
        <v>0</v>
      </c>
      <c r="G166" s="46">
        <f t="shared" si="15"/>
        <v>9</v>
      </c>
      <c r="H166" s="78">
        <v>0</v>
      </c>
      <c r="I166" s="76">
        <v>0</v>
      </c>
      <c r="J166" s="46">
        <f t="shared" si="16"/>
        <v>9</v>
      </c>
      <c r="K166" s="71"/>
      <c r="L166" s="15">
        <v>50</v>
      </c>
      <c r="M166" s="64">
        <f>+L166*K166</f>
        <v>0</v>
      </c>
      <c r="N166" s="17" t="s">
        <v>16</v>
      </c>
      <c r="O166" s="18"/>
      <c r="P166" s="23">
        <f>SUM(M166-O166)</f>
        <v>0</v>
      </c>
      <c r="Q166" s="90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3">
        <f>+'31.'!J167</f>
        <v>0</v>
      </c>
      <c r="F167" s="70">
        <v>0</v>
      </c>
      <c r="G167" s="46">
        <f t="shared" si="15"/>
        <v>0</v>
      </c>
      <c r="H167" s="78">
        <v>0</v>
      </c>
      <c r="I167" s="76">
        <v>0</v>
      </c>
      <c r="J167" s="46">
        <f t="shared" si="16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90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3">
        <f>+'31.'!J168</f>
        <v>0</v>
      </c>
      <c r="F168" s="70">
        <v>0</v>
      </c>
      <c r="G168" s="46">
        <f t="shared" si="15"/>
        <v>0</v>
      </c>
      <c r="H168" s="78">
        <v>0</v>
      </c>
      <c r="I168" s="76">
        <v>0</v>
      </c>
      <c r="J168" s="46">
        <f t="shared" si="16"/>
        <v>0</v>
      </c>
      <c r="K168" s="71"/>
      <c r="L168" s="20">
        <v>40</v>
      </c>
      <c r="M168" s="64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2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3">
        <f>+'31.'!J169</f>
        <v>0</v>
      </c>
      <c r="F169" s="70">
        <v>0</v>
      </c>
      <c r="G169" s="46">
        <f t="shared" si="15"/>
        <v>0</v>
      </c>
      <c r="H169" s="78">
        <v>0</v>
      </c>
      <c r="I169" s="76">
        <v>0</v>
      </c>
      <c r="J169" s="46">
        <f t="shared" si="16"/>
        <v>0</v>
      </c>
      <c r="K169" s="71"/>
      <c r="L169" s="20">
        <v>55</v>
      </c>
      <c r="M169" s="64">
        <f t="shared" si="17"/>
        <v>0</v>
      </c>
      <c r="N169" s="17" t="s">
        <v>16</v>
      </c>
      <c r="O169" s="18"/>
      <c r="P169" s="23">
        <f t="shared" si="18"/>
        <v>0</v>
      </c>
      <c r="Q169" s="90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3">
        <f>+'31.'!J170</f>
        <v>0</v>
      </c>
      <c r="F170" s="70">
        <v>0</v>
      </c>
      <c r="G170" s="46">
        <f t="shared" si="15"/>
        <v>0</v>
      </c>
      <c r="H170" s="78">
        <v>0</v>
      </c>
      <c r="I170" s="76">
        <v>0</v>
      </c>
      <c r="J170" s="46">
        <f t="shared" si="16"/>
        <v>0</v>
      </c>
      <c r="K170" s="71"/>
      <c r="L170" s="20">
        <v>55</v>
      </c>
      <c r="M170" s="64">
        <f t="shared" si="17"/>
        <v>0</v>
      </c>
      <c r="N170" s="17" t="s">
        <v>16</v>
      </c>
      <c r="O170" s="18"/>
      <c r="P170" s="23">
        <f t="shared" si="18"/>
        <v>0</v>
      </c>
      <c r="Q170" s="90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3">
        <f>+'31.'!J171</f>
        <v>0</v>
      </c>
      <c r="F171" s="70">
        <v>0</v>
      </c>
      <c r="G171" s="46">
        <f t="shared" si="15"/>
        <v>0</v>
      </c>
      <c r="H171" s="78">
        <v>0</v>
      </c>
      <c r="I171" s="76">
        <v>0</v>
      </c>
      <c r="J171" s="46">
        <f t="shared" si="16"/>
        <v>0</v>
      </c>
      <c r="K171" s="71"/>
      <c r="L171" s="20">
        <v>10</v>
      </c>
      <c r="M171" s="64">
        <f t="shared" si="17"/>
        <v>0</v>
      </c>
      <c r="N171" s="17" t="s">
        <v>16</v>
      </c>
      <c r="O171" s="18"/>
      <c r="P171" s="23">
        <f t="shared" si="18"/>
        <v>0</v>
      </c>
      <c r="Q171" s="90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3">
        <f>+'31.'!J172</f>
        <v>5</v>
      </c>
      <c r="F172" s="70">
        <v>0</v>
      </c>
      <c r="G172" s="46">
        <f t="shared" si="15"/>
        <v>5</v>
      </c>
      <c r="H172" s="78">
        <v>0</v>
      </c>
      <c r="I172" s="76">
        <v>0</v>
      </c>
      <c r="J172" s="46">
        <f t="shared" si="16"/>
        <v>5</v>
      </c>
      <c r="K172" s="71"/>
      <c r="L172" s="20">
        <v>35</v>
      </c>
      <c r="M172" s="64">
        <f t="shared" si="17"/>
        <v>0</v>
      </c>
      <c r="N172" s="17" t="s">
        <v>16</v>
      </c>
      <c r="O172" s="18"/>
      <c r="P172" s="23">
        <f t="shared" si="18"/>
        <v>0</v>
      </c>
      <c r="Q172" s="90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3">
        <f>+'31.'!J173</f>
        <v>0</v>
      </c>
      <c r="F173" s="70">
        <v>0</v>
      </c>
      <c r="G173" s="46">
        <f t="shared" si="15"/>
        <v>0</v>
      </c>
      <c r="H173" s="78">
        <v>0</v>
      </c>
      <c r="I173" s="76">
        <v>0</v>
      </c>
      <c r="J173" s="46">
        <f t="shared" si="16"/>
        <v>0</v>
      </c>
      <c r="K173" s="71"/>
      <c r="L173" s="20">
        <v>50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90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3">
        <f>+'31.'!J174</f>
        <v>0</v>
      </c>
      <c r="F174" s="70">
        <v>0</v>
      </c>
      <c r="G174" s="46">
        <f t="shared" si="15"/>
        <v>0</v>
      </c>
      <c r="H174" s="78">
        <v>0</v>
      </c>
      <c r="I174" s="76">
        <v>0</v>
      </c>
      <c r="J174" s="46">
        <f t="shared" si="16"/>
        <v>0</v>
      </c>
      <c r="K174" s="71"/>
      <c r="L174" s="20">
        <v>40</v>
      </c>
      <c r="M174" s="64">
        <f t="shared" si="17"/>
        <v>0</v>
      </c>
      <c r="N174" s="17" t="s">
        <v>16</v>
      </c>
      <c r="O174" s="18"/>
      <c r="P174" s="23">
        <f t="shared" si="18"/>
        <v>0</v>
      </c>
      <c r="Q174" s="90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3">
        <f>+'31.'!J175</f>
        <v>0</v>
      </c>
      <c r="F175" s="70">
        <v>0</v>
      </c>
      <c r="G175" s="46">
        <f t="shared" si="15"/>
        <v>0</v>
      </c>
      <c r="H175" s="78">
        <v>0</v>
      </c>
      <c r="I175" s="76">
        <v>0</v>
      </c>
      <c r="J175" s="46">
        <f t="shared" si="16"/>
        <v>0</v>
      </c>
      <c r="K175" s="71"/>
      <c r="L175" s="20">
        <v>65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92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3">
        <f>+'31.'!J176</f>
        <v>0</v>
      </c>
      <c r="F176" s="70">
        <v>0</v>
      </c>
      <c r="G176" s="46">
        <f t="shared" si="15"/>
        <v>0</v>
      </c>
      <c r="H176" s="78">
        <v>0</v>
      </c>
      <c r="I176" s="76">
        <v>0</v>
      </c>
      <c r="J176" s="46">
        <f t="shared" si="16"/>
        <v>0</v>
      </c>
      <c r="K176" s="71"/>
      <c r="L176" s="20">
        <v>50</v>
      </c>
      <c r="M176" s="64">
        <f t="shared" si="17"/>
        <v>0</v>
      </c>
      <c r="N176" s="17" t="s">
        <v>16</v>
      </c>
      <c r="O176" s="18"/>
      <c r="P176" s="23">
        <f t="shared" si="18"/>
        <v>0</v>
      </c>
      <c r="Q176" s="90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3">
        <f>+'31.'!J177</f>
        <v>0</v>
      </c>
      <c r="F177" s="70">
        <v>0</v>
      </c>
      <c r="G177" s="46">
        <f t="shared" si="15"/>
        <v>0</v>
      </c>
      <c r="H177" s="78">
        <v>0</v>
      </c>
      <c r="I177" s="76">
        <v>0</v>
      </c>
      <c r="J177" s="46">
        <f t="shared" si="16"/>
        <v>0</v>
      </c>
      <c r="K177" s="71"/>
      <c r="L177" s="20">
        <v>80</v>
      </c>
      <c r="M177" s="64">
        <f t="shared" si="17"/>
        <v>0</v>
      </c>
      <c r="N177" s="17" t="s">
        <v>16</v>
      </c>
      <c r="O177" s="18"/>
      <c r="P177" s="23">
        <f t="shared" si="18"/>
        <v>0</v>
      </c>
      <c r="Q177" s="92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1394</v>
      </c>
      <c r="D178" s="10" t="s">
        <v>566</v>
      </c>
      <c r="E178" s="63">
        <f>+'31.'!J178</f>
        <v>0</v>
      </c>
      <c r="F178" s="70">
        <v>0</v>
      </c>
      <c r="G178" s="46">
        <f t="shared" si="15"/>
        <v>0</v>
      </c>
      <c r="H178" s="78">
        <v>0</v>
      </c>
      <c r="I178" s="76">
        <v>0</v>
      </c>
      <c r="J178" s="46">
        <f t="shared" si="16"/>
        <v>0</v>
      </c>
      <c r="K178" s="71"/>
      <c r="L178" s="20">
        <v>15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92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1393</v>
      </c>
      <c r="D179" s="10" t="s">
        <v>606</v>
      </c>
      <c r="E179" s="63">
        <f>+'31.'!J179</f>
        <v>0</v>
      </c>
      <c r="F179" s="70">
        <v>0</v>
      </c>
      <c r="G179" s="46">
        <f t="shared" si="15"/>
        <v>0</v>
      </c>
      <c r="H179" s="78">
        <v>0</v>
      </c>
      <c r="I179" s="76">
        <v>0</v>
      </c>
      <c r="J179" s="46">
        <f t="shared" si="16"/>
        <v>0</v>
      </c>
      <c r="K179" s="71"/>
      <c r="L179" s="20">
        <v>80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92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3">
        <f>+'31.'!J180</f>
        <v>0</v>
      </c>
      <c r="F180" s="70">
        <v>0</v>
      </c>
      <c r="G180" s="46">
        <f t="shared" si="15"/>
        <v>0</v>
      </c>
      <c r="H180" s="78">
        <v>0</v>
      </c>
      <c r="I180" s="76">
        <v>0</v>
      </c>
      <c r="J180" s="46">
        <f t="shared" si="16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90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3">
        <f>+'31.'!J181</f>
        <v>0</v>
      </c>
      <c r="F181" s="70">
        <v>0</v>
      </c>
      <c r="G181" s="46">
        <f t="shared" si="15"/>
        <v>0</v>
      </c>
      <c r="H181" s="78">
        <v>0</v>
      </c>
      <c r="I181" s="76">
        <v>0</v>
      </c>
      <c r="J181" s="46">
        <f t="shared" si="16"/>
        <v>0</v>
      </c>
      <c r="K181" s="71"/>
      <c r="L181" s="20">
        <v>35</v>
      </c>
      <c r="M181" s="64">
        <f t="shared" si="17"/>
        <v>0</v>
      </c>
      <c r="N181" s="17" t="s">
        <v>16</v>
      </c>
      <c r="O181" s="18"/>
      <c r="P181" s="23">
        <f t="shared" si="18"/>
        <v>0</v>
      </c>
      <c r="Q181" s="92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3">
        <f>+'31.'!J182</f>
        <v>0</v>
      </c>
      <c r="F182" s="70">
        <v>0</v>
      </c>
      <c r="G182" s="46">
        <f t="shared" si="15"/>
        <v>0</v>
      </c>
      <c r="H182" s="78">
        <v>0</v>
      </c>
      <c r="I182" s="76">
        <v>0</v>
      </c>
      <c r="J182" s="46">
        <f t="shared" si="16"/>
        <v>0</v>
      </c>
      <c r="K182" s="71"/>
      <c r="L182" s="20">
        <v>60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90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3">
        <f>+'31.'!J183</f>
        <v>0</v>
      </c>
      <c r="F183" s="70">
        <v>0</v>
      </c>
      <c r="G183" s="46">
        <f t="shared" si="15"/>
        <v>0</v>
      </c>
      <c r="H183" s="78">
        <v>0</v>
      </c>
      <c r="I183" s="76">
        <v>0</v>
      </c>
      <c r="J183" s="46">
        <f t="shared" si="16"/>
        <v>0</v>
      </c>
      <c r="K183" s="71"/>
      <c r="L183" s="20">
        <v>120</v>
      </c>
      <c r="M183" s="64">
        <f t="shared" si="17"/>
        <v>0</v>
      </c>
      <c r="N183" s="17" t="s">
        <v>16</v>
      </c>
      <c r="O183" s="18"/>
      <c r="P183" s="23">
        <f t="shared" si="18"/>
        <v>0</v>
      </c>
      <c r="Q183" s="90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3">
        <f>+'31.'!J184</f>
        <v>0</v>
      </c>
      <c r="F184" s="70">
        <v>0</v>
      </c>
      <c r="G184" s="46">
        <f t="shared" si="15"/>
        <v>0</v>
      </c>
      <c r="H184" s="78">
        <v>0</v>
      </c>
      <c r="I184" s="76">
        <v>0</v>
      </c>
      <c r="J184" s="46">
        <f t="shared" si="16"/>
        <v>0</v>
      </c>
      <c r="K184" s="71"/>
      <c r="L184" s="20">
        <v>60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90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3">
        <f>+'31.'!J185</f>
        <v>0</v>
      </c>
      <c r="F185" s="70">
        <v>0</v>
      </c>
      <c r="G185" s="46">
        <f t="shared" si="15"/>
        <v>0</v>
      </c>
      <c r="H185" s="78">
        <v>0</v>
      </c>
      <c r="I185" s="76">
        <v>0</v>
      </c>
      <c r="J185" s="46">
        <f t="shared" si="16"/>
        <v>0</v>
      </c>
      <c r="K185" s="71"/>
      <c r="L185" s="20">
        <v>120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90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3">
        <f>+'31.'!J186</f>
        <v>0</v>
      </c>
      <c r="F186" s="70">
        <v>0</v>
      </c>
      <c r="G186" s="46">
        <f t="shared" si="15"/>
        <v>0</v>
      </c>
      <c r="H186" s="78">
        <v>0</v>
      </c>
      <c r="I186" s="76">
        <v>0</v>
      </c>
      <c r="J186" s="46">
        <f t="shared" si="16"/>
        <v>0</v>
      </c>
      <c r="K186" s="71"/>
      <c r="L186" s="20">
        <v>50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90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3">
        <f>+'31.'!J187</f>
        <v>0</v>
      </c>
      <c r="F187" s="70">
        <v>0</v>
      </c>
      <c r="G187" s="46">
        <f t="shared" si="15"/>
        <v>0</v>
      </c>
      <c r="H187" s="78">
        <v>0</v>
      </c>
      <c r="I187" s="76">
        <v>0</v>
      </c>
      <c r="J187" s="46">
        <f t="shared" si="16"/>
        <v>0</v>
      </c>
      <c r="K187" s="71"/>
      <c r="L187" s="20">
        <v>150</v>
      </c>
      <c r="M187" s="64">
        <f t="shared" si="17"/>
        <v>0</v>
      </c>
      <c r="N187" s="17" t="s">
        <v>16</v>
      </c>
      <c r="O187" s="18"/>
      <c r="P187" s="23">
        <f t="shared" si="18"/>
        <v>0</v>
      </c>
      <c r="Q187" s="90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3">
        <f>+'31.'!J188</f>
        <v>0</v>
      </c>
      <c r="F188" s="70">
        <v>0</v>
      </c>
      <c r="G188" s="46">
        <f t="shared" si="15"/>
        <v>0</v>
      </c>
      <c r="H188" s="78">
        <v>0</v>
      </c>
      <c r="I188" s="76">
        <v>0</v>
      </c>
      <c r="J188" s="46">
        <f t="shared" si="16"/>
        <v>0</v>
      </c>
      <c r="K188" s="71"/>
      <c r="L188" s="20">
        <v>135</v>
      </c>
      <c r="M188" s="64">
        <f t="shared" si="17"/>
        <v>0</v>
      </c>
      <c r="N188" s="17" t="s">
        <v>16</v>
      </c>
      <c r="O188" s="18"/>
      <c r="P188" s="23">
        <f t="shared" si="18"/>
        <v>0</v>
      </c>
      <c r="Q188" s="92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3">
        <f>+'31.'!J189</f>
        <v>0</v>
      </c>
      <c r="F189" s="70">
        <v>0</v>
      </c>
      <c r="G189" s="46">
        <f t="shared" si="15"/>
        <v>0</v>
      </c>
      <c r="H189" s="78">
        <v>0</v>
      </c>
      <c r="I189" s="76">
        <v>0</v>
      </c>
      <c r="J189" s="46">
        <f t="shared" si="16"/>
        <v>0</v>
      </c>
      <c r="K189" s="71"/>
      <c r="L189" s="20">
        <v>100</v>
      </c>
      <c r="M189" s="64">
        <f t="shared" si="17"/>
        <v>0</v>
      </c>
      <c r="N189" s="17" t="s">
        <v>16</v>
      </c>
      <c r="O189" s="18"/>
      <c r="P189" s="23">
        <f t="shared" si="18"/>
        <v>0</v>
      </c>
      <c r="Q189" s="92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3">
        <f>+'31.'!J190</f>
        <v>0</v>
      </c>
      <c r="F190" s="70">
        <v>0</v>
      </c>
      <c r="G190" s="46">
        <f t="shared" si="15"/>
        <v>0</v>
      </c>
      <c r="H190" s="78">
        <v>0</v>
      </c>
      <c r="I190" s="76">
        <v>0</v>
      </c>
      <c r="J190" s="46">
        <f t="shared" si="16"/>
        <v>0</v>
      </c>
      <c r="K190" s="71"/>
      <c r="L190" s="20">
        <v>90</v>
      </c>
      <c r="M190" s="64">
        <f t="shared" si="17"/>
        <v>0</v>
      </c>
      <c r="N190" s="17" t="s">
        <v>16</v>
      </c>
      <c r="O190" s="18"/>
      <c r="P190" s="23">
        <f t="shared" si="18"/>
        <v>0</v>
      </c>
      <c r="Q190" s="92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3">
        <f>+'31.'!J191</f>
        <v>0</v>
      </c>
      <c r="F191" s="70">
        <v>0</v>
      </c>
      <c r="G191" s="46">
        <f t="shared" si="15"/>
        <v>0</v>
      </c>
      <c r="H191" s="78">
        <v>0</v>
      </c>
      <c r="I191" s="76">
        <v>0</v>
      </c>
      <c r="J191" s="46">
        <f t="shared" si="16"/>
        <v>0</v>
      </c>
      <c r="K191" s="71"/>
      <c r="L191" s="20">
        <v>90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92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3">
        <f>+'31.'!J192</f>
        <v>0</v>
      </c>
      <c r="F192" s="70">
        <v>0</v>
      </c>
      <c r="G192" s="46">
        <f t="shared" si="15"/>
        <v>0</v>
      </c>
      <c r="H192" s="78">
        <v>0</v>
      </c>
      <c r="I192" s="76">
        <v>0</v>
      </c>
      <c r="J192" s="46">
        <f t="shared" si="16"/>
        <v>0</v>
      </c>
      <c r="K192" s="71"/>
      <c r="L192" s="20">
        <v>90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92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3">
        <f>+'31.'!J193</f>
        <v>0</v>
      </c>
      <c r="F193" s="70">
        <v>0</v>
      </c>
      <c r="G193" s="46">
        <f t="shared" si="15"/>
        <v>0</v>
      </c>
      <c r="H193" s="78">
        <v>0</v>
      </c>
      <c r="I193" s="76">
        <v>0</v>
      </c>
      <c r="J193" s="46">
        <f t="shared" si="16"/>
        <v>0</v>
      </c>
      <c r="K193" s="71"/>
      <c r="L193" s="20">
        <v>90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92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3">
        <f>+'31.'!J194</f>
        <v>0</v>
      </c>
      <c r="F194" s="70">
        <v>0</v>
      </c>
      <c r="G194" s="46">
        <f t="shared" si="15"/>
        <v>0</v>
      </c>
      <c r="H194" s="78">
        <v>0</v>
      </c>
      <c r="I194" s="76">
        <v>0</v>
      </c>
      <c r="J194" s="46">
        <f t="shared" si="16"/>
        <v>0</v>
      </c>
      <c r="K194" s="71"/>
      <c r="L194" s="20">
        <v>55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92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3">
        <f>+'31.'!J195</f>
        <v>0</v>
      </c>
      <c r="F195" s="70">
        <v>0</v>
      </c>
      <c r="G195" s="46">
        <f t="shared" si="15"/>
        <v>0</v>
      </c>
      <c r="H195" s="78">
        <v>0</v>
      </c>
      <c r="I195" s="76">
        <v>0</v>
      </c>
      <c r="J195" s="46">
        <f t="shared" si="16"/>
        <v>0</v>
      </c>
      <c r="K195" s="71"/>
      <c r="L195" s="20">
        <v>85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92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3">
        <f>+'31.'!J196</f>
        <v>0</v>
      </c>
      <c r="F196" s="70">
        <v>0</v>
      </c>
      <c r="G196" s="46">
        <f t="shared" si="15"/>
        <v>0</v>
      </c>
      <c r="H196" s="78">
        <v>0</v>
      </c>
      <c r="I196" s="76">
        <v>0</v>
      </c>
      <c r="J196" s="46">
        <f t="shared" si="16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90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3">
        <f>+'31.'!J197</f>
        <v>0</v>
      </c>
      <c r="F197" s="70">
        <v>0</v>
      </c>
      <c r="G197" s="46">
        <f t="shared" si="15"/>
        <v>0</v>
      </c>
      <c r="H197" s="78">
        <v>0</v>
      </c>
      <c r="I197" s="76">
        <v>0</v>
      </c>
      <c r="J197" s="46">
        <f t="shared" si="16"/>
        <v>0</v>
      </c>
      <c r="K197" s="71"/>
      <c r="L197" s="20">
        <v>120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90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3">
        <f>+'31.'!J198</f>
        <v>0</v>
      </c>
      <c r="F198" s="70">
        <v>0</v>
      </c>
      <c r="G198" s="46">
        <f t="shared" ref="G198:G239" si="22">E198+F198</f>
        <v>0</v>
      </c>
      <c r="H198" s="78">
        <v>0</v>
      </c>
      <c r="I198" s="76">
        <v>0</v>
      </c>
      <c r="J198" s="46">
        <f t="shared" ref="J198:J239" si="23">+G198-H198-K198-I198</f>
        <v>0</v>
      </c>
      <c r="K198" s="71"/>
      <c r="L198" s="20">
        <v>25</v>
      </c>
      <c r="M198" s="64">
        <f>+L198*K198</f>
        <v>0</v>
      </c>
      <c r="N198" s="17" t="s">
        <v>16</v>
      </c>
      <c r="O198" s="18"/>
      <c r="P198" s="23">
        <f>SUM(M198-O198)</f>
        <v>0</v>
      </c>
      <c r="Q198" s="90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3">
        <f>+'31.'!J199</f>
        <v>0</v>
      </c>
      <c r="F199" s="70">
        <v>0</v>
      </c>
      <c r="G199" s="46">
        <f t="shared" si="22"/>
        <v>0</v>
      </c>
      <c r="H199" s="78">
        <v>0</v>
      </c>
      <c r="I199" s="76">
        <v>0</v>
      </c>
      <c r="J199" s="46">
        <f t="shared" si="23"/>
        <v>0</v>
      </c>
      <c r="K199" s="71"/>
      <c r="L199" s="20">
        <v>25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90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3">
        <f>+'31.'!J200</f>
        <v>0</v>
      </c>
      <c r="F200" s="70">
        <v>0</v>
      </c>
      <c r="G200" s="46">
        <f t="shared" si="22"/>
        <v>0</v>
      </c>
      <c r="H200" s="78">
        <v>0</v>
      </c>
      <c r="I200" s="76">
        <v>0</v>
      </c>
      <c r="J200" s="46">
        <f t="shared" si="2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90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3">
        <f>+'31.'!J201</f>
        <v>0</v>
      </c>
      <c r="F201" s="70">
        <v>0</v>
      </c>
      <c r="G201" s="46">
        <f t="shared" si="22"/>
        <v>0</v>
      </c>
      <c r="H201" s="78">
        <v>0</v>
      </c>
      <c r="I201" s="76">
        <v>0</v>
      </c>
      <c r="J201" s="46">
        <f t="shared" si="23"/>
        <v>0</v>
      </c>
      <c r="K201" s="71"/>
      <c r="L201" s="20">
        <v>25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90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3">
        <f>+'31.'!J202</f>
        <v>0</v>
      </c>
      <c r="F202" s="70">
        <v>0</v>
      </c>
      <c r="G202" s="46">
        <f t="shared" si="22"/>
        <v>0</v>
      </c>
      <c r="H202" s="78">
        <v>0</v>
      </c>
      <c r="I202" s="76">
        <v>0</v>
      </c>
      <c r="J202" s="46">
        <f t="shared" si="23"/>
        <v>0</v>
      </c>
      <c r="K202" s="71"/>
      <c r="L202" s="20">
        <v>25</v>
      </c>
      <c r="M202" s="64">
        <f>+L202*K202</f>
        <v>0</v>
      </c>
      <c r="N202" s="17" t="s">
        <v>16</v>
      </c>
      <c r="O202" s="18"/>
      <c r="P202" s="23">
        <f>SUM(M202-O202)</f>
        <v>0</v>
      </c>
      <c r="Q202" s="90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3">
        <f>+'31.'!J203</f>
        <v>0</v>
      </c>
      <c r="F203" s="70">
        <v>0</v>
      </c>
      <c r="G203" s="46">
        <f t="shared" si="22"/>
        <v>0</v>
      </c>
      <c r="H203" s="78">
        <v>0</v>
      </c>
      <c r="I203" s="76">
        <v>0</v>
      </c>
      <c r="J203" s="46">
        <f t="shared" si="23"/>
        <v>0</v>
      </c>
      <c r="K203" s="71"/>
      <c r="L203" s="20">
        <v>10</v>
      </c>
      <c r="M203" s="64">
        <f>+L203*K203</f>
        <v>0</v>
      </c>
      <c r="N203" s="17" t="s">
        <v>16</v>
      </c>
      <c r="O203" s="18"/>
      <c r="P203" s="23">
        <f>SUM(M203-O203)</f>
        <v>0</v>
      </c>
      <c r="Q203" s="92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3">
        <f>+'31.'!J204</f>
        <v>0</v>
      </c>
      <c r="F204" s="70">
        <v>0</v>
      </c>
      <c r="G204" s="46">
        <f t="shared" si="22"/>
        <v>0</v>
      </c>
      <c r="H204" s="78">
        <v>0</v>
      </c>
      <c r="I204" s="76">
        <v>0</v>
      </c>
      <c r="J204" s="46">
        <f t="shared" si="23"/>
        <v>0</v>
      </c>
      <c r="K204" s="71"/>
      <c r="L204" s="20">
        <v>10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92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3">
        <f>+'31.'!J205</f>
        <v>0</v>
      </c>
      <c r="F205" s="70">
        <v>0</v>
      </c>
      <c r="G205" s="46">
        <f t="shared" si="22"/>
        <v>0</v>
      </c>
      <c r="H205" s="78">
        <v>0</v>
      </c>
      <c r="I205" s="76">
        <v>0</v>
      </c>
      <c r="J205" s="46">
        <f t="shared" si="23"/>
        <v>0</v>
      </c>
      <c r="K205" s="71"/>
      <c r="L205" s="20">
        <v>10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92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3">
        <f>+'31.'!J206</f>
        <v>0</v>
      </c>
      <c r="F206" s="70">
        <v>0</v>
      </c>
      <c r="G206" s="46">
        <f t="shared" si="22"/>
        <v>0</v>
      </c>
      <c r="H206" s="78">
        <v>0</v>
      </c>
      <c r="I206" s="76">
        <v>0</v>
      </c>
      <c r="J206" s="46">
        <f t="shared" si="23"/>
        <v>0</v>
      </c>
      <c r="K206" s="71"/>
      <c r="L206" s="20">
        <v>20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92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3">
        <f>+'31.'!J207</f>
        <v>0</v>
      </c>
      <c r="F207" s="70">
        <v>0</v>
      </c>
      <c r="G207" s="46">
        <f t="shared" si="22"/>
        <v>0</v>
      </c>
      <c r="H207" s="78">
        <v>0</v>
      </c>
      <c r="I207" s="76">
        <v>0</v>
      </c>
      <c r="J207" s="46">
        <f t="shared" si="23"/>
        <v>0</v>
      </c>
      <c r="K207" s="71"/>
      <c r="L207" s="20">
        <v>800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92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3">
        <f>+'31.'!J208</f>
        <v>0</v>
      </c>
      <c r="F208" s="70">
        <v>0</v>
      </c>
      <c r="G208" s="46">
        <f t="shared" si="22"/>
        <v>0</v>
      </c>
      <c r="H208" s="78">
        <v>0</v>
      </c>
      <c r="I208" s="76">
        <v>0</v>
      </c>
      <c r="J208" s="46">
        <f t="shared" si="23"/>
        <v>0</v>
      </c>
      <c r="K208" s="71"/>
      <c r="L208" s="20">
        <v>150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92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3">
        <f>+'31.'!J209</f>
        <v>0</v>
      </c>
      <c r="F209" s="70">
        <v>0</v>
      </c>
      <c r="G209" s="46">
        <f t="shared" si="22"/>
        <v>0</v>
      </c>
      <c r="H209" s="78">
        <v>0</v>
      </c>
      <c r="I209" s="76">
        <v>0</v>
      </c>
      <c r="J209" s="46">
        <f t="shared" si="23"/>
        <v>0</v>
      </c>
      <c r="K209" s="71"/>
      <c r="L209" s="20">
        <v>200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92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3">
        <f>+'31.'!J210</f>
        <v>0</v>
      </c>
      <c r="F210" s="70">
        <v>0</v>
      </c>
      <c r="G210" s="46">
        <f t="shared" si="22"/>
        <v>0</v>
      </c>
      <c r="H210" s="78">
        <v>0</v>
      </c>
      <c r="I210" s="76">
        <v>0</v>
      </c>
      <c r="J210" s="46">
        <f t="shared" si="23"/>
        <v>0</v>
      </c>
      <c r="K210" s="71"/>
      <c r="L210" s="20">
        <v>250</v>
      </c>
      <c r="M210" s="64">
        <f t="shared" si="17"/>
        <v>0</v>
      </c>
      <c r="N210" s="17" t="s">
        <v>16</v>
      </c>
      <c r="O210" s="18"/>
      <c r="P210" s="23">
        <f t="shared" si="18"/>
        <v>0</v>
      </c>
      <c r="Q210" s="92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3">
        <f>+'31.'!J211</f>
        <v>0</v>
      </c>
      <c r="F211" s="70">
        <v>0</v>
      </c>
      <c r="G211" s="46">
        <f t="shared" si="22"/>
        <v>0</v>
      </c>
      <c r="H211" s="78">
        <v>0</v>
      </c>
      <c r="I211" s="76">
        <v>0</v>
      </c>
      <c r="J211" s="46">
        <f t="shared" si="23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92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3">
        <f>+'31.'!J212</f>
        <v>0</v>
      </c>
      <c r="F212" s="70">
        <v>0</v>
      </c>
      <c r="G212" s="46">
        <f t="shared" si="22"/>
        <v>0</v>
      </c>
      <c r="H212" s="78">
        <v>0</v>
      </c>
      <c r="I212" s="76">
        <v>0</v>
      </c>
      <c r="J212" s="46">
        <f t="shared" si="23"/>
        <v>0</v>
      </c>
      <c r="K212" s="71"/>
      <c r="L212" s="20">
        <v>0</v>
      </c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92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3">
        <f>+'31.'!J213</f>
        <v>0</v>
      </c>
      <c r="F213" s="70">
        <v>0</v>
      </c>
      <c r="G213" s="46">
        <f t="shared" si="22"/>
        <v>0</v>
      </c>
      <c r="H213" s="78">
        <v>0</v>
      </c>
      <c r="I213" s="76">
        <v>0</v>
      </c>
      <c r="J213" s="46">
        <f t="shared" si="23"/>
        <v>0</v>
      </c>
      <c r="K213" s="71"/>
      <c r="L213" s="20">
        <v>45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90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3">
        <f>+'31.'!J214</f>
        <v>0</v>
      </c>
      <c r="F214" s="70">
        <v>0</v>
      </c>
      <c r="G214" s="46">
        <f t="shared" si="22"/>
        <v>0</v>
      </c>
      <c r="H214" s="78">
        <v>0</v>
      </c>
      <c r="I214" s="76">
        <v>0</v>
      </c>
      <c r="J214" s="46">
        <f t="shared" si="23"/>
        <v>0</v>
      </c>
      <c r="K214" s="71"/>
      <c r="L214" s="20">
        <v>35</v>
      </c>
      <c r="M214" s="64">
        <f t="shared" si="17"/>
        <v>0</v>
      </c>
      <c r="N214" s="17" t="s">
        <v>16</v>
      </c>
      <c r="O214" s="18"/>
      <c r="P214" s="23">
        <f t="shared" si="18"/>
        <v>0</v>
      </c>
      <c r="Q214" s="90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3">
        <f>+'31.'!J215</f>
        <v>0</v>
      </c>
      <c r="F215" s="70">
        <v>0</v>
      </c>
      <c r="G215" s="46">
        <f t="shared" si="22"/>
        <v>0</v>
      </c>
      <c r="H215" s="78">
        <v>0</v>
      </c>
      <c r="I215" s="76">
        <v>0</v>
      </c>
      <c r="J215" s="46">
        <f t="shared" si="23"/>
        <v>0</v>
      </c>
      <c r="K215" s="71"/>
      <c r="L215" s="20">
        <v>25</v>
      </c>
      <c r="M215" s="64">
        <f t="shared" si="17"/>
        <v>0</v>
      </c>
      <c r="N215" s="17" t="s">
        <v>16</v>
      </c>
      <c r="O215" s="18"/>
      <c r="P215" s="23">
        <f t="shared" si="18"/>
        <v>0</v>
      </c>
      <c r="Q215" s="90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3">
        <f>+'31.'!J216</f>
        <v>0</v>
      </c>
      <c r="F216" s="70">
        <v>0</v>
      </c>
      <c r="G216" s="46">
        <f t="shared" si="22"/>
        <v>0</v>
      </c>
      <c r="H216" s="78">
        <v>0</v>
      </c>
      <c r="I216" s="76">
        <v>0</v>
      </c>
      <c r="J216" s="46">
        <f t="shared" si="23"/>
        <v>0</v>
      </c>
      <c r="K216" s="71"/>
      <c r="L216" s="20">
        <v>50</v>
      </c>
      <c r="M216" s="64">
        <f>+L216*K216</f>
        <v>0</v>
      </c>
      <c r="N216" s="17" t="s">
        <v>16</v>
      </c>
      <c r="O216" s="18"/>
      <c r="P216" s="23">
        <f>SUM(M216-O216)</f>
        <v>0</v>
      </c>
      <c r="Q216" s="92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3">
        <f>+'31.'!J217</f>
        <v>0</v>
      </c>
      <c r="F217" s="70">
        <v>0</v>
      </c>
      <c r="G217" s="46">
        <f t="shared" si="22"/>
        <v>0</v>
      </c>
      <c r="H217" s="78">
        <v>0</v>
      </c>
      <c r="I217" s="76">
        <v>0</v>
      </c>
      <c r="J217" s="46">
        <f t="shared" si="23"/>
        <v>0</v>
      </c>
      <c r="K217" s="71"/>
      <c r="L217" s="20">
        <v>60</v>
      </c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92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3">
        <f>+'31.'!J218</f>
        <v>0</v>
      </c>
      <c r="F218" s="70">
        <v>0</v>
      </c>
      <c r="G218" s="46">
        <f t="shared" si="22"/>
        <v>0</v>
      </c>
      <c r="H218" s="78">
        <v>0</v>
      </c>
      <c r="I218" s="76">
        <v>0</v>
      </c>
      <c r="J218" s="46">
        <f t="shared" si="23"/>
        <v>0</v>
      </c>
      <c r="K218" s="71"/>
      <c r="L218" s="20">
        <v>250</v>
      </c>
      <c r="M218" s="64">
        <f t="shared" si="17"/>
        <v>0</v>
      </c>
      <c r="N218" s="17" t="s">
        <v>16</v>
      </c>
      <c r="O218" s="18"/>
      <c r="P218" s="23">
        <f t="shared" si="18"/>
        <v>0</v>
      </c>
      <c r="Q218" s="92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3">
        <f>+'31.'!J219</f>
        <v>0</v>
      </c>
      <c r="F219" s="70">
        <v>0</v>
      </c>
      <c r="G219" s="46">
        <f t="shared" si="22"/>
        <v>0</v>
      </c>
      <c r="H219" s="78">
        <v>0</v>
      </c>
      <c r="I219" s="76">
        <v>0</v>
      </c>
      <c r="J219" s="46">
        <f t="shared" si="23"/>
        <v>0</v>
      </c>
      <c r="K219" s="71"/>
      <c r="L219" s="20">
        <v>100</v>
      </c>
      <c r="M219" s="64">
        <f t="shared" si="17"/>
        <v>0</v>
      </c>
      <c r="N219" s="17" t="s">
        <v>16</v>
      </c>
      <c r="O219" s="18"/>
      <c r="P219" s="23">
        <f t="shared" si="18"/>
        <v>0</v>
      </c>
      <c r="Q219" s="92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3">
        <f>+'31.'!J220</f>
        <v>0</v>
      </c>
      <c r="F220" s="70">
        <v>0</v>
      </c>
      <c r="G220" s="46">
        <f t="shared" si="22"/>
        <v>0</v>
      </c>
      <c r="H220" s="78">
        <v>0</v>
      </c>
      <c r="I220" s="76">
        <v>0</v>
      </c>
      <c r="J220" s="46">
        <f t="shared" si="23"/>
        <v>0</v>
      </c>
      <c r="K220" s="71"/>
      <c r="L220" s="20">
        <v>350</v>
      </c>
      <c r="M220" s="64">
        <f t="shared" si="17"/>
        <v>0</v>
      </c>
      <c r="N220" s="17" t="s">
        <v>16</v>
      </c>
      <c r="O220" s="18"/>
      <c r="P220" s="23">
        <f t="shared" si="18"/>
        <v>0</v>
      </c>
      <c r="Q220" s="92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3">
        <f>+'31.'!J221</f>
        <v>0</v>
      </c>
      <c r="F221" s="70">
        <v>0</v>
      </c>
      <c r="G221" s="46">
        <f t="shared" si="22"/>
        <v>0</v>
      </c>
      <c r="H221" s="78">
        <v>0</v>
      </c>
      <c r="I221" s="76">
        <v>0</v>
      </c>
      <c r="J221" s="46">
        <f t="shared" si="23"/>
        <v>0</v>
      </c>
      <c r="K221" s="71"/>
      <c r="L221" s="20">
        <v>60</v>
      </c>
      <c r="M221" s="64">
        <f t="shared" si="17"/>
        <v>0</v>
      </c>
      <c r="N221" s="17" t="s">
        <v>16</v>
      </c>
      <c r="O221" s="18"/>
      <c r="P221" s="23">
        <f t="shared" si="18"/>
        <v>0</v>
      </c>
      <c r="Q221" s="92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3">
        <f>+'31.'!J222</f>
        <v>0</v>
      </c>
      <c r="F222" s="70">
        <v>0</v>
      </c>
      <c r="G222" s="46">
        <f t="shared" si="22"/>
        <v>0</v>
      </c>
      <c r="H222" s="78">
        <v>0</v>
      </c>
      <c r="I222" s="76">
        <v>0</v>
      </c>
      <c r="J222" s="46">
        <f t="shared" si="23"/>
        <v>0</v>
      </c>
      <c r="K222" s="71"/>
      <c r="L222" s="20">
        <v>50</v>
      </c>
      <c r="M222" s="64">
        <f t="shared" si="17"/>
        <v>0</v>
      </c>
      <c r="N222" s="17" t="s">
        <v>16</v>
      </c>
      <c r="O222" s="18"/>
      <c r="P222" s="23">
        <f t="shared" si="18"/>
        <v>0</v>
      </c>
      <c r="Q222" s="92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3">
        <f>+'31.'!J223</f>
        <v>0</v>
      </c>
      <c r="F223" s="70">
        <v>0</v>
      </c>
      <c r="G223" s="46">
        <f t="shared" si="22"/>
        <v>0</v>
      </c>
      <c r="H223" s="78">
        <v>0</v>
      </c>
      <c r="I223" s="76">
        <v>0</v>
      </c>
      <c r="J223" s="46">
        <f t="shared" si="23"/>
        <v>0</v>
      </c>
      <c r="K223" s="71"/>
      <c r="L223" s="20">
        <v>100</v>
      </c>
      <c r="M223" s="64">
        <f t="shared" si="17"/>
        <v>0</v>
      </c>
      <c r="N223" s="17" t="s">
        <v>16</v>
      </c>
      <c r="O223" s="18"/>
      <c r="P223" s="23">
        <f t="shared" si="18"/>
        <v>0</v>
      </c>
      <c r="Q223" s="92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3">
        <f>+'31.'!J224</f>
        <v>0</v>
      </c>
      <c r="F224" s="70">
        <v>0</v>
      </c>
      <c r="G224" s="46">
        <f t="shared" si="22"/>
        <v>0</v>
      </c>
      <c r="H224" s="78">
        <v>0</v>
      </c>
      <c r="I224" s="76">
        <v>0</v>
      </c>
      <c r="J224" s="46">
        <f t="shared" si="23"/>
        <v>0</v>
      </c>
      <c r="K224" s="71"/>
      <c r="L224" s="20">
        <v>120</v>
      </c>
      <c r="M224" s="64">
        <f t="shared" si="17"/>
        <v>0</v>
      </c>
      <c r="N224" s="17" t="s">
        <v>16</v>
      </c>
      <c r="O224" s="18"/>
      <c r="P224" s="23">
        <f t="shared" si="18"/>
        <v>0</v>
      </c>
      <c r="Q224" s="92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3">
        <f>+'31.'!J225</f>
        <v>0</v>
      </c>
      <c r="F225" s="70">
        <v>0</v>
      </c>
      <c r="G225" s="46">
        <f t="shared" si="22"/>
        <v>0</v>
      </c>
      <c r="H225" s="78">
        <v>0</v>
      </c>
      <c r="I225" s="76">
        <v>0</v>
      </c>
      <c r="J225" s="46">
        <f t="shared" si="23"/>
        <v>0</v>
      </c>
      <c r="K225" s="71"/>
      <c r="L225" s="20">
        <v>60</v>
      </c>
      <c r="M225" s="64">
        <f t="shared" si="17"/>
        <v>0</v>
      </c>
      <c r="N225" s="17" t="s">
        <v>16</v>
      </c>
      <c r="O225" s="18"/>
      <c r="P225" s="23">
        <f t="shared" si="18"/>
        <v>0</v>
      </c>
      <c r="Q225" s="92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3">
        <f>+'31.'!J226</f>
        <v>0</v>
      </c>
      <c r="F226" s="70">
        <v>0</v>
      </c>
      <c r="G226" s="46">
        <f t="shared" si="22"/>
        <v>0</v>
      </c>
      <c r="H226" s="78">
        <v>0</v>
      </c>
      <c r="I226" s="76">
        <v>0</v>
      </c>
      <c r="J226" s="46">
        <f t="shared" si="23"/>
        <v>0</v>
      </c>
      <c r="K226" s="71"/>
      <c r="L226" s="20">
        <v>150</v>
      </c>
      <c r="M226" s="64">
        <f t="shared" si="17"/>
        <v>0</v>
      </c>
      <c r="N226" s="17" t="s">
        <v>16</v>
      </c>
      <c r="O226" s="18"/>
      <c r="P226" s="23">
        <f t="shared" si="18"/>
        <v>0</v>
      </c>
      <c r="Q226" s="92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3">
        <f>+'31.'!J227</f>
        <v>0</v>
      </c>
      <c r="F227" s="70">
        <v>0</v>
      </c>
      <c r="G227" s="46">
        <f t="shared" si="22"/>
        <v>0</v>
      </c>
      <c r="H227" s="78">
        <v>0</v>
      </c>
      <c r="I227" s="76">
        <v>0</v>
      </c>
      <c r="J227" s="46">
        <f t="shared" si="23"/>
        <v>0</v>
      </c>
      <c r="K227" s="71"/>
      <c r="L227" s="20">
        <v>150</v>
      </c>
      <c r="M227" s="64">
        <f t="shared" si="17"/>
        <v>0</v>
      </c>
      <c r="N227" s="17" t="s">
        <v>16</v>
      </c>
      <c r="O227" s="18"/>
      <c r="P227" s="23">
        <f t="shared" si="18"/>
        <v>0</v>
      </c>
      <c r="Q227" s="92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3">
        <f>+'31.'!J228</f>
        <v>0</v>
      </c>
      <c r="F228" s="70">
        <v>0</v>
      </c>
      <c r="G228" s="46">
        <f t="shared" si="22"/>
        <v>0</v>
      </c>
      <c r="H228" s="78">
        <v>0</v>
      </c>
      <c r="I228" s="76">
        <v>0</v>
      </c>
      <c r="J228" s="46">
        <f t="shared" si="23"/>
        <v>0</v>
      </c>
      <c r="K228" s="71"/>
      <c r="L228" s="20">
        <v>200</v>
      </c>
      <c r="M228" s="64">
        <f t="shared" si="17"/>
        <v>0</v>
      </c>
      <c r="N228" s="17" t="s">
        <v>16</v>
      </c>
      <c r="O228" s="18"/>
      <c r="P228" s="23">
        <f t="shared" si="18"/>
        <v>0</v>
      </c>
      <c r="Q228" s="92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3">
        <f>+'31.'!J229</f>
        <v>0</v>
      </c>
      <c r="F229" s="70">
        <v>0</v>
      </c>
      <c r="G229" s="46">
        <f t="shared" si="22"/>
        <v>0</v>
      </c>
      <c r="H229" s="78">
        <v>0</v>
      </c>
      <c r="I229" s="76">
        <v>0</v>
      </c>
      <c r="J229" s="46">
        <f t="shared" si="23"/>
        <v>0</v>
      </c>
      <c r="K229" s="71"/>
      <c r="L229" s="20"/>
      <c r="M229" s="64">
        <f t="shared" si="17"/>
        <v>0</v>
      </c>
      <c r="N229" s="17" t="s">
        <v>16</v>
      </c>
      <c r="O229" s="18"/>
      <c r="P229" s="23">
        <f t="shared" si="18"/>
        <v>0</v>
      </c>
      <c r="Q229" s="92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3">
        <f>+'31.'!J230</f>
        <v>0</v>
      </c>
      <c r="F230" s="70">
        <v>11</v>
      </c>
      <c r="G230" s="46">
        <f t="shared" si="22"/>
        <v>11</v>
      </c>
      <c r="H230" s="78">
        <v>0</v>
      </c>
      <c r="I230" s="76">
        <v>0</v>
      </c>
      <c r="J230" s="46">
        <f t="shared" si="23"/>
        <v>11</v>
      </c>
      <c r="K230" s="71"/>
      <c r="L230" s="20">
        <v>35</v>
      </c>
      <c r="M230" s="64">
        <f t="shared" si="17"/>
        <v>0</v>
      </c>
      <c r="N230" s="17" t="s">
        <v>16</v>
      </c>
      <c r="O230" s="18"/>
      <c r="P230" s="23">
        <f t="shared" si="18"/>
        <v>0</v>
      </c>
      <c r="Q230" s="92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1398</v>
      </c>
      <c r="D231" s="10" t="s">
        <v>566</v>
      </c>
      <c r="E231" s="63">
        <f>+'31.'!J231</f>
        <v>0</v>
      </c>
      <c r="F231" s="70">
        <v>4</v>
      </c>
      <c r="G231" s="46">
        <f t="shared" si="22"/>
        <v>4</v>
      </c>
      <c r="H231" s="78">
        <v>0</v>
      </c>
      <c r="I231" s="76">
        <v>0</v>
      </c>
      <c r="J231" s="46">
        <f t="shared" si="23"/>
        <v>4</v>
      </c>
      <c r="K231" s="71"/>
      <c r="L231" s="20">
        <v>25</v>
      </c>
      <c r="M231" s="64">
        <f t="shared" si="17"/>
        <v>0</v>
      </c>
      <c r="N231" s="17" t="s">
        <v>16</v>
      </c>
      <c r="O231" s="18"/>
      <c r="P231" s="23">
        <f t="shared" si="18"/>
        <v>0</v>
      </c>
      <c r="Q231" s="92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312</v>
      </c>
      <c r="D232" s="10" t="s">
        <v>434</v>
      </c>
      <c r="E232" s="63">
        <f>+'31.'!J232</f>
        <v>2</v>
      </c>
      <c r="F232" s="70">
        <v>20</v>
      </c>
      <c r="G232" s="46">
        <f t="shared" si="22"/>
        <v>22</v>
      </c>
      <c r="H232" s="78">
        <v>0</v>
      </c>
      <c r="I232" s="76">
        <v>0</v>
      </c>
      <c r="J232" s="46">
        <f t="shared" si="23"/>
        <v>22</v>
      </c>
      <c r="K232" s="71"/>
      <c r="L232" s="20">
        <v>35</v>
      </c>
      <c r="M232" s="64">
        <f t="shared" si="17"/>
        <v>0</v>
      </c>
      <c r="N232" s="17" t="s">
        <v>16</v>
      </c>
      <c r="O232" s="18"/>
      <c r="P232" s="23">
        <f t="shared" si="18"/>
        <v>0</v>
      </c>
      <c r="Q232" s="92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3">
        <f>+'31.'!J233</f>
        <v>0</v>
      </c>
      <c r="F233" s="70">
        <v>0</v>
      </c>
      <c r="G233" s="46">
        <f t="shared" si="22"/>
        <v>0</v>
      </c>
      <c r="H233" s="78">
        <v>0</v>
      </c>
      <c r="I233" s="76">
        <v>0</v>
      </c>
      <c r="J233" s="46">
        <f t="shared" si="23"/>
        <v>0</v>
      </c>
      <c r="K233" s="71"/>
      <c r="L233" s="20"/>
      <c r="M233" s="64">
        <f t="shared" si="17"/>
        <v>0</v>
      </c>
      <c r="N233" s="17" t="s">
        <v>16</v>
      </c>
      <c r="O233" s="18"/>
      <c r="P233" s="23">
        <f t="shared" si="18"/>
        <v>0</v>
      </c>
      <c r="Q233" s="92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3">
        <f>+'31.'!J234</f>
        <v>0</v>
      </c>
      <c r="F234" s="70">
        <v>0</v>
      </c>
      <c r="G234" s="46">
        <f t="shared" si="22"/>
        <v>0</v>
      </c>
      <c r="H234" s="78">
        <v>0</v>
      </c>
      <c r="I234" s="76">
        <v>0</v>
      </c>
      <c r="J234" s="46">
        <f t="shared" si="23"/>
        <v>0</v>
      </c>
      <c r="K234" s="71"/>
      <c r="L234" s="20"/>
      <c r="M234" s="64">
        <f t="shared" si="17"/>
        <v>0</v>
      </c>
      <c r="N234" s="17" t="s">
        <v>16</v>
      </c>
      <c r="O234" s="18"/>
      <c r="P234" s="23">
        <f t="shared" si="18"/>
        <v>0</v>
      </c>
      <c r="Q234" s="92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3">
        <f>+'31.'!J235</f>
        <v>0</v>
      </c>
      <c r="F235" s="70">
        <v>0</v>
      </c>
      <c r="G235" s="46">
        <f t="shared" si="22"/>
        <v>0</v>
      </c>
      <c r="H235" s="78">
        <v>0</v>
      </c>
      <c r="I235" s="76">
        <v>0</v>
      </c>
      <c r="J235" s="46">
        <f t="shared" si="23"/>
        <v>0</v>
      </c>
      <c r="K235" s="71"/>
      <c r="L235" s="20"/>
      <c r="M235" s="64">
        <f t="shared" si="17"/>
        <v>0</v>
      </c>
      <c r="N235" s="17" t="s">
        <v>16</v>
      </c>
      <c r="O235" s="18"/>
      <c r="P235" s="23">
        <f t="shared" si="18"/>
        <v>0</v>
      </c>
      <c r="Q235" s="92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3">
        <f>+'31.'!J236</f>
        <v>0</v>
      </c>
      <c r="F236" s="70">
        <v>0</v>
      </c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1"/>
      <c r="L236" s="20"/>
      <c r="M236" s="64">
        <f t="shared" si="17"/>
        <v>0</v>
      </c>
      <c r="N236" s="17" t="s">
        <v>16</v>
      </c>
      <c r="O236" s="18"/>
      <c r="P236" s="23">
        <f t="shared" si="18"/>
        <v>0</v>
      </c>
      <c r="Q236" s="92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3">
        <f>+'31.'!J237</f>
        <v>0</v>
      </c>
      <c r="F237" s="70">
        <v>0</v>
      </c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1"/>
      <c r="L237" s="20"/>
      <c r="M237" s="64">
        <f t="shared" si="17"/>
        <v>0</v>
      </c>
      <c r="N237" s="17" t="s">
        <v>16</v>
      </c>
      <c r="O237" s="18"/>
      <c r="P237" s="23">
        <f t="shared" si="18"/>
        <v>0</v>
      </c>
      <c r="Q237" s="92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3">
        <f>+ยกมา!J230</f>
        <v>0</v>
      </c>
      <c r="F238" s="70">
        <v>0</v>
      </c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1"/>
      <c r="L238" s="20"/>
      <c r="M238" s="64">
        <f t="shared" si="17"/>
        <v>0</v>
      </c>
      <c r="N238" s="17" t="s">
        <v>16</v>
      </c>
      <c r="O238" s="18"/>
      <c r="P238" s="23">
        <f t="shared" si="18"/>
        <v>0</v>
      </c>
      <c r="Q238" s="92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3">
        <f>+'31.'!J239</f>
        <v>0</v>
      </c>
      <c r="F239" s="70">
        <v>0</v>
      </c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1"/>
      <c r="L239" s="20"/>
      <c r="M239" s="64">
        <f t="shared" si="17"/>
        <v>0</v>
      </c>
      <c r="N239" s="17" t="s">
        <v>16</v>
      </c>
      <c r="O239" s="18"/>
      <c r="P239" s="23">
        <f t="shared" si="18"/>
        <v>0</v>
      </c>
      <c r="Q239" s="92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4" t="s">
        <v>213</v>
      </c>
      <c r="Q240" s="91"/>
      <c r="R240" s="75">
        <f>SUM(R5:R239)</f>
        <v>0</v>
      </c>
      <c r="S240" s="75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1" t="s">
        <v>212</v>
      </c>
      <c r="L241" s="16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34" t="s">
        <v>202</v>
      </c>
      <c r="M242" s="35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SUM(O244:AF2440)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2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L234" sqref="L234"/>
      <selection pane="topRight" activeCell="L234" sqref="L234"/>
      <selection pane="bottomLeft" activeCell="L234" sqref="L234"/>
      <selection pane="bottomRight" activeCell="K5" sqref="K5:K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2" t="s">
        <v>1397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Q2" s="89"/>
    </row>
    <row r="3" spans="1:18" s="5" customFormat="1" ht="26.4" customHeight="1" x14ac:dyDescent="0.7">
      <c r="A3" s="150" t="s">
        <v>1</v>
      </c>
      <c r="B3" s="150" t="s">
        <v>1368</v>
      </c>
      <c r="C3" s="150" t="s">
        <v>2</v>
      </c>
      <c r="D3" s="150" t="s">
        <v>1369</v>
      </c>
      <c r="E3" s="152" t="s">
        <v>3</v>
      </c>
      <c r="F3" s="152" t="s">
        <v>4</v>
      </c>
      <c r="G3" s="152" t="s">
        <v>5</v>
      </c>
      <c r="H3" s="77" t="s">
        <v>6</v>
      </c>
      <c r="I3" s="109" t="s">
        <v>273</v>
      </c>
      <c r="J3" s="152" t="s">
        <v>7</v>
      </c>
      <c r="K3" s="153" t="s">
        <v>8</v>
      </c>
      <c r="L3" s="153"/>
      <c r="M3" s="153"/>
      <c r="N3" s="152" t="s">
        <v>9</v>
      </c>
      <c r="O3" s="160" t="s">
        <v>10</v>
      </c>
      <c r="Q3" s="154" t="s">
        <v>274</v>
      </c>
      <c r="R3" s="156" t="s">
        <v>275</v>
      </c>
    </row>
    <row r="4" spans="1:18" s="5" customFormat="1" ht="26.4" x14ac:dyDescent="0.7">
      <c r="A4" s="151"/>
      <c r="B4" s="151"/>
      <c r="C4" s="151"/>
      <c r="D4" s="151"/>
      <c r="E4" s="152"/>
      <c r="F4" s="152"/>
      <c r="G4" s="152"/>
      <c r="H4" s="77" t="s">
        <v>11</v>
      </c>
      <c r="I4" s="110"/>
      <c r="J4" s="152"/>
      <c r="K4" s="68" t="s">
        <v>12</v>
      </c>
      <c r="L4" s="69" t="s">
        <v>13</v>
      </c>
      <c r="M4" s="68" t="s">
        <v>14</v>
      </c>
      <c r="N4" s="152"/>
      <c r="O4" s="160"/>
      <c r="Q4" s="155"/>
      <c r="R4" s="15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3">
        <f>+'1'!J5</f>
        <v>0</v>
      </c>
      <c r="F5" s="70">
        <v>0</v>
      </c>
      <c r="G5" s="46">
        <f t="shared" ref="G5" si="0">E5+F5</f>
        <v>0</v>
      </c>
      <c r="H5" s="78">
        <v>0</v>
      </c>
      <c r="I5" s="76">
        <v>0</v>
      </c>
      <c r="J5" s="46">
        <f t="shared" ref="J5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3">
        <f>+'1'!J6</f>
        <v>5</v>
      </c>
      <c r="F6" s="70">
        <v>0</v>
      </c>
      <c r="G6" s="46">
        <f t="shared" ref="G6:G69" si="2">E6+F6</f>
        <v>5</v>
      </c>
      <c r="H6" s="78">
        <v>0</v>
      </c>
      <c r="I6" s="76">
        <v>0</v>
      </c>
      <c r="J6" s="46">
        <f t="shared" ref="J6:J69" si="3">+G6-H6-K6-I6</f>
        <v>5</v>
      </c>
      <c r="K6" s="71"/>
      <c r="L6" s="15">
        <v>100</v>
      </c>
      <c r="M6" s="64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0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3">
        <f>+'1'!J7</f>
        <v>1</v>
      </c>
      <c r="F7" s="70">
        <v>0</v>
      </c>
      <c r="G7" s="46">
        <f t="shared" si="2"/>
        <v>1</v>
      </c>
      <c r="H7" s="78">
        <v>0</v>
      </c>
      <c r="I7" s="76">
        <v>0</v>
      </c>
      <c r="J7" s="46">
        <f t="shared" si="3"/>
        <v>1</v>
      </c>
      <c r="K7" s="71"/>
      <c r="L7" s="15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3">
        <f>+'1'!J8</f>
        <v>0</v>
      </c>
      <c r="F8" s="70">
        <v>0</v>
      </c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1"/>
      <c r="L8" s="15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3">
        <f>+'1'!J9</f>
        <v>0</v>
      </c>
      <c r="F9" s="70">
        <v>0</v>
      </c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1"/>
      <c r="L9" s="15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3">
        <f>+'1'!J10</f>
        <v>0</v>
      </c>
      <c r="F10" s="70">
        <v>0</v>
      </c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1"/>
      <c r="L10" s="15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3">
        <f>+'1'!J11</f>
        <v>4</v>
      </c>
      <c r="F11" s="70">
        <v>0</v>
      </c>
      <c r="G11" s="46">
        <f t="shared" si="2"/>
        <v>4</v>
      </c>
      <c r="H11" s="78">
        <v>0</v>
      </c>
      <c r="I11" s="76">
        <v>0</v>
      </c>
      <c r="J11" s="46">
        <f t="shared" si="3"/>
        <v>4</v>
      </c>
      <c r="K11" s="71"/>
      <c r="L11" s="15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3">
        <f>+'1'!J12</f>
        <v>0</v>
      </c>
      <c r="F12" s="70">
        <v>0</v>
      </c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1"/>
      <c r="L12" s="15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3">
        <f>+'1'!J13</f>
        <v>0</v>
      </c>
      <c r="F13" s="70">
        <v>0</v>
      </c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1"/>
      <c r="L13" s="15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3">
        <f>+'1'!J14</f>
        <v>2</v>
      </c>
      <c r="F14" s="70">
        <v>0</v>
      </c>
      <c r="G14" s="46">
        <f t="shared" si="2"/>
        <v>2</v>
      </c>
      <c r="H14" s="78">
        <v>0</v>
      </c>
      <c r="I14" s="76">
        <v>0</v>
      </c>
      <c r="J14" s="46">
        <f t="shared" si="3"/>
        <v>2</v>
      </c>
      <c r="K14" s="71"/>
      <c r="L14" s="15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3">
        <f>+'1'!J15</f>
        <v>0</v>
      </c>
      <c r="F15" s="70">
        <v>0</v>
      </c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1"/>
      <c r="L15" s="15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3">
        <f>+'1'!J16</f>
        <v>0</v>
      </c>
      <c r="F16" s="70">
        <v>0</v>
      </c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1"/>
      <c r="L16" s="15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3">
        <f>+'1'!J17</f>
        <v>0</v>
      </c>
      <c r="F17" s="70">
        <v>0</v>
      </c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1"/>
      <c r="L17" s="15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3">
        <f>+'1'!J18</f>
        <v>4</v>
      </c>
      <c r="F18" s="70">
        <v>0</v>
      </c>
      <c r="G18" s="46">
        <f t="shared" si="2"/>
        <v>4</v>
      </c>
      <c r="H18" s="78">
        <v>0</v>
      </c>
      <c r="I18" s="76">
        <v>0</v>
      </c>
      <c r="J18" s="46">
        <f t="shared" si="3"/>
        <v>4</v>
      </c>
      <c r="K18" s="71"/>
      <c r="L18" s="15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3">
        <f>+'1'!J19</f>
        <v>0</v>
      </c>
      <c r="F19" s="70">
        <v>0</v>
      </c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1"/>
      <c r="L19" s="15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3">
        <f>+'1'!J20</f>
        <v>0</v>
      </c>
      <c r="F20" s="70">
        <v>0</v>
      </c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1"/>
      <c r="L20" s="15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3">
        <f>+'1'!J21</f>
        <v>0</v>
      </c>
      <c r="F21" s="70">
        <v>0</v>
      </c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1"/>
      <c r="L21" s="15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3">
        <f>+'1'!J22</f>
        <v>4</v>
      </c>
      <c r="F22" s="70">
        <v>0</v>
      </c>
      <c r="G22" s="46">
        <f t="shared" si="2"/>
        <v>4</v>
      </c>
      <c r="H22" s="78">
        <v>0</v>
      </c>
      <c r="I22" s="76">
        <v>0</v>
      </c>
      <c r="J22" s="46">
        <f t="shared" si="3"/>
        <v>4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3">
        <f>+'1'!J23</f>
        <v>0</v>
      </c>
      <c r="F23" s="70">
        <v>0</v>
      </c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1"/>
      <c r="L23" s="15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3">
        <f>+'1'!J24</f>
        <v>5</v>
      </c>
      <c r="F24" s="70">
        <v>0</v>
      </c>
      <c r="G24" s="46">
        <f t="shared" si="2"/>
        <v>5</v>
      </c>
      <c r="H24" s="78">
        <v>0</v>
      </c>
      <c r="I24" s="76">
        <v>0</v>
      </c>
      <c r="J24" s="46">
        <f t="shared" si="3"/>
        <v>5</v>
      </c>
      <c r="K24" s="71"/>
      <c r="L24" s="15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3">
        <f>+'1'!J25</f>
        <v>5</v>
      </c>
      <c r="F25" s="70">
        <v>0</v>
      </c>
      <c r="G25" s="46">
        <f t="shared" si="2"/>
        <v>5</v>
      </c>
      <c r="H25" s="78">
        <v>0</v>
      </c>
      <c r="I25" s="76">
        <v>0</v>
      </c>
      <c r="J25" s="46">
        <f t="shared" si="3"/>
        <v>5</v>
      </c>
      <c r="K25" s="71"/>
      <c r="L25" s="15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3">
        <f>+'1'!J26</f>
        <v>0</v>
      </c>
      <c r="F26" s="70">
        <v>0</v>
      </c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1"/>
      <c r="L26" s="15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3">
        <f>+'1'!J27</f>
        <v>0</v>
      </c>
      <c r="F27" s="70">
        <v>0</v>
      </c>
      <c r="G27" s="46">
        <f t="shared" si="2"/>
        <v>0</v>
      </c>
      <c r="H27" s="78">
        <v>0</v>
      </c>
      <c r="I27" s="76">
        <v>0</v>
      </c>
      <c r="J27" s="46">
        <f t="shared" si="3"/>
        <v>0</v>
      </c>
      <c r="K27" s="71"/>
      <c r="L27" s="15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3">
        <f>+'1'!J28</f>
        <v>5</v>
      </c>
      <c r="F28" s="70">
        <v>0</v>
      </c>
      <c r="G28" s="46">
        <f t="shared" si="2"/>
        <v>5</v>
      </c>
      <c r="H28" s="78">
        <v>0</v>
      </c>
      <c r="I28" s="76">
        <v>0</v>
      </c>
      <c r="J28" s="46">
        <f t="shared" si="3"/>
        <v>5</v>
      </c>
      <c r="K28" s="71"/>
      <c r="L28" s="15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3">
        <f>+'1'!J29</f>
        <v>0</v>
      </c>
      <c r="F29" s="70">
        <v>0</v>
      </c>
      <c r="G29" s="46">
        <f t="shared" si="2"/>
        <v>0</v>
      </c>
      <c r="H29" s="78">
        <v>0</v>
      </c>
      <c r="I29" s="76">
        <v>0</v>
      </c>
      <c r="J29" s="46">
        <f t="shared" si="3"/>
        <v>0</v>
      </c>
      <c r="K29" s="71"/>
      <c r="L29" s="15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3">
        <f>+'1'!J30</f>
        <v>0</v>
      </c>
      <c r="F30" s="70">
        <v>0</v>
      </c>
      <c r="G30" s="46">
        <f t="shared" si="2"/>
        <v>0</v>
      </c>
      <c r="H30" s="78">
        <v>0</v>
      </c>
      <c r="I30" s="76">
        <v>0</v>
      </c>
      <c r="J30" s="46">
        <f t="shared" si="3"/>
        <v>0</v>
      </c>
      <c r="K30" s="71"/>
      <c r="L30" s="15">
        <v>100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3">
        <f>+'1'!J31</f>
        <v>4</v>
      </c>
      <c r="F31" s="70">
        <v>0</v>
      </c>
      <c r="G31" s="46">
        <f t="shared" si="2"/>
        <v>4</v>
      </c>
      <c r="H31" s="78">
        <v>0</v>
      </c>
      <c r="I31" s="76">
        <v>0</v>
      </c>
      <c r="J31" s="46">
        <f t="shared" si="3"/>
        <v>4</v>
      </c>
      <c r="K31" s="71"/>
      <c r="L31" s="15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3">
        <f>+'1'!J32</f>
        <v>0</v>
      </c>
      <c r="F32" s="70">
        <v>0</v>
      </c>
      <c r="G32" s="46">
        <f t="shared" si="2"/>
        <v>0</v>
      </c>
      <c r="H32" s="78">
        <v>0</v>
      </c>
      <c r="I32" s="76">
        <v>0</v>
      </c>
      <c r="J32" s="46">
        <f t="shared" si="3"/>
        <v>0</v>
      </c>
      <c r="K32" s="71"/>
      <c r="L32" s="15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3">
        <f>+'1'!J33</f>
        <v>0</v>
      </c>
      <c r="F33" s="70">
        <v>0</v>
      </c>
      <c r="G33" s="46">
        <f t="shared" si="2"/>
        <v>0</v>
      </c>
      <c r="H33" s="78">
        <v>0</v>
      </c>
      <c r="I33" s="76">
        <v>0</v>
      </c>
      <c r="J33" s="46">
        <f t="shared" si="3"/>
        <v>0</v>
      </c>
      <c r="K33" s="71"/>
      <c r="L33" s="15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3">
        <f>+'1'!J34</f>
        <v>0</v>
      </c>
      <c r="F34" s="70">
        <v>0</v>
      </c>
      <c r="G34" s="46">
        <f t="shared" si="2"/>
        <v>0</v>
      </c>
      <c r="H34" s="78">
        <v>0</v>
      </c>
      <c r="I34" s="76">
        <v>0</v>
      </c>
      <c r="J34" s="46">
        <f t="shared" si="3"/>
        <v>0</v>
      </c>
      <c r="K34" s="71"/>
      <c r="L34" s="15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3">
        <f>+'1'!J35</f>
        <v>0</v>
      </c>
      <c r="F35" s="70">
        <v>0</v>
      </c>
      <c r="G35" s="46">
        <f t="shared" si="2"/>
        <v>0</v>
      </c>
      <c r="H35" s="78">
        <v>0</v>
      </c>
      <c r="I35" s="76">
        <v>0</v>
      </c>
      <c r="J35" s="46">
        <f t="shared" si="3"/>
        <v>0</v>
      </c>
      <c r="K35" s="71"/>
      <c r="L35" s="15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3">
        <f>+'1'!J36</f>
        <v>0</v>
      </c>
      <c r="F36" s="70">
        <v>0</v>
      </c>
      <c r="G36" s="46">
        <f t="shared" si="2"/>
        <v>0</v>
      </c>
      <c r="H36" s="78">
        <v>0</v>
      </c>
      <c r="I36" s="76">
        <v>0</v>
      </c>
      <c r="J36" s="46">
        <f t="shared" si="3"/>
        <v>0</v>
      </c>
      <c r="K36" s="71"/>
      <c r="L36" s="15">
        <v>35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3">
        <f>+'1'!J37</f>
        <v>0</v>
      </c>
      <c r="F37" s="70">
        <v>0</v>
      </c>
      <c r="G37" s="46">
        <f t="shared" si="2"/>
        <v>0</v>
      </c>
      <c r="H37" s="78">
        <v>0</v>
      </c>
      <c r="I37" s="76">
        <v>0</v>
      </c>
      <c r="J37" s="46">
        <f t="shared" si="3"/>
        <v>0</v>
      </c>
      <c r="K37" s="71"/>
      <c r="L37" s="15">
        <v>35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3">
        <f>+'1'!J38</f>
        <v>0</v>
      </c>
      <c r="F38" s="70">
        <v>0</v>
      </c>
      <c r="G38" s="46">
        <f t="shared" si="2"/>
        <v>0</v>
      </c>
      <c r="H38" s="78">
        <v>0</v>
      </c>
      <c r="I38" s="76">
        <v>0</v>
      </c>
      <c r="J38" s="46">
        <f t="shared" si="3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3">
        <f>+'1'!J39</f>
        <v>0</v>
      </c>
      <c r="F39" s="70">
        <v>0</v>
      </c>
      <c r="G39" s="46">
        <f t="shared" si="2"/>
        <v>0</v>
      </c>
      <c r="H39" s="78">
        <v>0</v>
      </c>
      <c r="I39" s="76">
        <v>0</v>
      </c>
      <c r="J39" s="46">
        <f t="shared" si="3"/>
        <v>0</v>
      </c>
      <c r="K39" s="71"/>
      <c r="L39" s="15">
        <v>50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3">
        <f>+'1'!J40</f>
        <v>0</v>
      </c>
      <c r="F40" s="70">
        <v>0</v>
      </c>
      <c r="G40" s="46">
        <f t="shared" si="2"/>
        <v>0</v>
      </c>
      <c r="H40" s="78">
        <v>0</v>
      </c>
      <c r="I40" s="76">
        <v>0</v>
      </c>
      <c r="J40" s="46">
        <f t="shared" si="3"/>
        <v>0</v>
      </c>
      <c r="K40" s="71"/>
      <c r="L40" s="15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3">
        <f>+'1'!J41</f>
        <v>0</v>
      </c>
      <c r="F41" s="70">
        <v>0</v>
      </c>
      <c r="G41" s="46">
        <f t="shared" si="2"/>
        <v>0</v>
      </c>
      <c r="H41" s="78">
        <v>0</v>
      </c>
      <c r="I41" s="76">
        <v>0</v>
      </c>
      <c r="J41" s="46">
        <f t="shared" si="3"/>
        <v>0</v>
      </c>
      <c r="K41" s="71"/>
      <c r="L41" s="15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3">
        <f>+'1'!J42</f>
        <v>0</v>
      </c>
      <c r="F42" s="70">
        <v>0</v>
      </c>
      <c r="G42" s="46">
        <f t="shared" si="2"/>
        <v>0</v>
      </c>
      <c r="H42" s="78">
        <v>0</v>
      </c>
      <c r="I42" s="76">
        <v>0</v>
      </c>
      <c r="J42" s="46">
        <f t="shared" si="3"/>
        <v>0</v>
      </c>
      <c r="K42" s="71"/>
      <c r="L42" s="15">
        <v>25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3">
        <f>+'1'!J43</f>
        <v>0</v>
      </c>
      <c r="F43" s="70">
        <v>0</v>
      </c>
      <c r="G43" s="46">
        <f t="shared" si="2"/>
        <v>0</v>
      </c>
      <c r="H43" s="78">
        <v>0</v>
      </c>
      <c r="I43" s="76">
        <v>0</v>
      </c>
      <c r="J43" s="46">
        <f t="shared" si="3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3">
        <f>+'1'!J44</f>
        <v>0</v>
      </c>
      <c r="F44" s="70">
        <v>0</v>
      </c>
      <c r="G44" s="46">
        <f t="shared" si="2"/>
        <v>0</v>
      </c>
      <c r="H44" s="78">
        <v>0</v>
      </c>
      <c r="I44" s="76">
        <v>0</v>
      </c>
      <c r="J44" s="46">
        <f t="shared" si="3"/>
        <v>0</v>
      </c>
      <c r="K44" s="71"/>
      <c r="L44" s="15">
        <v>25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3">
        <f>+'1'!J45</f>
        <v>0</v>
      </c>
      <c r="F45" s="70">
        <v>0</v>
      </c>
      <c r="G45" s="46">
        <f t="shared" si="2"/>
        <v>0</v>
      </c>
      <c r="H45" s="78">
        <v>0</v>
      </c>
      <c r="I45" s="76">
        <v>0</v>
      </c>
      <c r="J45" s="46">
        <f t="shared" si="3"/>
        <v>0</v>
      </c>
      <c r="K45" s="71"/>
      <c r="L45" s="15">
        <v>35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3">
        <f>+'1'!J46</f>
        <v>2</v>
      </c>
      <c r="F46" s="70">
        <v>0</v>
      </c>
      <c r="G46" s="46">
        <f t="shared" si="2"/>
        <v>2</v>
      </c>
      <c r="H46" s="78">
        <v>0</v>
      </c>
      <c r="I46" s="76">
        <v>0</v>
      </c>
      <c r="J46" s="46">
        <f t="shared" si="3"/>
        <v>2</v>
      </c>
      <c r="K46" s="71"/>
      <c r="L46" s="15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3">
        <f>+'1'!J47</f>
        <v>5</v>
      </c>
      <c r="F47" s="70">
        <v>0</v>
      </c>
      <c r="G47" s="46">
        <f t="shared" si="2"/>
        <v>5</v>
      </c>
      <c r="H47" s="78">
        <v>0</v>
      </c>
      <c r="I47" s="76">
        <v>0</v>
      </c>
      <c r="J47" s="46">
        <f t="shared" si="3"/>
        <v>5</v>
      </c>
      <c r="K47" s="71"/>
      <c r="L47" s="15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3">
        <f>+'1'!J48</f>
        <v>2</v>
      </c>
      <c r="F48" s="70">
        <v>0</v>
      </c>
      <c r="G48" s="46">
        <f t="shared" si="2"/>
        <v>2</v>
      </c>
      <c r="H48" s="78">
        <v>0</v>
      </c>
      <c r="I48" s="76">
        <v>0</v>
      </c>
      <c r="J48" s="46">
        <f t="shared" si="3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3">
        <f>+'1'!J49</f>
        <v>3</v>
      </c>
      <c r="F49" s="70">
        <v>0</v>
      </c>
      <c r="G49" s="46">
        <f t="shared" si="2"/>
        <v>3</v>
      </c>
      <c r="H49" s="78">
        <v>0</v>
      </c>
      <c r="I49" s="76">
        <v>0</v>
      </c>
      <c r="J49" s="46">
        <f t="shared" si="3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3">
        <f>+'1'!J50</f>
        <v>1</v>
      </c>
      <c r="F50" s="70">
        <v>0</v>
      </c>
      <c r="G50" s="46">
        <f t="shared" si="2"/>
        <v>1</v>
      </c>
      <c r="H50" s="78">
        <v>0</v>
      </c>
      <c r="I50" s="76">
        <v>0</v>
      </c>
      <c r="J50" s="46">
        <f t="shared" si="3"/>
        <v>1</v>
      </c>
      <c r="K50" s="71"/>
      <c r="L50" s="15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3">
        <f>+'1'!J51</f>
        <v>4</v>
      </c>
      <c r="F51" s="70">
        <v>0</v>
      </c>
      <c r="G51" s="46">
        <f t="shared" si="2"/>
        <v>4</v>
      </c>
      <c r="H51" s="78">
        <v>0</v>
      </c>
      <c r="I51" s="76">
        <v>0</v>
      </c>
      <c r="J51" s="46">
        <f t="shared" si="3"/>
        <v>4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3">
        <f>+'1'!J52</f>
        <v>0</v>
      </c>
      <c r="F52" s="70">
        <v>0</v>
      </c>
      <c r="G52" s="46">
        <f t="shared" si="2"/>
        <v>0</v>
      </c>
      <c r="H52" s="78">
        <v>0</v>
      </c>
      <c r="I52" s="76">
        <v>0</v>
      </c>
      <c r="J52" s="46">
        <f t="shared" si="3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3">
        <f>+'1'!J53</f>
        <v>3</v>
      </c>
      <c r="F53" s="70">
        <v>0</v>
      </c>
      <c r="G53" s="46">
        <f t="shared" si="2"/>
        <v>3</v>
      </c>
      <c r="H53" s="78">
        <v>0</v>
      </c>
      <c r="I53" s="76">
        <v>0</v>
      </c>
      <c r="J53" s="46">
        <f t="shared" si="3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3">
        <f>+'1'!J54</f>
        <v>5</v>
      </c>
      <c r="F54" s="70">
        <v>0</v>
      </c>
      <c r="G54" s="46">
        <f t="shared" si="2"/>
        <v>5</v>
      </c>
      <c r="H54" s="78">
        <v>0</v>
      </c>
      <c r="I54" s="76">
        <v>0</v>
      </c>
      <c r="J54" s="46">
        <f t="shared" si="3"/>
        <v>5</v>
      </c>
      <c r="K54" s="71"/>
      <c r="L54" s="15">
        <v>50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3">
        <f>+'1'!J55</f>
        <v>0</v>
      </c>
      <c r="F55" s="70">
        <v>0</v>
      </c>
      <c r="G55" s="46">
        <f t="shared" si="2"/>
        <v>0</v>
      </c>
      <c r="H55" s="78">
        <v>0</v>
      </c>
      <c r="I55" s="76">
        <v>0</v>
      </c>
      <c r="J55" s="46">
        <f t="shared" si="3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3">
        <f>+'1'!J56</f>
        <v>0</v>
      </c>
      <c r="F56" s="70">
        <v>0</v>
      </c>
      <c r="G56" s="46">
        <f t="shared" si="2"/>
        <v>0</v>
      </c>
      <c r="H56" s="78">
        <v>0</v>
      </c>
      <c r="I56" s="76">
        <v>0</v>
      </c>
      <c r="J56" s="46">
        <f t="shared" si="3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3">
        <f>+'1'!J57</f>
        <v>0</v>
      </c>
      <c r="F57" s="70">
        <v>0</v>
      </c>
      <c r="G57" s="46">
        <f t="shared" si="2"/>
        <v>0</v>
      </c>
      <c r="H57" s="78">
        <v>0</v>
      </c>
      <c r="I57" s="76">
        <v>0</v>
      </c>
      <c r="J57" s="46">
        <f t="shared" si="3"/>
        <v>0</v>
      </c>
      <c r="K57" s="71"/>
      <c r="L57" s="15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3">
        <f>+'1'!J58</f>
        <v>0</v>
      </c>
      <c r="F58" s="70">
        <v>0</v>
      </c>
      <c r="G58" s="46">
        <f t="shared" si="2"/>
        <v>0</v>
      </c>
      <c r="H58" s="78">
        <v>0</v>
      </c>
      <c r="I58" s="76">
        <v>0</v>
      </c>
      <c r="J58" s="46">
        <f t="shared" si="3"/>
        <v>0</v>
      </c>
      <c r="K58" s="71"/>
      <c r="L58" s="15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3">
        <f>+'1'!J59</f>
        <v>0</v>
      </c>
      <c r="F59" s="70">
        <v>0</v>
      </c>
      <c r="G59" s="46">
        <f t="shared" si="2"/>
        <v>0</v>
      </c>
      <c r="H59" s="78">
        <v>0</v>
      </c>
      <c r="I59" s="76">
        <v>0</v>
      </c>
      <c r="J59" s="46">
        <f t="shared" si="3"/>
        <v>0</v>
      </c>
      <c r="K59" s="71"/>
      <c r="L59" s="15">
        <v>120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3">
        <f>+'1'!J60</f>
        <v>0</v>
      </c>
      <c r="F60" s="70">
        <v>0</v>
      </c>
      <c r="G60" s="46">
        <f t="shared" si="2"/>
        <v>0</v>
      </c>
      <c r="H60" s="78">
        <v>0</v>
      </c>
      <c r="I60" s="76">
        <v>0</v>
      </c>
      <c r="J60" s="46">
        <f t="shared" si="3"/>
        <v>0</v>
      </c>
      <c r="K60" s="71"/>
      <c r="L60" s="15">
        <v>120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3">
        <f>+'1'!J61</f>
        <v>0</v>
      </c>
      <c r="F61" s="70">
        <v>0</v>
      </c>
      <c r="G61" s="46">
        <f t="shared" si="2"/>
        <v>0</v>
      </c>
      <c r="H61" s="78">
        <v>0</v>
      </c>
      <c r="I61" s="76">
        <v>0</v>
      </c>
      <c r="J61" s="46">
        <f t="shared" si="3"/>
        <v>0</v>
      </c>
      <c r="K61" s="71"/>
      <c r="L61" s="15">
        <v>120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3">
        <f>+'1'!J62</f>
        <v>0</v>
      </c>
      <c r="F62" s="70">
        <v>0</v>
      </c>
      <c r="G62" s="46">
        <f t="shared" si="2"/>
        <v>0</v>
      </c>
      <c r="H62" s="78">
        <v>0</v>
      </c>
      <c r="I62" s="76">
        <v>0</v>
      </c>
      <c r="J62" s="46">
        <f t="shared" si="3"/>
        <v>0</v>
      </c>
      <c r="K62" s="71"/>
      <c r="L62" s="15">
        <v>120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3">
        <f>+'1'!J63</f>
        <v>0</v>
      </c>
      <c r="F63" s="70">
        <v>0</v>
      </c>
      <c r="G63" s="46">
        <f t="shared" si="2"/>
        <v>0</v>
      </c>
      <c r="H63" s="78">
        <v>0</v>
      </c>
      <c r="I63" s="76">
        <v>0</v>
      </c>
      <c r="J63" s="46">
        <f t="shared" si="3"/>
        <v>0</v>
      </c>
      <c r="K63" s="71"/>
      <c r="L63" s="15">
        <v>120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3">
        <f>+'1'!J64</f>
        <v>0</v>
      </c>
      <c r="F64" s="70">
        <v>0</v>
      </c>
      <c r="G64" s="46">
        <f t="shared" si="2"/>
        <v>0</v>
      </c>
      <c r="H64" s="78">
        <v>0</v>
      </c>
      <c r="I64" s="76">
        <v>0</v>
      </c>
      <c r="J64" s="46">
        <f t="shared" si="3"/>
        <v>0</v>
      </c>
      <c r="K64" s="71"/>
      <c r="L64" s="15">
        <v>50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3">
        <f>+'1'!J65</f>
        <v>0</v>
      </c>
      <c r="F65" s="70">
        <v>0</v>
      </c>
      <c r="G65" s="46">
        <f t="shared" si="2"/>
        <v>0</v>
      </c>
      <c r="H65" s="78">
        <v>0</v>
      </c>
      <c r="I65" s="76">
        <v>0</v>
      </c>
      <c r="J65" s="46">
        <f t="shared" si="3"/>
        <v>0</v>
      </c>
      <c r="K65" s="71"/>
      <c r="L65" s="15">
        <v>50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3">
        <f>+'1'!J66</f>
        <v>0</v>
      </c>
      <c r="F66" s="70">
        <v>0</v>
      </c>
      <c r="G66" s="46">
        <f t="shared" si="2"/>
        <v>0</v>
      </c>
      <c r="H66" s="78">
        <v>0</v>
      </c>
      <c r="I66" s="76">
        <v>0</v>
      </c>
      <c r="J66" s="46">
        <f t="shared" si="3"/>
        <v>0</v>
      </c>
      <c r="K66" s="71"/>
      <c r="L66" s="15">
        <v>50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3">
        <f>+'1'!J67</f>
        <v>0</v>
      </c>
      <c r="F67" s="70">
        <v>0</v>
      </c>
      <c r="G67" s="46">
        <f t="shared" si="2"/>
        <v>0</v>
      </c>
      <c r="H67" s="78">
        <v>0</v>
      </c>
      <c r="I67" s="76">
        <v>0</v>
      </c>
      <c r="J67" s="46">
        <f t="shared" si="3"/>
        <v>0</v>
      </c>
      <c r="K67" s="71"/>
      <c r="L67" s="15">
        <v>70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92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3">
        <f>+'1'!J68</f>
        <v>0</v>
      </c>
      <c r="F68" s="70">
        <v>0</v>
      </c>
      <c r="G68" s="46">
        <f t="shared" si="2"/>
        <v>0</v>
      </c>
      <c r="H68" s="78">
        <v>0</v>
      </c>
      <c r="I68" s="76">
        <v>0</v>
      </c>
      <c r="J68" s="46">
        <f t="shared" si="3"/>
        <v>0</v>
      </c>
      <c r="K68" s="71"/>
      <c r="L68" s="15">
        <v>80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92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3">
        <f>+'1'!J69</f>
        <v>0</v>
      </c>
      <c r="F69" s="70">
        <v>0</v>
      </c>
      <c r="G69" s="46">
        <f t="shared" si="2"/>
        <v>0</v>
      </c>
      <c r="H69" s="78">
        <v>0</v>
      </c>
      <c r="I69" s="76">
        <v>0</v>
      </c>
      <c r="J69" s="46">
        <f t="shared" si="3"/>
        <v>0</v>
      </c>
      <c r="K69" s="71"/>
      <c r="L69" s="15">
        <v>150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3">
        <f>+'1'!J70</f>
        <v>0</v>
      </c>
      <c r="F70" s="70">
        <v>0</v>
      </c>
      <c r="G70" s="46">
        <f t="shared" ref="G70:G133" si="7">E70+F70</f>
        <v>0</v>
      </c>
      <c r="H70" s="78">
        <v>0</v>
      </c>
      <c r="I70" s="76">
        <v>0</v>
      </c>
      <c r="J70" s="46">
        <f t="shared" ref="J70:J133" si="8">+G70-H70-K70-I70</f>
        <v>0</v>
      </c>
      <c r="K70" s="71"/>
      <c r="L70" s="15">
        <v>150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3">
        <f>+'1'!J71</f>
        <v>0</v>
      </c>
      <c r="F71" s="70">
        <v>0</v>
      </c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1"/>
      <c r="L71" s="15">
        <v>150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3">
        <f>+'1'!J72</f>
        <v>0</v>
      </c>
      <c r="F72" s="70">
        <v>0</v>
      </c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1"/>
      <c r="L72" s="21">
        <v>50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3">
        <f>+'1'!J73</f>
        <v>0</v>
      </c>
      <c r="F73" s="70">
        <v>0</v>
      </c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1"/>
      <c r="L73" s="21">
        <v>120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3">
        <f>+'1'!J74</f>
        <v>0</v>
      </c>
      <c r="F74" s="70">
        <v>0</v>
      </c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1"/>
      <c r="L74" s="21">
        <v>50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3">
        <f>+'1'!J75</f>
        <v>0</v>
      </c>
      <c r="F75" s="70">
        <v>0</v>
      </c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1"/>
      <c r="L75" s="21">
        <v>120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3">
        <f>+'1'!J76</f>
        <v>0</v>
      </c>
      <c r="F76" s="70">
        <v>0</v>
      </c>
      <c r="G76" s="46">
        <f t="shared" si="7"/>
        <v>0</v>
      </c>
      <c r="H76" s="78">
        <v>0</v>
      </c>
      <c r="I76" s="76">
        <v>0</v>
      </c>
      <c r="J76" s="46">
        <f t="shared" si="8"/>
        <v>0</v>
      </c>
      <c r="K76" s="71"/>
      <c r="L76" s="21">
        <v>50</v>
      </c>
      <c r="M76" s="64">
        <f t="shared" si="4"/>
        <v>0</v>
      </c>
      <c r="N76" s="17" t="s">
        <v>16</v>
      </c>
      <c r="O76" s="18"/>
      <c r="P76" s="23">
        <f t="shared" si="5"/>
        <v>0</v>
      </c>
      <c r="Q76" s="90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3">
        <f>+'1'!J77</f>
        <v>0</v>
      </c>
      <c r="F77" s="70">
        <v>0</v>
      </c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1"/>
      <c r="L77" s="15">
        <v>45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90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3">
        <f>+'1'!J78</f>
        <v>0</v>
      </c>
      <c r="F78" s="70">
        <v>0</v>
      </c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1"/>
      <c r="L78" s="21">
        <v>35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3">
        <f>+'1'!J79</f>
        <v>2</v>
      </c>
      <c r="F79" s="70">
        <v>0</v>
      </c>
      <c r="G79" s="46">
        <f t="shared" si="7"/>
        <v>2</v>
      </c>
      <c r="H79" s="78">
        <v>0</v>
      </c>
      <c r="I79" s="76">
        <v>0</v>
      </c>
      <c r="J79" s="46">
        <f t="shared" si="8"/>
        <v>2</v>
      </c>
      <c r="K79" s="71"/>
      <c r="L79" s="15">
        <v>55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90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3">
        <f>+'1'!J80</f>
        <v>1</v>
      </c>
      <c r="F80" s="70">
        <v>0</v>
      </c>
      <c r="G80" s="46">
        <f t="shared" si="7"/>
        <v>1</v>
      </c>
      <c r="H80" s="78">
        <v>0</v>
      </c>
      <c r="I80" s="76">
        <v>0</v>
      </c>
      <c r="J80" s="46">
        <f t="shared" si="8"/>
        <v>1</v>
      </c>
      <c r="K80" s="71"/>
      <c r="L80" s="20">
        <v>55</v>
      </c>
      <c r="M80" s="64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0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3">
        <f>+'1'!J81</f>
        <v>0</v>
      </c>
      <c r="F81" s="70">
        <v>0</v>
      </c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1"/>
      <c r="L81" s="22">
        <v>50</v>
      </c>
      <c r="M81" s="64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0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3">
        <f>+'1'!J82</f>
        <v>0</v>
      </c>
      <c r="F82" s="70">
        <v>0</v>
      </c>
      <c r="G82" s="46">
        <f t="shared" si="7"/>
        <v>0</v>
      </c>
      <c r="H82" s="78">
        <v>0</v>
      </c>
      <c r="I82" s="76">
        <v>0</v>
      </c>
      <c r="J82" s="46">
        <f t="shared" si="8"/>
        <v>0</v>
      </c>
      <c r="K82" s="71"/>
      <c r="L82" s="22">
        <v>50</v>
      </c>
      <c r="M82" s="64">
        <f t="shared" si="12"/>
        <v>0</v>
      </c>
      <c r="N82" s="17" t="s">
        <v>16</v>
      </c>
      <c r="O82" s="18"/>
      <c r="P82" s="23">
        <f t="shared" si="13"/>
        <v>0</v>
      </c>
      <c r="Q82" s="90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3">
        <f>+'1'!J83</f>
        <v>0</v>
      </c>
      <c r="F83" s="70">
        <v>0</v>
      </c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1"/>
      <c r="L83" s="20">
        <v>35</v>
      </c>
      <c r="M83" s="64">
        <f t="shared" si="12"/>
        <v>0</v>
      </c>
      <c r="N83" s="17" t="s">
        <v>16</v>
      </c>
      <c r="O83" s="18"/>
      <c r="P83" s="23">
        <f t="shared" si="13"/>
        <v>0</v>
      </c>
      <c r="Q83" s="90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3">
        <f>+'1'!J84</f>
        <v>0</v>
      </c>
      <c r="F84" s="70">
        <v>0</v>
      </c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1"/>
      <c r="L84" s="20">
        <v>35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90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3">
        <f>+'1'!J85</f>
        <v>0</v>
      </c>
      <c r="F85" s="70">
        <v>0</v>
      </c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1"/>
      <c r="L85" s="20">
        <v>45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3">
        <f>+'1'!J86</f>
        <v>0</v>
      </c>
      <c r="F86" s="70">
        <v>0</v>
      </c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3">
        <f>+'1'!J87</f>
        <v>0</v>
      </c>
      <c r="F87" s="70">
        <v>0</v>
      </c>
      <c r="G87" s="46">
        <f t="shared" si="7"/>
        <v>0</v>
      </c>
      <c r="H87" s="78">
        <v>0</v>
      </c>
      <c r="I87" s="76">
        <v>0</v>
      </c>
      <c r="J87" s="46">
        <f t="shared" si="8"/>
        <v>0</v>
      </c>
      <c r="K87" s="71"/>
      <c r="L87" s="20">
        <v>35</v>
      </c>
      <c r="M87" s="64">
        <f t="shared" si="12"/>
        <v>0</v>
      </c>
      <c r="N87" s="17" t="s">
        <v>16</v>
      </c>
      <c r="O87" s="18"/>
      <c r="P87" s="23">
        <f t="shared" si="13"/>
        <v>0</v>
      </c>
      <c r="Q87" s="90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3">
        <f>+'1'!J88</f>
        <v>0</v>
      </c>
      <c r="F88" s="70">
        <v>0</v>
      </c>
      <c r="G88" s="46">
        <f t="shared" si="7"/>
        <v>0</v>
      </c>
      <c r="H88" s="78">
        <v>0</v>
      </c>
      <c r="I88" s="76">
        <v>0</v>
      </c>
      <c r="J88" s="46">
        <f t="shared" si="8"/>
        <v>0</v>
      </c>
      <c r="K88" s="71"/>
      <c r="L88" s="22">
        <v>45</v>
      </c>
      <c r="M88" s="64">
        <f t="shared" si="12"/>
        <v>0</v>
      </c>
      <c r="N88" s="17" t="s">
        <v>16</v>
      </c>
      <c r="O88" s="18"/>
      <c r="P88" s="23">
        <f t="shared" si="13"/>
        <v>0</v>
      </c>
      <c r="Q88" s="90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3">
        <f>+'1'!J89</f>
        <v>0</v>
      </c>
      <c r="F89" s="70">
        <v>0</v>
      </c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1"/>
      <c r="L89" s="20">
        <v>45</v>
      </c>
      <c r="M89" s="64">
        <f t="shared" si="9"/>
        <v>0</v>
      </c>
      <c r="N89" s="17" t="s">
        <v>16</v>
      </c>
      <c r="O89" s="18"/>
      <c r="P89" s="23">
        <f t="shared" si="10"/>
        <v>0</v>
      </c>
      <c r="Q89" s="90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3">
        <f>+'1'!J90</f>
        <v>29</v>
      </c>
      <c r="F90" s="70">
        <v>0</v>
      </c>
      <c r="G90" s="46">
        <f t="shared" si="7"/>
        <v>29</v>
      </c>
      <c r="H90" s="78">
        <v>0</v>
      </c>
      <c r="I90" s="76">
        <v>0</v>
      </c>
      <c r="J90" s="46">
        <f t="shared" si="8"/>
        <v>29</v>
      </c>
      <c r="K90" s="71"/>
      <c r="L90" s="21">
        <v>35</v>
      </c>
      <c r="M90" s="64">
        <f t="shared" si="9"/>
        <v>0</v>
      </c>
      <c r="N90" s="17" t="s">
        <v>16</v>
      </c>
      <c r="O90" s="18"/>
      <c r="P90" s="23">
        <f t="shared" si="10"/>
        <v>0</v>
      </c>
      <c r="Q90" s="90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3">
        <f>+'1'!J91</f>
        <v>0</v>
      </c>
      <c r="F91" s="70">
        <v>0</v>
      </c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1"/>
      <c r="L91" s="21"/>
      <c r="M91" s="64"/>
      <c r="N91" s="17" t="s">
        <v>16</v>
      </c>
      <c r="O91" s="18"/>
      <c r="P91" s="23"/>
      <c r="Q91" s="90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3">
        <f>+'1'!J92</f>
        <v>0</v>
      </c>
      <c r="F92" s="70">
        <v>0</v>
      </c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1"/>
      <c r="L92" s="21">
        <v>120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3">
        <f>+'1'!J93</f>
        <v>0</v>
      </c>
      <c r="F93" s="70">
        <v>0</v>
      </c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1"/>
      <c r="L93" s="20">
        <v>45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3">
        <f>+'1'!J94</f>
        <v>0</v>
      </c>
      <c r="F94" s="70">
        <v>0</v>
      </c>
      <c r="G94" s="46">
        <f t="shared" si="7"/>
        <v>0</v>
      </c>
      <c r="H94" s="78">
        <v>0</v>
      </c>
      <c r="I94" s="76">
        <v>0</v>
      </c>
      <c r="J94" s="46">
        <f t="shared" si="8"/>
        <v>0</v>
      </c>
      <c r="K94" s="71"/>
      <c r="L94" s="20">
        <v>35</v>
      </c>
      <c r="M94" s="64">
        <f t="shared" si="9"/>
        <v>0</v>
      </c>
      <c r="N94" s="17" t="s">
        <v>16</v>
      </c>
      <c r="O94" s="18"/>
      <c r="P94" s="23">
        <f t="shared" si="10"/>
        <v>0</v>
      </c>
      <c r="Q94" s="90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3">
        <f>+'1'!J95</f>
        <v>0</v>
      </c>
      <c r="F95" s="70">
        <v>0</v>
      </c>
      <c r="G95" s="46">
        <f t="shared" si="7"/>
        <v>0</v>
      </c>
      <c r="H95" s="78">
        <v>0</v>
      </c>
      <c r="I95" s="76">
        <v>0</v>
      </c>
      <c r="J95" s="46">
        <f t="shared" si="8"/>
        <v>0</v>
      </c>
      <c r="K95" s="71"/>
      <c r="L95" s="20">
        <v>35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90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3">
        <f>+'1'!J96</f>
        <v>41</v>
      </c>
      <c r="F96" s="70">
        <v>0</v>
      </c>
      <c r="G96" s="46">
        <f t="shared" si="7"/>
        <v>41</v>
      </c>
      <c r="H96" s="78">
        <v>0</v>
      </c>
      <c r="I96" s="76">
        <v>0</v>
      </c>
      <c r="J96" s="46">
        <f t="shared" si="8"/>
        <v>41</v>
      </c>
      <c r="K96" s="71"/>
      <c r="L96" s="20">
        <v>45</v>
      </c>
      <c r="M96" s="64">
        <f>+L96*K96</f>
        <v>0</v>
      </c>
      <c r="N96" s="17" t="s">
        <v>16</v>
      </c>
      <c r="O96" s="18"/>
      <c r="P96" s="23">
        <f>SUM(M96-O96)</f>
        <v>0</v>
      </c>
      <c r="Q96" s="90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1387</v>
      </c>
      <c r="D97" s="10" t="s">
        <v>434</v>
      </c>
      <c r="E97" s="63">
        <f>+'1'!J97</f>
        <v>0</v>
      </c>
      <c r="F97" s="70">
        <v>0</v>
      </c>
      <c r="G97" s="46">
        <f t="shared" si="7"/>
        <v>0</v>
      </c>
      <c r="H97" s="78">
        <v>0</v>
      </c>
      <c r="I97" s="76">
        <v>0</v>
      </c>
      <c r="J97" s="46">
        <f t="shared" si="8"/>
        <v>0</v>
      </c>
      <c r="K97" s="71"/>
      <c r="L97" s="20">
        <v>35</v>
      </c>
      <c r="M97" s="64">
        <f>+L97*K97</f>
        <v>0</v>
      </c>
      <c r="N97" s="17" t="s">
        <v>16</v>
      </c>
      <c r="O97" s="18"/>
      <c r="P97" s="23">
        <f>SUM(M97-O97)</f>
        <v>0</v>
      </c>
      <c r="Q97" s="90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1388</v>
      </c>
      <c r="D98" s="10" t="s">
        <v>434</v>
      </c>
      <c r="E98" s="63">
        <f>+'1'!J98</f>
        <v>0</v>
      </c>
      <c r="F98" s="70">
        <v>0</v>
      </c>
      <c r="G98" s="46">
        <f t="shared" si="7"/>
        <v>0</v>
      </c>
      <c r="H98" s="78">
        <v>0</v>
      </c>
      <c r="I98" s="76">
        <v>0</v>
      </c>
      <c r="J98" s="46">
        <f t="shared" si="8"/>
        <v>0</v>
      </c>
      <c r="K98" s="71"/>
      <c r="L98" s="20">
        <v>35</v>
      </c>
      <c r="M98" s="64">
        <f>+L98*K98</f>
        <v>0</v>
      </c>
      <c r="N98" s="17" t="s">
        <v>16</v>
      </c>
      <c r="O98" s="18"/>
      <c r="P98" s="23">
        <f>SUM(M98-O98)</f>
        <v>0</v>
      </c>
      <c r="Q98" s="90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3">
        <f>+'1'!J99</f>
        <v>0</v>
      </c>
      <c r="F99" s="70">
        <v>0</v>
      </c>
      <c r="G99" s="46">
        <f t="shared" si="7"/>
        <v>0</v>
      </c>
      <c r="H99" s="78">
        <v>0</v>
      </c>
      <c r="I99" s="76">
        <v>0</v>
      </c>
      <c r="J99" s="46">
        <f t="shared" si="8"/>
        <v>0</v>
      </c>
      <c r="K99" s="71"/>
      <c r="L99" s="20">
        <v>35</v>
      </c>
      <c r="M99" s="64">
        <f t="shared" si="9"/>
        <v>0</v>
      </c>
      <c r="N99" s="17" t="s">
        <v>16</v>
      </c>
      <c r="O99" s="18"/>
      <c r="P99" s="23">
        <f t="shared" si="10"/>
        <v>0</v>
      </c>
      <c r="Q99" s="90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3">
        <f>+'1'!J100</f>
        <v>0</v>
      </c>
      <c r="F100" s="70">
        <v>0</v>
      </c>
      <c r="G100" s="46">
        <f t="shared" si="7"/>
        <v>0</v>
      </c>
      <c r="H100" s="78">
        <v>0</v>
      </c>
      <c r="I100" s="76">
        <v>0</v>
      </c>
      <c r="J100" s="46">
        <f t="shared" si="8"/>
        <v>0</v>
      </c>
      <c r="K100" s="71"/>
      <c r="L100" s="20">
        <v>35</v>
      </c>
      <c r="M100" s="64">
        <f t="shared" si="9"/>
        <v>0</v>
      </c>
      <c r="N100" s="17" t="s">
        <v>16</v>
      </c>
      <c r="O100" s="18"/>
      <c r="P100" s="23">
        <f t="shared" si="10"/>
        <v>0</v>
      </c>
      <c r="Q100" s="90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3">
        <f>+'1'!J101</f>
        <v>0</v>
      </c>
      <c r="F101" s="70">
        <v>0</v>
      </c>
      <c r="G101" s="46">
        <f t="shared" si="7"/>
        <v>0</v>
      </c>
      <c r="H101" s="78">
        <v>0</v>
      </c>
      <c r="I101" s="76">
        <v>0</v>
      </c>
      <c r="J101" s="46">
        <f t="shared" si="8"/>
        <v>0</v>
      </c>
      <c r="K101" s="71"/>
      <c r="L101" s="20">
        <v>100</v>
      </c>
      <c r="M101" s="64">
        <f>+L101*K101</f>
        <v>0</v>
      </c>
      <c r="N101" s="17" t="s">
        <v>16</v>
      </c>
      <c r="O101" s="18"/>
      <c r="P101" s="23">
        <f>SUM(M101-O101)</f>
        <v>0</v>
      </c>
      <c r="Q101" s="90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3">
        <f>+'1'!J102</f>
        <v>0</v>
      </c>
      <c r="F102" s="70">
        <v>0</v>
      </c>
      <c r="G102" s="46">
        <f t="shared" si="7"/>
        <v>0</v>
      </c>
      <c r="H102" s="78">
        <v>0</v>
      </c>
      <c r="I102" s="76">
        <v>0</v>
      </c>
      <c r="J102" s="46">
        <f t="shared" si="8"/>
        <v>0</v>
      </c>
      <c r="K102" s="71"/>
      <c r="L102" s="20">
        <v>250</v>
      </c>
      <c r="M102" s="64">
        <f>+L102*K102</f>
        <v>0</v>
      </c>
      <c r="N102" s="17" t="s">
        <v>16</v>
      </c>
      <c r="O102" s="18"/>
      <c r="P102" s="23">
        <f>SUM(M102-O102)</f>
        <v>0</v>
      </c>
      <c r="Q102" s="90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3">
        <f>+'1'!J103</f>
        <v>0</v>
      </c>
      <c r="F103" s="70">
        <v>0</v>
      </c>
      <c r="G103" s="46">
        <f t="shared" si="7"/>
        <v>0</v>
      </c>
      <c r="H103" s="78">
        <v>0</v>
      </c>
      <c r="I103" s="76">
        <v>0</v>
      </c>
      <c r="J103" s="46">
        <f t="shared" si="8"/>
        <v>0</v>
      </c>
      <c r="K103" s="71"/>
      <c r="L103" s="22">
        <v>120</v>
      </c>
      <c r="M103" s="64">
        <f t="shared" si="9"/>
        <v>0</v>
      </c>
      <c r="N103" s="17" t="s">
        <v>16</v>
      </c>
      <c r="O103" s="18"/>
      <c r="P103" s="23">
        <f t="shared" si="10"/>
        <v>0</v>
      </c>
      <c r="Q103" s="90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3">
        <f>+'1'!J104</f>
        <v>0</v>
      </c>
      <c r="F104" s="70">
        <v>0</v>
      </c>
      <c r="G104" s="46">
        <f t="shared" si="7"/>
        <v>0</v>
      </c>
      <c r="H104" s="78">
        <v>0</v>
      </c>
      <c r="I104" s="76">
        <v>0</v>
      </c>
      <c r="J104" s="46">
        <f t="shared" si="8"/>
        <v>0</v>
      </c>
      <c r="K104" s="71"/>
      <c r="L104" s="20">
        <v>250</v>
      </c>
      <c r="M104" s="64">
        <f t="shared" si="9"/>
        <v>0</v>
      </c>
      <c r="N104" s="17" t="s">
        <v>16</v>
      </c>
      <c r="O104" s="18"/>
      <c r="P104" s="23">
        <f t="shared" si="10"/>
        <v>0</v>
      </c>
      <c r="Q104" s="90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3">
        <f>+'1'!J105</f>
        <v>0</v>
      </c>
      <c r="F105" s="70">
        <v>0</v>
      </c>
      <c r="G105" s="46">
        <f t="shared" si="7"/>
        <v>0</v>
      </c>
      <c r="H105" s="78">
        <v>0</v>
      </c>
      <c r="I105" s="76">
        <v>0</v>
      </c>
      <c r="J105" s="46">
        <f t="shared" si="8"/>
        <v>0</v>
      </c>
      <c r="K105" s="71"/>
      <c r="L105" s="20">
        <v>80</v>
      </c>
      <c r="M105" s="64">
        <f>+L105*K105</f>
        <v>0</v>
      </c>
      <c r="N105" s="17" t="s">
        <v>16</v>
      </c>
      <c r="O105" s="18"/>
      <c r="P105" s="23">
        <f>SUM(M105-O105)</f>
        <v>0</v>
      </c>
      <c r="Q105" s="90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3">
        <f>+'1'!J106</f>
        <v>9</v>
      </c>
      <c r="F106" s="70">
        <v>0</v>
      </c>
      <c r="G106" s="46">
        <f t="shared" si="7"/>
        <v>9</v>
      </c>
      <c r="H106" s="78">
        <v>0</v>
      </c>
      <c r="I106" s="76">
        <v>0</v>
      </c>
      <c r="J106" s="46">
        <f t="shared" si="8"/>
        <v>9</v>
      </c>
      <c r="K106" s="71"/>
      <c r="L106" s="20">
        <v>55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90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3">
        <f>+'1'!J107</f>
        <v>0</v>
      </c>
      <c r="F107" s="70">
        <v>0</v>
      </c>
      <c r="G107" s="46">
        <f t="shared" si="7"/>
        <v>0</v>
      </c>
      <c r="H107" s="78">
        <v>0</v>
      </c>
      <c r="I107" s="76">
        <v>0</v>
      </c>
      <c r="J107" s="46">
        <f t="shared" si="8"/>
        <v>0</v>
      </c>
      <c r="K107" s="71"/>
      <c r="L107" s="20">
        <v>200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90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3">
        <f>+'1'!J108</f>
        <v>3</v>
      </c>
      <c r="F108" s="70">
        <v>0</v>
      </c>
      <c r="G108" s="46">
        <f t="shared" si="7"/>
        <v>3</v>
      </c>
      <c r="H108" s="78">
        <v>0</v>
      </c>
      <c r="I108" s="76">
        <v>0</v>
      </c>
      <c r="J108" s="46">
        <f t="shared" si="8"/>
        <v>3</v>
      </c>
      <c r="K108" s="71"/>
      <c r="L108" s="22">
        <v>60</v>
      </c>
      <c r="M108" s="64">
        <f t="shared" si="9"/>
        <v>0</v>
      </c>
      <c r="N108" s="17" t="s">
        <v>16</v>
      </c>
      <c r="O108" s="18"/>
      <c r="P108" s="23">
        <f t="shared" si="10"/>
        <v>0</v>
      </c>
      <c r="Q108" s="90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3">
        <f>+'1'!J109</f>
        <v>3</v>
      </c>
      <c r="F109" s="70">
        <v>0</v>
      </c>
      <c r="G109" s="46">
        <f t="shared" si="7"/>
        <v>3</v>
      </c>
      <c r="H109" s="78">
        <v>0</v>
      </c>
      <c r="I109" s="76">
        <v>0</v>
      </c>
      <c r="J109" s="46">
        <f t="shared" si="8"/>
        <v>3</v>
      </c>
      <c r="K109" s="71"/>
      <c r="L109" s="22">
        <v>100</v>
      </c>
      <c r="M109" s="64">
        <f t="shared" si="9"/>
        <v>0</v>
      </c>
      <c r="N109" s="17" t="s">
        <v>16</v>
      </c>
      <c r="O109" s="18"/>
      <c r="P109" s="23">
        <f t="shared" si="10"/>
        <v>0</v>
      </c>
      <c r="Q109" s="90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3">
        <f>+'1'!J110</f>
        <v>0</v>
      </c>
      <c r="F110" s="70">
        <v>0</v>
      </c>
      <c r="G110" s="46">
        <f t="shared" si="7"/>
        <v>0</v>
      </c>
      <c r="H110" s="78">
        <v>0</v>
      </c>
      <c r="I110" s="76">
        <v>0</v>
      </c>
      <c r="J110" s="46">
        <f t="shared" si="8"/>
        <v>0</v>
      </c>
      <c r="K110" s="71"/>
      <c r="L110" s="22">
        <v>55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90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3">
        <f>+'1'!J111</f>
        <v>0</v>
      </c>
      <c r="F111" s="70">
        <v>0</v>
      </c>
      <c r="G111" s="46">
        <f t="shared" si="7"/>
        <v>0</v>
      </c>
      <c r="H111" s="78">
        <v>0</v>
      </c>
      <c r="I111" s="76">
        <v>0</v>
      </c>
      <c r="J111" s="46">
        <f t="shared" si="8"/>
        <v>0</v>
      </c>
      <c r="K111" s="71"/>
      <c r="L111" s="15">
        <v>40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90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3">
        <f>+'1'!J112</f>
        <v>0</v>
      </c>
      <c r="F112" s="70">
        <v>0</v>
      </c>
      <c r="G112" s="46">
        <f t="shared" si="7"/>
        <v>0</v>
      </c>
      <c r="H112" s="78">
        <v>0</v>
      </c>
      <c r="I112" s="76">
        <v>0</v>
      </c>
      <c r="J112" s="46">
        <f t="shared" si="8"/>
        <v>0</v>
      </c>
      <c r="K112" s="71"/>
      <c r="L112" s="22">
        <v>40</v>
      </c>
      <c r="M112" s="64">
        <f t="shared" si="9"/>
        <v>0</v>
      </c>
      <c r="N112" s="17" t="s">
        <v>16</v>
      </c>
      <c r="O112" s="18"/>
      <c r="P112" s="23">
        <f t="shared" si="10"/>
        <v>0</v>
      </c>
      <c r="Q112" s="90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3">
        <f>+'1'!J113</f>
        <v>0</v>
      </c>
      <c r="F113" s="70">
        <v>0</v>
      </c>
      <c r="G113" s="46">
        <f t="shared" si="7"/>
        <v>0</v>
      </c>
      <c r="H113" s="78">
        <v>0</v>
      </c>
      <c r="I113" s="76">
        <v>0</v>
      </c>
      <c r="J113" s="46">
        <f t="shared" si="8"/>
        <v>0</v>
      </c>
      <c r="K113" s="71"/>
      <c r="L113" s="22">
        <v>40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90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3">
        <f>+'1'!J114</f>
        <v>0</v>
      </c>
      <c r="F114" s="70">
        <v>0</v>
      </c>
      <c r="G114" s="46">
        <f t="shared" si="7"/>
        <v>0</v>
      </c>
      <c r="H114" s="78">
        <v>0</v>
      </c>
      <c r="I114" s="76">
        <v>0</v>
      </c>
      <c r="J114" s="46">
        <f t="shared" si="8"/>
        <v>0</v>
      </c>
      <c r="K114" s="71"/>
      <c r="L114" s="20">
        <v>40</v>
      </c>
      <c r="M114" s="64">
        <f>+L114*K114</f>
        <v>0</v>
      </c>
      <c r="N114" s="17" t="s">
        <v>16</v>
      </c>
      <c r="O114" s="18"/>
      <c r="P114" s="23">
        <f>SUM(M114-O114)</f>
        <v>0</v>
      </c>
      <c r="Q114" s="90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3">
        <f>+'1'!J115</f>
        <v>0</v>
      </c>
      <c r="F115" s="70">
        <v>0</v>
      </c>
      <c r="G115" s="46">
        <f t="shared" si="7"/>
        <v>0</v>
      </c>
      <c r="H115" s="78">
        <v>0</v>
      </c>
      <c r="I115" s="76">
        <v>0</v>
      </c>
      <c r="J115" s="46">
        <f t="shared" si="8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92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3">
        <f>+'1'!J116</f>
        <v>0</v>
      </c>
      <c r="F116" s="70">
        <v>0</v>
      </c>
      <c r="G116" s="46">
        <f t="shared" si="7"/>
        <v>0</v>
      </c>
      <c r="H116" s="78">
        <v>0</v>
      </c>
      <c r="I116" s="76">
        <v>0</v>
      </c>
      <c r="J116" s="46">
        <f t="shared" si="8"/>
        <v>0</v>
      </c>
      <c r="K116" s="71"/>
      <c r="L116" s="22">
        <v>60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92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3">
        <f>+'1'!J117</f>
        <v>0</v>
      </c>
      <c r="F117" s="70">
        <v>0</v>
      </c>
      <c r="G117" s="46">
        <f t="shared" si="7"/>
        <v>0</v>
      </c>
      <c r="H117" s="78">
        <v>0</v>
      </c>
      <c r="I117" s="76">
        <v>0</v>
      </c>
      <c r="J117" s="46">
        <f t="shared" si="8"/>
        <v>0</v>
      </c>
      <c r="K117" s="71"/>
      <c r="L117" s="20">
        <v>40</v>
      </c>
      <c r="M117" s="64">
        <f>+L117*K117</f>
        <v>0</v>
      </c>
      <c r="N117" s="17" t="s">
        <v>16</v>
      </c>
      <c r="O117" s="18"/>
      <c r="P117" s="23">
        <f>SUM(M117-O117)</f>
        <v>0</v>
      </c>
      <c r="Q117" s="90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3">
        <f>+'1'!J118</f>
        <v>0</v>
      </c>
      <c r="F118" s="70">
        <v>0</v>
      </c>
      <c r="G118" s="46">
        <f t="shared" si="7"/>
        <v>0</v>
      </c>
      <c r="H118" s="78">
        <v>0</v>
      </c>
      <c r="I118" s="76">
        <v>0</v>
      </c>
      <c r="J118" s="46">
        <f t="shared" si="8"/>
        <v>0</v>
      </c>
      <c r="K118" s="71"/>
      <c r="L118" s="22">
        <v>50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90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3">
        <f>+'1'!J119</f>
        <v>0</v>
      </c>
      <c r="F119" s="70">
        <v>0</v>
      </c>
      <c r="G119" s="46">
        <f t="shared" si="7"/>
        <v>0</v>
      </c>
      <c r="H119" s="78">
        <v>0</v>
      </c>
      <c r="I119" s="76">
        <v>0</v>
      </c>
      <c r="J119" s="46">
        <f t="shared" si="8"/>
        <v>0</v>
      </c>
      <c r="K119" s="71"/>
      <c r="L119" s="22">
        <v>100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90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3">
        <f>+'1'!J120</f>
        <v>0</v>
      </c>
      <c r="F120" s="70">
        <v>0</v>
      </c>
      <c r="G120" s="46">
        <f t="shared" si="7"/>
        <v>0</v>
      </c>
      <c r="H120" s="78">
        <v>0</v>
      </c>
      <c r="I120" s="76">
        <v>0</v>
      </c>
      <c r="J120" s="46">
        <f t="shared" si="8"/>
        <v>0</v>
      </c>
      <c r="K120" s="71"/>
      <c r="L120" s="22">
        <v>39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90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3">
        <f>+'1'!J121</f>
        <v>0</v>
      </c>
      <c r="F121" s="70">
        <v>0</v>
      </c>
      <c r="G121" s="46">
        <f t="shared" si="7"/>
        <v>0</v>
      </c>
      <c r="H121" s="78">
        <v>0</v>
      </c>
      <c r="I121" s="76">
        <v>0</v>
      </c>
      <c r="J121" s="46">
        <f t="shared" si="8"/>
        <v>0</v>
      </c>
      <c r="K121" s="71"/>
      <c r="L121" s="22">
        <v>35</v>
      </c>
      <c r="M121" s="64">
        <f t="shared" si="9"/>
        <v>0</v>
      </c>
      <c r="N121" s="17" t="s">
        <v>16</v>
      </c>
      <c r="O121" s="18"/>
      <c r="P121" s="23">
        <f t="shared" si="10"/>
        <v>0</v>
      </c>
      <c r="Q121" s="90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3">
        <f>+'1'!J122</f>
        <v>0</v>
      </c>
      <c r="F122" s="70">
        <v>0</v>
      </c>
      <c r="G122" s="46">
        <f t="shared" si="7"/>
        <v>0</v>
      </c>
      <c r="H122" s="78">
        <v>0</v>
      </c>
      <c r="I122" s="76">
        <v>0</v>
      </c>
      <c r="J122" s="46">
        <f t="shared" si="8"/>
        <v>0</v>
      </c>
      <c r="K122" s="71"/>
      <c r="L122" s="22">
        <v>25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90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3">
        <f>+'1'!J123</f>
        <v>0</v>
      </c>
      <c r="F123" s="70">
        <v>0</v>
      </c>
      <c r="G123" s="46">
        <f t="shared" si="7"/>
        <v>0</v>
      </c>
      <c r="H123" s="78">
        <v>0</v>
      </c>
      <c r="I123" s="76">
        <v>0</v>
      </c>
      <c r="J123" s="46">
        <f t="shared" si="8"/>
        <v>0</v>
      </c>
      <c r="K123" s="71"/>
      <c r="L123" s="22">
        <v>40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90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3">
        <f>+'1'!J124</f>
        <v>1</v>
      </c>
      <c r="F124" s="70">
        <v>0</v>
      </c>
      <c r="G124" s="46">
        <f t="shared" si="7"/>
        <v>1</v>
      </c>
      <c r="H124" s="78">
        <v>0</v>
      </c>
      <c r="I124" s="76">
        <v>0</v>
      </c>
      <c r="J124" s="46">
        <f t="shared" si="8"/>
        <v>1</v>
      </c>
      <c r="K124" s="71"/>
      <c r="L124" s="22">
        <v>50</v>
      </c>
      <c r="M124" s="64">
        <f t="shared" si="9"/>
        <v>0</v>
      </c>
      <c r="N124" s="17" t="s">
        <v>16</v>
      </c>
      <c r="O124" s="18"/>
      <c r="P124" s="23">
        <f t="shared" si="10"/>
        <v>0</v>
      </c>
      <c r="Q124" s="90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3">
        <f>+'1'!J125</f>
        <v>0</v>
      </c>
      <c r="F125" s="70">
        <v>0</v>
      </c>
      <c r="G125" s="46">
        <f t="shared" si="7"/>
        <v>0</v>
      </c>
      <c r="H125" s="78">
        <v>0</v>
      </c>
      <c r="I125" s="76">
        <v>0</v>
      </c>
      <c r="J125" s="46">
        <f t="shared" si="8"/>
        <v>0</v>
      </c>
      <c r="K125" s="71"/>
      <c r="L125" s="22">
        <v>60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90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3">
        <f>+'1'!J126</f>
        <v>5</v>
      </c>
      <c r="F126" s="70">
        <v>0</v>
      </c>
      <c r="G126" s="46">
        <f t="shared" si="7"/>
        <v>5</v>
      </c>
      <c r="H126" s="78">
        <v>0</v>
      </c>
      <c r="I126" s="76">
        <v>0</v>
      </c>
      <c r="J126" s="46">
        <f t="shared" si="8"/>
        <v>5</v>
      </c>
      <c r="K126" s="71"/>
      <c r="L126" s="20">
        <v>50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90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1389</v>
      </c>
      <c r="D127" s="10" t="s">
        <v>434</v>
      </c>
      <c r="E127" s="63">
        <f>+'1'!J127</f>
        <v>0</v>
      </c>
      <c r="F127" s="70">
        <v>0</v>
      </c>
      <c r="G127" s="46">
        <f t="shared" si="7"/>
        <v>0</v>
      </c>
      <c r="H127" s="78">
        <v>0</v>
      </c>
      <c r="I127" s="76">
        <v>0</v>
      </c>
      <c r="J127" s="46">
        <f t="shared" si="8"/>
        <v>0</v>
      </c>
      <c r="K127" s="71"/>
      <c r="L127" s="20">
        <v>35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1390</v>
      </c>
      <c r="D128" s="10" t="s">
        <v>434</v>
      </c>
      <c r="E128" s="63">
        <f>+'1'!J128</f>
        <v>0</v>
      </c>
      <c r="F128" s="70">
        <v>0</v>
      </c>
      <c r="G128" s="46">
        <f t="shared" si="7"/>
        <v>0</v>
      </c>
      <c r="H128" s="78">
        <v>0</v>
      </c>
      <c r="I128" s="76">
        <v>0</v>
      </c>
      <c r="J128" s="46">
        <f t="shared" si="8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1391</v>
      </c>
      <c r="D129" s="10" t="s">
        <v>434</v>
      </c>
      <c r="E129" s="63">
        <f>+'1'!J129</f>
        <v>0</v>
      </c>
      <c r="F129" s="70">
        <v>0</v>
      </c>
      <c r="G129" s="46">
        <f t="shared" si="7"/>
        <v>0</v>
      </c>
      <c r="H129" s="78">
        <v>0</v>
      </c>
      <c r="I129" s="76">
        <v>0</v>
      </c>
      <c r="J129" s="46">
        <f t="shared" si="8"/>
        <v>0</v>
      </c>
      <c r="K129" s="71"/>
      <c r="L129" s="20">
        <v>35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1392</v>
      </c>
      <c r="D130" s="10" t="s">
        <v>434</v>
      </c>
      <c r="E130" s="63">
        <f>+'1'!J130</f>
        <v>0</v>
      </c>
      <c r="F130" s="70">
        <v>0</v>
      </c>
      <c r="G130" s="46">
        <f t="shared" si="7"/>
        <v>0</v>
      </c>
      <c r="H130" s="78">
        <v>0</v>
      </c>
      <c r="I130" s="76">
        <v>0</v>
      </c>
      <c r="J130" s="46">
        <f t="shared" si="8"/>
        <v>0</v>
      </c>
      <c r="K130" s="71"/>
      <c r="L130" s="20">
        <v>35</v>
      </c>
      <c r="M130" s="64">
        <f>+L130*K130</f>
        <v>0</v>
      </c>
      <c r="N130" s="17" t="s">
        <v>16</v>
      </c>
      <c r="O130" s="18"/>
      <c r="P130" s="23">
        <f>SUM(M130-O130)</f>
        <v>0</v>
      </c>
      <c r="Q130" s="90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3">
        <f>+'1'!J131</f>
        <v>0</v>
      </c>
      <c r="F131" s="70">
        <v>0</v>
      </c>
      <c r="G131" s="46">
        <f t="shared" si="7"/>
        <v>0</v>
      </c>
      <c r="H131" s="78">
        <v>0</v>
      </c>
      <c r="I131" s="76">
        <v>0</v>
      </c>
      <c r="J131" s="46">
        <f t="shared" si="8"/>
        <v>0</v>
      </c>
      <c r="K131" s="71"/>
      <c r="L131" s="20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90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3">
        <f>+'1'!J132</f>
        <v>0</v>
      </c>
      <c r="F132" s="70">
        <v>0</v>
      </c>
      <c r="G132" s="46">
        <f t="shared" si="7"/>
        <v>0</v>
      </c>
      <c r="H132" s="78">
        <v>0</v>
      </c>
      <c r="I132" s="76">
        <v>0</v>
      </c>
      <c r="J132" s="46">
        <f t="shared" si="8"/>
        <v>0</v>
      </c>
      <c r="K132" s="71"/>
      <c r="L132" s="20">
        <v>35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3">
        <f>+'1'!J133</f>
        <v>0</v>
      </c>
      <c r="F133" s="70">
        <v>0</v>
      </c>
      <c r="G133" s="46">
        <f t="shared" si="7"/>
        <v>0</v>
      </c>
      <c r="H133" s="78">
        <v>0</v>
      </c>
      <c r="I133" s="76">
        <v>0</v>
      </c>
      <c r="J133" s="46">
        <f t="shared" si="8"/>
        <v>0</v>
      </c>
      <c r="K133" s="71"/>
      <c r="L133" s="20">
        <v>10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90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3">
        <f>+'1'!J134</f>
        <v>0</v>
      </c>
      <c r="F134" s="70">
        <v>0</v>
      </c>
      <c r="G134" s="46">
        <f t="shared" ref="G134:G197" si="15">E134+F134</f>
        <v>0</v>
      </c>
      <c r="H134" s="78">
        <v>0</v>
      </c>
      <c r="I134" s="76">
        <v>0</v>
      </c>
      <c r="J134" s="46">
        <f t="shared" ref="J134:J197" si="16">+G134-H134-K134-I134</f>
        <v>0</v>
      </c>
      <c r="K134" s="71"/>
      <c r="L134" s="20">
        <v>10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3">
        <f>+'1'!J135</f>
        <v>0</v>
      </c>
      <c r="F135" s="70">
        <v>0</v>
      </c>
      <c r="G135" s="46">
        <f t="shared" si="15"/>
        <v>0</v>
      </c>
      <c r="H135" s="78">
        <v>0</v>
      </c>
      <c r="I135" s="76">
        <v>0</v>
      </c>
      <c r="J135" s="46">
        <f t="shared" si="16"/>
        <v>0</v>
      </c>
      <c r="K135" s="71"/>
      <c r="L135" s="20">
        <v>10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90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3">
        <f>+'1'!J136</f>
        <v>0</v>
      </c>
      <c r="F136" s="70">
        <v>0</v>
      </c>
      <c r="G136" s="46">
        <f t="shared" si="15"/>
        <v>0</v>
      </c>
      <c r="H136" s="78">
        <v>0</v>
      </c>
      <c r="I136" s="76">
        <v>0</v>
      </c>
      <c r="J136" s="46">
        <f t="shared" si="16"/>
        <v>0</v>
      </c>
      <c r="K136" s="71"/>
      <c r="L136" s="22">
        <v>10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90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3">
        <f>+'1'!J137</f>
        <v>0</v>
      </c>
      <c r="F137" s="70">
        <v>0</v>
      </c>
      <c r="G137" s="46">
        <f t="shared" si="15"/>
        <v>0</v>
      </c>
      <c r="H137" s="78">
        <v>0</v>
      </c>
      <c r="I137" s="76">
        <v>0</v>
      </c>
      <c r="J137" s="46">
        <f t="shared" si="16"/>
        <v>0</v>
      </c>
      <c r="K137" s="71"/>
      <c r="L137" s="22">
        <v>10</v>
      </c>
      <c r="M137" s="64">
        <f t="shared" si="9"/>
        <v>0</v>
      </c>
      <c r="N137" s="17" t="s">
        <v>16</v>
      </c>
      <c r="O137" s="18"/>
      <c r="P137" s="23">
        <f t="shared" si="10"/>
        <v>0</v>
      </c>
      <c r="Q137" s="90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3">
        <f>+'1'!J138</f>
        <v>0</v>
      </c>
      <c r="F138" s="70">
        <v>0</v>
      </c>
      <c r="G138" s="46">
        <f t="shared" si="15"/>
        <v>0</v>
      </c>
      <c r="H138" s="78">
        <v>0</v>
      </c>
      <c r="I138" s="76">
        <v>0</v>
      </c>
      <c r="J138" s="46">
        <f t="shared" si="16"/>
        <v>0</v>
      </c>
      <c r="K138" s="71"/>
      <c r="L138" s="20">
        <v>10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90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3">
        <f>+'1'!J139</f>
        <v>0</v>
      </c>
      <c r="F139" s="70">
        <v>0</v>
      </c>
      <c r="G139" s="46">
        <f t="shared" si="15"/>
        <v>0</v>
      </c>
      <c r="H139" s="78">
        <v>0</v>
      </c>
      <c r="I139" s="76">
        <v>0</v>
      </c>
      <c r="J139" s="46">
        <f t="shared" si="16"/>
        <v>0</v>
      </c>
      <c r="K139" s="71"/>
      <c r="L139" s="20">
        <v>10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90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3">
        <f>+'1'!J140</f>
        <v>0</v>
      </c>
      <c r="F140" s="70">
        <v>0</v>
      </c>
      <c r="G140" s="46">
        <f t="shared" si="15"/>
        <v>0</v>
      </c>
      <c r="H140" s="78">
        <v>0</v>
      </c>
      <c r="I140" s="76">
        <v>0</v>
      </c>
      <c r="J140" s="46">
        <f t="shared" si="1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3">
        <f>+'1'!J141</f>
        <v>0</v>
      </c>
      <c r="F141" s="70">
        <v>0</v>
      </c>
      <c r="G141" s="46">
        <f t="shared" si="15"/>
        <v>0</v>
      </c>
      <c r="H141" s="78">
        <v>0</v>
      </c>
      <c r="I141" s="76">
        <v>0</v>
      </c>
      <c r="J141" s="46">
        <f t="shared" si="16"/>
        <v>0</v>
      </c>
      <c r="K141" s="71"/>
      <c r="L141" s="20">
        <v>40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3">
        <f>+'1'!J142</f>
        <v>0</v>
      </c>
      <c r="F142" s="70">
        <v>0</v>
      </c>
      <c r="G142" s="46">
        <f t="shared" si="15"/>
        <v>0</v>
      </c>
      <c r="H142" s="78">
        <v>0</v>
      </c>
      <c r="I142" s="76">
        <v>0</v>
      </c>
      <c r="J142" s="46">
        <f t="shared" si="16"/>
        <v>0</v>
      </c>
      <c r="K142" s="71"/>
      <c r="L142" s="20">
        <v>50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90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3">
        <f>+'1'!J143</f>
        <v>0</v>
      </c>
      <c r="F143" s="70">
        <v>0</v>
      </c>
      <c r="G143" s="46">
        <f t="shared" si="15"/>
        <v>0</v>
      </c>
      <c r="H143" s="78">
        <v>0</v>
      </c>
      <c r="I143" s="76">
        <v>0</v>
      </c>
      <c r="J143" s="46">
        <f t="shared" si="16"/>
        <v>0</v>
      </c>
      <c r="K143" s="71"/>
      <c r="L143" s="20">
        <v>55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90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3">
        <f>+'1'!J144</f>
        <v>0</v>
      </c>
      <c r="F144" s="70">
        <v>0</v>
      </c>
      <c r="G144" s="46">
        <f t="shared" si="15"/>
        <v>0</v>
      </c>
      <c r="H144" s="78">
        <v>0</v>
      </c>
      <c r="I144" s="76">
        <v>0</v>
      </c>
      <c r="J144" s="46">
        <f t="shared" si="16"/>
        <v>0</v>
      </c>
      <c r="K144" s="71"/>
      <c r="L144" s="20">
        <v>55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90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3">
        <f>+'1'!J145</f>
        <v>0</v>
      </c>
      <c r="F145" s="70">
        <v>0</v>
      </c>
      <c r="G145" s="46">
        <f t="shared" si="15"/>
        <v>0</v>
      </c>
      <c r="H145" s="78">
        <v>0</v>
      </c>
      <c r="I145" s="76">
        <v>0</v>
      </c>
      <c r="J145" s="46">
        <f t="shared" si="16"/>
        <v>0</v>
      </c>
      <c r="K145" s="71"/>
      <c r="L145" s="20">
        <v>55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90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3">
        <f>+'1'!J146</f>
        <v>0</v>
      </c>
      <c r="F146" s="70">
        <v>0</v>
      </c>
      <c r="G146" s="46">
        <f t="shared" si="15"/>
        <v>0</v>
      </c>
      <c r="H146" s="78">
        <v>0</v>
      </c>
      <c r="I146" s="76">
        <v>0</v>
      </c>
      <c r="J146" s="46">
        <f t="shared" si="16"/>
        <v>0</v>
      </c>
      <c r="K146" s="71"/>
      <c r="L146" s="20">
        <v>30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90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3">
        <f>+'1'!J147</f>
        <v>0</v>
      </c>
      <c r="F147" s="70">
        <v>0</v>
      </c>
      <c r="G147" s="46">
        <f t="shared" si="15"/>
        <v>0</v>
      </c>
      <c r="H147" s="78">
        <v>0</v>
      </c>
      <c r="I147" s="76">
        <v>0</v>
      </c>
      <c r="J147" s="46">
        <f t="shared" si="16"/>
        <v>0</v>
      </c>
      <c r="K147" s="71"/>
      <c r="L147" s="20">
        <v>25</v>
      </c>
      <c r="M147" s="64">
        <f>+L147*K147</f>
        <v>0</v>
      </c>
      <c r="N147" s="17" t="s">
        <v>16</v>
      </c>
      <c r="O147" s="18"/>
      <c r="P147" s="23">
        <f>SUM(M147-O147)</f>
        <v>0</v>
      </c>
      <c r="Q147" s="90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3">
        <f>+'1'!J148</f>
        <v>0</v>
      </c>
      <c r="F148" s="70">
        <v>0</v>
      </c>
      <c r="G148" s="46">
        <f t="shared" si="15"/>
        <v>0</v>
      </c>
      <c r="H148" s="78">
        <v>0</v>
      </c>
      <c r="I148" s="76">
        <v>0</v>
      </c>
      <c r="J148" s="46">
        <f t="shared" si="16"/>
        <v>0</v>
      </c>
      <c r="K148" s="71"/>
      <c r="L148" s="20">
        <v>25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90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3">
        <f>+'1'!J149</f>
        <v>0</v>
      </c>
      <c r="F149" s="70">
        <v>0</v>
      </c>
      <c r="G149" s="46">
        <f t="shared" si="15"/>
        <v>0</v>
      </c>
      <c r="H149" s="78">
        <v>0</v>
      </c>
      <c r="I149" s="76">
        <v>0</v>
      </c>
      <c r="J149" s="46">
        <f t="shared" si="16"/>
        <v>0</v>
      </c>
      <c r="K149" s="71"/>
      <c r="L149" s="20">
        <v>55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90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3">
        <f>+'1'!J150</f>
        <v>0</v>
      </c>
      <c r="F150" s="70">
        <v>0</v>
      </c>
      <c r="G150" s="46">
        <f t="shared" si="15"/>
        <v>0</v>
      </c>
      <c r="H150" s="78">
        <v>0</v>
      </c>
      <c r="I150" s="76">
        <v>0</v>
      </c>
      <c r="J150" s="46">
        <f t="shared" si="16"/>
        <v>0</v>
      </c>
      <c r="K150" s="71"/>
      <c r="L150" s="20">
        <v>50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90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3">
        <f>+'1'!J151</f>
        <v>0</v>
      </c>
      <c r="F151" s="70">
        <v>0</v>
      </c>
      <c r="G151" s="46">
        <f t="shared" si="15"/>
        <v>0</v>
      </c>
      <c r="H151" s="78">
        <v>0</v>
      </c>
      <c r="I151" s="76">
        <v>0</v>
      </c>
      <c r="J151" s="46">
        <f t="shared" si="16"/>
        <v>0</v>
      </c>
      <c r="K151" s="71"/>
      <c r="L151" s="20">
        <v>65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3">
        <f>+'1'!J152</f>
        <v>0</v>
      </c>
      <c r="F152" s="70">
        <v>0</v>
      </c>
      <c r="G152" s="46">
        <f t="shared" si="15"/>
        <v>0</v>
      </c>
      <c r="H152" s="78">
        <v>0</v>
      </c>
      <c r="I152" s="76">
        <v>0</v>
      </c>
      <c r="J152" s="46">
        <f t="shared" si="16"/>
        <v>0</v>
      </c>
      <c r="K152" s="71"/>
      <c r="L152" s="20">
        <v>50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90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3">
        <f>+'1'!J153</f>
        <v>0</v>
      </c>
      <c r="F153" s="70">
        <v>0</v>
      </c>
      <c r="G153" s="46">
        <f t="shared" si="15"/>
        <v>0</v>
      </c>
      <c r="H153" s="78">
        <v>0</v>
      </c>
      <c r="I153" s="76">
        <v>0</v>
      </c>
      <c r="J153" s="46">
        <f t="shared" si="16"/>
        <v>0</v>
      </c>
      <c r="K153" s="71"/>
      <c r="L153" s="20">
        <v>50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90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3">
        <f>+'1'!J154</f>
        <v>0</v>
      </c>
      <c r="F154" s="70">
        <v>0</v>
      </c>
      <c r="G154" s="46">
        <f t="shared" si="15"/>
        <v>0</v>
      </c>
      <c r="H154" s="78">
        <v>0</v>
      </c>
      <c r="I154" s="76">
        <v>0</v>
      </c>
      <c r="J154" s="46">
        <f t="shared" si="16"/>
        <v>0</v>
      </c>
      <c r="K154" s="71"/>
      <c r="L154" s="20">
        <v>60</v>
      </c>
      <c r="M154" s="64">
        <f t="shared" si="9"/>
        <v>0</v>
      </c>
      <c r="N154" s="17" t="s">
        <v>16</v>
      </c>
      <c r="O154" s="18"/>
      <c r="P154" s="23">
        <f t="shared" si="10"/>
        <v>0</v>
      </c>
      <c r="Q154" s="90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3">
        <f>+'1'!J155</f>
        <v>0</v>
      </c>
      <c r="F155" s="70">
        <v>0</v>
      </c>
      <c r="G155" s="46">
        <f t="shared" si="15"/>
        <v>0</v>
      </c>
      <c r="H155" s="78">
        <v>0</v>
      </c>
      <c r="I155" s="76">
        <v>0</v>
      </c>
      <c r="J155" s="46">
        <f t="shared" si="16"/>
        <v>0</v>
      </c>
      <c r="K155" s="71"/>
      <c r="L155" s="20">
        <v>60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90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3">
        <f>+'1'!J156</f>
        <v>0</v>
      </c>
      <c r="F156" s="70">
        <v>0</v>
      </c>
      <c r="G156" s="46">
        <f t="shared" si="15"/>
        <v>0</v>
      </c>
      <c r="H156" s="78">
        <v>0</v>
      </c>
      <c r="I156" s="76">
        <v>0</v>
      </c>
      <c r="J156" s="46">
        <f t="shared" si="16"/>
        <v>0</v>
      </c>
      <c r="K156" s="71"/>
      <c r="L156" s="20">
        <v>25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90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3">
        <f>+'1'!J157</f>
        <v>0</v>
      </c>
      <c r="F157" s="70">
        <v>0</v>
      </c>
      <c r="G157" s="46">
        <f t="shared" si="15"/>
        <v>0</v>
      </c>
      <c r="H157" s="78">
        <v>0</v>
      </c>
      <c r="I157" s="76">
        <v>0</v>
      </c>
      <c r="J157" s="46">
        <f t="shared" si="16"/>
        <v>0</v>
      </c>
      <c r="K157" s="71"/>
      <c r="L157" s="20">
        <v>45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90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3">
        <f>+'1'!J158</f>
        <v>0</v>
      </c>
      <c r="F158" s="70">
        <v>0</v>
      </c>
      <c r="G158" s="46">
        <f t="shared" si="15"/>
        <v>0</v>
      </c>
      <c r="H158" s="78">
        <v>0</v>
      </c>
      <c r="I158" s="76">
        <v>0</v>
      </c>
      <c r="J158" s="46">
        <f t="shared" si="16"/>
        <v>0</v>
      </c>
      <c r="K158" s="71"/>
      <c r="L158" s="20">
        <v>45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90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3">
        <f>+'1'!J159</f>
        <v>0</v>
      </c>
      <c r="F159" s="70">
        <v>0</v>
      </c>
      <c r="G159" s="46">
        <f t="shared" si="15"/>
        <v>0</v>
      </c>
      <c r="H159" s="78">
        <v>0</v>
      </c>
      <c r="I159" s="76">
        <v>0</v>
      </c>
      <c r="J159" s="46">
        <f t="shared" si="16"/>
        <v>0</v>
      </c>
      <c r="K159" s="71"/>
      <c r="L159" s="20">
        <v>45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90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3">
        <f>+'1'!J160</f>
        <v>0</v>
      </c>
      <c r="F160" s="70">
        <v>0</v>
      </c>
      <c r="G160" s="46">
        <f t="shared" si="15"/>
        <v>0</v>
      </c>
      <c r="H160" s="78">
        <v>0</v>
      </c>
      <c r="I160" s="76">
        <v>0</v>
      </c>
      <c r="J160" s="46">
        <f t="shared" si="16"/>
        <v>0</v>
      </c>
      <c r="K160" s="71"/>
      <c r="L160" s="20">
        <v>45</v>
      </c>
      <c r="M160" s="64">
        <f>+L160*K160</f>
        <v>0</v>
      </c>
      <c r="N160" s="17" t="s">
        <v>16</v>
      </c>
      <c r="O160" s="18"/>
      <c r="P160" s="23">
        <f>SUM(M160-O160)</f>
        <v>0</v>
      </c>
      <c r="Q160" s="90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3">
        <f>+'1'!J161</f>
        <v>0</v>
      </c>
      <c r="F161" s="70">
        <v>0</v>
      </c>
      <c r="G161" s="46">
        <f t="shared" si="15"/>
        <v>0</v>
      </c>
      <c r="H161" s="78">
        <v>0</v>
      </c>
      <c r="I161" s="76">
        <v>0</v>
      </c>
      <c r="J161" s="46">
        <f t="shared" si="16"/>
        <v>0</v>
      </c>
      <c r="K161" s="71"/>
      <c r="L161" s="20">
        <v>45</v>
      </c>
      <c r="M161" s="64">
        <f>+L161*K161</f>
        <v>0</v>
      </c>
      <c r="N161" s="17" t="s">
        <v>16</v>
      </c>
      <c r="O161" s="18"/>
      <c r="P161" s="23">
        <f>SUM(M161-O161)</f>
        <v>0</v>
      </c>
      <c r="Q161" s="90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3">
        <f>+'1'!J162</f>
        <v>0</v>
      </c>
      <c r="F162" s="70">
        <v>0</v>
      </c>
      <c r="G162" s="46">
        <f t="shared" si="15"/>
        <v>0</v>
      </c>
      <c r="H162" s="78">
        <v>0</v>
      </c>
      <c r="I162" s="76">
        <v>0</v>
      </c>
      <c r="J162" s="46">
        <f t="shared" si="16"/>
        <v>0</v>
      </c>
      <c r="K162" s="71"/>
      <c r="L162" s="20">
        <v>45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90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3">
        <f>+'1'!J163</f>
        <v>0</v>
      </c>
      <c r="F163" s="70">
        <v>0</v>
      </c>
      <c r="G163" s="46">
        <f t="shared" si="15"/>
        <v>0</v>
      </c>
      <c r="H163" s="78">
        <v>0</v>
      </c>
      <c r="I163" s="76">
        <v>0</v>
      </c>
      <c r="J163" s="46">
        <f t="shared" si="16"/>
        <v>0</v>
      </c>
      <c r="K163" s="71"/>
      <c r="L163" s="22">
        <v>35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3">
        <f>+'1'!J164</f>
        <v>0</v>
      </c>
      <c r="F164" s="70">
        <v>0</v>
      </c>
      <c r="G164" s="46">
        <f t="shared" si="15"/>
        <v>0</v>
      </c>
      <c r="H164" s="78">
        <v>0</v>
      </c>
      <c r="I164" s="76">
        <v>0</v>
      </c>
      <c r="J164" s="46">
        <f t="shared" si="16"/>
        <v>0</v>
      </c>
      <c r="K164" s="71"/>
      <c r="L164" s="22">
        <v>25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90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3">
        <f>+'1'!J165</f>
        <v>0</v>
      </c>
      <c r="F165" s="70">
        <v>0</v>
      </c>
      <c r="G165" s="46">
        <f t="shared" si="15"/>
        <v>0</v>
      </c>
      <c r="H165" s="78">
        <v>0</v>
      </c>
      <c r="I165" s="76">
        <v>0</v>
      </c>
      <c r="J165" s="46">
        <f t="shared" si="16"/>
        <v>0</v>
      </c>
      <c r="K165" s="71"/>
      <c r="L165" s="20">
        <v>100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92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3">
        <f>+'1'!J166</f>
        <v>9</v>
      </c>
      <c r="F166" s="70">
        <v>0</v>
      </c>
      <c r="G166" s="46">
        <f t="shared" si="15"/>
        <v>9</v>
      </c>
      <c r="H166" s="78">
        <v>0</v>
      </c>
      <c r="I166" s="76">
        <v>0</v>
      </c>
      <c r="J166" s="46">
        <f t="shared" si="16"/>
        <v>9</v>
      </c>
      <c r="K166" s="71"/>
      <c r="L166" s="15">
        <v>50</v>
      </c>
      <c r="M166" s="64">
        <f>+L166*K166</f>
        <v>0</v>
      </c>
      <c r="N166" s="17" t="s">
        <v>16</v>
      </c>
      <c r="O166" s="18"/>
      <c r="P166" s="23">
        <f>SUM(M166-O166)</f>
        <v>0</v>
      </c>
      <c r="Q166" s="90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3">
        <f>+'1'!J167</f>
        <v>0</v>
      </c>
      <c r="F167" s="70">
        <v>0</v>
      </c>
      <c r="G167" s="46">
        <f t="shared" si="15"/>
        <v>0</v>
      </c>
      <c r="H167" s="78">
        <v>0</v>
      </c>
      <c r="I167" s="76">
        <v>0</v>
      </c>
      <c r="J167" s="46">
        <f t="shared" si="16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90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3">
        <f>+'1'!J168</f>
        <v>0</v>
      </c>
      <c r="F168" s="70">
        <v>0</v>
      </c>
      <c r="G168" s="46">
        <f t="shared" si="15"/>
        <v>0</v>
      </c>
      <c r="H168" s="78">
        <v>0</v>
      </c>
      <c r="I168" s="76">
        <v>0</v>
      </c>
      <c r="J168" s="46">
        <f t="shared" si="16"/>
        <v>0</v>
      </c>
      <c r="K168" s="71"/>
      <c r="L168" s="20">
        <v>40</v>
      </c>
      <c r="M168" s="64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2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3">
        <f>+'1'!J169</f>
        <v>0</v>
      </c>
      <c r="F169" s="70">
        <v>0</v>
      </c>
      <c r="G169" s="46">
        <f t="shared" si="15"/>
        <v>0</v>
      </c>
      <c r="H169" s="78">
        <v>0</v>
      </c>
      <c r="I169" s="76">
        <v>0</v>
      </c>
      <c r="J169" s="46">
        <f t="shared" si="16"/>
        <v>0</v>
      </c>
      <c r="K169" s="71"/>
      <c r="L169" s="20">
        <v>55</v>
      </c>
      <c r="M169" s="64">
        <f t="shared" si="17"/>
        <v>0</v>
      </c>
      <c r="N169" s="17" t="s">
        <v>16</v>
      </c>
      <c r="O169" s="18"/>
      <c r="P169" s="23">
        <f t="shared" si="18"/>
        <v>0</v>
      </c>
      <c r="Q169" s="90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3">
        <f>+'1'!J170</f>
        <v>0</v>
      </c>
      <c r="F170" s="70">
        <v>0</v>
      </c>
      <c r="G170" s="46">
        <f t="shared" si="15"/>
        <v>0</v>
      </c>
      <c r="H170" s="78">
        <v>0</v>
      </c>
      <c r="I170" s="76">
        <v>0</v>
      </c>
      <c r="J170" s="46">
        <f t="shared" si="16"/>
        <v>0</v>
      </c>
      <c r="K170" s="71"/>
      <c r="L170" s="20">
        <v>55</v>
      </c>
      <c r="M170" s="64">
        <f t="shared" si="17"/>
        <v>0</v>
      </c>
      <c r="N170" s="17" t="s">
        <v>16</v>
      </c>
      <c r="O170" s="18"/>
      <c r="P170" s="23">
        <f t="shared" si="18"/>
        <v>0</v>
      </c>
      <c r="Q170" s="90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3">
        <f>+'1'!J171</f>
        <v>0</v>
      </c>
      <c r="F171" s="70">
        <v>0</v>
      </c>
      <c r="G171" s="46">
        <f t="shared" si="15"/>
        <v>0</v>
      </c>
      <c r="H171" s="78">
        <v>0</v>
      </c>
      <c r="I171" s="76">
        <v>0</v>
      </c>
      <c r="J171" s="46">
        <f t="shared" si="16"/>
        <v>0</v>
      </c>
      <c r="K171" s="71"/>
      <c r="L171" s="20">
        <v>10</v>
      </c>
      <c r="M171" s="64">
        <f t="shared" si="17"/>
        <v>0</v>
      </c>
      <c r="N171" s="17" t="s">
        <v>16</v>
      </c>
      <c r="O171" s="18"/>
      <c r="P171" s="23">
        <f t="shared" si="18"/>
        <v>0</v>
      </c>
      <c r="Q171" s="90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3">
        <f>+'1'!J172</f>
        <v>5</v>
      </c>
      <c r="F172" s="70">
        <v>0</v>
      </c>
      <c r="G172" s="46">
        <f t="shared" si="15"/>
        <v>5</v>
      </c>
      <c r="H172" s="78">
        <v>0</v>
      </c>
      <c r="I172" s="76">
        <v>0</v>
      </c>
      <c r="J172" s="46">
        <f t="shared" si="16"/>
        <v>5</v>
      </c>
      <c r="K172" s="71"/>
      <c r="L172" s="20">
        <v>35</v>
      </c>
      <c r="M172" s="64">
        <f t="shared" si="17"/>
        <v>0</v>
      </c>
      <c r="N172" s="17" t="s">
        <v>16</v>
      </c>
      <c r="O172" s="18"/>
      <c r="P172" s="23">
        <f t="shared" si="18"/>
        <v>0</v>
      </c>
      <c r="Q172" s="90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3">
        <f>+'1'!J173</f>
        <v>0</v>
      </c>
      <c r="F173" s="70">
        <v>0</v>
      </c>
      <c r="G173" s="46">
        <f t="shared" si="15"/>
        <v>0</v>
      </c>
      <c r="H173" s="78">
        <v>0</v>
      </c>
      <c r="I173" s="76">
        <v>0</v>
      </c>
      <c r="J173" s="46">
        <f t="shared" si="16"/>
        <v>0</v>
      </c>
      <c r="K173" s="71"/>
      <c r="L173" s="20">
        <v>50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90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3">
        <f>+'1'!J174</f>
        <v>0</v>
      </c>
      <c r="F174" s="70">
        <v>0</v>
      </c>
      <c r="G174" s="46">
        <f t="shared" si="15"/>
        <v>0</v>
      </c>
      <c r="H174" s="78">
        <v>0</v>
      </c>
      <c r="I174" s="76">
        <v>0</v>
      </c>
      <c r="J174" s="46">
        <f t="shared" si="16"/>
        <v>0</v>
      </c>
      <c r="K174" s="71"/>
      <c r="L174" s="20">
        <v>40</v>
      </c>
      <c r="M174" s="64">
        <f t="shared" si="17"/>
        <v>0</v>
      </c>
      <c r="N174" s="17" t="s">
        <v>16</v>
      </c>
      <c r="O174" s="18"/>
      <c r="P174" s="23">
        <f t="shared" si="18"/>
        <v>0</v>
      </c>
      <c r="Q174" s="90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3">
        <f>+'1'!J175</f>
        <v>0</v>
      </c>
      <c r="F175" s="70">
        <v>0</v>
      </c>
      <c r="G175" s="46">
        <f t="shared" si="15"/>
        <v>0</v>
      </c>
      <c r="H175" s="78">
        <v>0</v>
      </c>
      <c r="I175" s="76">
        <v>0</v>
      </c>
      <c r="J175" s="46">
        <f t="shared" si="16"/>
        <v>0</v>
      </c>
      <c r="K175" s="71"/>
      <c r="L175" s="20">
        <v>65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92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3">
        <f>+'1'!J176</f>
        <v>0</v>
      </c>
      <c r="F176" s="70">
        <v>0</v>
      </c>
      <c r="G176" s="46">
        <f t="shared" si="15"/>
        <v>0</v>
      </c>
      <c r="H176" s="78">
        <v>0</v>
      </c>
      <c r="I176" s="76">
        <v>0</v>
      </c>
      <c r="J176" s="46">
        <f t="shared" si="16"/>
        <v>0</v>
      </c>
      <c r="K176" s="71"/>
      <c r="L176" s="20">
        <v>50</v>
      </c>
      <c r="M176" s="64">
        <f t="shared" si="17"/>
        <v>0</v>
      </c>
      <c r="N176" s="17" t="s">
        <v>16</v>
      </c>
      <c r="O176" s="18"/>
      <c r="P176" s="23">
        <f t="shared" si="18"/>
        <v>0</v>
      </c>
      <c r="Q176" s="90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3">
        <f>+'1'!J177</f>
        <v>0</v>
      </c>
      <c r="F177" s="70">
        <v>0</v>
      </c>
      <c r="G177" s="46">
        <f t="shared" si="15"/>
        <v>0</v>
      </c>
      <c r="H177" s="78">
        <v>0</v>
      </c>
      <c r="I177" s="76">
        <v>0</v>
      </c>
      <c r="J177" s="46">
        <f t="shared" si="16"/>
        <v>0</v>
      </c>
      <c r="K177" s="71"/>
      <c r="L177" s="20">
        <v>80</v>
      </c>
      <c r="M177" s="64">
        <f t="shared" si="17"/>
        <v>0</v>
      </c>
      <c r="N177" s="17" t="s">
        <v>16</v>
      </c>
      <c r="O177" s="18"/>
      <c r="P177" s="23">
        <f t="shared" si="18"/>
        <v>0</v>
      </c>
      <c r="Q177" s="92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1394</v>
      </c>
      <c r="D178" s="10" t="s">
        <v>566</v>
      </c>
      <c r="E178" s="63">
        <f>+'1'!J178</f>
        <v>0</v>
      </c>
      <c r="F178" s="70">
        <v>0</v>
      </c>
      <c r="G178" s="46">
        <f t="shared" si="15"/>
        <v>0</v>
      </c>
      <c r="H178" s="78">
        <v>0</v>
      </c>
      <c r="I178" s="76">
        <v>0</v>
      </c>
      <c r="J178" s="46">
        <f t="shared" si="16"/>
        <v>0</v>
      </c>
      <c r="K178" s="71"/>
      <c r="L178" s="20">
        <v>15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92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1393</v>
      </c>
      <c r="D179" s="10" t="s">
        <v>606</v>
      </c>
      <c r="E179" s="63">
        <f>+'1'!J179</f>
        <v>0</v>
      </c>
      <c r="F179" s="70">
        <v>0</v>
      </c>
      <c r="G179" s="46">
        <f t="shared" si="15"/>
        <v>0</v>
      </c>
      <c r="H179" s="78">
        <v>0</v>
      </c>
      <c r="I179" s="76">
        <v>0</v>
      </c>
      <c r="J179" s="46">
        <f t="shared" si="16"/>
        <v>0</v>
      </c>
      <c r="K179" s="71"/>
      <c r="L179" s="20">
        <v>80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92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3">
        <f>+'1'!J180</f>
        <v>0</v>
      </c>
      <c r="F180" s="70">
        <v>0</v>
      </c>
      <c r="G180" s="46">
        <f t="shared" si="15"/>
        <v>0</v>
      </c>
      <c r="H180" s="78">
        <v>0</v>
      </c>
      <c r="I180" s="76">
        <v>0</v>
      </c>
      <c r="J180" s="46">
        <f t="shared" si="16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90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3">
        <f>+'1'!J181</f>
        <v>0</v>
      </c>
      <c r="F181" s="70">
        <v>0</v>
      </c>
      <c r="G181" s="46">
        <f t="shared" si="15"/>
        <v>0</v>
      </c>
      <c r="H181" s="78">
        <v>0</v>
      </c>
      <c r="I181" s="76">
        <v>0</v>
      </c>
      <c r="J181" s="46">
        <f t="shared" si="16"/>
        <v>0</v>
      </c>
      <c r="K181" s="71"/>
      <c r="L181" s="20">
        <v>35</v>
      </c>
      <c r="M181" s="64">
        <f t="shared" si="17"/>
        <v>0</v>
      </c>
      <c r="N181" s="17" t="s">
        <v>16</v>
      </c>
      <c r="O181" s="18"/>
      <c r="P181" s="23">
        <f t="shared" si="18"/>
        <v>0</v>
      </c>
      <c r="Q181" s="92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3">
        <f>+'1'!J182</f>
        <v>0</v>
      </c>
      <c r="F182" s="70">
        <v>0</v>
      </c>
      <c r="G182" s="46">
        <f t="shared" si="15"/>
        <v>0</v>
      </c>
      <c r="H182" s="78">
        <v>0</v>
      </c>
      <c r="I182" s="76">
        <v>0</v>
      </c>
      <c r="J182" s="46">
        <f t="shared" si="16"/>
        <v>0</v>
      </c>
      <c r="K182" s="71"/>
      <c r="L182" s="20">
        <v>60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90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3">
        <f>+'1'!J183</f>
        <v>0</v>
      </c>
      <c r="F183" s="70">
        <v>0</v>
      </c>
      <c r="G183" s="46">
        <f t="shared" si="15"/>
        <v>0</v>
      </c>
      <c r="H183" s="78">
        <v>0</v>
      </c>
      <c r="I183" s="76">
        <v>0</v>
      </c>
      <c r="J183" s="46">
        <f t="shared" si="16"/>
        <v>0</v>
      </c>
      <c r="K183" s="71"/>
      <c r="L183" s="20">
        <v>120</v>
      </c>
      <c r="M183" s="64">
        <f t="shared" si="17"/>
        <v>0</v>
      </c>
      <c r="N183" s="17" t="s">
        <v>16</v>
      </c>
      <c r="O183" s="18"/>
      <c r="P183" s="23">
        <f t="shared" si="18"/>
        <v>0</v>
      </c>
      <c r="Q183" s="90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3">
        <f>+'1'!J184</f>
        <v>0</v>
      </c>
      <c r="F184" s="70">
        <v>0</v>
      </c>
      <c r="G184" s="46">
        <f t="shared" si="15"/>
        <v>0</v>
      </c>
      <c r="H184" s="78">
        <v>0</v>
      </c>
      <c r="I184" s="76">
        <v>0</v>
      </c>
      <c r="J184" s="46">
        <f t="shared" si="16"/>
        <v>0</v>
      </c>
      <c r="K184" s="71"/>
      <c r="L184" s="20">
        <v>60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90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3">
        <f>+'1'!J185</f>
        <v>0</v>
      </c>
      <c r="F185" s="70">
        <v>0</v>
      </c>
      <c r="G185" s="46">
        <f t="shared" si="15"/>
        <v>0</v>
      </c>
      <c r="H185" s="78">
        <v>0</v>
      </c>
      <c r="I185" s="76">
        <v>0</v>
      </c>
      <c r="J185" s="46">
        <f t="shared" si="16"/>
        <v>0</v>
      </c>
      <c r="K185" s="71"/>
      <c r="L185" s="20">
        <v>120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90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3">
        <f>+'1'!J186</f>
        <v>0</v>
      </c>
      <c r="F186" s="70">
        <v>0</v>
      </c>
      <c r="G186" s="46">
        <f t="shared" si="15"/>
        <v>0</v>
      </c>
      <c r="H186" s="78">
        <v>0</v>
      </c>
      <c r="I186" s="76">
        <v>0</v>
      </c>
      <c r="J186" s="46">
        <f t="shared" si="16"/>
        <v>0</v>
      </c>
      <c r="K186" s="71"/>
      <c r="L186" s="20">
        <v>50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90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3">
        <f>+'1'!J187</f>
        <v>0</v>
      </c>
      <c r="F187" s="70">
        <v>0</v>
      </c>
      <c r="G187" s="46">
        <f t="shared" si="15"/>
        <v>0</v>
      </c>
      <c r="H187" s="78">
        <v>0</v>
      </c>
      <c r="I187" s="76">
        <v>0</v>
      </c>
      <c r="J187" s="46">
        <f t="shared" si="16"/>
        <v>0</v>
      </c>
      <c r="K187" s="71"/>
      <c r="L187" s="20">
        <v>150</v>
      </c>
      <c r="M187" s="64">
        <f t="shared" si="17"/>
        <v>0</v>
      </c>
      <c r="N187" s="17" t="s">
        <v>16</v>
      </c>
      <c r="O187" s="18"/>
      <c r="P187" s="23">
        <f t="shared" si="18"/>
        <v>0</v>
      </c>
      <c r="Q187" s="90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3">
        <f>+'1'!J188</f>
        <v>0</v>
      </c>
      <c r="F188" s="70">
        <v>0</v>
      </c>
      <c r="G188" s="46">
        <f t="shared" si="15"/>
        <v>0</v>
      </c>
      <c r="H188" s="78">
        <v>0</v>
      </c>
      <c r="I188" s="76">
        <v>0</v>
      </c>
      <c r="J188" s="46">
        <f t="shared" si="16"/>
        <v>0</v>
      </c>
      <c r="K188" s="71"/>
      <c r="L188" s="20">
        <v>135</v>
      </c>
      <c r="M188" s="64">
        <f t="shared" si="17"/>
        <v>0</v>
      </c>
      <c r="N188" s="17" t="s">
        <v>16</v>
      </c>
      <c r="O188" s="18"/>
      <c r="P188" s="23">
        <f t="shared" si="18"/>
        <v>0</v>
      </c>
      <c r="Q188" s="92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3">
        <f>+'1'!J189</f>
        <v>0</v>
      </c>
      <c r="F189" s="70">
        <v>0</v>
      </c>
      <c r="G189" s="46">
        <f t="shared" si="15"/>
        <v>0</v>
      </c>
      <c r="H189" s="78">
        <v>0</v>
      </c>
      <c r="I189" s="76">
        <v>0</v>
      </c>
      <c r="J189" s="46">
        <f t="shared" si="16"/>
        <v>0</v>
      </c>
      <c r="K189" s="71"/>
      <c r="L189" s="20">
        <v>100</v>
      </c>
      <c r="M189" s="64">
        <f t="shared" si="17"/>
        <v>0</v>
      </c>
      <c r="N189" s="17" t="s">
        <v>16</v>
      </c>
      <c r="O189" s="18"/>
      <c r="P189" s="23">
        <f t="shared" si="18"/>
        <v>0</v>
      </c>
      <c r="Q189" s="92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3">
        <f>+'1'!J190</f>
        <v>0</v>
      </c>
      <c r="F190" s="70">
        <v>0</v>
      </c>
      <c r="G190" s="46">
        <f t="shared" si="15"/>
        <v>0</v>
      </c>
      <c r="H190" s="78">
        <v>0</v>
      </c>
      <c r="I190" s="76">
        <v>0</v>
      </c>
      <c r="J190" s="46">
        <f t="shared" si="16"/>
        <v>0</v>
      </c>
      <c r="K190" s="71"/>
      <c r="L190" s="20">
        <v>90</v>
      </c>
      <c r="M190" s="64">
        <f t="shared" si="17"/>
        <v>0</v>
      </c>
      <c r="N190" s="17" t="s">
        <v>16</v>
      </c>
      <c r="O190" s="18"/>
      <c r="P190" s="23">
        <f t="shared" si="18"/>
        <v>0</v>
      </c>
      <c r="Q190" s="92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3">
        <f>+'1'!J191</f>
        <v>0</v>
      </c>
      <c r="F191" s="70">
        <v>0</v>
      </c>
      <c r="G191" s="46">
        <f t="shared" si="15"/>
        <v>0</v>
      </c>
      <c r="H191" s="78">
        <v>0</v>
      </c>
      <c r="I191" s="76">
        <v>0</v>
      </c>
      <c r="J191" s="46">
        <f t="shared" si="16"/>
        <v>0</v>
      </c>
      <c r="K191" s="71"/>
      <c r="L191" s="20">
        <v>90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92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3">
        <f>+'1'!J192</f>
        <v>0</v>
      </c>
      <c r="F192" s="70">
        <v>0</v>
      </c>
      <c r="G192" s="46">
        <f t="shared" si="15"/>
        <v>0</v>
      </c>
      <c r="H192" s="78">
        <v>0</v>
      </c>
      <c r="I192" s="76">
        <v>0</v>
      </c>
      <c r="J192" s="46">
        <f t="shared" si="16"/>
        <v>0</v>
      </c>
      <c r="K192" s="71"/>
      <c r="L192" s="20">
        <v>90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92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3">
        <f>+'1'!J193</f>
        <v>0</v>
      </c>
      <c r="F193" s="70">
        <v>0</v>
      </c>
      <c r="G193" s="46">
        <f t="shared" si="15"/>
        <v>0</v>
      </c>
      <c r="H193" s="78">
        <v>0</v>
      </c>
      <c r="I193" s="76">
        <v>0</v>
      </c>
      <c r="J193" s="46">
        <f t="shared" si="16"/>
        <v>0</v>
      </c>
      <c r="K193" s="71"/>
      <c r="L193" s="20">
        <v>90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92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3">
        <f>+'1'!J194</f>
        <v>0</v>
      </c>
      <c r="F194" s="70">
        <v>0</v>
      </c>
      <c r="G194" s="46">
        <f t="shared" si="15"/>
        <v>0</v>
      </c>
      <c r="H194" s="78">
        <v>0</v>
      </c>
      <c r="I194" s="76">
        <v>0</v>
      </c>
      <c r="J194" s="46">
        <f t="shared" si="16"/>
        <v>0</v>
      </c>
      <c r="K194" s="71"/>
      <c r="L194" s="20">
        <v>55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92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3">
        <f>+'1'!J195</f>
        <v>0</v>
      </c>
      <c r="F195" s="70">
        <v>0</v>
      </c>
      <c r="G195" s="46">
        <f t="shared" si="15"/>
        <v>0</v>
      </c>
      <c r="H195" s="78">
        <v>0</v>
      </c>
      <c r="I195" s="76">
        <v>0</v>
      </c>
      <c r="J195" s="46">
        <f t="shared" si="16"/>
        <v>0</v>
      </c>
      <c r="K195" s="71"/>
      <c r="L195" s="20">
        <v>85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92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3">
        <f>+'1'!J196</f>
        <v>0</v>
      </c>
      <c r="F196" s="70">
        <v>0</v>
      </c>
      <c r="G196" s="46">
        <f t="shared" si="15"/>
        <v>0</v>
      </c>
      <c r="H196" s="78">
        <v>0</v>
      </c>
      <c r="I196" s="76">
        <v>0</v>
      </c>
      <c r="J196" s="46">
        <f t="shared" si="16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90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3">
        <f>+'1'!J197</f>
        <v>0</v>
      </c>
      <c r="F197" s="70">
        <v>0</v>
      </c>
      <c r="G197" s="46">
        <f t="shared" si="15"/>
        <v>0</v>
      </c>
      <c r="H197" s="78">
        <v>0</v>
      </c>
      <c r="I197" s="76">
        <v>0</v>
      </c>
      <c r="J197" s="46">
        <f t="shared" si="16"/>
        <v>0</v>
      </c>
      <c r="K197" s="71"/>
      <c r="L197" s="20">
        <v>120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90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3">
        <f>+'1'!J198</f>
        <v>0</v>
      </c>
      <c r="F198" s="70">
        <v>0</v>
      </c>
      <c r="G198" s="46">
        <f t="shared" ref="G198:G239" si="22">E198+F198</f>
        <v>0</v>
      </c>
      <c r="H198" s="78">
        <v>0</v>
      </c>
      <c r="I198" s="76">
        <v>0</v>
      </c>
      <c r="J198" s="46">
        <f t="shared" ref="J198:J239" si="23">+G198-H198-K198-I198</f>
        <v>0</v>
      </c>
      <c r="K198" s="71"/>
      <c r="L198" s="20">
        <v>25</v>
      </c>
      <c r="M198" s="64">
        <f>+L198*K198</f>
        <v>0</v>
      </c>
      <c r="N198" s="17" t="s">
        <v>16</v>
      </c>
      <c r="O198" s="18"/>
      <c r="P198" s="23">
        <f>SUM(M198-O198)</f>
        <v>0</v>
      </c>
      <c r="Q198" s="90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3">
        <f>+'1'!J199</f>
        <v>0</v>
      </c>
      <c r="F199" s="70">
        <v>0</v>
      </c>
      <c r="G199" s="46">
        <f t="shared" si="22"/>
        <v>0</v>
      </c>
      <c r="H199" s="78">
        <v>0</v>
      </c>
      <c r="I199" s="76">
        <v>0</v>
      </c>
      <c r="J199" s="46">
        <f t="shared" si="23"/>
        <v>0</v>
      </c>
      <c r="K199" s="71"/>
      <c r="L199" s="20">
        <v>25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90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3">
        <f>+'1'!J200</f>
        <v>0</v>
      </c>
      <c r="F200" s="70">
        <v>0</v>
      </c>
      <c r="G200" s="46">
        <f t="shared" si="22"/>
        <v>0</v>
      </c>
      <c r="H200" s="78">
        <v>0</v>
      </c>
      <c r="I200" s="76">
        <v>0</v>
      </c>
      <c r="J200" s="46">
        <f t="shared" si="2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90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3">
        <f>+'1'!J201</f>
        <v>0</v>
      </c>
      <c r="F201" s="70">
        <v>0</v>
      </c>
      <c r="G201" s="46">
        <f t="shared" si="22"/>
        <v>0</v>
      </c>
      <c r="H201" s="78">
        <v>0</v>
      </c>
      <c r="I201" s="76">
        <v>0</v>
      </c>
      <c r="J201" s="46">
        <f t="shared" si="23"/>
        <v>0</v>
      </c>
      <c r="K201" s="71"/>
      <c r="L201" s="20">
        <v>25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90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3">
        <f>+'1'!J202</f>
        <v>0</v>
      </c>
      <c r="F202" s="70">
        <v>0</v>
      </c>
      <c r="G202" s="46">
        <f t="shared" si="22"/>
        <v>0</v>
      </c>
      <c r="H202" s="78">
        <v>0</v>
      </c>
      <c r="I202" s="76">
        <v>0</v>
      </c>
      <c r="J202" s="46">
        <f t="shared" si="23"/>
        <v>0</v>
      </c>
      <c r="K202" s="71"/>
      <c r="L202" s="20">
        <v>25</v>
      </c>
      <c r="M202" s="64">
        <f>+L202*K202</f>
        <v>0</v>
      </c>
      <c r="N202" s="17" t="s">
        <v>16</v>
      </c>
      <c r="O202" s="18"/>
      <c r="P202" s="23">
        <f>SUM(M202-O202)</f>
        <v>0</v>
      </c>
      <c r="Q202" s="90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3">
        <f>+'1'!J203</f>
        <v>0</v>
      </c>
      <c r="F203" s="70">
        <v>0</v>
      </c>
      <c r="G203" s="46">
        <f t="shared" si="22"/>
        <v>0</v>
      </c>
      <c r="H203" s="78">
        <v>0</v>
      </c>
      <c r="I203" s="76">
        <v>0</v>
      </c>
      <c r="J203" s="46">
        <f t="shared" si="23"/>
        <v>0</v>
      </c>
      <c r="K203" s="71"/>
      <c r="L203" s="20">
        <v>10</v>
      </c>
      <c r="M203" s="64">
        <f>+L203*K203</f>
        <v>0</v>
      </c>
      <c r="N203" s="17" t="s">
        <v>16</v>
      </c>
      <c r="O203" s="18"/>
      <c r="P203" s="23">
        <f>SUM(M203-O203)</f>
        <v>0</v>
      </c>
      <c r="Q203" s="92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3">
        <f>+'1'!J204</f>
        <v>0</v>
      </c>
      <c r="F204" s="70">
        <v>0</v>
      </c>
      <c r="G204" s="46">
        <f t="shared" si="22"/>
        <v>0</v>
      </c>
      <c r="H204" s="78">
        <v>0</v>
      </c>
      <c r="I204" s="76">
        <v>0</v>
      </c>
      <c r="J204" s="46">
        <f t="shared" si="23"/>
        <v>0</v>
      </c>
      <c r="K204" s="71"/>
      <c r="L204" s="20">
        <v>10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92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3">
        <f>+'1'!J205</f>
        <v>0</v>
      </c>
      <c r="F205" s="70">
        <v>0</v>
      </c>
      <c r="G205" s="46">
        <f t="shared" si="22"/>
        <v>0</v>
      </c>
      <c r="H205" s="78">
        <v>0</v>
      </c>
      <c r="I205" s="76">
        <v>0</v>
      </c>
      <c r="J205" s="46">
        <f t="shared" si="23"/>
        <v>0</v>
      </c>
      <c r="K205" s="71"/>
      <c r="L205" s="20">
        <v>10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92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3">
        <f>+'1'!J206</f>
        <v>0</v>
      </c>
      <c r="F206" s="70">
        <v>0</v>
      </c>
      <c r="G206" s="46">
        <f t="shared" si="22"/>
        <v>0</v>
      </c>
      <c r="H206" s="78">
        <v>0</v>
      </c>
      <c r="I206" s="76">
        <v>0</v>
      </c>
      <c r="J206" s="46">
        <f t="shared" si="23"/>
        <v>0</v>
      </c>
      <c r="K206" s="71"/>
      <c r="L206" s="20">
        <v>20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92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3">
        <f>+'1'!J207</f>
        <v>0</v>
      </c>
      <c r="F207" s="70">
        <v>0</v>
      </c>
      <c r="G207" s="46">
        <f t="shared" si="22"/>
        <v>0</v>
      </c>
      <c r="H207" s="78">
        <v>0</v>
      </c>
      <c r="I207" s="76">
        <v>0</v>
      </c>
      <c r="J207" s="46">
        <f t="shared" si="23"/>
        <v>0</v>
      </c>
      <c r="K207" s="71"/>
      <c r="L207" s="20">
        <v>800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92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3">
        <f>+'1'!J208</f>
        <v>0</v>
      </c>
      <c r="F208" s="70">
        <v>0</v>
      </c>
      <c r="G208" s="46">
        <f t="shared" si="22"/>
        <v>0</v>
      </c>
      <c r="H208" s="78">
        <v>0</v>
      </c>
      <c r="I208" s="76">
        <v>0</v>
      </c>
      <c r="J208" s="46">
        <f t="shared" si="23"/>
        <v>0</v>
      </c>
      <c r="K208" s="71"/>
      <c r="L208" s="20">
        <v>150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92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3">
        <f>+'1'!J209</f>
        <v>0</v>
      </c>
      <c r="F209" s="70">
        <v>0</v>
      </c>
      <c r="G209" s="46">
        <f t="shared" si="22"/>
        <v>0</v>
      </c>
      <c r="H209" s="78">
        <v>0</v>
      </c>
      <c r="I209" s="76">
        <v>0</v>
      </c>
      <c r="J209" s="46">
        <f t="shared" si="23"/>
        <v>0</v>
      </c>
      <c r="K209" s="71"/>
      <c r="L209" s="20">
        <v>200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92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3">
        <f>+'1'!J210</f>
        <v>0</v>
      </c>
      <c r="F210" s="70">
        <v>0</v>
      </c>
      <c r="G210" s="46">
        <f t="shared" si="22"/>
        <v>0</v>
      </c>
      <c r="H210" s="78">
        <v>0</v>
      </c>
      <c r="I210" s="76">
        <v>0</v>
      </c>
      <c r="J210" s="46">
        <f t="shared" si="23"/>
        <v>0</v>
      </c>
      <c r="K210" s="71"/>
      <c r="L210" s="20">
        <v>250</v>
      </c>
      <c r="M210" s="64">
        <f t="shared" si="17"/>
        <v>0</v>
      </c>
      <c r="N210" s="17" t="s">
        <v>16</v>
      </c>
      <c r="O210" s="18"/>
      <c r="P210" s="23">
        <f t="shared" si="18"/>
        <v>0</v>
      </c>
      <c r="Q210" s="92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3">
        <f>+'1'!J211</f>
        <v>0</v>
      </c>
      <c r="F211" s="70">
        <v>0</v>
      </c>
      <c r="G211" s="46">
        <f t="shared" si="22"/>
        <v>0</v>
      </c>
      <c r="H211" s="78">
        <v>0</v>
      </c>
      <c r="I211" s="76">
        <v>0</v>
      </c>
      <c r="J211" s="46">
        <f t="shared" si="23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92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3">
        <f>+'1'!J212</f>
        <v>0</v>
      </c>
      <c r="F212" s="70">
        <v>0</v>
      </c>
      <c r="G212" s="46">
        <f t="shared" si="22"/>
        <v>0</v>
      </c>
      <c r="H212" s="78">
        <v>0</v>
      </c>
      <c r="I212" s="76">
        <v>0</v>
      </c>
      <c r="J212" s="46">
        <f t="shared" si="23"/>
        <v>0</v>
      </c>
      <c r="K212" s="71"/>
      <c r="L212" s="20">
        <v>0</v>
      </c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92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3">
        <f>+'1'!J213</f>
        <v>0</v>
      </c>
      <c r="F213" s="70">
        <v>0</v>
      </c>
      <c r="G213" s="46">
        <f t="shared" si="22"/>
        <v>0</v>
      </c>
      <c r="H213" s="78">
        <v>0</v>
      </c>
      <c r="I213" s="76">
        <v>0</v>
      </c>
      <c r="J213" s="46">
        <f t="shared" si="23"/>
        <v>0</v>
      </c>
      <c r="K213" s="71"/>
      <c r="L213" s="20">
        <v>45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90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3">
        <f>+'1'!J214</f>
        <v>0</v>
      </c>
      <c r="F214" s="70">
        <v>0</v>
      </c>
      <c r="G214" s="46">
        <f t="shared" si="22"/>
        <v>0</v>
      </c>
      <c r="H214" s="78">
        <v>0</v>
      </c>
      <c r="I214" s="76">
        <v>0</v>
      </c>
      <c r="J214" s="46">
        <f t="shared" si="23"/>
        <v>0</v>
      </c>
      <c r="K214" s="71"/>
      <c r="L214" s="20">
        <v>35</v>
      </c>
      <c r="M214" s="64">
        <f t="shared" si="17"/>
        <v>0</v>
      </c>
      <c r="N214" s="17" t="s">
        <v>16</v>
      </c>
      <c r="O214" s="18"/>
      <c r="P214" s="23">
        <f t="shared" si="18"/>
        <v>0</v>
      </c>
      <c r="Q214" s="90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3">
        <f>+'1'!J215</f>
        <v>0</v>
      </c>
      <c r="F215" s="70">
        <v>0</v>
      </c>
      <c r="G215" s="46">
        <f t="shared" si="22"/>
        <v>0</v>
      </c>
      <c r="H215" s="78">
        <v>0</v>
      </c>
      <c r="I215" s="76">
        <v>0</v>
      </c>
      <c r="J215" s="46">
        <f t="shared" si="23"/>
        <v>0</v>
      </c>
      <c r="K215" s="71"/>
      <c r="L215" s="20">
        <v>25</v>
      </c>
      <c r="M215" s="64">
        <f t="shared" si="17"/>
        <v>0</v>
      </c>
      <c r="N215" s="17" t="s">
        <v>16</v>
      </c>
      <c r="O215" s="18"/>
      <c r="P215" s="23">
        <f t="shared" si="18"/>
        <v>0</v>
      </c>
      <c r="Q215" s="90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3">
        <f>+'1'!J216</f>
        <v>0</v>
      </c>
      <c r="F216" s="70">
        <v>0</v>
      </c>
      <c r="G216" s="46">
        <f t="shared" si="22"/>
        <v>0</v>
      </c>
      <c r="H216" s="78">
        <v>0</v>
      </c>
      <c r="I216" s="76">
        <v>0</v>
      </c>
      <c r="J216" s="46">
        <f t="shared" si="23"/>
        <v>0</v>
      </c>
      <c r="K216" s="71"/>
      <c r="L216" s="20">
        <v>50</v>
      </c>
      <c r="M216" s="64">
        <f>+L216*K216</f>
        <v>0</v>
      </c>
      <c r="N216" s="17" t="s">
        <v>16</v>
      </c>
      <c r="O216" s="18"/>
      <c r="P216" s="23">
        <f>SUM(M216-O216)</f>
        <v>0</v>
      </c>
      <c r="Q216" s="92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3">
        <f>+'1'!J217</f>
        <v>0</v>
      </c>
      <c r="F217" s="70">
        <v>0</v>
      </c>
      <c r="G217" s="46">
        <f t="shared" si="22"/>
        <v>0</v>
      </c>
      <c r="H217" s="78">
        <v>0</v>
      </c>
      <c r="I217" s="76">
        <v>0</v>
      </c>
      <c r="J217" s="46">
        <f t="shared" si="23"/>
        <v>0</v>
      </c>
      <c r="K217" s="71"/>
      <c r="L217" s="20">
        <v>60</v>
      </c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92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3">
        <f>+'1'!J218</f>
        <v>0</v>
      </c>
      <c r="F218" s="70">
        <v>0</v>
      </c>
      <c r="G218" s="46">
        <f t="shared" si="22"/>
        <v>0</v>
      </c>
      <c r="H218" s="78">
        <v>0</v>
      </c>
      <c r="I218" s="76">
        <v>0</v>
      </c>
      <c r="J218" s="46">
        <f t="shared" si="23"/>
        <v>0</v>
      </c>
      <c r="K218" s="71"/>
      <c r="L218" s="20">
        <v>250</v>
      </c>
      <c r="M218" s="64">
        <f t="shared" si="17"/>
        <v>0</v>
      </c>
      <c r="N218" s="17" t="s">
        <v>16</v>
      </c>
      <c r="O218" s="18"/>
      <c r="P218" s="23">
        <f t="shared" si="18"/>
        <v>0</v>
      </c>
      <c r="Q218" s="92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3">
        <f>+'1'!J219</f>
        <v>0</v>
      </c>
      <c r="F219" s="70">
        <v>0</v>
      </c>
      <c r="G219" s="46">
        <f t="shared" si="22"/>
        <v>0</v>
      </c>
      <c r="H219" s="78">
        <v>0</v>
      </c>
      <c r="I219" s="76">
        <v>0</v>
      </c>
      <c r="J219" s="46">
        <f t="shared" si="23"/>
        <v>0</v>
      </c>
      <c r="K219" s="71"/>
      <c r="L219" s="20">
        <v>100</v>
      </c>
      <c r="M219" s="64">
        <f t="shared" si="17"/>
        <v>0</v>
      </c>
      <c r="N219" s="17" t="s">
        <v>16</v>
      </c>
      <c r="O219" s="18"/>
      <c r="P219" s="23">
        <f t="shared" si="18"/>
        <v>0</v>
      </c>
      <c r="Q219" s="92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3">
        <f>+'1'!J220</f>
        <v>0</v>
      </c>
      <c r="F220" s="70">
        <v>0</v>
      </c>
      <c r="G220" s="46">
        <f t="shared" si="22"/>
        <v>0</v>
      </c>
      <c r="H220" s="78">
        <v>0</v>
      </c>
      <c r="I220" s="76">
        <v>0</v>
      </c>
      <c r="J220" s="46">
        <f t="shared" si="23"/>
        <v>0</v>
      </c>
      <c r="K220" s="71"/>
      <c r="L220" s="20">
        <v>350</v>
      </c>
      <c r="M220" s="64">
        <f t="shared" si="17"/>
        <v>0</v>
      </c>
      <c r="N220" s="17" t="s">
        <v>16</v>
      </c>
      <c r="O220" s="18"/>
      <c r="P220" s="23">
        <f t="shared" si="18"/>
        <v>0</v>
      </c>
      <c r="Q220" s="92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3">
        <f>+'1'!J221</f>
        <v>0</v>
      </c>
      <c r="F221" s="70">
        <v>0</v>
      </c>
      <c r="G221" s="46">
        <f t="shared" si="22"/>
        <v>0</v>
      </c>
      <c r="H221" s="78">
        <v>0</v>
      </c>
      <c r="I221" s="76">
        <v>0</v>
      </c>
      <c r="J221" s="46">
        <f t="shared" si="23"/>
        <v>0</v>
      </c>
      <c r="K221" s="71"/>
      <c r="L221" s="20">
        <v>60</v>
      </c>
      <c r="M221" s="64">
        <f t="shared" si="17"/>
        <v>0</v>
      </c>
      <c r="N221" s="17" t="s">
        <v>16</v>
      </c>
      <c r="O221" s="18"/>
      <c r="P221" s="23">
        <f t="shared" si="18"/>
        <v>0</v>
      </c>
      <c r="Q221" s="92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3">
        <f>+'1'!J222</f>
        <v>0</v>
      </c>
      <c r="F222" s="70">
        <v>0</v>
      </c>
      <c r="G222" s="46">
        <f t="shared" si="22"/>
        <v>0</v>
      </c>
      <c r="H222" s="78">
        <v>0</v>
      </c>
      <c r="I222" s="76">
        <v>0</v>
      </c>
      <c r="J222" s="46">
        <f t="shared" si="23"/>
        <v>0</v>
      </c>
      <c r="K222" s="71"/>
      <c r="L222" s="20">
        <v>50</v>
      </c>
      <c r="M222" s="64">
        <f t="shared" si="17"/>
        <v>0</v>
      </c>
      <c r="N222" s="17" t="s">
        <v>16</v>
      </c>
      <c r="O222" s="18"/>
      <c r="P222" s="23">
        <f t="shared" si="18"/>
        <v>0</v>
      </c>
      <c r="Q222" s="92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3">
        <f>+'1'!J223</f>
        <v>0</v>
      </c>
      <c r="F223" s="70">
        <v>0</v>
      </c>
      <c r="G223" s="46">
        <f t="shared" si="22"/>
        <v>0</v>
      </c>
      <c r="H223" s="78">
        <v>0</v>
      </c>
      <c r="I223" s="76">
        <v>0</v>
      </c>
      <c r="J223" s="46">
        <f t="shared" si="23"/>
        <v>0</v>
      </c>
      <c r="K223" s="71"/>
      <c r="L223" s="20">
        <v>100</v>
      </c>
      <c r="M223" s="64">
        <f t="shared" si="17"/>
        <v>0</v>
      </c>
      <c r="N223" s="17" t="s">
        <v>16</v>
      </c>
      <c r="O223" s="18"/>
      <c r="P223" s="23">
        <f t="shared" si="18"/>
        <v>0</v>
      </c>
      <c r="Q223" s="92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3">
        <f>+'1'!J224</f>
        <v>0</v>
      </c>
      <c r="F224" s="70">
        <v>0</v>
      </c>
      <c r="G224" s="46">
        <f t="shared" si="22"/>
        <v>0</v>
      </c>
      <c r="H224" s="78">
        <v>0</v>
      </c>
      <c r="I224" s="76">
        <v>0</v>
      </c>
      <c r="J224" s="46">
        <f t="shared" si="23"/>
        <v>0</v>
      </c>
      <c r="K224" s="71"/>
      <c r="L224" s="20">
        <v>120</v>
      </c>
      <c r="M224" s="64">
        <f t="shared" si="17"/>
        <v>0</v>
      </c>
      <c r="N224" s="17" t="s">
        <v>16</v>
      </c>
      <c r="O224" s="18"/>
      <c r="P224" s="23">
        <f t="shared" si="18"/>
        <v>0</v>
      </c>
      <c r="Q224" s="92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3">
        <f>+'1'!J225</f>
        <v>0</v>
      </c>
      <c r="F225" s="70">
        <v>0</v>
      </c>
      <c r="G225" s="46">
        <f t="shared" si="22"/>
        <v>0</v>
      </c>
      <c r="H225" s="78">
        <v>0</v>
      </c>
      <c r="I225" s="76">
        <v>0</v>
      </c>
      <c r="J225" s="46">
        <f t="shared" si="23"/>
        <v>0</v>
      </c>
      <c r="K225" s="71"/>
      <c r="L225" s="20">
        <v>60</v>
      </c>
      <c r="M225" s="64">
        <f t="shared" si="17"/>
        <v>0</v>
      </c>
      <c r="N225" s="17" t="s">
        <v>16</v>
      </c>
      <c r="O225" s="18"/>
      <c r="P225" s="23">
        <f t="shared" si="18"/>
        <v>0</v>
      </c>
      <c r="Q225" s="92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3">
        <f>+'1'!J226</f>
        <v>0</v>
      </c>
      <c r="F226" s="70">
        <v>0</v>
      </c>
      <c r="G226" s="46">
        <f t="shared" si="22"/>
        <v>0</v>
      </c>
      <c r="H226" s="78">
        <v>0</v>
      </c>
      <c r="I226" s="76">
        <v>0</v>
      </c>
      <c r="J226" s="46">
        <f t="shared" si="23"/>
        <v>0</v>
      </c>
      <c r="K226" s="71"/>
      <c r="L226" s="20">
        <v>150</v>
      </c>
      <c r="M226" s="64">
        <f t="shared" si="17"/>
        <v>0</v>
      </c>
      <c r="N226" s="17" t="s">
        <v>16</v>
      </c>
      <c r="O226" s="18"/>
      <c r="P226" s="23">
        <f t="shared" si="18"/>
        <v>0</v>
      </c>
      <c r="Q226" s="92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3">
        <f>+'1'!J227</f>
        <v>0</v>
      </c>
      <c r="F227" s="70">
        <v>0</v>
      </c>
      <c r="G227" s="46">
        <f t="shared" si="22"/>
        <v>0</v>
      </c>
      <c r="H227" s="78">
        <v>0</v>
      </c>
      <c r="I227" s="76">
        <v>0</v>
      </c>
      <c r="J227" s="46">
        <f t="shared" si="23"/>
        <v>0</v>
      </c>
      <c r="K227" s="71"/>
      <c r="L227" s="20">
        <v>150</v>
      </c>
      <c r="M227" s="64">
        <f t="shared" si="17"/>
        <v>0</v>
      </c>
      <c r="N227" s="17" t="s">
        <v>16</v>
      </c>
      <c r="O227" s="18"/>
      <c r="P227" s="23">
        <f t="shared" si="18"/>
        <v>0</v>
      </c>
      <c r="Q227" s="92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3">
        <f>+'1'!J228</f>
        <v>0</v>
      </c>
      <c r="F228" s="70">
        <v>0</v>
      </c>
      <c r="G228" s="46">
        <f t="shared" si="22"/>
        <v>0</v>
      </c>
      <c r="H228" s="78">
        <v>0</v>
      </c>
      <c r="I228" s="76">
        <v>0</v>
      </c>
      <c r="J228" s="46">
        <f t="shared" si="23"/>
        <v>0</v>
      </c>
      <c r="K228" s="71"/>
      <c r="L228" s="20">
        <v>200</v>
      </c>
      <c r="M228" s="64">
        <f t="shared" si="17"/>
        <v>0</v>
      </c>
      <c r="N228" s="17" t="s">
        <v>16</v>
      </c>
      <c r="O228" s="18"/>
      <c r="P228" s="23">
        <f t="shared" si="18"/>
        <v>0</v>
      </c>
      <c r="Q228" s="92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3">
        <f>+'1'!J229</f>
        <v>0</v>
      </c>
      <c r="F229" s="70">
        <v>0</v>
      </c>
      <c r="G229" s="46">
        <f t="shared" si="22"/>
        <v>0</v>
      </c>
      <c r="H229" s="78">
        <v>0</v>
      </c>
      <c r="I229" s="76">
        <v>0</v>
      </c>
      <c r="J229" s="46">
        <f t="shared" si="23"/>
        <v>0</v>
      </c>
      <c r="K229" s="71"/>
      <c r="L229" s="20"/>
      <c r="M229" s="64">
        <f t="shared" si="17"/>
        <v>0</v>
      </c>
      <c r="N229" s="17" t="s">
        <v>16</v>
      </c>
      <c r="O229" s="18"/>
      <c r="P229" s="23">
        <f t="shared" si="18"/>
        <v>0</v>
      </c>
      <c r="Q229" s="92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3">
        <f>+'1'!J230</f>
        <v>11</v>
      </c>
      <c r="F230" s="70">
        <v>0</v>
      </c>
      <c r="G230" s="46">
        <f t="shared" si="22"/>
        <v>11</v>
      </c>
      <c r="H230" s="78">
        <v>0</v>
      </c>
      <c r="I230" s="76">
        <v>0</v>
      </c>
      <c r="J230" s="46">
        <f t="shared" si="23"/>
        <v>11</v>
      </c>
      <c r="K230" s="71"/>
      <c r="L230" s="20">
        <v>35</v>
      </c>
      <c r="M230" s="64">
        <f t="shared" si="17"/>
        <v>0</v>
      </c>
      <c r="N230" s="17" t="s">
        <v>16</v>
      </c>
      <c r="O230" s="18"/>
      <c r="P230" s="23">
        <f t="shared" si="18"/>
        <v>0</v>
      </c>
      <c r="Q230" s="92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1398</v>
      </c>
      <c r="D231" s="10" t="s">
        <v>566</v>
      </c>
      <c r="E231" s="63">
        <f>+'1'!J231</f>
        <v>4</v>
      </c>
      <c r="F231" s="70">
        <v>0</v>
      </c>
      <c r="G231" s="46">
        <f t="shared" si="22"/>
        <v>4</v>
      </c>
      <c r="H231" s="78">
        <v>0</v>
      </c>
      <c r="I231" s="76">
        <v>0</v>
      </c>
      <c r="J231" s="46">
        <f t="shared" si="23"/>
        <v>4</v>
      </c>
      <c r="K231" s="71"/>
      <c r="L231" s="20">
        <v>25</v>
      </c>
      <c r="M231" s="64">
        <f t="shared" si="17"/>
        <v>0</v>
      </c>
      <c r="N231" s="17" t="s">
        <v>16</v>
      </c>
      <c r="O231" s="18"/>
      <c r="P231" s="23">
        <f t="shared" si="18"/>
        <v>0</v>
      </c>
      <c r="Q231" s="92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312</v>
      </c>
      <c r="D232" s="10" t="s">
        <v>434</v>
      </c>
      <c r="E232" s="63">
        <f>+'1'!J232</f>
        <v>22</v>
      </c>
      <c r="F232" s="70">
        <v>0</v>
      </c>
      <c r="G232" s="46">
        <f t="shared" si="22"/>
        <v>22</v>
      </c>
      <c r="H232" s="78">
        <v>0</v>
      </c>
      <c r="I232" s="76">
        <v>0</v>
      </c>
      <c r="J232" s="46">
        <f t="shared" si="23"/>
        <v>22</v>
      </c>
      <c r="K232" s="71"/>
      <c r="L232" s="20">
        <v>35</v>
      </c>
      <c r="M232" s="64">
        <f t="shared" si="17"/>
        <v>0</v>
      </c>
      <c r="N232" s="17" t="s">
        <v>16</v>
      </c>
      <c r="O232" s="18"/>
      <c r="P232" s="23">
        <f t="shared" si="18"/>
        <v>0</v>
      </c>
      <c r="Q232" s="92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3">
        <f>+'1'!J233</f>
        <v>0</v>
      </c>
      <c r="F233" s="70">
        <v>0</v>
      </c>
      <c r="G233" s="46">
        <f t="shared" si="22"/>
        <v>0</v>
      </c>
      <c r="H233" s="78">
        <v>0</v>
      </c>
      <c r="I233" s="76">
        <v>0</v>
      </c>
      <c r="J233" s="46">
        <f t="shared" si="23"/>
        <v>0</v>
      </c>
      <c r="K233" s="71"/>
      <c r="L233" s="20"/>
      <c r="M233" s="64">
        <f t="shared" si="17"/>
        <v>0</v>
      </c>
      <c r="N233" s="17" t="s">
        <v>16</v>
      </c>
      <c r="O233" s="18"/>
      <c r="P233" s="23">
        <f t="shared" si="18"/>
        <v>0</v>
      </c>
      <c r="Q233" s="92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3">
        <f>+'1'!J234</f>
        <v>0</v>
      </c>
      <c r="F234" s="70">
        <v>0</v>
      </c>
      <c r="G234" s="46">
        <f t="shared" si="22"/>
        <v>0</v>
      </c>
      <c r="H234" s="78">
        <v>0</v>
      </c>
      <c r="I234" s="76">
        <v>0</v>
      </c>
      <c r="J234" s="46">
        <f t="shared" si="23"/>
        <v>0</v>
      </c>
      <c r="K234" s="71"/>
      <c r="L234" s="20"/>
      <c r="M234" s="64">
        <f t="shared" si="17"/>
        <v>0</v>
      </c>
      <c r="N234" s="17" t="s">
        <v>16</v>
      </c>
      <c r="O234" s="18"/>
      <c r="P234" s="23">
        <f t="shared" si="18"/>
        <v>0</v>
      </c>
      <c r="Q234" s="92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3">
        <f>+'1'!J235</f>
        <v>0</v>
      </c>
      <c r="F235" s="70">
        <v>0</v>
      </c>
      <c r="G235" s="46">
        <f t="shared" si="22"/>
        <v>0</v>
      </c>
      <c r="H235" s="78">
        <v>0</v>
      </c>
      <c r="I235" s="76">
        <v>0</v>
      </c>
      <c r="J235" s="46">
        <f t="shared" si="23"/>
        <v>0</v>
      </c>
      <c r="K235" s="71"/>
      <c r="L235" s="20"/>
      <c r="M235" s="64">
        <f t="shared" si="17"/>
        <v>0</v>
      </c>
      <c r="N235" s="17" t="s">
        <v>16</v>
      </c>
      <c r="O235" s="18"/>
      <c r="P235" s="23">
        <f t="shared" si="18"/>
        <v>0</v>
      </c>
      <c r="Q235" s="92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3">
        <f>+'1'!J236</f>
        <v>0</v>
      </c>
      <c r="F236" s="70">
        <v>0</v>
      </c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1"/>
      <c r="L236" s="20"/>
      <c r="M236" s="64">
        <f t="shared" si="17"/>
        <v>0</v>
      </c>
      <c r="N236" s="17" t="s">
        <v>16</v>
      </c>
      <c r="O236" s="18"/>
      <c r="P236" s="23">
        <f t="shared" si="18"/>
        <v>0</v>
      </c>
      <c r="Q236" s="92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3">
        <f>+'1'!J237</f>
        <v>0</v>
      </c>
      <c r="F237" s="70">
        <v>0</v>
      </c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1"/>
      <c r="L237" s="20"/>
      <c r="M237" s="64">
        <f t="shared" si="17"/>
        <v>0</v>
      </c>
      <c r="N237" s="17" t="s">
        <v>16</v>
      </c>
      <c r="O237" s="18"/>
      <c r="P237" s="23">
        <f t="shared" si="18"/>
        <v>0</v>
      </c>
      <c r="Q237" s="92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3">
        <f>+'1'!J238</f>
        <v>0</v>
      </c>
      <c r="F238" s="70">
        <v>0</v>
      </c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1"/>
      <c r="L238" s="20"/>
      <c r="M238" s="64">
        <f t="shared" si="17"/>
        <v>0</v>
      </c>
      <c r="N238" s="17" t="s">
        <v>16</v>
      </c>
      <c r="O238" s="18"/>
      <c r="P238" s="23">
        <f t="shared" si="18"/>
        <v>0</v>
      </c>
      <c r="Q238" s="92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3">
        <f>+'1'!J239</f>
        <v>0</v>
      </c>
      <c r="F239" s="70">
        <v>0</v>
      </c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1"/>
      <c r="L239" s="20"/>
      <c r="M239" s="64">
        <f t="shared" si="17"/>
        <v>0</v>
      </c>
      <c r="N239" s="17" t="s">
        <v>16</v>
      </c>
      <c r="O239" s="18"/>
      <c r="P239" s="23">
        <f t="shared" si="18"/>
        <v>0</v>
      </c>
      <c r="Q239" s="92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4" t="s">
        <v>213</v>
      </c>
      <c r="Q240" s="91"/>
      <c r="R240" s="75">
        <f>SUM(R5:R239)</f>
        <v>0</v>
      </c>
      <c r="S240" s="75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1" t="s">
        <v>212</v>
      </c>
      <c r="L241" s="16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34" t="s">
        <v>202</v>
      </c>
      <c r="M242" s="35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SUM(O244:AF2440)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2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L234" sqref="L234"/>
      <selection pane="topRight" activeCell="L234" sqref="L234"/>
      <selection pane="bottomLeft" activeCell="L234" sqref="L234"/>
      <selection pane="bottomRight" activeCell="AF7" sqref="A7:AF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8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2" t="s">
        <v>1397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Q2" s="89"/>
    </row>
    <row r="3" spans="1:18" s="5" customFormat="1" ht="26.4" customHeight="1" x14ac:dyDescent="0.7">
      <c r="A3" s="150" t="s">
        <v>1</v>
      </c>
      <c r="B3" s="150" t="s">
        <v>1368</v>
      </c>
      <c r="C3" s="150" t="s">
        <v>2</v>
      </c>
      <c r="D3" s="150" t="s">
        <v>1369</v>
      </c>
      <c r="E3" s="152" t="s">
        <v>3</v>
      </c>
      <c r="F3" s="152" t="s">
        <v>4</v>
      </c>
      <c r="G3" s="152" t="s">
        <v>5</v>
      </c>
      <c r="H3" s="77" t="s">
        <v>6</v>
      </c>
      <c r="I3" s="109" t="s">
        <v>273</v>
      </c>
      <c r="J3" s="152" t="s">
        <v>7</v>
      </c>
      <c r="K3" s="153" t="s">
        <v>8</v>
      </c>
      <c r="L3" s="153"/>
      <c r="M3" s="153"/>
      <c r="N3" s="152" t="s">
        <v>9</v>
      </c>
      <c r="O3" s="160" t="s">
        <v>10</v>
      </c>
      <c r="Q3" s="154" t="s">
        <v>274</v>
      </c>
      <c r="R3" s="156" t="s">
        <v>275</v>
      </c>
    </row>
    <row r="4" spans="1:18" s="5" customFormat="1" ht="26.4" x14ac:dyDescent="0.7">
      <c r="A4" s="151"/>
      <c r="B4" s="151"/>
      <c r="C4" s="151"/>
      <c r="D4" s="151"/>
      <c r="E4" s="152"/>
      <c r="F4" s="152"/>
      <c r="G4" s="152"/>
      <c r="H4" s="77" t="s">
        <v>11</v>
      </c>
      <c r="I4" s="110"/>
      <c r="J4" s="152"/>
      <c r="K4" s="68" t="s">
        <v>12</v>
      </c>
      <c r="L4" s="69" t="s">
        <v>13</v>
      </c>
      <c r="M4" s="68" t="s">
        <v>14</v>
      </c>
      <c r="N4" s="152"/>
      <c r="O4" s="160"/>
      <c r="Q4" s="155"/>
      <c r="R4" s="157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3">
        <f>+'2'!J5</f>
        <v>0</v>
      </c>
      <c r="F5" s="70">
        <v>0</v>
      </c>
      <c r="G5" s="46">
        <f t="shared" ref="G5" si="0">E5+F5</f>
        <v>0</v>
      </c>
      <c r="H5" s="78">
        <v>0</v>
      </c>
      <c r="I5" s="76">
        <v>0</v>
      </c>
      <c r="J5" s="46">
        <f t="shared" ref="J5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3">
        <f>+'2'!J6</f>
        <v>5</v>
      </c>
      <c r="F6" s="70">
        <v>0</v>
      </c>
      <c r="G6" s="46">
        <f t="shared" ref="G6:G69" si="2">E6+F6</f>
        <v>5</v>
      </c>
      <c r="H6" s="78">
        <v>0</v>
      </c>
      <c r="I6" s="76">
        <v>0</v>
      </c>
      <c r="J6" s="46">
        <f t="shared" ref="J6:J69" si="3">+G6-H6-K6-I6</f>
        <v>5</v>
      </c>
      <c r="K6" s="71"/>
      <c r="L6" s="15">
        <v>100</v>
      </c>
      <c r="M6" s="64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0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3">
        <f>+'2'!J7</f>
        <v>1</v>
      </c>
      <c r="F7" s="70">
        <v>0</v>
      </c>
      <c r="G7" s="46">
        <f t="shared" si="2"/>
        <v>1</v>
      </c>
      <c r="H7" s="78">
        <v>0</v>
      </c>
      <c r="I7" s="76">
        <v>0</v>
      </c>
      <c r="J7" s="46">
        <f t="shared" si="3"/>
        <v>1</v>
      </c>
      <c r="K7" s="71"/>
      <c r="L7" s="15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3">
        <f>+'2'!J8</f>
        <v>0</v>
      </c>
      <c r="F8" s="70">
        <v>0</v>
      </c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1"/>
      <c r="L8" s="15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3">
        <f>+'2'!J9</f>
        <v>0</v>
      </c>
      <c r="F9" s="70">
        <v>0</v>
      </c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1"/>
      <c r="L9" s="15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3">
        <f>+'2'!J10</f>
        <v>0</v>
      </c>
      <c r="F10" s="70">
        <v>0</v>
      </c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1"/>
      <c r="L10" s="15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3">
        <f>+'2'!J11</f>
        <v>4</v>
      </c>
      <c r="F11" s="70">
        <v>0</v>
      </c>
      <c r="G11" s="46">
        <f t="shared" si="2"/>
        <v>4</v>
      </c>
      <c r="H11" s="78">
        <v>0</v>
      </c>
      <c r="I11" s="76">
        <v>0</v>
      </c>
      <c r="J11" s="46">
        <f t="shared" si="3"/>
        <v>4</v>
      </c>
      <c r="K11" s="71"/>
      <c r="L11" s="15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3">
        <f>+'2'!J12</f>
        <v>0</v>
      </c>
      <c r="F12" s="70">
        <v>0</v>
      </c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1"/>
      <c r="L12" s="15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3">
        <f>+'2'!J13</f>
        <v>0</v>
      </c>
      <c r="F13" s="70">
        <v>0</v>
      </c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1"/>
      <c r="L13" s="15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3">
        <f>+'2'!J14</f>
        <v>2</v>
      </c>
      <c r="F14" s="70">
        <v>0</v>
      </c>
      <c r="G14" s="46">
        <f t="shared" si="2"/>
        <v>2</v>
      </c>
      <c r="H14" s="78">
        <v>0</v>
      </c>
      <c r="I14" s="76">
        <v>0</v>
      </c>
      <c r="J14" s="46">
        <f t="shared" si="3"/>
        <v>2</v>
      </c>
      <c r="K14" s="71"/>
      <c r="L14" s="15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3">
        <f>+'2'!J15</f>
        <v>0</v>
      </c>
      <c r="F15" s="70">
        <v>0</v>
      </c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1"/>
      <c r="L15" s="15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3">
        <f>+'2'!J16</f>
        <v>0</v>
      </c>
      <c r="F16" s="70">
        <v>0</v>
      </c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1"/>
      <c r="L16" s="15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3">
        <f>+'2'!J17</f>
        <v>0</v>
      </c>
      <c r="F17" s="70">
        <v>0</v>
      </c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1"/>
      <c r="L17" s="15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3">
        <f>+'2'!J18</f>
        <v>4</v>
      </c>
      <c r="F18" s="70">
        <v>0</v>
      </c>
      <c r="G18" s="46">
        <f t="shared" si="2"/>
        <v>4</v>
      </c>
      <c r="H18" s="78">
        <v>0</v>
      </c>
      <c r="I18" s="76">
        <v>0</v>
      </c>
      <c r="J18" s="46">
        <f t="shared" si="3"/>
        <v>4</v>
      </c>
      <c r="K18" s="71"/>
      <c r="L18" s="15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3">
        <f>+'2'!J19</f>
        <v>0</v>
      </c>
      <c r="F19" s="70">
        <v>0</v>
      </c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1"/>
      <c r="L19" s="15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3">
        <f>+'2'!J20</f>
        <v>0</v>
      </c>
      <c r="F20" s="70">
        <v>0</v>
      </c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1"/>
      <c r="L20" s="15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3">
        <f>+'2'!J21</f>
        <v>0</v>
      </c>
      <c r="F21" s="70">
        <v>0</v>
      </c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1"/>
      <c r="L21" s="15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3">
        <f>+'2'!J22</f>
        <v>4</v>
      </c>
      <c r="F22" s="70">
        <v>0</v>
      </c>
      <c r="G22" s="46">
        <f t="shared" si="2"/>
        <v>4</v>
      </c>
      <c r="H22" s="78">
        <v>0</v>
      </c>
      <c r="I22" s="76">
        <v>0</v>
      </c>
      <c r="J22" s="46">
        <f t="shared" si="3"/>
        <v>4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3">
        <f>+'2'!J23</f>
        <v>0</v>
      </c>
      <c r="F23" s="70">
        <v>0</v>
      </c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1"/>
      <c r="L23" s="15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4.6" x14ac:dyDescent="0.65">
      <c r="A24" s="10">
        <v>20</v>
      </c>
      <c r="B24" s="87">
        <v>8857125000970</v>
      </c>
      <c r="C24" s="19" t="s">
        <v>287</v>
      </c>
      <c r="D24" s="10" t="s">
        <v>434</v>
      </c>
      <c r="E24" s="63">
        <f>+'2'!J24</f>
        <v>5</v>
      </c>
      <c r="F24" s="70">
        <v>0</v>
      </c>
      <c r="G24" s="46">
        <f t="shared" si="2"/>
        <v>5</v>
      </c>
      <c r="H24" s="78">
        <v>0</v>
      </c>
      <c r="I24" s="76">
        <v>0</v>
      </c>
      <c r="J24" s="46">
        <f t="shared" si="3"/>
        <v>5</v>
      </c>
      <c r="K24" s="71"/>
      <c r="L24" s="15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4.6" x14ac:dyDescent="0.65">
      <c r="A25" s="10">
        <v>21</v>
      </c>
      <c r="B25" s="87">
        <v>8857125003810</v>
      </c>
      <c r="C25" s="19" t="s">
        <v>292</v>
      </c>
      <c r="D25" s="10" t="s">
        <v>434</v>
      </c>
      <c r="E25" s="63">
        <f>+'2'!J25</f>
        <v>5</v>
      </c>
      <c r="F25" s="70">
        <v>0</v>
      </c>
      <c r="G25" s="46">
        <f t="shared" si="2"/>
        <v>5</v>
      </c>
      <c r="H25" s="78">
        <v>0</v>
      </c>
      <c r="I25" s="76">
        <v>0</v>
      </c>
      <c r="J25" s="46">
        <f t="shared" si="3"/>
        <v>5</v>
      </c>
      <c r="K25" s="71"/>
      <c r="L25" s="15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3">
        <f>+'2'!J26</f>
        <v>0</v>
      </c>
      <c r="F26" s="70">
        <v>0</v>
      </c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1"/>
      <c r="L26" s="15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3">
        <f>+'2'!J27</f>
        <v>0</v>
      </c>
      <c r="F27" s="70">
        <v>0</v>
      </c>
      <c r="G27" s="46">
        <f t="shared" si="2"/>
        <v>0</v>
      </c>
      <c r="H27" s="78">
        <v>0</v>
      </c>
      <c r="I27" s="76">
        <v>0</v>
      </c>
      <c r="J27" s="46">
        <f t="shared" si="3"/>
        <v>0</v>
      </c>
      <c r="K27" s="71"/>
      <c r="L27" s="15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3">
        <f>+'2'!J28</f>
        <v>5</v>
      </c>
      <c r="F28" s="70">
        <v>0</v>
      </c>
      <c r="G28" s="46">
        <f t="shared" si="2"/>
        <v>5</v>
      </c>
      <c r="H28" s="78">
        <v>0</v>
      </c>
      <c r="I28" s="76">
        <v>0</v>
      </c>
      <c r="J28" s="46">
        <f t="shared" si="3"/>
        <v>5</v>
      </c>
      <c r="K28" s="71"/>
      <c r="L28" s="15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3">
        <f>+'2'!J29</f>
        <v>0</v>
      </c>
      <c r="F29" s="70">
        <v>0</v>
      </c>
      <c r="G29" s="46">
        <f t="shared" si="2"/>
        <v>0</v>
      </c>
      <c r="H29" s="78">
        <v>0</v>
      </c>
      <c r="I29" s="76">
        <v>0</v>
      </c>
      <c r="J29" s="46">
        <f t="shared" si="3"/>
        <v>0</v>
      </c>
      <c r="K29" s="71"/>
      <c r="L29" s="15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3">
        <f>+'2'!J30</f>
        <v>0</v>
      </c>
      <c r="F30" s="70">
        <v>0</v>
      </c>
      <c r="G30" s="46">
        <f t="shared" si="2"/>
        <v>0</v>
      </c>
      <c r="H30" s="78">
        <v>0</v>
      </c>
      <c r="I30" s="76">
        <v>0</v>
      </c>
      <c r="J30" s="46">
        <f t="shared" si="3"/>
        <v>0</v>
      </c>
      <c r="K30" s="71"/>
      <c r="L30" s="15">
        <v>100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3">
        <f>+'2'!J31</f>
        <v>4</v>
      </c>
      <c r="F31" s="70">
        <v>0</v>
      </c>
      <c r="G31" s="46">
        <f t="shared" si="2"/>
        <v>4</v>
      </c>
      <c r="H31" s="78">
        <v>0</v>
      </c>
      <c r="I31" s="76">
        <v>0</v>
      </c>
      <c r="J31" s="46">
        <f t="shared" si="3"/>
        <v>4</v>
      </c>
      <c r="K31" s="71"/>
      <c r="L31" s="15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3">
        <f>+'2'!J32</f>
        <v>0</v>
      </c>
      <c r="F32" s="70">
        <v>0</v>
      </c>
      <c r="G32" s="46">
        <f t="shared" si="2"/>
        <v>0</v>
      </c>
      <c r="H32" s="78">
        <v>0</v>
      </c>
      <c r="I32" s="76">
        <v>0</v>
      </c>
      <c r="J32" s="46">
        <f t="shared" si="3"/>
        <v>0</v>
      </c>
      <c r="K32" s="71"/>
      <c r="L32" s="15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3">
        <f>+'2'!J33</f>
        <v>0</v>
      </c>
      <c r="F33" s="70">
        <v>0</v>
      </c>
      <c r="G33" s="46">
        <f t="shared" si="2"/>
        <v>0</v>
      </c>
      <c r="H33" s="78">
        <v>0</v>
      </c>
      <c r="I33" s="76">
        <v>0</v>
      </c>
      <c r="J33" s="46">
        <f t="shared" si="3"/>
        <v>0</v>
      </c>
      <c r="K33" s="71"/>
      <c r="L33" s="15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3">
        <f>+'2'!J34</f>
        <v>0</v>
      </c>
      <c r="F34" s="70">
        <v>0</v>
      </c>
      <c r="G34" s="46">
        <f t="shared" si="2"/>
        <v>0</v>
      </c>
      <c r="H34" s="78">
        <v>0</v>
      </c>
      <c r="I34" s="76">
        <v>0</v>
      </c>
      <c r="J34" s="46">
        <f t="shared" si="3"/>
        <v>0</v>
      </c>
      <c r="K34" s="71"/>
      <c r="L34" s="15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3">
        <f>+'2'!J35</f>
        <v>0</v>
      </c>
      <c r="F35" s="70">
        <v>0</v>
      </c>
      <c r="G35" s="46">
        <f t="shared" si="2"/>
        <v>0</v>
      </c>
      <c r="H35" s="78">
        <v>0</v>
      </c>
      <c r="I35" s="76">
        <v>0</v>
      </c>
      <c r="J35" s="46">
        <f t="shared" si="3"/>
        <v>0</v>
      </c>
      <c r="K35" s="71"/>
      <c r="L35" s="15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3">
        <f>+'2'!J36</f>
        <v>0</v>
      </c>
      <c r="F36" s="70">
        <v>0</v>
      </c>
      <c r="G36" s="46">
        <f t="shared" si="2"/>
        <v>0</v>
      </c>
      <c r="H36" s="78">
        <v>0</v>
      </c>
      <c r="I36" s="76">
        <v>0</v>
      </c>
      <c r="J36" s="46">
        <f t="shared" si="3"/>
        <v>0</v>
      </c>
      <c r="K36" s="71"/>
      <c r="L36" s="15">
        <v>35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3">
        <f>+'2'!J37</f>
        <v>0</v>
      </c>
      <c r="F37" s="70">
        <v>0</v>
      </c>
      <c r="G37" s="46">
        <f t="shared" si="2"/>
        <v>0</v>
      </c>
      <c r="H37" s="78">
        <v>0</v>
      </c>
      <c r="I37" s="76">
        <v>0</v>
      </c>
      <c r="J37" s="46">
        <f t="shared" si="3"/>
        <v>0</v>
      </c>
      <c r="K37" s="71"/>
      <c r="L37" s="15">
        <v>35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3">
        <f>+'2'!J38</f>
        <v>0</v>
      </c>
      <c r="F38" s="70">
        <v>0</v>
      </c>
      <c r="G38" s="46">
        <f t="shared" si="2"/>
        <v>0</v>
      </c>
      <c r="H38" s="78">
        <v>0</v>
      </c>
      <c r="I38" s="76">
        <v>0</v>
      </c>
      <c r="J38" s="46">
        <f t="shared" si="3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3">
        <f>+'2'!J39</f>
        <v>0</v>
      </c>
      <c r="F39" s="70">
        <v>0</v>
      </c>
      <c r="G39" s="46">
        <f t="shared" si="2"/>
        <v>0</v>
      </c>
      <c r="H39" s="78">
        <v>0</v>
      </c>
      <c r="I39" s="76">
        <v>0</v>
      </c>
      <c r="J39" s="46">
        <f t="shared" si="3"/>
        <v>0</v>
      </c>
      <c r="K39" s="71"/>
      <c r="L39" s="15">
        <v>50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3">
        <f>+'2'!J40</f>
        <v>0</v>
      </c>
      <c r="F40" s="70">
        <v>0</v>
      </c>
      <c r="G40" s="46">
        <f t="shared" si="2"/>
        <v>0</v>
      </c>
      <c r="H40" s="78">
        <v>0</v>
      </c>
      <c r="I40" s="76">
        <v>0</v>
      </c>
      <c r="J40" s="46">
        <f t="shared" si="3"/>
        <v>0</v>
      </c>
      <c r="K40" s="71"/>
      <c r="L40" s="15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3">
        <f>+'2'!J41</f>
        <v>0</v>
      </c>
      <c r="F41" s="70">
        <v>0</v>
      </c>
      <c r="G41" s="46">
        <f t="shared" si="2"/>
        <v>0</v>
      </c>
      <c r="H41" s="78">
        <v>0</v>
      </c>
      <c r="I41" s="76">
        <v>0</v>
      </c>
      <c r="J41" s="46">
        <f t="shared" si="3"/>
        <v>0</v>
      </c>
      <c r="K41" s="71"/>
      <c r="L41" s="15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3">
        <f>+'2'!J42</f>
        <v>0</v>
      </c>
      <c r="F42" s="70">
        <v>0</v>
      </c>
      <c r="G42" s="46">
        <f t="shared" si="2"/>
        <v>0</v>
      </c>
      <c r="H42" s="78">
        <v>0</v>
      </c>
      <c r="I42" s="76">
        <v>0</v>
      </c>
      <c r="J42" s="46">
        <f t="shared" si="3"/>
        <v>0</v>
      </c>
      <c r="K42" s="71"/>
      <c r="L42" s="15">
        <v>25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3">
        <f>+'2'!J43</f>
        <v>0</v>
      </c>
      <c r="F43" s="70">
        <v>0</v>
      </c>
      <c r="G43" s="46">
        <f t="shared" si="2"/>
        <v>0</v>
      </c>
      <c r="H43" s="78">
        <v>0</v>
      </c>
      <c r="I43" s="76">
        <v>0</v>
      </c>
      <c r="J43" s="46">
        <f t="shared" si="3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3">
        <f>+'2'!J44</f>
        <v>0</v>
      </c>
      <c r="F44" s="70">
        <v>0</v>
      </c>
      <c r="G44" s="46">
        <f t="shared" si="2"/>
        <v>0</v>
      </c>
      <c r="H44" s="78">
        <v>0</v>
      </c>
      <c r="I44" s="76">
        <v>0</v>
      </c>
      <c r="J44" s="46">
        <f t="shared" si="3"/>
        <v>0</v>
      </c>
      <c r="K44" s="71"/>
      <c r="L44" s="15">
        <v>25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3">
        <f>+'2'!J45</f>
        <v>0</v>
      </c>
      <c r="F45" s="70">
        <v>0</v>
      </c>
      <c r="G45" s="46">
        <f t="shared" si="2"/>
        <v>0</v>
      </c>
      <c r="H45" s="78">
        <v>0</v>
      </c>
      <c r="I45" s="76">
        <v>0</v>
      </c>
      <c r="J45" s="46">
        <f t="shared" si="3"/>
        <v>0</v>
      </c>
      <c r="K45" s="71"/>
      <c r="L45" s="15">
        <v>35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3">
        <f>+'2'!J46</f>
        <v>2</v>
      </c>
      <c r="F46" s="70">
        <v>0</v>
      </c>
      <c r="G46" s="46">
        <f t="shared" si="2"/>
        <v>2</v>
      </c>
      <c r="H46" s="78">
        <v>0</v>
      </c>
      <c r="I46" s="76">
        <v>0</v>
      </c>
      <c r="J46" s="46">
        <f t="shared" si="3"/>
        <v>2</v>
      </c>
      <c r="K46" s="71"/>
      <c r="L46" s="15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3">
        <f>+'2'!J47</f>
        <v>5</v>
      </c>
      <c r="F47" s="70">
        <v>0</v>
      </c>
      <c r="G47" s="46">
        <f t="shared" si="2"/>
        <v>5</v>
      </c>
      <c r="H47" s="78">
        <v>0</v>
      </c>
      <c r="I47" s="76">
        <v>0</v>
      </c>
      <c r="J47" s="46">
        <f t="shared" si="3"/>
        <v>5</v>
      </c>
      <c r="K47" s="71"/>
      <c r="L47" s="15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3">
        <f>+'2'!J48</f>
        <v>2</v>
      </c>
      <c r="F48" s="70">
        <v>0</v>
      </c>
      <c r="G48" s="46">
        <f t="shared" si="2"/>
        <v>2</v>
      </c>
      <c r="H48" s="78">
        <v>0</v>
      </c>
      <c r="I48" s="76">
        <v>0</v>
      </c>
      <c r="J48" s="46">
        <f t="shared" si="3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3">
        <f>+'2'!J49</f>
        <v>3</v>
      </c>
      <c r="F49" s="70">
        <v>0</v>
      </c>
      <c r="G49" s="46">
        <f t="shared" si="2"/>
        <v>3</v>
      </c>
      <c r="H49" s="78">
        <v>0</v>
      </c>
      <c r="I49" s="76">
        <v>0</v>
      </c>
      <c r="J49" s="46">
        <f t="shared" si="3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3">
        <f>+'2'!J50</f>
        <v>1</v>
      </c>
      <c r="F50" s="70">
        <v>0</v>
      </c>
      <c r="G50" s="46">
        <f t="shared" si="2"/>
        <v>1</v>
      </c>
      <c r="H50" s="78">
        <v>0</v>
      </c>
      <c r="I50" s="76">
        <v>0</v>
      </c>
      <c r="J50" s="46">
        <f t="shared" si="3"/>
        <v>1</v>
      </c>
      <c r="K50" s="71"/>
      <c r="L50" s="15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3">
        <f>+'2'!J51</f>
        <v>4</v>
      </c>
      <c r="F51" s="70">
        <v>0</v>
      </c>
      <c r="G51" s="46">
        <f t="shared" si="2"/>
        <v>4</v>
      </c>
      <c r="H51" s="78">
        <v>0</v>
      </c>
      <c r="I51" s="76">
        <v>0</v>
      </c>
      <c r="J51" s="46">
        <f t="shared" si="3"/>
        <v>4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3">
        <f>+'2'!J52</f>
        <v>0</v>
      </c>
      <c r="F52" s="70">
        <v>0</v>
      </c>
      <c r="G52" s="46">
        <f t="shared" si="2"/>
        <v>0</v>
      </c>
      <c r="H52" s="78">
        <v>0</v>
      </c>
      <c r="I52" s="76">
        <v>0</v>
      </c>
      <c r="J52" s="46">
        <f t="shared" si="3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3">
        <f>+'2'!J53</f>
        <v>3</v>
      </c>
      <c r="F53" s="70">
        <v>0</v>
      </c>
      <c r="G53" s="46">
        <f t="shared" si="2"/>
        <v>3</v>
      </c>
      <c r="H53" s="78">
        <v>0</v>
      </c>
      <c r="I53" s="76">
        <v>0</v>
      </c>
      <c r="J53" s="46">
        <f t="shared" si="3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3">
        <f>+'2'!J54</f>
        <v>5</v>
      </c>
      <c r="F54" s="70">
        <v>0</v>
      </c>
      <c r="G54" s="46">
        <f t="shared" si="2"/>
        <v>5</v>
      </c>
      <c r="H54" s="78">
        <v>0</v>
      </c>
      <c r="I54" s="76">
        <v>0</v>
      </c>
      <c r="J54" s="46">
        <f t="shared" si="3"/>
        <v>5</v>
      </c>
      <c r="K54" s="71"/>
      <c r="L54" s="15">
        <v>50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3">
        <f>+'2'!J55</f>
        <v>0</v>
      </c>
      <c r="F55" s="70">
        <v>0</v>
      </c>
      <c r="G55" s="46">
        <f t="shared" si="2"/>
        <v>0</v>
      </c>
      <c r="H55" s="78">
        <v>0</v>
      </c>
      <c r="I55" s="76">
        <v>0</v>
      </c>
      <c r="J55" s="46">
        <f t="shared" si="3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3">
        <f>+'2'!J56</f>
        <v>0</v>
      </c>
      <c r="F56" s="70">
        <v>0</v>
      </c>
      <c r="G56" s="46">
        <f t="shared" si="2"/>
        <v>0</v>
      </c>
      <c r="H56" s="78">
        <v>0</v>
      </c>
      <c r="I56" s="76">
        <v>0</v>
      </c>
      <c r="J56" s="46">
        <f t="shared" si="3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3">
        <f>+'2'!J57</f>
        <v>0</v>
      </c>
      <c r="F57" s="70">
        <v>0</v>
      </c>
      <c r="G57" s="46">
        <f t="shared" si="2"/>
        <v>0</v>
      </c>
      <c r="H57" s="78">
        <v>0</v>
      </c>
      <c r="I57" s="76">
        <v>0</v>
      </c>
      <c r="J57" s="46">
        <f t="shared" si="3"/>
        <v>0</v>
      </c>
      <c r="K57" s="71"/>
      <c r="L57" s="15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3">
        <f>+'2'!J58</f>
        <v>0</v>
      </c>
      <c r="F58" s="70">
        <v>0</v>
      </c>
      <c r="G58" s="46">
        <f t="shared" si="2"/>
        <v>0</v>
      </c>
      <c r="H58" s="78">
        <v>0</v>
      </c>
      <c r="I58" s="76">
        <v>0</v>
      </c>
      <c r="J58" s="46">
        <f t="shared" si="3"/>
        <v>0</v>
      </c>
      <c r="K58" s="71"/>
      <c r="L58" s="15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3">
        <f>+'2'!J59</f>
        <v>0</v>
      </c>
      <c r="F59" s="70">
        <v>0</v>
      </c>
      <c r="G59" s="46">
        <f t="shared" si="2"/>
        <v>0</v>
      </c>
      <c r="H59" s="78">
        <v>0</v>
      </c>
      <c r="I59" s="76">
        <v>0</v>
      </c>
      <c r="J59" s="46">
        <f t="shared" si="3"/>
        <v>0</v>
      </c>
      <c r="K59" s="71"/>
      <c r="L59" s="15">
        <v>120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3">
        <f>+'2'!J60</f>
        <v>0</v>
      </c>
      <c r="F60" s="70">
        <v>0</v>
      </c>
      <c r="G60" s="46">
        <f t="shared" si="2"/>
        <v>0</v>
      </c>
      <c r="H60" s="78">
        <v>0</v>
      </c>
      <c r="I60" s="76">
        <v>0</v>
      </c>
      <c r="J60" s="46">
        <f t="shared" si="3"/>
        <v>0</v>
      </c>
      <c r="K60" s="71"/>
      <c r="L60" s="15">
        <v>120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3">
        <f>+'2'!J61</f>
        <v>0</v>
      </c>
      <c r="F61" s="70">
        <v>0</v>
      </c>
      <c r="G61" s="46">
        <f t="shared" si="2"/>
        <v>0</v>
      </c>
      <c r="H61" s="78">
        <v>0</v>
      </c>
      <c r="I61" s="76">
        <v>0</v>
      </c>
      <c r="J61" s="46">
        <f t="shared" si="3"/>
        <v>0</v>
      </c>
      <c r="K61" s="71"/>
      <c r="L61" s="15">
        <v>120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3">
        <f>+'2'!J62</f>
        <v>0</v>
      </c>
      <c r="F62" s="70">
        <v>0</v>
      </c>
      <c r="G62" s="46">
        <f t="shared" si="2"/>
        <v>0</v>
      </c>
      <c r="H62" s="78">
        <v>0</v>
      </c>
      <c r="I62" s="76">
        <v>0</v>
      </c>
      <c r="J62" s="46">
        <f t="shared" si="3"/>
        <v>0</v>
      </c>
      <c r="K62" s="71"/>
      <c r="L62" s="15">
        <v>120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3">
        <f>+'2'!J63</f>
        <v>0</v>
      </c>
      <c r="F63" s="70"/>
      <c r="G63" s="46">
        <f t="shared" si="2"/>
        <v>0</v>
      </c>
      <c r="H63" s="78">
        <v>0</v>
      </c>
      <c r="I63" s="76">
        <v>0</v>
      </c>
      <c r="J63" s="46">
        <f t="shared" si="3"/>
        <v>0</v>
      </c>
      <c r="K63" s="71"/>
      <c r="L63" s="15">
        <v>120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3">
        <f>+'2'!J64</f>
        <v>0</v>
      </c>
      <c r="F64" s="70">
        <v>0</v>
      </c>
      <c r="G64" s="46">
        <f t="shared" si="2"/>
        <v>0</v>
      </c>
      <c r="H64" s="78">
        <v>0</v>
      </c>
      <c r="I64" s="76">
        <v>0</v>
      </c>
      <c r="J64" s="46">
        <f t="shared" si="3"/>
        <v>0</v>
      </c>
      <c r="K64" s="71"/>
      <c r="L64" s="15">
        <v>50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3">
        <f>+'2'!J65</f>
        <v>0</v>
      </c>
      <c r="F65" s="70">
        <v>0</v>
      </c>
      <c r="G65" s="46">
        <f t="shared" si="2"/>
        <v>0</v>
      </c>
      <c r="H65" s="78">
        <v>0</v>
      </c>
      <c r="I65" s="76">
        <v>0</v>
      </c>
      <c r="J65" s="46">
        <f t="shared" si="3"/>
        <v>0</v>
      </c>
      <c r="K65" s="71"/>
      <c r="L65" s="15">
        <v>50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3">
        <f>+'2'!J66</f>
        <v>0</v>
      </c>
      <c r="F66" s="70">
        <v>0</v>
      </c>
      <c r="G66" s="46">
        <f t="shared" si="2"/>
        <v>0</v>
      </c>
      <c r="H66" s="78">
        <v>0</v>
      </c>
      <c r="I66" s="76">
        <v>0</v>
      </c>
      <c r="J66" s="46">
        <f t="shared" si="3"/>
        <v>0</v>
      </c>
      <c r="K66" s="71"/>
      <c r="L66" s="15">
        <v>50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3">
        <f>+'2'!J67</f>
        <v>0</v>
      </c>
      <c r="F67" s="70">
        <v>0</v>
      </c>
      <c r="G67" s="46">
        <f t="shared" si="2"/>
        <v>0</v>
      </c>
      <c r="H67" s="78">
        <v>0</v>
      </c>
      <c r="I67" s="76">
        <v>0</v>
      </c>
      <c r="J67" s="46">
        <f t="shared" si="3"/>
        <v>0</v>
      </c>
      <c r="K67" s="71"/>
      <c r="L67" s="15">
        <v>70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92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3">
        <f>+'2'!J68</f>
        <v>0</v>
      </c>
      <c r="F68" s="70">
        <v>0</v>
      </c>
      <c r="G68" s="46">
        <f t="shared" si="2"/>
        <v>0</v>
      </c>
      <c r="H68" s="78">
        <v>0</v>
      </c>
      <c r="I68" s="76">
        <v>0</v>
      </c>
      <c r="J68" s="46">
        <f t="shared" si="3"/>
        <v>0</v>
      </c>
      <c r="K68" s="71"/>
      <c r="L68" s="15">
        <v>80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92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3">
        <f>+'2'!J69</f>
        <v>0</v>
      </c>
      <c r="F69" s="70">
        <v>0</v>
      </c>
      <c r="G69" s="46">
        <f t="shared" si="2"/>
        <v>0</v>
      </c>
      <c r="H69" s="78">
        <v>0</v>
      </c>
      <c r="I69" s="76">
        <v>0</v>
      </c>
      <c r="J69" s="46">
        <f t="shared" si="3"/>
        <v>0</v>
      </c>
      <c r="K69" s="71"/>
      <c r="L69" s="15">
        <v>150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3">
        <f>+'2'!J70</f>
        <v>0</v>
      </c>
      <c r="F70" s="70">
        <v>0</v>
      </c>
      <c r="G70" s="46">
        <f t="shared" ref="G70:G133" si="7">E70+F70</f>
        <v>0</v>
      </c>
      <c r="H70" s="78">
        <v>0</v>
      </c>
      <c r="I70" s="76">
        <v>0</v>
      </c>
      <c r="J70" s="46">
        <f t="shared" ref="J70:J133" si="8">+G70-H70-K70-I70</f>
        <v>0</v>
      </c>
      <c r="K70" s="71"/>
      <c r="L70" s="15">
        <v>150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3">
        <f>+'2'!J71</f>
        <v>0</v>
      </c>
      <c r="F71" s="70">
        <v>0</v>
      </c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1"/>
      <c r="L71" s="15">
        <v>150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3">
        <f>+'2'!J72</f>
        <v>0</v>
      </c>
      <c r="F72" s="70">
        <v>0</v>
      </c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1"/>
      <c r="L72" s="21">
        <v>50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3">
        <f>+'2'!J73</f>
        <v>0</v>
      </c>
      <c r="F73" s="70">
        <v>0</v>
      </c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1"/>
      <c r="L73" s="21">
        <v>120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3">
        <f>+'2'!J74</f>
        <v>0</v>
      </c>
      <c r="F74" s="70">
        <v>0</v>
      </c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1"/>
      <c r="L74" s="21">
        <v>50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3">
        <f>+'2'!J75</f>
        <v>0</v>
      </c>
      <c r="F75" s="70">
        <v>0</v>
      </c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1"/>
      <c r="L75" s="21">
        <v>120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3">
        <f>+'2'!J76</f>
        <v>0</v>
      </c>
      <c r="F76" s="70">
        <v>0</v>
      </c>
      <c r="G76" s="46">
        <f t="shared" si="7"/>
        <v>0</v>
      </c>
      <c r="H76" s="78">
        <v>0</v>
      </c>
      <c r="I76" s="76">
        <v>0</v>
      </c>
      <c r="J76" s="46">
        <f t="shared" si="8"/>
        <v>0</v>
      </c>
      <c r="K76" s="71"/>
      <c r="L76" s="21">
        <v>50</v>
      </c>
      <c r="M76" s="64">
        <f t="shared" si="4"/>
        <v>0</v>
      </c>
      <c r="N76" s="17" t="s">
        <v>16</v>
      </c>
      <c r="O76" s="18"/>
      <c r="P76" s="23">
        <f t="shared" si="5"/>
        <v>0</v>
      </c>
      <c r="Q76" s="90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3">
        <f>+'2'!J77</f>
        <v>0</v>
      </c>
      <c r="F77" s="70">
        <v>0</v>
      </c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1"/>
      <c r="L77" s="15">
        <v>45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90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3">
        <f>+'2'!J78</f>
        <v>0</v>
      </c>
      <c r="F78" s="70">
        <v>0</v>
      </c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1"/>
      <c r="L78" s="21">
        <v>35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3">
        <f>+'2'!J79</f>
        <v>2</v>
      </c>
      <c r="F79" s="70">
        <v>0</v>
      </c>
      <c r="G79" s="46">
        <f t="shared" si="7"/>
        <v>2</v>
      </c>
      <c r="H79" s="78">
        <v>0</v>
      </c>
      <c r="I79" s="76">
        <v>0</v>
      </c>
      <c r="J79" s="46">
        <f t="shared" si="8"/>
        <v>2</v>
      </c>
      <c r="K79" s="71"/>
      <c r="L79" s="15">
        <v>55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90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3">
        <f>+'2'!J80</f>
        <v>1</v>
      </c>
      <c r="F80" s="70">
        <v>0</v>
      </c>
      <c r="G80" s="46">
        <f t="shared" si="7"/>
        <v>1</v>
      </c>
      <c r="H80" s="78">
        <v>0</v>
      </c>
      <c r="I80" s="76">
        <v>0</v>
      </c>
      <c r="J80" s="46">
        <f t="shared" si="8"/>
        <v>1</v>
      </c>
      <c r="K80" s="71"/>
      <c r="L80" s="20">
        <v>55</v>
      </c>
      <c r="M80" s="64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0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3">
        <f>+'2'!J81</f>
        <v>0</v>
      </c>
      <c r="F81" s="70">
        <v>0</v>
      </c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1"/>
      <c r="L81" s="22">
        <v>50</v>
      </c>
      <c r="M81" s="64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0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3">
        <f>+'2'!J82</f>
        <v>0</v>
      </c>
      <c r="F82" s="70">
        <v>0</v>
      </c>
      <c r="G82" s="46">
        <f t="shared" si="7"/>
        <v>0</v>
      </c>
      <c r="H82" s="78">
        <v>0</v>
      </c>
      <c r="I82" s="76">
        <v>0</v>
      </c>
      <c r="J82" s="46">
        <f t="shared" si="8"/>
        <v>0</v>
      </c>
      <c r="K82" s="71"/>
      <c r="L82" s="22">
        <v>50</v>
      </c>
      <c r="M82" s="64">
        <f t="shared" si="12"/>
        <v>0</v>
      </c>
      <c r="N82" s="17" t="s">
        <v>16</v>
      </c>
      <c r="O82" s="18"/>
      <c r="P82" s="23">
        <f t="shared" si="13"/>
        <v>0</v>
      </c>
      <c r="Q82" s="90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3">
        <f>+'2'!J83</f>
        <v>0</v>
      </c>
      <c r="F83" s="70">
        <v>0</v>
      </c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1"/>
      <c r="L83" s="20">
        <v>35</v>
      </c>
      <c r="M83" s="64">
        <f t="shared" si="12"/>
        <v>0</v>
      </c>
      <c r="N83" s="17" t="s">
        <v>16</v>
      </c>
      <c r="O83" s="18"/>
      <c r="P83" s="23">
        <f t="shared" si="13"/>
        <v>0</v>
      </c>
      <c r="Q83" s="90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3">
        <f>+'2'!J84</f>
        <v>0</v>
      </c>
      <c r="F84" s="70">
        <v>0</v>
      </c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1"/>
      <c r="L84" s="20">
        <v>35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90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3">
        <f>+'2'!J85</f>
        <v>0</v>
      </c>
      <c r="F85" s="70">
        <v>0</v>
      </c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1"/>
      <c r="L85" s="20">
        <v>45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3">
        <f>+'2'!J86</f>
        <v>0</v>
      </c>
      <c r="F86" s="70">
        <v>0</v>
      </c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3">
        <f>+'2'!J87</f>
        <v>0</v>
      </c>
      <c r="F87" s="70">
        <v>0</v>
      </c>
      <c r="G87" s="46">
        <f t="shared" si="7"/>
        <v>0</v>
      </c>
      <c r="H87" s="78">
        <v>0</v>
      </c>
      <c r="I87" s="76">
        <v>0</v>
      </c>
      <c r="J87" s="46">
        <f t="shared" si="8"/>
        <v>0</v>
      </c>
      <c r="K87" s="71"/>
      <c r="L87" s="20">
        <v>35</v>
      </c>
      <c r="M87" s="64">
        <f t="shared" si="12"/>
        <v>0</v>
      </c>
      <c r="N87" s="17" t="s">
        <v>16</v>
      </c>
      <c r="O87" s="18"/>
      <c r="P87" s="23">
        <f t="shared" si="13"/>
        <v>0</v>
      </c>
      <c r="Q87" s="90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3">
        <f>+'2'!J88</f>
        <v>0</v>
      </c>
      <c r="F88" s="70">
        <v>0</v>
      </c>
      <c r="G88" s="46">
        <f t="shared" si="7"/>
        <v>0</v>
      </c>
      <c r="H88" s="78">
        <v>0</v>
      </c>
      <c r="I88" s="76">
        <v>0</v>
      </c>
      <c r="J88" s="46">
        <f t="shared" si="8"/>
        <v>0</v>
      </c>
      <c r="K88" s="71"/>
      <c r="L88" s="22">
        <v>45</v>
      </c>
      <c r="M88" s="64">
        <f t="shared" si="12"/>
        <v>0</v>
      </c>
      <c r="N88" s="17" t="s">
        <v>16</v>
      </c>
      <c r="O88" s="18"/>
      <c r="P88" s="23">
        <f t="shared" si="13"/>
        <v>0</v>
      </c>
      <c r="Q88" s="90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3">
        <f>+'2'!J89</f>
        <v>0</v>
      </c>
      <c r="F89" s="70">
        <v>0</v>
      </c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1"/>
      <c r="L89" s="20">
        <v>45</v>
      </c>
      <c r="M89" s="64">
        <f t="shared" si="9"/>
        <v>0</v>
      </c>
      <c r="N89" s="17" t="s">
        <v>16</v>
      </c>
      <c r="O89" s="18"/>
      <c r="P89" s="23">
        <f t="shared" si="10"/>
        <v>0</v>
      </c>
      <c r="Q89" s="90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3">
        <f>+'2'!J90</f>
        <v>29</v>
      </c>
      <c r="F90" s="70">
        <v>0</v>
      </c>
      <c r="G90" s="46">
        <f t="shared" si="7"/>
        <v>29</v>
      </c>
      <c r="H90" s="78">
        <v>0</v>
      </c>
      <c r="I90" s="76">
        <v>0</v>
      </c>
      <c r="J90" s="46">
        <f t="shared" si="8"/>
        <v>29</v>
      </c>
      <c r="K90" s="71"/>
      <c r="L90" s="21">
        <v>35</v>
      </c>
      <c r="M90" s="64">
        <f t="shared" si="9"/>
        <v>0</v>
      </c>
      <c r="N90" s="17" t="s">
        <v>16</v>
      </c>
      <c r="O90" s="18"/>
      <c r="P90" s="23">
        <f t="shared" si="10"/>
        <v>0</v>
      </c>
      <c r="Q90" s="90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3">
        <f>+'2'!J91</f>
        <v>0</v>
      </c>
      <c r="F91" s="70">
        <v>0</v>
      </c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1"/>
      <c r="L91" s="21"/>
      <c r="M91" s="64"/>
      <c r="N91" s="17" t="s">
        <v>16</v>
      </c>
      <c r="O91" s="18"/>
      <c r="P91" s="23"/>
      <c r="Q91" s="90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3">
        <f>+'2'!J92</f>
        <v>0</v>
      </c>
      <c r="F92" s="70">
        <v>0</v>
      </c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1"/>
      <c r="L92" s="21">
        <v>120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3">
        <f>+'2'!J93</f>
        <v>0</v>
      </c>
      <c r="F93" s="70">
        <v>0</v>
      </c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1"/>
      <c r="L93" s="20">
        <v>45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3">
        <f>+'2'!J94</f>
        <v>0</v>
      </c>
      <c r="F94" s="70">
        <v>0</v>
      </c>
      <c r="G94" s="46">
        <f t="shared" si="7"/>
        <v>0</v>
      </c>
      <c r="H94" s="78">
        <v>0</v>
      </c>
      <c r="I94" s="76">
        <v>0</v>
      </c>
      <c r="J94" s="46">
        <f t="shared" si="8"/>
        <v>0</v>
      </c>
      <c r="K94" s="71"/>
      <c r="L94" s="20">
        <v>35</v>
      </c>
      <c r="M94" s="64">
        <f t="shared" si="9"/>
        <v>0</v>
      </c>
      <c r="N94" s="17" t="s">
        <v>16</v>
      </c>
      <c r="O94" s="18"/>
      <c r="P94" s="23">
        <f t="shared" si="10"/>
        <v>0</v>
      </c>
      <c r="Q94" s="90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3">
        <f>+'2'!J95</f>
        <v>0</v>
      </c>
      <c r="F95" s="70">
        <v>0</v>
      </c>
      <c r="G95" s="46">
        <f t="shared" si="7"/>
        <v>0</v>
      </c>
      <c r="H95" s="78">
        <v>0</v>
      </c>
      <c r="I95" s="76">
        <v>0</v>
      </c>
      <c r="J95" s="46">
        <f t="shared" si="8"/>
        <v>0</v>
      </c>
      <c r="K95" s="71"/>
      <c r="L95" s="20">
        <v>35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90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3">
        <f>+'2'!J96</f>
        <v>41</v>
      </c>
      <c r="F96" s="70">
        <v>0</v>
      </c>
      <c r="G96" s="46">
        <f t="shared" si="7"/>
        <v>41</v>
      </c>
      <c r="H96" s="78">
        <v>0</v>
      </c>
      <c r="I96" s="76">
        <v>0</v>
      </c>
      <c r="J96" s="46">
        <f t="shared" si="8"/>
        <v>41</v>
      </c>
      <c r="K96" s="71"/>
      <c r="L96" s="20">
        <v>35</v>
      </c>
      <c r="M96" s="64">
        <f>+L96*K96</f>
        <v>0</v>
      </c>
      <c r="N96" s="17" t="s">
        <v>16</v>
      </c>
      <c r="O96" s="18"/>
      <c r="P96" s="23">
        <f>SUM(M96-O96)</f>
        <v>0</v>
      </c>
      <c r="Q96" s="90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1387</v>
      </c>
      <c r="D97" s="10" t="s">
        <v>434</v>
      </c>
      <c r="E97" s="63">
        <f>+'2'!J97</f>
        <v>0</v>
      </c>
      <c r="F97" s="70">
        <v>0</v>
      </c>
      <c r="G97" s="46">
        <f t="shared" si="7"/>
        <v>0</v>
      </c>
      <c r="H97" s="78">
        <v>0</v>
      </c>
      <c r="I97" s="76">
        <v>0</v>
      </c>
      <c r="J97" s="46">
        <f t="shared" si="8"/>
        <v>0</v>
      </c>
      <c r="K97" s="71"/>
      <c r="L97" s="20">
        <v>35</v>
      </c>
      <c r="M97" s="64">
        <f>+L97*K97</f>
        <v>0</v>
      </c>
      <c r="N97" s="17" t="s">
        <v>16</v>
      </c>
      <c r="O97" s="18"/>
      <c r="P97" s="23">
        <f>SUM(M97-O97)</f>
        <v>0</v>
      </c>
      <c r="Q97" s="90"/>
      <c r="R97" s="43">
        <f>+K97*Q97</f>
        <v>0</v>
      </c>
    </row>
    <row r="98" spans="1:18" ht="24.6" x14ac:dyDescent="0.65">
      <c r="A98" s="10">
        <v>94</v>
      </c>
      <c r="B98" s="10"/>
      <c r="C98" s="19" t="s">
        <v>1388</v>
      </c>
      <c r="D98" s="10" t="s">
        <v>434</v>
      </c>
      <c r="E98" s="63">
        <f>+'2'!J98</f>
        <v>0</v>
      </c>
      <c r="F98" s="70">
        <v>0</v>
      </c>
      <c r="G98" s="46">
        <f t="shared" si="7"/>
        <v>0</v>
      </c>
      <c r="H98" s="78">
        <v>0</v>
      </c>
      <c r="I98" s="76">
        <v>0</v>
      </c>
      <c r="J98" s="46">
        <f t="shared" si="8"/>
        <v>0</v>
      </c>
      <c r="K98" s="71"/>
      <c r="L98" s="20">
        <v>35</v>
      </c>
      <c r="M98" s="64">
        <f>+L98*K98</f>
        <v>0</v>
      </c>
      <c r="N98" s="17" t="s">
        <v>16</v>
      </c>
      <c r="O98" s="18"/>
      <c r="P98" s="23">
        <f>SUM(M98-O98)</f>
        <v>0</v>
      </c>
      <c r="Q98" s="90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3">
        <f>+'2'!J99</f>
        <v>0</v>
      </c>
      <c r="F99" s="70">
        <v>0</v>
      </c>
      <c r="G99" s="46">
        <f t="shared" si="7"/>
        <v>0</v>
      </c>
      <c r="H99" s="78">
        <v>0</v>
      </c>
      <c r="I99" s="76">
        <v>0</v>
      </c>
      <c r="J99" s="46">
        <f t="shared" si="8"/>
        <v>0</v>
      </c>
      <c r="K99" s="71"/>
      <c r="L99" s="20">
        <v>35</v>
      </c>
      <c r="M99" s="64">
        <f t="shared" si="9"/>
        <v>0</v>
      </c>
      <c r="N99" s="17" t="s">
        <v>16</v>
      </c>
      <c r="O99" s="18"/>
      <c r="P99" s="23">
        <f t="shared" si="10"/>
        <v>0</v>
      </c>
      <c r="Q99" s="90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3">
        <f>+'2'!J100</f>
        <v>0</v>
      </c>
      <c r="F100" s="70">
        <v>0</v>
      </c>
      <c r="G100" s="46">
        <f t="shared" si="7"/>
        <v>0</v>
      </c>
      <c r="H100" s="78">
        <v>0</v>
      </c>
      <c r="I100" s="76">
        <v>0</v>
      </c>
      <c r="J100" s="46">
        <f t="shared" si="8"/>
        <v>0</v>
      </c>
      <c r="K100" s="71"/>
      <c r="L100" s="20">
        <v>35</v>
      </c>
      <c r="M100" s="64">
        <f t="shared" si="9"/>
        <v>0</v>
      </c>
      <c r="N100" s="17" t="s">
        <v>16</v>
      </c>
      <c r="O100" s="18"/>
      <c r="P100" s="23">
        <f t="shared" si="10"/>
        <v>0</v>
      </c>
      <c r="Q100" s="90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3">
        <f>+'2'!J101</f>
        <v>0</v>
      </c>
      <c r="F101" s="70">
        <v>0</v>
      </c>
      <c r="G101" s="46">
        <f t="shared" si="7"/>
        <v>0</v>
      </c>
      <c r="H101" s="78">
        <v>0</v>
      </c>
      <c r="I101" s="76">
        <v>0</v>
      </c>
      <c r="J101" s="46">
        <f t="shared" si="8"/>
        <v>0</v>
      </c>
      <c r="K101" s="71"/>
      <c r="L101" s="20">
        <v>100</v>
      </c>
      <c r="M101" s="64">
        <f>+L101*K101</f>
        <v>0</v>
      </c>
      <c r="N101" s="17" t="s">
        <v>16</v>
      </c>
      <c r="O101" s="18"/>
      <c r="P101" s="23">
        <f>SUM(M101-O101)</f>
        <v>0</v>
      </c>
      <c r="Q101" s="90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3">
        <f>+'2'!J102</f>
        <v>0</v>
      </c>
      <c r="F102" s="70">
        <v>0</v>
      </c>
      <c r="G102" s="46">
        <f t="shared" si="7"/>
        <v>0</v>
      </c>
      <c r="H102" s="78">
        <v>0</v>
      </c>
      <c r="I102" s="76">
        <v>0</v>
      </c>
      <c r="J102" s="46">
        <f t="shared" si="8"/>
        <v>0</v>
      </c>
      <c r="K102" s="71"/>
      <c r="L102" s="20">
        <v>250</v>
      </c>
      <c r="M102" s="64">
        <f>+L102*K102</f>
        <v>0</v>
      </c>
      <c r="N102" s="17" t="s">
        <v>16</v>
      </c>
      <c r="O102" s="18"/>
      <c r="P102" s="23">
        <f>SUM(M102-O102)</f>
        <v>0</v>
      </c>
      <c r="Q102" s="90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3">
        <f>+'2'!J103</f>
        <v>0</v>
      </c>
      <c r="F103" s="70">
        <v>0</v>
      </c>
      <c r="G103" s="46">
        <f t="shared" si="7"/>
        <v>0</v>
      </c>
      <c r="H103" s="78">
        <v>0</v>
      </c>
      <c r="I103" s="76">
        <v>0</v>
      </c>
      <c r="J103" s="46">
        <f t="shared" si="8"/>
        <v>0</v>
      </c>
      <c r="K103" s="71"/>
      <c r="L103" s="22">
        <v>120</v>
      </c>
      <c r="M103" s="64">
        <f t="shared" si="9"/>
        <v>0</v>
      </c>
      <c r="N103" s="17" t="s">
        <v>16</v>
      </c>
      <c r="O103" s="18"/>
      <c r="P103" s="23">
        <f t="shared" si="10"/>
        <v>0</v>
      </c>
      <c r="Q103" s="90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3">
        <f>+'2'!J104</f>
        <v>0</v>
      </c>
      <c r="F104" s="70">
        <v>0</v>
      </c>
      <c r="G104" s="46">
        <f t="shared" si="7"/>
        <v>0</v>
      </c>
      <c r="H104" s="78">
        <v>0</v>
      </c>
      <c r="I104" s="76">
        <v>0</v>
      </c>
      <c r="J104" s="46">
        <f t="shared" si="8"/>
        <v>0</v>
      </c>
      <c r="K104" s="71"/>
      <c r="L104" s="20">
        <v>250</v>
      </c>
      <c r="M104" s="64">
        <f t="shared" si="9"/>
        <v>0</v>
      </c>
      <c r="N104" s="17" t="s">
        <v>16</v>
      </c>
      <c r="O104" s="18"/>
      <c r="P104" s="23">
        <f t="shared" si="10"/>
        <v>0</v>
      </c>
      <c r="Q104" s="90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3">
        <f>+'2'!J105</f>
        <v>0</v>
      </c>
      <c r="F105" s="70">
        <v>0</v>
      </c>
      <c r="G105" s="46">
        <f t="shared" si="7"/>
        <v>0</v>
      </c>
      <c r="H105" s="78">
        <v>0</v>
      </c>
      <c r="I105" s="76">
        <v>0</v>
      </c>
      <c r="J105" s="46">
        <f t="shared" si="8"/>
        <v>0</v>
      </c>
      <c r="K105" s="71"/>
      <c r="L105" s="20">
        <v>80</v>
      </c>
      <c r="M105" s="64">
        <f>+L105*K105</f>
        <v>0</v>
      </c>
      <c r="N105" s="17" t="s">
        <v>16</v>
      </c>
      <c r="O105" s="18"/>
      <c r="P105" s="23">
        <f>SUM(M105-O105)</f>
        <v>0</v>
      </c>
      <c r="Q105" s="90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3">
        <f>+'2'!J106</f>
        <v>9</v>
      </c>
      <c r="F106" s="70">
        <v>0</v>
      </c>
      <c r="G106" s="46">
        <f t="shared" si="7"/>
        <v>9</v>
      </c>
      <c r="H106" s="78">
        <v>0</v>
      </c>
      <c r="I106" s="76">
        <v>0</v>
      </c>
      <c r="J106" s="46">
        <f t="shared" si="8"/>
        <v>9</v>
      </c>
      <c r="K106" s="71"/>
      <c r="L106" s="20">
        <v>55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90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3">
        <f>+'2'!J107</f>
        <v>0</v>
      </c>
      <c r="F107" s="70">
        <v>0</v>
      </c>
      <c r="G107" s="46">
        <f t="shared" si="7"/>
        <v>0</v>
      </c>
      <c r="H107" s="78">
        <v>0</v>
      </c>
      <c r="I107" s="76">
        <v>0</v>
      </c>
      <c r="J107" s="46">
        <f t="shared" si="8"/>
        <v>0</v>
      </c>
      <c r="K107" s="71"/>
      <c r="L107" s="20">
        <v>200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90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3">
        <f>+'2'!J108</f>
        <v>3</v>
      </c>
      <c r="F108" s="70">
        <v>0</v>
      </c>
      <c r="G108" s="46">
        <f t="shared" si="7"/>
        <v>3</v>
      </c>
      <c r="H108" s="78">
        <v>0</v>
      </c>
      <c r="I108" s="76">
        <v>0</v>
      </c>
      <c r="J108" s="46">
        <f t="shared" si="8"/>
        <v>3</v>
      </c>
      <c r="K108" s="71"/>
      <c r="L108" s="22">
        <v>60</v>
      </c>
      <c r="M108" s="64">
        <f t="shared" si="9"/>
        <v>0</v>
      </c>
      <c r="N108" s="17" t="s">
        <v>16</v>
      </c>
      <c r="O108" s="18"/>
      <c r="P108" s="23">
        <f t="shared" si="10"/>
        <v>0</v>
      </c>
      <c r="Q108" s="90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3">
        <f>+'2'!J109</f>
        <v>3</v>
      </c>
      <c r="F109" s="70">
        <v>0</v>
      </c>
      <c r="G109" s="46">
        <f t="shared" si="7"/>
        <v>3</v>
      </c>
      <c r="H109" s="78">
        <v>0</v>
      </c>
      <c r="I109" s="76">
        <v>0</v>
      </c>
      <c r="J109" s="46">
        <f t="shared" si="8"/>
        <v>3</v>
      </c>
      <c r="K109" s="71"/>
      <c r="L109" s="22">
        <v>100</v>
      </c>
      <c r="M109" s="64">
        <f t="shared" si="9"/>
        <v>0</v>
      </c>
      <c r="N109" s="17" t="s">
        <v>16</v>
      </c>
      <c r="O109" s="18"/>
      <c r="P109" s="23">
        <f t="shared" si="10"/>
        <v>0</v>
      </c>
      <c r="Q109" s="90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3">
        <f>+'2'!J110</f>
        <v>0</v>
      </c>
      <c r="F110" s="70">
        <v>0</v>
      </c>
      <c r="G110" s="46">
        <f t="shared" si="7"/>
        <v>0</v>
      </c>
      <c r="H110" s="78">
        <v>0</v>
      </c>
      <c r="I110" s="76">
        <v>0</v>
      </c>
      <c r="J110" s="46">
        <f t="shared" si="8"/>
        <v>0</v>
      </c>
      <c r="K110" s="71"/>
      <c r="L110" s="22">
        <v>55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90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3">
        <f>+'2'!J111</f>
        <v>0</v>
      </c>
      <c r="F111" s="70">
        <v>0</v>
      </c>
      <c r="G111" s="46">
        <f t="shared" si="7"/>
        <v>0</v>
      </c>
      <c r="H111" s="78">
        <v>0</v>
      </c>
      <c r="I111" s="76">
        <v>0</v>
      </c>
      <c r="J111" s="46">
        <f t="shared" si="8"/>
        <v>0</v>
      </c>
      <c r="K111" s="71"/>
      <c r="L111" s="15">
        <v>40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90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3">
        <f>+'2'!J112</f>
        <v>0</v>
      </c>
      <c r="F112" s="70">
        <v>0</v>
      </c>
      <c r="G112" s="46">
        <f t="shared" si="7"/>
        <v>0</v>
      </c>
      <c r="H112" s="78">
        <v>0</v>
      </c>
      <c r="I112" s="76">
        <v>0</v>
      </c>
      <c r="J112" s="46">
        <f t="shared" si="8"/>
        <v>0</v>
      </c>
      <c r="K112" s="71"/>
      <c r="L112" s="22">
        <v>40</v>
      </c>
      <c r="M112" s="64">
        <f t="shared" si="9"/>
        <v>0</v>
      </c>
      <c r="N112" s="17" t="s">
        <v>16</v>
      </c>
      <c r="O112" s="18"/>
      <c r="P112" s="23">
        <f t="shared" si="10"/>
        <v>0</v>
      </c>
      <c r="Q112" s="90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3">
        <f>+'2'!J113</f>
        <v>0</v>
      </c>
      <c r="F113" s="70">
        <v>0</v>
      </c>
      <c r="G113" s="46">
        <f t="shared" si="7"/>
        <v>0</v>
      </c>
      <c r="H113" s="78">
        <v>0</v>
      </c>
      <c r="I113" s="76">
        <v>0</v>
      </c>
      <c r="J113" s="46">
        <f t="shared" si="8"/>
        <v>0</v>
      </c>
      <c r="K113" s="71"/>
      <c r="L113" s="22">
        <v>40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90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3">
        <f>+'2'!J114</f>
        <v>0</v>
      </c>
      <c r="F114" s="70">
        <v>0</v>
      </c>
      <c r="G114" s="46">
        <f t="shared" si="7"/>
        <v>0</v>
      </c>
      <c r="H114" s="78">
        <v>0</v>
      </c>
      <c r="I114" s="76">
        <v>0</v>
      </c>
      <c r="J114" s="46">
        <f t="shared" si="8"/>
        <v>0</v>
      </c>
      <c r="K114" s="71"/>
      <c r="L114" s="20">
        <v>40</v>
      </c>
      <c r="M114" s="64">
        <f>+L114*K114</f>
        <v>0</v>
      </c>
      <c r="N114" s="17" t="s">
        <v>16</v>
      </c>
      <c r="O114" s="18"/>
      <c r="P114" s="23">
        <f>SUM(M114-O114)</f>
        <v>0</v>
      </c>
      <c r="Q114" s="90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3">
        <f>+'2'!J115</f>
        <v>0</v>
      </c>
      <c r="F115" s="70">
        <v>0</v>
      </c>
      <c r="G115" s="46">
        <f t="shared" si="7"/>
        <v>0</v>
      </c>
      <c r="H115" s="78">
        <v>0</v>
      </c>
      <c r="I115" s="76">
        <v>0</v>
      </c>
      <c r="J115" s="46">
        <f t="shared" si="8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92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3">
        <f>+'2'!J116</f>
        <v>0</v>
      </c>
      <c r="F116" s="70">
        <v>0</v>
      </c>
      <c r="G116" s="46">
        <f t="shared" si="7"/>
        <v>0</v>
      </c>
      <c r="H116" s="78">
        <v>0</v>
      </c>
      <c r="I116" s="76">
        <v>0</v>
      </c>
      <c r="J116" s="46">
        <f t="shared" si="8"/>
        <v>0</v>
      </c>
      <c r="K116" s="71"/>
      <c r="L116" s="22">
        <v>60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92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3">
        <f>+'2'!J117</f>
        <v>0</v>
      </c>
      <c r="F117" s="70">
        <v>0</v>
      </c>
      <c r="G117" s="46">
        <f t="shared" si="7"/>
        <v>0</v>
      </c>
      <c r="H117" s="78">
        <v>0</v>
      </c>
      <c r="I117" s="76">
        <v>0</v>
      </c>
      <c r="J117" s="46">
        <f t="shared" si="8"/>
        <v>0</v>
      </c>
      <c r="K117" s="71"/>
      <c r="L117" s="20">
        <v>40</v>
      </c>
      <c r="M117" s="64">
        <f>+L117*K117</f>
        <v>0</v>
      </c>
      <c r="N117" s="17" t="s">
        <v>16</v>
      </c>
      <c r="O117" s="18"/>
      <c r="P117" s="23">
        <f>SUM(M117-O117)</f>
        <v>0</v>
      </c>
      <c r="Q117" s="90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3">
        <f>+'2'!J118</f>
        <v>0</v>
      </c>
      <c r="F118" s="70">
        <v>0</v>
      </c>
      <c r="G118" s="46">
        <f t="shared" si="7"/>
        <v>0</v>
      </c>
      <c r="H118" s="78">
        <v>0</v>
      </c>
      <c r="I118" s="76">
        <v>0</v>
      </c>
      <c r="J118" s="46">
        <f t="shared" si="8"/>
        <v>0</v>
      </c>
      <c r="K118" s="71"/>
      <c r="L118" s="22">
        <v>50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90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3">
        <f>+'2'!J119</f>
        <v>0</v>
      </c>
      <c r="F119" s="70">
        <v>0</v>
      </c>
      <c r="G119" s="46">
        <f t="shared" si="7"/>
        <v>0</v>
      </c>
      <c r="H119" s="78">
        <v>0</v>
      </c>
      <c r="I119" s="76">
        <v>0</v>
      </c>
      <c r="J119" s="46">
        <f t="shared" si="8"/>
        <v>0</v>
      </c>
      <c r="K119" s="71"/>
      <c r="L119" s="22">
        <v>100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90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3">
        <f>+'2'!J120</f>
        <v>0</v>
      </c>
      <c r="F120" s="70">
        <v>0</v>
      </c>
      <c r="G120" s="46">
        <f t="shared" si="7"/>
        <v>0</v>
      </c>
      <c r="H120" s="78">
        <v>0</v>
      </c>
      <c r="I120" s="76">
        <v>0</v>
      </c>
      <c r="J120" s="46">
        <f t="shared" si="8"/>
        <v>0</v>
      </c>
      <c r="K120" s="71"/>
      <c r="L120" s="22">
        <v>39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90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3">
        <f>+'2'!J121</f>
        <v>0</v>
      </c>
      <c r="F121" s="70">
        <v>0</v>
      </c>
      <c r="G121" s="46">
        <f t="shared" si="7"/>
        <v>0</v>
      </c>
      <c r="H121" s="78">
        <v>0</v>
      </c>
      <c r="I121" s="76">
        <v>0</v>
      </c>
      <c r="J121" s="46">
        <f t="shared" si="8"/>
        <v>0</v>
      </c>
      <c r="K121" s="71"/>
      <c r="L121" s="22">
        <v>35</v>
      </c>
      <c r="M121" s="64">
        <f t="shared" si="9"/>
        <v>0</v>
      </c>
      <c r="N121" s="17" t="s">
        <v>16</v>
      </c>
      <c r="O121" s="18"/>
      <c r="P121" s="23">
        <f t="shared" si="10"/>
        <v>0</v>
      </c>
      <c r="Q121" s="90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3">
        <f>+'2'!J122</f>
        <v>0</v>
      </c>
      <c r="F122" s="70">
        <v>0</v>
      </c>
      <c r="G122" s="46">
        <f t="shared" si="7"/>
        <v>0</v>
      </c>
      <c r="H122" s="78">
        <v>0</v>
      </c>
      <c r="I122" s="76">
        <v>0</v>
      </c>
      <c r="J122" s="46">
        <f t="shared" si="8"/>
        <v>0</v>
      </c>
      <c r="K122" s="71"/>
      <c r="L122" s="22">
        <v>25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90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3">
        <f>+'2'!J123</f>
        <v>0</v>
      </c>
      <c r="F123" s="70">
        <v>0</v>
      </c>
      <c r="G123" s="46">
        <f t="shared" si="7"/>
        <v>0</v>
      </c>
      <c r="H123" s="78">
        <v>0</v>
      </c>
      <c r="I123" s="76">
        <v>0</v>
      </c>
      <c r="J123" s="46">
        <f t="shared" si="8"/>
        <v>0</v>
      </c>
      <c r="K123" s="71"/>
      <c r="L123" s="22">
        <v>40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90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3">
        <f>+'2'!J124</f>
        <v>1</v>
      </c>
      <c r="F124" s="70">
        <v>0</v>
      </c>
      <c r="G124" s="46">
        <f t="shared" si="7"/>
        <v>1</v>
      </c>
      <c r="H124" s="78">
        <v>0</v>
      </c>
      <c r="I124" s="76">
        <v>0</v>
      </c>
      <c r="J124" s="46">
        <f t="shared" si="8"/>
        <v>1</v>
      </c>
      <c r="K124" s="71"/>
      <c r="L124" s="22">
        <v>50</v>
      </c>
      <c r="M124" s="64">
        <f t="shared" si="9"/>
        <v>0</v>
      </c>
      <c r="N124" s="17" t="s">
        <v>16</v>
      </c>
      <c r="O124" s="18"/>
      <c r="P124" s="23">
        <f t="shared" si="10"/>
        <v>0</v>
      </c>
      <c r="Q124" s="90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3">
        <f>+'2'!J125</f>
        <v>0</v>
      </c>
      <c r="F125" s="70">
        <v>0</v>
      </c>
      <c r="G125" s="46">
        <f t="shared" si="7"/>
        <v>0</v>
      </c>
      <c r="H125" s="78">
        <v>0</v>
      </c>
      <c r="I125" s="76">
        <v>0</v>
      </c>
      <c r="J125" s="46">
        <f t="shared" si="8"/>
        <v>0</v>
      </c>
      <c r="K125" s="71"/>
      <c r="L125" s="22">
        <v>60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90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3">
        <f>+'2'!J126</f>
        <v>5</v>
      </c>
      <c r="F126" s="70">
        <v>0</v>
      </c>
      <c r="G126" s="46">
        <f t="shared" si="7"/>
        <v>5</v>
      </c>
      <c r="H126" s="78">
        <v>0</v>
      </c>
      <c r="I126" s="76">
        <v>0</v>
      </c>
      <c r="J126" s="46">
        <f t="shared" si="8"/>
        <v>5</v>
      </c>
      <c r="K126" s="71"/>
      <c r="L126" s="20">
        <v>50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90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1389</v>
      </c>
      <c r="D127" s="10" t="s">
        <v>434</v>
      </c>
      <c r="E127" s="63">
        <f>+'2'!J124</f>
        <v>1</v>
      </c>
      <c r="F127" s="70">
        <v>0</v>
      </c>
      <c r="G127" s="46">
        <f t="shared" si="7"/>
        <v>1</v>
      </c>
      <c r="H127" s="78">
        <v>0</v>
      </c>
      <c r="I127" s="76">
        <v>0</v>
      </c>
      <c r="J127" s="46">
        <f t="shared" si="8"/>
        <v>1</v>
      </c>
      <c r="K127" s="71"/>
      <c r="L127" s="20">
        <v>35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1390</v>
      </c>
      <c r="D128" s="10" t="s">
        <v>434</v>
      </c>
      <c r="E128" s="63">
        <f>+'2'!J125</f>
        <v>0</v>
      </c>
      <c r="F128" s="70">
        <v>0</v>
      </c>
      <c r="G128" s="46">
        <f t="shared" si="7"/>
        <v>0</v>
      </c>
      <c r="H128" s="78">
        <v>0</v>
      </c>
      <c r="I128" s="76">
        <v>0</v>
      </c>
      <c r="J128" s="46">
        <f t="shared" si="8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1391</v>
      </c>
      <c r="D129" s="10" t="s">
        <v>434</v>
      </c>
      <c r="E129" s="63">
        <f>+'2'!J126</f>
        <v>5</v>
      </c>
      <c r="F129" s="70">
        <v>0</v>
      </c>
      <c r="G129" s="46">
        <f t="shared" si="7"/>
        <v>5</v>
      </c>
      <c r="H129" s="78">
        <v>0</v>
      </c>
      <c r="I129" s="76">
        <v>0</v>
      </c>
      <c r="J129" s="46">
        <f t="shared" si="8"/>
        <v>5</v>
      </c>
      <c r="K129" s="71"/>
      <c r="L129" s="20">
        <v>35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1392</v>
      </c>
      <c r="D130" s="10" t="s">
        <v>434</v>
      </c>
      <c r="E130" s="63">
        <f>+'2'!J130</f>
        <v>0</v>
      </c>
      <c r="F130" s="70">
        <v>0</v>
      </c>
      <c r="G130" s="46">
        <f t="shared" si="7"/>
        <v>0</v>
      </c>
      <c r="H130" s="78">
        <v>0</v>
      </c>
      <c r="I130" s="76">
        <v>0</v>
      </c>
      <c r="J130" s="46">
        <f t="shared" si="8"/>
        <v>0</v>
      </c>
      <c r="K130" s="71"/>
      <c r="L130" s="20">
        <v>35</v>
      </c>
      <c r="M130" s="64">
        <f>+L130*K130</f>
        <v>0</v>
      </c>
      <c r="N130" s="17" t="s">
        <v>16</v>
      </c>
      <c r="O130" s="18"/>
      <c r="P130" s="23">
        <f>SUM(M130-O130)</f>
        <v>0</v>
      </c>
      <c r="Q130" s="90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3">
        <f>+'2'!J131</f>
        <v>0</v>
      </c>
      <c r="F131" s="70">
        <v>0</v>
      </c>
      <c r="G131" s="46">
        <f t="shared" si="7"/>
        <v>0</v>
      </c>
      <c r="H131" s="78">
        <v>0</v>
      </c>
      <c r="I131" s="76">
        <v>0</v>
      </c>
      <c r="J131" s="46">
        <f t="shared" si="8"/>
        <v>0</v>
      </c>
      <c r="K131" s="71"/>
      <c r="L131" s="20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90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3">
        <f>+'2'!J132</f>
        <v>0</v>
      </c>
      <c r="F132" s="70">
        <v>0</v>
      </c>
      <c r="G132" s="46">
        <f t="shared" si="7"/>
        <v>0</v>
      </c>
      <c r="H132" s="78">
        <v>0</v>
      </c>
      <c r="I132" s="76">
        <v>0</v>
      </c>
      <c r="J132" s="46">
        <f t="shared" si="8"/>
        <v>0</v>
      </c>
      <c r="K132" s="71"/>
      <c r="L132" s="20">
        <v>35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3">
        <f>+'2'!J133</f>
        <v>0</v>
      </c>
      <c r="F133" s="70">
        <v>0</v>
      </c>
      <c r="G133" s="46">
        <f t="shared" si="7"/>
        <v>0</v>
      </c>
      <c r="H133" s="78">
        <v>0</v>
      </c>
      <c r="I133" s="76">
        <v>0</v>
      </c>
      <c r="J133" s="46">
        <f t="shared" si="8"/>
        <v>0</v>
      </c>
      <c r="K133" s="71"/>
      <c r="L133" s="20">
        <v>10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90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3">
        <f>+'2'!J134</f>
        <v>0</v>
      </c>
      <c r="F134" s="70">
        <v>0</v>
      </c>
      <c r="G134" s="46">
        <f t="shared" ref="G134:G197" si="15">E134+F134</f>
        <v>0</v>
      </c>
      <c r="H134" s="78">
        <v>0</v>
      </c>
      <c r="I134" s="76">
        <v>0</v>
      </c>
      <c r="J134" s="46">
        <f t="shared" ref="J134:J197" si="16">+G134-H134-K134-I134</f>
        <v>0</v>
      </c>
      <c r="K134" s="71"/>
      <c r="L134" s="20">
        <v>10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3">
        <f>+'2'!J135</f>
        <v>0</v>
      </c>
      <c r="F135" s="70">
        <v>0</v>
      </c>
      <c r="G135" s="46">
        <f t="shared" si="15"/>
        <v>0</v>
      </c>
      <c r="H135" s="78">
        <v>0</v>
      </c>
      <c r="I135" s="76">
        <v>0</v>
      </c>
      <c r="J135" s="46">
        <f t="shared" si="16"/>
        <v>0</v>
      </c>
      <c r="K135" s="71"/>
      <c r="L135" s="20">
        <v>10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90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3">
        <f>+'2'!J136</f>
        <v>0</v>
      </c>
      <c r="F136" s="70">
        <v>0</v>
      </c>
      <c r="G136" s="46">
        <f t="shared" si="15"/>
        <v>0</v>
      </c>
      <c r="H136" s="78">
        <v>0</v>
      </c>
      <c r="I136" s="76">
        <v>0</v>
      </c>
      <c r="J136" s="46">
        <f t="shared" si="16"/>
        <v>0</v>
      </c>
      <c r="K136" s="71"/>
      <c r="L136" s="22">
        <v>10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90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3">
        <f>+'2'!J137</f>
        <v>0</v>
      </c>
      <c r="F137" s="70">
        <v>0</v>
      </c>
      <c r="G137" s="46">
        <f t="shared" si="15"/>
        <v>0</v>
      </c>
      <c r="H137" s="78">
        <v>0</v>
      </c>
      <c r="I137" s="76">
        <v>0</v>
      </c>
      <c r="J137" s="46">
        <f t="shared" si="16"/>
        <v>0</v>
      </c>
      <c r="K137" s="71"/>
      <c r="L137" s="22">
        <v>10</v>
      </c>
      <c r="M137" s="64">
        <f t="shared" si="9"/>
        <v>0</v>
      </c>
      <c r="N137" s="17" t="s">
        <v>16</v>
      </c>
      <c r="O137" s="18"/>
      <c r="P137" s="23">
        <f t="shared" si="10"/>
        <v>0</v>
      </c>
      <c r="Q137" s="90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3">
        <f>+'2'!J138</f>
        <v>0</v>
      </c>
      <c r="F138" s="70">
        <v>0</v>
      </c>
      <c r="G138" s="46">
        <f t="shared" si="15"/>
        <v>0</v>
      </c>
      <c r="H138" s="78">
        <v>0</v>
      </c>
      <c r="I138" s="76">
        <v>0</v>
      </c>
      <c r="J138" s="46">
        <f t="shared" si="16"/>
        <v>0</v>
      </c>
      <c r="K138" s="71"/>
      <c r="L138" s="20">
        <v>10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90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3">
        <f>+'2'!J139</f>
        <v>0</v>
      </c>
      <c r="F139" s="70">
        <v>0</v>
      </c>
      <c r="G139" s="46">
        <f t="shared" si="15"/>
        <v>0</v>
      </c>
      <c r="H139" s="78">
        <v>0</v>
      </c>
      <c r="I139" s="76">
        <v>0</v>
      </c>
      <c r="J139" s="46">
        <f t="shared" si="16"/>
        <v>0</v>
      </c>
      <c r="K139" s="71"/>
      <c r="L139" s="20">
        <v>10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90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3">
        <f>+'2'!J140</f>
        <v>0</v>
      </c>
      <c r="F140" s="70">
        <v>0</v>
      </c>
      <c r="G140" s="46">
        <f t="shared" si="15"/>
        <v>0</v>
      </c>
      <c r="H140" s="78">
        <v>0</v>
      </c>
      <c r="I140" s="76">
        <v>0</v>
      </c>
      <c r="J140" s="46">
        <f t="shared" si="1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3">
        <f>+'2'!J141</f>
        <v>0</v>
      </c>
      <c r="F141" s="70">
        <v>0</v>
      </c>
      <c r="G141" s="46">
        <f t="shared" si="15"/>
        <v>0</v>
      </c>
      <c r="H141" s="78">
        <v>0</v>
      </c>
      <c r="I141" s="76">
        <v>0</v>
      </c>
      <c r="J141" s="46">
        <f t="shared" si="16"/>
        <v>0</v>
      </c>
      <c r="K141" s="71"/>
      <c r="L141" s="20">
        <v>40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3">
        <f>+'2'!J142</f>
        <v>0</v>
      </c>
      <c r="F142" s="70">
        <v>0</v>
      </c>
      <c r="G142" s="46">
        <f t="shared" si="15"/>
        <v>0</v>
      </c>
      <c r="H142" s="78">
        <v>0</v>
      </c>
      <c r="I142" s="76">
        <v>0</v>
      </c>
      <c r="J142" s="46">
        <f t="shared" si="16"/>
        <v>0</v>
      </c>
      <c r="K142" s="71"/>
      <c r="L142" s="20">
        <v>50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90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3">
        <f>+'2'!J143</f>
        <v>0</v>
      </c>
      <c r="F143" s="70">
        <v>0</v>
      </c>
      <c r="G143" s="46">
        <f t="shared" si="15"/>
        <v>0</v>
      </c>
      <c r="H143" s="78">
        <v>0</v>
      </c>
      <c r="I143" s="76">
        <v>0</v>
      </c>
      <c r="J143" s="46">
        <f t="shared" si="16"/>
        <v>0</v>
      </c>
      <c r="K143" s="71"/>
      <c r="L143" s="20">
        <v>55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90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3">
        <f>+'2'!J144</f>
        <v>0</v>
      </c>
      <c r="F144" s="70">
        <v>0</v>
      </c>
      <c r="G144" s="46">
        <f t="shared" si="15"/>
        <v>0</v>
      </c>
      <c r="H144" s="78">
        <v>0</v>
      </c>
      <c r="I144" s="76">
        <v>0</v>
      </c>
      <c r="J144" s="46">
        <f t="shared" si="16"/>
        <v>0</v>
      </c>
      <c r="K144" s="71"/>
      <c r="L144" s="20">
        <v>55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90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3">
        <f>+'2'!J145</f>
        <v>0</v>
      </c>
      <c r="F145" s="70">
        <v>0</v>
      </c>
      <c r="G145" s="46">
        <f t="shared" si="15"/>
        <v>0</v>
      </c>
      <c r="H145" s="78">
        <v>0</v>
      </c>
      <c r="I145" s="76">
        <v>0</v>
      </c>
      <c r="J145" s="46">
        <f t="shared" si="16"/>
        <v>0</v>
      </c>
      <c r="K145" s="71"/>
      <c r="L145" s="20">
        <v>55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90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3">
        <f>+'2'!J146</f>
        <v>0</v>
      </c>
      <c r="F146" s="70">
        <v>0</v>
      </c>
      <c r="G146" s="46">
        <f t="shared" si="15"/>
        <v>0</v>
      </c>
      <c r="H146" s="78">
        <v>0</v>
      </c>
      <c r="I146" s="76">
        <v>0</v>
      </c>
      <c r="J146" s="46">
        <f t="shared" si="16"/>
        <v>0</v>
      </c>
      <c r="K146" s="71"/>
      <c r="L146" s="20">
        <v>30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90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3">
        <f>+'2'!J147</f>
        <v>0</v>
      </c>
      <c r="F147" s="70">
        <v>0</v>
      </c>
      <c r="G147" s="46">
        <f t="shared" si="15"/>
        <v>0</v>
      </c>
      <c r="H147" s="78">
        <v>0</v>
      </c>
      <c r="I147" s="76">
        <v>0</v>
      </c>
      <c r="J147" s="46">
        <f t="shared" si="16"/>
        <v>0</v>
      </c>
      <c r="K147" s="71"/>
      <c r="L147" s="20">
        <v>25</v>
      </c>
      <c r="M147" s="64">
        <f>+L147*K147</f>
        <v>0</v>
      </c>
      <c r="N147" s="17" t="s">
        <v>16</v>
      </c>
      <c r="O147" s="18"/>
      <c r="P147" s="23">
        <f>SUM(M147-O147)</f>
        <v>0</v>
      </c>
      <c r="Q147" s="90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3">
        <f>+'2'!J148</f>
        <v>0</v>
      </c>
      <c r="F148" s="70">
        <v>0</v>
      </c>
      <c r="G148" s="46">
        <f t="shared" si="15"/>
        <v>0</v>
      </c>
      <c r="H148" s="78">
        <v>0</v>
      </c>
      <c r="I148" s="76">
        <v>0</v>
      </c>
      <c r="J148" s="46">
        <f t="shared" si="16"/>
        <v>0</v>
      </c>
      <c r="K148" s="71"/>
      <c r="L148" s="20">
        <v>25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90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3">
        <f>+'2'!J149</f>
        <v>0</v>
      </c>
      <c r="F149" s="70">
        <v>0</v>
      </c>
      <c r="G149" s="46">
        <f t="shared" si="15"/>
        <v>0</v>
      </c>
      <c r="H149" s="78">
        <v>0</v>
      </c>
      <c r="I149" s="76">
        <v>0</v>
      </c>
      <c r="J149" s="46">
        <f t="shared" si="16"/>
        <v>0</v>
      </c>
      <c r="K149" s="71"/>
      <c r="L149" s="20">
        <v>55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90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3">
        <f>+'2'!J150</f>
        <v>0</v>
      </c>
      <c r="F150" s="70">
        <v>0</v>
      </c>
      <c r="G150" s="46">
        <f t="shared" si="15"/>
        <v>0</v>
      </c>
      <c r="H150" s="78">
        <v>0</v>
      </c>
      <c r="I150" s="76">
        <v>0</v>
      </c>
      <c r="J150" s="46">
        <f t="shared" si="16"/>
        <v>0</v>
      </c>
      <c r="K150" s="71"/>
      <c r="L150" s="20">
        <v>50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90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3">
        <f>+'2'!J151</f>
        <v>0</v>
      </c>
      <c r="F151" s="70">
        <v>0</v>
      </c>
      <c r="G151" s="46">
        <f t="shared" si="15"/>
        <v>0</v>
      </c>
      <c r="H151" s="78">
        <v>0</v>
      </c>
      <c r="I151" s="76">
        <v>0</v>
      </c>
      <c r="J151" s="46">
        <f t="shared" si="16"/>
        <v>0</v>
      </c>
      <c r="K151" s="71"/>
      <c r="L151" s="20">
        <v>65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3">
        <f>+'2'!J152</f>
        <v>0</v>
      </c>
      <c r="F152" s="70">
        <v>0</v>
      </c>
      <c r="G152" s="46">
        <f t="shared" si="15"/>
        <v>0</v>
      </c>
      <c r="H152" s="78">
        <v>0</v>
      </c>
      <c r="I152" s="76">
        <v>0</v>
      </c>
      <c r="J152" s="46">
        <f t="shared" si="16"/>
        <v>0</v>
      </c>
      <c r="K152" s="71"/>
      <c r="L152" s="20">
        <v>50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90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3">
        <f>+'2'!J153</f>
        <v>0</v>
      </c>
      <c r="F153" s="70">
        <v>0</v>
      </c>
      <c r="G153" s="46">
        <f t="shared" si="15"/>
        <v>0</v>
      </c>
      <c r="H153" s="78">
        <v>0</v>
      </c>
      <c r="I153" s="76">
        <v>0</v>
      </c>
      <c r="J153" s="46">
        <f t="shared" si="16"/>
        <v>0</v>
      </c>
      <c r="K153" s="71"/>
      <c r="L153" s="20">
        <v>50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90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3">
        <f>+'2'!J154</f>
        <v>0</v>
      </c>
      <c r="F154" s="70">
        <v>0</v>
      </c>
      <c r="G154" s="46">
        <f t="shared" si="15"/>
        <v>0</v>
      </c>
      <c r="H154" s="78">
        <v>0</v>
      </c>
      <c r="I154" s="76">
        <v>0</v>
      </c>
      <c r="J154" s="46">
        <f t="shared" si="16"/>
        <v>0</v>
      </c>
      <c r="K154" s="71"/>
      <c r="L154" s="20">
        <v>60</v>
      </c>
      <c r="M154" s="64">
        <f t="shared" si="9"/>
        <v>0</v>
      </c>
      <c r="N154" s="17" t="s">
        <v>16</v>
      </c>
      <c r="O154" s="18"/>
      <c r="P154" s="23">
        <f t="shared" si="10"/>
        <v>0</v>
      </c>
      <c r="Q154" s="90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3">
        <f>+'2'!J155</f>
        <v>0</v>
      </c>
      <c r="F155" s="70">
        <v>0</v>
      </c>
      <c r="G155" s="46">
        <f t="shared" si="15"/>
        <v>0</v>
      </c>
      <c r="H155" s="78">
        <v>0</v>
      </c>
      <c r="I155" s="76">
        <v>0</v>
      </c>
      <c r="J155" s="46">
        <f t="shared" si="16"/>
        <v>0</v>
      </c>
      <c r="K155" s="71"/>
      <c r="L155" s="20">
        <v>60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90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3">
        <f>+'2'!J156</f>
        <v>0</v>
      </c>
      <c r="F156" s="70">
        <v>0</v>
      </c>
      <c r="G156" s="46">
        <f t="shared" si="15"/>
        <v>0</v>
      </c>
      <c r="H156" s="78">
        <v>0</v>
      </c>
      <c r="I156" s="76">
        <v>0</v>
      </c>
      <c r="J156" s="46">
        <f t="shared" si="16"/>
        <v>0</v>
      </c>
      <c r="K156" s="71"/>
      <c r="L156" s="20">
        <v>25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90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3">
        <f>+'2'!J157</f>
        <v>0</v>
      </c>
      <c r="F157" s="70">
        <v>0</v>
      </c>
      <c r="G157" s="46">
        <f t="shared" si="15"/>
        <v>0</v>
      </c>
      <c r="H157" s="78">
        <v>0</v>
      </c>
      <c r="I157" s="76">
        <v>0</v>
      </c>
      <c r="J157" s="46">
        <f t="shared" si="16"/>
        <v>0</v>
      </c>
      <c r="K157" s="71"/>
      <c r="L157" s="20">
        <v>45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90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3">
        <f>+'2'!J158</f>
        <v>0</v>
      </c>
      <c r="F158" s="70">
        <v>0</v>
      </c>
      <c r="G158" s="46">
        <f t="shared" si="15"/>
        <v>0</v>
      </c>
      <c r="H158" s="78">
        <v>0</v>
      </c>
      <c r="I158" s="76">
        <v>0</v>
      </c>
      <c r="J158" s="46">
        <f t="shared" si="16"/>
        <v>0</v>
      </c>
      <c r="K158" s="71"/>
      <c r="L158" s="20">
        <v>45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90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3">
        <f>+'2'!J159</f>
        <v>0</v>
      </c>
      <c r="F159" s="70">
        <v>0</v>
      </c>
      <c r="G159" s="46">
        <f t="shared" si="15"/>
        <v>0</v>
      </c>
      <c r="H159" s="78">
        <v>0</v>
      </c>
      <c r="I159" s="76">
        <v>0</v>
      </c>
      <c r="J159" s="46">
        <f t="shared" si="16"/>
        <v>0</v>
      </c>
      <c r="K159" s="71"/>
      <c r="L159" s="20">
        <v>45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90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3">
        <f>+'2'!J160</f>
        <v>0</v>
      </c>
      <c r="F160" s="70">
        <v>0</v>
      </c>
      <c r="G160" s="46">
        <f t="shared" si="15"/>
        <v>0</v>
      </c>
      <c r="H160" s="78">
        <v>0</v>
      </c>
      <c r="I160" s="76">
        <v>0</v>
      </c>
      <c r="J160" s="46">
        <f t="shared" si="16"/>
        <v>0</v>
      </c>
      <c r="K160" s="71"/>
      <c r="L160" s="20">
        <v>45</v>
      </c>
      <c r="M160" s="64">
        <f>+L160*K160</f>
        <v>0</v>
      </c>
      <c r="N160" s="17" t="s">
        <v>16</v>
      </c>
      <c r="O160" s="18"/>
      <c r="P160" s="23">
        <f>SUM(M160-O160)</f>
        <v>0</v>
      </c>
      <c r="Q160" s="90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3">
        <f>+'2'!J161</f>
        <v>0</v>
      </c>
      <c r="F161" s="70">
        <v>0</v>
      </c>
      <c r="G161" s="46">
        <f t="shared" si="15"/>
        <v>0</v>
      </c>
      <c r="H161" s="78">
        <v>0</v>
      </c>
      <c r="I161" s="76">
        <v>0</v>
      </c>
      <c r="J161" s="46">
        <f t="shared" si="16"/>
        <v>0</v>
      </c>
      <c r="K161" s="71"/>
      <c r="L161" s="20">
        <v>45</v>
      </c>
      <c r="M161" s="64">
        <f>+L161*K161</f>
        <v>0</v>
      </c>
      <c r="N161" s="17" t="s">
        <v>16</v>
      </c>
      <c r="O161" s="18"/>
      <c r="P161" s="23">
        <f>SUM(M161-O161)</f>
        <v>0</v>
      </c>
      <c r="Q161" s="90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3">
        <f>+'2'!J162</f>
        <v>0</v>
      </c>
      <c r="F162" s="70">
        <v>0</v>
      </c>
      <c r="G162" s="46">
        <f t="shared" si="15"/>
        <v>0</v>
      </c>
      <c r="H162" s="78">
        <v>0</v>
      </c>
      <c r="I162" s="76">
        <v>0</v>
      </c>
      <c r="J162" s="46">
        <f t="shared" si="16"/>
        <v>0</v>
      </c>
      <c r="K162" s="71"/>
      <c r="L162" s="20">
        <v>45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90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3">
        <f>+'2'!J163</f>
        <v>0</v>
      </c>
      <c r="F163" s="70">
        <v>0</v>
      </c>
      <c r="G163" s="46">
        <f t="shared" si="15"/>
        <v>0</v>
      </c>
      <c r="H163" s="78">
        <v>0</v>
      </c>
      <c r="I163" s="76">
        <v>0</v>
      </c>
      <c r="J163" s="46">
        <f t="shared" si="16"/>
        <v>0</v>
      </c>
      <c r="K163" s="71"/>
      <c r="L163" s="22">
        <v>35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3">
        <f>+'2'!J164</f>
        <v>0</v>
      </c>
      <c r="F164" s="70">
        <v>0</v>
      </c>
      <c r="G164" s="46">
        <f t="shared" si="15"/>
        <v>0</v>
      </c>
      <c r="H164" s="78">
        <v>0</v>
      </c>
      <c r="I164" s="76">
        <v>0</v>
      </c>
      <c r="J164" s="46">
        <f t="shared" si="16"/>
        <v>0</v>
      </c>
      <c r="K164" s="71"/>
      <c r="L164" s="22">
        <v>25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90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3">
        <f>+'2'!J165</f>
        <v>0</v>
      </c>
      <c r="F165" s="70">
        <v>0</v>
      </c>
      <c r="G165" s="46">
        <f t="shared" si="15"/>
        <v>0</v>
      </c>
      <c r="H165" s="78">
        <v>0</v>
      </c>
      <c r="I165" s="76">
        <v>0</v>
      </c>
      <c r="J165" s="46">
        <f t="shared" si="16"/>
        <v>0</v>
      </c>
      <c r="K165" s="71"/>
      <c r="L165" s="20">
        <v>100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92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3">
        <f>+'2'!J166</f>
        <v>9</v>
      </c>
      <c r="F166" s="70">
        <v>0</v>
      </c>
      <c r="G166" s="46">
        <f t="shared" si="15"/>
        <v>9</v>
      </c>
      <c r="H166" s="78">
        <v>0</v>
      </c>
      <c r="I166" s="76">
        <v>0</v>
      </c>
      <c r="J166" s="46">
        <f t="shared" si="16"/>
        <v>9</v>
      </c>
      <c r="K166" s="71"/>
      <c r="L166" s="15">
        <v>50</v>
      </c>
      <c r="M166" s="64">
        <f>+L166*K166</f>
        <v>0</v>
      </c>
      <c r="N166" s="17" t="s">
        <v>16</v>
      </c>
      <c r="O166" s="18"/>
      <c r="P166" s="23">
        <f>SUM(M166-O166)</f>
        <v>0</v>
      </c>
      <c r="Q166" s="90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3">
        <f>+'2'!J167</f>
        <v>0</v>
      </c>
      <c r="F167" s="70">
        <v>0</v>
      </c>
      <c r="G167" s="46">
        <f t="shared" si="15"/>
        <v>0</v>
      </c>
      <c r="H167" s="78">
        <v>0</v>
      </c>
      <c r="I167" s="76">
        <v>0</v>
      </c>
      <c r="J167" s="46">
        <f t="shared" si="16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90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3">
        <f>+'2'!J168</f>
        <v>0</v>
      </c>
      <c r="F168" s="70">
        <v>0</v>
      </c>
      <c r="G168" s="46">
        <f t="shared" si="15"/>
        <v>0</v>
      </c>
      <c r="H168" s="78">
        <v>0</v>
      </c>
      <c r="I168" s="76">
        <v>0</v>
      </c>
      <c r="J168" s="46">
        <f t="shared" si="16"/>
        <v>0</v>
      </c>
      <c r="K168" s="71"/>
      <c r="L168" s="20">
        <v>40</v>
      </c>
      <c r="M168" s="64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2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3">
        <f>+'2'!J169</f>
        <v>0</v>
      </c>
      <c r="F169" s="70">
        <v>0</v>
      </c>
      <c r="G169" s="46">
        <f t="shared" si="15"/>
        <v>0</v>
      </c>
      <c r="H169" s="78">
        <v>0</v>
      </c>
      <c r="I169" s="76">
        <v>0</v>
      </c>
      <c r="J169" s="46">
        <f t="shared" si="16"/>
        <v>0</v>
      </c>
      <c r="K169" s="71"/>
      <c r="L169" s="20">
        <v>55</v>
      </c>
      <c r="M169" s="64">
        <f t="shared" si="17"/>
        <v>0</v>
      </c>
      <c r="N169" s="17" t="s">
        <v>16</v>
      </c>
      <c r="O169" s="18"/>
      <c r="P169" s="23">
        <f t="shared" si="18"/>
        <v>0</v>
      </c>
      <c r="Q169" s="90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3">
        <f>+'2'!J170</f>
        <v>0</v>
      </c>
      <c r="F170" s="70">
        <v>0</v>
      </c>
      <c r="G170" s="46">
        <f t="shared" si="15"/>
        <v>0</v>
      </c>
      <c r="H170" s="78">
        <v>0</v>
      </c>
      <c r="I170" s="76">
        <v>0</v>
      </c>
      <c r="J170" s="46">
        <f t="shared" si="16"/>
        <v>0</v>
      </c>
      <c r="K170" s="71"/>
      <c r="L170" s="20">
        <v>55</v>
      </c>
      <c r="M170" s="64">
        <f t="shared" si="17"/>
        <v>0</v>
      </c>
      <c r="N170" s="17" t="s">
        <v>16</v>
      </c>
      <c r="O170" s="18"/>
      <c r="P170" s="23">
        <f t="shared" si="18"/>
        <v>0</v>
      </c>
      <c r="Q170" s="90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3">
        <f>+'2'!J171</f>
        <v>0</v>
      </c>
      <c r="F171" s="70">
        <v>0</v>
      </c>
      <c r="G171" s="46">
        <f t="shared" si="15"/>
        <v>0</v>
      </c>
      <c r="H171" s="78">
        <v>0</v>
      </c>
      <c r="I171" s="76">
        <v>0</v>
      </c>
      <c r="J171" s="46">
        <f t="shared" si="16"/>
        <v>0</v>
      </c>
      <c r="K171" s="71"/>
      <c r="L171" s="20">
        <v>10</v>
      </c>
      <c r="M171" s="64">
        <f t="shared" si="17"/>
        <v>0</v>
      </c>
      <c r="N171" s="17" t="s">
        <v>16</v>
      </c>
      <c r="O171" s="18"/>
      <c r="P171" s="23">
        <f t="shared" si="18"/>
        <v>0</v>
      </c>
      <c r="Q171" s="90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3">
        <f>+'2'!J172</f>
        <v>5</v>
      </c>
      <c r="F172" s="70">
        <v>0</v>
      </c>
      <c r="G172" s="46">
        <f t="shared" si="15"/>
        <v>5</v>
      </c>
      <c r="H172" s="78">
        <v>0</v>
      </c>
      <c r="I172" s="76">
        <v>0</v>
      </c>
      <c r="J172" s="46">
        <f t="shared" si="16"/>
        <v>5</v>
      </c>
      <c r="K172" s="71"/>
      <c r="L172" s="20">
        <v>35</v>
      </c>
      <c r="M172" s="64">
        <f t="shared" si="17"/>
        <v>0</v>
      </c>
      <c r="N172" s="17" t="s">
        <v>16</v>
      </c>
      <c r="O172" s="18"/>
      <c r="P172" s="23">
        <f t="shared" si="18"/>
        <v>0</v>
      </c>
      <c r="Q172" s="90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3">
        <f>+'2'!J173</f>
        <v>0</v>
      </c>
      <c r="F173" s="70">
        <v>0</v>
      </c>
      <c r="G173" s="46">
        <f t="shared" si="15"/>
        <v>0</v>
      </c>
      <c r="H173" s="78">
        <v>0</v>
      </c>
      <c r="I173" s="76">
        <v>0</v>
      </c>
      <c r="J173" s="46">
        <f t="shared" si="16"/>
        <v>0</v>
      </c>
      <c r="K173" s="71"/>
      <c r="L173" s="20">
        <v>50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90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3">
        <f>+'2'!J174</f>
        <v>0</v>
      </c>
      <c r="F174" s="70">
        <v>0</v>
      </c>
      <c r="G174" s="46">
        <f t="shared" si="15"/>
        <v>0</v>
      </c>
      <c r="H174" s="78">
        <v>0</v>
      </c>
      <c r="I174" s="76">
        <v>0</v>
      </c>
      <c r="J174" s="46">
        <f t="shared" si="16"/>
        <v>0</v>
      </c>
      <c r="K174" s="71"/>
      <c r="L174" s="20">
        <v>40</v>
      </c>
      <c r="M174" s="64">
        <f t="shared" si="17"/>
        <v>0</v>
      </c>
      <c r="N174" s="17" t="s">
        <v>16</v>
      </c>
      <c r="O174" s="18"/>
      <c r="P174" s="23">
        <f t="shared" si="18"/>
        <v>0</v>
      </c>
      <c r="Q174" s="90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3">
        <f>+'2'!J175</f>
        <v>0</v>
      </c>
      <c r="F175" s="70">
        <v>0</v>
      </c>
      <c r="G175" s="46">
        <f t="shared" si="15"/>
        <v>0</v>
      </c>
      <c r="H175" s="78">
        <v>0</v>
      </c>
      <c r="I175" s="76">
        <v>0</v>
      </c>
      <c r="J175" s="46">
        <f t="shared" si="16"/>
        <v>0</v>
      </c>
      <c r="K175" s="71"/>
      <c r="L175" s="20">
        <v>65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92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3">
        <f>+'2'!J176</f>
        <v>0</v>
      </c>
      <c r="F176" s="70">
        <v>0</v>
      </c>
      <c r="G176" s="46">
        <f t="shared" si="15"/>
        <v>0</v>
      </c>
      <c r="H176" s="78">
        <v>0</v>
      </c>
      <c r="I176" s="76">
        <v>0</v>
      </c>
      <c r="J176" s="46">
        <f t="shared" si="16"/>
        <v>0</v>
      </c>
      <c r="K176" s="71"/>
      <c r="L176" s="20">
        <v>50</v>
      </c>
      <c r="M176" s="64">
        <f t="shared" si="17"/>
        <v>0</v>
      </c>
      <c r="N176" s="17" t="s">
        <v>16</v>
      </c>
      <c r="O176" s="18"/>
      <c r="P176" s="23">
        <f t="shared" si="18"/>
        <v>0</v>
      </c>
      <c r="Q176" s="90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3">
        <f>+'2'!J177</f>
        <v>0</v>
      </c>
      <c r="F177" s="70">
        <v>0</v>
      </c>
      <c r="G177" s="46">
        <f t="shared" si="15"/>
        <v>0</v>
      </c>
      <c r="H177" s="78">
        <v>0</v>
      </c>
      <c r="I177" s="76">
        <v>0</v>
      </c>
      <c r="J177" s="46">
        <f t="shared" si="16"/>
        <v>0</v>
      </c>
      <c r="K177" s="71"/>
      <c r="L177" s="20">
        <v>80</v>
      </c>
      <c r="M177" s="64">
        <f t="shared" si="17"/>
        <v>0</v>
      </c>
      <c r="N177" s="17" t="s">
        <v>16</v>
      </c>
      <c r="O177" s="18"/>
      <c r="P177" s="23">
        <f t="shared" si="18"/>
        <v>0</v>
      </c>
      <c r="Q177" s="92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1394</v>
      </c>
      <c r="D178" s="10" t="s">
        <v>566</v>
      </c>
      <c r="E178" s="63">
        <f>+'2'!J179</f>
        <v>0</v>
      </c>
      <c r="F178" s="70">
        <v>0</v>
      </c>
      <c r="G178" s="46">
        <f t="shared" si="15"/>
        <v>0</v>
      </c>
      <c r="H178" s="78">
        <v>0</v>
      </c>
      <c r="I178" s="76">
        <v>0</v>
      </c>
      <c r="J178" s="46">
        <f t="shared" si="16"/>
        <v>0</v>
      </c>
      <c r="K178" s="71"/>
      <c r="L178" s="20">
        <v>15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92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1393</v>
      </c>
      <c r="D179" s="10" t="s">
        <v>606</v>
      </c>
      <c r="E179" s="63">
        <f>+'2'!J180</f>
        <v>0</v>
      </c>
      <c r="F179" s="70">
        <v>0</v>
      </c>
      <c r="G179" s="46">
        <f t="shared" si="15"/>
        <v>0</v>
      </c>
      <c r="H179" s="78">
        <v>0</v>
      </c>
      <c r="I179" s="76">
        <v>0</v>
      </c>
      <c r="J179" s="46">
        <f t="shared" si="16"/>
        <v>0</v>
      </c>
      <c r="K179" s="71"/>
      <c r="L179" s="20">
        <v>80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92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3">
        <f>+'2'!J180</f>
        <v>0</v>
      </c>
      <c r="F180" s="70">
        <v>0</v>
      </c>
      <c r="G180" s="46">
        <f t="shared" si="15"/>
        <v>0</v>
      </c>
      <c r="H180" s="78">
        <v>0</v>
      </c>
      <c r="I180" s="76">
        <v>0</v>
      </c>
      <c r="J180" s="46">
        <f t="shared" si="16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90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3">
        <f>+'2'!J181</f>
        <v>0</v>
      </c>
      <c r="F181" s="70">
        <v>0</v>
      </c>
      <c r="G181" s="46">
        <f t="shared" si="15"/>
        <v>0</v>
      </c>
      <c r="H181" s="78">
        <v>0</v>
      </c>
      <c r="I181" s="76">
        <v>0</v>
      </c>
      <c r="J181" s="46">
        <f t="shared" si="16"/>
        <v>0</v>
      </c>
      <c r="K181" s="71"/>
      <c r="L181" s="20">
        <v>35</v>
      </c>
      <c r="M181" s="64">
        <f t="shared" si="17"/>
        <v>0</v>
      </c>
      <c r="N181" s="17" t="s">
        <v>16</v>
      </c>
      <c r="O181" s="18"/>
      <c r="P181" s="23">
        <f t="shared" si="18"/>
        <v>0</v>
      </c>
      <c r="Q181" s="92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3">
        <f>+'2'!J182</f>
        <v>0</v>
      </c>
      <c r="F182" s="70">
        <v>0</v>
      </c>
      <c r="G182" s="46">
        <f t="shared" si="15"/>
        <v>0</v>
      </c>
      <c r="H182" s="78">
        <v>0</v>
      </c>
      <c r="I182" s="76">
        <v>0</v>
      </c>
      <c r="J182" s="46">
        <f t="shared" si="16"/>
        <v>0</v>
      </c>
      <c r="K182" s="71"/>
      <c r="L182" s="20">
        <v>60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90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3">
        <f>+'2'!J183</f>
        <v>0</v>
      </c>
      <c r="F183" s="70">
        <v>0</v>
      </c>
      <c r="G183" s="46">
        <f t="shared" si="15"/>
        <v>0</v>
      </c>
      <c r="H183" s="78">
        <v>0</v>
      </c>
      <c r="I183" s="76">
        <v>0</v>
      </c>
      <c r="J183" s="46">
        <f t="shared" si="16"/>
        <v>0</v>
      </c>
      <c r="K183" s="71"/>
      <c r="L183" s="20">
        <v>120</v>
      </c>
      <c r="M183" s="64">
        <f t="shared" si="17"/>
        <v>0</v>
      </c>
      <c r="N183" s="17" t="s">
        <v>16</v>
      </c>
      <c r="O183" s="18"/>
      <c r="P183" s="23">
        <f t="shared" si="18"/>
        <v>0</v>
      </c>
      <c r="Q183" s="90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3">
        <f>+'2'!J184</f>
        <v>0</v>
      </c>
      <c r="F184" s="70">
        <v>0</v>
      </c>
      <c r="G184" s="46">
        <f t="shared" si="15"/>
        <v>0</v>
      </c>
      <c r="H184" s="78">
        <v>0</v>
      </c>
      <c r="I184" s="76">
        <v>0</v>
      </c>
      <c r="J184" s="46">
        <f t="shared" si="16"/>
        <v>0</v>
      </c>
      <c r="K184" s="71"/>
      <c r="L184" s="20">
        <v>60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90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3">
        <f>+'2'!J185</f>
        <v>0</v>
      </c>
      <c r="F185" s="70">
        <v>0</v>
      </c>
      <c r="G185" s="46">
        <f t="shared" si="15"/>
        <v>0</v>
      </c>
      <c r="H185" s="78">
        <v>0</v>
      </c>
      <c r="I185" s="76">
        <v>0</v>
      </c>
      <c r="J185" s="46">
        <f t="shared" si="16"/>
        <v>0</v>
      </c>
      <c r="K185" s="71"/>
      <c r="L185" s="20">
        <v>120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90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3">
        <f>+'2'!J186</f>
        <v>0</v>
      </c>
      <c r="F186" s="70">
        <v>0</v>
      </c>
      <c r="G186" s="46">
        <f t="shared" si="15"/>
        <v>0</v>
      </c>
      <c r="H186" s="78">
        <v>0</v>
      </c>
      <c r="I186" s="76">
        <v>0</v>
      </c>
      <c r="J186" s="46">
        <f t="shared" si="16"/>
        <v>0</v>
      </c>
      <c r="K186" s="71"/>
      <c r="L186" s="20">
        <v>50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90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3">
        <f>+'2'!J187</f>
        <v>0</v>
      </c>
      <c r="F187" s="70">
        <v>0</v>
      </c>
      <c r="G187" s="46">
        <f t="shared" si="15"/>
        <v>0</v>
      </c>
      <c r="H187" s="78">
        <v>0</v>
      </c>
      <c r="I187" s="76">
        <v>0</v>
      </c>
      <c r="J187" s="46">
        <f t="shared" si="16"/>
        <v>0</v>
      </c>
      <c r="K187" s="71"/>
      <c r="L187" s="20">
        <v>150</v>
      </c>
      <c r="M187" s="64">
        <f t="shared" si="17"/>
        <v>0</v>
      </c>
      <c r="N187" s="17" t="s">
        <v>16</v>
      </c>
      <c r="O187" s="18"/>
      <c r="P187" s="23">
        <f t="shared" si="18"/>
        <v>0</v>
      </c>
      <c r="Q187" s="90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3">
        <f>+'2'!J188</f>
        <v>0</v>
      </c>
      <c r="F188" s="70">
        <v>0</v>
      </c>
      <c r="G188" s="46">
        <f t="shared" si="15"/>
        <v>0</v>
      </c>
      <c r="H188" s="78">
        <v>0</v>
      </c>
      <c r="I188" s="76">
        <v>0</v>
      </c>
      <c r="J188" s="46">
        <f t="shared" si="16"/>
        <v>0</v>
      </c>
      <c r="K188" s="71"/>
      <c r="L188" s="20">
        <v>135</v>
      </c>
      <c r="M188" s="64">
        <f t="shared" si="17"/>
        <v>0</v>
      </c>
      <c r="N188" s="17" t="s">
        <v>16</v>
      </c>
      <c r="O188" s="18"/>
      <c r="P188" s="23">
        <f t="shared" si="18"/>
        <v>0</v>
      </c>
      <c r="Q188" s="92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3">
        <f>+'2'!J189</f>
        <v>0</v>
      </c>
      <c r="F189" s="70">
        <v>0</v>
      </c>
      <c r="G189" s="46">
        <f t="shared" si="15"/>
        <v>0</v>
      </c>
      <c r="H189" s="78">
        <v>0</v>
      </c>
      <c r="I189" s="76">
        <v>0</v>
      </c>
      <c r="J189" s="46">
        <f t="shared" si="16"/>
        <v>0</v>
      </c>
      <c r="K189" s="71"/>
      <c r="L189" s="20">
        <v>100</v>
      </c>
      <c r="M189" s="64">
        <f t="shared" si="17"/>
        <v>0</v>
      </c>
      <c r="N189" s="17" t="s">
        <v>16</v>
      </c>
      <c r="O189" s="18"/>
      <c r="P189" s="23">
        <f t="shared" si="18"/>
        <v>0</v>
      </c>
      <c r="Q189" s="92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3">
        <f>+'2'!J190</f>
        <v>0</v>
      </c>
      <c r="F190" s="70">
        <v>0</v>
      </c>
      <c r="G190" s="46">
        <f t="shared" si="15"/>
        <v>0</v>
      </c>
      <c r="H190" s="78">
        <v>0</v>
      </c>
      <c r="I190" s="76">
        <v>0</v>
      </c>
      <c r="J190" s="46">
        <f t="shared" si="16"/>
        <v>0</v>
      </c>
      <c r="K190" s="71"/>
      <c r="L190" s="20">
        <v>90</v>
      </c>
      <c r="M190" s="64">
        <f t="shared" si="17"/>
        <v>0</v>
      </c>
      <c r="N190" s="17" t="s">
        <v>16</v>
      </c>
      <c r="O190" s="18"/>
      <c r="P190" s="23">
        <f t="shared" si="18"/>
        <v>0</v>
      </c>
      <c r="Q190" s="92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3">
        <f>+'2'!J191</f>
        <v>0</v>
      </c>
      <c r="F191" s="70">
        <v>0</v>
      </c>
      <c r="G191" s="46">
        <f t="shared" si="15"/>
        <v>0</v>
      </c>
      <c r="H191" s="78">
        <v>0</v>
      </c>
      <c r="I191" s="76">
        <v>0</v>
      </c>
      <c r="J191" s="46">
        <f t="shared" si="16"/>
        <v>0</v>
      </c>
      <c r="K191" s="71"/>
      <c r="L191" s="20">
        <v>90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92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3">
        <f>+'2'!J192</f>
        <v>0</v>
      </c>
      <c r="F192" s="70">
        <v>0</v>
      </c>
      <c r="G192" s="46">
        <f t="shared" si="15"/>
        <v>0</v>
      </c>
      <c r="H192" s="78">
        <v>0</v>
      </c>
      <c r="I192" s="76">
        <v>0</v>
      </c>
      <c r="J192" s="46">
        <f t="shared" si="16"/>
        <v>0</v>
      </c>
      <c r="K192" s="71"/>
      <c r="L192" s="20">
        <v>90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92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3">
        <f>+'2'!J193</f>
        <v>0</v>
      </c>
      <c r="F193" s="70">
        <v>0</v>
      </c>
      <c r="G193" s="46">
        <f t="shared" si="15"/>
        <v>0</v>
      </c>
      <c r="H193" s="78">
        <v>0</v>
      </c>
      <c r="I193" s="76">
        <v>0</v>
      </c>
      <c r="J193" s="46">
        <f t="shared" si="16"/>
        <v>0</v>
      </c>
      <c r="K193" s="71"/>
      <c r="L193" s="20">
        <v>90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92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3">
        <f>+'2'!J194</f>
        <v>0</v>
      </c>
      <c r="F194" s="70">
        <v>0</v>
      </c>
      <c r="G194" s="46">
        <f t="shared" si="15"/>
        <v>0</v>
      </c>
      <c r="H194" s="78">
        <v>0</v>
      </c>
      <c r="I194" s="76">
        <v>0</v>
      </c>
      <c r="J194" s="46">
        <f t="shared" si="16"/>
        <v>0</v>
      </c>
      <c r="K194" s="71"/>
      <c r="L194" s="20">
        <v>55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92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3">
        <f>+'2'!J195</f>
        <v>0</v>
      </c>
      <c r="F195" s="70">
        <v>0</v>
      </c>
      <c r="G195" s="46">
        <f t="shared" si="15"/>
        <v>0</v>
      </c>
      <c r="H195" s="78">
        <v>0</v>
      </c>
      <c r="I195" s="76">
        <v>0</v>
      </c>
      <c r="J195" s="46">
        <f t="shared" si="16"/>
        <v>0</v>
      </c>
      <c r="K195" s="71"/>
      <c r="L195" s="20">
        <v>85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92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3">
        <f>+'2'!J196</f>
        <v>0</v>
      </c>
      <c r="F196" s="70">
        <v>0</v>
      </c>
      <c r="G196" s="46">
        <f t="shared" si="15"/>
        <v>0</v>
      </c>
      <c r="H196" s="78">
        <v>0</v>
      </c>
      <c r="I196" s="76">
        <v>0</v>
      </c>
      <c r="J196" s="46">
        <f t="shared" si="16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90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3">
        <f>+'2'!J197</f>
        <v>0</v>
      </c>
      <c r="F197" s="70">
        <v>0</v>
      </c>
      <c r="G197" s="46">
        <f t="shared" si="15"/>
        <v>0</v>
      </c>
      <c r="H197" s="78">
        <v>0</v>
      </c>
      <c r="I197" s="76">
        <v>0</v>
      </c>
      <c r="J197" s="46">
        <f t="shared" si="16"/>
        <v>0</v>
      </c>
      <c r="K197" s="71"/>
      <c r="L197" s="20">
        <v>120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90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3">
        <f>+'2'!J198</f>
        <v>0</v>
      </c>
      <c r="F198" s="70">
        <v>0</v>
      </c>
      <c r="G198" s="46">
        <f t="shared" ref="G198:G239" si="22">E198+F198</f>
        <v>0</v>
      </c>
      <c r="H198" s="78">
        <v>0</v>
      </c>
      <c r="I198" s="76">
        <v>0</v>
      </c>
      <c r="J198" s="46">
        <f t="shared" ref="J198:J239" si="23">+G198-H198-K198-I198</f>
        <v>0</v>
      </c>
      <c r="K198" s="71"/>
      <c r="L198" s="20">
        <v>25</v>
      </c>
      <c r="M198" s="64">
        <f>+L198*K198</f>
        <v>0</v>
      </c>
      <c r="N198" s="17" t="s">
        <v>16</v>
      </c>
      <c r="O198" s="18"/>
      <c r="P198" s="23">
        <f>SUM(M198-O198)</f>
        <v>0</v>
      </c>
      <c r="Q198" s="90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3">
        <f>+'2'!J199</f>
        <v>0</v>
      </c>
      <c r="F199" s="70">
        <v>0</v>
      </c>
      <c r="G199" s="46">
        <f t="shared" si="22"/>
        <v>0</v>
      </c>
      <c r="H199" s="78">
        <v>0</v>
      </c>
      <c r="I199" s="76">
        <v>0</v>
      </c>
      <c r="J199" s="46">
        <f t="shared" si="23"/>
        <v>0</v>
      </c>
      <c r="K199" s="71"/>
      <c r="L199" s="20">
        <v>25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90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3">
        <f>+'2'!J200</f>
        <v>0</v>
      </c>
      <c r="F200" s="70">
        <v>0</v>
      </c>
      <c r="G200" s="46">
        <f t="shared" si="22"/>
        <v>0</v>
      </c>
      <c r="H200" s="78">
        <v>0</v>
      </c>
      <c r="I200" s="76">
        <v>0</v>
      </c>
      <c r="J200" s="46">
        <f t="shared" si="2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90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3">
        <f>+'2'!J201</f>
        <v>0</v>
      </c>
      <c r="F201" s="70">
        <v>0</v>
      </c>
      <c r="G201" s="46">
        <f t="shared" si="22"/>
        <v>0</v>
      </c>
      <c r="H201" s="78">
        <v>0</v>
      </c>
      <c r="I201" s="76">
        <v>0</v>
      </c>
      <c r="J201" s="46">
        <f t="shared" si="23"/>
        <v>0</v>
      </c>
      <c r="K201" s="71"/>
      <c r="L201" s="20">
        <v>25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90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3">
        <f>+'2'!J202</f>
        <v>0</v>
      </c>
      <c r="F202" s="70">
        <v>0</v>
      </c>
      <c r="G202" s="46">
        <f t="shared" si="22"/>
        <v>0</v>
      </c>
      <c r="H202" s="78">
        <v>0</v>
      </c>
      <c r="I202" s="76">
        <v>0</v>
      </c>
      <c r="J202" s="46">
        <f t="shared" si="23"/>
        <v>0</v>
      </c>
      <c r="K202" s="71"/>
      <c r="L202" s="20">
        <v>25</v>
      </c>
      <c r="M202" s="64">
        <f>+L202*K202</f>
        <v>0</v>
      </c>
      <c r="N202" s="17" t="s">
        <v>16</v>
      </c>
      <c r="O202" s="18"/>
      <c r="P202" s="23">
        <f>SUM(M202-O202)</f>
        <v>0</v>
      </c>
      <c r="Q202" s="90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3">
        <f>+'2'!J203</f>
        <v>0</v>
      </c>
      <c r="F203" s="70">
        <v>0</v>
      </c>
      <c r="G203" s="46">
        <f t="shared" si="22"/>
        <v>0</v>
      </c>
      <c r="H203" s="78">
        <v>0</v>
      </c>
      <c r="I203" s="76">
        <v>0</v>
      </c>
      <c r="J203" s="46">
        <f t="shared" si="23"/>
        <v>0</v>
      </c>
      <c r="K203" s="71"/>
      <c r="L203" s="20">
        <v>10</v>
      </c>
      <c r="M203" s="64">
        <f>+L203*K203</f>
        <v>0</v>
      </c>
      <c r="N203" s="17" t="s">
        <v>16</v>
      </c>
      <c r="O203" s="18"/>
      <c r="P203" s="23">
        <f>SUM(M203-O203)</f>
        <v>0</v>
      </c>
      <c r="Q203" s="92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3">
        <f>+'2'!J204</f>
        <v>0</v>
      </c>
      <c r="F204" s="70">
        <v>0</v>
      </c>
      <c r="G204" s="46">
        <f t="shared" si="22"/>
        <v>0</v>
      </c>
      <c r="H204" s="78">
        <v>0</v>
      </c>
      <c r="I204" s="76">
        <v>0</v>
      </c>
      <c r="J204" s="46">
        <f t="shared" si="23"/>
        <v>0</v>
      </c>
      <c r="K204" s="71"/>
      <c r="L204" s="20">
        <v>10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92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3">
        <f>+'2'!J205</f>
        <v>0</v>
      </c>
      <c r="F205" s="70">
        <v>0</v>
      </c>
      <c r="G205" s="46">
        <f t="shared" si="22"/>
        <v>0</v>
      </c>
      <c r="H205" s="78">
        <v>0</v>
      </c>
      <c r="I205" s="76">
        <v>0</v>
      </c>
      <c r="J205" s="46">
        <f t="shared" si="23"/>
        <v>0</v>
      </c>
      <c r="K205" s="71"/>
      <c r="L205" s="20">
        <v>10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92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3">
        <f>+'2'!J206</f>
        <v>0</v>
      </c>
      <c r="F206" s="70">
        <v>0</v>
      </c>
      <c r="G206" s="46">
        <f t="shared" si="22"/>
        <v>0</v>
      </c>
      <c r="H206" s="78">
        <v>0</v>
      </c>
      <c r="I206" s="76">
        <v>0</v>
      </c>
      <c r="J206" s="46">
        <f t="shared" si="23"/>
        <v>0</v>
      </c>
      <c r="K206" s="71"/>
      <c r="L206" s="20">
        <v>20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92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3">
        <f>+'2'!J207</f>
        <v>0</v>
      </c>
      <c r="F207" s="70">
        <v>0</v>
      </c>
      <c r="G207" s="46">
        <f t="shared" si="22"/>
        <v>0</v>
      </c>
      <c r="H207" s="78">
        <v>0</v>
      </c>
      <c r="I207" s="76">
        <v>0</v>
      </c>
      <c r="J207" s="46">
        <f t="shared" si="23"/>
        <v>0</v>
      </c>
      <c r="K207" s="71"/>
      <c r="L207" s="20">
        <v>800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92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3">
        <f>+'2'!J208</f>
        <v>0</v>
      </c>
      <c r="F208" s="70">
        <v>0</v>
      </c>
      <c r="G208" s="46">
        <f t="shared" si="22"/>
        <v>0</v>
      </c>
      <c r="H208" s="78">
        <v>0</v>
      </c>
      <c r="I208" s="76">
        <v>0</v>
      </c>
      <c r="J208" s="46">
        <f t="shared" si="23"/>
        <v>0</v>
      </c>
      <c r="K208" s="71"/>
      <c r="L208" s="20">
        <v>150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92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3">
        <f>+'2'!J209</f>
        <v>0</v>
      </c>
      <c r="F209" s="70">
        <v>0</v>
      </c>
      <c r="G209" s="46">
        <f t="shared" si="22"/>
        <v>0</v>
      </c>
      <c r="H209" s="78">
        <v>0</v>
      </c>
      <c r="I209" s="76">
        <v>0</v>
      </c>
      <c r="J209" s="46">
        <f t="shared" si="23"/>
        <v>0</v>
      </c>
      <c r="K209" s="71"/>
      <c r="L209" s="20">
        <v>200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92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3">
        <f>+'2'!J210</f>
        <v>0</v>
      </c>
      <c r="F210" s="70">
        <v>0</v>
      </c>
      <c r="G210" s="46">
        <f t="shared" si="22"/>
        <v>0</v>
      </c>
      <c r="H210" s="78">
        <v>0</v>
      </c>
      <c r="I210" s="76">
        <v>0</v>
      </c>
      <c r="J210" s="46">
        <f t="shared" si="23"/>
        <v>0</v>
      </c>
      <c r="K210" s="71"/>
      <c r="L210" s="20">
        <v>250</v>
      </c>
      <c r="M210" s="64">
        <f t="shared" si="17"/>
        <v>0</v>
      </c>
      <c r="N210" s="17" t="s">
        <v>16</v>
      </c>
      <c r="O210" s="18"/>
      <c r="P210" s="23">
        <f t="shared" si="18"/>
        <v>0</v>
      </c>
      <c r="Q210" s="92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3">
        <f>+'2'!J211</f>
        <v>0</v>
      </c>
      <c r="F211" s="70">
        <v>0</v>
      </c>
      <c r="G211" s="46">
        <f t="shared" si="22"/>
        <v>0</v>
      </c>
      <c r="H211" s="78">
        <v>0</v>
      </c>
      <c r="I211" s="76">
        <v>0</v>
      </c>
      <c r="J211" s="46">
        <f t="shared" si="23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92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3">
        <f>+'2'!J212</f>
        <v>0</v>
      </c>
      <c r="F212" s="70">
        <v>0</v>
      </c>
      <c r="G212" s="46">
        <f t="shared" si="22"/>
        <v>0</v>
      </c>
      <c r="H212" s="78">
        <v>0</v>
      </c>
      <c r="I212" s="76">
        <v>0</v>
      </c>
      <c r="J212" s="46">
        <f t="shared" si="23"/>
        <v>0</v>
      </c>
      <c r="K212" s="71"/>
      <c r="L212" s="20">
        <v>0</v>
      </c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92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3">
        <f>+'2'!J213</f>
        <v>0</v>
      </c>
      <c r="F213" s="70">
        <v>0</v>
      </c>
      <c r="G213" s="46">
        <f t="shared" si="22"/>
        <v>0</v>
      </c>
      <c r="H213" s="78">
        <v>0</v>
      </c>
      <c r="I213" s="76">
        <v>0</v>
      </c>
      <c r="J213" s="46">
        <f t="shared" si="23"/>
        <v>0</v>
      </c>
      <c r="K213" s="71"/>
      <c r="L213" s="20">
        <v>45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90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3">
        <f>+'2'!J214</f>
        <v>0</v>
      </c>
      <c r="F214" s="70">
        <v>0</v>
      </c>
      <c r="G214" s="46">
        <f t="shared" si="22"/>
        <v>0</v>
      </c>
      <c r="H214" s="78">
        <v>0</v>
      </c>
      <c r="I214" s="76">
        <v>0</v>
      </c>
      <c r="J214" s="46">
        <f t="shared" si="23"/>
        <v>0</v>
      </c>
      <c r="K214" s="71"/>
      <c r="L214" s="20">
        <v>35</v>
      </c>
      <c r="M214" s="64">
        <f t="shared" si="17"/>
        <v>0</v>
      </c>
      <c r="N214" s="17" t="s">
        <v>16</v>
      </c>
      <c r="O214" s="18"/>
      <c r="P214" s="23">
        <f t="shared" si="18"/>
        <v>0</v>
      </c>
      <c r="Q214" s="90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3">
        <f>+'2'!J215</f>
        <v>0</v>
      </c>
      <c r="F215" s="70">
        <v>0</v>
      </c>
      <c r="G215" s="46">
        <f t="shared" si="22"/>
        <v>0</v>
      </c>
      <c r="H215" s="78">
        <v>0</v>
      </c>
      <c r="I215" s="76">
        <v>0</v>
      </c>
      <c r="J215" s="46">
        <f t="shared" si="23"/>
        <v>0</v>
      </c>
      <c r="K215" s="71"/>
      <c r="L215" s="20">
        <v>25</v>
      </c>
      <c r="M215" s="64">
        <f t="shared" si="17"/>
        <v>0</v>
      </c>
      <c r="N215" s="17" t="s">
        <v>16</v>
      </c>
      <c r="O215" s="18"/>
      <c r="P215" s="23">
        <f t="shared" si="18"/>
        <v>0</v>
      </c>
      <c r="Q215" s="90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3">
        <f>+'2'!J216</f>
        <v>0</v>
      </c>
      <c r="F216" s="70">
        <v>0</v>
      </c>
      <c r="G216" s="46">
        <f t="shared" si="22"/>
        <v>0</v>
      </c>
      <c r="H216" s="78">
        <v>0</v>
      </c>
      <c r="I216" s="76">
        <v>0</v>
      </c>
      <c r="J216" s="46">
        <f t="shared" si="23"/>
        <v>0</v>
      </c>
      <c r="K216" s="71"/>
      <c r="L216" s="20">
        <v>50</v>
      </c>
      <c r="M216" s="64">
        <f>+L216*K216</f>
        <v>0</v>
      </c>
      <c r="N216" s="17" t="s">
        <v>16</v>
      </c>
      <c r="O216" s="18"/>
      <c r="P216" s="23">
        <f>SUM(M216-O216)</f>
        <v>0</v>
      </c>
      <c r="Q216" s="92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3">
        <f>+'2'!J217</f>
        <v>0</v>
      </c>
      <c r="F217" s="70">
        <v>0</v>
      </c>
      <c r="G217" s="46">
        <f t="shared" si="22"/>
        <v>0</v>
      </c>
      <c r="H217" s="78">
        <v>0</v>
      </c>
      <c r="I217" s="76">
        <v>0</v>
      </c>
      <c r="J217" s="46">
        <f t="shared" si="23"/>
        <v>0</v>
      </c>
      <c r="K217" s="71"/>
      <c r="L217" s="20">
        <v>60</v>
      </c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92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3">
        <f>+'2'!J218</f>
        <v>0</v>
      </c>
      <c r="F218" s="70">
        <v>0</v>
      </c>
      <c r="G218" s="46">
        <f t="shared" si="22"/>
        <v>0</v>
      </c>
      <c r="H218" s="78">
        <v>0</v>
      </c>
      <c r="I218" s="76">
        <v>0</v>
      </c>
      <c r="J218" s="46">
        <f t="shared" si="23"/>
        <v>0</v>
      </c>
      <c r="K218" s="71"/>
      <c r="L218" s="20">
        <v>250</v>
      </c>
      <c r="M218" s="64">
        <f t="shared" si="17"/>
        <v>0</v>
      </c>
      <c r="N218" s="17" t="s">
        <v>16</v>
      </c>
      <c r="O218" s="18"/>
      <c r="P218" s="23">
        <f t="shared" si="18"/>
        <v>0</v>
      </c>
      <c r="Q218" s="92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3">
        <f>+'2'!J219</f>
        <v>0</v>
      </c>
      <c r="F219" s="70">
        <v>0</v>
      </c>
      <c r="G219" s="46">
        <f t="shared" si="22"/>
        <v>0</v>
      </c>
      <c r="H219" s="78">
        <v>0</v>
      </c>
      <c r="I219" s="76">
        <v>0</v>
      </c>
      <c r="J219" s="46">
        <f t="shared" si="23"/>
        <v>0</v>
      </c>
      <c r="K219" s="71"/>
      <c r="L219" s="20">
        <v>100</v>
      </c>
      <c r="M219" s="64">
        <f t="shared" si="17"/>
        <v>0</v>
      </c>
      <c r="N219" s="17" t="s">
        <v>16</v>
      </c>
      <c r="O219" s="18"/>
      <c r="P219" s="23">
        <f t="shared" si="18"/>
        <v>0</v>
      </c>
      <c r="Q219" s="92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3">
        <f>+'2'!J220</f>
        <v>0</v>
      </c>
      <c r="F220" s="70">
        <v>0</v>
      </c>
      <c r="G220" s="46">
        <f t="shared" si="22"/>
        <v>0</v>
      </c>
      <c r="H220" s="78">
        <v>0</v>
      </c>
      <c r="I220" s="76">
        <v>0</v>
      </c>
      <c r="J220" s="46">
        <f t="shared" si="23"/>
        <v>0</v>
      </c>
      <c r="K220" s="71"/>
      <c r="L220" s="20">
        <v>350</v>
      </c>
      <c r="M220" s="64">
        <f t="shared" si="17"/>
        <v>0</v>
      </c>
      <c r="N220" s="17" t="s">
        <v>16</v>
      </c>
      <c r="O220" s="18"/>
      <c r="P220" s="23">
        <f t="shared" si="18"/>
        <v>0</v>
      </c>
      <c r="Q220" s="92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3">
        <f>+'2'!J221</f>
        <v>0</v>
      </c>
      <c r="F221" s="70">
        <v>0</v>
      </c>
      <c r="G221" s="46">
        <f t="shared" si="22"/>
        <v>0</v>
      </c>
      <c r="H221" s="78">
        <v>0</v>
      </c>
      <c r="I221" s="76">
        <v>0</v>
      </c>
      <c r="J221" s="46">
        <f t="shared" si="23"/>
        <v>0</v>
      </c>
      <c r="K221" s="71"/>
      <c r="L221" s="20">
        <v>60</v>
      </c>
      <c r="M221" s="64">
        <f t="shared" si="17"/>
        <v>0</v>
      </c>
      <c r="N221" s="17" t="s">
        <v>16</v>
      </c>
      <c r="O221" s="18"/>
      <c r="P221" s="23">
        <f t="shared" si="18"/>
        <v>0</v>
      </c>
      <c r="Q221" s="92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3">
        <f>+'2'!J222</f>
        <v>0</v>
      </c>
      <c r="F222" s="70">
        <v>0</v>
      </c>
      <c r="G222" s="46">
        <f t="shared" si="22"/>
        <v>0</v>
      </c>
      <c r="H222" s="78">
        <v>0</v>
      </c>
      <c r="I222" s="76">
        <v>0</v>
      </c>
      <c r="J222" s="46">
        <f t="shared" si="23"/>
        <v>0</v>
      </c>
      <c r="K222" s="71"/>
      <c r="L222" s="20">
        <v>50</v>
      </c>
      <c r="M222" s="64">
        <f t="shared" si="17"/>
        <v>0</v>
      </c>
      <c r="N222" s="17" t="s">
        <v>16</v>
      </c>
      <c r="O222" s="18"/>
      <c r="P222" s="23">
        <f t="shared" si="18"/>
        <v>0</v>
      </c>
      <c r="Q222" s="92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3">
        <f>+'2'!J223</f>
        <v>0</v>
      </c>
      <c r="F223" s="70">
        <v>0</v>
      </c>
      <c r="G223" s="46">
        <f t="shared" si="22"/>
        <v>0</v>
      </c>
      <c r="H223" s="78">
        <v>0</v>
      </c>
      <c r="I223" s="76">
        <v>0</v>
      </c>
      <c r="J223" s="46">
        <f t="shared" si="23"/>
        <v>0</v>
      </c>
      <c r="K223" s="71"/>
      <c r="L223" s="20">
        <v>100</v>
      </c>
      <c r="M223" s="64">
        <f t="shared" si="17"/>
        <v>0</v>
      </c>
      <c r="N223" s="17" t="s">
        <v>16</v>
      </c>
      <c r="O223" s="18"/>
      <c r="P223" s="23">
        <f t="shared" si="18"/>
        <v>0</v>
      </c>
      <c r="Q223" s="92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3">
        <f>+'2'!J224</f>
        <v>0</v>
      </c>
      <c r="F224" s="70">
        <v>0</v>
      </c>
      <c r="G224" s="46">
        <f t="shared" si="22"/>
        <v>0</v>
      </c>
      <c r="H224" s="78">
        <v>0</v>
      </c>
      <c r="I224" s="76">
        <v>0</v>
      </c>
      <c r="J224" s="46">
        <f t="shared" si="23"/>
        <v>0</v>
      </c>
      <c r="K224" s="71"/>
      <c r="L224" s="20">
        <v>120</v>
      </c>
      <c r="M224" s="64">
        <f t="shared" si="17"/>
        <v>0</v>
      </c>
      <c r="N224" s="17" t="s">
        <v>16</v>
      </c>
      <c r="O224" s="18"/>
      <c r="P224" s="23">
        <f t="shared" si="18"/>
        <v>0</v>
      </c>
      <c r="Q224" s="92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3">
        <f>+'2'!J225</f>
        <v>0</v>
      </c>
      <c r="F225" s="70">
        <v>0</v>
      </c>
      <c r="G225" s="46">
        <f t="shared" si="22"/>
        <v>0</v>
      </c>
      <c r="H225" s="78">
        <v>0</v>
      </c>
      <c r="I225" s="76">
        <v>0</v>
      </c>
      <c r="J225" s="46">
        <f t="shared" si="23"/>
        <v>0</v>
      </c>
      <c r="K225" s="71"/>
      <c r="L225" s="20">
        <v>60</v>
      </c>
      <c r="M225" s="64">
        <f t="shared" si="17"/>
        <v>0</v>
      </c>
      <c r="N225" s="17" t="s">
        <v>16</v>
      </c>
      <c r="O225" s="18"/>
      <c r="P225" s="23">
        <f t="shared" si="18"/>
        <v>0</v>
      </c>
      <c r="Q225" s="92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3">
        <f>+'2'!J226</f>
        <v>0</v>
      </c>
      <c r="F226" s="70">
        <v>0</v>
      </c>
      <c r="G226" s="46">
        <f t="shared" si="22"/>
        <v>0</v>
      </c>
      <c r="H226" s="78">
        <v>0</v>
      </c>
      <c r="I226" s="76">
        <v>0</v>
      </c>
      <c r="J226" s="46">
        <f t="shared" si="23"/>
        <v>0</v>
      </c>
      <c r="K226" s="71"/>
      <c r="L226" s="20">
        <v>150</v>
      </c>
      <c r="M226" s="64">
        <f t="shared" si="17"/>
        <v>0</v>
      </c>
      <c r="N226" s="17" t="s">
        <v>16</v>
      </c>
      <c r="O226" s="18"/>
      <c r="P226" s="23">
        <f t="shared" si="18"/>
        <v>0</v>
      </c>
      <c r="Q226" s="92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3">
        <f>+'2'!J227</f>
        <v>0</v>
      </c>
      <c r="F227" s="70">
        <v>0</v>
      </c>
      <c r="G227" s="46">
        <f t="shared" si="22"/>
        <v>0</v>
      </c>
      <c r="H227" s="78">
        <v>0</v>
      </c>
      <c r="I227" s="76">
        <v>0</v>
      </c>
      <c r="J227" s="46">
        <f t="shared" si="23"/>
        <v>0</v>
      </c>
      <c r="K227" s="71"/>
      <c r="L227" s="20">
        <v>150</v>
      </c>
      <c r="M227" s="64">
        <f t="shared" si="17"/>
        <v>0</v>
      </c>
      <c r="N227" s="17" t="s">
        <v>16</v>
      </c>
      <c r="O227" s="18"/>
      <c r="P227" s="23">
        <f t="shared" si="18"/>
        <v>0</v>
      </c>
      <c r="Q227" s="92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3">
        <f>+'2'!J228</f>
        <v>0</v>
      </c>
      <c r="F228" s="70">
        <v>0</v>
      </c>
      <c r="G228" s="46">
        <f t="shared" si="22"/>
        <v>0</v>
      </c>
      <c r="H228" s="78">
        <v>0</v>
      </c>
      <c r="I228" s="76">
        <v>0</v>
      </c>
      <c r="J228" s="46">
        <f t="shared" si="23"/>
        <v>0</v>
      </c>
      <c r="K228" s="71"/>
      <c r="L228" s="20">
        <v>200</v>
      </c>
      <c r="M228" s="64">
        <f t="shared" si="17"/>
        <v>0</v>
      </c>
      <c r="N228" s="17" t="s">
        <v>16</v>
      </c>
      <c r="O228" s="18"/>
      <c r="P228" s="23">
        <f t="shared" si="18"/>
        <v>0</v>
      </c>
      <c r="Q228" s="92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3">
        <f>+'2'!J221</f>
        <v>0</v>
      </c>
      <c r="F229" s="70">
        <v>0</v>
      </c>
      <c r="G229" s="46">
        <f t="shared" si="22"/>
        <v>0</v>
      </c>
      <c r="H229" s="78">
        <v>0</v>
      </c>
      <c r="I229" s="76">
        <v>0</v>
      </c>
      <c r="J229" s="46">
        <f t="shared" si="23"/>
        <v>0</v>
      </c>
      <c r="K229" s="71"/>
      <c r="L229" s="20"/>
      <c r="M229" s="64">
        <f t="shared" si="17"/>
        <v>0</v>
      </c>
      <c r="N229" s="17" t="s">
        <v>16</v>
      </c>
      <c r="O229" s="18"/>
      <c r="P229" s="23">
        <f t="shared" si="18"/>
        <v>0</v>
      </c>
      <c r="Q229" s="92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1396</v>
      </c>
      <c r="D230" s="10" t="s">
        <v>566</v>
      </c>
      <c r="E230" s="63">
        <f>+'2'!J222</f>
        <v>0</v>
      </c>
      <c r="F230" s="70">
        <v>0</v>
      </c>
      <c r="G230" s="46">
        <f t="shared" si="22"/>
        <v>0</v>
      </c>
      <c r="H230" s="78">
        <v>0</v>
      </c>
      <c r="I230" s="76">
        <v>0</v>
      </c>
      <c r="J230" s="46">
        <f t="shared" si="23"/>
        <v>0</v>
      </c>
      <c r="K230" s="71"/>
      <c r="L230" s="20">
        <v>35</v>
      </c>
      <c r="M230" s="64">
        <f t="shared" si="17"/>
        <v>0</v>
      </c>
      <c r="N230" s="17" t="s">
        <v>16</v>
      </c>
      <c r="O230" s="18"/>
      <c r="P230" s="23">
        <f t="shared" si="18"/>
        <v>0</v>
      </c>
      <c r="Q230" s="92"/>
      <c r="R230" s="43">
        <f t="shared" si="24"/>
        <v>0</v>
      </c>
    </row>
    <row r="231" spans="1:19" ht="24" customHeight="1" x14ac:dyDescent="0.65">
      <c r="A231" s="10">
        <v>227</v>
      </c>
      <c r="B231" s="10"/>
      <c r="C231" s="19" t="s">
        <v>1398</v>
      </c>
      <c r="D231" s="10" t="s">
        <v>566</v>
      </c>
      <c r="E231" s="63">
        <f>+'2'!J223</f>
        <v>0</v>
      </c>
      <c r="F231" s="70">
        <v>0</v>
      </c>
      <c r="G231" s="46">
        <f t="shared" si="22"/>
        <v>0</v>
      </c>
      <c r="H231" s="78">
        <v>0</v>
      </c>
      <c r="I231" s="76">
        <v>0</v>
      </c>
      <c r="J231" s="46">
        <f t="shared" si="23"/>
        <v>0</v>
      </c>
      <c r="K231" s="71"/>
      <c r="L231" s="20">
        <v>25</v>
      </c>
      <c r="M231" s="64">
        <f t="shared" si="17"/>
        <v>0</v>
      </c>
      <c r="N231" s="17" t="s">
        <v>16</v>
      </c>
      <c r="O231" s="18"/>
      <c r="P231" s="23">
        <f t="shared" si="18"/>
        <v>0</v>
      </c>
      <c r="Q231" s="92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312</v>
      </c>
      <c r="D232" s="10" t="s">
        <v>434</v>
      </c>
      <c r="E232" s="63">
        <f>+'2'!J224</f>
        <v>0</v>
      </c>
      <c r="F232" s="70">
        <v>0</v>
      </c>
      <c r="G232" s="46">
        <f t="shared" si="22"/>
        <v>0</v>
      </c>
      <c r="H232" s="78">
        <v>0</v>
      </c>
      <c r="I232" s="76">
        <v>0</v>
      </c>
      <c r="J232" s="46">
        <f t="shared" si="23"/>
        <v>0</v>
      </c>
      <c r="K232" s="71"/>
      <c r="L232" s="20">
        <v>35</v>
      </c>
      <c r="M232" s="64">
        <f t="shared" si="17"/>
        <v>0</v>
      </c>
      <c r="N232" s="17" t="s">
        <v>16</v>
      </c>
      <c r="O232" s="18"/>
      <c r="P232" s="23">
        <f t="shared" si="18"/>
        <v>0</v>
      </c>
      <c r="Q232" s="92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3">
        <f>+'2'!J225</f>
        <v>0</v>
      </c>
      <c r="F233" s="70">
        <v>0</v>
      </c>
      <c r="G233" s="46">
        <f t="shared" si="22"/>
        <v>0</v>
      </c>
      <c r="H233" s="78">
        <v>0</v>
      </c>
      <c r="I233" s="76">
        <v>0</v>
      </c>
      <c r="J233" s="46">
        <f t="shared" si="23"/>
        <v>0</v>
      </c>
      <c r="K233" s="71"/>
      <c r="L233" s="20"/>
      <c r="M233" s="64">
        <f t="shared" si="17"/>
        <v>0</v>
      </c>
      <c r="N233" s="17" t="s">
        <v>16</v>
      </c>
      <c r="O233" s="18"/>
      <c r="P233" s="23">
        <f t="shared" si="18"/>
        <v>0</v>
      </c>
      <c r="Q233" s="92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3">
        <f>+'2'!J226</f>
        <v>0</v>
      </c>
      <c r="F234" s="70">
        <v>0</v>
      </c>
      <c r="G234" s="46">
        <f t="shared" si="22"/>
        <v>0</v>
      </c>
      <c r="H234" s="78">
        <v>0</v>
      </c>
      <c r="I234" s="76">
        <v>0</v>
      </c>
      <c r="J234" s="46">
        <f t="shared" si="23"/>
        <v>0</v>
      </c>
      <c r="K234" s="71"/>
      <c r="L234" s="20"/>
      <c r="M234" s="64">
        <f t="shared" si="17"/>
        <v>0</v>
      </c>
      <c r="N234" s="17" t="s">
        <v>16</v>
      </c>
      <c r="O234" s="18"/>
      <c r="P234" s="23">
        <f t="shared" si="18"/>
        <v>0</v>
      </c>
      <c r="Q234" s="92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3">
        <f>+'2'!J227</f>
        <v>0</v>
      </c>
      <c r="F235" s="70">
        <v>0</v>
      </c>
      <c r="G235" s="46">
        <f t="shared" si="22"/>
        <v>0</v>
      </c>
      <c r="H235" s="78">
        <v>0</v>
      </c>
      <c r="I235" s="76">
        <v>0</v>
      </c>
      <c r="J235" s="46">
        <f t="shared" si="23"/>
        <v>0</v>
      </c>
      <c r="K235" s="71"/>
      <c r="L235" s="20"/>
      <c r="M235" s="64">
        <f t="shared" si="17"/>
        <v>0</v>
      </c>
      <c r="N235" s="17" t="s">
        <v>16</v>
      </c>
      <c r="O235" s="18"/>
      <c r="P235" s="23">
        <f t="shared" si="18"/>
        <v>0</v>
      </c>
      <c r="Q235" s="92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3">
        <f>+'2'!J228</f>
        <v>0</v>
      </c>
      <c r="F236" s="70">
        <v>0</v>
      </c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1"/>
      <c r="L236" s="20"/>
      <c r="M236" s="64">
        <f t="shared" si="17"/>
        <v>0</v>
      </c>
      <c r="N236" s="17" t="s">
        <v>16</v>
      </c>
      <c r="O236" s="18"/>
      <c r="P236" s="23">
        <f t="shared" si="18"/>
        <v>0</v>
      </c>
      <c r="Q236" s="92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3">
        <f>+'2'!J229</f>
        <v>0</v>
      </c>
      <c r="F237" s="70">
        <v>0</v>
      </c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1"/>
      <c r="L237" s="20"/>
      <c r="M237" s="64">
        <f t="shared" si="17"/>
        <v>0</v>
      </c>
      <c r="N237" s="17" t="s">
        <v>16</v>
      </c>
      <c r="O237" s="18"/>
      <c r="P237" s="23">
        <f t="shared" si="18"/>
        <v>0</v>
      </c>
      <c r="Q237" s="92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3">
        <f>+ยกมา!J230</f>
        <v>0</v>
      </c>
      <c r="F238" s="70">
        <v>0</v>
      </c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1"/>
      <c r="L238" s="20"/>
      <c r="M238" s="64">
        <f t="shared" si="17"/>
        <v>0</v>
      </c>
      <c r="N238" s="17" t="s">
        <v>16</v>
      </c>
      <c r="O238" s="18"/>
      <c r="P238" s="23">
        <f t="shared" si="18"/>
        <v>0</v>
      </c>
      <c r="Q238" s="92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3">
        <f>+'2'!J239</f>
        <v>0</v>
      </c>
      <c r="F239" s="70">
        <v>0</v>
      </c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1"/>
      <c r="L239" s="20"/>
      <c r="M239" s="64">
        <f t="shared" si="17"/>
        <v>0</v>
      </c>
      <c r="N239" s="17" t="s">
        <v>16</v>
      </c>
      <c r="O239" s="18"/>
      <c r="P239" s="23">
        <f t="shared" si="18"/>
        <v>0</v>
      </c>
      <c r="Q239" s="92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4" t="s">
        <v>213</v>
      </c>
      <c r="Q240" s="91"/>
      <c r="R240" s="75">
        <f>SUM(R5:R239)</f>
        <v>0</v>
      </c>
      <c r="S240" s="75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1" t="s">
        <v>212</v>
      </c>
      <c r="L241" s="162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34" t="s">
        <v>202</v>
      </c>
      <c r="M242" s="35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SUM(O244:AF2440)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2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69921875" style="2" customWidth="1"/>
    <col min="2" max="2" width="33.69921875" style="2" customWidth="1"/>
    <col min="3" max="6" width="9.69921875" style="2" customWidth="1"/>
    <col min="7" max="7" width="9.69921875" style="38" customWidth="1"/>
    <col min="8" max="8" width="9.69921875" style="2" customWidth="1"/>
    <col min="9" max="9" width="8.69921875" style="39" customWidth="1"/>
    <col min="10" max="10" width="10.69921875" style="2" customWidth="1"/>
    <col min="11" max="11" width="17.69921875" style="2" bestFit="1" customWidth="1"/>
    <col min="12" max="12" width="9" style="2"/>
    <col min="13" max="14" width="10.09765625" style="2" bestFit="1" customWidth="1"/>
    <col min="15" max="15" width="9" style="2"/>
    <col min="16" max="16" width="34.69921875" style="2" bestFit="1" customWidth="1"/>
    <col min="17" max="24" width="9" style="2"/>
    <col min="25" max="25" width="15.69921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64" t="s">
        <v>242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O2" s="165" t="s">
        <v>0</v>
      </c>
      <c r="P2" s="165"/>
      <c r="Q2" s="165"/>
      <c r="R2" s="165"/>
      <c r="S2" s="165"/>
      <c r="T2" s="165"/>
      <c r="U2" s="165"/>
      <c r="V2" s="165"/>
      <c r="W2" s="165"/>
      <c r="X2" s="165"/>
      <c r="Y2" s="165"/>
    </row>
    <row r="3" spans="1:26" s="5" customFormat="1" ht="26.4" x14ac:dyDescent="0.7">
      <c r="A3" s="166" t="s">
        <v>1</v>
      </c>
      <c r="B3" s="166" t="s">
        <v>2</v>
      </c>
      <c r="C3" s="167" t="s">
        <v>3</v>
      </c>
      <c r="D3" s="167" t="s">
        <v>4</v>
      </c>
      <c r="E3" s="167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O3" s="166" t="s">
        <v>1</v>
      </c>
      <c r="P3" s="166" t="s">
        <v>2</v>
      </c>
      <c r="Q3" s="167" t="s">
        <v>3</v>
      </c>
      <c r="R3" s="167" t="s">
        <v>4</v>
      </c>
      <c r="S3" s="167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75">
      <c r="A4" s="166"/>
      <c r="B4" s="166"/>
      <c r="C4" s="168"/>
      <c r="D4" s="168"/>
      <c r="E4" s="168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8"/>
      <c r="R4" s="168"/>
      <c r="S4" s="168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76" t="s">
        <v>119</v>
      </c>
      <c r="Q107" s="177"/>
      <c r="R107" s="177"/>
      <c r="S107" s="177"/>
      <c r="T107" s="177"/>
      <c r="U107" s="177"/>
      <c r="V107" s="177"/>
      <c r="W107" s="178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79" t="s">
        <v>213</v>
      </c>
      <c r="N205" s="179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61" t="s">
        <v>212</v>
      </c>
      <c r="I206" s="162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63" t="s">
        <v>202</v>
      </c>
      <c r="J207" s="163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58" t="s">
        <v>203</v>
      </c>
      <c r="J208" s="159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58" t="s">
        <v>205</v>
      </c>
      <c r="J210" s="159"/>
      <c r="K210" s="36">
        <v>0</v>
      </c>
    </row>
    <row r="211" spans="1:11" ht="24.6" x14ac:dyDescent="0.65">
      <c r="A211" s="1"/>
      <c r="C211" s="31"/>
      <c r="E211" s="31"/>
      <c r="G211" s="31"/>
      <c r="I211" s="158" t="s">
        <v>206</v>
      </c>
      <c r="J211" s="159"/>
      <c r="K211" s="36">
        <v>0</v>
      </c>
    </row>
    <row r="212" spans="1:11" ht="24.6" x14ac:dyDescent="0.65">
      <c r="A212" s="1"/>
      <c r="C212" s="31"/>
      <c r="E212" s="31"/>
      <c r="G212" s="31"/>
      <c r="I212" s="158" t="s">
        <v>207</v>
      </c>
      <c r="J212" s="159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58" t="s">
        <v>208</v>
      </c>
      <c r="J213" s="159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58" t="s">
        <v>209</v>
      </c>
      <c r="J214" s="159"/>
      <c r="K214" s="37">
        <v>0</v>
      </c>
    </row>
    <row r="215" spans="1:11" ht="24.6" x14ac:dyDescent="0.65">
      <c r="A215" s="1"/>
      <c r="C215" s="31"/>
      <c r="E215" s="31"/>
      <c r="G215" s="31"/>
      <c r="I215" s="158" t="s">
        <v>210</v>
      </c>
      <c r="J215" s="159"/>
      <c r="K215" s="33">
        <f>+K214-K213</f>
        <v>0</v>
      </c>
    </row>
    <row r="216" spans="1:11" ht="24.6" x14ac:dyDescent="0.65">
      <c r="G216" s="2"/>
      <c r="I216" s="158" t="s">
        <v>211</v>
      </c>
      <c r="J216" s="159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9</vt:i4>
      </vt:variant>
    </vt:vector>
  </HeadingPairs>
  <TitlesOfParts>
    <vt:vector size="9" baseType="lpstr">
      <vt:lpstr>DATA POS</vt:lpstr>
      <vt:lpstr>ต้นทุนพี่ตุ๊ก</vt:lpstr>
      <vt:lpstr>สรุป</vt:lpstr>
      <vt:lpstr>ยกมา</vt:lpstr>
      <vt:lpstr>31.</vt:lpstr>
      <vt:lpstr>1</vt:lpstr>
      <vt:lpstr>2</vt:lpstr>
      <vt:lpstr>3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2024-11-06T08:48:33Z</cp:lastPrinted>
  <dcterms:created xsi:type="dcterms:W3CDTF">2023-12-01T06:41:03Z</dcterms:created>
  <dcterms:modified xsi:type="dcterms:W3CDTF">2024-11-06T09:02:25Z</dcterms:modified>
</cp:coreProperties>
</file>